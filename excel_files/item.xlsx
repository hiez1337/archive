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D:\WorkSpace\2DGame_Project1\Assets\Res\ExcelData\"/>
    </mc:Choice>
  </mc:AlternateContent>
  <xr:revisionPtr revIDLastSave="0" documentId="13_ncr:1_{F506EA7A-F7BF-4F0F-AB9E-5A7831437088}" xr6:coauthVersionLast="47" xr6:coauthVersionMax="47" xr10:uidLastSave="{00000000-0000-0000-0000-000000000000}"/>
  <bookViews>
    <workbookView xWindow="-120" yWindow="-120" windowWidth="29040" windowHeight="15720" activeTab="7" xr2:uid="{00000000-000D-0000-FFFF-FFFF00000000}"/>
  </bookViews>
  <sheets>
    <sheet name="装备" sheetId="1" r:id="rId1"/>
    <sheet name="装备英文" sheetId="23" r:id="rId2"/>
    <sheet name="药品" sheetId="2" r:id="rId3"/>
    <sheet name="药品英文" sheetId="16" r:id="rId4"/>
    <sheet name="食物" sheetId="3" r:id="rId5"/>
    <sheet name="食物英文" sheetId="17" r:id="rId6"/>
    <sheet name="艺能" sheetId="5" r:id="rId7"/>
    <sheet name="艺能英文" sheetId="18" r:id="rId8"/>
    <sheet name="秘籍" sheetId="6" r:id="rId9"/>
    <sheet name="秘籍英文" sheetId="19" r:id="rId10"/>
    <sheet name="礼物" sheetId="7" r:id="rId11"/>
    <sheet name="材料" sheetId="8" r:id="rId12"/>
    <sheet name="材料英文" sheetId="20" r:id="rId13"/>
    <sheet name="任务" sheetId="9" r:id="rId14"/>
    <sheet name="任务英文" sheetId="21" r:id="rId15"/>
    <sheet name="其他" sheetId="10" r:id="rId16"/>
    <sheet name="其他英文" sheetId="22" r:id="rId17"/>
    <sheet name="Sheet2" sheetId="12" r:id="rId18"/>
    <sheet name="Sheet3" sheetId="13" r:id="rId19"/>
    <sheet name="Sheet4" sheetId="14" r:id="rId20"/>
  </sheets>
  <definedNames>
    <definedName name="_xlnm._FilterDatabase" localSheetId="18" hidden="1">Sheet3!$A$1:$A$188</definedName>
    <definedName name="_xlnm._FilterDatabase" localSheetId="8" hidden="1">秘籍!$A$1:$AG$907</definedName>
    <definedName name="_xlnm._FilterDatabase" localSheetId="9" hidden="1">秘籍英文!$A$1:$AG$907</definedName>
    <definedName name="_xlnm._FilterDatabase" localSheetId="13" hidden="1">任务!$A$1:$X$170</definedName>
    <definedName name="_xlnm._FilterDatabase" localSheetId="14" hidden="1">任务英文!$A$1:$X$170</definedName>
    <definedName name="_xlnm._FilterDatabase" localSheetId="6" hidden="1">艺能!$Z$1:$Z$117</definedName>
    <definedName name="_xlnm._FilterDatabase" localSheetId="7" hidden="1">艺能英文!$Z$1:$Z$117</definedName>
    <definedName name="_xlnm._FilterDatabase" localSheetId="0" hidden="1">装备!$A$1:$AG$613</definedName>
    <definedName name="_xlnm._FilterDatabase" localSheetId="1" hidden="1">装备英文!$A$1:$AG$613</definedName>
    <definedName name="_xlnm.Print_Area" localSheetId="10">礼物!#REF!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139" i="13" l="1"/>
  <c r="AB139" i="13"/>
  <c r="AH138" i="13"/>
  <c r="AB138" i="13"/>
  <c r="AH137" i="13"/>
  <c r="AB137" i="13"/>
  <c r="AH136" i="13"/>
  <c r="AB136" i="13"/>
  <c r="AH135" i="13"/>
  <c r="AB135" i="13"/>
  <c r="AH134" i="13"/>
  <c r="AB134" i="13"/>
  <c r="AH133" i="13"/>
  <c r="AB133" i="13"/>
  <c r="AH132" i="13"/>
  <c r="AB132" i="13"/>
  <c r="AH131" i="13"/>
  <c r="AB131" i="13"/>
  <c r="AH130" i="13"/>
  <c r="AB130" i="13"/>
  <c r="AH129" i="13"/>
  <c r="AB129" i="13"/>
  <c r="AH128" i="13"/>
  <c r="AB128" i="13"/>
  <c r="AH127" i="13"/>
  <c r="AB127" i="13"/>
  <c r="AH126" i="13"/>
  <c r="AB126" i="13"/>
  <c r="AH125" i="13"/>
  <c r="AB125" i="13"/>
  <c r="AH124" i="13"/>
  <c r="AB124" i="13"/>
  <c r="AH123" i="13"/>
  <c r="AB123" i="13"/>
  <c r="AH122" i="13"/>
  <c r="AB122" i="13"/>
  <c r="AH121" i="13"/>
  <c r="AB121" i="13"/>
  <c r="AH120" i="13"/>
  <c r="AB120" i="13"/>
  <c r="AH119" i="13"/>
  <c r="AB119" i="13"/>
  <c r="AH118" i="13"/>
  <c r="AB118" i="13"/>
  <c r="AH117" i="13"/>
  <c r="AB117" i="13"/>
  <c r="AH116" i="13"/>
  <c r="AB116" i="13"/>
  <c r="AH115" i="13"/>
  <c r="AB115" i="13"/>
  <c r="AH114" i="13"/>
  <c r="AB114" i="13"/>
  <c r="AH113" i="13"/>
  <c r="AB113" i="13"/>
  <c r="AH112" i="13"/>
  <c r="AB112" i="13"/>
  <c r="AH111" i="13"/>
  <c r="AB111" i="13"/>
  <c r="AH110" i="13"/>
  <c r="AB110" i="13"/>
  <c r="AH109" i="13"/>
  <c r="AB109" i="13"/>
  <c r="AH108" i="13"/>
  <c r="AB108" i="13"/>
  <c r="AH107" i="13"/>
  <c r="AB107" i="13"/>
  <c r="AH106" i="13"/>
  <c r="AB106" i="13"/>
  <c r="AH105" i="13"/>
  <c r="AB105" i="13"/>
  <c r="AH104" i="13"/>
  <c r="AB104" i="13"/>
  <c r="AH103" i="13"/>
  <c r="AB103" i="13"/>
  <c r="AH102" i="13"/>
  <c r="AB102" i="13"/>
  <c r="AH101" i="13"/>
  <c r="AB101" i="13"/>
  <c r="AH100" i="13"/>
  <c r="AB100" i="13"/>
  <c r="AH99" i="13"/>
  <c r="AB99" i="13"/>
  <c r="AH98" i="13"/>
  <c r="AB98" i="13"/>
  <c r="AH97" i="13"/>
  <c r="AB97" i="13"/>
  <c r="AH96" i="13"/>
  <c r="AB96" i="13"/>
  <c r="AH95" i="13"/>
  <c r="AB95" i="13"/>
  <c r="AH94" i="13"/>
  <c r="AB94" i="13"/>
  <c r="AH93" i="13"/>
  <c r="AB93" i="13"/>
  <c r="AH92" i="13"/>
  <c r="AB92" i="13"/>
  <c r="AH91" i="13"/>
  <c r="AB91" i="13"/>
  <c r="AH90" i="13"/>
  <c r="AB90" i="13"/>
  <c r="AH89" i="13"/>
  <c r="AB89" i="13"/>
  <c r="AH88" i="13"/>
  <c r="AB88" i="13"/>
  <c r="AH87" i="13"/>
  <c r="AB87" i="13"/>
  <c r="AH86" i="13"/>
  <c r="AB86" i="13"/>
  <c r="AH85" i="13"/>
  <c r="AB85" i="13"/>
  <c r="AH84" i="13"/>
  <c r="AB84" i="13"/>
  <c r="AH83" i="13"/>
  <c r="AB83" i="13"/>
  <c r="AH82" i="13"/>
  <c r="AB82" i="13"/>
  <c r="AH81" i="13"/>
  <c r="AB81" i="13"/>
  <c r="AH80" i="13"/>
  <c r="AB80" i="13"/>
  <c r="AH79" i="13"/>
  <c r="AB79" i="13"/>
  <c r="AH78" i="13"/>
  <c r="AB78" i="13"/>
  <c r="AH77" i="13"/>
  <c r="AB77" i="13"/>
  <c r="AH76" i="13"/>
  <c r="AB76" i="13"/>
  <c r="AH75" i="13"/>
  <c r="AB75" i="13"/>
  <c r="AH74" i="13"/>
  <c r="AB74" i="13"/>
  <c r="AH73" i="13"/>
  <c r="AB73" i="13"/>
  <c r="AH72" i="13"/>
  <c r="AB72" i="13"/>
  <c r="AH71" i="13"/>
  <c r="AB71" i="13"/>
  <c r="AH70" i="13"/>
  <c r="AB70" i="13"/>
  <c r="AH69" i="13"/>
  <c r="AB69" i="13"/>
  <c r="AH68" i="13"/>
  <c r="AB68" i="13"/>
  <c r="AH67" i="13"/>
  <c r="AB67" i="13"/>
  <c r="AH66" i="13"/>
  <c r="AB66" i="13"/>
  <c r="AH65" i="13"/>
  <c r="AB65" i="13"/>
  <c r="AH64" i="13"/>
  <c r="AB64" i="13"/>
  <c r="AH63" i="13"/>
  <c r="AB63" i="13"/>
  <c r="AH62" i="13"/>
  <c r="AB62" i="13"/>
  <c r="AH61" i="13"/>
  <c r="AB61" i="13"/>
  <c r="AH60" i="13"/>
  <c r="AB60" i="13"/>
  <c r="AH59" i="13"/>
  <c r="AB59" i="13"/>
  <c r="AH58" i="13"/>
  <c r="AB58" i="13"/>
  <c r="AH57" i="13"/>
  <c r="AB57" i="13"/>
  <c r="AH56" i="13"/>
  <c r="AB56" i="13"/>
  <c r="AH55" i="13"/>
  <c r="AB55" i="13"/>
  <c r="AH54" i="13"/>
  <c r="AB54" i="13"/>
  <c r="AH53" i="13"/>
  <c r="AB53" i="13"/>
  <c r="AH52" i="13"/>
  <c r="AB52" i="13"/>
  <c r="AH51" i="13"/>
  <c r="AB51" i="13"/>
  <c r="AH50" i="13"/>
  <c r="AB50" i="13"/>
  <c r="AH49" i="13"/>
  <c r="AB49" i="13"/>
  <c r="AH48" i="13"/>
  <c r="AB48" i="13"/>
  <c r="AH47" i="13"/>
  <c r="AB47" i="13"/>
  <c r="AH46" i="13"/>
  <c r="AB46" i="13"/>
  <c r="AH45" i="13"/>
  <c r="AB45" i="13"/>
  <c r="AH44" i="13"/>
  <c r="AB44" i="13"/>
  <c r="AH43" i="13"/>
  <c r="AB43" i="13"/>
  <c r="AH42" i="13"/>
  <c r="AB42" i="13"/>
  <c r="AH41" i="13"/>
  <c r="AB41" i="13"/>
  <c r="AH40" i="13"/>
  <c r="AB40" i="13"/>
  <c r="AH39" i="13"/>
  <c r="AB39" i="13"/>
  <c r="AH38" i="13"/>
  <c r="AB38" i="13"/>
  <c r="AH37" i="13"/>
  <c r="AB37" i="13"/>
  <c r="AH36" i="13"/>
  <c r="AB36" i="13"/>
  <c r="AH35" i="13"/>
  <c r="AB35" i="13"/>
  <c r="AH34" i="13"/>
  <c r="AB34" i="13"/>
  <c r="AH33" i="13"/>
  <c r="AB33" i="13"/>
  <c r="AH32" i="13"/>
  <c r="AB32" i="13"/>
  <c r="AH31" i="13"/>
  <c r="AB31" i="13"/>
  <c r="AH30" i="13"/>
  <c r="AB30" i="13"/>
  <c r="AH29" i="13"/>
  <c r="AB29" i="13"/>
  <c r="AH28" i="13"/>
  <c r="AB28" i="13"/>
  <c r="AH27" i="13"/>
  <c r="AB27" i="13"/>
  <c r="AH26" i="13"/>
  <c r="AB26" i="13"/>
  <c r="AH25" i="13"/>
  <c r="AB25" i="13"/>
  <c r="AH24" i="13"/>
  <c r="AB24" i="13"/>
  <c r="AH23" i="13"/>
  <c r="AB23" i="13"/>
  <c r="AH22" i="13"/>
  <c r="AB22" i="13"/>
  <c r="AH21" i="13"/>
  <c r="AB21" i="13"/>
  <c r="AH20" i="13"/>
  <c r="AB20" i="13"/>
  <c r="AH19" i="13"/>
  <c r="AB19" i="13"/>
  <c r="AH18" i="13"/>
  <c r="AB18" i="13"/>
  <c r="AH17" i="13"/>
  <c r="AB17" i="13"/>
  <c r="AH16" i="13"/>
  <c r="AB16" i="13"/>
  <c r="AH15" i="13"/>
  <c r="AB15" i="13"/>
  <c r="AH14" i="13"/>
  <c r="AB14" i="13"/>
  <c r="AH13" i="13"/>
  <c r="AB13" i="13"/>
  <c r="AH12" i="13"/>
  <c r="AB12" i="13"/>
  <c r="AH11" i="13"/>
  <c r="AB11" i="13"/>
  <c r="AH10" i="13"/>
  <c r="AB10" i="13"/>
  <c r="AH9" i="13"/>
  <c r="AB9" i="13"/>
  <c r="AH8" i="13"/>
  <c r="AB8" i="13"/>
  <c r="AH7" i="13"/>
  <c r="AB7" i="13"/>
  <c r="AH6" i="13"/>
  <c r="AB6" i="13"/>
  <c r="AH5" i="13"/>
  <c r="AB5" i="13"/>
  <c r="AH4" i="13"/>
  <c r="AB4" i="13"/>
  <c r="AH3" i="13"/>
  <c r="AB3" i="13"/>
  <c r="AH2" i="13"/>
  <c r="AB2" i="13"/>
  <c r="AH1" i="13"/>
  <c r="AB1" i="13"/>
  <c r="K36" i="21"/>
  <c r="K36" i="9"/>
  <c r="J839" i="19"/>
  <c r="J838" i="19"/>
  <c r="J837" i="19"/>
  <c r="J836" i="19"/>
  <c r="J785" i="19"/>
  <c r="J784" i="19"/>
  <c r="J773" i="19"/>
  <c r="J772" i="19"/>
  <c r="J757" i="19"/>
  <c r="J756" i="19"/>
  <c r="Z839" i="6"/>
  <c r="J839" i="6"/>
  <c r="Z838" i="6"/>
  <c r="J838" i="6"/>
  <c r="Z837" i="6"/>
  <c r="J837" i="6"/>
  <c r="Z836" i="6"/>
  <c r="J836" i="6"/>
  <c r="Z823" i="6"/>
  <c r="Z822" i="6"/>
  <c r="Z785" i="6"/>
  <c r="J785" i="6"/>
  <c r="Z784" i="6"/>
  <c r="J784" i="6"/>
  <c r="Z773" i="6"/>
  <c r="J773" i="6"/>
  <c r="Z772" i="6"/>
  <c r="J772" i="6"/>
  <c r="Z757" i="6"/>
  <c r="J757" i="6"/>
  <c r="Z756" i="6"/>
  <c r="J756" i="6"/>
  <c r="V613" i="23"/>
  <c r="U613" i="23"/>
  <c r="V612" i="23"/>
  <c r="U612" i="23"/>
  <c r="V611" i="23"/>
  <c r="U611" i="23"/>
  <c r="V610" i="23"/>
  <c r="U610" i="23"/>
  <c r="V609" i="23"/>
  <c r="U609" i="23"/>
  <c r="V613" i="1"/>
  <c r="U613" i="1"/>
  <c r="V612" i="1"/>
  <c r="U612" i="1"/>
  <c r="V611" i="1"/>
  <c r="U611" i="1"/>
  <c r="V610" i="1"/>
  <c r="U610" i="1"/>
  <c r="V609" i="1"/>
  <c r="U60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wangj</author>
    <author>作者</author>
    <author>86159</author>
    <author>samo</author>
  </authors>
  <commentList>
    <comment ref="E1" authorId="0" shapeId="0" xr:uid="{00000000-0006-0000-0000-000001000000}">
      <text>
        <r>
          <rPr>
            <b/>
            <sz val="9"/>
            <rFont val="宋体"/>
            <family val="3"/>
            <charset val="134"/>
          </rPr>
          <t>Admin:</t>
        </r>
        <r>
          <rPr>
            <sz val="9"/>
            <rFont val="宋体"/>
            <family val="3"/>
            <charset val="134"/>
          </rPr>
          <t xml:space="preserve">
1010 拳套;
1020 剑;
1021 刀;
1030 重刃;
1040 棍;
1041 枪;
1050 扇;
1060 暗器;
1090 鞋履;
1100 双手轻刃;</t>
        </r>
      </text>
    </comment>
    <comment ref="G1" authorId="1" shapeId="0" xr:uid="{00000000-0006-0000-0000-000002000000}">
      <text>
        <r>
          <rPr>
            <sz val="9"/>
            <rFont val="宋体"/>
            <family val="3"/>
            <charset val="134"/>
          </rPr>
          <t>目前只存有1-3境界的武器皮肤。4-6境界的皮肤是否制作，待确认。</t>
        </r>
      </text>
    </comment>
    <comment ref="H1" authorId="2" shapeId="0" xr:uid="{00000000-0006-0000-0000-000003000000}">
      <text>
        <r>
          <rPr>
            <b/>
            <sz val="9"/>
            <rFont val="宋体"/>
            <family val="3"/>
            <charset val="134"/>
          </rPr>
          <t>1；黑，2：白，3绿；4,蓝；5,紫；6,橙；7,红
1；下品，2：凡品，3：上品，4：佳品，5：极品，6：甄品，7：孤品</t>
        </r>
      </text>
    </comment>
    <comment ref="I1" authorId="1" shapeId="0" xr:uid="{00000000-0006-0000-0000-000004000000}">
      <text>
        <r>
          <rPr>
            <sz val="9"/>
            <rFont val="宋体"/>
            <family val="3"/>
            <charset val="134"/>
          </rPr>
          <t>0表示特殊物品
1表示通用物品</t>
        </r>
      </text>
    </comment>
    <comment ref="J1" authorId="1" shapeId="0" xr:uid="{00000000-0006-0000-0000-000005000000}">
      <text>
        <r>
          <rPr>
            <b/>
            <sz val="9"/>
            <rFont val="宋体"/>
            <family val="3"/>
            <charset val="134"/>
          </rPr>
          <t>wangj:</t>
        </r>
        <r>
          <rPr>
            <sz val="9"/>
            <rFont val="宋体"/>
            <family val="3"/>
            <charset val="134"/>
          </rPr>
          <t xml:space="preserve">
quality字段用生活系统-装备锻造的初始品质定义。
所制作出的装备最终品质=初始品质+生活技能随机提升的品质。</t>
        </r>
      </text>
    </comment>
    <comment ref="K1" authorId="3" shapeId="0" xr:uid="{00000000-0006-0000-0000-000006000000}">
      <text>
        <r>
          <rPr>
            <b/>
            <sz val="9"/>
            <rFont val="宋体"/>
            <family val="3"/>
            <charset val="134"/>
          </rPr>
          <t>86159:</t>
        </r>
        <r>
          <rPr>
            <sz val="9"/>
            <rFont val="宋体"/>
            <family val="3"/>
            <charset val="134"/>
          </rPr>
          <t xml:space="preserve">
1.食物 2.首饰 3.武器4.服装 5.酒水 6.药材
太多了后面的排序看 WorldEvolution/like表</t>
        </r>
      </text>
    </comment>
    <comment ref="L1" authorId="2" shapeId="0" xr:uid="{00000000-0006-0000-0000-000007000000}">
      <text>
        <r>
          <rPr>
            <b/>
            <sz val="9"/>
            <rFont val="宋体"/>
            <family val="3"/>
            <charset val="134"/>
          </rPr>
          <t>sherlock:</t>
        </r>
        <r>
          <rPr>
            <sz val="9"/>
            <rFont val="宋体"/>
            <family val="3"/>
            <charset val="134"/>
          </rPr>
          <t xml:space="preserve">
1,白；2,绿；3,蓝；4,紫；5,橙；6,红；7,金</t>
        </r>
      </text>
    </comment>
    <comment ref="U1" authorId="1" shapeId="0" xr:uid="{00000000-0006-0000-0000-000008000000}">
      <text>
        <r>
          <rPr>
            <b/>
            <sz val="9"/>
            <rFont val="宋体"/>
            <family val="3"/>
            <charset val="134"/>
          </rPr>
          <t>wangj:</t>
        </r>
        <r>
          <rPr>
            <sz val="9"/>
            <rFont val="宋体"/>
            <family val="3"/>
            <charset val="134"/>
          </rPr>
          <t xml:space="preserve">
拍卖行功能对应的推荐寄拍价格字段（常规商店出售价格*15）</t>
        </r>
      </text>
    </comment>
    <comment ref="V1" authorId="1" shapeId="0" xr:uid="{00000000-0006-0000-0000-000009000000}">
      <text>
        <r>
          <rPr>
            <sz val="9"/>
            <rFont val="宋体"/>
            <family val="3"/>
            <charset val="134"/>
          </rPr>
          <t xml:space="preserve">wangj:
拍卖行功能对应的最高寄拍价格字段（常规商店出售价格*20）
</t>
        </r>
      </text>
    </comment>
    <comment ref="AB1" authorId="1" shapeId="0" xr:uid="{00000000-0006-0000-0000-00000A000000}">
      <text>
        <r>
          <rPr>
            <sz val="9"/>
            <rFont val="宋体"/>
            <family val="3"/>
            <charset val="134"/>
          </rPr>
          <t>弃用字段</t>
        </r>
      </text>
    </comment>
    <comment ref="AD1" authorId="4" shapeId="0" xr:uid="{00000000-0006-0000-0000-00000B000000}">
      <text>
        <r>
          <rPr>
            <b/>
            <sz val="9"/>
            <rFont val="宋体"/>
            <family val="3"/>
            <charset val="134"/>
          </rPr>
          <t>samo:</t>
        </r>
        <r>
          <rPr>
            <sz val="9"/>
            <rFont val="宋体"/>
            <family val="3"/>
            <charset val="134"/>
          </rPr>
          <t xml:space="preserve">
是否可赠送</t>
        </r>
      </text>
    </comment>
    <comment ref="AE1" authorId="4" shapeId="0" xr:uid="{00000000-0006-0000-0000-00000C000000}">
      <text>
        <r>
          <rPr>
            <b/>
            <sz val="9"/>
            <rFont val="宋体"/>
            <family val="3"/>
            <charset val="134"/>
          </rPr>
          <t>samo:</t>
        </r>
        <r>
          <rPr>
            <sz val="9"/>
            <rFont val="宋体"/>
            <family val="3"/>
            <charset val="134"/>
          </rPr>
          <t xml:space="preserve">
允许批量出售</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wangj</author>
    <author>作者</author>
    <author>86159</author>
    <author>samo</author>
  </authors>
  <commentList>
    <comment ref="E1" authorId="0" shapeId="0" xr:uid="{00000000-0006-0000-0100-000001000000}">
      <text>
        <r>
          <rPr>
            <b/>
            <sz val="9"/>
            <rFont val="宋体"/>
            <family val="3"/>
            <charset val="134"/>
          </rPr>
          <t>Admin:</t>
        </r>
        <r>
          <rPr>
            <sz val="9"/>
            <rFont val="宋体"/>
            <family val="3"/>
            <charset val="134"/>
          </rPr>
          <t xml:space="preserve">
1010 拳套;
1020 剑;
1021 刀;
1030 重刃;
1040 棍;
1041 枪;
1050 扇;
1060 暗器;
1090 鞋履;
1100 双手轻刃;</t>
        </r>
      </text>
    </comment>
    <comment ref="G1" authorId="1" shapeId="0" xr:uid="{00000000-0006-0000-0100-000002000000}">
      <text>
        <r>
          <rPr>
            <sz val="9"/>
            <rFont val="宋体"/>
            <family val="3"/>
            <charset val="134"/>
          </rPr>
          <t>目前只存有1-3境界的武器皮肤。4-6境界的皮肤是否制作，待确认。</t>
        </r>
      </text>
    </comment>
    <comment ref="H1" authorId="2" shapeId="0" xr:uid="{00000000-0006-0000-0100-000003000000}">
      <text>
        <r>
          <rPr>
            <b/>
            <sz val="9"/>
            <rFont val="宋体"/>
            <family val="3"/>
            <charset val="134"/>
          </rPr>
          <t>1；黑，2：白，3绿；4,蓝；5,紫；6,橙；7,红
1；下品，2：凡品，3：上品，4：佳品，5：极品，6：甄品，7：孤品</t>
        </r>
      </text>
    </comment>
    <comment ref="I1" authorId="1" shapeId="0" xr:uid="{00000000-0006-0000-0100-000004000000}">
      <text>
        <r>
          <rPr>
            <sz val="9"/>
            <rFont val="宋体"/>
            <family val="3"/>
            <charset val="134"/>
          </rPr>
          <t>0表示特殊物品
1表示通用物品</t>
        </r>
      </text>
    </comment>
    <comment ref="J1" authorId="1" shapeId="0" xr:uid="{00000000-0006-0000-0100-000005000000}">
      <text>
        <r>
          <rPr>
            <b/>
            <sz val="9"/>
            <rFont val="宋体"/>
            <family val="3"/>
            <charset val="134"/>
          </rPr>
          <t>wangj:</t>
        </r>
        <r>
          <rPr>
            <sz val="9"/>
            <rFont val="宋体"/>
            <family val="3"/>
            <charset val="134"/>
          </rPr>
          <t xml:space="preserve">
quality字段用生活系统-装备锻造的初始品质定义。
所制作出的装备最终品质=初始品质+生活技能随机提升的品质。</t>
        </r>
      </text>
    </comment>
    <comment ref="K1" authorId="3" shapeId="0" xr:uid="{00000000-0006-0000-0100-000006000000}">
      <text>
        <r>
          <rPr>
            <b/>
            <sz val="9"/>
            <rFont val="宋体"/>
            <family val="3"/>
            <charset val="134"/>
          </rPr>
          <t>86159:</t>
        </r>
        <r>
          <rPr>
            <sz val="9"/>
            <rFont val="宋体"/>
            <family val="3"/>
            <charset val="134"/>
          </rPr>
          <t xml:space="preserve">
1.食物 2.首饰 3.武器4.服装 5.酒水 6.药材
太多了后面的排序看 WorldEvolution/like表</t>
        </r>
      </text>
    </comment>
    <comment ref="L1" authorId="2" shapeId="0" xr:uid="{00000000-0006-0000-0100-000007000000}">
      <text>
        <r>
          <rPr>
            <b/>
            <sz val="9"/>
            <rFont val="宋体"/>
            <family val="3"/>
            <charset val="134"/>
          </rPr>
          <t>sherlock:</t>
        </r>
        <r>
          <rPr>
            <sz val="9"/>
            <rFont val="宋体"/>
            <family val="3"/>
            <charset val="134"/>
          </rPr>
          <t xml:space="preserve">
1,白；2,绿；3,蓝；4,紫；5,橙；6,红；7,金</t>
        </r>
      </text>
    </comment>
    <comment ref="U1" authorId="1" shapeId="0" xr:uid="{00000000-0006-0000-0100-000008000000}">
      <text>
        <r>
          <rPr>
            <b/>
            <sz val="9"/>
            <rFont val="宋体"/>
            <family val="3"/>
            <charset val="134"/>
          </rPr>
          <t>wangj:</t>
        </r>
        <r>
          <rPr>
            <sz val="9"/>
            <rFont val="宋体"/>
            <family val="3"/>
            <charset val="134"/>
          </rPr>
          <t xml:space="preserve">
拍卖行功能对应的推荐寄拍价格字段（常规商店出售价格*15）</t>
        </r>
      </text>
    </comment>
    <comment ref="V1" authorId="1" shapeId="0" xr:uid="{00000000-0006-0000-0100-000009000000}">
      <text>
        <r>
          <rPr>
            <sz val="9"/>
            <rFont val="宋体"/>
            <family val="3"/>
            <charset val="134"/>
          </rPr>
          <t xml:space="preserve">wangj:
拍卖行功能对应的最高寄拍价格字段（常规商店出售价格*20）
</t>
        </r>
      </text>
    </comment>
    <comment ref="AB1" authorId="1" shapeId="0" xr:uid="{00000000-0006-0000-0100-00000A000000}">
      <text>
        <r>
          <rPr>
            <sz val="9"/>
            <rFont val="宋体"/>
            <family val="3"/>
            <charset val="134"/>
          </rPr>
          <t>弃用字段</t>
        </r>
      </text>
    </comment>
    <comment ref="AD1" authorId="4" shapeId="0" xr:uid="{00000000-0006-0000-0100-00000B000000}">
      <text>
        <r>
          <rPr>
            <b/>
            <sz val="9"/>
            <rFont val="宋体"/>
            <family val="3"/>
            <charset val="134"/>
          </rPr>
          <t>samo:</t>
        </r>
        <r>
          <rPr>
            <sz val="9"/>
            <rFont val="宋体"/>
            <family val="3"/>
            <charset val="134"/>
          </rPr>
          <t xml:space="preserve">
是否可赠送</t>
        </r>
      </text>
    </comment>
    <comment ref="AE1" authorId="4" shapeId="0" xr:uid="{00000000-0006-0000-0100-00000C000000}">
      <text>
        <r>
          <rPr>
            <b/>
            <sz val="9"/>
            <rFont val="宋体"/>
            <family val="3"/>
            <charset val="134"/>
          </rPr>
          <t>samo:</t>
        </r>
        <r>
          <rPr>
            <sz val="9"/>
            <rFont val="宋体"/>
            <family val="3"/>
            <charset val="134"/>
          </rPr>
          <t xml:space="preserve">
允许批量出售</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wangj</author>
    <author>作者</author>
    <author>86159</author>
    <author>samo</author>
  </authors>
  <commentList>
    <comment ref="D1" authorId="0" shapeId="0" xr:uid="{00000000-0006-0000-0200-000001000000}">
      <text>
        <r>
          <rPr>
            <sz val="9"/>
            <rFont val="宋体"/>
            <family val="3"/>
            <charset val="134"/>
          </rPr>
          <t>填入4位数字即可，需确认后续的处理方式，是重新命名一遍，还是延续着写，药品sortid需要程序给明确回复。</t>
        </r>
      </text>
    </comment>
    <comment ref="E1" authorId="1" shapeId="0" xr:uid="{00000000-0006-0000-0200-000002000000}">
      <text>
        <r>
          <rPr>
            <b/>
            <sz val="9"/>
            <rFont val="宋体"/>
            <family val="3"/>
            <charset val="134"/>
          </rPr>
          <t>1；黑，2：白，3绿；4,蓝；5,紫；6,橙；7,红
1；下品，2：凡品，3：上品，4：佳品，5：极品，6：甄品，7：孤品</t>
        </r>
      </text>
    </comment>
    <comment ref="G1" authorId="2" shapeId="0" xr:uid="{00000000-0006-0000-0200-000003000000}">
      <text>
        <r>
          <rPr>
            <b/>
            <sz val="9"/>
            <rFont val="宋体"/>
            <family val="3"/>
            <charset val="134"/>
          </rPr>
          <t>86159:</t>
        </r>
        <r>
          <rPr>
            <sz val="9"/>
            <rFont val="宋体"/>
            <family val="3"/>
            <charset val="134"/>
          </rPr>
          <t xml:space="preserve">
1.食物 2.首饰 3.武器4.服装 5.酒水 6.药材
太多了后面的排序看 WorldEvolution/like表</t>
        </r>
      </text>
    </comment>
    <comment ref="N1" authorId="0" shapeId="0" xr:uid="{00000000-0006-0000-0200-000004000000}">
      <text>
        <r>
          <rPr>
            <b/>
            <sz val="9"/>
            <rFont val="宋体"/>
            <family val="3"/>
            <charset val="134"/>
          </rPr>
          <t>wangj:</t>
        </r>
        <r>
          <rPr>
            <sz val="9"/>
            <rFont val="宋体"/>
            <family val="3"/>
            <charset val="134"/>
          </rPr>
          <t xml:space="preserve">
拍卖行功能对应的推荐寄拍价格字段（常规商店出售价格*15）</t>
        </r>
      </text>
    </comment>
    <comment ref="O1" authorId="0" shapeId="0" xr:uid="{00000000-0006-0000-0200-000005000000}">
      <text>
        <r>
          <rPr>
            <sz val="9"/>
            <rFont val="宋体"/>
            <family val="3"/>
            <charset val="134"/>
          </rPr>
          <t xml:space="preserve">wangj:
拍卖行功能对应的最高寄拍价格字段（常规商店出售价格*20）
</t>
        </r>
      </text>
    </comment>
    <comment ref="X1" authorId="0" shapeId="0" xr:uid="{00000000-0006-0000-0200-000006000000}">
      <text>
        <r>
          <rPr>
            <sz val="9"/>
            <rFont val="宋体"/>
            <family val="3"/>
            <charset val="134"/>
          </rPr>
          <t xml:space="preserve">弃用字段
</t>
        </r>
      </text>
    </comment>
    <comment ref="AB1" authorId="3" shapeId="0" xr:uid="{00000000-0006-0000-0200-000007000000}">
      <text>
        <r>
          <rPr>
            <b/>
            <sz val="9"/>
            <rFont val="宋体"/>
            <family val="3"/>
            <charset val="134"/>
          </rPr>
          <t>samo:</t>
        </r>
        <r>
          <rPr>
            <sz val="9"/>
            <rFont val="宋体"/>
            <family val="3"/>
            <charset val="134"/>
          </rPr>
          <t xml:space="preserve">
是否可赠送</t>
        </r>
      </text>
    </comment>
    <comment ref="AC1" authorId="3" shapeId="0" xr:uid="{00000000-0006-0000-0200-000008000000}">
      <text>
        <r>
          <rPr>
            <b/>
            <sz val="9"/>
            <rFont val="宋体"/>
            <family val="3"/>
            <charset val="134"/>
          </rPr>
          <t>samo:</t>
        </r>
        <r>
          <rPr>
            <sz val="9"/>
            <rFont val="宋体"/>
            <family val="3"/>
            <charset val="134"/>
          </rPr>
          <t xml:space="preserve">
允许批量出售</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wangj</author>
    <author>作者</author>
    <author>86159</author>
    <author>samo</author>
  </authors>
  <commentList>
    <comment ref="D1" authorId="0" shapeId="0" xr:uid="{00000000-0006-0000-0300-000001000000}">
      <text>
        <r>
          <rPr>
            <sz val="9"/>
            <rFont val="宋体"/>
            <family val="3"/>
            <charset val="134"/>
          </rPr>
          <t>填入4位数字即可，需确认后续的处理方式，是重新命名一遍，还是延续着写，药品sortid需要程序给明确回复。</t>
        </r>
      </text>
    </comment>
    <comment ref="E1" authorId="1" shapeId="0" xr:uid="{00000000-0006-0000-0300-000002000000}">
      <text>
        <r>
          <rPr>
            <b/>
            <sz val="9"/>
            <rFont val="宋体"/>
            <family val="3"/>
            <charset val="134"/>
          </rPr>
          <t>1；黑，2：白，3绿；4,蓝；5,紫；6,橙；7,红
1；下品，2：凡品，3：上品，4：佳品，5：极品，6：甄品，7：孤品</t>
        </r>
      </text>
    </comment>
    <comment ref="G1" authorId="2" shapeId="0" xr:uid="{00000000-0006-0000-0300-000003000000}">
      <text>
        <r>
          <rPr>
            <b/>
            <sz val="9"/>
            <rFont val="宋体"/>
            <family val="3"/>
            <charset val="134"/>
          </rPr>
          <t>86159:</t>
        </r>
        <r>
          <rPr>
            <sz val="9"/>
            <rFont val="宋体"/>
            <family val="3"/>
            <charset val="134"/>
          </rPr>
          <t xml:space="preserve">
1.食物 2.首饰 3.武器4.服装 5.酒水 6.药材
太多了后面的排序看 WorldEvolution/like表</t>
        </r>
      </text>
    </comment>
    <comment ref="N1" authorId="0" shapeId="0" xr:uid="{00000000-0006-0000-0300-000004000000}">
      <text>
        <r>
          <rPr>
            <b/>
            <sz val="9"/>
            <rFont val="宋体"/>
            <family val="3"/>
            <charset val="134"/>
          </rPr>
          <t>wangj:</t>
        </r>
        <r>
          <rPr>
            <sz val="9"/>
            <rFont val="宋体"/>
            <family val="3"/>
            <charset val="134"/>
          </rPr>
          <t xml:space="preserve">
拍卖行功能对应的推荐寄拍价格字段（常规商店出售价格*15）</t>
        </r>
      </text>
    </comment>
    <comment ref="O1" authorId="0" shapeId="0" xr:uid="{00000000-0006-0000-0300-000005000000}">
      <text>
        <r>
          <rPr>
            <sz val="9"/>
            <rFont val="宋体"/>
            <family val="3"/>
            <charset val="134"/>
          </rPr>
          <t xml:space="preserve">wangj:
拍卖行功能对应的最高寄拍价格字段（常规商店出售价格*20）
</t>
        </r>
      </text>
    </comment>
    <comment ref="X1" authorId="0" shapeId="0" xr:uid="{00000000-0006-0000-0300-000006000000}">
      <text>
        <r>
          <rPr>
            <sz val="9"/>
            <rFont val="宋体"/>
            <family val="3"/>
            <charset val="134"/>
          </rPr>
          <t xml:space="preserve">弃用字段
</t>
        </r>
      </text>
    </comment>
    <comment ref="AB1" authorId="3" shapeId="0" xr:uid="{00000000-0006-0000-0300-000007000000}">
      <text>
        <r>
          <rPr>
            <b/>
            <sz val="9"/>
            <rFont val="宋体"/>
            <family val="3"/>
            <charset val="134"/>
          </rPr>
          <t>samo:</t>
        </r>
        <r>
          <rPr>
            <sz val="9"/>
            <rFont val="宋体"/>
            <family val="3"/>
            <charset val="134"/>
          </rPr>
          <t xml:space="preserve">
是否可赠送</t>
        </r>
      </text>
    </comment>
    <comment ref="AC1" authorId="3" shapeId="0" xr:uid="{00000000-0006-0000-0300-000008000000}">
      <text>
        <r>
          <rPr>
            <b/>
            <sz val="9"/>
            <rFont val="宋体"/>
            <family val="3"/>
            <charset val="134"/>
          </rPr>
          <t>samo:</t>
        </r>
        <r>
          <rPr>
            <sz val="9"/>
            <rFont val="宋体"/>
            <family val="3"/>
            <charset val="134"/>
          </rPr>
          <t xml:space="preserve">
允许批量出售</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作者</author>
    <author>wangj</author>
    <author>samo</author>
  </authors>
  <commentList>
    <comment ref="E1" authorId="0" shapeId="0" xr:uid="{00000000-0006-0000-0400-000001000000}">
      <text>
        <r>
          <rPr>
            <b/>
            <sz val="9"/>
            <rFont val="宋体"/>
            <family val="3"/>
            <charset val="134"/>
          </rPr>
          <t>1；黑，2：白，3绿；4,蓝；5,紫；6,橙；7,红
1；下品，2：凡品，3：上品，4：佳品，5：极品，6：甄品，7：孤品</t>
        </r>
      </text>
    </comment>
    <comment ref="M1" authorId="1" shapeId="0" xr:uid="{00000000-0006-0000-0400-000002000000}">
      <text>
        <r>
          <rPr>
            <b/>
            <sz val="9"/>
            <rFont val="宋体"/>
            <family val="3"/>
            <charset val="134"/>
          </rPr>
          <t>wangj:</t>
        </r>
        <r>
          <rPr>
            <sz val="9"/>
            <rFont val="宋体"/>
            <family val="3"/>
            <charset val="134"/>
          </rPr>
          <t xml:space="preserve">
拍卖行功能对应的推荐寄拍价格字段（常规商店出售价格*15）
高价值物品*2（出售单价超过300文）</t>
        </r>
      </text>
    </comment>
    <comment ref="N1" authorId="1" shapeId="0" xr:uid="{00000000-0006-0000-0400-000003000000}">
      <text>
        <r>
          <rPr>
            <sz val="9"/>
            <rFont val="宋体"/>
            <family val="3"/>
            <charset val="134"/>
          </rPr>
          <t xml:space="preserve">wangj:
拍卖行功能对应的最高寄拍价格字段（常规商店出售价格*20）
高价值物品*3（出售单价超过300文）
</t>
        </r>
      </text>
    </comment>
    <comment ref="P1" authorId="1" shapeId="0" xr:uid="{00000000-0006-0000-0400-000004000000}">
      <text>
        <r>
          <rPr>
            <sz val="9"/>
            <rFont val="宋体"/>
            <family val="3"/>
            <charset val="134"/>
          </rPr>
          <t>功能未开发，目前视为已弃用。</t>
        </r>
      </text>
    </comment>
    <comment ref="R1" authorId="1" shapeId="0" xr:uid="{00000000-0006-0000-0400-000005000000}">
      <text>
        <r>
          <rPr>
            <sz val="9"/>
            <rFont val="宋体"/>
            <family val="3"/>
            <charset val="134"/>
          </rPr>
          <t>功能未开发，目前视为已弃用。</t>
        </r>
      </text>
    </comment>
    <comment ref="Z1" authorId="2" shapeId="0" xr:uid="{00000000-0006-0000-0400-000006000000}">
      <text>
        <r>
          <rPr>
            <b/>
            <sz val="9"/>
            <rFont val="宋体"/>
            <family val="3"/>
            <charset val="134"/>
          </rPr>
          <t>samo:</t>
        </r>
        <r>
          <rPr>
            <sz val="9"/>
            <rFont val="宋体"/>
            <family val="3"/>
            <charset val="134"/>
          </rPr>
          <t xml:space="preserve">
是否可赠送</t>
        </r>
      </text>
    </comment>
    <comment ref="AA1" authorId="2" shapeId="0" xr:uid="{00000000-0006-0000-0400-000007000000}">
      <text>
        <r>
          <rPr>
            <b/>
            <sz val="9"/>
            <rFont val="宋体"/>
            <family val="3"/>
            <charset val="134"/>
          </rPr>
          <t>samo:</t>
        </r>
        <r>
          <rPr>
            <sz val="9"/>
            <rFont val="宋体"/>
            <family val="3"/>
            <charset val="134"/>
          </rPr>
          <t xml:space="preserve">
允许批量出售</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作者</author>
    <author>wangj</author>
    <author>samo</author>
  </authors>
  <commentList>
    <comment ref="E1" authorId="0" shapeId="0" xr:uid="{00000000-0006-0000-0500-000001000000}">
      <text>
        <r>
          <rPr>
            <b/>
            <sz val="9"/>
            <rFont val="宋体"/>
            <family val="3"/>
            <charset val="134"/>
          </rPr>
          <t>1；黑，2：白，3绿；4,蓝；5,紫；6,橙；7,红
1；下品，2：凡品，3：上品，4：佳品，5：极品，6：甄品，7：孤品</t>
        </r>
      </text>
    </comment>
    <comment ref="M1" authorId="1" shapeId="0" xr:uid="{00000000-0006-0000-0500-000002000000}">
      <text>
        <r>
          <rPr>
            <b/>
            <sz val="9"/>
            <rFont val="宋体"/>
            <family val="3"/>
            <charset val="134"/>
          </rPr>
          <t>wangj:</t>
        </r>
        <r>
          <rPr>
            <sz val="9"/>
            <rFont val="宋体"/>
            <family val="3"/>
            <charset val="134"/>
          </rPr>
          <t xml:space="preserve">
拍卖行功能对应的推荐寄拍价格字段（常规商店出售价格*15）
高价值物品*2（出售单价超过300文）</t>
        </r>
      </text>
    </comment>
    <comment ref="N1" authorId="1" shapeId="0" xr:uid="{00000000-0006-0000-0500-000003000000}">
      <text>
        <r>
          <rPr>
            <sz val="9"/>
            <rFont val="宋体"/>
            <family val="3"/>
            <charset val="134"/>
          </rPr>
          <t xml:space="preserve">wangj:
拍卖行功能对应的最高寄拍价格字段（常规商店出售价格*20）
高价值物品*3（出售单价超过300文）
</t>
        </r>
      </text>
    </comment>
    <comment ref="P1" authorId="1" shapeId="0" xr:uid="{00000000-0006-0000-0500-000004000000}">
      <text>
        <r>
          <rPr>
            <sz val="9"/>
            <rFont val="宋体"/>
            <family val="3"/>
            <charset val="134"/>
          </rPr>
          <t>功能未开发，目前视为已弃用。</t>
        </r>
      </text>
    </comment>
    <comment ref="R1" authorId="1" shapeId="0" xr:uid="{00000000-0006-0000-0500-000005000000}">
      <text>
        <r>
          <rPr>
            <sz val="9"/>
            <rFont val="宋体"/>
            <family val="3"/>
            <charset val="134"/>
          </rPr>
          <t>功能未开发，目前视为已弃用。</t>
        </r>
      </text>
    </comment>
    <comment ref="Z1" authorId="2" shapeId="0" xr:uid="{00000000-0006-0000-0500-000006000000}">
      <text>
        <r>
          <rPr>
            <b/>
            <sz val="9"/>
            <rFont val="宋体"/>
            <family val="3"/>
            <charset val="134"/>
          </rPr>
          <t>samo:</t>
        </r>
        <r>
          <rPr>
            <sz val="9"/>
            <rFont val="宋体"/>
            <family val="3"/>
            <charset val="134"/>
          </rPr>
          <t xml:space="preserve">
是否可赠送</t>
        </r>
      </text>
    </comment>
    <comment ref="AA1" authorId="2" shapeId="0" xr:uid="{00000000-0006-0000-0500-000007000000}">
      <text>
        <r>
          <rPr>
            <b/>
            <sz val="9"/>
            <rFont val="宋体"/>
            <family val="3"/>
            <charset val="134"/>
          </rPr>
          <t>samo:</t>
        </r>
        <r>
          <rPr>
            <sz val="9"/>
            <rFont val="宋体"/>
            <family val="3"/>
            <charset val="134"/>
          </rPr>
          <t xml:space="preserve">
允许批量出售</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作者</author>
    <author>86159</author>
    <author>Admin</author>
    <author>wangj</author>
    <author>samo</author>
  </authors>
  <commentList>
    <comment ref="E1" authorId="0" shapeId="0" xr:uid="{00000000-0006-0000-0600-000001000000}">
      <text>
        <r>
          <rPr>
            <b/>
            <sz val="9"/>
            <rFont val="宋体"/>
            <family val="3"/>
            <charset val="134"/>
          </rPr>
          <t>1；黑，2：白，3绿；4,蓝；5,紫；6,橙；7,红
1；下品，2：凡品，3：上品，4：佳品，5：极品，6：甄品，7：孤品</t>
        </r>
      </text>
    </comment>
    <comment ref="G1" authorId="1" shapeId="0" xr:uid="{00000000-0006-0000-0600-000002000000}">
      <text>
        <r>
          <rPr>
            <sz val="9"/>
            <rFont val="宋体"/>
            <family val="3"/>
            <charset val="134"/>
          </rPr>
          <t xml:space="preserve">1.食物 2.首饰 3.武器4.服装 5.酒水 6.药材
太多了后面的排序看 WorldEvolution/like表
</t>
        </r>
      </text>
    </comment>
    <comment ref="H1" authorId="2" shapeId="0" xr:uid="{00000000-0006-0000-0600-000003000000}">
      <text>
        <r>
          <rPr>
            <b/>
            <sz val="9"/>
            <rFont val="宋体"/>
            <family val="3"/>
            <charset val="134"/>
          </rPr>
          <t>Admin:</t>
        </r>
        <r>
          <rPr>
            <sz val="9"/>
            <rFont val="宋体"/>
            <family val="3"/>
            <charset val="134"/>
          </rPr>
          <t xml:space="preserve">
读取cook表</t>
        </r>
      </text>
    </comment>
    <comment ref="L1" authorId="3" shapeId="0" xr:uid="{00000000-0006-0000-0600-000004000000}">
      <text>
        <r>
          <rPr>
            <b/>
            <sz val="9"/>
            <rFont val="宋体"/>
            <family val="3"/>
            <charset val="134"/>
          </rPr>
          <t>wangj:</t>
        </r>
        <r>
          <rPr>
            <sz val="9"/>
            <rFont val="宋体"/>
            <family val="3"/>
            <charset val="134"/>
          </rPr>
          <t xml:space="preserve">
拍卖行功能对应的推荐寄拍价格字段（常规商店出售价格*15）</t>
        </r>
      </text>
    </comment>
    <comment ref="M1" authorId="3" shapeId="0" xr:uid="{00000000-0006-0000-0600-000005000000}">
      <text>
        <r>
          <rPr>
            <sz val="9"/>
            <rFont val="宋体"/>
            <family val="3"/>
            <charset val="134"/>
          </rPr>
          <t xml:space="preserve">wangj:
拍卖行功能对应的最高寄拍价格字段（常规商店出售价格*20）
</t>
        </r>
      </text>
    </comment>
    <comment ref="X1" authorId="4" shapeId="0" xr:uid="{00000000-0006-0000-0600-000006000000}">
      <text>
        <r>
          <rPr>
            <b/>
            <sz val="9"/>
            <rFont val="宋体"/>
            <family val="3"/>
            <charset val="134"/>
          </rPr>
          <t>samo:</t>
        </r>
        <r>
          <rPr>
            <sz val="9"/>
            <rFont val="宋体"/>
            <family val="3"/>
            <charset val="134"/>
          </rPr>
          <t xml:space="preserve">
是否可赠送</t>
        </r>
      </text>
    </comment>
    <comment ref="Y1" authorId="4" shapeId="0" xr:uid="{00000000-0006-0000-0600-000007000000}">
      <text>
        <r>
          <rPr>
            <b/>
            <sz val="9"/>
            <rFont val="宋体"/>
            <family val="3"/>
            <charset val="134"/>
          </rPr>
          <t>samo:</t>
        </r>
        <r>
          <rPr>
            <sz val="9"/>
            <rFont val="宋体"/>
            <family val="3"/>
            <charset val="134"/>
          </rPr>
          <t xml:space="preserve">
允许批量出售</t>
        </r>
      </text>
    </comment>
    <comment ref="Z1" authorId="3" shapeId="0" xr:uid="{00000000-0006-0000-0600-000008000000}">
      <text>
        <r>
          <rPr>
            <b/>
            <sz val="9"/>
            <rFont val="宋体"/>
            <family val="3"/>
            <charset val="134"/>
          </rPr>
          <t>wangj:</t>
        </r>
        <r>
          <rPr>
            <sz val="9"/>
            <rFont val="宋体"/>
            <family val="3"/>
            <charset val="134"/>
          </rPr>
          <t xml:space="preserve">
用于“生活系统”界面中，各艺能类的子项分类：
——————锻造————————
1	掌套
2	单手轻刃
3	重刃
4	长兵
5	扇子
6	暗器
7	靴头
8	双手轻刃
9	绳镖
10	弓箭
11	软鞭
12	火器
13	短兵
14               防具（其他）
——————炼丹————————
1	血量
2	真气
3	毒药
4	其他
——————烹饪—————————
0	默认</t>
        </r>
      </text>
    </comment>
    <comment ref="AA1" authorId="3" shapeId="0" xr:uid="{00000000-0006-0000-0600-000009000000}">
      <text>
        <r>
          <rPr>
            <b/>
            <sz val="9"/>
            <rFont val="宋体"/>
            <family val="3"/>
            <charset val="134"/>
          </rPr>
          <t>wangj:</t>
        </r>
        <r>
          <rPr>
            <sz val="9"/>
            <rFont val="宋体"/>
            <family val="3"/>
            <charset val="134"/>
          </rPr>
          <t xml:space="preserve">
生活系统中艺能等级限制：
依据对应物品的使用等级限制，来作艺能制作等级限制配置：
物品使用等级≥1-2时，艺能制作等级限制为1
物品使用等级≥3-4时，艺能制作等级限制为2
物品使用等级≥5-6时，艺能制作等级限制为3
物品使用等级≥7-8时，艺能制作等级限制为4
物品使用等级≥9-10时，艺能制作等级限制为5</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作者</author>
    <author>86159</author>
    <author>Admin</author>
    <author>wangj</author>
    <author>samo</author>
  </authors>
  <commentList>
    <comment ref="E1" authorId="0" shapeId="0" xr:uid="{00000000-0006-0000-0700-000001000000}">
      <text>
        <r>
          <rPr>
            <b/>
            <sz val="9"/>
            <rFont val="宋体"/>
            <family val="3"/>
            <charset val="134"/>
          </rPr>
          <t>1；黑，2：白，3绿；4,蓝；5,紫；6,橙；7,红
1；下品，2：凡品，3：上品，4：佳品，5：极品，6：甄品，7：孤品</t>
        </r>
      </text>
    </comment>
    <comment ref="G1" authorId="1" shapeId="0" xr:uid="{00000000-0006-0000-0700-000002000000}">
      <text>
        <r>
          <rPr>
            <sz val="9"/>
            <rFont val="宋体"/>
            <family val="3"/>
            <charset val="134"/>
          </rPr>
          <t xml:space="preserve">1.食物 2.首饰 3.武器4.服装 5.酒水 6.药材
太多了后面的排序看 WorldEvolution/like表
</t>
        </r>
      </text>
    </comment>
    <comment ref="H1" authorId="2" shapeId="0" xr:uid="{00000000-0006-0000-0700-000003000000}">
      <text>
        <r>
          <rPr>
            <b/>
            <sz val="9"/>
            <rFont val="宋体"/>
            <family val="3"/>
            <charset val="134"/>
          </rPr>
          <t>Admin:</t>
        </r>
        <r>
          <rPr>
            <sz val="9"/>
            <rFont val="宋体"/>
            <family val="3"/>
            <charset val="134"/>
          </rPr>
          <t xml:space="preserve">
读取cook表</t>
        </r>
      </text>
    </comment>
    <comment ref="L1" authorId="3" shapeId="0" xr:uid="{00000000-0006-0000-0700-000004000000}">
      <text>
        <r>
          <rPr>
            <b/>
            <sz val="9"/>
            <rFont val="宋体"/>
            <family val="3"/>
            <charset val="134"/>
          </rPr>
          <t>wangj:</t>
        </r>
        <r>
          <rPr>
            <sz val="9"/>
            <rFont val="宋体"/>
            <family val="3"/>
            <charset val="134"/>
          </rPr>
          <t xml:space="preserve">
拍卖行功能对应的推荐寄拍价格字段（常规商店出售价格*15）</t>
        </r>
      </text>
    </comment>
    <comment ref="M1" authorId="3" shapeId="0" xr:uid="{00000000-0006-0000-0700-000005000000}">
      <text>
        <r>
          <rPr>
            <sz val="9"/>
            <rFont val="宋体"/>
            <family val="3"/>
            <charset val="134"/>
          </rPr>
          <t xml:space="preserve">wangj:
拍卖行功能对应的最高寄拍价格字段（常规商店出售价格*20）
</t>
        </r>
      </text>
    </comment>
    <comment ref="X1" authorId="4" shapeId="0" xr:uid="{00000000-0006-0000-0700-000006000000}">
      <text>
        <r>
          <rPr>
            <b/>
            <sz val="9"/>
            <rFont val="宋体"/>
            <family val="3"/>
            <charset val="134"/>
          </rPr>
          <t>samo:</t>
        </r>
        <r>
          <rPr>
            <sz val="9"/>
            <rFont val="宋体"/>
            <family val="3"/>
            <charset val="134"/>
          </rPr>
          <t xml:space="preserve">
是否可赠送</t>
        </r>
      </text>
    </comment>
    <comment ref="Y1" authorId="4" shapeId="0" xr:uid="{00000000-0006-0000-0700-000007000000}">
      <text>
        <r>
          <rPr>
            <b/>
            <sz val="9"/>
            <rFont val="宋体"/>
            <family val="3"/>
            <charset val="134"/>
          </rPr>
          <t>samo:</t>
        </r>
        <r>
          <rPr>
            <sz val="9"/>
            <rFont val="宋体"/>
            <family val="3"/>
            <charset val="134"/>
          </rPr>
          <t xml:space="preserve">
允许批量出售</t>
        </r>
      </text>
    </comment>
    <comment ref="Z1" authorId="3" shapeId="0" xr:uid="{00000000-0006-0000-0700-000008000000}">
      <text>
        <r>
          <rPr>
            <b/>
            <sz val="9"/>
            <rFont val="宋体"/>
            <family val="3"/>
            <charset val="134"/>
          </rPr>
          <t>wangj:</t>
        </r>
        <r>
          <rPr>
            <sz val="9"/>
            <rFont val="宋体"/>
            <family val="3"/>
            <charset val="134"/>
          </rPr>
          <t xml:space="preserve">
用于“生活系统”界面中，各艺能类的子项分类：
——————锻造————————
1	掌套
2	单手轻刃
3	重刃
4	长兵
5	扇子
6	暗器
7	靴头
8	双手轻刃
9	绳镖
10	弓箭
11	软鞭
12	火器
13	短兵
14               防具（其他）
——————炼丹————————
1	血量
2	真气
3	毒药
4	其他
——————烹饪—————————
0	默认</t>
        </r>
      </text>
    </comment>
    <comment ref="AA1" authorId="3" shapeId="0" xr:uid="{00000000-0006-0000-0700-000009000000}">
      <text>
        <r>
          <rPr>
            <b/>
            <sz val="9"/>
            <rFont val="宋体"/>
            <family val="3"/>
            <charset val="134"/>
          </rPr>
          <t>wangj:</t>
        </r>
        <r>
          <rPr>
            <sz val="9"/>
            <rFont val="宋体"/>
            <family val="3"/>
            <charset val="134"/>
          </rPr>
          <t xml:space="preserve">
生活系统中艺能等级限制：
依据对应物品的使用等级限制，来作艺能制作等级限制配置：
物品使用等级≥1-2时，艺能制作等级限制为1
物品使用等级≥3-4时，艺能制作等级限制为2
物品使用等级≥5-6时，艺能制作等级限制为3
物品使用等级≥7-8时，艺能制作等级限制为4
物品使用等级≥9-10时，艺能制作等级限制为5</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作者</author>
    <author>86159</author>
    <author>米</author>
    <author>wangj</author>
    <author>samo</author>
  </authors>
  <commentList>
    <comment ref="G1" authorId="0" shapeId="0" xr:uid="{00000000-0006-0000-0800-000001000000}">
      <text>
        <r>
          <rPr>
            <b/>
            <sz val="9"/>
            <rFont val="宋体"/>
            <family val="3"/>
            <charset val="134"/>
            <scheme val="minor"/>
          </rPr>
          <t>1；黑，2：白，3绿；4,蓝；5,紫；6,橙；7,红
1；下品，2：凡品，3：上品，4：佳品，5：极品，6：甄品，7：孤品</t>
        </r>
      </text>
    </comment>
    <comment ref="I1" authorId="1" shapeId="0" xr:uid="{00000000-0006-0000-0800-000002000000}">
      <text>
        <r>
          <rPr>
            <sz val="9"/>
            <rFont val="宋体"/>
            <family val="3"/>
            <charset val="134"/>
            <scheme val="minor"/>
          </rPr>
          <t xml:space="preserve">86159:
1.食物 2.首饰 3.武器4.服装 5.酒水 6.药材
太多了后面的排序看 WorldEvolution/like表
</t>
        </r>
      </text>
    </comment>
    <comment ref="J1" authorId="1" shapeId="0" xr:uid="{00000000-0006-0000-0800-000003000000}">
      <text>
        <r>
          <rPr>
            <b/>
            <sz val="9"/>
            <rFont val="宋体"/>
            <family val="3"/>
            <charset val="134"/>
            <scheme val="minor"/>
          </rPr>
          <t>86159:</t>
        </r>
        <r>
          <rPr>
            <sz val="9"/>
            <rFont val="宋体"/>
            <family val="3"/>
            <charset val="134"/>
            <scheme val="minor"/>
          </rPr>
          <t xml:space="preserve">
86159:
1: 武功  2：心决
3：密卷  4：通用技能
5：散学（架招，闪躲，纵跃）  
6：轻击  7：重击
8：注解
读取skillbattle表
</t>
        </r>
      </text>
    </comment>
    <comment ref="K1" authorId="2" shapeId="0" xr:uid="{00000000-0006-0000-0800-000004000000}">
      <text>
        <r>
          <rPr>
            <b/>
            <sz val="9"/>
            <rFont val="宋体"/>
            <family val="3"/>
            <charset val="134"/>
            <scheme val="minor"/>
          </rPr>
          <t>米:</t>
        </r>
        <r>
          <rPr>
            <sz val="9"/>
            <rFont val="宋体"/>
            <family val="3"/>
            <charset val="134"/>
            <scheme val="minor"/>
          </rPr>
          <t xml:space="preserve">
总章配学习的3个主动技能
读取skillbattle表</t>
        </r>
      </text>
    </comment>
    <comment ref="P1" authorId="3" shapeId="0" xr:uid="{00000000-0006-0000-0800-000005000000}">
      <text>
        <r>
          <rPr>
            <b/>
            <sz val="9"/>
            <rFont val="宋体"/>
            <family val="3"/>
            <charset val="134"/>
          </rPr>
          <t>wangj:</t>
        </r>
        <r>
          <rPr>
            <sz val="9"/>
            <rFont val="宋体"/>
            <family val="3"/>
            <charset val="134"/>
          </rPr>
          <t xml:space="preserve">
拍卖行功能对应的推荐寄拍价格字段（常规商店出售价格*15）</t>
        </r>
      </text>
    </comment>
    <comment ref="Q1" authorId="3" shapeId="0" xr:uid="{00000000-0006-0000-0800-000006000000}">
      <text>
        <r>
          <rPr>
            <sz val="9"/>
            <rFont val="宋体"/>
            <family val="3"/>
            <charset val="134"/>
          </rPr>
          <t xml:space="preserve">wangj:
拍卖行功能对应的最高寄拍价格字段（常规商店出售价格*20）
</t>
        </r>
      </text>
    </comment>
    <comment ref="V1" authorId="1" shapeId="0" xr:uid="{00000000-0006-0000-0800-000007000000}">
      <text>
        <r>
          <rPr>
            <b/>
            <sz val="9"/>
            <rFont val="宋体"/>
            <family val="3"/>
            <charset val="134"/>
            <scheme val="minor"/>
          </rPr>
          <t>86159:</t>
        </r>
        <r>
          <rPr>
            <sz val="9"/>
            <rFont val="宋体"/>
            <family val="3"/>
            <charset val="134"/>
            <scheme val="minor"/>
          </rPr>
          <t xml:space="preserve">
1.武学可以随机的招式数量</t>
        </r>
      </text>
    </comment>
    <comment ref="AC1" authorId="4" shapeId="0" xr:uid="{00000000-0006-0000-0800-000008000000}">
      <text>
        <r>
          <rPr>
            <b/>
            <sz val="9"/>
            <rFont val="宋体"/>
            <family val="3"/>
            <charset val="134"/>
            <scheme val="minor"/>
          </rPr>
          <t>samo:</t>
        </r>
        <r>
          <rPr>
            <sz val="9"/>
            <rFont val="宋体"/>
            <family val="3"/>
            <charset val="134"/>
            <scheme val="minor"/>
          </rPr>
          <t xml:space="preserve">
是否可赠送</t>
        </r>
      </text>
    </comment>
    <comment ref="AD1" authorId="4" shapeId="0" xr:uid="{00000000-0006-0000-0800-000009000000}">
      <text>
        <r>
          <rPr>
            <b/>
            <sz val="9"/>
            <rFont val="宋体"/>
            <family val="3"/>
            <charset val="134"/>
            <scheme val="minor"/>
          </rPr>
          <t>samo:</t>
        </r>
        <r>
          <rPr>
            <sz val="9"/>
            <rFont val="宋体"/>
            <family val="3"/>
            <charset val="134"/>
            <scheme val="minor"/>
          </rPr>
          <t xml:space="preserve">
允许批量出售</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作者</author>
    <author>86159</author>
    <author>米</author>
    <author>wangj</author>
    <author>samo</author>
  </authors>
  <commentList>
    <comment ref="G1" authorId="0" shapeId="0" xr:uid="{00000000-0006-0000-0900-000001000000}">
      <text>
        <r>
          <rPr>
            <b/>
            <sz val="9"/>
            <rFont val="宋体"/>
            <family val="3"/>
            <charset val="134"/>
            <scheme val="minor"/>
          </rPr>
          <t>1；黑，2：白，3绿；4,蓝；5,紫；6,橙；7,红
1；下品，2：凡品，3：上品，4：佳品，5：极品，6：甄品，7：孤品</t>
        </r>
      </text>
    </comment>
    <comment ref="I1" authorId="1" shapeId="0" xr:uid="{00000000-0006-0000-0900-000002000000}">
      <text>
        <r>
          <rPr>
            <sz val="9"/>
            <rFont val="宋体"/>
            <family val="3"/>
            <charset val="134"/>
            <scheme val="minor"/>
          </rPr>
          <t xml:space="preserve">86159:
1.食物 2.首饰 3.武器4.服装 5.酒水 6.药材
太多了后面的排序看 WorldEvolution/like表
</t>
        </r>
      </text>
    </comment>
    <comment ref="J1" authorId="1" shapeId="0" xr:uid="{00000000-0006-0000-0900-000003000000}">
      <text>
        <r>
          <rPr>
            <b/>
            <sz val="9"/>
            <rFont val="宋体"/>
            <family val="3"/>
            <charset val="134"/>
            <scheme val="minor"/>
          </rPr>
          <t>86159:</t>
        </r>
        <r>
          <rPr>
            <sz val="9"/>
            <rFont val="宋体"/>
            <family val="3"/>
            <charset val="134"/>
            <scheme val="minor"/>
          </rPr>
          <t xml:space="preserve">
86159:
1: 武功  2：心决
3：密卷  4：通用技能
5：散学（架招，闪躲，纵跃）  
6：轻击  7：重击
8：注解
读取skillbattle表
</t>
        </r>
      </text>
    </comment>
    <comment ref="K1" authorId="2" shapeId="0" xr:uid="{00000000-0006-0000-0900-000004000000}">
      <text>
        <r>
          <rPr>
            <b/>
            <sz val="9"/>
            <rFont val="宋体"/>
            <family val="3"/>
            <charset val="134"/>
            <scheme val="minor"/>
          </rPr>
          <t>米:</t>
        </r>
        <r>
          <rPr>
            <sz val="9"/>
            <rFont val="宋体"/>
            <family val="3"/>
            <charset val="134"/>
            <scheme val="minor"/>
          </rPr>
          <t xml:space="preserve">
总章配学习的3个主动技能
读取skillbattle表</t>
        </r>
      </text>
    </comment>
    <comment ref="P1" authorId="3" shapeId="0" xr:uid="{00000000-0006-0000-0900-000005000000}">
      <text>
        <r>
          <rPr>
            <b/>
            <sz val="9"/>
            <rFont val="宋体"/>
            <family val="3"/>
            <charset val="134"/>
          </rPr>
          <t>wangj:</t>
        </r>
        <r>
          <rPr>
            <sz val="9"/>
            <rFont val="宋体"/>
            <family val="3"/>
            <charset val="134"/>
          </rPr>
          <t xml:space="preserve">
拍卖行功能对应的推荐寄拍价格字段（常规商店出售价格*15）</t>
        </r>
      </text>
    </comment>
    <comment ref="Q1" authorId="3" shapeId="0" xr:uid="{00000000-0006-0000-0900-000006000000}">
      <text>
        <r>
          <rPr>
            <sz val="9"/>
            <rFont val="宋体"/>
            <family val="3"/>
            <charset val="134"/>
          </rPr>
          <t xml:space="preserve">wangj:
拍卖行功能对应的最高寄拍价格字段（常规商店出售价格*20）
</t>
        </r>
      </text>
    </comment>
    <comment ref="V1" authorId="1" shapeId="0" xr:uid="{00000000-0006-0000-0900-000007000000}">
      <text>
        <r>
          <rPr>
            <b/>
            <sz val="9"/>
            <rFont val="宋体"/>
            <family val="3"/>
            <charset val="134"/>
            <scheme val="minor"/>
          </rPr>
          <t>86159:</t>
        </r>
        <r>
          <rPr>
            <sz val="9"/>
            <rFont val="宋体"/>
            <family val="3"/>
            <charset val="134"/>
            <scheme val="minor"/>
          </rPr>
          <t xml:space="preserve">
1.武学可以随机的招式数量</t>
        </r>
      </text>
    </comment>
    <comment ref="AC1" authorId="4" shapeId="0" xr:uid="{00000000-0006-0000-0900-000008000000}">
      <text>
        <r>
          <rPr>
            <b/>
            <sz val="9"/>
            <rFont val="宋体"/>
            <family val="3"/>
            <charset val="134"/>
            <scheme val="minor"/>
          </rPr>
          <t>samo:</t>
        </r>
        <r>
          <rPr>
            <sz val="9"/>
            <rFont val="宋体"/>
            <family val="3"/>
            <charset val="134"/>
            <scheme val="minor"/>
          </rPr>
          <t xml:space="preserve">
是否可赠送</t>
        </r>
      </text>
    </comment>
    <comment ref="AD1" authorId="4" shapeId="0" xr:uid="{00000000-0006-0000-0900-000009000000}">
      <text>
        <r>
          <rPr>
            <b/>
            <sz val="9"/>
            <rFont val="宋体"/>
            <family val="3"/>
            <charset val="134"/>
            <scheme val="minor"/>
          </rPr>
          <t>samo:</t>
        </r>
        <r>
          <rPr>
            <sz val="9"/>
            <rFont val="宋体"/>
            <family val="3"/>
            <charset val="134"/>
            <scheme val="minor"/>
          </rPr>
          <t xml:space="preserve">
允许批量出售</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作者</author>
    <author>86159</author>
    <author>wangj</author>
    <author>samo</author>
  </authors>
  <commentList>
    <comment ref="E1" authorId="0" shapeId="0" xr:uid="{00000000-0006-0000-0B00-000001000000}">
      <text>
        <r>
          <rPr>
            <b/>
            <sz val="9"/>
            <rFont val="宋体"/>
            <family val="3"/>
            <charset val="134"/>
          </rPr>
          <t>1；黑，2：白，3绿；4,蓝；5,紫；6,橙；7,红
1；下品，2：凡品，3：上品，4：佳品，5：极品，6：甄品，7：孤品</t>
        </r>
      </text>
    </comment>
    <comment ref="G1" authorId="1" shapeId="0" xr:uid="{00000000-0006-0000-0B00-000002000000}">
      <text>
        <r>
          <rPr>
            <sz val="9"/>
            <rFont val="宋体"/>
            <family val="3"/>
            <charset val="134"/>
          </rPr>
          <t xml:space="preserve">86159:
1.食物 2.首饰 3.武器4.服装 5.酒水 6.药材
太多了后面的排序看 WorldEvolution/like表
</t>
        </r>
      </text>
    </comment>
    <comment ref="L1" authorId="2" shapeId="0" xr:uid="{00000000-0006-0000-0B00-000003000000}">
      <text>
        <r>
          <rPr>
            <b/>
            <sz val="9"/>
            <rFont val="宋体"/>
            <family val="3"/>
            <charset val="134"/>
          </rPr>
          <t>wangj:</t>
        </r>
        <r>
          <rPr>
            <sz val="9"/>
            <rFont val="宋体"/>
            <family val="3"/>
            <charset val="134"/>
          </rPr>
          <t xml:space="preserve">
拍卖行功能对应的推荐寄拍价格字段（常规商店出售价格*15）
由于材料数量大，且易获取，所以采用单价*2</t>
        </r>
      </text>
    </comment>
    <comment ref="M1" authorId="2" shapeId="0" xr:uid="{00000000-0006-0000-0B00-000004000000}">
      <text>
        <r>
          <rPr>
            <sz val="9"/>
            <rFont val="宋体"/>
            <family val="3"/>
            <charset val="134"/>
          </rPr>
          <t xml:space="preserve">wangj:
拍卖行功能对应的最高寄拍价格字段（常规商店出售价格*20）
由于材料数量大，且易获取，所以采用单价*3
</t>
        </r>
      </text>
    </comment>
    <comment ref="X1" authorId="3" shapeId="0" xr:uid="{00000000-0006-0000-0B00-000005000000}">
      <text>
        <r>
          <rPr>
            <b/>
            <sz val="9"/>
            <rFont val="宋体"/>
            <family val="3"/>
            <charset val="134"/>
          </rPr>
          <t>samo:</t>
        </r>
        <r>
          <rPr>
            <sz val="9"/>
            <rFont val="宋体"/>
            <family val="3"/>
            <charset val="134"/>
          </rPr>
          <t xml:space="preserve">
是否可赠送</t>
        </r>
      </text>
    </comment>
    <comment ref="Y1" authorId="3" shapeId="0" xr:uid="{00000000-0006-0000-0B00-000006000000}">
      <text>
        <r>
          <rPr>
            <b/>
            <sz val="9"/>
            <rFont val="宋体"/>
            <family val="3"/>
            <charset val="134"/>
          </rPr>
          <t>samo:</t>
        </r>
        <r>
          <rPr>
            <sz val="9"/>
            <rFont val="宋体"/>
            <family val="3"/>
            <charset val="134"/>
          </rPr>
          <t xml:space="preserve">
允许批量出售</t>
        </r>
      </text>
    </comment>
    <comment ref="A18" authorId="2" shapeId="0" xr:uid="{00000000-0006-0000-0B00-000007000000}">
      <text>
        <r>
          <rPr>
            <b/>
            <sz val="9"/>
            <rFont val="宋体"/>
            <family val="3"/>
            <charset val="134"/>
          </rPr>
          <t>wangj:</t>
        </r>
        <r>
          <rPr>
            <sz val="9"/>
            <rFont val="宋体"/>
            <family val="3"/>
            <charset val="134"/>
          </rPr>
          <t xml:space="preserve">
和生活技能产出重复，故弃用。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作者</author>
    <author>86159</author>
    <author>wangj</author>
    <author>samo</author>
  </authors>
  <commentList>
    <comment ref="E1" authorId="0" shapeId="0" xr:uid="{00000000-0006-0000-0C00-000001000000}">
      <text>
        <r>
          <rPr>
            <b/>
            <sz val="9"/>
            <rFont val="宋体"/>
            <family val="3"/>
            <charset val="134"/>
          </rPr>
          <t>1；黑，2：白，3绿；4,蓝；5,紫；6,橙；7,红
1；下品，2：凡品，3：上品，4：佳品，5：极品，6：甄品，7：孤品</t>
        </r>
      </text>
    </comment>
    <comment ref="G1" authorId="1" shapeId="0" xr:uid="{00000000-0006-0000-0C00-000002000000}">
      <text>
        <r>
          <rPr>
            <sz val="9"/>
            <rFont val="宋体"/>
            <family val="3"/>
            <charset val="134"/>
          </rPr>
          <t xml:space="preserve">86159:
1.食物 2.首饰 3.武器4.服装 5.酒水 6.药材
太多了后面的排序看 WorldEvolution/like表
</t>
        </r>
      </text>
    </comment>
    <comment ref="L1" authorId="2" shapeId="0" xr:uid="{00000000-0006-0000-0C00-000003000000}">
      <text>
        <r>
          <rPr>
            <b/>
            <sz val="9"/>
            <rFont val="宋体"/>
            <family val="3"/>
            <charset val="134"/>
          </rPr>
          <t>wangj:</t>
        </r>
        <r>
          <rPr>
            <sz val="9"/>
            <rFont val="宋体"/>
            <family val="3"/>
            <charset val="134"/>
          </rPr>
          <t xml:space="preserve">
拍卖行功能对应的推荐寄拍价格字段（常规商店出售价格*15）
由于材料数量大，且易获取，所以采用单价*2</t>
        </r>
      </text>
    </comment>
    <comment ref="M1" authorId="2" shapeId="0" xr:uid="{00000000-0006-0000-0C00-000004000000}">
      <text>
        <r>
          <rPr>
            <sz val="9"/>
            <rFont val="宋体"/>
            <family val="3"/>
            <charset val="134"/>
          </rPr>
          <t xml:space="preserve">wangj:
拍卖行功能对应的最高寄拍价格字段（常规商店出售价格*20）
由于材料数量大，且易获取，所以采用单价*3
</t>
        </r>
      </text>
    </comment>
    <comment ref="X1" authorId="3" shapeId="0" xr:uid="{00000000-0006-0000-0C00-000005000000}">
      <text>
        <r>
          <rPr>
            <b/>
            <sz val="9"/>
            <rFont val="宋体"/>
            <family val="3"/>
            <charset val="134"/>
          </rPr>
          <t>samo:</t>
        </r>
        <r>
          <rPr>
            <sz val="9"/>
            <rFont val="宋体"/>
            <family val="3"/>
            <charset val="134"/>
          </rPr>
          <t xml:space="preserve">
是否可赠送</t>
        </r>
      </text>
    </comment>
    <comment ref="Y1" authorId="3" shapeId="0" xr:uid="{00000000-0006-0000-0C00-000006000000}">
      <text>
        <r>
          <rPr>
            <b/>
            <sz val="9"/>
            <rFont val="宋体"/>
            <family val="3"/>
            <charset val="134"/>
          </rPr>
          <t>samo:</t>
        </r>
        <r>
          <rPr>
            <sz val="9"/>
            <rFont val="宋体"/>
            <family val="3"/>
            <charset val="134"/>
          </rPr>
          <t xml:space="preserve">
允许批量出售</t>
        </r>
      </text>
    </comment>
    <comment ref="A18" authorId="2" shapeId="0" xr:uid="{00000000-0006-0000-0C00-000007000000}">
      <text>
        <r>
          <rPr>
            <b/>
            <sz val="9"/>
            <rFont val="宋体"/>
            <family val="3"/>
            <charset val="134"/>
          </rPr>
          <t>wangj:</t>
        </r>
        <r>
          <rPr>
            <sz val="9"/>
            <rFont val="宋体"/>
            <family val="3"/>
            <charset val="134"/>
          </rPr>
          <t xml:space="preserve">
和生活技能产出重复，故弃用。</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39628</author>
    <author>samo</author>
  </authors>
  <commentList>
    <comment ref="V1" authorId="0" shapeId="0" xr:uid="{00000000-0006-0000-0D00-000001000000}">
      <text>
        <r>
          <rPr>
            <b/>
            <sz val="9"/>
            <rFont val="宋体"/>
            <family val="3"/>
            <charset val="134"/>
          </rPr>
          <t>39628:</t>
        </r>
        <r>
          <rPr>
            <sz val="9"/>
            <rFont val="宋体"/>
            <family val="3"/>
            <charset val="134"/>
          </rPr>
          <t xml:space="preserve">
0:不限制地图
12000:清萍村，Id具体看地图表</t>
        </r>
      </text>
    </comment>
    <comment ref="W1" authorId="1" shapeId="0" xr:uid="{00000000-0006-0000-0D00-000002000000}">
      <text>
        <r>
          <rPr>
            <b/>
            <sz val="9"/>
            <rFont val="宋体"/>
            <family val="3"/>
            <charset val="134"/>
          </rPr>
          <t>samo:</t>
        </r>
        <r>
          <rPr>
            <sz val="9"/>
            <rFont val="宋体"/>
            <family val="3"/>
            <charset val="134"/>
          </rPr>
          <t xml:space="preserve">
是否可赠送</t>
        </r>
      </text>
    </comment>
    <comment ref="X1" authorId="1" shapeId="0" xr:uid="{00000000-0006-0000-0D00-000003000000}">
      <text>
        <r>
          <rPr>
            <b/>
            <sz val="9"/>
            <rFont val="宋体"/>
            <family val="3"/>
            <charset val="134"/>
          </rPr>
          <t>samo:</t>
        </r>
        <r>
          <rPr>
            <sz val="9"/>
            <rFont val="宋体"/>
            <family val="3"/>
            <charset val="134"/>
          </rPr>
          <t xml:space="preserve">
允许批量出售</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39628</author>
    <author>samo</author>
  </authors>
  <commentList>
    <comment ref="V1" authorId="0" shapeId="0" xr:uid="{00000000-0006-0000-0E00-000001000000}">
      <text>
        <r>
          <rPr>
            <b/>
            <sz val="9"/>
            <rFont val="宋体"/>
            <family val="3"/>
            <charset val="134"/>
          </rPr>
          <t>39628:</t>
        </r>
        <r>
          <rPr>
            <sz val="9"/>
            <rFont val="宋体"/>
            <family val="3"/>
            <charset val="134"/>
          </rPr>
          <t xml:space="preserve">
0:不限制地图
12000:清萍村，Id具体看地图表</t>
        </r>
      </text>
    </comment>
    <comment ref="W1" authorId="1" shapeId="0" xr:uid="{00000000-0006-0000-0E00-000002000000}">
      <text>
        <r>
          <rPr>
            <b/>
            <sz val="9"/>
            <rFont val="宋体"/>
            <family val="3"/>
            <charset val="134"/>
          </rPr>
          <t>samo:</t>
        </r>
        <r>
          <rPr>
            <sz val="9"/>
            <rFont val="宋体"/>
            <family val="3"/>
            <charset val="134"/>
          </rPr>
          <t xml:space="preserve">
是否可赠送</t>
        </r>
      </text>
    </comment>
    <comment ref="X1" authorId="1" shapeId="0" xr:uid="{00000000-0006-0000-0E00-000003000000}">
      <text>
        <r>
          <rPr>
            <b/>
            <sz val="9"/>
            <rFont val="宋体"/>
            <family val="3"/>
            <charset val="134"/>
          </rPr>
          <t>samo:</t>
        </r>
        <r>
          <rPr>
            <sz val="9"/>
            <rFont val="宋体"/>
            <family val="3"/>
            <charset val="134"/>
          </rPr>
          <t xml:space="preserve">
允许批量出售</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samo</author>
    <author>wangj</author>
    <author>yutong duan</author>
  </authors>
  <commentList>
    <comment ref="G1" authorId="0" shapeId="0" xr:uid="{00000000-0006-0000-0F00-000001000000}">
      <text>
        <r>
          <rPr>
            <b/>
            <sz val="9"/>
            <rFont val="宋体"/>
            <family val="3"/>
            <charset val="134"/>
          </rPr>
          <t>samo:</t>
        </r>
        <r>
          <rPr>
            <sz val="9"/>
            <rFont val="宋体"/>
            <family val="3"/>
            <charset val="134"/>
          </rPr>
          <t xml:space="preserve">
是否可赠送</t>
        </r>
      </text>
    </comment>
    <comment ref="H1" authorId="0" shapeId="0" xr:uid="{00000000-0006-0000-0F00-000002000000}">
      <text>
        <r>
          <rPr>
            <b/>
            <sz val="9"/>
            <rFont val="宋体"/>
            <family val="3"/>
            <charset val="134"/>
          </rPr>
          <t>samo:</t>
        </r>
        <r>
          <rPr>
            <sz val="9"/>
            <rFont val="宋体"/>
            <family val="3"/>
            <charset val="134"/>
          </rPr>
          <t xml:space="preserve">
允许批量出售</t>
        </r>
      </text>
    </comment>
    <comment ref="L1" authorId="1" shapeId="0" xr:uid="{00000000-0006-0000-0F00-000003000000}">
      <text>
        <r>
          <rPr>
            <b/>
            <sz val="9"/>
            <rFont val="宋体"/>
            <family val="3"/>
            <charset val="134"/>
          </rPr>
          <t>wangj:</t>
        </r>
        <r>
          <rPr>
            <sz val="9"/>
            <rFont val="宋体"/>
            <family val="3"/>
            <charset val="134"/>
          </rPr>
          <t xml:space="preserve">
拍卖行功能对应的推荐寄拍价格字段（常规商店出售价格*15）
由于材料数量大，且易获取，所以采用单价*2</t>
        </r>
      </text>
    </comment>
    <comment ref="M1" authorId="1" shapeId="0" xr:uid="{00000000-0006-0000-0F00-000004000000}">
      <text>
        <r>
          <rPr>
            <sz val="9"/>
            <rFont val="宋体"/>
            <family val="3"/>
            <charset val="134"/>
          </rPr>
          <t xml:space="preserve">wangj:
拍卖行功能对应的最高寄拍价格字段（常规商店出售价格*20）
由于材料数量大，且易获取，所以采用单价*3
</t>
        </r>
      </text>
    </comment>
    <comment ref="W1" authorId="0" shapeId="0" xr:uid="{00000000-0006-0000-0F00-000005000000}">
      <text>
        <r>
          <rPr>
            <b/>
            <sz val="9"/>
            <rFont val="宋体"/>
            <family val="3"/>
            <charset val="134"/>
          </rPr>
          <t>samo:</t>
        </r>
        <r>
          <rPr>
            <sz val="9"/>
            <rFont val="宋体"/>
            <family val="3"/>
            <charset val="134"/>
          </rPr>
          <t xml:space="preserve">
是否可赠送</t>
        </r>
      </text>
    </comment>
    <comment ref="X1" authorId="0" shapeId="0" xr:uid="{00000000-0006-0000-0F00-000006000000}">
      <text>
        <r>
          <rPr>
            <b/>
            <sz val="9"/>
            <rFont val="宋体"/>
            <family val="3"/>
            <charset val="134"/>
          </rPr>
          <t>samo:</t>
        </r>
        <r>
          <rPr>
            <sz val="9"/>
            <rFont val="宋体"/>
            <family val="3"/>
            <charset val="134"/>
          </rPr>
          <t xml:space="preserve">
允许批量出售</t>
        </r>
      </text>
    </comment>
    <comment ref="Y1" authorId="2" shapeId="0" xr:uid="{00000000-0006-0000-0F00-000007000000}">
      <text>
        <r>
          <rPr>
            <b/>
            <sz val="9"/>
            <rFont val="宋体"/>
            <family val="3"/>
            <charset val="134"/>
          </rPr>
          <t>yutong duan:</t>
        </r>
        <r>
          <rPr>
            <sz val="9"/>
            <rFont val="宋体"/>
            <family val="3"/>
            <charset val="134"/>
          </rPr>
          <t xml:space="preserve">
0为存入仓库，1为不可</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samo</author>
    <author>wangj</author>
    <author>yutong duan</author>
  </authors>
  <commentList>
    <comment ref="G1" authorId="0" shapeId="0" xr:uid="{00000000-0006-0000-1000-000001000000}">
      <text>
        <r>
          <rPr>
            <b/>
            <sz val="9"/>
            <rFont val="宋体"/>
            <family val="3"/>
            <charset val="134"/>
          </rPr>
          <t>samo:</t>
        </r>
        <r>
          <rPr>
            <sz val="9"/>
            <rFont val="宋体"/>
            <family val="3"/>
            <charset val="134"/>
          </rPr>
          <t xml:space="preserve">
是否可赠送</t>
        </r>
      </text>
    </comment>
    <comment ref="H1" authorId="0" shapeId="0" xr:uid="{00000000-0006-0000-1000-000002000000}">
      <text>
        <r>
          <rPr>
            <b/>
            <sz val="9"/>
            <rFont val="宋体"/>
            <family val="3"/>
            <charset val="134"/>
          </rPr>
          <t>samo:</t>
        </r>
        <r>
          <rPr>
            <sz val="9"/>
            <rFont val="宋体"/>
            <family val="3"/>
            <charset val="134"/>
          </rPr>
          <t xml:space="preserve">
允许批量出售</t>
        </r>
      </text>
    </comment>
    <comment ref="L1" authorId="1" shapeId="0" xr:uid="{00000000-0006-0000-1000-000003000000}">
      <text>
        <r>
          <rPr>
            <b/>
            <sz val="9"/>
            <rFont val="宋体"/>
            <family val="3"/>
            <charset val="134"/>
          </rPr>
          <t>wangj:</t>
        </r>
        <r>
          <rPr>
            <sz val="9"/>
            <rFont val="宋体"/>
            <family val="3"/>
            <charset val="134"/>
          </rPr>
          <t xml:space="preserve">
拍卖行功能对应的推荐寄拍价格字段（常规商店出售价格*15）
由于材料数量大，且易获取，所以采用单价*2</t>
        </r>
      </text>
    </comment>
    <comment ref="M1" authorId="1" shapeId="0" xr:uid="{00000000-0006-0000-1000-000004000000}">
      <text>
        <r>
          <rPr>
            <sz val="9"/>
            <rFont val="宋体"/>
            <family val="3"/>
            <charset val="134"/>
          </rPr>
          <t xml:space="preserve">wangj:
拍卖行功能对应的最高寄拍价格字段（常规商店出售价格*20）
由于材料数量大，且易获取，所以采用单价*3
</t>
        </r>
      </text>
    </comment>
    <comment ref="W1" authorId="0" shapeId="0" xr:uid="{00000000-0006-0000-1000-000005000000}">
      <text>
        <r>
          <rPr>
            <b/>
            <sz val="9"/>
            <rFont val="宋体"/>
            <family val="3"/>
            <charset val="134"/>
          </rPr>
          <t>samo:</t>
        </r>
        <r>
          <rPr>
            <sz val="9"/>
            <rFont val="宋体"/>
            <family val="3"/>
            <charset val="134"/>
          </rPr>
          <t xml:space="preserve">
是否可赠送</t>
        </r>
      </text>
    </comment>
    <comment ref="X1" authorId="0" shapeId="0" xr:uid="{00000000-0006-0000-1000-000006000000}">
      <text>
        <r>
          <rPr>
            <b/>
            <sz val="9"/>
            <rFont val="宋体"/>
            <family val="3"/>
            <charset val="134"/>
          </rPr>
          <t>samo:</t>
        </r>
        <r>
          <rPr>
            <sz val="9"/>
            <rFont val="宋体"/>
            <family val="3"/>
            <charset val="134"/>
          </rPr>
          <t xml:space="preserve">
允许批量出售</t>
        </r>
      </text>
    </comment>
    <comment ref="Y1" authorId="2" shapeId="0" xr:uid="{00000000-0006-0000-1000-000007000000}">
      <text>
        <r>
          <rPr>
            <b/>
            <sz val="9"/>
            <rFont val="宋体"/>
            <family val="3"/>
            <charset val="134"/>
          </rPr>
          <t>yutong duan:</t>
        </r>
        <r>
          <rPr>
            <sz val="9"/>
            <rFont val="宋体"/>
            <family val="3"/>
            <charset val="134"/>
          </rPr>
          <t xml:space="preserve">
0为存入仓库，1为不可</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作者</author>
    <author>86159</author>
    <author>米</author>
  </authors>
  <commentList>
    <comment ref="F1" authorId="0" shapeId="0" xr:uid="{00000000-0006-0000-1100-000001000000}">
      <text>
        <r>
          <rPr>
            <b/>
            <sz val="9"/>
            <rFont val="宋体"/>
            <family val="3"/>
            <charset val="134"/>
          </rPr>
          <t>sherlock:</t>
        </r>
        <r>
          <rPr>
            <sz val="9"/>
            <rFont val="宋体"/>
            <family val="3"/>
            <charset val="134"/>
          </rPr>
          <t xml:space="preserve">
1,白；2,绿；3,蓝；4,紫；5,橙；6,红；7,金</t>
        </r>
      </text>
    </comment>
    <comment ref="G1" authorId="1" shapeId="0" xr:uid="{00000000-0006-0000-1100-000002000000}">
      <text>
        <r>
          <rPr>
            <sz val="9"/>
            <rFont val="宋体"/>
            <family val="3"/>
            <charset val="134"/>
          </rPr>
          <t xml:space="preserve">86159:
1.食物 2.首饰 3.武器4.服装 5.酒水 6.药材
太多了后面的排序看 WorldEvolution/like表
</t>
        </r>
      </text>
    </comment>
    <comment ref="H1" authorId="1" shapeId="0" xr:uid="{00000000-0006-0000-1100-000003000000}">
      <text>
        <r>
          <rPr>
            <b/>
            <sz val="9"/>
            <rFont val="宋体"/>
            <family val="3"/>
            <charset val="134"/>
          </rPr>
          <t>86159:</t>
        </r>
        <r>
          <rPr>
            <sz val="9"/>
            <rFont val="宋体"/>
            <family val="3"/>
            <charset val="134"/>
          </rPr>
          <t xml:space="preserve">
86159:
1: 武功  2：心决
3：密卷  4：通用技能
5：散学（架招，闪躲，纵跃）  
6：轻击  7：重击
8：注解
读取skillbattle表
</t>
        </r>
      </text>
    </comment>
    <comment ref="I1" authorId="2" shapeId="0" xr:uid="{00000000-0006-0000-1100-000004000000}">
      <text>
        <r>
          <rPr>
            <b/>
            <sz val="9"/>
            <rFont val="宋体"/>
            <family val="3"/>
            <charset val="134"/>
          </rPr>
          <t>米:</t>
        </r>
        <r>
          <rPr>
            <sz val="9"/>
            <rFont val="宋体"/>
            <family val="3"/>
            <charset val="134"/>
          </rPr>
          <t xml:space="preserve">
总章配学习的3个主动技能
读取skillbattle表</t>
        </r>
      </text>
    </comment>
    <comment ref="P1" authorId="1" shapeId="0" xr:uid="{00000000-0006-0000-1100-000005000000}">
      <text>
        <r>
          <rPr>
            <b/>
            <sz val="9"/>
            <rFont val="宋体"/>
            <family val="3"/>
            <charset val="134"/>
          </rPr>
          <t>86159:</t>
        </r>
        <r>
          <rPr>
            <sz val="9"/>
            <rFont val="宋体"/>
            <family val="3"/>
            <charset val="134"/>
          </rPr>
          <t xml:space="preserve">
1.武学可以随机的招式数量</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Admin</author>
    <author>作者</author>
    <author>86159</author>
  </authors>
  <commentList>
    <comment ref="D1" authorId="0" shapeId="0" xr:uid="{00000000-0006-0000-1200-000001000000}">
      <text>
        <r>
          <rPr>
            <b/>
            <sz val="9"/>
            <rFont val="宋体"/>
            <family val="3"/>
            <charset val="134"/>
          </rPr>
          <t>Admin:</t>
        </r>
        <r>
          <rPr>
            <sz val="9"/>
            <rFont val="宋体"/>
            <family val="3"/>
            <charset val="134"/>
          </rPr>
          <t xml:space="preserve">
1010 拳套;
1020 剑;
1021 刀;
1030 重刃;
1040 棍;
1041 枪;
1050 扇;
1060 暗器;
1090 鞋履;
1100 双手轻刃;</t>
        </r>
      </text>
    </comment>
    <comment ref="G1" authorId="1" shapeId="0" xr:uid="{00000000-0006-0000-1200-000002000000}">
      <text>
        <r>
          <rPr>
            <b/>
            <sz val="9"/>
            <rFont val="宋体"/>
            <family val="3"/>
            <charset val="134"/>
          </rPr>
          <t>sherlock:</t>
        </r>
        <r>
          <rPr>
            <sz val="9"/>
            <rFont val="宋体"/>
            <family val="3"/>
            <charset val="134"/>
          </rPr>
          <t xml:space="preserve">
1,白；2,绿；3,蓝；4,紫；5,橙；6,红；7,金</t>
        </r>
      </text>
    </comment>
    <comment ref="H1" authorId="2" shapeId="0" xr:uid="{00000000-0006-0000-1200-000003000000}">
      <text>
        <r>
          <rPr>
            <b/>
            <sz val="9"/>
            <rFont val="宋体"/>
            <family val="3"/>
            <charset val="134"/>
          </rPr>
          <t>86159:</t>
        </r>
        <r>
          <rPr>
            <sz val="9"/>
            <rFont val="宋体"/>
            <family val="3"/>
            <charset val="134"/>
          </rPr>
          <t xml:space="preserve">
1.食物 2.首饰 3.武器4.服装 5.酒水 6.药材
太多了后面的排序看 WorldEvolution/like表</t>
        </r>
      </text>
    </comment>
    <comment ref="I1" authorId="1" shapeId="0" xr:uid="{00000000-0006-0000-1200-000004000000}">
      <text>
        <r>
          <rPr>
            <b/>
            <sz val="9"/>
            <rFont val="宋体"/>
            <family val="3"/>
            <charset val="134"/>
          </rPr>
          <t>sherlock:</t>
        </r>
        <r>
          <rPr>
            <sz val="9"/>
            <rFont val="宋体"/>
            <family val="3"/>
            <charset val="134"/>
          </rPr>
          <t xml:space="preserve">
1,白；2,绿；3,蓝；4,紫；5,橙；6,红；7,金</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Admin</author>
    <author>作者</author>
    <author>86159</author>
  </authors>
  <commentList>
    <comment ref="D1" authorId="0" shapeId="0" xr:uid="{00000000-0006-0000-1300-000001000000}">
      <text>
        <r>
          <rPr>
            <b/>
            <sz val="9"/>
            <rFont val="宋体"/>
            <family val="3"/>
            <charset val="134"/>
          </rPr>
          <t>Admin:</t>
        </r>
        <r>
          <rPr>
            <sz val="9"/>
            <rFont val="宋体"/>
            <family val="3"/>
            <charset val="134"/>
          </rPr>
          <t xml:space="preserve">
1 通贩
2 非通贩
3 唯一</t>
        </r>
      </text>
    </comment>
    <comment ref="E1" authorId="0" shapeId="0" xr:uid="{00000000-0006-0000-1300-000002000000}">
      <text>
        <r>
          <rPr>
            <b/>
            <sz val="9"/>
            <rFont val="宋体"/>
            <family val="3"/>
            <charset val="134"/>
          </rPr>
          <t>Admin:</t>
        </r>
        <r>
          <rPr>
            <sz val="9"/>
            <rFont val="宋体"/>
            <family val="3"/>
            <charset val="134"/>
          </rPr>
          <t xml:space="preserve">
1010 拳套;
1020 剑;
1021 刀;
1030 重刃;
1040 棍;
1041 枪;
1050 扇;
1060 暗器;
1090 鞋履;
1100 双手轻刃;
1110 绳镖;</t>
        </r>
      </text>
    </comment>
    <comment ref="H1" authorId="1" shapeId="0" xr:uid="{00000000-0006-0000-1300-000003000000}">
      <text>
        <r>
          <rPr>
            <b/>
            <sz val="9"/>
            <rFont val="宋体"/>
            <family val="3"/>
            <charset val="134"/>
          </rPr>
          <t>sherlock:</t>
        </r>
        <r>
          <rPr>
            <sz val="9"/>
            <rFont val="宋体"/>
            <family val="3"/>
            <charset val="134"/>
          </rPr>
          <t xml:space="preserve">
1,白；2,绿；3,蓝；4,紫；5,橙；6,红；7,金</t>
        </r>
      </text>
    </comment>
    <comment ref="J1" authorId="2" shapeId="0" xr:uid="{00000000-0006-0000-1300-000004000000}">
      <text>
        <r>
          <rPr>
            <b/>
            <sz val="9"/>
            <rFont val="宋体"/>
            <family val="3"/>
            <charset val="134"/>
          </rPr>
          <t>86159:</t>
        </r>
        <r>
          <rPr>
            <sz val="9"/>
            <rFont val="宋体"/>
            <family val="3"/>
            <charset val="134"/>
          </rPr>
          <t xml:space="preserve">
1.食物 2.首饰 3.武器4.服装 5.酒水 6.药材
太多了后面的排序看 WorldEvolution/like表</t>
        </r>
      </text>
    </comment>
    <comment ref="K1" authorId="1" shapeId="0" xr:uid="{00000000-0006-0000-1300-000005000000}">
      <text>
        <r>
          <rPr>
            <b/>
            <sz val="9"/>
            <rFont val="宋体"/>
            <family val="3"/>
            <charset val="134"/>
          </rPr>
          <t>sherlock:</t>
        </r>
        <r>
          <rPr>
            <sz val="9"/>
            <rFont val="宋体"/>
            <family val="3"/>
            <charset val="134"/>
          </rPr>
          <t xml:space="preserve">
1,白；2,绿；3,蓝；4,紫；5,橙；6,红；7,金</t>
        </r>
      </text>
    </comment>
  </commentList>
</comments>
</file>

<file path=xl/sharedStrings.xml><?xml version="1.0" encoding="utf-8"?>
<sst xmlns="http://schemas.openxmlformats.org/spreadsheetml/2006/main" count="49895" uniqueCount="10186">
  <si>
    <t>id</t>
  </si>
  <si>
    <t>道具名</t>
  </si>
  <si>
    <t>道具名英文</t>
  </si>
  <si>
    <t>类别</t>
  </si>
  <si>
    <t>子类</t>
  </si>
  <si>
    <t>武器类型</t>
  </si>
  <si>
    <t>皮肤</t>
  </si>
  <si>
    <t>品质</t>
  </si>
  <si>
    <t>quality</t>
  </si>
  <si>
    <t>开放世界开放</t>
  </si>
  <si>
    <t>喜好分类</t>
  </si>
  <si>
    <t>随机品质</t>
  </si>
  <si>
    <t>主属性</t>
  </si>
  <si>
    <t>主属性生成概率</t>
  </si>
  <si>
    <t>属性占比</t>
  </si>
  <si>
    <t>附属属性</t>
  </si>
  <si>
    <t>最大叠加</t>
  </si>
  <si>
    <t>可丢弃</t>
  </si>
  <si>
    <t>出售价格</t>
  </si>
  <si>
    <t>suitablePrice</t>
  </si>
  <si>
    <t>maxPrice</t>
  </si>
  <si>
    <t>回收价格</t>
  </si>
  <si>
    <t>等级限制</t>
  </si>
  <si>
    <t>按钮文本</t>
  </si>
  <si>
    <t>text</t>
  </si>
  <si>
    <t>textEnglish</t>
  </si>
  <si>
    <t>icon</t>
  </si>
  <si>
    <t>按钮音效</t>
  </si>
  <si>
    <t>canGive</t>
  </si>
  <si>
    <t>canBatchSell</t>
  </si>
  <si>
    <t>PassiveSkillId</t>
  </si>
  <si>
    <t>粗布缠手</t>
  </si>
  <si>
    <t xml:space="preserve">Coarse Cloth Hand Wraps  </t>
  </si>
  <si>
    <t>武器</t>
  </si>
  <si>
    <t>掌套</t>
  </si>
  <si>
    <t>制式</t>
  </si>
  <si>
    <t>1;2;3</t>
  </si>
  <si>
    <t>攻击力+32</t>
  </si>
  <si>
    <t>装备</t>
  </si>
  <si>
    <t>拳掌初学者的必备之物。</t>
  </si>
  <si>
    <t>Test For English1</t>
  </si>
  <si>
    <t>item/101001</t>
  </si>
  <si>
    <t>锈铁缠手</t>
  </si>
  <si>
    <t xml:space="preserve">Rusted Iron Hand Wraps  </t>
  </si>
  <si>
    <t>1;2;3;4</t>
  </si>
  <si>
    <t>攻击力+64</t>
  </si>
  <si>
    <t>粗布条缠以锈铁片，深受街头无赖的喜爱。</t>
  </si>
  <si>
    <t>Test For English2</t>
  </si>
  <si>
    <t>item/101002</t>
  </si>
  <si>
    <t>锈铁缠手·精</t>
  </si>
  <si>
    <t xml:space="preserve">Rusted Iron Hand Wraps·Refined  </t>
  </si>
  <si>
    <t>制作</t>
  </si>
  <si>
    <t>4;5;6;7</t>
  </si>
  <si>
    <t>Test For English3</t>
  </si>
  <si>
    <t>黑革掌束</t>
  </si>
  <si>
    <t xml:space="preserve">Black Leather Palm Bindings  </t>
  </si>
  <si>
    <t>1;2;3;4;5</t>
  </si>
  <si>
    <t>攻击力+94</t>
  </si>
  <si>
    <t>以鞣制牛皮制成，内有衬垫，坚实牢靠。</t>
  </si>
  <si>
    <t>Test For English4</t>
  </si>
  <si>
    <t>item/101003</t>
  </si>
  <si>
    <t>白铁掌套</t>
  </si>
  <si>
    <t xml:space="preserve">White Iron Palm Gauntlets  </t>
  </si>
  <si>
    <t>1;2;3;4;5;6</t>
  </si>
  <si>
    <t>攻击力+158</t>
  </si>
  <si>
    <t>白铁饰木，做工粗陋。</t>
  </si>
  <si>
    <t>Test For English5</t>
  </si>
  <si>
    <t>item/101004</t>
  </si>
  <si>
    <t>破碑</t>
  </si>
  <si>
    <t xml:space="preserve">Shattered Stele  </t>
  </si>
  <si>
    <t>1;2;3;4;5;6;7</t>
  </si>
  <si>
    <t>攻击力+252</t>
  </si>
  <si>
    <t>黑铁包铜，做工精巧，可略容指掌转圜。</t>
  </si>
  <si>
    <t>Test For English6</t>
  </si>
  <si>
    <t>item/101005</t>
  </si>
  <si>
    <t>白臂猿公手</t>
  </si>
  <si>
    <t xml:space="preserve">White-Armed Ape Elder's Hand  </t>
  </si>
  <si>
    <t>攻击力+412</t>
  </si>
  <si>
    <t>精铁打造，软银包掌，指掌于其内转圜灵便，足见匠心。</t>
  </si>
  <si>
    <t>Test For English7</t>
  </si>
  <si>
    <t>item/101006</t>
  </si>
  <si>
    <t>九州无量</t>
  </si>
  <si>
    <t xml:space="preserve">Nine Provinces Boundless  </t>
  </si>
  <si>
    <t>攻击力+664</t>
  </si>
  <si>
    <t>经流入民间的行伍重铠改制而成，虽略显旧，却仍坚固至极。</t>
  </si>
  <si>
    <t>Test For English8</t>
  </si>
  <si>
    <t>item/101007</t>
  </si>
  <si>
    <t>关山月</t>
  </si>
  <si>
    <t xml:space="preserve">Moon Over the Mountain Pass  </t>
  </si>
  <si>
    <t>攻击力+1076</t>
  </si>
  <si>
    <t>万里赴戎机，关山度若飞。</t>
  </si>
  <si>
    <t>Test For English9</t>
  </si>
  <si>
    <t>item/101008</t>
  </si>
  <si>
    <t>掌定乾坤</t>
  </si>
  <si>
    <t xml:space="preserve">Palm Determines the Cosmos  </t>
  </si>
  <si>
    <t>攻击力+1742</t>
  </si>
  <si>
    <t>力破万法，众生如见，乾坤玄机，覆掌可定。</t>
  </si>
  <si>
    <t>Test For English10</t>
  </si>
  <si>
    <t>item/101009</t>
  </si>
  <si>
    <t>虚玄</t>
  </si>
  <si>
    <t xml:space="preserve">Void Mystery  </t>
  </si>
  <si>
    <t>攻击力+2820</t>
  </si>
  <si>
    <t>七字天书人不辨，定知玄女手中符。</t>
  </si>
  <si>
    <t>Test For English11</t>
  </si>
  <si>
    <t>item/101010</t>
  </si>
  <si>
    <t>烂铜缠手</t>
  </si>
  <si>
    <t xml:space="preserve">Tarnished Copper Hand Wraps  </t>
  </si>
  <si>
    <t>任务</t>
  </si>
  <si>
    <t>精铜铸练而成，做工精湛，坚实耐用，徐嵩阳用心之作。</t>
  </si>
  <si>
    <t>Test For English12</t>
  </si>
  <si>
    <t>镇恶</t>
  </si>
  <si>
    <t xml:space="preserve">Evil-Suppressing  </t>
  </si>
  <si>
    <t>商店</t>
  </si>
  <si>
    <t>黑革精缝而成，内镌“镇恶”二字。</t>
  </si>
  <si>
    <t>Test For English13</t>
  </si>
  <si>
    <t>镔铁掌套</t>
  </si>
  <si>
    <t xml:space="preserve">Wrought Iron Palm Gauntlets  </t>
  </si>
  <si>
    <t>镔铁为材，精锻而成。</t>
  </si>
  <si>
    <t>Test For English14</t>
  </si>
  <si>
    <t>item/101204</t>
  </si>
  <si>
    <t>九州无量·精</t>
  </si>
  <si>
    <t xml:space="preserve">Nine Provinces Boundless·Refined  </t>
  </si>
  <si>
    <t>Test For English15</t>
  </si>
  <si>
    <t>关山月·精</t>
  </si>
  <si>
    <t xml:space="preserve">Moon Over the Mountain Pass·Refined  </t>
  </si>
  <si>
    <t>Test For English16</t>
  </si>
  <si>
    <t>掌定乾坤·精</t>
  </si>
  <si>
    <t xml:space="preserve">Palm Determines the Cosmos·Refined  </t>
  </si>
  <si>
    <t>Test For English17</t>
  </si>
  <si>
    <t>虚玄·精</t>
  </si>
  <si>
    <t xml:space="preserve">Void Mystery·Refined  </t>
  </si>
  <si>
    <t>Test For English18</t>
  </si>
  <si>
    <t>枯木枝</t>
  </si>
  <si>
    <t xml:space="preserve">Withered Wood Branch  </t>
  </si>
  <si>
    <t>单手轻刃</t>
  </si>
  <si>
    <t>wuqi/qingren/jian</t>
  </si>
  <si>
    <t>随处可见的枯枝。</t>
  </si>
  <si>
    <t>Test For English19</t>
  </si>
  <si>
    <t>item/102000</t>
  </si>
  <si>
    <t>硬木剑</t>
  </si>
  <si>
    <t xml:space="preserve">Hardwood Sword  </t>
  </si>
  <si>
    <t>初学者腕力不足，需用此剑。</t>
  </si>
  <si>
    <t>Test For English20</t>
  </si>
  <si>
    <t>item/102001</t>
  </si>
  <si>
    <t>素剑</t>
  </si>
  <si>
    <t xml:space="preserve">Plain Sword  </t>
  </si>
  <si>
    <t>wuqi/qingren/jian2</t>
  </si>
  <si>
    <t>江湖常见制式，不甚锋锐，却经久耐用。</t>
  </si>
  <si>
    <t>Test For English21</t>
  </si>
  <si>
    <t>item/102002</t>
  </si>
  <si>
    <t>素剑·精</t>
  </si>
  <si>
    <t xml:space="preserve">Plain Sword·Refined  </t>
  </si>
  <si>
    <t>Test For English22</t>
  </si>
  <si>
    <t>青锋剑</t>
  </si>
  <si>
    <t xml:space="preserve">Blue Edge Sword  </t>
  </si>
  <si>
    <t>wuqi/qingren/jian5</t>
  </si>
  <si>
    <t>虽以凡铁为材，但百锻之下，亦得刚硬锋锐。</t>
  </si>
  <si>
    <t>Test For English23</t>
  </si>
  <si>
    <t>item/102003</t>
  </si>
  <si>
    <t>碧鞘长剑</t>
  </si>
  <si>
    <t xml:space="preserve">Green-Sheathed Longsword  </t>
  </si>
  <si>
    <t>wuqi/qingren/jian4</t>
  </si>
  <si>
    <t>剑鞘、剑柄皆以碧玉为饰，多为文人雅士所佩。</t>
  </si>
  <si>
    <t>Test For English24</t>
  </si>
  <si>
    <t>item/102004</t>
  </si>
  <si>
    <t>含虹</t>
  </si>
  <si>
    <t xml:space="preserve">Rainbow Embrace  </t>
  </si>
  <si>
    <t>wuqi/qingren/jian3</t>
  </si>
  <si>
    <t>轻盈灵动，吹毛立断，出剑时似白虹贯日，故得此名。</t>
  </si>
  <si>
    <t>Test For English25</t>
  </si>
  <si>
    <t>item/102005</t>
  </si>
  <si>
    <t>三尺鸦</t>
  </si>
  <si>
    <t xml:space="preserve">Three-Foot Crow  </t>
  </si>
  <si>
    <t>wuqi/qingren/jian6</t>
  </si>
  <si>
    <t>此剑剑柄漆黑，愈至剑尖便愈加锋亮，形似巫祭中之“白头神鸦”，剑取此名，又有此剑出鞘，便要见血的不详之意。</t>
  </si>
  <si>
    <t>Test For English26</t>
  </si>
  <si>
    <t>item/102006</t>
  </si>
  <si>
    <t>却邪</t>
  </si>
  <si>
    <t xml:space="preserve">Evil Repeller  </t>
  </si>
  <si>
    <t>wuqi/qingren/jian7</t>
  </si>
  <si>
    <t>古剑寒黯黯，铸来几千秋。</t>
  </si>
  <si>
    <t>Test For English27</t>
  </si>
  <si>
    <t>item/102007</t>
  </si>
  <si>
    <t>却邪·精</t>
  </si>
  <si>
    <t xml:space="preserve">Evil Repeller·Refined  </t>
  </si>
  <si>
    <t>Test For English28</t>
  </si>
  <si>
    <t>青璃</t>
  </si>
  <si>
    <t xml:space="preserve">Green Glaze  </t>
  </si>
  <si>
    <t>wuqi/qingren/jian8</t>
  </si>
  <si>
    <t>第六桥头香十里，桃花风起叠琉璃。</t>
  </si>
  <si>
    <t>Test For English29</t>
  </si>
  <si>
    <t>item/102008</t>
  </si>
  <si>
    <t>纵渊</t>
  </si>
  <si>
    <t xml:space="preserve">Abyssal Leap  </t>
  </si>
  <si>
    <t>wuqi/qingren/jian9</t>
  </si>
  <si>
    <t>侠之一道，唯不平则鸣，便千万险阻，如临渊在前，孤身可纵。</t>
  </si>
  <si>
    <t>Test For English30</t>
  </si>
  <si>
    <t>item/102009</t>
  </si>
  <si>
    <t>尘光</t>
  </si>
  <si>
    <t xml:space="preserve">Dust Light  </t>
  </si>
  <si>
    <t>wuqi/qingren/jian10</t>
  </si>
  <si>
    <t>剑分浊世，无辨尘光。</t>
  </si>
  <si>
    <t>Test For English31</t>
  </si>
  <si>
    <t>item/102010</t>
  </si>
  <si>
    <t>青璃·精</t>
  </si>
  <si>
    <t xml:space="preserve">Green Glaze·Refined  </t>
  </si>
  <si>
    <t>Test For English32</t>
  </si>
  <si>
    <t>纵渊·精</t>
  </si>
  <si>
    <t xml:space="preserve">Abyssal Leap·Refined  </t>
  </si>
  <si>
    <t>Test For English33</t>
  </si>
  <si>
    <t>尘光·精</t>
  </si>
  <si>
    <t xml:space="preserve">Dust Light·Refined  </t>
  </si>
  <si>
    <t>Test For English34</t>
  </si>
  <si>
    <t>硬木刀</t>
  </si>
  <si>
    <t xml:space="preserve">Hardwood Saber  </t>
  </si>
  <si>
    <t>wuqi/qingren/zhidao</t>
  </si>
  <si>
    <t>初学者腕力不足，需用此刀。</t>
  </si>
  <si>
    <t>Test For English35</t>
  </si>
  <si>
    <t>item/102101</t>
  </si>
  <si>
    <t>硬木刀·精</t>
  </si>
  <si>
    <t xml:space="preserve">Hardwood Saber·Refined  </t>
  </si>
  <si>
    <t>Test For English36</t>
  </si>
  <si>
    <t>粗铁刀</t>
  </si>
  <si>
    <t xml:space="preserve">Rough Iron Saber  </t>
  </si>
  <si>
    <t>wuqi/qingren/zhidao5</t>
  </si>
  <si>
    <t>锻工粗陋，行脚客商常以此防身。</t>
  </si>
  <si>
    <t>Test For English37</t>
  </si>
  <si>
    <t>item/102102</t>
  </si>
  <si>
    <t>环手刀</t>
  </si>
  <si>
    <t xml:space="preserve">Ring-Handled Saber  </t>
  </si>
  <si>
    <t>wuqi/qingren/zhidao3</t>
  </si>
  <si>
    <t>前朝旧制，做工一般，然轻巧便携，坚实耐用。</t>
  </si>
  <si>
    <t>Test For English38</t>
  </si>
  <si>
    <t>item/102103</t>
  </si>
  <si>
    <t>鬼面刀</t>
  </si>
  <si>
    <t xml:space="preserve">Ghost-Faced Saber  </t>
  </si>
  <si>
    <t>wuqi/qingren/zhidao6</t>
  </si>
  <si>
    <t>精铁百锻方成，刀镡以鬼面为饰，更添煞气。</t>
  </si>
  <si>
    <t>Test For English39</t>
  </si>
  <si>
    <t>item/102104</t>
  </si>
  <si>
    <t>壁鳞</t>
  </si>
  <si>
    <t xml:space="preserve">Scale Wall  </t>
  </si>
  <si>
    <t>wuqi/qingren/zhidao2</t>
  </si>
  <si>
    <t>古法锻打，极为刚韧，刀脊青碧透红，宛如碧血洗炼。</t>
  </si>
  <si>
    <t>Test For English40</t>
  </si>
  <si>
    <t>item/102105</t>
  </si>
  <si>
    <t>红莲</t>
  </si>
  <si>
    <t xml:space="preserve">Red Lotus  </t>
  </si>
  <si>
    <t>wuqi/qingren/zhidao4</t>
  </si>
  <si>
    <t>刃身千锻，红柄镶金，华美之余，亦能削铁如泥。</t>
  </si>
  <si>
    <t>Test For English41</t>
  </si>
  <si>
    <t>item/102106</t>
  </si>
  <si>
    <t>小切玉</t>
  </si>
  <si>
    <t xml:space="preserve">Jade Cutter  </t>
  </si>
  <si>
    <t>wuqi/qingren/zhidao7</t>
  </si>
  <si>
    <t>裂石断玉，切雾撕风。</t>
  </si>
  <si>
    <t>Test For English42</t>
  </si>
  <si>
    <t>item/102107</t>
  </si>
  <si>
    <t>归合</t>
  </si>
  <si>
    <t xml:space="preserve">Return to Union  </t>
  </si>
  <si>
    <t>wuqi/qingren/zhidao8</t>
  </si>
  <si>
    <t>无鞘之刀，为大凶者，归合之际，谓之仁之锋。</t>
  </si>
  <si>
    <t>Test For English43</t>
  </si>
  <si>
    <t>item/102108</t>
  </si>
  <si>
    <t>断不平</t>
  </si>
  <si>
    <t xml:space="preserve">Sever Injustice  </t>
  </si>
  <si>
    <t>wuqi/qingren/zhidao9</t>
  </si>
  <si>
    <t>逢不平之事，当饮刀断之，二十年曾有人持此刀恣意江湖。</t>
  </si>
  <si>
    <t>Test For English44</t>
  </si>
  <si>
    <t>item/102109</t>
  </si>
  <si>
    <t>不惧</t>
  </si>
  <si>
    <t xml:space="preserve">Fearless  </t>
  </si>
  <si>
    <t>wuqi/qingren/zhidao10</t>
  </si>
  <si>
    <t>习武者，无愧于心，无惧于世，豪杰无言，应当如是。</t>
  </si>
  <si>
    <t>Test For English45</t>
  </si>
  <si>
    <t>item/102110</t>
  </si>
  <si>
    <t>崎峰剑</t>
  </si>
  <si>
    <t xml:space="preserve">Peaked Mountain Sword  </t>
  </si>
  <si>
    <t>人生于世，似如登山，崎岖之路，是否亦可通顶峰？</t>
  </si>
  <si>
    <t>Test For English46</t>
  </si>
  <si>
    <t>残翎</t>
  </si>
  <si>
    <t xml:space="preserve">Broken Feather  </t>
  </si>
  <si>
    <t>柄刃乃整块精金一体锻打，此刀出鞘，刀鸣震天，可惊天上飞鸿。</t>
  </si>
  <si>
    <t>Test For English47</t>
  </si>
  <si>
    <t>item/102314</t>
  </si>
  <si>
    <t>精铜长剑</t>
  </si>
  <si>
    <t xml:space="preserve">Bronze Longsword  </t>
  </si>
  <si>
    <t>Test For English48</t>
  </si>
  <si>
    <t>缺失</t>
  </si>
  <si>
    <t xml:space="preserve">Missing  </t>
  </si>
  <si>
    <t>太和弟子习武用剑，虽不甚锋锐，却平衡轻捷，正合太和武旨。</t>
  </si>
  <si>
    <t>Test For English49</t>
  </si>
  <si>
    <t>item/102203</t>
  </si>
  <si>
    <t>洗海</t>
  </si>
  <si>
    <t xml:space="preserve">Sea Cleanser  </t>
  </si>
  <si>
    <t>特效</t>
  </si>
  <si>
    <t>神州百户制式佩刀，曾被人于刀镡刻下[洗海]二字，籍以明志。可提升外功攻击。</t>
  </si>
  <si>
    <t>Test For English50</t>
  </si>
  <si>
    <t>万里同悲</t>
  </si>
  <si>
    <t xml:space="preserve">Infinite Sorrow  </t>
  </si>
  <si>
    <t>他乡共酌金花酒，万里同悲鸿雁天。</t>
  </si>
  <si>
    <t>Test For English51</t>
  </si>
  <si>
    <t>云霄</t>
  </si>
  <si>
    <t xml:space="preserve">Cloud Piercer  </t>
  </si>
  <si>
    <t>三霄剑之一，饰之云纹，镌之青鸾，承影无形，冲霄拏云；据传集齐三霄宝剑将有奇异之事发生。</t>
  </si>
  <si>
    <t>Test For English52</t>
  </si>
  <si>
    <t>item/102206</t>
  </si>
  <si>
    <t>子规啼</t>
  </si>
  <si>
    <t xml:space="preserve">Cuckoo's Cry  </t>
  </si>
  <si>
    <t>NPC</t>
  </si>
  <si>
    <t>杜鹃落尽子规啼，端木清随身佩剑，长三尺一寸，年时日久，未曾出鞘示人，太和上下，不见其锋。</t>
  </si>
  <si>
    <t>Test For English53</t>
  </si>
  <si>
    <t>item/102207</t>
  </si>
  <si>
    <t>小切玉·精</t>
  </si>
  <si>
    <t xml:space="preserve">Jade Cutter·Refined  </t>
  </si>
  <si>
    <t>Test For English54</t>
  </si>
  <si>
    <t>归合·精</t>
  </si>
  <si>
    <t xml:space="preserve">Return to Union·Refined  </t>
  </si>
  <si>
    <t>Test For English55</t>
  </si>
  <si>
    <t>断不平·精</t>
  </si>
  <si>
    <t xml:space="preserve">Sever Injustice·Refined  </t>
  </si>
  <si>
    <t>Test For English56</t>
  </si>
  <si>
    <t>不惧·精</t>
  </si>
  <si>
    <t xml:space="preserve">Fearless·Refined  </t>
  </si>
  <si>
    <t>Test For English57</t>
  </si>
  <si>
    <t>太岳凌霄</t>
  </si>
  <si>
    <t xml:space="preserve">Taiyue Touching the Sky  </t>
  </si>
  <si>
    <t>皇恩浩荡，荣宠如烟。</t>
  </si>
  <si>
    <t>Test For English58</t>
  </si>
  <si>
    <t>item/102209</t>
  </si>
  <si>
    <t>精铜横刀</t>
  </si>
  <si>
    <t xml:space="preserve">Bronze Crossguard Saber  </t>
  </si>
  <si>
    <t>Test For English59</t>
  </si>
  <si>
    <t>精铁横刀</t>
  </si>
  <si>
    <t xml:space="preserve">Iron Crossguard Saber  </t>
  </si>
  <si>
    <t>精铁锻刃，颇为锋利。</t>
  </si>
  <si>
    <t>Test For English60</t>
  </si>
  <si>
    <t>我是人间惆怅客，断肠声里忆平生。</t>
  </si>
  <si>
    <t>Test For English61</t>
  </si>
  <si>
    <t>item/102304</t>
  </si>
  <si>
    <t>断雁西风</t>
  </si>
  <si>
    <t xml:space="preserve">Broken Goose in West Wind  </t>
  </si>
  <si>
    <t>襄阳剑侠林不忘配剑，取孤鸿断雁，茕茕于飞之意。</t>
  </si>
  <si>
    <t>Test For English62</t>
  </si>
  <si>
    <t>柄刃乃整块精金一体锻打，此刀出鞘，刀鸣震天，可惊天上飞鸿。可提升内功攻击。</t>
  </si>
  <si>
    <t>Test For English63</t>
  </si>
  <si>
    <t>天涯海阁涯守一脉弟子习武用刀，刀身修长，坚实耐用。</t>
  </si>
  <si>
    <t>Test For English64</t>
  </si>
  <si>
    <t>item/102302</t>
  </si>
  <si>
    <t>霜岚</t>
  </si>
  <si>
    <t xml:space="preserve">Frost Mist  </t>
  </si>
  <si>
    <t>襄阳楚氏家传之物，时经百年，仍可削金断铁。</t>
  </si>
  <si>
    <t>Test For English65</t>
  </si>
  <si>
    <t>琼霄</t>
  </si>
  <si>
    <t xml:space="preserve">Jade Sky  </t>
  </si>
  <si>
    <t>三霄剑之一，饰之明珠，镌之鸿鹄，昆吾切玉，横断秋水；据传集齐三霄宝剑将有奇异之事发生。</t>
  </si>
  <si>
    <t>Test For English66</t>
  </si>
  <si>
    <t>碧霄</t>
  </si>
  <si>
    <t xml:space="preserve">Azure Sky  </t>
  </si>
  <si>
    <t>三霄剑之一，饰之花翎，镌之金蛟，削铁无声，运转如风；据传集齐三霄宝剑将有奇异之事发生。</t>
  </si>
  <si>
    <t>Test For English67</t>
  </si>
  <si>
    <t>旧柴刀</t>
  </si>
  <si>
    <t xml:space="preserve">Old Firewood Saber  </t>
  </si>
  <si>
    <t>重刃</t>
  </si>
  <si>
    <t>wuqi/zhongren/zhongren</t>
  </si>
  <si>
    <t>沉重坠手，可用之以蛮力伤人。</t>
  </si>
  <si>
    <t>Test For English68</t>
  </si>
  <si>
    <t>item/103001</t>
  </si>
  <si>
    <t>大刀</t>
  </si>
  <si>
    <t xml:space="preserve">Broadsword  </t>
  </si>
  <si>
    <t>wuqi/zhongren/zhongren4</t>
  </si>
  <si>
    <t>仿边军制式，粗制而成。</t>
  </si>
  <si>
    <t>Test For English69</t>
  </si>
  <si>
    <t>item/103002</t>
  </si>
  <si>
    <t>斩马刀</t>
  </si>
  <si>
    <t xml:space="preserve">Horse-Cutting Saber  </t>
  </si>
  <si>
    <t>wuqi/zhongren/zhongren3</t>
  </si>
  <si>
    <t>前朝边军旧制，已然弃用多年，锻造之法流入江湖后，被武林中人所喜。</t>
  </si>
  <si>
    <t>Test For English70</t>
  </si>
  <si>
    <t>item/103003</t>
  </si>
  <si>
    <t>人屠</t>
  </si>
  <si>
    <t xml:space="preserve">Human Butcher  </t>
  </si>
  <si>
    <t>wuqi/zhongren/zhongren5</t>
  </si>
  <si>
    <t>生铁锻就，坚厚无锋，非膂力极强者难以操持。</t>
  </si>
  <si>
    <t>Test For English71</t>
  </si>
  <si>
    <t>item/103004</t>
  </si>
  <si>
    <t>拙机</t>
  </si>
  <si>
    <t xml:space="preserve">Clumsy Mechanism  </t>
  </si>
  <si>
    <t>wuqi/zhongren/zhongren2</t>
  </si>
  <si>
    <t>大巧若拙，大繁若简。</t>
  </si>
  <si>
    <t>Test For English72</t>
  </si>
  <si>
    <t>item/103005</t>
  </si>
  <si>
    <t>蝶</t>
  </si>
  <si>
    <t xml:space="preserve">Butterfly  </t>
  </si>
  <si>
    <t>wuqi/zhongren/zhongren6</t>
  </si>
  <si>
    <t>飒飒西风满院栽，蕊寒香冷蝶难来。</t>
  </si>
  <si>
    <t>Test For English73</t>
  </si>
  <si>
    <t>item/103006</t>
  </si>
  <si>
    <t>古锭</t>
  </si>
  <si>
    <t xml:space="preserve">Ancient Ingot  </t>
  </si>
  <si>
    <t>wuqi/zhongren/zhongren7</t>
  </si>
  <si>
    <t>仿古之名，重逾千钧，血刃到处，衣甲平过。</t>
  </si>
  <si>
    <t>Test For English74</t>
  </si>
  <si>
    <t>item/103007</t>
  </si>
  <si>
    <t>古锭·精</t>
  </si>
  <si>
    <t xml:space="preserve">Ancient Ingot·Refined  </t>
  </si>
  <si>
    <t>Test For English75</t>
  </si>
  <si>
    <t>千石沉林</t>
  </si>
  <si>
    <t xml:space="preserve">Thousand-Stone Forest  </t>
  </si>
  <si>
    <t>wuqi/zhongren/zhongren8</t>
  </si>
  <si>
    <t>土德者，当持此刃，扫荡群邪。</t>
  </si>
  <si>
    <t>Test For English76</t>
  </si>
  <si>
    <t>item/103008</t>
  </si>
  <si>
    <t>柳絮</t>
  </si>
  <si>
    <t xml:space="preserve">Willow Catkin  </t>
  </si>
  <si>
    <t>wuqi/zhongren/zhongren9</t>
  </si>
  <si>
    <t>刀身古朴，重逾百斤，非人力所能持，唯刀柄处，篆有柳絮二字。</t>
  </si>
  <si>
    <t>Test For English77</t>
  </si>
  <si>
    <t>item/103009</t>
  </si>
  <si>
    <t>圣人无名</t>
  </si>
  <si>
    <t xml:space="preserve">Sage Without a Name  </t>
  </si>
  <si>
    <t>wuqi/zhongren/zhongren10</t>
  </si>
  <si>
    <t>神人无功，圣人无名，无锋之锋，或为圆满。</t>
  </si>
  <si>
    <t>Test For English78</t>
  </si>
  <si>
    <t>item/103010</t>
  </si>
  <si>
    <t>千石沉林·精</t>
  </si>
  <si>
    <t xml:space="preserve">Thousand-Stone Forest·Refined  </t>
  </si>
  <si>
    <t>Test For English79</t>
  </si>
  <si>
    <t>柳絮·精</t>
  </si>
  <si>
    <t xml:space="preserve">Willow Catkin·Refined  </t>
  </si>
  <si>
    <t>Test For English80</t>
  </si>
  <si>
    <t>圣人无名·精</t>
  </si>
  <si>
    <t xml:space="preserve">Sage Without a Name·Refined  </t>
  </si>
  <si>
    <t>Test For English81</t>
  </si>
  <si>
    <t>精铜大刀</t>
  </si>
  <si>
    <t xml:space="preserve">Bronze Broadsword  </t>
  </si>
  <si>
    <t>Test For English82</t>
  </si>
  <si>
    <t>厚背柴刀</t>
  </si>
  <si>
    <t xml:space="preserve">Thick-Backed Firewood Saber  </t>
  </si>
  <si>
    <t>不知以何等材料锻成的柴刀，入手极重。</t>
  </si>
  <si>
    <t>Test For English83</t>
  </si>
  <si>
    <t>沧浪</t>
  </si>
  <si>
    <t xml:space="preserve">Azure Waves  </t>
  </si>
  <si>
    <t>镔铁精锻，坚实厚重，其上暗纹层叠如浪。</t>
  </si>
  <si>
    <t>Test For English84</t>
  </si>
  <si>
    <t>哨棒</t>
  </si>
  <si>
    <t xml:space="preserve">Alert Stick  </t>
  </si>
  <si>
    <t>长兵</t>
  </si>
  <si>
    <t>wuqi/changbing/gun</t>
  </si>
  <si>
    <t>直木削去枝桠,便成此棒，亦称“齐眉棍”。</t>
  </si>
  <si>
    <t>Test For English85</t>
  </si>
  <si>
    <t>item/104001</t>
  </si>
  <si>
    <t>哨棒·精</t>
  </si>
  <si>
    <t xml:space="preserve">Alert Stick·Refined  </t>
  </si>
  <si>
    <t>Test For English86</t>
  </si>
  <si>
    <t>白蜡杆</t>
  </si>
  <si>
    <t xml:space="preserve">White Wax Staff  </t>
  </si>
  <si>
    <t>wuqi/changbing/gun2</t>
  </si>
  <si>
    <t>硬木夯直、精制而成的长棍，入手颇重。</t>
  </si>
  <si>
    <t>Test For English87</t>
  </si>
  <si>
    <t>item/104002</t>
  </si>
  <si>
    <t>磐龙杖</t>
  </si>
  <si>
    <t xml:space="preserve">Coiled Dragon Staff  </t>
  </si>
  <si>
    <t>wuqi/changbing/gun3</t>
  </si>
  <si>
    <t>金刚木为底材，上盘一条铜龙，更添威势。</t>
  </si>
  <si>
    <t>Test For English88</t>
  </si>
  <si>
    <t>item/104003</t>
  </si>
  <si>
    <t>勿伽罗</t>
  </si>
  <si>
    <t xml:space="preserve">No-Gap Staff  </t>
  </si>
  <si>
    <t>wuqi/changbing/gun4</t>
  </si>
  <si>
    <t>以密宗阿罗汉梵名为号，精钢打制，上镌金纹。</t>
  </si>
  <si>
    <t>Test For English89</t>
  </si>
  <si>
    <t>item/104004</t>
  </si>
  <si>
    <t>纵横</t>
  </si>
  <si>
    <t xml:space="preserve">Vertical and Horizontal  </t>
  </si>
  <si>
    <t>wuqi/changbing/gun5</t>
  </si>
  <si>
    <t>棒身乃利刃流转拼接而成，钝锐相容，正合纵横之意。</t>
  </si>
  <si>
    <t>Test For English90</t>
  </si>
  <si>
    <t>item/104005</t>
  </si>
  <si>
    <t>罗刹</t>
  </si>
  <si>
    <t xml:space="preserve">Rakshasa  </t>
  </si>
  <si>
    <t>wuqi/changbing/gun6</t>
  </si>
  <si>
    <t>昨日罗刹心,今朝菩萨面。</t>
  </si>
  <si>
    <t>Test For English91</t>
  </si>
  <si>
    <t>item/104006</t>
  </si>
  <si>
    <t>红笺无色</t>
  </si>
  <si>
    <t xml:space="preserve">Red Paper Without Color  </t>
  </si>
  <si>
    <t>wuqi/changbing/gun7</t>
  </si>
  <si>
    <t>降邪不党邪，见面略无愧真武；护法如违法，回头何以见观音。</t>
  </si>
  <si>
    <t>Test For English92</t>
  </si>
  <si>
    <t>item/104007</t>
  </si>
  <si>
    <t>寒骜</t>
  </si>
  <si>
    <t xml:space="preserve">Cold Arrogance  </t>
  </si>
  <si>
    <t>wuqi/changbing/gun9</t>
  </si>
  <si>
    <t>来历难考，材质难辨，据传为大雪山所遗之物。</t>
  </si>
  <si>
    <t>Test For English93</t>
  </si>
  <si>
    <t>item/104008</t>
  </si>
  <si>
    <t>奉天</t>
  </si>
  <si>
    <t xml:space="preserve">Heaven's Mandate  </t>
  </si>
  <si>
    <t>wuqi/changbing/gun10</t>
  </si>
  <si>
    <t>四海以内，罔不臣服，此岂人力，实乃天授。</t>
  </si>
  <si>
    <t>Test For English94</t>
  </si>
  <si>
    <t>item/104009</t>
  </si>
  <si>
    <t>迷悟</t>
  </si>
  <si>
    <t xml:space="preserve">Delusion and Enlightenment  </t>
  </si>
  <si>
    <t>wuqi/changbing/gun11</t>
  </si>
  <si>
    <t>两禅寺分立之时流落至江湖之物，据传其中暗合经文佛理，现已难言真伪。</t>
  </si>
  <si>
    <t>Test For English95</t>
  </si>
  <si>
    <t>item/104010</t>
  </si>
  <si>
    <t>寒骜·精</t>
  </si>
  <si>
    <t xml:space="preserve">Cold Arrogance·Refined  </t>
  </si>
  <si>
    <t>Test For English96</t>
  </si>
  <si>
    <t>奉天·精</t>
  </si>
  <si>
    <t xml:space="preserve">Heaven's Mandate·Refined  </t>
  </si>
  <si>
    <t>Test For English97</t>
  </si>
  <si>
    <t>迷悟·精</t>
  </si>
  <si>
    <t xml:space="preserve">Delusion and Enlightenment·Refined  </t>
  </si>
  <si>
    <t>Test For English98</t>
  </si>
  <si>
    <t>旧短矛</t>
  </si>
  <si>
    <t xml:space="preserve">Old Short Spear  </t>
  </si>
  <si>
    <t>wuqi/changbing/qiang</t>
  </si>
  <si>
    <t>不知何年传下的物事，略有腐朽的木杆上，旧日沙场痕迹依稀可见。</t>
  </si>
  <si>
    <t>Test For English99</t>
  </si>
  <si>
    <t>item/104101</t>
  </si>
  <si>
    <t>焰头枪</t>
  </si>
  <si>
    <t xml:space="preserve">Flame-Tipped Spear  </t>
  </si>
  <si>
    <r>
      <rPr>
        <sz val="11"/>
        <color theme="1"/>
        <rFont val="宋体"/>
        <family val="3"/>
        <charset val="134"/>
        <scheme val="minor"/>
      </rPr>
      <t>wuqi/changbing/qiang</t>
    </r>
    <r>
      <rPr>
        <sz val="11"/>
        <color theme="1"/>
        <rFont val="宋体"/>
        <family val="3"/>
        <charset val="134"/>
        <scheme val="minor"/>
      </rPr>
      <t>2</t>
    </r>
  </si>
  <si>
    <t>因锻艺不精，致使枪尖形似火焰，故此得名。</t>
  </si>
  <si>
    <t>Test For English100</t>
  </si>
  <si>
    <t>item/104102</t>
  </si>
  <si>
    <t>绣红缨</t>
  </si>
  <si>
    <t xml:space="preserve">Embroidered Red Tassel  </t>
  </si>
  <si>
    <t>wuqi/changbing/qiang3</t>
  </si>
  <si>
    <t>军制长枪，枪尖略有锈蚀，然仍坚实锋锐，能堪一用。</t>
  </si>
  <si>
    <t>Test For English101</t>
  </si>
  <si>
    <t>item/104103</t>
  </si>
  <si>
    <t>绣红缨·精</t>
  </si>
  <si>
    <t xml:space="preserve">Embroidered Red Tassel·Refined  </t>
  </si>
  <si>
    <t>Test For English102</t>
  </si>
  <si>
    <t>点钢枪</t>
  </si>
  <si>
    <t xml:space="preserve">Steel-Tipped Spear  </t>
  </si>
  <si>
    <t>wuqi/changbing/qiang4</t>
  </si>
  <si>
    <t>军制长枪，杀机凛凛，枪头灿亮如银，锋亮如新。</t>
  </si>
  <si>
    <t>Test For English103</t>
  </si>
  <si>
    <t>item/104104</t>
  </si>
  <si>
    <t>鎏影</t>
  </si>
  <si>
    <t xml:space="preserve">Gilded Shadow  </t>
  </si>
  <si>
    <t>wuqi/changbing/qiang5</t>
  </si>
  <si>
    <t>形制参皇仪之器，略作改制，非骁勇之士断难运使。</t>
  </si>
  <si>
    <t>Test For English104</t>
  </si>
  <si>
    <t>item/104105</t>
  </si>
  <si>
    <t>公侯王鼎</t>
  </si>
  <si>
    <t xml:space="preserve">Duke's Royal Tripod  </t>
  </si>
  <si>
    <t>wuqi/changbing/qiang6</t>
  </si>
  <si>
    <t>红缨到处，万敌伏首，纵横破阵，自凛神威。</t>
  </si>
  <si>
    <t>Test For English105</t>
  </si>
  <si>
    <t>item/104106</t>
  </si>
  <si>
    <t>修罗</t>
  </si>
  <si>
    <t xml:space="preserve">Asura  </t>
  </si>
  <si>
    <t>wuqi/changbing/qiang7</t>
  </si>
  <si>
    <t>万里横互羽林枪，外道修罗惊缩项。</t>
  </si>
  <si>
    <t>Test For English106</t>
  </si>
  <si>
    <t>item/104107</t>
  </si>
  <si>
    <t>红笺无色·精</t>
  </si>
  <si>
    <t xml:space="preserve">Red Paper Without Color·Refined  </t>
  </si>
  <si>
    <t>Test For English107</t>
  </si>
  <si>
    <t>修罗·精</t>
  </si>
  <si>
    <t xml:space="preserve">Asura·Refined  </t>
  </si>
  <si>
    <t>Test For English108</t>
  </si>
  <si>
    <t>定规王土</t>
  </si>
  <si>
    <t xml:space="preserve">Established Rule of the Land  </t>
  </si>
  <si>
    <t>wuqi/changbing/qiang9</t>
  </si>
  <si>
    <t>普天之下，莫非王土，率土之滨，莫非王臣。</t>
  </si>
  <si>
    <t>Test For English109</t>
  </si>
  <si>
    <t>item/104108</t>
  </si>
  <si>
    <t>百战死</t>
  </si>
  <si>
    <t xml:space="preserve">Hundred Battles to Death  </t>
  </si>
  <si>
    <t>wuqi/changbing/qiang10</t>
  </si>
  <si>
    <t>马革裹尸，军武之荣，唯勇临战，沙场豪情，可纵横天下，死犹不悔。</t>
  </si>
  <si>
    <t>Test For English110</t>
  </si>
  <si>
    <t>item/104109</t>
  </si>
  <si>
    <t>镇</t>
  </si>
  <si>
    <t xml:space="preserve">Suppression  </t>
  </si>
  <si>
    <t>wuqi/changbing/qiang11</t>
  </si>
  <si>
    <t>镇国卫遗物，据传为镇国公亲持，而今镇国卫已散，再无人可辨其真伪。</t>
  </si>
  <si>
    <t>Test For English111</t>
  </si>
  <si>
    <t>item/104110</t>
  </si>
  <si>
    <t>定规王土·精</t>
  </si>
  <si>
    <t xml:space="preserve">Established Rule of the Land·Refined  </t>
  </si>
  <si>
    <t>Test For English112</t>
  </si>
  <si>
    <t>百战死·精</t>
  </si>
  <si>
    <t xml:space="preserve">Hundred Battles to Death·Refined  </t>
  </si>
  <si>
    <t>Test For English113</t>
  </si>
  <si>
    <t>镇·精</t>
  </si>
  <si>
    <t xml:space="preserve">Suppression·Refined  </t>
  </si>
  <si>
    <t>Test For English114</t>
  </si>
  <si>
    <t>包铜长棍</t>
  </si>
  <si>
    <t xml:space="preserve">Bronze-Wrapped Long Staff  </t>
  </si>
  <si>
    <t>Test For English115</t>
  </si>
  <si>
    <t>精铁枪</t>
  </si>
  <si>
    <t xml:space="preserve">Iron Spear  </t>
  </si>
  <si>
    <t>铁精锻成，颇具份量。</t>
  </si>
  <si>
    <t>Test For English116</t>
  </si>
  <si>
    <t>白月切</t>
  </si>
  <si>
    <t xml:space="preserve">White Moon Cutter  </t>
  </si>
  <si>
    <t>依东瀛形制所锻的薙刀,铭有刀号“白月切”意指其刀快利，可斩断月光。</t>
  </si>
  <si>
    <t>Test For English117</t>
  </si>
  <si>
    <t>item/104204</t>
  </si>
  <si>
    <t>春正满</t>
  </si>
  <si>
    <t xml:space="preserve">Spring in Full Bloom  </t>
  </si>
  <si>
    <t>wuqi/changbing/gun8</t>
  </si>
  <si>
    <t>BOSS特效</t>
  </si>
  <si>
    <t>攻击力+110</t>
  </si>
  <si>
    <t>双垂南浦拂红莲，却道春正满，葛有方惯用兵刃，乃丐帮前任帮主所赠，纵使百般陈旧，亦不肯易。可为攻击附加[灼烧]效果，但会降低装备的基础属性。</t>
  </si>
  <si>
    <t>Test For English118</t>
  </si>
  <si>
    <t>item/104504</t>
  </si>
  <si>
    <t>精铜蛇矛</t>
  </si>
  <si>
    <t xml:space="preserve">Bronze Serpent Spear  </t>
  </si>
  <si>
    <t>wuqi/changbing/qiang2</t>
  </si>
  <si>
    <t>Test For English119</t>
  </si>
  <si>
    <t>item/104302</t>
  </si>
  <si>
    <t>胜赞</t>
  </si>
  <si>
    <t xml:space="preserve">Victory Praise  </t>
  </si>
  <si>
    <t>辽东大旗门习武用枪，用料扎实。</t>
  </si>
  <si>
    <t>Test For English120</t>
  </si>
  <si>
    <t>飞镰枪</t>
  </si>
  <si>
    <t xml:space="preserve">Flying Sickle Spear  </t>
  </si>
  <si>
    <t>除枪尖雪白外通体猩红，隐有凶戾之气。</t>
  </si>
  <si>
    <t>Test For English121</t>
  </si>
  <si>
    <t>旧纸扇</t>
  </si>
  <si>
    <t xml:space="preserve">Old Paper Fan  </t>
  </si>
  <si>
    <t>扇子</t>
  </si>
  <si>
    <t>wuqi/shanzi/shanzi</t>
  </si>
  <si>
    <t>普通人家常见之物。</t>
  </si>
  <si>
    <t>Test For English122</t>
  </si>
  <si>
    <t>item/105001</t>
  </si>
  <si>
    <t>旧纸扇·精</t>
  </si>
  <si>
    <t xml:space="preserve">Old Paper Fan·Refined  </t>
  </si>
  <si>
    <t>Test For English123</t>
  </si>
  <si>
    <t>山水画扇</t>
  </si>
  <si>
    <t xml:space="preserve">Landscape Painting Fan  </t>
  </si>
  <si>
    <t>wuqi/shanzi/shanzi2</t>
  </si>
  <si>
    <t>扇面绘有竹枝，颇显清雅。</t>
  </si>
  <si>
    <t>Test For English124</t>
  </si>
  <si>
    <t>item/105002</t>
  </si>
  <si>
    <t>山水画扇·精</t>
  </si>
  <si>
    <t xml:space="preserve">Landscape Painting Fan·Refined  </t>
  </si>
  <si>
    <t>Test For English125</t>
  </si>
  <si>
    <t>呦呦鹿鸣</t>
  </si>
  <si>
    <t xml:space="preserve">Deer Calling Softly  </t>
  </si>
  <si>
    <t>wuqi/shanzi/shanzi4</t>
  </si>
  <si>
    <t>轻便不失精美，上绘桃花，多为江湖儒客所喜。</t>
  </si>
  <si>
    <t>Test For English126</t>
  </si>
  <si>
    <t>item/105003</t>
  </si>
  <si>
    <t>江南行尽</t>
  </si>
  <si>
    <t xml:space="preserve">Journey Through Jiangnan  </t>
  </si>
  <si>
    <t>wuqi/shanzi/shanzi3</t>
  </si>
  <si>
    <t>牙雕扇骨，扇绘名家劲竹，价值不菲，风骨不渝。</t>
  </si>
  <si>
    <t>Test For English127</t>
  </si>
  <si>
    <t>item/105004</t>
  </si>
  <si>
    <t>游方知北</t>
  </si>
  <si>
    <t xml:space="preserve">Wandering Knows the North  </t>
  </si>
  <si>
    <t>wuqi/shanzi/shanzi5</t>
  </si>
  <si>
    <t>扇骨扇面尽皆坚固轻便，用料名贵，携之云游万里，亦不失其新时光彩。</t>
  </si>
  <si>
    <t>Test For English128</t>
  </si>
  <si>
    <t>item/105005</t>
  </si>
  <si>
    <t>雅素</t>
  </si>
  <si>
    <t xml:space="preserve">Elegant Simplicity  </t>
  </si>
  <si>
    <t>wuqi/shanzi/shanzi6</t>
  </si>
  <si>
    <t>新竹高于旧竹枝，全凭老干为扶持。明年再有新生者，十丈龙孙绕凤池。</t>
  </si>
  <si>
    <t>Test For English129</t>
  </si>
  <si>
    <t>item/105006</t>
  </si>
  <si>
    <t>秋风悲画</t>
  </si>
  <si>
    <t xml:space="preserve">Autumn Wind Mourns the Painting  </t>
  </si>
  <si>
    <t>wuqi/shanzi/shanzi7</t>
  </si>
  <si>
    <t>扇骨藏锋，旋如蝶舞，振之隐有风吟。</t>
  </si>
  <si>
    <t>Test For English130</t>
  </si>
  <si>
    <t>item/105007</t>
  </si>
  <si>
    <t>秋风悲画·精</t>
  </si>
  <si>
    <t xml:space="preserve">Autumn Wind Mourns the Painting·Refined  </t>
  </si>
  <si>
    <t>Test For English131</t>
  </si>
  <si>
    <t>饮余生</t>
  </si>
  <si>
    <t xml:space="preserve">Drink the Rest of Life  </t>
  </si>
  <si>
    <t>wuqi/shanzi/shanzi13</t>
  </si>
  <si>
    <t>余生漫漫，唯饮者矣，余生转瞬，唯饮者矣。</t>
  </si>
  <si>
    <t>Test For English132</t>
  </si>
  <si>
    <t>item/105008</t>
  </si>
  <si>
    <t>焚琴煮鹤</t>
  </si>
  <si>
    <t xml:space="preserve">Burn the Zither to Boil the Crane  </t>
  </si>
  <si>
    <t>wuqi/shanzi/shanzi14</t>
  </si>
  <si>
    <t>知音难觅，雅乐难寻，焚琴煮鹤，聊以自解。</t>
  </si>
  <si>
    <t>Test For English133</t>
  </si>
  <si>
    <t>item/105009</t>
  </si>
  <si>
    <t>展颜</t>
  </si>
  <si>
    <t xml:space="preserve">Unfolding Smile  </t>
  </si>
  <si>
    <t>wuqi/shanzi/shanzi15</t>
  </si>
  <si>
    <t>江山千里，人世千年，若展颜初见，一别两宽。</t>
  </si>
  <si>
    <t>Test For English134</t>
  </si>
  <si>
    <t>item/105010</t>
  </si>
  <si>
    <t>饮余生·精</t>
  </si>
  <si>
    <t xml:space="preserve">Drink the Rest of Life·Refined  </t>
  </si>
  <si>
    <t>Test For English135</t>
  </si>
  <si>
    <t>焚琴煮鹤·精</t>
  </si>
  <si>
    <t xml:space="preserve">Burn the Zither to Boil the Crane·Refined  </t>
  </si>
  <si>
    <t>Test For English136</t>
  </si>
  <si>
    <t>展颜·精</t>
  </si>
  <si>
    <t xml:space="preserve">Unfolding Smile·Refined  </t>
  </si>
  <si>
    <t>Test For English137</t>
  </si>
  <si>
    <t>铜骨折扇</t>
  </si>
  <si>
    <t xml:space="preserve">Bronze-Ribbed Fan  </t>
  </si>
  <si>
    <t>Test For English138</t>
  </si>
  <si>
    <t>item/105202</t>
  </si>
  <si>
    <t>秋江意</t>
  </si>
  <si>
    <t xml:space="preserve">Autumn River Mood  </t>
  </si>
  <si>
    <t>牙雕扇骨，价值不菲。</t>
  </si>
  <si>
    <t>Test For English139</t>
  </si>
  <si>
    <t>鎏金扇面，华贵雅致。</t>
  </si>
  <si>
    <t>Test For English140</t>
  </si>
  <si>
    <t>item/105204</t>
  </si>
  <si>
    <t>君子意</t>
  </si>
  <si>
    <t xml:space="preserve">Gentleman's Intent  </t>
  </si>
  <si>
    <t>wuqi/shanzi/shanzi12</t>
  </si>
  <si>
    <t>千磨万击还坚劲，任尔东西南北风。可降低敌人的武力。</t>
  </si>
  <si>
    <t>Test For English141</t>
  </si>
  <si>
    <t>item/105206</t>
  </si>
  <si>
    <t>飞蝗石</t>
  </si>
  <si>
    <t xml:space="preserve">Flying Locust Stone  </t>
  </si>
  <si>
    <t>暗器</t>
  </si>
  <si>
    <t>wuqi/anqi/anqi1</t>
  </si>
  <si>
    <t>普通石子经挑选、收集、打磨，方可称“飞蝗”，取其挥洒间遮天蔽日、飞掠破空之意。</t>
  </si>
  <si>
    <t>Test For English142</t>
  </si>
  <si>
    <t>item/106001</t>
  </si>
  <si>
    <t>薄柳镖</t>
  </si>
  <si>
    <t xml:space="preserve">Thin Willow Dart  </t>
  </si>
  <si>
    <t>wuqi/anqi/anqi2</t>
  </si>
  <si>
    <t>随处可见的双刃飞镖，轻薄便携。</t>
  </si>
  <si>
    <t>Test For English143</t>
  </si>
  <si>
    <t>item/106002</t>
  </si>
  <si>
    <t>寒星</t>
  </si>
  <si>
    <t xml:space="preserve">Cold Star  </t>
  </si>
  <si>
    <t>wuqi/anqi/anqi3</t>
  </si>
  <si>
    <t>精铁百锻，上可淬毒，本是行伍设伏所用，后经暗器高手改制，亦能袖下伤敌。</t>
  </si>
  <si>
    <t>Test For English144</t>
  </si>
  <si>
    <t>item/106003</t>
  </si>
  <si>
    <t>梦佳期</t>
  </si>
  <si>
    <t xml:space="preserve">Dream of Good Times  </t>
  </si>
  <si>
    <t>wuqi/anqi/anqi4</t>
  </si>
  <si>
    <t>形制奇异，颇为沉重，腕力雄强者方可操持。</t>
  </si>
  <si>
    <t>Test For English145</t>
  </si>
  <si>
    <t>item/106004</t>
  </si>
  <si>
    <t>断梅</t>
  </si>
  <si>
    <t xml:space="preserve">Broken Plum  </t>
  </si>
  <si>
    <t>wuqi/anqi/anqi5</t>
  </si>
  <si>
    <t>锋利坚韧，形制朴实无华，却能有千变万化，江湖中的暗器好手无不喜此形制。</t>
  </si>
  <si>
    <t>Test For English146</t>
  </si>
  <si>
    <t>item/106005</t>
  </si>
  <si>
    <t>兰庭芳草</t>
  </si>
  <si>
    <t xml:space="preserve">Orchid Courtyard Fragrant Grass  </t>
  </si>
  <si>
    <t>wuqi/anqi/anqi6</t>
  </si>
  <si>
    <t>精铁锻磨而成，挥洒之际，钉骨穿心。</t>
  </si>
  <si>
    <t>Test For English147</t>
  </si>
  <si>
    <t>item/106006</t>
  </si>
  <si>
    <t>霜月</t>
  </si>
  <si>
    <t xml:space="preserve">Frost Moon  </t>
  </si>
  <si>
    <t>wuqi/anqi/anqi7</t>
  </si>
  <si>
    <t>寒铁雕成，形如春兰，撕风裂骨，寂静无声。</t>
  </si>
  <si>
    <t>Test For English148</t>
  </si>
  <si>
    <t>item/106007</t>
  </si>
  <si>
    <t>霜月·精</t>
  </si>
  <si>
    <t xml:space="preserve">Frost Moon·Refined  </t>
  </si>
  <si>
    <t>Test For English149</t>
  </si>
  <si>
    <t>离愁</t>
  </si>
  <si>
    <t xml:space="preserve">Parting Sorrow  </t>
  </si>
  <si>
    <t>wuqi/anqi/anqi10</t>
  </si>
  <si>
    <t>雨滴落尽，离愁千绪，可对影者何？</t>
  </si>
  <si>
    <t>Test For English150</t>
  </si>
  <si>
    <t>item/106008</t>
  </si>
  <si>
    <t>红拂</t>
  </si>
  <si>
    <t xml:space="preserve">Red Whisk  </t>
  </si>
  <si>
    <t>wuqi/anqi/anqi9</t>
  </si>
  <si>
    <t>红拂萧稍紫麟尾，夜半蒙羞见君子。</t>
  </si>
  <si>
    <t>Test For English151</t>
  </si>
  <si>
    <t>item/106009</t>
  </si>
  <si>
    <t>楚人赋</t>
  </si>
  <si>
    <t xml:space="preserve">Chu Man's Ode  </t>
  </si>
  <si>
    <t>wuqi/anqi/anqi11</t>
  </si>
  <si>
    <t>无名楚墓所得，千年不朽，刚锐如新。</t>
  </si>
  <si>
    <t>Test For English152</t>
  </si>
  <si>
    <t>item/106010</t>
  </si>
  <si>
    <t>离愁·精</t>
  </si>
  <si>
    <t xml:space="preserve">Parting Sorrow·Refined  </t>
  </si>
  <si>
    <t>Test For English153</t>
  </si>
  <si>
    <t>红拂·精</t>
  </si>
  <si>
    <t xml:space="preserve">Red Whisk·Refined  </t>
  </si>
  <si>
    <t>Test For English154</t>
  </si>
  <si>
    <t>楚人赋·精</t>
  </si>
  <si>
    <t xml:space="preserve">Chu Man's Ode·Refined  </t>
  </si>
  <si>
    <t>Test For English155</t>
  </si>
  <si>
    <t>精铜飞梭</t>
  </si>
  <si>
    <t xml:space="preserve">Bronze Flying Shuttle  </t>
  </si>
  <si>
    <t>Test For English156</t>
  </si>
  <si>
    <t>精铁飞刀</t>
  </si>
  <si>
    <t xml:space="preserve">Iron Throwing Knife  </t>
  </si>
  <si>
    <t>一套镔铁飞刀，精致隽雅，破空无声。</t>
  </si>
  <si>
    <t>Test For English157</t>
  </si>
  <si>
    <t>裁雪</t>
  </si>
  <si>
    <t xml:space="preserve">Snow Cutter  </t>
  </si>
  <si>
    <t>寒玉雕成，摧心穿骨。</t>
  </si>
  <si>
    <t>Test For English158</t>
  </si>
  <si>
    <t>item/106204</t>
  </si>
  <si>
    <t>旧木蹬</t>
  </si>
  <si>
    <t xml:space="preserve">Old Wooden Stirrup  </t>
  </si>
  <si>
    <t>靴头</t>
  </si>
  <si>
    <t>木制的旧靴头，已被上任主人用得油光发亮。</t>
  </si>
  <si>
    <t>Test For English159</t>
  </si>
  <si>
    <t>item/109001</t>
  </si>
  <si>
    <t>千层底</t>
  </si>
  <si>
    <t xml:space="preserve">Thousand-Layer Sole  </t>
  </si>
  <si>
    <t>边角铜料压制而成，勉堪一用。</t>
  </si>
  <si>
    <t>Test For English160</t>
  </si>
  <si>
    <t>item/109002</t>
  </si>
  <si>
    <t>一字蹬</t>
  </si>
  <si>
    <t xml:space="preserve">Single-Step Stirrup  </t>
  </si>
  <si>
    <t>精铁靴头，前缀借以伤敌的铁刃。</t>
  </si>
  <si>
    <t>Test For English161</t>
  </si>
  <si>
    <t>item/109003</t>
  </si>
  <si>
    <t>望山难</t>
  </si>
  <si>
    <t xml:space="preserve">Gazing at Distant Mountains  </t>
  </si>
  <si>
    <t>上锻短枪，借以攀山附崖，如履平地。</t>
  </si>
  <si>
    <t>Test For English162</t>
  </si>
  <si>
    <t>item/109004</t>
  </si>
  <si>
    <t>绵里藏针</t>
  </si>
  <si>
    <t xml:space="preserve">Needle Hidden in Cotton  </t>
  </si>
  <si>
    <t>暗含机扩，其上枪头可伸缩自如，颇为精巧。</t>
  </si>
  <si>
    <t>Test For English163</t>
  </si>
  <si>
    <t>item/109005</t>
  </si>
  <si>
    <t>焚琴折竹</t>
  </si>
  <si>
    <t xml:space="preserve">Burn the Zither, Break the Bamboo  </t>
  </si>
  <si>
    <t>内藏收发由心的精铁短刀，可令敌防不胜防。</t>
  </si>
  <si>
    <t>Test For English164</t>
  </si>
  <si>
    <t>item/109006</t>
  </si>
  <si>
    <t>五岳三山</t>
  </si>
  <si>
    <t xml:space="preserve">Five Peaks and Three Mountains  </t>
  </si>
  <si>
    <t>内嵌百锻利刃，吹毛断发，锐不可当。</t>
  </si>
  <si>
    <t>Test For English165</t>
  </si>
  <si>
    <t>item/109007</t>
  </si>
  <si>
    <t>五岳三山·精</t>
  </si>
  <si>
    <t xml:space="preserve">Five Peaks and Three Mountains·Refined  </t>
  </si>
  <si>
    <t>Test For English166</t>
  </si>
  <si>
    <t>踏雪</t>
  </si>
  <si>
    <t xml:space="preserve">Treading on Snow  </t>
  </si>
  <si>
    <t>踏雪寻梅，晴时馨，落时寞。</t>
  </si>
  <si>
    <t>Test For English167</t>
  </si>
  <si>
    <t>item/109008</t>
  </si>
  <si>
    <t>游子</t>
  </si>
  <si>
    <t xml:space="preserve">Wandering Son  </t>
  </si>
  <si>
    <t>人世逆旅，远行之人，皆为他乡客。</t>
  </si>
  <si>
    <t>Test For English168</t>
  </si>
  <si>
    <t>item/109009</t>
  </si>
  <si>
    <t>捭阖</t>
  </si>
  <si>
    <t xml:space="preserve">Open and Close  </t>
  </si>
  <si>
    <t>纵横捭阖，天地虽大，任人去得，愁绪离索，何足挂碍。</t>
  </si>
  <si>
    <t>Test For English169</t>
  </si>
  <si>
    <t>item/109010</t>
  </si>
  <si>
    <t>踏雪·精</t>
  </si>
  <si>
    <t xml:space="preserve">Treading on Snow·Refined  </t>
  </si>
  <si>
    <t>Test For English170</t>
  </si>
  <si>
    <t>游子·精</t>
  </si>
  <si>
    <t xml:space="preserve">Wandering Son·Refined  </t>
  </si>
  <si>
    <t>Test For English171</t>
  </si>
  <si>
    <t>捭阖·精</t>
  </si>
  <si>
    <t xml:space="preserve">Open and Close·Refined  </t>
  </si>
  <si>
    <t>Test For English172</t>
  </si>
  <si>
    <t>精铜靴头</t>
  </si>
  <si>
    <t xml:space="preserve">Bronze Boot Toe  </t>
  </si>
  <si>
    <t>Test For English173</t>
  </si>
  <si>
    <t>分水踏</t>
  </si>
  <si>
    <t xml:space="preserve">Water-Parting Step  </t>
  </si>
  <si>
    <t>关外名匠打制，内嵌精铁横刃，锐不可当。</t>
  </si>
  <si>
    <t>Test For English174</t>
  </si>
  <si>
    <t>朱履</t>
  </si>
  <si>
    <t xml:space="preserve">Vermilion Slippers  </t>
  </si>
  <si>
    <t>甲盾辟易，朱血染履。</t>
  </si>
  <si>
    <t>Test For English175</t>
  </si>
  <si>
    <t>item/109204</t>
  </si>
  <si>
    <t>竹木切</t>
  </si>
  <si>
    <t xml:space="preserve">Bamboo and Wood Cutter  </t>
  </si>
  <si>
    <t>双手轻刃</t>
  </si>
  <si>
    <t>wuqi/shuangshouqingren/shuangshouqingren</t>
  </si>
  <si>
    <t>竹木所制的刀，材质虽平平无奇，但造型古怪奇特，中原少见。</t>
  </si>
  <si>
    <t>Test For English176</t>
  </si>
  <si>
    <t>item/110001</t>
  </si>
  <si>
    <t>铁丸</t>
  </si>
  <si>
    <t xml:space="preserve">Iron Pellet  </t>
  </si>
  <si>
    <t>wuqi/shuangshouqingren/shuangshouqingren2</t>
  </si>
  <si>
    <t>锻淬工艺皆为汉式的仿倭长刀，二者相合，却别有一番锋锐。</t>
  </si>
  <si>
    <t>Test For English177</t>
  </si>
  <si>
    <t>item/110002</t>
  </si>
  <si>
    <t>制式和刀</t>
  </si>
  <si>
    <t xml:space="preserve">Standard Wado Blade  </t>
  </si>
  <si>
    <t>wuqi/shuangshouqingren/shuangshouqingren3</t>
  </si>
  <si>
    <t>东瀛倭寇多有所佩，锻法与中原迥异。</t>
  </si>
  <si>
    <t>Test For English178</t>
  </si>
  <si>
    <t>item/110003</t>
  </si>
  <si>
    <t>赤鸾</t>
  </si>
  <si>
    <t xml:space="preserve">Red Phoenix  </t>
  </si>
  <si>
    <t>wuqi/shuangshouqingren/shuangshouqingren4</t>
  </si>
  <si>
    <t>南疆苗地多见刀型，刺、挑、劈、削，无所不能。</t>
  </si>
  <si>
    <t>Test For English179</t>
  </si>
  <si>
    <t>item/110004</t>
  </si>
  <si>
    <t>隼前</t>
  </si>
  <si>
    <t xml:space="preserve">Falcon's Front  </t>
  </si>
  <si>
    <t>wuqi/shuangshouqingren/shuangshouqingren5</t>
  </si>
  <si>
    <t>出自东瀛刀匠之手，统一制式，锋利耐用，颇为难得。</t>
  </si>
  <si>
    <t>Test For English180</t>
  </si>
  <si>
    <t>item/110005</t>
  </si>
  <si>
    <t>远海惊涛</t>
  </si>
  <si>
    <t xml:space="preserve">Distant Sea Roaring Waves  </t>
  </si>
  <si>
    <t>wuqi/shuangshouqingren/shuangshouqingren6</t>
  </si>
  <si>
    <t>倭寇精锐制式佩刀，颇为难觅，因其远渡重洋而来，故得此名。</t>
  </si>
  <si>
    <t>Test For English181</t>
  </si>
  <si>
    <t>item/110006</t>
  </si>
  <si>
    <t>丸锻隼前龙光</t>
  </si>
  <si>
    <t xml:space="preserve">Forged Falcon's Front Dragon Light  </t>
  </si>
  <si>
    <t>wuqi/shuangshouqingren/shuangshouqingren7</t>
  </si>
  <si>
    <t>刀镡镌有“隼前竜光”四字，刃纹精美，匠工极精，锋利轻盈，切金断玉不在话下。</t>
  </si>
  <si>
    <t>Test For English182</t>
  </si>
  <si>
    <t>item/110007</t>
  </si>
  <si>
    <t>丸锻隼前龙光·精</t>
  </si>
  <si>
    <t xml:space="preserve">Forged Falcon's Front Dragon Light·Refined  </t>
  </si>
  <si>
    <t>Test For English183</t>
  </si>
  <si>
    <t>绿竹</t>
  </si>
  <si>
    <t xml:space="preserve">Green Bamboo  </t>
  </si>
  <si>
    <t>wuqi/shuangshouqingren/shuangshouqingren9</t>
  </si>
  <si>
    <t>东瀛所遗至中土之物，锋锐轻灵，远非寻常。</t>
  </si>
  <si>
    <t>Test For English184</t>
  </si>
  <si>
    <t>item/110008</t>
  </si>
  <si>
    <t>鬼十刃</t>
  </si>
  <si>
    <t xml:space="preserve">Ghost Ten Blades  </t>
  </si>
  <si>
    <t>wuqi/shuangshouqingren/shuangshouqingren10</t>
  </si>
  <si>
    <t>据传此刃为天涯海阁掌门左三思与东瀛来人激战所得，然弃之不用，后流传至此。</t>
  </si>
  <si>
    <t>Test For English185</t>
  </si>
  <si>
    <t>item/110009</t>
  </si>
  <si>
    <t>至心</t>
  </si>
  <si>
    <t xml:space="preserve">Utmost Heart  </t>
  </si>
  <si>
    <t>wuqi/shuangshouqingren/shuangshouqingren11</t>
  </si>
  <si>
    <t>来历不可考，据传诸多东瀛人士愿以高价寻求此刃的下落。</t>
  </si>
  <si>
    <t>Test For English186</t>
  </si>
  <si>
    <t>item/110010</t>
  </si>
  <si>
    <t>绿竹·精</t>
  </si>
  <si>
    <t xml:space="preserve">Green Bamboo·Refined  </t>
  </si>
  <si>
    <t>Test For English187</t>
  </si>
  <si>
    <t>鬼十刃·精</t>
  </si>
  <si>
    <t xml:space="preserve">Ghost Ten Blades·Refined  </t>
  </si>
  <si>
    <t>Test For English188</t>
  </si>
  <si>
    <t>至心·精</t>
  </si>
  <si>
    <t xml:space="preserve">Utmost Heart·Refined  </t>
  </si>
  <si>
    <t>Test For English189</t>
  </si>
  <si>
    <t>精铜苗刀</t>
  </si>
  <si>
    <t xml:space="preserve">Bronze Miaodao  </t>
  </si>
  <si>
    <t>Test For English190</t>
  </si>
  <si>
    <t>精锻和刀</t>
  </si>
  <si>
    <t xml:space="preserve">Refined Wado Blade  </t>
  </si>
  <si>
    <t>精工细作的倭刀，随沿海倭乱流入中原。</t>
  </si>
  <si>
    <t>Test For English191</t>
  </si>
  <si>
    <t>百人一首</t>
  </si>
  <si>
    <t xml:space="preserve">Hundred Poems  </t>
  </si>
  <si>
    <t>异国武将遗刀，上铭倭文诗句，似出自东瀛名匠之手。</t>
  </si>
  <si>
    <t>Test For English192</t>
  </si>
  <si>
    <t>糙牙锤</t>
  </si>
  <si>
    <t xml:space="preserve">Rough Fang Hammer  </t>
  </si>
  <si>
    <t>绳镖</t>
  </si>
  <si>
    <t>wuqi/shengbiao/shengbiao2</t>
  </si>
  <si>
    <t>以旧铁链与粗制铁球简单融成，难称牢靠。</t>
  </si>
  <si>
    <t>Test For English193</t>
  </si>
  <si>
    <t>item/111001</t>
  </si>
  <si>
    <t>乱狼牙</t>
  </si>
  <si>
    <t xml:space="preserve">Chaotic Wolf Fang  </t>
  </si>
  <si>
    <t>wuqi/shengbiao/shengbiao3</t>
  </si>
  <si>
    <t>铁链牙锤一体锻成，然太过笨重，远抛近击全凭膂力。</t>
  </si>
  <si>
    <t>Test For English194</t>
  </si>
  <si>
    <t>item/111002</t>
  </si>
  <si>
    <t>流星坠</t>
  </si>
  <si>
    <t xml:space="preserve">Falling Meteor  </t>
  </si>
  <si>
    <t>wuqi/shengbiao/shengbiao</t>
  </si>
  <si>
    <t>均衡牢靠，做工上乘。</t>
  </si>
  <si>
    <t>Test For English195</t>
  </si>
  <si>
    <t>item/111003</t>
  </si>
  <si>
    <t>追魂锁</t>
  </si>
  <si>
    <t xml:space="preserve">Soul-Chasing Chain  </t>
  </si>
  <si>
    <t>wuqi/shengbiao/shengbiao4</t>
  </si>
  <si>
    <t>十步之内，取人首级如探囊取物。</t>
  </si>
  <si>
    <t>Test For English196</t>
  </si>
  <si>
    <t>item/111004</t>
  </si>
  <si>
    <t>穿云锥</t>
  </si>
  <si>
    <t xml:space="preserve">Cloud-Piercing Spike  </t>
  </si>
  <si>
    <t>wuqi/shengbiao/shengbiao5</t>
  </si>
  <si>
    <t>铁索上连两枚熟铜镖头。运使时翻腾飞舞，隐有穿云破空之声。</t>
  </si>
  <si>
    <t>Test For English197</t>
  </si>
  <si>
    <t>item/111005</t>
  </si>
  <si>
    <t>阎罗夺</t>
  </si>
  <si>
    <t xml:space="preserve">Yama's Seizure  </t>
  </si>
  <si>
    <t>wuqi/shengbiao/shengbiao6</t>
  </si>
  <si>
    <t>精铁锻刃，追魂索命。</t>
  </si>
  <si>
    <t>Test For English198</t>
  </si>
  <si>
    <t>item/111006</t>
  </si>
  <si>
    <t>玉露</t>
  </si>
  <si>
    <t xml:space="preserve">Jade Dew  </t>
  </si>
  <si>
    <t>wuqi/shengbiao/shengbiao7</t>
  </si>
  <si>
    <t>由来碧落银河畔，可要金风玉露时。</t>
  </si>
  <si>
    <t>Test For English199</t>
  </si>
  <si>
    <t>item/111007</t>
  </si>
  <si>
    <t>饮风</t>
  </si>
  <si>
    <t xml:space="preserve">Drink the Wind  </t>
  </si>
  <si>
    <t>wuqi/shengbiao/shengbiao9</t>
  </si>
  <si>
    <t>姑射神人饮风灵，淮南鸡犬依丹灶。</t>
  </si>
  <si>
    <t>Test For English200</t>
  </si>
  <si>
    <t>item/111008</t>
  </si>
  <si>
    <t>幽音</t>
  </si>
  <si>
    <t xml:space="preserve">Eerie Sound  </t>
  </si>
  <si>
    <t>wuqi/shengbiao/shengbiao10</t>
  </si>
  <si>
    <t>迢迢万里隔，托此传幽音。</t>
  </si>
  <si>
    <t>Test For English201</t>
  </si>
  <si>
    <t>item/111009</t>
  </si>
  <si>
    <t>碎幻</t>
  </si>
  <si>
    <t xml:space="preserve">Shattered Illusion  </t>
  </si>
  <si>
    <t>wuqi/shengbiao/shengbiao11</t>
  </si>
  <si>
    <t>割肠痛连心，心碎骨亦伤。</t>
  </si>
  <si>
    <t>Test For English202</t>
  </si>
  <si>
    <t>item/111010</t>
  </si>
  <si>
    <t>玉露·精</t>
  </si>
  <si>
    <t xml:space="preserve">Jade Dew·Refined  </t>
  </si>
  <si>
    <t>Test For English203</t>
  </si>
  <si>
    <t>饮风·精</t>
  </si>
  <si>
    <t xml:space="preserve">Drink the Wind·Refined  </t>
  </si>
  <si>
    <t>Test For English204</t>
  </si>
  <si>
    <t>幽音·精</t>
  </si>
  <si>
    <t xml:space="preserve">Eerie Sound·Refined  </t>
  </si>
  <si>
    <t>Test For English205</t>
  </si>
  <si>
    <t>碎幻·精</t>
  </si>
  <si>
    <t xml:space="preserve">Shattered Illusion·Refined  </t>
  </si>
  <si>
    <t>Test For English206</t>
  </si>
  <si>
    <t>连环鬼索</t>
  </si>
  <si>
    <t xml:space="preserve">Linked Ghost Chain  </t>
  </si>
  <si>
    <t>铸铁勾连而成，腾空扭舞之际，仿佛恶鬼索命。</t>
  </si>
  <si>
    <t>Test For English207</t>
  </si>
  <si>
    <t>定魂锥</t>
  </si>
  <si>
    <t xml:space="preserve">Soul-Fixing Spike  </t>
  </si>
  <si>
    <t>挥舞间隐有风雷之声。</t>
  </si>
  <si>
    <t>Test For English208</t>
  </si>
  <si>
    <t>碧麟抓</t>
  </si>
  <si>
    <t xml:space="preserve">Azure Scale Claw  </t>
  </si>
  <si>
    <t>形如鬼手，远投近缠，妙用无方。</t>
  </si>
  <si>
    <t>Test For English209</t>
  </si>
  <si>
    <t>论秤分金</t>
  </si>
  <si>
    <t xml:space="preserve">Weighing Gold by the Catty  </t>
  </si>
  <si>
    <t>wuqi/shengbiao/shengbiao8</t>
  </si>
  <si>
    <t>攻击力+65</t>
  </si>
  <si>
    <t>形似大秤的奇门兵器，秤钩、飞链之上遍布干涸污血，用以荼害性命、残人筋骨，无往不利。可为攻击附加[流血]效果，但会降低装备的基础属性。</t>
  </si>
  <si>
    <t>Test For English210</t>
  </si>
  <si>
    <t>item/111303</t>
  </si>
  <si>
    <t>小木弓</t>
  </si>
  <si>
    <t xml:space="preserve">Small Wooden Bow  </t>
  </si>
  <si>
    <t>弓箭</t>
  </si>
  <si>
    <t>wuqi/gongjian/gongjian7</t>
  </si>
  <si>
    <t>柳条为弦制成的小弓，劲力微弱，不外顽童玩物。</t>
  </si>
  <si>
    <t>Test For English211</t>
  </si>
  <si>
    <t>item/112001</t>
  </si>
  <si>
    <t>竹木弓</t>
  </si>
  <si>
    <t xml:space="preserve">Bamboo Bow  </t>
  </si>
  <si>
    <t>wuqi/gongjian/gongjian6</t>
  </si>
  <si>
    <t>竹片辅以韧丝制成，初学者亦能轻易拉开。</t>
  </si>
  <si>
    <t>Test For English212</t>
  </si>
  <si>
    <t>item/112002</t>
  </si>
  <si>
    <t>坚臂弓</t>
  </si>
  <si>
    <t xml:space="preserve">Sturdy Arm Bow  </t>
  </si>
  <si>
    <t>wuqi/gongjian/gongjian</t>
  </si>
  <si>
    <t>铁木为臂，牛筋为弦，结实牢靠。</t>
  </si>
  <si>
    <t>Test For English213</t>
  </si>
  <si>
    <t>item/112003</t>
  </si>
  <si>
    <t>犀角弓</t>
  </si>
  <si>
    <t xml:space="preserve">Rhinoceros Horn Bow  </t>
  </si>
  <si>
    <t>wuqi/gongjian/gongjian5</t>
  </si>
  <si>
    <t>强筋为弦，饰以坚角，力气寻常之人恐难操持。</t>
  </si>
  <si>
    <t>Test For English214</t>
  </si>
  <si>
    <t>item/112004</t>
  </si>
  <si>
    <t>凤阙弓</t>
  </si>
  <si>
    <t xml:space="preserve">Phoenix Tower Bow  </t>
  </si>
  <si>
    <t>wuqi/gongjian/gongjian2</t>
  </si>
  <si>
    <t>边军旧弓，势大力沉，因战乱流入江湖。</t>
  </si>
  <si>
    <t>Test For English215</t>
  </si>
  <si>
    <t>item/112005</t>
  </si>
  <si>
    <t>靺鞨弓</t>
  </si>
  <si>
    <t xml:space="preserve">Mohe Bow  </t>
  </si>
  <si>
    <t>wuqi/gongjian/gongjian4</t>
  </si>
  <si>
    <t>女真传入，便于骑射，需极强膂力方能拉开，能破铠伤人，威力极大。</t>
  </si>
  <si>
    <t>Test For English216</t>
  </si>
  <si>
    <t>item/112006</t>
  </si>
  <si>
    <t>北逐天狼</t>
  </si>
  <si>
    <t xml:space="preserve">Chasing the Northern Wolf  </t>
  </si>
  <si>
    <t>wuqi/gongjian/gongjian3</t>
  </si>
  <si>
    <t>玉靶角弓珠勒马，汉家将赐霍嫖姚。</t>
  </si>
  <si>
    <t>Test For English217</t>
  </si>
  <si>
    <t>item/112007</t>
  </si>
  <si>
    <t>北逐天狼·精</t>
  </si>
  <si>
    <t xml:space="preserve">Chasing the Northern Wolf·Refined  </t>
  </si>
  <si>
    <t>Test For English218</t>
  </si>
  <si>
    <t>墨枢</t>
  </si>
  <si>
    <t xml:space="preserve">Ink Pivot  </t>
  </si>
  <si>
    <t>wuqi/gongjian/gongjian8</t>
  </si>
  <si>
    <t>玉堂金马隔青云，墨客儒生皆白首。</t>
  </si>
  <si>
    <t>Test For English219</t>
  </si>
  <si>
    <t>item/112008</t>
  </si>
  <si>
    <t>寒弦逐月</t>
  </si>
  <si>
    <t xml:space="preserve">Cold String Chasing the Moon  </t>
  </si>
  <si>
    <t>wuqi/gongjian/gongjian9</t>
  </si>
  <si>
    <t>有天将军名太白，尝配明月逐月魄。</t>
  </si>
  <si>
    <t>Test For English220</t>
  </si>
  <si>
    <t>item/112009</t>
  </si>
  <si>
    <t>青冥羽</t>
  </si>
  <si>
    <t xml:space="preserve">Azure Feather  </t>
  </si>
  <si>
    <t>wuqi/gongjian/gongjian10</t>
  </si>
  <si>
    <t>洞拆三叉盘空曲，壁立万仞穿青冥。</t>
  </si>
  <si>
    <t>Test For English221</t>
  </si>
  <si>
    <t>item/112010</t>
  </si>
  <si>
    <t>墨枢·精</t>
  </si>
  <si>
    <t xml:space="preserve">Ink Pivot·Refined  </t>
  </si>
  <si>
    <t>Test For English222</t>
  </si>
  <si>
    <t>寒弦逐月·精</t>
  </si>
  <si>
    <t xml:space="preserve">Cold String Chasing the Moon·Refined  </t>
  </si>
  <si>
    <t>Test For English223</t>
  </si>
  <si>
    <t>青冥羽·精</t>
  </si>
  <si>
    <t xml:space="preserve">Azure Feather·Refined  </t>
  </si>
  <si>
    <t>Test For English224</t>
  </si>
  <si>
    <t>破麻索</t>
  </si>
  <si>
    <t xml:space="preserve">Tattered Rope  </t>
  </si>
  <si>
    <t>软鞭</t>
  </si>
  <si>
    <t>wuqi/ruanbian/ruanbian</t>
  </si>
  <si>
    <t>破旧麻绳浸水即得此鞭，脆弱易折。</t>
  </si>
  <si>
    <t>Test For English225</t>
  </si>
  <si>
    <t>item/113001</t>
  </si>
  <si>
    <t>青藤鞭</t>
  </si>
  <si>
    <t xml:space="preserve">Green Vine Whip  </t>
  </si>
  <si>
    <t>wuqi/ruanbian/ruanbian2</t>
  </si>
  <si>
    <t>青藤编成的长鞭，挥之啸然有声。</t>
  </si>
  <si>
    <t>Test For English226</t>
  </si>
  <si>
    <t>item/113002</t>
  </si>
  <si>
    <t>牛筋索</t>
  </si>
  <si>
    <t xml:space="preserve">Ox Sinew Rope  </t>
  </si>
  <si>
    <t>wuqi/ruanbian/ruanbian3</t>
  </si>
  <si>
    <t>生牛筋细细缠成的软鞭，坚韧牢靠。</t>
  </si>
  <si>
    <t>Test For English227</t>
  </si>
  <si>
    <t>item/113003</t>
  </si>
  <si>
    <t>蝎尾鞭</t>
  </si>
  <si>
    <t xml:space="preserve">Scorpion Tail Whip  </t>
  </si>
  <si>
    <t>wuqi/ruanbian/ruanbian4</t>
  </si>
  <si>
    <t>鞭稍嵌以精铁倒刃，宛若蝎钩，伤肌刮骨。</t>
  </si>
  <si>
    <t>Test For English228</t>
  </si>
  <si>
    <t>item/113004</t>
  </si>
  <si>
    <t>金丝软鞭</t>
  </si>
  <si>
    <t xml:space="preserve">Golden Silk Soft Whip  </t>
  </si>
  <si>
    <t>wuqi/ruanbian/ruanbian5</t>
  </si>
  <si>
    <t>用料名贵，匠工细致，颇为精雅。</t>
  </si>
  <si>
    <t>Test For English229</t>
  </si>
  <si>
    <t>item/113005</t>
  </si>
  <si>
    <t>银蛇鞭</t>
  </si>
  <si>
    <t xml:space="preserve">Silver Snake Whip  </t>
  </si>
  <si>
    <t>wuqi/ruanbian/ruanbian6</t>
  </si>
  <si>
    <t>苏岩乳洞拥山家，涧藤古栗盘银蛇。</t>
  </si>
  <si>
    <t>Test For English230</t>
  </si>
  <si>
    <t>item/113006</t>
  </si>
  <si>
    <t>虬麟索</t>
  </si>
  <si>
    <t xml:space="preserve">Dragon Scale Rope  </t>
  </si>
  <si>
    <t>wuqi/ruanbian/ruanbian7</t>
  </si>
  <si>
    <t>仙驭鞭虬螭，神驾轨骊騄。</t>
  </si>
  <si>
    <t>Test For English231</t>
  </si>
  <si>
    <t>item/113007</t>
  </si>
  <si>
    <t>相思缠</t>
  </si>
  <si>
    <t xml:space="preserve">Love's Entanglement  </t>
  </si>
  <si>
    <t>wuqi/ruanbian/ruanbian8</t>
  </si>
  <si>
    <t>料得年年肠断处，明月夜，短松冈。</t>
  </si>
  <si>
    <t>Test For English232</t>
  </si>
  <si>
    <t>item/113008</t>
  </si>
  <si>
    <t>沧漫</t>
  </si>
  <si>
    <t xml:space="preserve">Vast Blue Sea  </t>
  </si>
  <si>
    <t>wuqi/ruanbian/ruanbian9</t>
  </si>
  <si>
    <t>气夺沧浪色，风欺汗漫流。</t>
  </si>
  <si>
    <t>Test For English233</t>
  </si>
  <si>
    <t>item/113009</t>
  </si>
  <si>
    <t>龙蛇</t>
  </si>
  <si>
    <t xml:space="preserve">Dragon and Snake  </t>
  </si>
  <si>
    <t>wuqi/ruanbian/ruanbian10</t>
  </si>
  <si>
    <t>龙蛇寒下蛰，雾露昼多阴。</t>
  </si>
  <si>
    <t>Test For English234</t>
  </si>
  <si>
    <t>item/113010</t>
  </si>
  <si>
    <t>相思缠·精</t>
  </si>
  <si>
    <t xml:space="preserve">Love's Entanglement·Refined  </t>
  </si>
  <si>
    <t>Test For English235</t>
  </si>
  <si>
    <t>沧漫·精</t>
  </si>
  <si>
    <t xml:space="preserve">Vast Blue Sea·Refined  </t>
  </si>
  <si>
    <t>Test For English236</t>
  </si>
  <si>
    <t>龙蛇·精</t>
  </si>
  <si>
    <t xml:space="preserve">Dragon and Snake·Refined  </t>
  </si>
  <si>
    <t>Test For English237</t>
  </si>
  <si>
    <t>软鞭2</t>
  </si>
  <si>
    <t xml:space="preserve">Soft Whip 2  </t>
  </si>
  <si>
    <t>Test For English238</t>
  </si>
  <si>
    <t>item/113206</t>
  </si>
  <si>
    <t>软鞭3</t>
  </si>
  <si>
    <t xml:space="preserve">Soft Whip 3  </t>
  </si>
  <si>
    <t>Test For English239</t>
  </si>
  <si>
    <t>软鞭4</t>
  </si>
  <si>
    <t xml:space="preserve">Soft Whip 4  </t>
  </si>
  <si>
    <t>Test For English240</t>
  </si>
  <si>
    <t>蜂尾虿</t>
  </si>
  <si>
    <t xml:space="preserve">Bee's Sting  </t>
  </si>
  <si>
    <t>穆凝紫幼年初识武道时所用之物，上缀一枚苗纹小坠，鞭身轻盈灵便，不失精雅。</t>
  </si>
  <si>
    <t>Test For English241</t>
  </si>
  <si>
    <t>铸铁铳</t>
  </si>
  <si>
    <t xml:space="preserve">Cast Iron Blunderbuss  </t>
  </si>
  <si>
    <t>火器</t>
  </si>
  <si>
    <t>wuqi/huoqiang/huoqiang2</t>
  </si>
  <si>
    <t>铸铁浇成，厚实粗重。</t>
  </si>
  <si>
    <t>Test For English242</t>
  </si>
  <si>
    <t>item/114001</t>
  </si>
  <si>
    <t>铁炎</t>
  </si>
  <si>
    <t xml:space="preserve">Iron Flame  </t>
  </si>
  <si>
    <t>wuqi/huoqiang/huoqiang3</t>
  </si>
  <si>
    <t>铸铁浇成，操持简便，可破寻常衣铠。</t>
  </si>
  <si>
    <t>Test For English243</t>
  </si>
  <si>
    <t>item/114002</t>
  </si>
  <si>
    <t>雷鸟铳</t>
  </si>
  <si>
    <t xml:space="preserve">Thunderbird Blunderbuss  </t>
  </si>
  <si>
    <t>wuqi/huoqiang/huoqiang4</t>
  </si>
  <si>
    <t>硬木为柄，铜管为身，准头不佳，可用之猎些飞禽小兽。</t>
  </si>
  <si>
    <t>Test For English244</t>
  </si>
  <si>
    <t>item/114003</t>
  </si>
  <si>
    <t>青焰</t>
  </si>
  <si>
    <t xml:space="preserve">Blue Flame  </t>
  </si>
  <si>
    <t>wuqi/huoqiang/huoqiang8</t>
  </si>
  <si>
    <t>此虽仅是神光营列装火器的粗陋仿品，却仍颇为难得。</t>
  </si>
  <si>
    <t>Test For English245</t>
  </si>
  <si>
    <t>item/114004</t>
  </si>
  <si>
    <t>燧焰</t>
  </si>
  <si>
    <t xml:space="preserve">Flint Flame  </t>
  </si>
  <si>
    <t>wuqi/huoqiang/huoqiang6</t>
  </si>
  <si>
    <t>西域传入，燧发骑枪，装填迅捷，极为轻便，奈何威力远逊列装火器。</t>
  </si>
  <si>
    <t>Test For English246</t>
  </si>
  <si>
    <t>item/114005</t>
  </si>
  <si>
    <t>电光铳</t>
  </si>
  <si>
    <t xml:space="preserve">Electric Light Blunderbuss  </t>
  </si>
  <si>
    <t>wuqi/huoqiang/huoqiang7</t>
  </si>
  <si>
    <t>神光营列装火器制法随朝纲动乱流入江湖后，唯有技艺精湛、门徒众多的匠造坊有仿制之能，此物精工细作，与军阵列装火器几已一般无二。</t>
  </si>
  <si>
    <t>Test For English247</t>
  </si>
  <si>
    <t>item/114006</t>
  </si>
  <si>
    <t>佛朗机</t>
  </si>
  <si>
    <t xml:space="preserve">Falconet  </t>
  </si>
  <si>
    <t>wuqi/huoqiang/huoqiang5</t>
  </si>
  <si>
    <t>西域传入，精美华贵，纵于京中达官显贵之间，此物亦是有价无市。</t>
  </si>
  <si>
    <t>Test For English248</t>
  </si>
  <si>
    <t>item/114007</t>
  </si>
  <si>
    <t>机巧铳</t>
  </si>
  <si>
    <t xml:space="preserve">Mechanized Blunderbuss  </t>
  </si>
  <si>
    <t>wuqi/huoqiang/huoqiang9</t>
  </si>
  <si>
    <t>机巧精妙，勾连紧密，非匠造宗师不可窥其技。</t>
  </si>
  <si>
    <t>Test For English249</t>
  </si>
  <si>
    <t>item/114008</t>
  </si>
  <si>
    <t>墨家千机匣</t>
  </si>
  <si>
    <t xml:space="preserve">Moisture's Thousand-Gear Box  </t>
  </si>
  <si>
    <t>wuqi/huoqiang/huoqiang10</t>
  </si>
  <si>
    <t>墨家所制至高之物，其机巧若天工所出，非人力所能及。</t>
  </si>
  <si>
    <t>Test For English250</t>
  </si>
  <si>
    <t>item/114009</t>
  </si>
  <si>
    <t>墨家原型</t>
  </si>
  <si>
    <t xml:space="preserve">Moisture Prototype  </t>
  </si>
  <si>
    <t>wuqi/huoqiang/huoqiang11</t>
  </si>
  <si>
    <t>据传为世间第一支原型机巧，但其中复杂难明，纵墨家钜子复生，亦是难为。</t>
  </si>
  <si>
    <t>Test For English251</t>
  </si>
  <si>
    <t>item/114010</t>
  </si>
  <si>
    <t>铸铁铳·精</t>
  </si>
  <si>
    <t xml:space="preserve">Cast Iron Blunderbuss·Refined  </t>
  </si>
  <si>
    <t>Test For English252</t>
  </si>
  <si>
    <t>铁炎·精</t>
  </si>
  <si>
    <t xml:space="preserve">Iron Flame·Refined  </t>
  </si>
  <si>
    <t>Test For English253</t>
  </si>
  <si>
    <t>雷鸟铳·精</t>
  </si>
  <si>
    <t xml:space="preserve">Thunderbird Blunderbuss·Refined  </t>
  </si>
  <si>
    <t>Test For English254</t>
  </si>
  <si>
    <t>青焰·精</t>
  </si>
  <si>
    <t xml:space="preserve">Blue Flame·Refined  </t>
  </si>
  <si>
    <t>Test For English255</t>
  </si>
  <si>
    <t>燧焰·精</t>
  </si>
  <si>
    <t xml:space="preserve">Flint Flame·Refined  </t>
  </si>
  <si>
    <t>Test For English256</t>
  </si>
  <si>
    <t>电光铳·精</t>
  </si>
  <si>
    <t xml:space="preserve">Electric Light Blunderbuss·Refined  </t>
  </si>
  <si>
    <t>Test For English257</t>
  </si>
  <si>
    <t>佛朗机·精</t>
  </si>
  <si>
    <t xml:space="preserve">Falconet·Refined  </t>
  </si>
  <si>
    <t>Test For English258</t>
  </si>
  <si>
    <t>机巧铳·精</t>
  </si>
  <si>
    <t xml:space="preserve">Mechanized Blunderbuss·Refined  </t>
  </si>
  <si>
    <t>Test For English259</t>
  </si>
  <si>
    <t>墨家千机匣·精</t>
  </si>
  <si>
    <t xml:space="preserve">Moisture's Thousand-Gear Box·Refined  </t>
  </si>
  <si>
    <t>Test For English260</t>
  </si>
  <si>
    <t>墨家原型·精</t>
  </si>
  <si>
    <t xml:space="preserve">Moisture Prototype·Refined  </t>
  </si>
  <si>
    <t>Test For English261</t>
  </si>
  <si>
    <t>钜子</t>
  </si>
  <si>
    <t xml:space="preserve">Master Craftsman  </t>
  </si>
  <si>
    <t>兼爱、非攻。</t>
  </si>
  <si>
    <t>Test For English262</t>
  </si>
  <si>
    <t>item/114210</t>
  </si>
  <si>
    <t>锈铁剪</t>
  </si>
  <si>
    <t xml:space="preserve">Rusted Iron Scissors  </t>
  </si>
  <si>
    <t>短兵</t>
  </si>
  <si>
    <t>wuqi/duanbing/duanbing2</t>
  </si>
  <si>
    <t>曾是一对生锈铁剪，或能作防身之用。</t>
  </si>
  <si>
    <t>Test For English263</t>
  </si>
  <si>
    <t>item/115001</t>
  </si>
  <si>
    <t>割肉短匕</t>
  </si>
  <si>
    <t xml:space="preserve">Flesh-Cutting Dagger  </t>
  </si>
  <si>
    <t>wuqi/duanbing/duanbing</t>
  </si>
  <si>
    <t>猎户屠户常用的割肉短匕，勉堪一用。</t>
  </si>
  <si>
    <t>Test For English264</t>
  </si>
  <si>
    <t>item/115002</t>
  </si>
  <si>
    <t>双鱼短匕</t>
  </si>
  <si>
    <t xml:space="preserve">Twin Fish Dagger  </t>
  </si>
  <si>
    <t>wuqi/duanbing/duanbing3</t>
  </si>
  <si>
    <t>精心打造的双匕，颇为锋利。</t>
  </si>
  <si>
    <t>Test For English265</t>
  </si>
  <si>
    <t>item/115003</t>
  </si>
  <si>
    <t>锻铁双匕</t>
  </si>
  <si>
    <t xml:space="preserve">Forged Iron Twin Daggers  </t>
  </si>
  <si>
    <t>wuqi/duanbing/duanbing4</t>
  </si>
  <si>
    <t>精铁铸就，上缀精美花纹，价值不菲。</t>
  </si>
  <si>
    <t>Test For English266</t>
  </si>
  <si>
    <t>item/115004</t>
  </si>
  <si>
    <t>血濡衣</t>
  </si>
  <si>
    <t xml:space="preserve">Blood-Soaked Garment  </t>
  </si>
  <si>
    <t>wuqi/duanbing/duanbing6</t>
  </si>
  <si>
    <t>军中常见的护身短刀，坚实耐用，因战乱流入江湖。</t>
  </si>
  <si>
    <t>Test For English267</t>
  </si>
  <si>
    <t>item/115005</t>
  </si>
  <si>
    <t>荆门候</t>
  </si>
  <si>
    <t xml:space="preserve">Jingmen's Wait  </t>
  </si>
  <si>
    <t>wuqi/duanbing/duanbing7</t>
  </si>
  <si>
    <t>华贵精美，上镌宝珠，多为身份显贵之人佩携。</t>
  </si>
  <si>
    <t>Test For English268</t>
  </si>
  <si>
    <t>item/115006</t>
  </si>
  <si>
    <t>清刚</t>
  </si>
  <si>
    <t xml:space="preserve">Clear and Firm  </t>
  </si>
  <si>
    <t>wuqi/duanbing/duanbing5</t>
  </si>
  <si>
    <t>珠袍曳锦带，匕首插吴鸿。</t>
  </si>
  <si>
    <t>Test For English269</t>
  </si>
  <si>
    <t>item/115007</t>
  </si>
  <si>
    <t>擘鲤</t>
  </si>
  <si>
    <t xml:space="preserve">Carp-Splitting  </t>
  </si>
  <si>
    <t>wuqi/duanbing/duanbing11</t>
  </si>
  <si>
    <t>相思望淮水，双鲤不应稀。</t>
  </si>
  <si>
    <t>Test For English270</t>
  </si>
  <si>
    <t>item/115008</t>
  </si>
  <si>
    <t>环月吟</t>
  </si>
  <si>
    <t xml:space="preserve">Moon-Chanting Ring  </t>
  </si>
  <si>
    <t>wuqi/duanbing/duanbing12</t>
  </si>
  <si>
    <t>新月上，薄云收，映帘悬玉钩。</t>
  </si>
  <si>
    <t>Test For English271</t>
  </si>
  <si>
    <t>item/115009</t>
  </si>
  <si>
    <t>双影依身</t>
  </si>
  <si>
    <t xml:space="preserve">Twin Shadows as One  </t>
  </si>
  <si>
    <t>wuqi/duanbing/duanbing13</t>
  </si>
  <si>
    <t>双影今夕何处，唯余孤身尚行。</t>
  </si>
  <si>
    <t>Test For English272</t>
  </si>
  <si>
    <t>item/115010</t>
  </si>
  <si>
    <t>清刚·精</t>
  </si>
  <si>
    <t xml:space="preserve">Clear and Firm·Refined  </t>
  </si>
  <si>
    <t>Test For English273</t>
  </si>
  <si>
    <t>擘鲤·精</t>
  </si>
  <si>
    <t xml:space="preserve">Carp-Splitting·Refined  </t>
  </si>
  <si>
    <t>Test For English274</t>
  </si>
  <si>
    <t>环月吟·精</t>
  </si>
  <si>
    <t xml:space="preserve">Moon-Chanting Ring·Refined  </t>
  </si>
  <si>
    <t>Test For English275</t>
  </si>
  <si>
    <t>双影依身·精</t>
  </si>
  <si>
    <t xml:space="preserve">Twin Shadows as One·Refined  </t>
  </si>
  <si>
    <t>Test For English276</t>
  </si>
  <si>
    <t>精铜双匕</t>
  </si>
  <si>
    <t xml:space="preserve">Bronze Twin Daggers  </t>
  </si>
  <si>
    <t>Test For English277</t>
  </si>
  <si>
    <t>金玉</t>
  </si>
  <si>
    <t xml:space="preserve">Gold and Jade  </t>
  </si>
  <si>
    <t>金玉逐手快意尽，梦醉人间难知秋。</t>
  </si>
  <si>
    <t>Test For English278</t>
  </si>
  <si>
    <t>item/112203</t>
  </si>
  <si>
    <t>短兵4</t>
  </si>
  <si>
    <t xml:space="preserve">Short Weapon 4  </t>
  </si>
  <si>
    <t>万里追魂，夺命无形。</t>
  </si>
  <si>
    <t>Test For English279</t>
  </si>
  <si>
    <t>item/111204</t>
  </si>
  <si>
    <t>照月三千</t>
  </si>
  <si>
    <t xml:space="preserve">Moonlight Three Thousand  </t>
  </si>
  <si>
    <t>wuqi/duanbing/duanbing9</t>
  </si>
  <si>
    <t>蒙巳之父败于镇国公之手后，其兵刃亦随之断折。蒙巳集其残片打磨成刃，日夜相枕，以铭血仇。可大幅提升青丝缠蛇法的招式伤害。</t>
  </si>
  <si>
    <t>Test For English280</t>
  </si>
  <si>
    <t>item/115416</t>
  </si>
  <si>
    <t>粗布衣</t>
  </si>
  <si>
    <t xml:space="preserve">Coarse Cloth Robe  </t>
  </si>
  <si>
    <t>护甲</t>
  </si>
  <si>
    <t>气血上限+71;防御力+8</t>
  </si>
  <si>
    <t>寻常百姓所穿的粗布衣裳，并无特别之处。</t>
  </si>
  <si>
    <t>Test For English281</t>
  </si>
  <si>
    <t>item/200001</t>
  </si>
  <si>
    <t>麻布短褐</t>
  </si>
  <si>
    <t xml:space="preserve">Hemp Short Coat  </t>
  </si>
  <si>
    <t>气血上限+95;防御力+16</t>
  </si>
  <si>
    <t>耐脏结实，样式平常。</t>
  </si>
  <si>
    <t>Test For English282</t>
  </si>
  <si>
    <t>item/200002</t>
  </si>
  <si>
    <t>棉布长衫</t>
  </si>
  <si>
    <t xml:space="preserve">Cotton Long Gown  </t>
  </si>
  <si>
    <t>气血上限+142;防御力+22</t>
  </si>
  <si>
    <t>寻常衣料，儒生风范。</t>
  </si>
  <si>
    <t>Test For English283</t>
  </si>
  <si>
    <t>item/200003</t>
  </si>
  <si>
    <t>棉布长衫·精</t>
  </si>
  <si>
    <t xml:space="preserve">Cotton Long Gown·Refined  </t>
  </si>
  <si>
    <t>Test For English284</t>
  </si>
  <si>
    <t>绫罗直裰</t>
  </si>
  <si>
    <t xml:space="preserve">Silk Straight Robe  </t>
  </si>
  <si>
    <t>气血上限+237;防御力+36</t>
  </si>
  <si>
    <t>袖口紧束，轻捷舒适。</t>
  </si>
  <si>
    <t>Test For English285</t>
  </si>
  <si>
    <t>item/200004</t>
  </si>
  <si>
    <t>凌云意</t>
  </si>
  <si>
    <t xml:space="preserve">Soaring Ambition  </t>
  </si>
  <si>
    <t>气血上限+380;防御力+58</t>
  </si>
  <si>
    <t>密缝软甲，上缀锦绣，价值不菲。</t>
  </si>
  <si>
    <t>Test For English286</t>
  </si>
  <si>
    <t>item/200005</t>
  </si>
  <si>
    <t>闻鹤</t>
  </si>
  <si>
    <t xml:space="preserve">Crane's Call  </t>
  </si>
  <si>
    <t>气血上限+617;防御力+92</t>
  </si>
  <si>
    <t>精工细作，用料考究，形制虽简，却自有一番雅意。</t>
  </si>
  <si>
    <t>Test For English287</t>
  </si>
  <si>
    <t>item/200006</t>
  </si>
  <si>
    <t>烟罗云锦</t>
  </si>
  <si>
    <t xml:space="preserve">Mist and Cloud Brocade  </t>
  </si>
  <si>
    <t>气血上限+998;防御力+148</t>
  </si>
  <si>
    <t>袍新宫锦千人目,马骏桃花一巷香。</t>
  </si>
  <si>
    <t>Test For English288</t>
  </si>
  <si>
    <t>item/200007</t>
  </si>
  <si>
    <t>烟罗云锦·精</t>
  </si>
  <si>
    <t xml:space="preserve">Mist and Cloud Brocade·Refined  </t>
  </si>
  <si>
    <t>Test For English289</t>
  </si>
  <si>
    <t>羽罗披</t>
  </si>
  <si>
    <t xml:space="preserve">Feather Robe  </t>
  </si>
  <si>
    <t>气血上限+1615;防御力+240</t>
  </si>
  <si>
    <t>相思杳如梦，珠泪湿罗衣。</t>
  </si>
  <si>
    <t>Test For English290</t>
  </si>
  <si>
    <t>item/200008</t>
  </si>
  <si>
    <t>露华</t>
  </si>
  <si>
    <t xml:space="preserve">Dewy Radiance  </t>
  </si>
  <si>
    <t>气血上限+2613;防御力+388</t>
  </si>
  <si>
    <t>念归林叶换，愁坐露华生。</t>
  </si>
  <si>
    <t>Test For English291</t>
  </si>
  <si>
    <t>item/200009</t>
  </si>
  <si>
    <t>天衢</t>
  </si>
  <si>
    <t xml:space="preserve">Celestial Path  </t>
  </si>
  <si>
    <t>气血上限+4229;防御力+626</t>
  </si>
  <si>
    <t>拂衣舍之去，矫步升天衢。</t>
  </si>
  <si>
    <t>Test For English292</t>
  </si>
  <si>
    <t>item/200010</t>
  </si>
  <si>
    <t>羽罗披·精</t>
  </si>
  <si>
    <t xml:space="preserve">Feather Robe·Refined  </t>
  </si>
  <si>
    <t>Test For English293</t>
  </si>
  <si>
    <t>露华·精</t>
  </si>
  <si>
    <t xml:space="preserve">Dewy Radiance·Refined  </t>
  </si>
  <si>
    <t>Test For English294</t>
  </si>
  <si>
    <t>天衢·精</t>
  </si>
  <si>
    <t xml:space="preserve">Celestial Path·Refined  </t>
  </si>
  <si>
    <t>Test For English295</t>
  </si>
  <si>
    <t>小钰编织的青衫</t>
  </si>
  <si>
    <t xml:space="preserve">Little Jade's Woven Blue Gown  </t>
  </si>
  <si>
    <t>小钰亲手缝补的衣衫——襟内绣了枝不易察觉的红豆枝。</t>
  </si>
  <si>
    <t>Test For English296</t>
  </si>
  <si>
    <t>精缝短褐</t>
  </si>
  <si>
    <t xml:space="preserve">Finely Stitched Short Coat  </t>
  </si>
  <si>
    <t>精心缝制的短褐，结实牢靠。</t>
  </si>
  <si>
    <t>Test For English297</t>
  </si>
  <si>
    <t>绣纹长衫</t>
  </si>
  <si>
    <t xml:space="preserve">Embroidered Long Gown  </t>
  </si>
  <si>
    <t>锦缎织就，上绣写意图纹，颇具巧思。</t>
  </si>
  <si>
    <t>Test For English298</t>
  </si>
  <si>
    <t>蚕丝软袍</t>
  </si>
  <si>
    <t xml:space="preserve">Silk Soft Robe  </t>
  </si>
  <si>
    <t>蚕丝织成，精美舒适。</t>
  </si>
  <si>
    <t>Test For English299</t>
  </si>
  <si>
    <t>蛛丝软甲</t>
  </si>
  <si>
    <t xml:space="preserve">Spider Silk Soft Armor  </t>
  </si>
  <si>
    <t>五圣教千蛛一族至宝，以亿万蛛丝编制而成，轻便如蝉翼却可御万刃。</t>
  </si>
  <si>
    <t>Test For English300</t>
  </si>
  <si>
    <t>item/200106</t>
  </si>
  <si>
    <t>寻常衣物</t>
  </si>
  <si>
    <t xml:space="preserve">Ordinary Clothing  </t>
  </si>
  <si>
    <t>Test For English301</t>
  </si>
  <si>
    <t>破布护腕</t>
  </si>
  <si>
    <t xml:space="preserve">Tattered Wristguard  </t>
  </si>
  <si>
    <t>护臂</t>
  </si>
  <si>
    <t>气血上限+47;防御力+6</t>
  </si>
  <si>
    <t>习武之人惯以布条扎紧袖口，否则出招难畅。</t>
  </si>
  <si>
    <t>Test For English302</t>
  </si>
  <si>
    <t>item/300001</t>
  </si>
  <si>
    <t>棉布护腕</t>
  </si>
  <si>
    <t xml:space="preserve">Cotton Wristguard  </t>
  </si>
  <si>
    <t>气血上限+95;防御力+10</t>
  </si>
  <si>
    <t>棉布密缠，轻巧便捷。</t>
  </si>
  <si>
    <t>Test For English303</t>
  </si>
  <si>
    <t>item/300002</t>
  </si>
  <si>
    <t>竹片护腕</t>
  </si>
  <si>
    <t xml:space="preserve">Bamboo Wristguard  </t>
  </si>
  <si>
    <t>气血上限+142;防御力+16</t>
  </si>
  <si>
    <t>竹片精制编成，可御寻常割削。</t>
  </si>
  <si>
    <t>Test For English304</t>
  </si>
  <si>
    <t>item/300003</t>
  </si>
  <si>
    <t>蜀锦腕</t>
  </si>
  <si>
    <t xml:space="preserve">Shu Brocade Wrist  </t>
  </si>
  <si>
    <t>气血上限+237;防御力+24</t>
  </si>
  <si>
    <t>精工细作，风雅美观，价值不菲。</t>
  </si>
  <si>
    <t>Test For English305</t>
  </si>
  <si>
    <t>item/300004</t>
  </si>
  <si>
    <t>青玉缠手</t>
  </si>
  <si>
    <t xml:space="preserve">Jade Hand Wraps  </t>
  </si>
  <si>
    <t>气血上限+380;防御力+38</t>
  </si>
  <si>
    <t>虽略显沉重，然坚实之余，亦带些风雅之感。</t>
  </si>
  <si>
    <t>Test For English306</t>
  </si>
  <si>
    <t>item/300005</t>
  </si>
  <si>
    <t>虞美人</t>
  </si>
  <si>
    <t xml:space="preserve">Yu the Beauty  </t>
  </si>
  <si>
    <t>气血上限+617;防御力+62</t>
  </si>
  <si>
    <t>垆边人似月，皓腕凝霜雪。</t>
  </si>
  <si>
    <t>Test For English307</t>
  </si>
  <si>
    <t>item/300006</t>
  </si>
  <si>
    <t>镇西关</t>
  </si>
  <si>
    <t xml:space="preserve">Western Pass Garrison  </t>
  </si>
  <si>
    <t>气血上限+998;防御力+100</t>
  </si>
  <si>
    <t>军中精锐所佩重铠，因战乱流入江湖，强弓劲弩皆不能伤。</t>
  </si>
  <si>
    <t>Test For English308</t>
  </si>
  <si>
    <t>item/300007</t>
  </si>
  <si>
    <t>镇西关·精</t>
  </si>
  <si>
    <t xml:space="preserve">Western Pass Garrison·Refined  </t>
  </si>
  <si>
    <t>制造</t>
  </si>
  <si>
    <t>Test For English309</t>
  </si>
  <si>
    <t>刑天臂</t>
  </si>
  <si>
    <t xml:space="preserve">Xingtian's Arm  </t>
  </si>
  <si>
    <t>气血上限+1615;防御力+160</t>
  </si>
  <si>
    <t>神威慑邻国，何劳逞战功。</t>
  </si>
  <si>
    <t>Test For English310</t>
  </si>
  <si>
    <t>item/300008</t>
  </si>
  <si>
    <t>敛骨</t>
  </si>
  <si>
    <t xml:space="preserve">Bone Gatherer  </t>
  </si>
  <si>
    <t>气血上限+2613;防御力+258</t>
  </si>
  <si>
    <t>白骨横千霜，嵯峨蔽榛莽。</t>
  </si>
  <si>
    <t>Test For English311</t>
  </si>
  <si>
    <t>item/300009</t>
  </si>
  <si>
    <t>归一</t>
  </si>
  <si>
    <t xml:space="preserve">Return to One  </t>
  </si>
  <si>
    <t>气血上限+4229;防御力+418</t>
  </si>
  <si>
    <t>万境全归一瞬中，山河日月尽含容。</t>
  </si>
  <si>
    <t>Test For English312</t>
  </si>
  <si>
    <t>item/300010</t>
  </si>
  <si>
    <t>刑天臂·精</t>
  </si>
  <si>
    <t xml:space="preserve">Xingtian's Arm·Refined  </t>
  </si>
  <si>
    <t>Test For English313</t>
  </si>
  <si>
    <t>敛骨·精</t>
  </si>
  <si>
    <t xml:space="preserve">Bone Gatherer·Refined  </t>
  </si>
  <si>
    <t>Test For English314</t>
  </si>
  <si>
    <t>归一·精</t>
  </si>
  <si>
    <t xml:space="preserve">Return to One·Refined  </t>
  </si>
  <si>
    <t>Test For English315</t>
  </si>
  <si>
    <t>蒲柳缠臂</t>
  </si>
  <si>
    <t xml:space="preserve">Willow Wraps  </t>
  </si>
  <si>
    <t>柳条抽丝，细织而成，美观舒适。</t>
  </si>
  <si>
    <t>Test For English316</t>
  </si>
  <si>
    <t>青竹臂</t>
  </si>
  <si>
    <t xml:space="preserve">Green Bamboo Arm  </t>
  </si>
  <si>
    <t>青竹为材编成的护臂，工艺精巧。</t>
  </si>
  <si>
    <t>Test For English317</t>
  </si>
  <si>
    <t>餮纹护臂</t>
  </si>
  <si>
    <t xml:space="preserve">Gluttony-Patterned Bracer  </t>
  </si>
  <si>
    <t>上镌远古异兽图纹，望之令人心惊。</t>
  </si>
  <si>
    <t>Test For English318</t>
  </si>
  <si>
    <t>蒲草绑腿</t>
  </si>
  <si>
    <t xml:space="preserve">Rush Leg Wraps  </t>
  </si>
  <si>
    <t>护腿</t>
  </si>
  <si>
    <t>简易扎就的绑腿，可保摔损磨伤。</t>
  </si>
  <si>
    <t>Test For English319</t>
  </si>
  <si>
    <t>item/400001</t>
  </si>
  <si>
    <t>棉布绑腿</t>
  </si>
  <si>
    <t xml:space="preserve">Cotton Leg Wraps  </t>
  </si>
  <si>
    <t>Test For English320</t>
  </si>
  <si>
    <t>item/400002</t>
  </si>
  <si>
    <t>粗铁护胫</t>
  </si>
  <si>
    <t xml:space="preserve">Rough Iron Greaves  </t>
  </si>
  <si>
    <t>棉布绑腿饰以铁片，聊胜于无。</t>
  </si>
  <si>
    <t>Test For English321</t>
  </si>
  <si>
    <t>item/400003</t>
  </si>
  <si>
    <t>粗铁护胫·精</t>
  </si>
  <si>
    <t xml:space="preserve">Rough Iron Greaves·Refined  </t>
  </si>
  <si>
    <t>Test For English322</t>
  </si>
  <si>
    <t>鬼面护胫</t>
  </si>
  <si>
    <t xml:space="preserve">Ghost-Faced Greaves  </t>
  </si>
  <si>
    <t>以硬铁、皮革层叠而成，牢固轻捷。</t>
  </si>
  <si>
    <t>Test For English323</t>
  </si>
  <si>
    <t>item/400004</t>
  </si>
  <si>
    <t>乌金缠</t>
  </si>
  <si>
    <t xml:space="preserve">Black Gold Wraps  </t>
  </si>
  <si>
    <t>坚革饰铜，内嵌甲叶，行伍兵卒常佩。</t>
  </si>
  <si>
    <t>Test For English324</t>
  </si>
  <si>
    <t>item/400005</t>
  </si>
  <si>
    <t>踏逐腿</t>
  </si>
  <si>
    <t xml:space="preserve">Chasing Steps  </t>
  </si>
  <si>
    <t>边军铁骑制式护胫，因战乱流入江湖。</t>
  </si>
  <si>
    <t>Test For English325</t>
  </si>
  <si>
    <t>item/400006</t>
  </si>
  <si>
    <t>千里烟波</t>
  </si>
  <si>
    <t xml:space="preserve">Thousand-Mile Misty Waves  </t>
  </si>
  <si>
    <t>奇峰三百倒悬水，青枫碧树摇玲珑。</t>
  </si>
  <si>
    <t>Test For English326</t>
  </si>
  <si>
    <t>item/400007</t>
  </si>
  <si>
    <t>千里烟波·精</t>
  </si>
  <si>
    <t xml:space="preserve">Thousand-Mile Misty Waves·Refined  </t>
  </si>
  <si>
    <t>Test For English327</t>
  </si>
  <si>
    <t>飞琼</t>
  </si>
  <si>
    <t xml:space="preserve">Flying Jade  </t>
  </si>
  <si>
    <t>昨夜梦回天上去，琼楼玉关不胜寒。</t>
  </si>
  <si>
    <t>Test For English328</t>
  </si>
  <si>
    <t>item/400008</t>
  </si>
  <si>
    <t>玉城</t>
  </si>
  <si>
    <t xml:space="preserve">Jade City  </t>
  </si>
  <si>
    <t>玉霄九重闭，金锁夜不开。</t>
  </si>
  <si>
    <t>Test For English329</t>
  </si>
  <si>
    <t>item/400009</t>
  </si>
  <si>
    <t>孤鹜</t>
  </si>
  <si>
    <t xml:space="preserve">Lone Wild Goose  </t>
  </si>
  <si>
    <t>孤鹜掠霞去，映来满江红。</t>
  </si>
  <si>
    <t>Test For English330</t>
  </si>
  <si>
    <t>item/400010</t>
  </si>
  <si>
    <t>飞琼·精</t>
  </si>
  <si>
    <t xml:space="preserve">Flying Jade·Refined  </t>
  </si>
  <si>
    <t>Test For English331</t>
  </si>
  <si>
    <t>玉城·精</t>
  </si>
  <si>
    <t xml:space="preserve">Jade City·Refined  </t>
  </si>
  <si>
    <t>Test For English332</t>
  </si>
  <si>
    <t>孤鹜·精</t>
  </si>
  <si>
    <t xml:space="preserve">Lone Wild Goose·Refined  </t>
  </si>
  <si>
    <t>Test For English333</t>
  </si>
  <si>
    <t>白绸缠足</t>
  </si>
  <si>
    <t xml:space="preserve">White Silk Foot Wraps  </t>
  </si>
  <si>
    <t>绸缎细缠，轻巧便捷。</t>
  </si>
  <si>
    <t>Test For English334</t>
  </si>
  <si>
    <t>item/400102</t>
  </si>
  <si>
    <t>精铁护胫</t>
  </si>
  <si>
    <t xml:space="preserve">Iron Greaves  </t>
  </si>
  <si>
    <t>精铁锻成甲片饰以其上，可御寻常兵刃。</t>
  </si>
  <si>
    <t>Test For English335</t>
  </si>
  <si>
    <t>裹烟波</t>
  </si>
  <si>
    <t xml:space="preserve">Mist-Wrapped Waves  </t>
  </si>
  <si>
    <t>兽革镶玉，纵横天涯万里；心无挂碍，但追野鹤闲云。</t>
  </si>
  <si>
    <t>Test For English336</t>
  </si>
  <si>
    <t>蒲草缠腰</t>
  </si>
  <si>
    <t xml:space="preserve">Rush Waist Wrap  </t>
  </si>
  <si>
    <t>护腰</t>
  </si>
  <si>
    <t>蒲草编成，粗陋至极。</t>
  </si>
  <si>
    <t>Test For English337</t>
  </si>
  <si>
    <t>item/500001</t>
  </si>
  <si>
    <t>麻布缠腰</t>
  </si>
  <si>
    <t xml:space="preserve">Hemp Waist Wrap  </t>
  </si>
  <si>
    <t>一根可用来缠腰的麻布条。</t>
  </si>
  <si>
    <t>Test For English338</t>
  </si>
  <si>
    <t>item/500002</t>
  </si>
  <si>
    <t>粗铁腰带</t>
  </si>
  <si>
    <t xml:space="preserve">Rough Iron Belt  </t>
  </si>
  <si>
    <t>麻布腰带佩以锻弯的粗铁片，有少许护身之能。</t>
  </si>
  <si>
    <t>Test For English339</t>
  </si>
  <si>
    <t>item/500003</t>
  </si>
  <si>
    <t>丝绦缠腰</t>
  </si>
  <si>
    <t xml:space="preserve">Silk Waist Wrap  </t>
  </si>
  <si>
    <t>细锦缎裁剪的腰带，上缀廉价玉片，保暖舒适，兼具美观。</t>
  </si>
  <si>
    <t>Test For English340</t>
  </si>
  <si>
    <t>item/500004</t>
  </si>
  <si>
    <t>锦澜</t>
  </si>
  <si>
    <t xml:space="preserve">Brocade Ripples  </t>
  </si>
  <si>
    <t>蜀锦织造，上缀红玉，价值不菲。</t>
  </si>
  <si>
    <t>Test For English341</t>
  </si>
  <si>
    <t>item/500005</t>
  </si>
  <si>
    <t>雪满长安</t>
  </si>
  <si>
    <t xml:space="preserve">Snow Fills Chang'an  </t>
  </si>
  <si>
    <t>镶金佩玉，华贵之余不失雅韵，多为京中富商佩戴。</t>
  </si>
  <si>
    <t>Test For English342</t>
  </si>
  <si>
    <t>item/500006</t>
  </si>
  <si>
    <t>八方人间</t>
  </si>
  <si>
    <t xml:space="preserve">Eight Directions of the World  </t>
  </si>
  <si>
    <t>俯仰逆旅，八方人间。</t>
  </si>
  <si>
    <t>Test For English343</t>
  </si>
  <si>
    <t>item/500007</t>
  </si>
  <si>
    <t>八方人间·精</t>
  </si>
  <si>
    <t xml:space="preserve">Eight Directions of the World·Refined  </t>
  </si>
  <si>
    <t>Test For English344</t>
  </si>
  <si>
    <t>浩然意</t>
  </si>
  <si>
    <t xml:space="preserve">Vast Righteousness  </t>
  </si>
  <si>
    <t>一点浩然气，千里快哉风。</t>
  </si>
  <si>
    <t>Test For English345</t>
  </si>
  <si>
    <t>item/500008</t>
  </si>
  <si>
    <t>逢龙</t>
  </si>
  <si>
    <t xml:space="preserve">Meeting the Dragon  </t>
  </si>
  <si>
    <t>长驱直踏老上庭，手拔干将斩狂虏。</t>
  </si>
  <si>
    <t>Test For English346</t>
  </si>
  <si>
    <t>item/500009</t>
  </si>
  <si>
    <t>缚海</t>
  </si>
  <si>
    <t xml:space="preserve">Sea-Binding  </t>
  </si>
  <si>
    <t>秦川公子谪仙人，布袍落魄余一身。</t>
  </si>
  <si>
    <t>Test For English347</t>
  </si>
  <si>
    <t>item/500010</t>
  </si>
  <si>
    <t>浩然意·精</t>
  </si>
  <si>
    <t xml:space="preserve">Vast Righteousness·Refined  </t>
  </si>
  <si>
    <t>Test For English348</t>
  </si>
  <si>
    <t>逢龙·精</t>
  </si>
  <si>
    <t xml:space="preserve">Meeting the Dragon·Refined  </t>
  </si>
  <si>
    <t>Test For English349</t>
  </si>
  <si>
    <t>缚海·精</t>
  </si>
  <si>
    <t xml:space="preserve">Sea-Binding·Refined  </t>
  </si>
  <si>
    <t>Test For English350</t>
  </si>
  <si>
    <t>一蓑烟雨</t>
  </si>
  <si>
    <t xml:space="preserve">A Raincoat in Mist  </t>
  </si>
  <si>
    <t>用料虽简，然却别有一番雅意。</t>
  </si>
  <si>
    <t>Test For English351</t>
  </si>
  <si>
    <t>精铁缠腰</t>
  </si>
  <si>
    <t xml:space="preserve">Iron Waist Wrap  </t>
  </si>
  <si>
    <t>Test For English352</t>
  </si>
  <si>
    <t>风缠月</t>
  </si>
  <si>
    <t xml:space="preserve">Wind-Wrapped Moon  </t>
  </si>
  <si>
    <t>山水弹琴尽，风花酌酒频。</t>
  </si>
  <si>
    <t>Test For English353</t>
  </si>
  <si>
    <t>旧木环</t>
  </si>
  <si>
    <t xml:space="preserve">Old Wooden Ring  </t>
  </si>
  <si>
    <t>戒指</t>
  </si>
  <si>
    <t>攻击力+4</t>
  </si>
  <si>
    <t>木工边角料锉磨而成，常为孩童玩物。</t>
  </si>
  <si>
    <t>Test For English354</t>
  </si>
  <si>
    <t>item/600001</t>
  </si>
  <si>
    <t>乌麻缠指</t>
  </si>
  <si>
    <t xml:space="preserve">Black Hemp Finger Wrap  </t>
  </si>
  <si>
    <t>攻击力+8</t>
  </si>
  <si>
    <t>麻布浸染后编成的细绳，寻常人家以其缠指为饰。</t>
  </si>
  <si>
    <t>Test For English355</t>
  </si>
  <si>
    <t>item/600002</t>
  </si>
  <si>
    <t>乌木戒</t>
  </si>
  <si>
    <t xml:space="preserve">Ebony Ring  </t>
  </si>
  <si>
    <t>攻击力+12</t>
  </si>
  <si>
    <t>不加雕凿，纯以木纹为饰的戒指。</t>
  </si>
  <si>
    <t>Test For English356</t>
  </si>
  <si>
    <t>item/600003</t>
  </si>
  <si>
    <t>环铁戒</t>
  </si>
  <si>
    <t xml:space="preserve">Iron Ring  </t>
  </si>
  <si>
    <t>攻击力+20</t>
  </si>
  <si>
    <t>糙铁弯曲而成的戒指，上缀一块小石。</t>
  </si>
  <si>
    <t>Test For English357</t>
  </si>
  <si>
    <t>item/600004</t>
  </si>
  <si>
    <t>精铁扳指</t>
  </si>
  <si>
    <t xml:space="preserve">Bronze Thumb Ring  </t>
  </si>
  <si>
    <t>戒纹细密，精致莫名，似非中原之物。</t>
  </si>
  <si>
    <t>Test For English358</t>
  </si>
  <si>
    <t>item/600005</t>
  </si>
  <si>
    <t>青玉戒</t>
  </si>
  <si>
    <t xml:space="preserve">Jade Ring  </t>
  </si>
  <si>
    <t>攻击力+52</t>
  </si>
  <si>
    <t>碧玉雕成的指环，用料上乘，雕工精美。</t>
  </si>
  <si>
    <t>Test For English359</t>
  </si>
  <si>
    <t>item/600006</t>
  </si>
  <si>
    <t>琉璃错丝结</t>
  </si>
  <si>
    <t xml:space="preserve">Glass and Silk Knot  </t>
  </si>
  <si>
    <t>攻击力+84</t>
  </si>
  <si>
    <t>琉璃结丝勾错，入骨痴心几回。</t>
  </si>
  <si>
    <t>Test For English360</t>
  </si>
  <si>
    <t>item/600007</t>
  </si>
  <si>
    <t>心目</t>
  </si>
  <si>
    <t xml:space="preserve">Heart's Eye  </t>
  </si>
  <si>
    <t>攻击力+134</t>
  </si>
  <si>
    <t>幽兴穷绿波，翫芳心莫已。</t>
  </si>
  <si>
    <t>Test For English361</t>
  </si>
  <si>
    <t>item/600008</t>
  </si>
  <si>
    <t>问世</t>
  </si>
  <si>
    <t xml:space="preserve">Questioning the World  </t>
  </si>
  <si>
    <t>攻击力+218</t>
  </si>
  <si>
    <t>且留琥珀枕，或有梦来时。</t>
  </si>
  <si>
    <t>Test For English362</t>
  </si>
  <si>
    <t>item/600009</t>
  </si>
  <si>
    <t>星髓</t>
  </si>
  <si>
    <t xml:space="preserve">Star Marrow  </t>
  </si>
  <si>
    <t>攻击力+352</t>
  </si>
  <si>
    <t>白日曜紫微，三公运权衡。</t>
  </si>
  <si>
    <t>Test For English363</t>
  </si>
  <si>
    <t>item/600010</t>
  </si>
  <si>
    <t>果果珍藏的草环</t>
  </si>
  <si>
    <t xml:space="preserve">Guoguo's Treasured Grass Ring  </t>
  </si>
  <si>
    <t>果果编制的草环，有些许歪斜。</t>
  </si>
  <si>
    <t>Test For English364</t>
  </si>
  <si>
    <t>item/600101</t>
  </si>
  <si>
    <t>少游戒</t>
  </si>
  <si>
    <t xml:space="preserve">Shaoyou's Ring  </t>
  </si>
  <si>
    <t>不知何人遗失的粗麻小戒，手艺颇为细致。</t>
  </si>
  <si>
    <t>Test For English365</t>
  </si>
  <si>
    <t>螣木辟</t>
  </si>
  <si>
    <t xml:space="preserve">Tengmu Ward  </t>
  </si>
  <si>
    <t>佩戒多以金石为材，罕有木制，此物非同寻常，颇具古韵。</t>
  </si>
  <si>
    <t>Test For English366</t>
  </si>
  <si>
    <t>花福月</t>
  </si>
  <si>
    <t xml:space="preserve">Flower Blessing Moon  </t>
  </si>
  <si>
    <t>一枚白玉戒指。其上雕琢托底如花，承置珍珠如月，作花扶月升之象。佩之吉祥如意。</t>
  </si>
  <si>
    <t>Test For English367</t>
  </si>
  <si>
    <t>item/600104</t>
  </si>
  <si>
    <t>凤纹绞藤戒</t>
  </si>
  <si>
    <t xml:space="preserve">Phoenix-Patterned Rattan Ring  </t>
  </si>
  <si>
    <t>蛊塔中一具骸骨临死前仍在紧握之物，苗银为材，纹饰精美，经年不腐，似能与另一枚戒指凑成一对。</t>
  </si>
  <si>
    <t>Test For English368</t>
  </si>
  <si>
    <t>龙纹镂钉戒</t>
  </si>
  <si>
    <t xml:space="preserve">Dragon-Patterned Nail Ring  </t>
  </si>
  <si>
    <t>苗银为材，纹饰精美，经年不腐，似能与另一枚戒指凑成一对。</t>
  </si>
  <si>
    <t>Test For English369</t>
  </si>
  <si>
    <t>兽骨链</t>
  </si>
  <si>
    <t xml:space="preserve">Beast Bone Necklace  </t>
  </si>
  <si>
    <t>项链</t>
  </si>
  <si>
    <t>气血回复+3</t>
  </si>
  <si>
    <t>山间捡拾的细小兽骨不经雕凿，钻孔穿绳而成。</t>
  </si>
  <si>
    <t>Test For English370</t>
  </si>
  <si>
    <t>item/700001</t>
  </si>
  <si>
    <t>蒲草链</t>
  </si>
  <si>
    <t xml:space="preserve">Rush Necklace  </t>
  </si>
  <si>
    <t>气血回复+6</t>
  </si>
  <si>
    <t>乡野常见的蒲草编织而成，虽用料粗陋，然做工却颇为细致。</t>
  </si>
  <si>
    <t>Test For English371</t>
  </si>
  <si>
    <t>item/700002</t>
  </si>
  <si>
    <t>蒲草链·精</t>
  </si>
  <si>
    <t xml:space="preserve">Rush Necklace·Refined  </t>
  </si>
  <si>
    <t>Test For English372</t>
  </si>
  <si>
    <t>碎铜坠</t>
  </si>
  <si>
    <t xml:space="preserve">Broken Copper Pendant  </t>
  </si>
  <si>
    <t>气血回复+9</t>
  </si>
  <si>
    <t>铜器边角料经处理后，再勾连制成的小链，日光之下闪烁发光，颇为好看。</t>
  </si>
  <si>
    <t>Test For English373</t>
  </si>
  <si>
    <t>item/700003</t>
  </si>
  <si>
    <t>琳琅绣锁</t>
  </si>
  <si>
    <t xml:space="preserve">Exquisite Embroidered Lock  </t>
  </si>
  <si>
    <t>气血回复+15</t>
  </si>
  <si>
    <t>金镶红玉，形制有“长命”之寓，动时琳琅振响，极是悦耳。</t>
  </si>
  <si>
    <t>Test For English374</t>
  </si>
  <si>
    <t>item/700004</t>
  </si>
  <si>
    <t>味愚</t>
  </si>
  <si>
    <t xml:space="preserve">Foolish Taste  </t>
  </si>
  <si>
    <t>气血回复+24</t>
  </si>
  <si>
    <t>一味之心，愚者独存。</t>
  </si>
  <si>
    <t>Test For English375</t>
  </si>
  <si>
    <t>item/700005</t>
  </si>
  <si>
    <t>青田月</t>
  </si>
  <si>
    <t xml:space="preserve">Green Field Moon  </t>
  </si>
  <si>
    <t>气血回复+39</t>
  </si>
  <si>
    <t>青山吐秋月，阻作南楼客。</t>
  </si>
  <si>
    <t>Test For English376</t>
  </si>
  <si>
    <t>item/700006</t>
  </si>
  <si>
    <t>落雨烟翠</t>
  </si>
  <si>
    <t xml:space="preserve">Falling Rain and Misty Jade  </t>
  </si>
  <si>
    <t>气血回复+63</t>
  </si>
  <si>
    <t>红玉包金，精雕细磨，匠工精湛，价值不菲。</t>
  </si>
  <si>
    <t>Test For English377</t>
  </si>
  <si>
    <t>item/700007</t>
  </si>
  <si>
    <t>若合一契</t>
  </si>
  <si>
    <t xml:space="preserve">As One in Accord  </t>
  </si>
  <si>
    <t>气血回复+102</t>
  </si>
  <si>
    <t>天地悠游，如合一梦，如参一契。</t>
  </si>
  <si>
    <t>Test For English378</t>
  </si>
  <si>
    <t>item/700008</t>
  </si>
  <si>
    <t>白玉轻歌</t>
  </si>
  <si>
    <t xml:space="preserve">White Jade Light Song  </t>
  </si>
  <si>
    <t>气血回复+165</t>
  </si>
  <si>
    <t>白玉轻歌，曼曼行止，虽虚幻空渡，亦足此生。</t>
  </si>
  <si>
    <t>Test For English379</t>
  </si>
  <si>
    <t>item/700009</t>
  </si>
  <si>
    <t>昆吾玉册</t>
  </si>
  <si>
    <t xml:space="preserve">Kunwu Jade Book  </t>
  </si>
  <si>
    <t>气血回复+267</t>
  </si>
  <si>
    <t>昆吾之中，玉册镇源，非大造化者不可参。</t>
  </si>
  <si>
    <t>Test For English380</t>
  </si>
  <si>
    <t>item/700010</t>
  </si>
  <si>
    <t>少游链</t>
  </si>
  <si>
    <t xml:space="preserve">Shaoyou's Necklace  </t>
  </si>
  <si>
    <t>不知何人遗失的蒲草小链，手艺颇为细致。</t>
  </si>
  <si>
    <t>Test For English381</t>
  </si>
  <si>
    <t>逢君碎链</t>
  </si>
  <si>
    <t xml:space="preserve">Meeting Broken Chain  </t>
  </si>
  <si>
    <t>上镌“逢君”二字，似有良寓。</t>
  </si>
  <si>
    <t>Test For English382</t>
  </si>
  <si>
    <t>梦寒秋霜</t>
  </si>
  <si>
    <t xml:space="preserve">Dream of Cold Autumn  </t>
  </si>
  <si>
    <t>秋霜切玉剑，落日明珠袍。</t>
  </si>
  <si>
    <t>Test For English383</t>
  </si>
  <si>
    <t>亮铜坠</t>
  </si>
  <si>
    <t xml:space="preserve">Shining Copper Pendant  </t>
  </si>
  <si>
    <t>坠饰</t>
  </si>
  <si>
    <t>气血上限+24</t>
  </si>
  <si>
    <t>铜器边角料细磨成镜，寓有吉意。</t>
  </si>
  <si>
    <t>Test For English384</t>
  </si>
  <si>
    <t>item/800001</t>
  </si>
  <si>
    <t>青石佩</t>
  </si>
  <si>
    <t xml:space="preserve">Green Stone Pendant  </t>
  </si>
  <si>
    <t>气血上限+95</t>
  </si>
  <si>
    <t>河流冲激而成的青石，以绳串起，颇为好看。</t>
  </si>
  <si>
    <t>Test For English385</t>
  </si>
  <si>
    <t>item/800002</t>
  </si>
  <si>
    <t>流苏小坠</t>
  </si>
  <si>
    <t xml:space="preserve">Tasseled Small Pendant  </t>
  </si>
  <si>
    <t>气血上限+142</t>
  </si>
  <si>
    <t>流苏下垂的小坠，颇有几分风雅之意。</t>
  </si>
  <si>
    <t>Test For English386</t>
  </si>
  <si>
    <t>item/800003</t>
  </si>
  <si>
    <t>碧水坠</t>
  </si>
  <si>
    <t xml:space="preserve">Azure Water Pendant  </t>
  </si>
  <si>
    <t>气血上限+237</t>
  </si>
  <si>
    <t>绿玉为坯，造型朴素。</t>
  </si>
  <si>
    <t>Test For English387</t>
  </si>
  <si>
    <t>item/800004</t>
  </si>
  <si>
    <t>锦绣香囊</t>
  </si>
  <si>
    <t xml:space="preserve">Embroidered Fragrant Pouch  </t>
  </si>
  <si>
    <t>气血上限+380</t>
  </si>
  <si>
    <t>锦绣十里，香囊藏心。</t>
  </si>
  <si>
    <t>Test For English388</t>
  </si>
  <si>
    <t>item/800005</t>
  </si>
  <si>
    <t>朝天蛤蟆口</t>
  </si>
  <si>
    <t xml:space="preserve">Skyward Toad Mouth  </t>
  </si>
  <si>
    <t>气血上限+618</t>
  </si>
  <si>
    <t>古朝之遗，佩之镇邪化煞，辟邪招财。</t>
  </si>
  <si>
    <t>Test For English389</t>
  </si>
  <si>
    <t>item/800006</t>
  </si>
  <si>
    <t>棠梨</t>
  </si>
  <si>
    <t xml:space="preserve">Pear Blossom  </t>
  </si>
  <si>
    <t>气血上限+998</t>
  </si>
  <si>
    <t>棠梨叶落胭脂色，荞麦花开白雪香。</t>
  </si>
  <si>
    <t>Test For English390</t>
  </si>
  <si>
    <t>item/800007</t>
  </si>
  <si>
    <t>泣玄</t>
  </si>
  <si>
    <t xml:space="preserve">Tearful Mystery  </t>
  </si>
  <si>
    <t>气血上限+1616</t>
  </si>
  <si>
    <t>西帝有玄女，长踌昆仑山。</t>
  </si>
  <si>
    <t>Test For English391</t>
  </si>
  <si>
    <t>item/800008</t>
  </si>
  <si>
    <t>十方印</t>
  </si>
  <si>
    <t xml:space="preserve">Ten Directions Seal  </t>
  </si>
  <si>
    <t>气血上限+2613</t>
  </si>
  <si>
    <t>行踏九州，印镇十方。</t>
  </si>
  <si>
    <t>Test For English392</t>
  </si>
  <si>
    <t>item/800009</t>
  </si>
  <si>
    <t>方天水镜</t>
  </si>
  <si>
    <t xml:space="preserve">Square Heaven Water Mirror  </t>
  </si>
  <si>
    <t>气血上限+4229</t>
  </si>
  <si>
    <t>水镜亦幻，花月难留。</t>
  </si>
  <si>
    <t>Test For English393</t>
  </si>
  <si>
    <t>item/800010</t>
  </si>
  <si>
    <t>好看的木片</t>
  </si>
  <si>
    <t xml:space="preserve">Pretty Wooden Piece  </t>
  </si>
  <si>
    <t>木片上方刻了条歪扭“青龙”。</t>
  </si>
  <si>
    <t>Test For English394</t>
  </si>
  <si>
    <t>item/800101</t>
  </si>
  <si>
    <t>青玉坠</t>
  </si>
  <si>
    <t xml:space="preserve">Jade Pendant  </t>
  </si>
  <si>
    <t>青玉小坠，美观精致。</t>
  </si>
  <si>
    <t>Test For English395</t>
  </si>
  <si>
    <t>苗疆多有巫蛊之说，此链亦以此为名。</t>
  </si>
  <si>
    <t>Test For English396</t>
  </si>
  <si>
    <t>item/800103</t>
  </si>
  <si>
    <t>飞雪</t>
  </si>
  <si>
    <t xml:space="preserve">Flying Snow  </t>
  </si>
  <si>
    <t>副本</t>
  </si>
  <si>
    <t>古玉吊坠，上雕榫槽。</t>
  </si>
  <si>
    <t>Test For English397</t>
  </si>
  <si>
    <t>item/800104</t>
  </si>
  <si>
    <t>连天</t>
  </si>
  <si>
    <t xml:space="preserve">Endless Sky  </t>
  </si>
  <si>
    <t>Test For English398</t>
  </si>
  <si>
    <t>item/800108</t>
  </si>
  <si>
    <t>飞雪连天</t>
  </si>
  <si>
    <t xml:space="preserve">Flying Snow and Endless Sky  </t>
  </si>
  <si>
    <t>冬雷乍破，飞雪连天。</t>
  </si>
  <si>
    <t>Test For English399</t>
  </si>
  <si>
    <t>item/800109</t>
  </si>
  <si>
    <t>匕首测试</t>
  </si>
  <si>
    <t xml:space="preserve">Dagger Test  </t>
  </si>
  <si>
    <t>匕首</t>
  </si>
  <si>
    <t>Test For English400</t>
  </si>
  <si>
    <t>镔铁长剑</t>
  </si>
  <si>
    <t xml:space="preserve">Wrought Iron Longsword  </t>
  </si>
  <si>
    <t>Test For English401</t>
  </si>
  <si>
    <t>item/102604</t>
  </si>
  <si>
    <t>太和长剑</t>
  </si>
  <si>
    <t xml:space="preserve">Taihe Longsword  </t>
  </si>
  <si>
    <t>Test For English402</t>
  </si>
  <si>
    <t>恨断声肠</t>
  </si>
  <si>
    <t xml:space="preserve">Hatred Breaks the Heart  </t>
  </si>
  <si>
    <t>Test For English403</t>
  </si>
  <si>
    <t>宿寒秋</t>
  </si>
  <si>
    <t xml:space="preserve">Lodging in Cold Autumn  </t>
  </si>
  <si>
    <t>历历关河雁，随风鸣寒秋。</t>
  </si>
  <si>
    <t>Test For English404</t>
  </si>
  <si>
    <t>item/102307</t>
  </si>
  <si>
    <t>镔铁横刀</t>
  </si>
  <si>
    <t xml:space="preserve">Wrought Iron Crossguard Saber  </t>
  </si>
  <si>
    <t>Test For English405</t>
  </si>
  <si>
    <t>守涯</t>
  </si>
  <si>
    <t xml:space="preserve">Guardian of the Cliff  </t>
  </si>
  <si>
    <t>Test For English406</t>
  </si>
  <si>
    <t>千秋岁</t>
  </si>
  <si>
    <t xml:space="preserve">A Thousand Autumns  </t>
  </si>
  <si>
    <t>相如忠烈千秋断，二主英雄一梦归。</t>
  </si>
  <si>
    <t>Test For English407</t>
  </si>
  <si>
    <t>麟角</t>
  </si>
  <si>
    <t xml:space="preserve">Unicorn Horn  </t>
  </si>
  <si>
    <t>奇祥异瑞争来送，麟角凤嘴世莫识。</t>
  </si>
  <si>
    <t>Test For English408</t>
  </si>
  <si>
    <t>item/102407</t>
  </si>
  <si>
    <t>青崖</t>
  </si>
  <si>
    <t xml:space="preserve">Green Cliff  </t>
  </si>
  <si>
    <t>太和弟子习武喂招时多有所佩，简雅轻便。</t>
  </si>
  <si>
    <t>Test For English409</t>
  </si>
  <si>
    <t>惊涛</t>
  </si>
  <si>
    <t xml:space="preserve">Raging Waves  </t>
  </si>
  <si>
    <t>乱石穿空，惊涛拍岸，卷起千堆雪。</t>
  </si>
  <si>
    <t>Test For English410</t>
  </si>
  <si>
    <t>乾一坎六</t>
  </si>
  <si>
    <t xml:space="preserve">Qian One Kan Six  </t>
  </si>
  <si>
    <t>一观卦气先天图，更参岐伯答问书。</t>
  </si>
  <si>
    <t>Test For English411</t>
  </si>
  <si>
    <t>镔铁骨扇</t>
  </si>
  <si>
    <t xml:space="preserve">Wrought Iron Bone Fan  </t>
  </si>
  <si>
    <t>镔铁为骨，精制而成</t>
  </si>
  <si>
    <t>Test For English412</t>
  </si>
  <si>
    <t>岚海</t>
  </si>
  <si>
    <t xml:space="preserve">Mist Sea  </t>
  </si>
  <si>
    <t>天涯海阁海阁一脉弟子习武用扇，扇面雅致，坚实耐用。</t>
  </si>
  <si>
    <t>Test For English413</t>
  </si>
  <si>
    <t>江南行图扇</t>
  </si>
  <si>
    <t xml:space="preserve">Jiangnan Travel Fan  </t>
  </si>
  <si>
    <t>牙雕扇骨，兼有前朝名家所绘山水扇面，价值不菲。</t>
  </si>
  <si>
    <t>Test For English414</t>
  </si>
  <si>
    <t>金雀</t>
  </si>
  <si>
    <t xml:space="preserve">Golden Sparrow  </t>
  </si>
  <si>
    <t>Test For English415</t>
  </si>
  <si>
    <t>镔铁双匕</t>
  </si>
  <si>
    <t xml:space="preserve">Wrought Iron Twin Daggers  </t>
  </si>
  <si>
    <t>Test For English416</t>
  </si>
  <si>
    <t>绣戎匕</t>
  </si>
  <si>
    <t xml:space="preserve">Embroidered Dagger  </t>
  </si>
  <si>
    <t>苗疆匠人精心锻打而成的双匕，多为五圣弟子所佩，颇为精致。</t>
  </si>
  <si>
    <t>Test For English417</t>
  </si>
  <si>
    <t>巴蛇骨</t>
  </si>
  <si>
    <t xml:space="preserve">Ba Snake Bone  </t>
  </si>
  <si>
    <t>以苗疆炼蛊之法养出坚骨异蛇，抽锥磨制而成，其坚尤胜寻常金铁。</t>
  </si>
  <si>
    <t>Test For English418</t>
  </si>
  <si>
    <t>一叶分天</t>
  </si>
  <si>
    <t xml:space="preserve">One Leaf Parts the Sky  </t>
  </si>
  <si>
    <t>梧桐一叶落，方知天下秋。</t>
  </si>
  <si>
    <t>Test For English419</t>
  </si>
  <si>
    <t>镔铁骨鞭</t>
  </si>
  <si>
    <t xml:space="preserve">Wrought Iron Bone Whip  </t>
  </si>
  <si>
    <t>鞭身暗藏多节镔铁，沉重难控，多为五圣弟子扎打根基所用。</t>
  </si>
  <si>
    <t>Test For English420</t>
  </si>
  <si>
    <t>金鳞鞭</t>
  </si>
  <si>
    <t xml:space="preserve">Golden Scale Whip  </t>
  </si>
  <si>
    <t>金丝细缠，轻盈华美，价值不菲。</t>
  </si>
  <si>
    <t>Test For English421</t>
  </si>
  <si>
    <t>烂银缠</t>
  </si>
  <si>
    <t xml:space="preserve">Tarnished Silver Wrap  </t>
  </si>
  <si>
    <t>松烟洒落成珠玉，溪藤卷舒烂银钩。</t>
  </si>
  <si>
    <t>Test For English422</t>
  </si>
  <si>
    <t>烛幽索</t>
  </si>
  <si>
    <t xml:space="preserve">Candlelit Rope  </t>
  </si>
  <si>
    <t>烛幽如梦，万劫春秋。</t>
  </si>
  <si>
    <t>Test For English423</t>
  </si>
  <si>
    <t>八卦束</t>
  </si>
  <si>
    <t xml:space="preserve">Eight Trigrams Bind  </t>
  </si>
  <si>
    <t>太和弟子例着衣装，上绣八卦，针脚细密，朴雅厚实。</t>
  </si>
  <si>
    <t>Test For English424</t>
  </si>
  <si>
    <t>item/300105</t>
  </si>
  <si>
    <t>繁云袖</t>
  </si>
  <si>
    <t xml:space="preserve">Cloud-Patterned Sleeve  </t>
  </si>
  <si>
    <t>天涯海阁弟子例着衣装，风雅典致，颇见巧思。</t>
  </si>
  <si>
    <t>Test For English425</t>
  </si>
  <si>
    <t>item/300205</t>
  </si>
  <si>
    <t>蜡染袖</t>
  </si>
  <si>
    <t xml:space="preserve">Wax-Dyed Sleeve  </t>
  </si>
  <si>
    <t>苗疆常见款制，五圣弟子例着衣装，后经异材改制，美观之余，又颇得坚实耐污。</t>
  </si>
  <si>
    <t>Test For English426</t>
  </si>
  <si>
    <t>item/300305</t>
  </si>
  <si>
    <t>云纹履</t>
  </si>
  <si>
    <t xml:space="preserve">Cloud-Patterned Shoes  </t>
  </si>
  <si>
    <t>太和弟子例着衣装，上绣云纹，针脚细密，朴雅厚实。</t>
  </si>
  <si>
    <t>Test For English427</t>
  </si>
  <si>
    <t>item/400105</t>
  </si>
  <si>
    <t>叹河山</t>
  </si>
  <si>
    <t xml:space="preserve">Sighing for Rivers and Mountains  </t>
  </si>
  <si>
    <t>Test For English428</t>
  </si>
  <si>
    <t>item/400205</t>
  </si>
  <si>
    <t>勾头履</t>
  </si>
  <si>
    <t xml:space="preserve">Hook-Headed Shoes  </t>
  </si>
  <si>
    <t>Test For English429</t>
  </si>
  <si>
    <t>item/400305</t>
  </si>
  <si>
    <t>七星缠</t>
  </si>
  <si>
    <t xml:space="preserve">Seven Stars Wrap  </t>
  </si>
  <si>
    <t>太和弟子例着衣装，上绣七星，针脚细密，朴雅厚实。</t>
  </si>
  <si>
    <t>Test For English430</t>
  </si>
  <si>
    <t>item/500106</t>
  </si>
  <si>
    <t>琅玉带</t>
  </si>
  <si>
    <t xml:space="preserve">Langyu Belt  </t>
  </si>
  <si>
    <t>Test For English431</t>
  </si>
  <si>
    <t>item/500206</t>
  </si>
  <si>
    <t>枫蝶乱</t>
  </si>
  <si>
    <t xml:space="preserve">Maple Butterfly Chaos  </t>
  </si>
  <si>
    <t>Test For English432</t>
  </si>
  <si>
    <t>item/500306</t>
  </si>
  <si>
    <t>散仙袍</t>
  </si>
  <si>
    <t xml:space="preserve">Hermit Robe  </t>
  </si>
  <si>
    <t>太和弟子例着衣装，针脚细密，朴雅厚实。</t>
  </si>
  <si>
    <t>Test For English433</t>
  </si>
  <si>
    <t>item/200107</t>
  </si>
  <si>
    <t>青竹披</t>
  </si>
  <si>
    <t xml:space="preserve">Green Bamboo Cape  </t>
  </si>
  <si>
    <t>Test For English434</t>
  </si>
  <si>
    <t>item/200207</t>
  </si>
  <si>
    <t>蜡染衣</t>
  </si>
  <si>
    <t xml:space="preserve">Wax-Dyed Robe  </t>
  </si>
  <si>
    <t>Test For English435</t>
  </si>
  <si>
    <t>item/200307</t>
  </si>
  <si>
    <t>镔铁长枪</t>
  </si>
  <si>
    <t xml:space="preserve">Wrought Iron Long Spear  </t>
  </si>
  <si>
    <t>镔铁锻铸，未加雕饰，最可列阵杀敌。</t>
  </si>
  <si>
    <t>Test For English436</t>
  </si>
  <si>
    <t>铸血</t>
  </si>
  <si>
    <t xml:space="preserve">Forged Blood  </t>
  </si>
  <si>
    <t>大旗门弟子习武用枪，门中子弟丹心赤胆，取以碧血浇铸之意。</t>
  </si>
  <si>
    <t>Test For English437</t>
  </si>
  <si>
    <t>平戎</t>
  </si>
  <si>
    <t xml:space="preserve">Pacifying the Barbarians  </t>
  </si>
  <si>
    <t>塞垣从事识兵机，只拟平戎不拟归。</t>
  </si>
  <si>
    <t>Test For English438</t>
  </si>
  <si>
    <t>冠军侯</t>
  </si>
  <si>
    <t xml:space="preserve">Champion Marquis  </t>
  </si>
  <si>
    <t>报道龙庭焚早晚，汉家不吝冠军侯。</t>
  </si>
  <si>
    <t>Test For English439</t>
  </si>
  <si>
    <t>镔铁重刀</t>
  </si>
  <si>
    <t xml:space="preserve">Wrought Iron Heavy Saber  </t>
  </si>
  <si>
    <t>镔铁锻铸，脊厚刃锋，非勇力者不可施为。</t>
  </si>
  <si>
    <t>Test For English440</t>
  </si>
  <si>
    <t>杀虎</t>
  </si>
  <si>
    <t xml:space="preserve">Tiger Slayer  </t>
  </si>
  <si>
    <t>厚重大刀，大旗门弟子习武之用。杀虎者，杀胡也，下斩马足，上斫人头。</t>
  </si>
  <si>
    <t>Test For English441</t>
  </si>
  <si>
    <t>狼烟</t>
  </si>
  <si>
    <t xml:space="preserve">Wolf Smoke  </t>
  </si>
  <si>
    <t>阵云高、狼烟夜举。朱颜青鬓，拥雕戈西戍。</t>
  </si>
  <si>
    <t>Test For English442</t>
  </si>
  <si>
    <t>破釜</t>
  </si>
  <si>
    <t xml:space="preserve">Broken Cauldron  </t>
  </si>
  <si>
    <t>破釜沉舟，背水一战，赳赳壮士，百死无悔。</t>
  </si>
  <si>
    <t>Test For English443</t>
  </si>
  <si>
    <t>兽吞肩</t>
  </si>
  <si>
    <t xml:space="preserve">Beast-Devouring Shoulder  </t>
  </si>
  <si>
    <t>大旗门制式甲胄，全身披挂，防护妥当，驱鞑破虏，壮威赫赫。</t>
  </si>
  <si>
    <t>Test For English444</t>
  </si>
  <si>
    <t>item/300605</t>
  </si>
  <si>
    <t>逐北靴</t>
  </si>
  <si>
    <t xml:space="preserve">Chasing North Boots  </t>
  </si>
  <si>
    <t>大旗门制式甲胄，全身披挂，防护充足，驱鞑破虏，壮威赫赫。</t>
  </si>
  <si>
    <t>Test For English445</t>
  </si>
  <si>
    <t>item/400605</t>
  </si>
  <si>
    <t>关山锁</t>
  </si>
  <si>
    <t xml:space="preserve">Mountain Pass Lock  </t>
  </si>
  <si>
    <t>Test For English446</t>
  </si>
  <si>
    <t>item/500606</t>
  </si>
  <si>
    <t>征尘甲</t>
  </si>
  <si>
    <t xml:space="preserve">Dust of Battle Armor  </t>
  </si>
  <si>
    <t>Test For English447</t>
  </si>
  <si>
    <t>item/200607</t>
  </si>
  <si>
    <t>镔铁长刀</t>
  </si>
  <si>
    <t xml:space="preserve">Wrought Iron Long Saber  </t>
  </si>
  <si>
    <t>镔铁精锻而成的入门长刀，虽不甚锋利，胜在可以</t>
  </si>
  <si>
    <t>Test For English448</t>
  </si>
  <si>
    <t>item/102904</t>
  </si>
  <si>
    <t>渴饮</t>
  </si>
  <si>
    <t xml:space="preserve">Thirst-Quenching  </t>
  </si>
  <si>
    <t>细长轻刃，大雪山弟子惯用习武之刀。取杀生饮血之意。</t>
  </si>
  <si>
    <t>Test For English449</t>
  </si>
  <si>
    <t>item/102115</t>
  </si>
  <si>
    <t>霜白铗</t>
  </si>
  <si>
    <t xml:space="preserve">Frost White Blade  </t>
  </si>
  <si>
    <t>长白埋霜骨，寒铗饮血迟。</t>
  </si>
  <si>
    <t>Test For English450</t>
  </si>
  <si>
    <t>item/102906</t>
  </si>
  <si>
    <t>冷河血</t>
  </si>
  <si>
    <t xml:space="preserve">Cold River Blood  </t>
  </si>
  <si>
    <t>冰河凝咽血成冰，刀吻霜风骨未折。</t>
  </si>
  <si>
    <t>Test For English451</t>
  </si>
  <si>
    <t>item/102907</t>
  </si>
  <si>
    <t>镔铁飞镖</t>
  </si>
  <si>
    <t xml:space="preserve">Wrought Iron Throwing Dagger  </t>
  </si>
  <si>
    <t>镔铁所铸的飞镖暗器，颇为沉重，正可锻炼力道、技巧。</t>
  </si>
  <si>
    <t>Test For English452</t>
  </si>
  <si>
    <t>item/106404</t>
  </si>
  <si>
    <t>冰魂</t>
  </si>
  <si>
    <t xml:space="preserve">Ice Soul  </t>
  </si>
  <si>
    <t>大旗门弟子习练所用之暗器。破风锥冰，灭魂夺魄。</t>
  </si>
  <si>
    <t>Test For English453</t>
  </si>
  <si>
    <t>item/106405</t>
  </si>
  <si>
    <t>五瓣梅</t>
  </si>
  <si>
    <t xml:space="preserve">Five-Petal Plum  </t>
  </si>
  <si>
    <t>梅花未染春颜色，先落霜天冷月魂。</t>
  </si>
  <si>
    <t>Test For English454</t>
  </si>
  <si>
    <t>item/106406</t>
  </si>
  <si>
    <t>六出花</t>
  </si>
  <si>
    <t xml:space="preserve">Six-Petal Flower  </t>
  </si>
  <si>
    <t>wuqi/anqi/anqi8</t>
  </si>
  <si>
    <t>六出飞花寒彻骨，化作星芒破晓来。</t>
  </si>
  <si>
    <t>Test For English455</t>
  </si>
  <si>
    <t>item/106407</t>
  </si>
  <si>
    <t>封霜缠</t>
  </si>
  <si>
    <t xml:space="preserve">Frost-Wrapped Bindings  </t>
  </si>
  <si>
    <t>大雪山弟子惯常装束。内衬细绒，外固皮革，足以御寒，亦可护命。</t>
  </si>
  <si>
    <t>Test For English456</t>
  </si>
  <si>
    <t>item/300705</t>
  </si>
  <si>
    <t>踏雪履</t>
  </si>
  <si>
    <t xml:space="preserve">Snow-Treading Shoes  </t>
  </si>
  <si>
    <t>Test For English457</t>
  </si>
  <si>
    <t>item/400705</t>
  </si>
  <si>
    <t>辟玉带</t>
  </si>
  <si>
    <t xml:space="preserve">Jade-Warding Belt  </t>
  </si>
  <si>
    <t>Test For English458</t>
  </si>
  <si>
    <t>item/500706</t>
  </si>
  <si>
    <t>玄刹裘</t>
  </si>
  <si>
    <t xml:space="preserve">Black Robe  </t>
  </si>
  <si>
    <t>Test For English459</t>
  </si>
  <si>
    <t>item/200707</t>
  </si>
  <si>
    <t>旧道袍</t>
  </si>
  <si>
    <t xml:space="preserve">Old Taoist Robe  </t>
  </si>
  <si>
    <t>气血上限+239;防御力+39</t>
  </si>
  <si>
    <t>李映心所赠，颇见年月，干洁如新。</t>
  </si>
  <si>
    <t>Test For English460</t>
  </si>
  <si>
    <t>墨家连环铳</t>
  </si>
  <si>
    <t xml:space="preserve">Moisture's Linked Blunderbuss  </t>
  </si>
  <si>
    <t>此铳形制经墨家改良，虽威力略逊，然其填药之速却被大大缩短。</t>
  </si>
  <si>
    <t>Test For English461</t>
  </si>
  <si>
    <t>Test For English462</t>
  </si>
  <si>
    <t>Test For English463</t>
  </si>
  <si>
    <t>Test For English464</t>
  </si>
  <si>
    <t>秋亭西风</t>
  </si>
  <si>
    <t xml:space="preserve">Autumn Pavilion West Wind  </t>
  </si>
  <si>
    <t>秋水澄泓天泬寥，榛烟枫籁韵山椒。亭中常住无心客，大隐还嗤说市朝。</t>
  </si>
  <si>
    <t>Test For English465</t>
  </si>
  <si>
    <t>旧木剑</t>
  </si>
  <si>
    <t xml:space="preserve">Old Wooden Sword  </t>
  </si>
  <si>
    <t>陈旧木剑，剑柄缺了半截。可提升两仪剑法的招式伤害。</t>
  </si>
  <si>
    <t>Test For English466</t>
  </si>
  <si>
    <t>无用</t>
  </si>
  <si>
    <t xml:space="preserve">Useless  </t>
  </si>
  <si>
    <t>吴平安向来不爱舞刀弄剑，此剑久藏于此，已然生锈。可提升悟性。</t>
  </si>
  <si>
    <t>Test For English467</t>
  </si>
  <si>
    <t>江风寒</t>
  </si>
  <si>
    <t xml:space="preserve">River Wind Cold  </t>
  </si>
  <si>
    <t>江怀楚旧日佩剑，随其经了许多年月，仍然锋利如新。可提升清风剑法的招式伤害。</t>
  </si>
  <si>
    <t>Test For English468</t>
  </si>
  <si>
    <t>无涯</t>
  </si>
  <si>
    <t xml:space="preserve">Boundless  </t>
  </si>
  <si>
    <t>左三思旧年习武用刀，自退身朝堂起，弃之不用。可提升外功攻击。</t>
  </si>
  <si>
    <t>Test For English469</t>
  </si>
  <si>
    <t>翩鸿</t>
  </si>
  <si>
    <t xml:space="preserve">Graceful Swan  </t>
  </si>
  <si>
    <t>斜斜插在江怀楚墓前的佩剑，不知是何人所遗。可提升凌鸿剑势的招式伤害。</t>
  </si>
  <si>
    <t>Test For English470</t>
  </si>
  <si>
    <t>燕鸣</t>
  </si>
  <si>
    <t xml:space="preserve">Swallow's Cry  </t>
  </si>
  <si>
    <t>一柄装点精雅的横刀，似是燕南归钟爱之物。可提升沧海观澜刀法的招式伤害。</t>
  </si>
  <si>
    <t>Test For English471</t>
  </si>
  <si>
    <t>玄铁剑</t>
  </si>
  <si>
    <t xml:space="preserve">Black Iron Sword  </t>
  </si>
  <si>
    <t>钝锋无刃，黝黑无华，入手沉重至极。可提升外功攻击，降低内功攻击。</t>
  </si>
  <si>
    <t>Test For English472</t>
  </si>
  <si>
    <t>清秋</t>
  </si>
  <si>
    <t xml:space="preserve">Clear Autumn  </t>
  </si>
  <si>
    <t>花相特寻异洲奇木所制，剑身略软，但若贯以内力，便能坚逾金铁。可提升内功攻击，降低外功攻击。</t>
  </si>
  <si>
    <t>Test For English473</t>
  </si>
  <si>
    <t>飞影手</t>
  </si>
  <si>
    <t xml:space="preserve">Flying Shadow Hand  </t>
  </si>
  <si>
    <t>蚕丝织成，轻若无物。可提升移动速度。</t>
  </si>
  <si>
    <t>Test For English474</t>
  </si>
  <si>
    <t>断絮</t>
  </si>
  <si>
    <t xml:space="preserve">Broken Catkins  </t>
  </si>
  <si>
    <t>薄如蝉翼，佩之仿若无物。</t>
  </si>
  <si>
    <t>Test For English475</t>
  </si>
  <si>
    <t>拦山手</t>
  </si>
  <si>
    <t xml:space="preserve">Mountain-Blocking Hand  </t>
  </si>
  <si>
    <t>粗铁铸就，颇为沉重，寻常习武之人恐难操持。可提升外功攻击。</t>
  </si>
  <si>
    <t>Test For English476</t>
  </si>
  <si>
    <t>若水</t>
  </si>
  <si>
    <t xml:space="preserve">Like Water  </t>
  </si>
  <si>
    <t>冰丝织缠，如水。刚柔并济，刀剑难伤。可提升内功攻击。</t>
  </si>
  <si>
    <t>Test For English477</t>
  </si>
  <si>
    <t>锻骨手</t>
  </si>
  <si>
    <t xml:space="preserve">Bone-Forging Hand  </t>
  </si>
  <si>
    <t>陨铁打制，坚牢至极，刀劈斧剁皆不能伤。</t>
  </si>
  <si>
    <t>Test For English478</t>
  </si>
  <si>
    <t>摧岳</t>
  </si>
  <si>
    <t xml:space="preserve">Crushing Peaks  </t>
  </si>
  <si>
    <t>精铸拳甲，至刚至阳，纵开碑裂石，亦无损伤。</t>
  </si>
  <si>
    <t>Test For English479</t>
  </si>
  <si>
    <t>浊尘</t>
  </si>
  <si>
    <t xml:space="preserve">Dusty World  </t>
  </si>
  <si>
    <t>掌内暗附玄机，浸染诸般毒素，触之即伤。</t>
  </si>
  <si>
    <t>Test For English480</t>
  </si>
  <si>
    <t>烛阴</t>
  </si>
  <si>
    <t xml:space="preserve">Candle Shade  </t>
  </si>
  <si>
    <t>一对拳甲，凶煞十分。可同时提升内外功攻击，但会降低气血上限。</t>
  </si>
  <si>
    <t>Test For English481</t>
  </si>
  <si>
    <t>开阳</t>
  </si>
  <si>
    <t xml:space="preserve">Opening the Sun  </t>
  </si>
  <si>
    <t>至阳至刚，无往不破。</t>
  </si>
  <si>
    <t>Test For English482</t>
  </si>
  <si>
    <t>无极</t>
  </si>
  <si>
    <t xml:space="preserve">Limitless  </t>
  </si>
  <si>
    <t>大道无极，万象无名。</t>
  </si>
  <si>
    <t>Test For English483</t>
  </si>
  <si>
    <t>精铁大刀</t>
  </si>
  <si>
    <t xml:space="preserve">Iron Broadsword  </t>
  </si>
  <si>
    <t>取精铁叠打锻造的威武大刀，非常人可用。</t>
  </si>
  <si>
    <t>Test For English484</t>
  </si>
  <si>
    <t>斩蛟</t>
  </si>
  <si>
    <t xml:space="preserve">Dragon Slayer  </t>
  </si>
  <si>
    <t>双手握劈，足可杀虎斩蛟。</t>
  </si>
  <si>
    <t>Test For English485</t>
  </si>
  <si>
    <t>无锋</t>
  </si>
  <si>
    <t xml:space="preserve">Blunt Edge  </t>
  </si>
  <si>
    <t>刃身刃柄一体锻铸，两刃无锋。</t>
  </si>
  <si>
    <t>Test For English486</t>
  </si>
  <si>
    <t>摧城</t>
  </si>
  <si>
    <t xml:space="preserve">City Crusher  </t>
  </si>
  <si>
    <t>剑体庞然，剑意沛然。摧城破军，所向披靡。可提升防御。</t>
  </si>
  <si>
    <t>Test For English487</t>
  </si>
  <si>
    <t>照铁衣</t>
  </si>
  <si>
    <t xml:space="preserve">Shining Iron Armor  </t>
  </si>
  <si>
    <t>旧朝将军所锻重刃。冷锋洗膏血，寒光照铁衣。</t>
  </si>
  <si>
    <t>Test For English488</t>
  </si>
  <si>
    <t>骁烈</t>
  </si>
  <si>
    <t xml:space="preserve">Fierce and Valiant  </t>
  </si>
  <si>
    <t>名工所制，非骁勇武烈之将不能轻驭。可提升北顾枪法的招式伤害。</t>
  </si>
  <si>
    <t>Test For English489</t>
  </si>
  <si>
    <t>菩提</t>
  </si>
  <si>
    <t xml:space="preserve">Bodhi  </t>
  </si>
  <si>
    <t>智慧有灯千佛共，菩提叶巧一孤灯。可提升众相菩提杖的招式伤害。</t>
  </si>
  <si>
    <t>Test For English490</t>
  </si>
  <si>
    <t>裂阵</t>
  </si>
  <si>
    <t xml:space="preserve">Battlefield Splitter  </t>
  </si>
  <si>
    <t>龙战于野，其血玄黄。</t>
  </si>
  <si>
    <t>Test For English491</t>
  </si>
  <si>
    <t>梦惊秋</t>
  </si>
  <si>
    <t xml:space="preserve">Dream Shocked by Autumn  </t>
  </si>
  <si>
    <t>穿，锋锐寒骨。</t>
  </si>
  <si>
    <t>Test For English492</t>
  </si>
  <si>
    <t>布衣叹</t>
  </si>
  <si>
    <t xml:space="preserve">Cloth Robe's Lament  </t>
  </si>
  <si>
    <t>江湖之远，忧叹其民。</t>
  </si>
  <si>
    <t>Test For English493</t>
  </si>
  <si>
    <t>鹏程</t>
  </si>
  <si>
    <t xml:space="preserve">Roc's Journey  </t>
  </si>
  <si>
    <t>wuqi/shanzi/shanzi11</t>
  </si>
  <si>
    <t>一扇风送大鹏起。可提升身法。</t>
  </si>
  <si>
    <t>Test For English494</t>
  </si>
  <si>
    <t>item/105404</t>
  </si>
  <si>
    <t>拂骨</t>
  </si>
  <si>
    <t xml:space="preserve">Bone-Brushing  </t>
  </si>
  <si>
    <t>牢山道士无仙骨，却向人间作酒徒。</t>
  </si>
  <si>
    <t>Test For English495</t>
  </si>
  <si>
    <t>玉楼春</t>
  </si>
  <si>
    <t xml:space="preserve">Jade Tower Spring  </t>
  </si>
  <si>
    <t>wuqi/shanzi/shanzi10</t>
  </si>
  <si>
    <t>玉楼金阙慵归去，且插梅花醉洛阳。可提升悲遮扇法的招式伤害。</t>
  </si>
  <si>
    <t>Test For English496</t>
  </si>
  <si>
    <t>item/109206</t>
  </si>
  <si>
    <t>破骨锥</t>
  </si>
  <si>
    <t xml:space="preserve">Bone-Breaking Spike  </t>
  </si>
  <si>
    <t>长一寸三分，形做三棱。以手劲激发，专钉穴锥骨，糖人张弑师血证。可提升外功攻击。</t>
  </si>
  <si>
    <t>Test For English497</t>
  </si>
  <si>
    <t>梨花</t>
  </si>
  <si>
    <t>如梨花纷乱，眼目无暇，</t>
  </si>
  <si>
    <t>Test For English498</t>
  </si>
  <si>
    <t>淬毒飞刀</t>
  </si>
  <si>
    <t xml:space="preserve">Poisoned Throwing Knife  </t>
  </si>
  <si>
    <t>袖里藏刀，刃上覆毒，发之必中，中之必亡。可为攻击附加[中毒]效果。</t>
  </si>
  <si>
    <t>Test For English499</t>
  </si>
  <si>
    <t>item/105407</t>
  </si>
  <si>
    <t>撕风</t>
  </si>
  <si>
    <t xml:space="preserve">Wind-Rending  </t>
  </si>
  <si>
    <t>有空腔，破空撕风，摄人心魄。</t>
  </si>
  <si>
    <t>Test For English500</t>
  </si>
  <si>
    <t>天阙</t>
  </si>
  <si>
    <t xml:space="preserve">Heavenly Gate  </t>
  </si>
  <si>
    <t>息风叹，海无尘。可提升内息。</t>
  </si>
  <si>
    <t>Test For English501</t>
  </si>
  <si>
    <t>凛骨</t>
  </si>
  <si>
    <t xml:space="preserve">Bone-Chilling  </t>
  </si>
  <si>
    <t>字曰拒霜浑不恶，却愁霜重要人扶。</t>
  </si>
  <si>
    <t>Test For English502</t>
  </si>
  <si>
    <t>醉临渊</t>
  </si>
  <si>
    <t xml:space="preserve">Drunk at the Abyss  </t>
  </si>
  <si>
    <t>不占龙头选，不入名贤传。可提升醉饮降龙无双式的招式伤害。</t>
  </si>
  <si>
    <t>Test For English503</t>
  </si>
  <si>
    <t>踏风行</t>
  </si>
  <si>
    <t xml:space="preserve">Treading the Wind  </t>
  </si>
  <si>
    <t>何处秋风至？萧萧送雁群。可大幅提升移动速度，但会小幅降低武力。</t>
  </si>
  <si>
    <t>Test For English504</t>
  </si>
  <si>
    <t>鸳</t>
  </si>
  <si>
    <t xml:space="preserve">Mandarin Duck  </t>
  </si>
  <si>
    <t>谁堪共展鸳鸯锦，同过西楼此夜寒。可大幅提升外功攻击，但会降低暴击与暴击伤害。</t>
  </si>
  <si>
    <t>Test For English505</t>
  </si>
  <si>
    <t>item/106205</t>
  </si>
  <si>
    <t>疾景</t>
  </si>
  <si>
    <t xml:space="preserve">Swift Shadow  </t>
  </si>
  <si>
    <t>坐上传看疾风起，尊前拔舞惊虹跃。</t>
  </si>
  <si>
    <t>Test For English506</t>
  </si>
  <si>
    <t>羽切</t>
  </si>
  <si>
    <t xml:space="preserve">Feather Cutter  </t>
  </si>
  <si>
    <t>斩风，断流，切光。可提升无心流·拔刀术的招式伤害。</t>
  </si>
  <si>
    <t>Test For English507</t>
  </si>
  <si>
    <t>煞</t>
  </si>
  <si>
    <t xml:space="preserve">Ominous  </t>
  </si>
  <si>
    <t>明月下，疾刃出无影，挥即斩。</t>
  </si>
  <si>
    <t>Test For English508</t>
  </si>
  <si>
    <t>绯月</t>
  </si>
  <si>
    <t xml:space="preserve">Scarlet Moon  </t>
  </si>
  <si>
    <t>又寄百尺彩，绯月相盛衰。</t>
  </si>
  <si>
    <t>Test For English509</t>
  </si>
  <si>
    <t>樱泪</t>
  </si>
  <si>
    <t xml:space="preserve">Cherry Tears  </t>
  </si>
  <si>
    <t>血艳如樱，绽落如泪。</t>
  </si>
  <si>
    <t>Test For English510</t>
  </si>
  <si>
    <t>天原风</t>
  </si>
  <si>
    <t xml:space="preserve">Heavenly Plain Wind  </t>
  </si>
  <si>
    <t>祷祀高天原八百万神，福佑之风吹武士斩敌之刃。可提升暴击。</t>
  </si>
  <si>
    <t>Test For English511</t>
  </si>
  <si>
    <t>打穴索</t>
  </si>
  <si>
    <t xml:space="preserve">Acupressure Rope  </t>
  </si>
  <si>
    <t>二丈软索，尾系金锤，轨路无寻。可降低敌人的内功攻击。</t>
  </si>
  <si>
    <t>Test For English512</t>
  </si>
  <si>
    <t>裂金索</t>
  </si>
  <si>
    <t xml:space="preserve">Metal-Splitting Rope  </t>
  </si>
  <si>
    <t>上嵌鎏金，索坚且利，镶尖刺，舞之若灵蛇，威力甚巨。</t>
  </si>
  <si>
    <t>Test For English513</t>
  </si>
  <si>
    <t>崩岳</t>
  </si>
  <si>
    <t xml:space="preserve">Peak Splitter  </t>
  </si>
  <si>
    <t>通体黝黑，沉重至极，挥舞间有崩山断岳之势。</t>
  </si>
  <si>
    <t>Test For English514</t>
  </si>
  <si>
    <t>蛟尾</t>
  </si>
  <si>
    <t xml:space="preserve">Dragon Tail  </t>
  </si>
  <si>
    <t>宝气夜上贯东斗，蛟龙拜舞江声吼。</t>
  </si>
  <si>
    <t>Test For English515</t>
  </si>
  <si>
    <t>破阵</t>
  </si>
  <si>
    <t xml:space="preserve">Battlefield Breaker  </t>
  </si>
  <si>
    <t>硬弓铁胎，重箭钢牙，寻敌猎首，穿军破阵。可降低敌人的气血上限。</t>
  </si>
  <si>
    <t>Test For English516</t>
  </si>
  <si>
    <t>花影</t>
  </si>
  <si>
    <t xml:space="preserve">Flower Shadow  </t>
  </si>
  <si>
    <t>箭出花影乱，弦动莺声碎。</t>
  </si>
  <si>
    <t>Test For English517</t>
  </si>
  <si>
    <t>瑶月</t>
  </si>
  <si>
    <t xml:space="preserve">Jade Moon  </t>
  </si>
  <si>
    <t>弓满如月，月照满弓，百里追命。</t>
  </si>
  <si>
    <t>Test For English518</t>
  </si>
  <si>
    <t>冰弦</t>
  </si>
  <si>
    <t xml:space="preserve">Ice String  </t>
  </si>
  <si>
    <t>冰弦触指雁初度，风笛启唇鸾乍吹。</t>
  </si>
  <si>
    <t>Test For English519</t>
  </si>
  <si>
    <t>针狱</t>
  </si>
  <si>
    <t xml:space="preserve">Needle Prison  </t>
  </si>
  <si>
    <t>死堕铁轴狱，方丈一万钉，阉党大将曹辅之昔年随军北征辽东所用之弓，现已高悬于壁，弃之不用。可降低敌人的内劲增长。</t>
  </si>
  <si>
    <t>Test For English520</t>
  </si>
  <si>
    <t>龙吐珠</t>
  </si>
  <si>
    <t xml:space="preserve">Dragon Spits Pearl  </t>
  </si>
  <si>
    <t>精良铁铳，其声发如龙吟。可降低敌人的速度。</t>
  </si>
  <si>
    <t>Test For English521</t>
  </si>
  <si>
    <t>炎阳铳</t>
  </si>
  <si>
    <t xml:space="preserve">Sunfire Blunderbuss  </t>
  </si>
  <si>
    <t>祝融秉炎火，清晓升扶桑。</t>
  </si>
  <si>
    <t>Test For English522</t>
  </si>
  <si>
    <t>裂珠</t>
  </si>
  <si>
    <t xml:space="preserve">Pearl Splitter  </t>
  </si>
  <si>
    <t>膝上摧龙掌碎珠，剪茅揉蕊芝兰枯。可大幅提升散珠·蓄的招式伤害。</t>
  </si>
  <si>
    <t>Test For English523</t>
  </si>
  <si>
    <t>贯雷</t>
  </si>
  <si>
    <t xml:space="preserve">Thunder Piercer  </t>
  </si>
  <si>
    <t>壮志凌苍兕，精诚贯白虹。</t>
  </si>
  <si>
    <t>Test For English524</t>
  </si>
  <si>
    <t>灵雀</t>
  </si>
  <si>
    <t xml:space="preserve">Lark  </t>
  </si>
  <si>
    <t>不见篱间雀，见鹞自投罗。可提升暴击与闪避。</t>
  </si>
  <si>
    <t>Test For English525</t>
  </si>
  <si>
    <t>削骨双匕</t>
  </si>
  <si>
    <t xml:space="preserve">Bone-Shaving Twin Daggers  </t>
  </si>
  <si>
    <t>银铁勾连，削骨吸髓。</t>
  </si>
  <si>
    <t>Test For English526</t>
  </si>
  <si>
    <t>灵蛇缠</t>
  </si>
  <si>
    <t xml:space="preserve">Spirit Snake Wrap  </t>
  </si>
  <si>
    <t>珠生骊龙颔，或生灵蛇口。</t>
  </si>
  <si>
    <t>Test For English527</t>
  </si>
  <si>
    <t>仙蛭</t>
  </si>
  <si>
    <t xml:space="preserve">Immortal Leech  </t>
  </si>
  <si>
    <t>满路青泥杂陨箨，局缩畏触蛭与蛇。可提升吸血与速度。</t>
  </si>
  <si>
    <t>Test For English528</t>
  </si>
  <si>
    <t>七情</t>
  </si>
  <si>
    <t xml:space="preserve">Seven Emotions  </t>
  </si>
  <si>
    <t>七情浼若冰雪，一性湛然渊静。可提升七情缠蛊的招式伤害。</t>
  </si>
  <si>
    <t>Test For English529</t>
  </si>
  <si>
    <t>厚布衣</t>
  </si>
  <si>
    <t xml:space="preserve">Thick Cloth Robe  </t>
  </si>
  <si>
    <t>葛布深衣，厚实质朴。可提升外功防御。</t>
  </si>
  <si>
    <t>Test For English530</t>
  </si>
  <si>
    <t>薄罗衣</t>
  </si>
  <si>
    <t xml:space="preserve">Thin Silk Robe  </t>
  </si>
  <si>
    <t>轻罗薄缎，取裁成衣。以相富贵。</t>
  </si>
  <si>
    <t>Test For English531</t>
  </si>
  <si>
    <t>栖桐</t>
  </si>
  <si>
    <t xml:space="preserve">Perching Phoenix  </t>
  </si>
  <si>
    <t>望之如凤羽，着之轻如无物。</t>
  </si>
  <si>
    <t>Test For English532</t>
  </si>
  <si>
    <t>犀象</t>
  </si>
  <si>
    <t xml:space="preserve">Rhinoceros and Elephant  </t>
  </si>
  <si>
    <t>犀兕之皮，鞣制为革，坚如金石。可提升内功防御。</t>
  </si>
  <si>
    <t>Test For English533</t>
  </si>
  <si>
    <t>玲珑织</t>
  </si>
  <si>
    <t xml:space="preserve">Exquisite Weave  </t>
  </si>
  <si>
    <t>屏深金屈戌，现响玉玲珑。可提升气血上限。</t>
  </si>
  <si>
    <t>Test For English534</t>
  </si>
  <si>
    <t>磐心</t>
  </si>
  <si>
    <t xml:space="preserve">Unshakable Heart  </t>
  </si>
  <si>
    <t>仰望碧天际，俯磐绿水滨。</t>
  </si>
  <si>
    <t>Test For English535</t>
  </si>
  <si>
    <t>鸾光铠</t>
  </si>
  <si>
    <t xml:space="preserve">Luan Light Armor  </t>
  </si>
  <si>
    <t>尘生白象板，声断紫鸾箫。</t>
  </si>
  <si>
    <t>Test For English536</t>
  </si>
  <si>
    <t>玄猬</t>
  </si>
  <si>
    <t xml:space="preserve">Mystical Hedgehog  </t>
  </si>
  <si>
    <t>刺骨饮血，凶戾诡奇。可提升吸血。</t>
  </si>
  <si>
    <t>Test For English537</t>
  </si>
  <si>
    <t>毒鳞织</t>
  </si>
  <si>
    <t xml:space="preserve">Poison Scale Weave  </t>
  </si>
  <si>
    <t>细密鳞甲，内嵌偏板，工造精巧至极。可提升反伤。</t>
  </si>
  <si>
    <t>Test For English538</t>
  </si>
  <si>
    <t>玄罗披</t>
  </si>
  <si>
    <t xml:space="preserve">Black Silk Cape  </t>
  </si>
  <si>
    <t>玄色罗绸，黯若沉渊。</t>
  </si>
  <si>
    <t>Test For English539</t>
  </si>
  <si>
    <t>浑铁臂</t>
  </si>
  <si>
    <t xml:space="preserve">Solid Iron Arm  </t>
  </si>
  <si>
    <t>熟铁打成，坚固沉重。</t>
  </si>
  <si>
    <t>Test For English540</t>
  </si>
  <si>
    <t>织云</t>
  </si>
  <si>
    <t xml:space="preserve">Woven Cloud  </t>
  </si>
  <si>
    <t>轻罗织就，柔软舒适。可提升内功攻击。</t>
  </si>
  <si>
    <t>Test For English541</t>
  </si>
  <si>
    <t>奔雷手</t>
  </si>
  <si>
    <t xml:space="preserve">Thunderbolt Hand  </t>
  </si>
  <si>
    <t>金铁护臂，动若奔雷。</t>
  </si>
  <si>
    <t>Test For English542</t>
  </si>
  <si>
    <t>浑锦缠</t>
  </si>
  <si>
    <t xml:space="preserve">Brocade Wrap  </t>
  </si>
  <si>
    <t>多种锦缎杂合织成，华美难言。</t>
  </si>
  <si>
    <t>Test For English543</t>
  </si>
  <si>
    <t>流云腕</t>
  </si>
  <si>
    <t xml:space="preserve">Flowing Cloud Wristguard  </t>
  </si>
  <si>
    <t>上绣流云图样，样式寻常，着身方知其中玄妙。可提升暴击。</t>
  </si>
  <si>
    <t>Test For English544</t>
  </si>
  <si>
    <t>旌炎</t>
  </si>
  <si>
    <t xml:space="preserve">Banner Flame  </t>
  </si>
  <si>
    <t>炎火中微建大旗，王师频出剑关西。</t>
  </si>
  <si>
    <t>Test For English545</t>
  </si>
  <si>
    <t>天璃腕</t>
  </si>
  <si>
    <t xml:space="preserve">Heavenly Glass Wristguard  </t>
  </si>
  <si>
    <t>气血上限+260;防御力+26</t>
  </si>
  <si>
    <t>飞堕雪珂境，撼动冰轮天。增加暴击与暴击伤害，但会降低装备的基础属性。</t>
  </si>
  <si>
    <t>Test For English546</t>
  </si>
  <si>
    <t>缠云</t>
  </si>
  <si>
    <t xml:space="preserve">Cloud-Wrapped  </t>
  </si>
  <si>
    <t>浮云隔两曜，万象昏阴霏。</t>
  </si>
  <si>
    <t>Test For English547</t>
  </si>
  <si>
    <t>灵风臂</t>
  </si>
  <si>
    <t xml:space="preserve">Spirit Wind Arm  </t>
  </si>
  <si>
    <t>谁人呼来灵山风，来入中州振羽仪。</t>
  </si>
  <si>
    <t>Test For English548</t>
  </si>
  <si>
    <t>玄铁腕</t>
  </si>
  <si>
    <t xml:space="preserve">Black Iron Wristguard  </t>
  </si>
  <si>
    <t>玄铁打制，坚猛势沉。</t>
  </si>
  <si>
    <t>Test For English549</t>
  </si>
  <si>
    <t>掣羽</t>
  </si>
  <si>
    <t xml:space="preserve">Feather-Pulling  </t>
  </si>
  <si>
    <t>都门飞羽书，冰雪走胡骑。</t>
  </si>
  <si>
    <t>Test For English550</t>
  </si>
  <si>
    <t>溪风缕</t>
  </si>
  <si>
    <t xml:space="preserve">Stream Wind Thread  </t>
  </si>
  <si>
    <t>溪风掠镜水，澜起天高时，曾是水寨密库中物，连天云横扫天下帮会时，有一水寨喽啰趁乱携此物逃遁而出，自此不知所踪。可提升腿法通式的招式伤害。</t>
  </si>
  <si>
    <t>Test For English551</t>
  </si>
  <si>
    <t>征鸿</t>
  </si>
  <si>
    <t xml:space="preserve">Migrating Goose  </t>
  </si>
  <si>
    <t>血染长城沙，马踏征人骨。</t>
  </si>
  <si>
    <t>Test For English552</t>
  </si>
  <si>
    <t>踏星影</t>
  </si>
  <si>
    <t xml:space="preserve">Star-Treading Shadow  </t>
  </si>
  <si>
    <t>风鬣追星低弄影，霜蹄逐电去无声。可提升移动速度。</t>
  </si>
  <si>
    <t>Test For English553</t>
  </si>
  <si>
    <t>金刚</t>
  </si>
  <si>
    <t xml:space="preserve">Diamond  </t>
  </si>
  <si>
    <t>众生作依怙，智慧身金刚。</t>
  </si>
  <si>
    <t>Test For English554</t>
  </si>
  <si>
    <t>浑铁履</t>
  </si>
  <si>
    <t xml:space="preserve">Solid Iron Boots  </t>
  </si>
  <si>
    <t>剑履南宫入，簪缨北阙来。</t>
  </si>
  <si>
    <t>Test For English555</t>
  </si>
  <si>
    <t>白蕊缠足</t>
  </si>
  <si>
    <t xml:space="preserve">White Bud Foot Wrap  </t>
  </si>
  <si>
    <t>剔却灯花蕊，从教污翠钿，西域奇珍，今川留初来连环寨时，此物便是拜山之礼。可提升身法。</t>
  </si>
  <si>
    <t>Test For English556</t>
  </si>
  <si>
    <t>伏龙</t>
  </si>
  <si>
    <t xml:space="preserve">Dragon Subduer  </t>
  </si>
  <si>
    <t>放鹤临山阁，降龙步石桥。</t>
  </si>
  <si>
    <t>Test For English557</t>
  </si>
  <si>
    <t>碎琼踏</t>
  </si>
  <si>
    <t xml:space="preserve">Shattered Jade Step  </t>
  </si>
  <si>
    <t>昆山玉碎琼楼裂，老龙起舞惊明月。</t>
  </si>
  <si>
    <t>Test For English558</t>
  </si>
  <si>
    <t>灵泽</t>
  </si>
  <si>
    <t xml:space="preserve">Spirit Marsh  </t>
  </si>
  <si>
    <t>画船载酒舣青山，拂拭残碑草莽间。</t>
  </si>
  <si>
    <t>Test For English559</t>
  </si>
  <si>
    <t>紫云带</t>
  </si>
  <si>
    <t xml:space="preserve">Purple Cloud Belt  </t>
  </si>
  <si>
    <t>溪边紫气半空浮，父老携杖看故侯。可提升初始真气。</t>
  </si>
  <si>
    <t>Test For English560</t>
  </si>
  <si>
    <t>炎纹锦</t>
  </si>
  <si>
    <t xml:space="preserve">Flame-Patterned Brocade  </t>
  </si>
  <si>
    <t>炽红麒麟沈水炉，凤纹锦褥须弥毡。</t>
  </si>
  <si>
    <t>Test For English561</t>
  </si>
  <si>
    <t>梵月</t>
  </si>
  <si>
    <t xml:space="preserve">Moon of Purity  </t>
  </si>
  <si>
    <t>金银拱梵刹，丹青照廊宇。可提升气血上限。</t>
  </si>
  <si>
    <t>Test For English562</t>
  </si>
  <si>
    <t>沁霜</t>
  </si>
  <si>
    <t xml:space="preserve">Frost-Soaked  </t>
  </si>
  <si>
    <t>凉风沁石骨，快雨过山头。</t>
  </si>
  <si>
    <t>Test For English563</t>
  </si>
  <si>
    <t>灵晖带</t>
  </si>
  <si>
    <t xml:space="preserve">Spirit Radiance Belt  </t>
  </si>
  <si>
    <t>羲和舒灵晖，倏忽西极通。</t>
  </si>
  <si>
    <t>Test For English564</t>
  </si>
  <si>
    <t>天澜</t>
  </si>
  <si>
    <t xml:space="preserve">Heavenly Ripple  </t>
  </si>
  <si>
    <t>郡邑浮前浦，天澜动远空。可提升外功防御。</t>
  </si>
  <si>
    <t>Test For English565</t>
  </si>
  <si>
    <t>盘龙绦</t>
  </si>
  <si>
    <t xml:space="preserve">Coiled Dragon Cord  </t>
  </si>
  <si>
    <t>盘龙楼舰浮冤水，雕锦帆幢使乱风。</t>
  </si>
  <si>
    <t>Test For English566</t>
  </si>
  <si>
    <t>天目带</t>
  </si>
  <si>
    <t xml:space="preserve">Heavenly Eye Belt  </t>
  </si>
  <si>
    <t>羁臣家万里，天目鉴孤忠。</t>
  </si>
  <si>
    <t>Test For English567</t>
  </si>
  <si>
    <t>织心缠</t>
  </si>
  <si>
    <t xml:space="preserve">Woven Heart Wrap  </t>
  </si>
  <si>
    <t>舞袖鸳鸯锦，歌珠玳瑁筵。可提升气血上限与体力恢复。</t>
  </si>
  <si>
    <t>Test For English568</t>
  </si>
  <si>
    <t>幽罗</t>
  </si>
  <si>
    <t xml:space="preserve">Dark Silk  </t>
  </si>
  <si>
    <t>自古幽人泣，流年壮士悲。</t>
  </si>
  <si>
    <t>Test For English569</t>
  </si>
  <si>
    <t>玄铁扳指</t>
  </si>
  <si>
    <t xml:space="preserve">Black Iron Thumb Ring  </t>
  </si>
  <si>
    <t>玄铁锻就，样式古朴，赵辛得意之作。可提升武力。</t>
  </si>
  <si>
    <t>Test For English570</t>
  </si>
  <si>
    <t>云纹戒</t>
  </si>
  <si>
    <t xml:space="preserve">Cloud-Patterned Ring  </t>
  </si>
  <si>
    <t>上镌云纹，颇为精美。</t>
  </si>
  <si>
    <t>Test For English571</t>
  </si>
  <si>
    <t>风琅</t>
  </si>
  <si>
    <t xml:space="preserve">Wind Chime  </t>
  </si>
  <si>
    <t>去缘焚玉琅，来为采葑菲。</t>
  </si>
  <si>
    <t>Test For English572</t>
  </si>
  <si>
    <t>梦玑</t>
  </si>
  <si>
    <t xml:space="preserve">Dream Jewel  </t>
  </si>
  <si>
    <t>少年折桂登皇畿，黄金台上倾珠玑。</t>
  </si>
  <si>
    <t>Test For English573</t>
  </si>
  <si>
    <t>赤霞</t>
  </si>
  <si>
    <t xml:space="preserve">Crimson Glow  </t>
  </si>
  <si>
    <t>赤霞变玄云，风起烟雾塞。</t>
  </si>
  <si>
    <t>Test For English574</t>
  </si>
  <si>
    <t>幻珠戒</t>
  </si>
  <si>
    <t xml:space="preserve">Illusion Pearl Ring  </t>
  </si>
  <si>
    <t>生去死来都是幻，幻人哀乐系何情。可提升内功防御。</t>
  </si>
  <si>
    <t>Test For English575</t>
  </si>
  <si>
    <t>灵环戒</t>
  </si>
  <si>
    <t xml:space="preserve">Spirit Ring  </t>
  </si>
  <si>
    <t>不随海燕柏梁去，应无玉环衔报恩。可提升外功防御。</t>
  </si>
  <si>
    <t>Test For English576</t>
  </si>
  <si>
    <t>雪珰戒</t>
  </si>
  <si>
    <t xml:space="preserve">Snow Bell Ring  </t>
  </si>
  <si>
    <t>夜深殿突兀，风动金锒铛。</t>
  </si>
  <si>
    <t>Test For English577</t>
  </si>
  <si>
    <t>胤瑱</t>
  </si>
  <si>
    <t xml:space="preserve">Imperial Jade  </t>
  </si>
  <si>
    <t>一夕成长往，二胤仍各天。</t>
  </si>
  <si>
    <t>Test For English578</t>
  </si>
  <si>
    <t>瑶光戒</t>
  </si>
  <si>
    <t xml:space="preserve">Radiant Light Ring  </t>
  </si>
  <si>
    <t>瑶光楼南皆紫禁，梨园仙宴临花枝，若烟接掌花魁之位时，潇湘子于寝宫中亲手戴于其手之上。可提升速度。</t>
  </si>
  <si>
    <t>Test For English579</t>
  </si>
  <si>
    <t>影钏</t>
  </si>
  <si>
    <t xml:space="preserve">Shadow Bracelet  </t>
  </si>
  <si>
    <t>金钏镂银朵，罗衣绯红紫。</t>
  </si>
  <si>
    <t>Test For English580</t>
  </si>
  <si>
    <t>锻翡</t>
  </si>
  <si>
    <t xml:space="preserve">Forged Jade  </t>
  </si>
  <si>
    <t>香炉直削金芙蓉，瀑布长拖青翡翠。</t>
  </si>
  <si>
    <t>Test For English581</t>
  </si>
  <si>
    <t>裂碑链</t>
  </si>
  <si>
    <t xml:space="preserve">Stele-Splitting Chain  </t>
  </si>
  <si>
    <t>山灵护得神祠在，苔蚀秦碑古树阴。</t>
  </si>
  <si>
    <t>Test For English582</t>
  </si>
  <si>
    <t>扶摇</t>
  </si>
  <si>
    <t xml:space="preserve">Soaring Wind  </t>
  </si>
  <si>
    <t>逌乎有宋，扶摇之野。</t>
  </si>
  <si>
    <t>Test For English583</t>
  </si>
  <si>
    <t>风松链</t>
  </si>
  <si>
    <t xml:space="preserve">Pine Wind Chain  </t>
  </si>
  <si>
    <t>清泠石泉引，雅澹风松曲。</t>
  </si>
  <si>
    <t>Test For English584</t>
  </si>
  <si>
    <t>萍瑛</t>
  </si>
  <si>
    <t xml:space="preserve">Duckweed Jade  </t>
  </si>
  <si>
    <t>谢正青家传之物，已然颇为老旧。可提升浮萍剑诀的招式伤害。</t>
  </si>
  <si>
    <t>Test For English585</t>
  </si>
  <si>
    <t>不工</t>
  </si>
  <si>
    <t xml:space="preserve">Unrefined  </t>
  </si>
  <si>
    <t>苏武封犹薄，崔駰宦不工。</t>
  </si>
  <si>
    <t>Test For English586</t>
  </si>
  <si>
    <t>北顾链</t>
  </si>
  <si>
    <t xml:space="preserve">Northward Chain  </t>
  </si>
  <si>
    <t>北顾道阻长，风沙正漫漫。</t>
  </si>
  <si>
    <t>Test For English587</t>
  </si>
  <si>
    <t>将军令</t>
  </si>
  <si>
    <t xml:space="preserve">General's Order  </t>
  </si>
  <si>
    <t>将军百战死，壮士十年归。</t>
  </si>
  <si>
    <t>Test For English588</t>
  </si>
  <si>
    <t>琉璃心</t>
  </si>
  <si>
    <t xml:space="preserve">Glass Heart  </t>
  </si>
  <si>
    <t>六尘无觉，彻如琉璃。</t>
  </si>
  <si>
    <t>Test For English589</t>
  </si>
  <si>
    <t>天霖坠</t>
  </si>
  <si>
    <t xml:space="preserve">Heavenly Rain Pendant  </t>
  </si>
  <si>
    <t>甘霖雨九天，皇泽被幽遐。</t>
  </si>
  <si>
    <t>Test For English590</t>
  </si>
  <si>
    <t>伏蛟坠</t>
  </si>
  <si>
    <t xml:space="preserve">Dragon-Subduing Pendant  </t>
  </si>
  <si>
    <t>珠应哂鱼目，铅未伏龙泉。可提升醉饮降龙无双式的招式伤害。</t>
  </si>
  <si>
    <t>Test For English591</t>
  </si>
  <si>
    <t>炎取</t>
  </si>
  <si>
    <t xml:space="preserve">Flame Seizer  </t>
  </si>
  <si>
    <t>物竞炎炎中，天择存有几。可提升无心流·拔刀术的招式伤害。</t>
  </si>
  <si>
    <t>Test For English592</t>
  </si>
  <si>
    <t>金髓璎</t>
  </si>
  <si>
    <t xml:space="preserve">Golden Marrow Necklace  </t>
  </si>
  <si>
    <t>素粉间璎珞，轻黄染琼瑶。</t>
  </si>
  <si>
    <t>Test For English593</t>
  </si>
  <si>
    <t>霹雳</t>
  </si>
  <si>
    <t xml:space="preserve">Thunderbolt  </t>
  </si>
  <si>
    <t>霹雳疑天裂，滂沱剧海翻。</t>
  </si>
  <si>
    <t>Test For English594</t>
  </si>
  <si>
    <t>雷火囊</t>
  </si>
  <si>
    <t xml:space="preserve">Thunderfire Pouch  </t>
  </si>
  <si>
    <t>迅雷电迈，弗及掩耳。</t>
  </si>
  <si>
    <t>Test For English595</t>
  </si>
  <si>
    <t>美人骨</t>
  </si>
  <si>
    <t xml:space="preserve">Beauty's Bone  </t>
  </si>
  <si>
    <t>天街曾醉美人骨。可提升七情缠蛊的招式伤害。</t>
  </si>
  <si>
    <t>Test For English596</t>
  </si>
  <si>
    <t>太平佩</t>
  </si>
  <si>
    <t xml:space="preserve">Peace Pendant  </t>
  </si>
  <si>
    <t>七窍几时开浑沌，八方无处不太平。可提升身法。</t>
  </si>
  <si>
    <t>Test For English597</t>
  </si>
  <si>
    <t>浑心锁</t>
  </si>
  <si>
    <t xml:space="preserve">Solid Heart Lock  </t>
  </si>
  <si>
    <t>担上牡丹犹许见，城中浑不识莺声。可提升筋骨。</t>
  </si>
  <si>
    <t>Test For English598</t>
  </si>
  <si>
    <t>碧玺</t>
  </si>
  <si>
    <t xml:space="preserve">Bixi  </t>
  </si>
  <si>
    <t>一朝让宝位，剑玺传无穷。可提升外功攻击与内功攻击。</t>
  </si>
  <si>
    <t>Test For English599</t>
  </si>
  <si>
    <t>item/908075</t>
  </si>
  <si>
    <t>仪戟</t>
  </si>
  <si>
    <t xml:space="preserve">Ceremonial Halberd  </t>
  </si>
  <si>
    <t>wuqi/changbing/qiang8</t>
  </si>
  <si>
    <t>皇仪制式，颇为沉重。可提升外功攻击。</t>
  </si>
  <si>
    <t>Test For English600</t>
  </si>
  <si>
    <t>item/104402</t>
  </si>
  <si>
    <t>醉摇仙</t>
  </si>
  <si>
    <t xml:space="preserve">Drunken Immortal Shake  </t>
  </si>
  <si>
    <t>wuqi/shanzi/shanzi9</t>
  </si>
  <si>
    <t>手持白鸾尾，夜扫南山云。可提升内功攻击。</t>
  </si>
  <si>
    <t>Test For English601</t>
  </si>
  <si>
    <t>item/105504</t>
  </si>
  <si>
    <t>太平令</t>
  </si>
  <si>
    <t xml:space="preserve">Peace Decree  </t>
  </si>
  <si>
    <t>wuqi/qingren/danjian</t>
  </si>
  <si>
    <t>三千年后知谁在，何必劳君报太平。可提升武力。</t>
  </si>
  <si>
    <t>Test For English602</t>
  </si>
  <si>
    <t>item/102905</t>
  </si>
  <si>
    <t>逍遥游</t>
  </si>
  <si>
    <t xml:space="preserve">Carefree Wandering  </t>
  </si>
  <si>
    <t>wuqi/shanzi/shanzi8</t>
  </si>
  <si>
    <t>皎皎白驹，食我场苗。絷之维之，以永今朝。可提升身法。</t>
  </si>
  <si>
    <t>Test For English603</t>
  </si>
  <si>
    <t>item/105604</t>
  </si>
  <si>
    <t>乌蛇蜕</t>
  </si>
  <si>
    <t xml:space="preserve">Black Snake Shedding  </t>
  </si>
  <si>
    <t>wuqi/shuangshouqingren/shuangshouqingren8</t>
  </si>
  <si>
    <t>攻击力+175</t>
  </si>
  <si>
    <t>修蛇横洞庭，吞象临江岛。可为攻击附加[中毒]效果，但会降低装备的基础属性。</t>
  </si>
  <si>
    <t>Test For English604</t>
  </si>
  <si>
    <t>item/1021005</t>
  </si>
  <si>
    <t>红萝啄</t>
  </si>
  <si>
    <t xml:space="preserve">Red Pecker  </t>
  </si>
  <si>
    <t>wuqi/duanbing/duanbing8</t>
  </si>
  <si>
    <t>以异州血藤为材精制而成，虽欠了些许坚锐，然却妖异美艳，颇为红绡所喜。可提升吸血。</t>
  </si>
  <si>
    <t>Test For English605</t>
  </si>
  <si>
    <t>item/115504</t>
  </si>
  <si>
    <t>冰河</t>
  </si>
  <si>
    <t xml:space="preserve">Ice River  </t>
  </si>
  <si>
    <t>空怀铁马横戈意，未试冰河堕指寒。</t>
  </si>
  <si>
    <t>Test For English606</t>
  </si>
  <si>
    <t>item/103106</t>
  </si>
  <si>
    <t>燕山雪</t>
  </si>
  <si>
    <t xml:space="preserve">Yanshan Snow  </t>
  </si>
  <si>
    <t>李麒所赠的项坠。色泽通透，如隋东关外燕山高峰上终年不化之积雪。</t>
  </si>
  <si>
    <t>Test For English607</t>
  </si>
  <si>
    <t>item/700306</t>
  </si>
  <si>
    <t>朱明承夜</t>
  </si>
  <si>
    <t xml:space="preserve">Vermilion Brightness Carries the Night  </t>
  </si>
  <si>
    <t>以红玉雕琢而成的坠饰。触之隐有温热之气，有压制寒阴之效。</t>
  </si>
  <si>
    <t>Test For English608</t>
  </si>
  <si>
    <t>item/800406</t>
  </si>
  <si>
    <t>武斗印记</t>
  </si>
  <si>
    <t xml:space="preserve">Martial Arts Mark  </t>
  </si>
  <si>
    <t>武林大会</t>
  </si>
  <si>
    <t>气血上限+142;防御力+100</t>
  </si>
  <si>
    <t>锋芒初绽，武道留痕，侠影过处，霜刃犹新。</t>
  </si>
  <si>
    <t>Test For English609</t>
  </si>
  <si>
    <t>item/800501</t>
  </si>
  <si>
    <t>武斗精意</t>
  </si>
  <si>
    <t xml:space="preserve">Martial Arts Essence  </t>
  </si>
  <si>
    <t>气血上限+142;防御力+160</t>
  </si>
  <si>
    <t>斗心凝意，我武维扬，气吞六合，力破千钧。</t>
  </si>
  <si>
    <t>Test For English610</t>
  </si>
  <si>
    <t>item/800502</t>
  </si>
  <si>
    <t>武斗之魂</t>
  </si>
  <si>
    <t xml:space="preserve">Martial Arts Soul  </t>
  </si>
  <si>
    <t>气血上限+618;防御力+388</t>
  </si>
  <si>
    <t>虎啸龙吟，武骨凌尘；壮怀激烈，气贯长虹。</t>
  </si>
  <si>
    <t>Test For English611</t>
  </si>
  <si>
    <t>item/800503</t>
  </si>
  <si>
    <t>武斗桂冠</t>
  </si>
  <si>
    <t>Martial Arts Crown</t>
  </si>
  <si>
    <t>气血上限+998;防御力+418</t>
  </si>
  <si>
    <t>冠绝八荒，武镇九州；江湖共主，天下独尊。</t>
  </si>
  <si>
    <t>Test For English612</t>
  </si>
  <si>
    <t>item/800504</t>
  </si>
  <si>
    <t>A must-have for beginners in boxing and palming.</t>
  </si>
  <si>
    <t>Strips of coarse cloth wrapped in rusty iron pieces are popular with street scoundrels.</t>
  </si>
  <si>
    <t>Made of tanned cowhide leather and padded inside for a solid and secure fit.</t>
  </si>
  <si>
    <t>White iron trimmed with wood and crude workmanship.</t>
  </si>
  <si>
    <t>Black iron clad in copper, well made, can slightly accommodate finger turning.</t>
  </si>
  <si>
    <t>Crafted of fine iron and wrapped in soft silver, it is easy for the fingers and palms to turn around in it, which shows the craftsmanship.</t>
  </si>
  <si>
    <t>Adapted from the heavy military armor that flowed into the civilian population, it is slightly old, but still sturdy to the extreme.</t>
  </si>
  <si>
    <t>I have traveled thousands of miles to the military, and the mountains are as if they were flying.</t>
  </si>
  <si>
    <t>The force breaks all laws, and all beings see it as if it were, and the mysteries of the universe can be determined by the overlaying of the palm.</t>
  </si>
  <si>
    <t>The seven characters of the heavenly book are not recognizable, but they are surely known as the talisman in the hands of the Xuan Nü.</t>
  </si>
  <si>
    <t>Made of fine copper casting, exquisite workmanship, solid and durable, Xu Songyang work of heart.</t>
  </si>
  <si>
    <t>It is made of black leather and engraved with the word "Zhenmao".</t>
  </si>
  <si>
    <t>The steel is made of fine forged steel.</t>
  </si>
  <si>
    <t>Dead branches everywhere.</t>
  </si>
  <si>
    <t>Beginners with insufficient wrist strength need to use this sword.</t>
  </si>
  <si>
    <t>Jianghu common system, not very sharp, but durable.</t>
  </si>
  <si>
    <t>Although the material is made of mortal iron, under a hundred forging, it is also hard and sharp.</t>
  </si>
  <si>
    <t>The scabbard and hilt of the sword are decorated with jasper and were mostly worn by the literati.</t>
  </si>
  <si>
    <t>Light and agile, blowing hair to break, out of the sword like a white rainbow through the sun, so that the name.</t>
  </si>
  <si>
    <t>This sword hilt black, the more to the tip of the sword will become more sharp, shaped like the witch rituals in the "white head of the God Crow", the sword to take this name, but also this sword out of the sheath, will see the blood of the meaning of the unsettling.</t>
  </si>
  <si>
    <t>The ancient sword is cold and dull, and has been cast for thousands of years.</t>
  </si>
  <si>
    <t>The sixth bridge is fragrant for ten miles, and the peach blossom wind rises up to stack the glaze.</t>
  </si>
  <si>
    <t>Chivalry is the only way, the only unevenness, then millions of dangerous obstacles, such as the abyss in front of the lone can be indulged.</t>
  </si>
  <si>
    <t>The sword divides the turbid world, and there is no discernible dust and light.</t>
  </si>
  <si>
    <t>Beginners with insufficient wrist strength need to use this knife.</t>
  </si>
  <si>
    <t>Rough forging, traveling merchants often use this defense.</t>
  </si>
  <si>
    <t>The old system of the former dynasty, general workmanship, but lightweight and portable, solid and durable.</t>
  </si>
  <si>
    <t>The sword is made of fine iron, and the tsuba is decorated with a ghostly face, adding to the fury of the sword.</t>
  </si>
  <si>
    <t>Forged by ancient methods, it is extremely tough, and the spine of the knife is green and blue and red, just like being washed in blue blood.</t>
  </si>
  <si>
    <t>The blade has been forged in thousands, and the red handle is inlaid with gold, which is not only gorgeous, but also capable of cutting iron like mud.</t>
  </si>
  <si>
    <t>Cracking stone and breaking jade, cutting fog and tearing wind.</t>
  </si>
  <si>
    <t>The unsheathed sword is a great evil, and when it is returned to the time of union, it is called the blade of benevolence.</t>
  </si>
  <si>
    <t>Whenever there is an injustice, one should drink the knife to break it, and for twenty years there have been people holding this knife and wantonly going to the rivers and lakes.</t>
  </si>
  <si>
    <t>Martial arts practitioners, without shame and without fear, the great and the good have no words, should be as such.</t>
  </si>
  <si>
    <t>Life in the world is like climbing a mountain. Can a rugged road lead to the summit?</t>
  </si>
  <si>
    <t>The handle and blade are forged from a single piece of fine gold, and when the knife is sheathed, the sound of the knife will shake the sky and frighten the sky with flying chasms.</t>
  </si>
  <si>
    <t>Taihe disciples practicing martial arts use swords, although not very sharp, but balanced and lightweight, which is in line with the martial arts purpose of Taihe.</t>
  </si>
  <si>
    <t>The sword was once engraved with the word "Wash the Sea" on its tsuba, as a token of its purpose. Enhances external attacks.</t>
  </si>
  <si>
    <t>We drink golden flower wine together in other places, and grieve for the sky with the geese and geese for thousands of miles.</t>
  </si>
  <si>
    <t>One of the three heavenly swords, decorated with cloud patterns, engraved with a luan, bearing the shadow of the invisible, the sky apprehended the clouds; it is rumored that the collection of the three heavenly swords will have strange things happen.</t>
  </si>
  <si>
    <t>Cuckoo fall out of Zi Gui cry, Duanmu Qing accompanied by a sword, long three feet one inch, years and days, has not been sheathed to show people, too and up and down, do not see its front.</t>
  </si>
  <si>
    <t>The imperial grace is great, and the honor is like smoke.</t>
  </si>
  <si>
    <t>The fine iron forged blade is quite sharp.</t>
  </si>
  <si>
    <t>I am a despondent guest on earth, remembering my life in the sound of my broken heart.</t>
  </si>
  <si>
    <t>The Xiangyang swordsman, Lin Lin, does not forget to match his sword, taking the meaning of the lone broken goose, standing all alone in flight.</t>
  </si>
  <si>
    <t>The handle and blade are forged from a single piece of fine gold. When this sword is sheathed, the sound of the blade will shake the sky, and it can frighten the sky with flying chasms. It can enhance internal attacks.</t>
  </si>
  <si>
    <t>The sword used by the disciples of the End of the World Sea Pavilion End of the World Guardian line for martial arts practice is long, solid and durable.</t>
  </si>
  <si>
    <t>It is a family heirloom of the Xiangyang Chu family, and after a hundred years, it can still cut gold and break iron.</t>
  </si>
  <si>
    <t>One of the three heavenly swords, decorated with a pearl, engraved with a swan, Kungo cut jade, breaking the autumn water; it is rumored that the collection of the three heavenly swords will have strange things happen.</t>
  </si>
  <si>
    <t>One of the three heavenly swords, decorated with the plume, engraved with the gold auger, cutting iron, silent, running like the wind; it is rumored that the collection of the three heavenly swords will have strange things happen.</t>
  </si>
  <si>
    <t>It is heavy and falls on the hand, and can be used to hurt people with brute force.</t>
  </si>
  <si>
    <t>Modeled after the Border Army's system, it is roughly made.</t>
  </si>
  <si>
    <t>The old system of the frontier army of the former dynasty has been abandoned for many years, and the method of forging has been popularized by martial artists after flowing into the rivers and lakes.</t>
  </si>
  <si>
    <t>Wrought from pig iron, it is thick and sharp, and is difficult to be handled by anyone other than the strongest of brawn.</t>
  </si>
  <si>
    <t>Great ingenuity, great complexity, great simplicity.</t>
  </si>
  <si>
    <t>The soughing west wind is planted all over the yard, the stamens are cold, the fragrance is cold and the butterflies are hard to come.</t>
  </si>
  <si>
    <t>Imitation of the ancient name, weighing more than a thousand pounds, bloody blades everywhere, clothes and armor flat over.</t>
  </si>
  <si>
    <t>Those of earthly virtue should hold this blade and sweep away the evils.</t>
  </si>
  <si>
    <t>The blade is simple and ancient, weighing more than a hundred pounds, not humanly possible, except for the hilt of the blade, which is sealed with the word willow.</t>
  </si>
  <si>
    <t>A godly man has no merit, a saint has no name, and a fangless fang, or a consummation.</t>
  </si>
  <si>
    <t>I don't know what kind of material was used to forge the firewood knife, and it was extremely heavy in the hand.</t>
  </si>
  <si>
    <t>The steel is finely forged, solid and heavy, with dark patterns cascading over it like waves.</t>
  </si>
  <si>
    <t>Straight wood is cut off the branches, then become this stick, also known as "Qi Mei stick".</t>
  </si>
  <si>
    <t>The hardwood is rammed straight and refined into a long stick that is quite heavy in the hand.</t>
  </si>
  <si>
    <t>The adamantine wood is the base material and a copper dragon is coiled on it, adding to the power.</t>
  </si>
  <si>
    <t>Named after the Tantric Arahant Sanskrit name, it is struck in steel and engraved in gold.</t>
  </si>
  <si>
    <t>The body of the stick is made of the flow of sharp blades, blunt and sharp compatibility, which is suitable for the meaning of vertical and horizontal.</t>
  </si>
  <si>
    <t>Yesterday the heart of a Rakshasa, today the face of a Bodhisattva.</t>
  </si>
  <si>
    <t>Subduing evil and not partying to evil, meeting slightly without shame Zhenwu; Protecting the law as illegal, turning back how to see Guanyin.</t>
  </si>
  <si>
    <t>The origin is difficult to trace, the material is difficult to identify, according to the rumor that it is a relic of the Great Snow Mountain.</t>
  </si>
  <si>
    <t>Within the four seas, all are not submissive, this is not manpower, is actually the mandate of God.</t>
  </si>
  <si>
    <t>When the two Zen temples were separated from each other, it was rumored that they were alluding to the scriptures and theories of the Buddha, and it is now difficult to say whether they are true or not.</t>
  </si>
  <si>
    <t>I don't know when the thing handed down, slightly rotten wooden pole, the old sand traces can be seen vaguely.</t>
  </si>
  <si>
    <t>The tip of the gun is shaped like a flame due to the poor forging technique, hence the name.</t>
  </si>
  <si>
    <t>Military-made lance, the tip of the lance is slightly rusted, but it is still solid and sharp, so it can be used.</t>
  </si>
  <si>
    <t>A military-made lance with a killing machine, its head brilliantly bright as silver, its sharpness as new.</t>
  </si>
  <si>
    <t>The shape of the instrument of the Emperor's rites, slightly modified, non-primavera is difficult to transport.</t>
  </si>
  <si>
    <t>The red tassel is everywhere, ten thousand enemies are at the head of their heads, and they break through the battlefield, and they are in awe of God's majesty.</t>
  </si>
  <si>
    <t>Ten thousand miles of horizontal mutual feathered spears, the outer path of the Shura is shocked to shrink its neck.</t>
  </si>
  <si>
    <t>Under the sky, there is no one who is not the king's land, and there is no one who is not the king's subject in the land.</t>
  </si>
  <si>
    <t>Horse leather, the honor of military and martial arts, the only courage before the war, the sands of heroism, can be across the world, death is not regret.</t>
  </si>
  <si>
    <t>Zhen Guo Wei relics, rumored to be Zhen Guo Gong personally held, and now Zhen Guo Wei has been dispersed, and then no one can distinguish its authenticity.</t>
  </si>
  <si>
    <t>The iron is finely wrought and quite substantial.</t>
  </si>
  <si>
    <t>A naginata forged in the shape of the Japanese, with the name "Shiratsuki no Kiri" meaning that the blade is so fast and sharp that it can cut through the light of the moon.</t>
  </si>
  <si>
    <t>Double hanging Nanpu brush red lotus, but the spring is full, Ge Youfang habitual blade, is the former master of the Beggar's Association, even if a hundred old, but also refused to change. Attacks can be added to the [Scorch] effect, but will reduce the basic attributes of the equipment.</t>
  </si>
  <si>
    <t>Liaodong Daqi Men practiced martial arts with guns made of solid materials.</t>
  </si>
  <si>
    <t>Except for the white tip of the gun, the whole body is scarlet, with a hidden ferocious aura.</t>
  </si>
  <si>
    <t>Common things for ordinary people.</t>
  </si>
  <si>
    <t>The fan is painted with bamboo branches, which is quite elegant.</t>
  </si>
  <si>
    <t>It is lightweight but exquisite, with peach blossoms painted on it, mostly favored by jianghu Confucianists.</t>
  </si>
  <si>
    <t>Tooth carved fan bone, fan painted with a famous powerful bamboo, a great value and an undying style.</t>
  </si>
  <si>
    <t>All the fan bones and fan faces are strong and lightweight, made of expensive materials, and they can be carried for thousands of miles without losing their new luster.</t>
  </si>
  <si>
    <t>The new bamboo is higher than the old one, supported by the old trunk. Next year, there will be a newborn, and the ten-foot dragon's grandson will surround the phoenix pond.</t>
  </si>
  <si>
    <t>The bones of the fan hide the sharp edge, spinning like a butterfly dance, vibration of the hidden wind chant.</t>
  </si>
  <si>
    <t>The rest of my life is long, only drinkers are left, the rest of my life is short, only drinkers are left.</t>
  </si>
  <si>
    <t>It's hard to find a soulmate, it's hard to find elegant music, and it's hard to burn the zither and cook the cranes to solve the problem.</t>
  </si>
  <si>
    <t>Thousands of miles of rivers and mountains, a thousand years of human life, if you show your face for the first time, a parting of the ways.</t>
  </si>
  <si>
    <t>Carved tooth fan bones, great value.</t>
  </si>
  <si>
    <t>Gilt fan, gorgeous and elegant.</t>
  </si>
  <si>
    <t>A thousand milling blows are still strong, let the wind blow from east to west and from south to north. It can reduce the force of the enemy.</t>
  </si>
  <si>
    <t>Ordinary stones are selected, collected and polished to be called "flying locusts", taking the meaning of covering the sky and sweeping through the air.</t>
  </si>
  <si>
    <t>Go-anywhere double-edged darts that are light and portable.</t>
  </si>
  <si>
    <t>Fine iron hundred forging, on can quench poison, this is a military ambush used, after the concealed weapons masters reformed, can also be under the sleeve to hurt the enemy.</t>
  </si>
  <si>
    <t>The shape is strange, quite heavy, strong wrist can only be handled by strong people.</t>
  </si>
  <si>
    <t>Sharp and tough, the shape is simple and unadorned, but can have a thousand variations, the dark weapons in the jianghu all like this shape.</t>
  </si>
  <si>
    <t>Fine iron is forged and ground, and when it is swung, nails and bones penetrate the heart.</t>
  </si>
  <si>
    <t>Carved out of cold iron and shaped like a spring orchid, it tears the wind and cracks the bones, and is silent.</t>
  </si>
  <si>
    <t>The raindrops have fallen, and there are a thousand feelings of sadness, but what can be done about the shadows?</t>
  </si>
  <si>
    <t>Red whisk Xiao slightly purple Lin tail, half of the night shame to see the gentleman.</t>
  </si>
  <si>
    <t>It was obtained from the tomb of Nameless Chu, immortalized for a thousand years, and just as sharp as new.</t>
  </si>
  <si>
    <t>A set of fine steel flying daggers, exquisite and elegant, breaking through the air without sound.</t>
  </si>
  <si>
    <t>Carved from cold jade, it destroys the heart and pierces the bones.</t>
  </si>
  <si>
    <t>The old wooden toes of the boots had been well oiled by the previous owner.</t>
  </si>
  <si>
    <t>The edges are pressed from copper material and are barely usable.</t>
  </si>
  <si>
    <t>Fine iron boot toes, prefixed with iron blades borrowed to wound the enemy.</t>
  </si>
  <si>
    <t>A short spear is forged on the top, lending itself to climbing mountains and attaching to cliffs as if it were flat.</t>
  </si>
  <si>
    <t>It contains a concealed machine expansion, on which the head can be retracted and expanded freely, which is quite exquisite.</t>
  </si>
  <si>
    <t>It contains a short blade of fine iron that can be used as a defense against the enemy.</t>
  </si>
  <si>
    <t>Embedded with a hundred forged sharp blades, blowing hair and breaking hair, sharp and unstoppable.</t>
  </si>
  <si>
    <t>Walking in the snow to look for plums, cozy when it's sunny, lonely when it's falling.</t>
  </si>
  <si>
    <t>People who travel in the world against all odds and who are far away are all visitors from other places.</t>
  </si>
  <si>
    <t>Although heaven and earth are large, one can go and get them, and there is nothing to worry about when one is sad and disengaged.</t>
  </si>
  <si>
    <t>It is made by famous craftsmen outside of Guanwai, embedded with a fine iron horizontal blade, and it is sharp as a tack.</t>
  </si>
  <si>
    <t>The armor and shields are not easy to use, and the blood is stained on the tracks.</t>
  </si>
  <si>
    <t>Knives made of bamboo and wood, although the material is mediocre, but the shape is strange and peculiar, rare in the Central Plains.</t>
  </si>
  <si>
    <t>The forging and hardening process are both Han-style imitation Japanese long knives, and the two are combined, but there is a different kind of sharpness.</t>
  </si>
  <si>
    <t>The Japanese in the East have a lot of wear, and the forging method is very different from that of the Central Plains.</t>
  </si>
  <si>
    <t>The knife type is mostly seen in the Miao land in the southern border, stabbing, picking, chopping and slashing.</t>
  </si>
  <si>
    <t>From the hand of the Japanese sword maker, it is quite rare to find a standardized, sharp and durable sword.</t>
  </si>
  <si>
    <t>It is quite difficult to find the Japanese elite's standardized saber, and is so named because it has traveled far across the ocean.</t>
  </si>
  <si>
    <t>The tsuba engraved with "falcon before the dragon light" four words, blade pattern exquisite, craftsmanship is very fine, sharp and light, cut gold and jade in no time.</t>
  </si>
  <si>
    <t>The things that were left behind in the East to the Middle Kingdom are sharp and light, far from ordinary.</t>
  </si>
  <si>
    <t>It is rumored that this blade for the end of the world sea pavilion master Zuo Sansi and the East Japan to come from the fierce battle, but abandoned the use, after the circulation to this.</t>
  </si>
  <si>
    <t>The origin of the blade is unknown, and it is rumored that many people from the East are willing to pay a high price to find out where it is.</t>
  </si>
  <si>
    <t>The finely crafted Japanese swords flowed into the Central Plains with the coastal Japanese invasion.</t>
  </si>
  <si>
    <t>The sword is the legacy of a foreign general and is inscribed with a Japanese poem, which seems to have come from the hand of a famous craftsman in the East.</t>
  </si>
  <si>
    <t>Simply fused together with old chains and rough iron balls, it can hardly be called secure.</t>
  </si>
  <si>
    <t>Chains and hammers are forged as a single unit, but they are too bulky and heavy to be thrown from afar or hit close to home by brawn.</t>
  </si>
  <si>
    <t>Well-balanced and secure, with excellent workmanship.</t>
  </si>
  <si>
    <t>Within ten paces, he can take a man's head as if it were a bag.</t>
  </si>
  <si>
    <t>The iron rope is connected with two ripe copper darts. When it is in use, it flips and flutters, with the sound of piercing through the clouds and breaking through the air.</t>
  </si>
  <si>
    <t>A blade forged of fine iron, chasing souls and claiming lives.</t>
  </si>
  <si>
    <t>By the side of the blue and silver river, may it be when the golden wind and jade dew are in the air.</t>
  </si>
  <si>
    <t>The Gushu gods and goddesses drink the wind and spirit, and the chickens and dogs of Huainan follow the danzao.</t>
  </si>
  <si>
    <t>It is a long way from here, but it is a long way from here, so it is a long way from here, so it is a long way from here.</t>
  </si>
  <si>
    <t>Cutting the intestines hurts even the heart, and a broken heart hurts the bones.</t>
  </si>
  <si>
    <t>The cast iron is hooked together, twisting and dancing in the air, as if the evil ghosts are asking for their lives.</t>
  </si>
  <si>
    <t>There was a hidden sound of wind and thunder between swings.</t>
  </si>
  <si>
    <t>Shaped like a ghost's hand, it throws from a distance and entangles near and far, and is wonderfully useful.</t>
  </si>
  <si>
    <t>A strange weapon that resembles a large scale, with dried blood all over the hook and chain, used to kill and maim people, and is unbeatable. It can add a [Bleeding] effect to attacks, but will reduce the basic attributes of the equipment.</t>
  </si>
  <si>
    <t>The small bow made of willow strings is weak and not much more than a child's plaything.</t>
  </si>
  <si>
    <t>The bamboo sheets are made of tough silk and can be easily pulled apart by beginners.</t>
  </si>
  <si>
    <t>Iron and wood for the arms, cattle tendons for the strings, strong and reliable.</t>
  </si>
  <si>
    <t>Strong tendons for the strings, decorated with strong horns, the strength of ordinary people are afraid that it is difficult to handle.</t>
  </si>
  <si>
    <t>The old bow of the frontier army, powerful and heavy, flowed into the rivers and lakes because of the war.</t>
  </si>
  <si>
    <t>Female Genghis Khan, easy to ride and shoot, need to be very strong brawn to pull away, can break the armor to hurt people, very powerful.</t>
  </si>
  <si>
    <t>Jade target horn bow Zhu Le Ma, Han family will give Huo john Yao.</t>
  </si>
  <si>
    <t>The Jade Hall and the Golden Horse are separated from the green clouds, and the ink-slingers and Confucians are all gray-headed.</t>
  </si>
  <si>
    <t>There was a heavenly general named Taibai, who tasted the bright moon and the moon's spirit.</t>
  </si>
  <si>
    <t>The cave is split into three forks and curved in the air, and the wall is 10,000-feet high and pierces through the blue underworld.</t>
  </si>
  <si>
    <t>This whip is obtained by soaking worn-out hemp rope in water, and is fragile and easily broken.</t>
  </si>
  <si>
    <t>A long whip made of green rattan, swung with a whistling sound.</t>
  </si>
  <si>
    <t>A soft whip made of finely wrapped raw ox tendons, tough and firm.</t>
  </si>
  <si>
    <t>The whip is embedded with a fine iron inverted edge, like a scorpion hook, wounding muscles and scraping bones.</t>
  </si>
  <si>
    <t>The materials used are expensive, the craftsmanship is meticulous, and it is quite elegant.</t>
  </si>
  <si>
    <t>The Suyan Milk Cave embraces the mountain family, and the ancient chestnut coiled silver snake in the mountain stream.</t>
  </si>
  <si>
    <t>The immortal whips the dragon, the divine drives the black horse.</t>
  </si>
  <si>
    <t>I expect that every year my heart will be broken, on the night of the bright moon, and on the short pines.</t>
  </si>
  <si>
    <t>The air takes away the color of the Canglang waves, and the wind deceives the flow of sweat.</t>
  </si>
  <si>
    <t>Dragons and snakes hibernate under the cold, and the fog and dew are cloudy by day.</t>
  </si>
  <si>
    <t>Mu Ning Zi young first knowledge of martial arts used when the thing, on the top of a small pendant decorated with a seedling pattern, the whip body is light and handy, without losing the essence of elegance.</t>
  </si>
  <si>
    <t>Poured in cast iron, thick and heavy.</t>
  </si>
  <si>
    <t>Cast iron casting, easy to handle, can break the ordinary armor.</t>
  </si>
  <si>
    <t>Hardwood for the handle, copper tube for the body, poor accuracy, can be used to hunt some small birds and animals.</t>
  </si>
  <si>
    <t>Although this is only a crude imitation of the Divine Light Battalion's mounted firearms, it is still quite rare.</t>
  </si>
  <si>
    <t>The flintlock musket, imported from the West, is quick to load and extremely lightweight, but its power is far less than that of mounted firearms.</t>
  </si>
  <si>
    <t>Divine light battalion mounted firearms system with the turmoil of the imperial program into the jianghu, the only skillful, many disciples of the artisan workshop have imitation of the ability to this thing fine work, and the army array mounted firearms a few have been generally the same.</t>
  </si>
  <si>
    <t>Western imported, exquisite and expensive, even in the capital among the dignitaries, this thing is also priceless.</t>
  </si>
  <si>
    <t>The mechanism is subtle and tightly connected, and no one can see the technique without a master craftsman.</t>
  </si>
  <si>
    <t>The supreme things made by the Mohists are as ingenious as if they were made by heavenly craftsmen, and are beyond the reach of human power.</t>
  </si>
  <si>
    <t>It is rumored to be the world's first prototype machine, but the complexity of which is difficult to understand, even if the Mojia Vantage Point resurrected, it is also difficult to do.</t>
  </si>
  <si>
    <t>Concurrent love, non-attack.</t>
  </si>
  <si>
    <t>It was once a pair of rusty iron shears, or it could be used for self-defense.</t>
  </si>
  <si>
    <t>The short meat-cutting dagger commonly used by hunters and butchers is barely adequate.</t>
  </si>
  <si>
    <t>The carefully crafted twin daggers are quite sharp.</t>
  </si>
  <si>
    <t>Cast in fine iron and adorned with exquisite floral patterns, it is of great value.</t>
  </si>
  <si>
    <t>A short, solid and durable protective sword common in the military, which flowed into the rivers and lakes as a result of the war.</t>
  </si>
  <si>
    <t>Noble and exquisite, engraved with precious beads, mostly for the status of the noble people to carry.</t>
  </si>
  <si>
    <t>The beaded robe trailing a brocade belt, the dagger stuck in Wu Hong.</t>
  </si>
  <si>
    <t>Looking at the water of the Huai River, the two carp should not be rare.</t>
  </si>
  <si>
    <t>The new moon is on, the thin clouds are closing in, and the curtains are hung with jade hooks.</t>
  </si>
  <si>
    <t>Where are the two shadows now and then, only the lone body is still traveling.</t>
  </si>
  <si>
    <t>Gold and jade, hand by hand, the pleasure is over, the dream drunk on earth is hard to know the fall.</t>
  </si>
  <si>
    <t>Chasing souls for miles, taking lives invisibly.</t>
  </si>
  <si>
    <t>Meng Si's father was defeated in the hands of the Duke of Zhen Guo, his blade was also broken. Meng Si collected the fragments and polished them into blades, and he sleeps with them day and night to honor his blood feud. Increases the damage of the Green Silk Snake Technique.</t>
  </si>
  <si>
    <t>There is nothing special about the coarse clothing worn by ordinary people.</t>
  </si>
  <si>
    <t>Dirty resistant and sturdy, in the usual style.</t>
  </si>
  <si>
    <t>Unusual clothing, Confucian style.</t>
  </si>
  <si>
    <t>The cuffs are tightly bunched for lightweight comfort.</t>
  </si>
  <si>
    <t>Close-stitched soft armor, embellished with brocade, is worth its weight in gold.</t>
  </si>
  <si>
    <t>Fine craftsmanship, the use of materials, although the form is simple, but has its own elegance.</t>
  </si>
  <si>
    <t>The new robe and the palace brocade are seen by thousands of people, and the horse and the peach blossom flower are scented in a lane.</t>
  </si>
  <si>
    <t>The thought of love is as deep as a dream, and the tears are wet.</t>
  </si>
  <si>
    <t>I think of returning to the forest and changing the leaves, and I am sad to sit in the dew.</t>
  </si>
  <si>
    <t>He whisked his clothes away, and walked up to the Heavenly Quarter.</t>
  </si>
  <si>
    <t>Yul's hand-stitched shirt - with an imperceptible red bean branch embroidered inside the lapel.</t>
  </si>
  <si>
    <t>Carefully sewn short browns are sturdy and secure.</t>
  </si>
  <si>
    <t>It is woven in brocade and embroidered with pictorial designs, which is quite ingenious.</t>
  </si>
  <si>
    <t>Beautifully woven in silk for comfort.</t>
  </si>
  <si>
    <t>The Five Sacred Sect's Thousand Spider Clan's most precious treasure, compiled with billions of spider silk, as light as a cicada's wing but can defend against ten thousand blades.</t>
  </si>
  <si>
    <t>It is customary for martial arts practitioners to tie the cuffs of their sleeves with a strip of cloth, otherwise it is difficult to make a smooth move.</t>
  </si>
  <si>
    <t>Cotton is densely wrapped, lightweight and convenient.</t>
  </si>
  <si>
    <t>The bamboo sheets are finely woven to withstand unusual cuts.</t>
  </si>
  <si>
    <t>Finely crafted, elegant and beautiful, it is a great value.</t>
  </si>
  <si>
    <t>Although a little heavy, but solid, but also with some sense of elegance.</t>
  </si>
  <si>
    <t>The people around the shop look like the moon, and their wrists are covered with frost and snow.</t>
  </si>
  <si>
    <t>The heavy armor worn by the elite of the army, because of the war into the rivers and lakes, strong bows and crossbows can not hurt.</t>
  </si>
  <si>
    <t>God's might intimidates the neighboring countries, so why try to show off your war heroism.</t>
  </si>
  <si>
    <t>The white bones are crossed by a thousand frosts, and the sage is sheltered by the hazelnuts.</t>
  </si>
  <si>
    <t>All the realms are in a single moment, and the mountains, rivers, sun, and moon are all contained in a single moment.</t>
  </si>
  <si>
    <t>Wicker drawstring, finely woven for beauty and comfort.</t>
  </si>
  <si>
    <t>The green bamboo is used as a material to weave arm guards with exquisite craftsmanship.</t>
  </si>
  <si>
    <t>Engraved on the ancient beast pattern, looking at the heart-stopping.</t>
  </si>
  <si>
    <t>Simple tie-downs to protect against fall damage and abrasion.</t>
  </si>
  <si>
    <t>Cotton bindings decorated with iron pieces are better than nothing.</t>
  </si>
  <si>
    <t>Layered with hard iron and leather, it is strong and lightweight.</t>
  </si>
  <si>
    <t>Firm leather decorated with copper, embedded armor leaves, soldiers often wear.</t>
  </si>
  <si>
    <t>The standard shin guards of the Iron Horsemen of the Border Army, which flowed into the rivers and lakes due to the war.</t>
  </si>
  <si>
    <t>Three hundred strange peaks hanging upside down over the water, green maples and blue trees shaking linger.</t>
  </si>
  <si>
    <t>Last night I dreamed of going back to heaven, and the Jade Gate of the Jade Tower is not worth the cold.</t>
  </si>
  <si>
    <t>The jade sky is closed at nine times, and the golden locks are not opened at night.</t>
  </si>
  <si>
    <t>The lone rusher swept away the sunset, reflecting the full river red.</t>
  </si>
  <si>
    <t>The silk is finely wrapped, lightweight and convenient.</t>
  </si>
  <si>
    <t>Fine iron is wrought into armor pieces to decorate it, which can defend against ordinary blades.</t>
  </si>
  <si>
    <t>The animal leather is encrusted with jewels, and it is a long way to the end of the world; the heart is free, but it is chasing after wild cranes and idle clouds.</t>
  </si>
  <si>
    <t>The bushes are woven and crude.</t>
  </si>
  <si>
    <t>A strip of burlap that can be used to wrap around the waist.</t>
  </si>
  <si>
    <t>The linen belt is worn with a wrought and curved piece of coarse iron, which has a small amount of protective power.</t>
  </si>
  <si>
    <t>Fine brocade cut belt, decorated with cheap jade pieces, warm and comfortable, both beautiful.</t>
  </si>
  <si>
    <t>Woven in Shu brocade and adorned with red jade, it is of great value.</t>
  </si>
  <si>
    <t>Inlaid with gold and jade, the noble and elegant, mostly worn by wealthy merchants in Beijing.</t>
  </si>
  <si>
    <t>Pitching up and down against the travelers, the eight sides of the earth.</t>
  </si>
  <si>
    <t>A little bit of the vastness of Qi, a thousand miles of the fastest wind.</t>
  </si>
  <si>
    <t>The long drive straight to the old upper court, hand pulling the dry general to cut down the wild captives.</t>
  </si>
  <si>
    <t>Qinchuan Duke banished immortal man, cloth robe fell down the rest of the body.</t>
  </si>
  <si>
    <t>The ingredients are simple but elegant.</t>
  </si>
  <si>
    <t>The mountains and the waters play the zither, the wind and the flowers drink wine frequently.</t>
  </si>
  <si>
    <t>Woodworking edges filed from, often for children's playthings.</t>
  </si>
  <si>
    <t>The hemp cloth is dyed and braided into a thin rope, which is used by ordinary people to wrap their fingers as a decoration.</t>
  </si>
  <si>
    <t>Uncarved, purely wood grain decorated ring.</t>
  </si>
  <si>
    <t>A ring bent from brown iron and adorned with a small stone.</t>
  </si>
  <si>
    <t>The ring pattern is fine, delicate and inexplicable, and seems not to be from the Middle Kingdom.</t>
  </si>
  <si>
    <t>Jasper carved into a finger ring, made of the finest material and beautifully carved.</t>
  </si>
  <si>
    <t>The glass knot silk hook wrong, into the bones of infatuation a few times.</t>
  </si>
  <si>
    <t>I'm not sure if I'm going to be able to do it, but I'm sure I'll be able to do it.</t>
  </si>
  <si>
    <t>And keep the amber pillow, or there may come a dream.</t>
  </si>
  <si>
    <t>The White Sun is the Purple Weapon, and the three principalities are in power and balance.</t>
  </si>
  <si>
    <t>Gogo compiled a grass ring that was slightly askew.</t>
  </si>
  <si>
    <t>A small ring of coarse linen lost by some unknown person, with a rather detailed hand.</t>
  </si>
  <si>
    <t>Most of the rings are made of gold and stone, rarely made of wood, this is an unusual item with an ancient charm.</t>
  </si>
  <si>
    <t>A white jade ring. Carved on the base as a flower and the pearl as a moon, as a flower supporting the rising moon. Worn for good luck.</t>
  </si>
  <si>
    <t>Compulsory tower in a skeleton before death is still holding on to something, Miao silver for the material, beautifully decorated, not corroded over the years, seems to be able to make a pair with another ring.</t>
  </si>
  <si>
    <t>Made of Miao silver, it is beautifully decorated and will not decay over the years, so it seems to make a pair with another ring.</t>
  </si>
  <si>
    <t>Tiny animal bones picked up in the mountains are not carved and drilled and threaded through the rope.</t>
  </si>
  <si>
    <t>The common cattails in the countryside are woven, although the material used is crude, but the workmanship is quite meticulous.</t>
  </si>
  <si>
    <t>The small chains made of copper trimmings processed and then hooked together are quite pretty as they shimmer and glow in the daylight.</t>
  </si>
  <si>
    <t>Gold and red jade, the shape of the "long life" of the allegory, moving when the LinLin vibration, extremely pleasant to the ear.</t>
  </si>
  <si>
    <t>The heart of a single flavor exists only for fools.</t>
  </si>
  <si>
    <t>The green mountain spits out the autumn moon, preventing the guest from the south tower.</t>
  </si>
  <si>
    <t>The carnelian wrapped in gold, finely carved and crafted, is of great value.</t>
  </si>
  <si>
    <t>Heaven and earth are as easy to navigate as a dream of unity and a deed of participation.</t>
  </si>
  <si>
    <t>White jade light song, Manman line stop, although the illusion of the empty ferry, but also enough for this life.</t>
  </si>
  <si>
    <t>In Kunwu, the Jade Book is the source of the town, and it is not possible for those who have not been created in a great way to participate in it.</t>
  </si>
  <si>
    <t>A small chain of cattails lost by some unknown person, with quite a detailed hand.</t>
  </si>
  <si>
    <t>Engraved with the word "Fengjun", seems to have a good moral.</t>
  </si>
  <si>
    <t>Autumn frost cuts the jade sword, and the setting sun brightens the pearl robe.</t>
  </si>
  <si>
    <t>The edges of the bronze are finely ground into mirrors, implying auspiciousness.</t>
  </si>
  <si>
    <t>The river-washed boulders, strung on ropes, are quite a sight to behold.</t>
  </si>
  <si>
    <t>The small pendant with tassels hanging down is quite elegant.</t>
  </si>
  <si>
    <t>The green jade is a blank with a simple shape.</t>
  </si>
  <si>
    <t>Ten miles of brocade and a scented bag to hide your heart.</t>
  </si>
  <si>
    <t>The legacy of the ancient dynasty, wear it to quell evil spirits, to ward off evil spirits and attract wealth.</t>
  </si>
  <si>
    <t>The leaves of the pear fall in rouge color, buckwheat blossoms white snow fragrance.</t>
  </si>
  <si>
    <t>The Western Emperor has a Xuan Nü, who has long wavered in the Kunlun Mountains.</t>
  </si>
  <si>
    <t>Walking on the nine states, sealing the ten directions.</t>
  </si>
  <si>
    <t>The water mirror is also a mirage, the flowers and the moon are hard to stay.</t>
  </si>
  <si>
    <t>A twisted "green dragon" is carved into the top of the wood piece.</t>
  </si>
  <si>
    <t>Small green jade pendant, beautiful and delicate.</t>
  </si>
  <si>
    <t>There are many sayings of witchcraft in Miaojiang, and this chain is also named as such.</t>
  </si>
  <si>
    <t>An antique jade pendant with carved upper mortise and tenon grooves.</t>
  </si>
  <si>
    <t>The winter thunder breaks and the snow flies.</t>
  </si>
  <si>
    <t>daggers</t>
  </si>
  <si>
    <t>The geese of Guanhe are singing in the wind in the cold autumn.</t>
  </si>
  <si>
    <t>Xiangru's loyalty was broken in a thousand years, and the hero of the two masters returned in a dream.</t>
  </si>
  <si>
    <t>The strange auspiciousness and the exotic rites are competing to send to the world, and the horns and the phoenix's mouth are unknown to the world.</t>
  </si>
  <si>
    <t>Taihe disciples practice martial arts to feed the move more have to wear, simple and elegant lightweight.</t>
  </si>
  <si>
    <t>Stones pierced through the air, waves beat the shore, and a thousand piles of snow were rolled up.</t>
  </si>
  <si>
    <t>A look at the trigrams and qi innate charts, more reference to the Qibo book of questions and answers.</t>
  </si>
  <si>
    <t>It's made of fine steel.</t>
  </si>
  <si>
    <t>Tianya Haiku Haiku lineage of disciples practicing martial arts fan, fan surface elegant, solid and durable.</t>
  </si>
  <si>
    <t>The carved tooth fan bone, combined with a landscape fan painted by a famous artist of the previous dynasty, is of great value.</t>
  </si>
  <si>
    <t>The double daggers, carefully forged by Miaojiang craftsmen, were mostly worn by disciples of the Five Saints and were quite exquisite.</t>
  </si>
  <si>
    <t>With the Miao Jiang compulsion method to raise the firm bone of different snakes, extracting the cone grinding and become, its firmness is better than ordinary gold and iron.</t>
  </si>
  <si>
    <t>When a leaf falls from a sycamore tree, the world will know that it is autumn.</t>
  </si>
  <si>
    <t>The body of the whip is hidden in many sections of fine steel, heavy and difficult to control, mostly used by the five holy disciples to build up their foundation.</t>
  </si>
  <si>
    <t>The gold wire is finely wrapped, light and flashy, and of great value.</t>
  </si>
  <si>
    <t>Pine smoke spills down into pearls and jade, and stream vines curl up and rot silver hooks.</t>
  </si>
  <si>
    <t>Candles and ghosts are like a dream, and all the spring and autumn.</t>
  </si>
  <si>
    <t>Taihe disciples routinely dress in clothes embroidered with bagua, with fine stitches and simple elegance.</t>
  </si>
  <si>
    <t>The disciples of the End of the World Sea Pavilion routinely dressed in clothes, elegant and elegant, quite ingenious.</t>
  </si>
  <si>
    <t>Miaojiang common style system, the five holy disciples routinely dressed in clothing, and then modified by a different material, beautiful, but also quite solid and stain-resistant.</t>
  </si>
  <si>
    <t>Taihe disciples routinely wore clothes embroidered with cloud patterns, with fine, simple and elegant stitching.</t>
  </si>
  <si>
    <t>Taihe disciples routinely wear clothes with seven stars embroidered on them, with fine stitches and simple elegance and thickness.</t>
  </si>
  <si>
    <t>Taihe disciples routinely wear clothes with fine stitching, simple elegance and thickness.</t>
  </si>
  <si>
    <t>Forged steel, uncarved, and most likely to kill the enemy in formation.</t>
  </si>
  <si>
    <t>The disciples of Daqi Sect practiced martial arts with guns, and the disciples of the Sect had red heart and red guts, taking the meaning of casting with blue blood.</t>
  </si>
  <si>
    <t>Seigaki is engaged in recognizing military opportunities, and he only intends to pacify the military but not to return.</t>
  </si>
  <si>
    <t>Reporting that the Dragon Court burns sooner or later, the Han family does not begrudge the Champion Husband.</t>
  </si>
  <si>
    <t>It is forged of fine steel, with a thick spine and a sharp edge, and cannot be performed by anyone other than a brave man.</t>
  </si>
  <si>
    <t>Heavy sword, big flag door disciples practice martial arts use. Kill tiger, kill Hu also, down to chop the horse foot, up to chop the head.</t>
  </si>
  <si>
    <t>The clouds are high, and the smoke of wolves is raised at night. The green face and the green temples are embraced by the carving gorges of the western garrison.</t>
  </si>
  <si>
    <t>Breaking the cauldron, carrying the water to the battlefield, valiantly fighting for a hundred deaths.</t>
  </si>
  <si>
    <t>Big flag door standard armor, the whole body draped, properly protected, drive the Tartar to break the captives, strong and powerful.</t>
  </si>
  <si>
    <t>Big flag door standard armor, full body cloak, adequate protection, drive the Tartar to break the captives, strong and powerful.</t>
  </si>
  <si>
    <t>The introductory long sword, made of fine forged steel, is not very sharp, but it can be</t>
  </si>
  <si>
    <t>Slender light blade, the disciples of the Great Snow Mountain used to practice martial arts knife. Taking the meaning of killing and drinking blood.</t>
  </si>
  <si>
    <t>The bones of Changbai are buried in frost, and the cold tongs are late for drinking blood.</t>
  </si>
  <si>
    <t>The glacier condenses and the blood becomes ice, the knife kisses the frosty wind and the bones are not broken.</t>
  </si>
  <si>
    <t>The darts and concealed weapons made of fine steel are quite heavy, and can be used to exercise strength and skill.</t>
  </si>
  <si>
    <t>The secret weapon used by the disciples of the Great Flag Sect. It breaks the wind and cones the ice, destroying the soul and taking away the spirit.</t>
  </si>
  <si>
    <t>Plum blossoms have not yet dyed the color of spring, first fell frosty cold moon soul.</t>
  </si>
  <si>
    <t>The six flying flowers are cold to the bone, turning into a starburst that breaks through the dawn.</t>
  </si>
  <si>
    <t>The usual attire of the disciples of the Great Snow Mountain. Lined with fine velvet and reinforced with leather, it is enough to protect against the cold and protect their lives.</t>
  </si>
  <si>
    <t>Gifted by Li Yingxin, it is quite old and clean as new.</t>
  </si>
  <si>
    <t>The Singijeon has been improved by the Mozi family, although it is slightly less powerful, but the speed of filling it with medicine has been greatly shortened.</t>
  </si>
  <si>
    <t>The autumn water is so clear and the sky so lonesome, and the hazel smoke and maple music rhyme with mountain peppers. The pavilion is always filled with uninterested guests, and the great recluse is still talking about the city.</t>
  </si>
  <si>
    <t>Aged wooden sword with half of the hilt missing. Boosts the damage of the Two-Year Sword Technique's moves.</t>
  </si>
  <si>
    <t>Wu Pingan has never been fond of dancing with swords, and this sword has been hidden here for a long time and has already rusted. It can enhance enlightenment.</t>
  </si>
  <si>
    <t>Jiang Huaichu's old sword, with its many years of experience, is still as sharp as new. Enhances the damage of the Qingfeng Sword Technique.</t>
  </si>
  <si>
    <t>Zuo Sanshi used to practice martial arts with a sword in the old days, but since he retired from the court, he has abandoned it. Enhances external attacks.</t>
  </si>
  <si>
    <t>The sword slanted in front of Jiang Huaichu's tomb is left behind by an unknown person. Enhances the damage of the Linghong Sword Stance's moves.</t>
  </si>
  <si>
    <t>An elegantly decorated horizontal blade that appears to be Yan Nanhui's favorite item. It enhances the damage of the Canghai Guanlan Blade Technique.</t>
  </si>
  <si>
    <t>Blunt and bladeless, dark and unglossy, heavy to the core in the hand. It can enhance external attacks and reduce internal attacks.</t>
  </si>
  <si>
    <t>The sword is made of a strange wood from a different continent. The sword is slightly soft, but if it is used with internal power, it can be stronger than gold. It can increase internal attacks and decrease external attacks.</t>
  </si>
  <si>
    <t>Woven by silk, light as a feather. Enhances movement speed.</t>
  </si>
  <si>
    <t>Thin as a cicada's wing, wear it as if it were nothing.</t>
  </si>
  <si>
    <t>Coarse iron casting, quite heavy, ordinary martial arts practitioners may be difficult to handle. Enhances external attacks.</t>
  </si>
  <si>
    <t>Ice silk woven and entwined, like water. Rigid and flexible, hard to be hurt by swords and knives. Enhances internal attacks.</t>
  </si>
  <si>
    <t>Meteorite iron, firm to the extreme, knife chopping and axe chopping can not hurt.</t>
  </si>
  <si>
    <t>Precision-cast fist armor, the most rigid and yang, even if it opens the monument and cracks the stone, it will not be damaged.</t>
  </si>
  <si>
    <t>Inside the palm is a hidden mystery, impregnated with all kinds of toxins, when touched, it will be injured.</t>
  </si>
  <si>
    <t>A pair of fist armor that is very fierce. Boosts both internal and external attacks, but reduces the upper limit of qi and blood.</t>
  </si>
  <si>
    <t>The most masculine and rigid, unbreakable.</t>
  </si>
  <si>
    <t>The great Tao is limitless, and all things are nameless.</t>
  </si>
  <si>
    <t>Taking the refined iron and stacking and forging the mighty great sword, very human usable.</t>
  </si>
  <si>
    <t>Holding the chop with both hands is enough to kill a tiger and cut down a scaly scow.</t>
  </si>
  <si>
    <t>The body of the blade is forged in one piece, and the two edges are not sharp.</t>
  </si>
  <si>
    <t>The sword body is ponderous, and the sword intent is abundant. It destroys cities and breaks armies, and is invincible. Can enhance defense.</t>
  </si>
  <si>
    <t>The heavy blade forged by the generals of the old dynasty. The cold blade washes away the blood, and the cold light shines on the iron clothes.</t>
  </si>
  <si>
    <t>Made by a famous craftsman, it cannot be mastered by a general who is not valiant and martial. Enhances the damage of the Bei Gu Gun Technique.</t>
  </si>
  <si>
    <t>Wisdom has a lamp for a thousand Buddhas to share, and the Bodhi Leaf is skillfully a lone lamp. Boosts the damage of the moves of the Bodhi Staff of Many Phases.</t>
  </si>
  <si>
    <t>The dragon wars in the wild, and its blood is basilisk.</t>
  </si>
  <si>
    <t>Through and through, sharp and cold to the bone.</t>
  </si>
  <si>
    <t>The rivers and lakes are far away, and they are worried about their people.</t>
  </si>
  <si>
    <t>A fan of wind sends the roc up. Can improve stance.</t>
  </si>
  <si>
    <t>The Taoist priests of the Firmament Mountain have no immortal bones, but they are drunkards on earth.</t>
  </si>
  <si>
    <t>The Jade Tower and the Golden Que are lethargic to return to, and the Plum Blossom is drunken in Luoyang. Boosts the damage of the Sorrowful Covering Fan Technique's moves.</t>
  </si>
  <si>
    <t>One inch and three minutes long, shaped as a three-pronged. Excited by hand strength, specializing in nail points cone bone, sugar man Zhang regicide blood evidence. It can enhance external attacks.</t>
  </si>
  <si>
    <t>As pearly blossoms, and the eyes are flawless.</t>
  </si>
  <si>
    <t>Hidden in the sleeve, the blade is covered with poison, which will surely hit and kill. Can add a [Poison] effect to attacks.</t>
  </si>
  <si>
    <t>There are hollow cavities that break the air and tear the wind, regaling the soul.</t>
  </si>
  <si>
    <t>Breathing Wind Sigh, Sea Without Dust. Can raise internal breath.</t>
  </si>
  <si>
    <t>The word "frost refusal" is not evil, but worry about the frost important people to help.</t>
  </si>
  <si>
    <t>Does not take up the Dragon Head Selection, and does not enter the Famous Sage Biography. Boosts the damage of the Drunken Drinking Dragon Subduing Peerless Style move.</t>
  </si>
  <si>
    <t>Where does the autumn wind arrive? Sends the geese away. Can greatly increase movement speed, but will slightly reduce force.</t>
  </si>
  <si>
    <t>Who can display the mandarin ducks brocade together, together with the west building this night cold. It can greatly increase the external attack, but it will reduce the bludgeon and bludgeon damage.</t>
  </si>
  <si>
    <t>Sitting down to watch the stormy winds, the rainbow leaps in front of your honor.</t>
  </si>
  <si>
    <t>Cutting Wind, Breaking Stream, and Cutting Light. Boosts the damage of the Heartless Stream - Battousai technique's moves.</t>
  </si>
  <si>
    <t>Under the bright moon, the Blade of Blast comes out without a shadow and swings to chop.</t>
  </si>
  <si>
    <t>Another hundred feet of color is sent, and the scarlet moon is in full bloom.</t>
  </si>
  <si>
    <t>The blood is as colorful as cherry blossoms and blooms like tears.</t>
  </si>
  <si>
    <t>Praying to the eight million gods of Takatenkara, the wind of blessing blows the samurai's blade to cut down the enemy. Boosts bludgeoning.</t>
  </si>
  <si>
    <t>A soft rope of two zhang with a golden hammer tied to the end, the track is unsearchable. It can reduce the enemy's internal energy attack.</t>
  </si>
  <si>
    <t>The upper embedded gilt, rope firm and sharp, inlaid with spikes, dancing like a snake, very powerful.</t>
  </si>
  <si>
    <t>The body is dark, heavy to the extreme, waving between the momentum of crashing mountains and breaking the earth.</t>
  </si>
  <si>
    <t>The precious gas goes up to the east dipper at night, and the dragon worships and dances with the roar of the river.</t>
  </si>
  <si>
    <t>Hard bow with iron tires, heavy arrows with steel teeth, searching for the enemy's head, penetrating the army and breaking the formation. Can lower the enemy's blood limit.</t>
  </si>
  <si>
    <t>Arrow out of the flower shadow chaotic, string movement warbler sound broken.</t>
  </si>
  <si>
    <t>The bow is as full as the moon, and the moon shines on the full bow, chasing life for a hundred miles.</t>
  </si>
  <si>
    <t>Ice strings touch the fingers of geese, bagpipes open lips luan first blow.</t>
  </si>
  <si>
    <t>Death falls into the iron axis prison, abbot 10,000 nails, castration party general Cao Fuzhi in the past years with the army used in the northern conquest of Liaodong bow, is now hanging high on the wall, abandoned. It can reduce the growth of the enemy's internal energy.</t>
  </si>
  <si>
    <t>A fine iron cannon, whose sound emits like a dragon's roar. It can reduce the speed of the enemy.</t>
  </si>
  <si>
    <t>Zhu Rong upholds the inflammatory fire and rises to Fusang at dawn.</t>
  </si>
  <si>
    <t>Destroying the dragon's palm on the knee shatters the beads, cutting the weeds and rubbing the stamens of the orchid wither. Significantly increases the damage of the Scattered Beads - Stored move.</t>
  </si>
  <si>
    <t>The ambition is to overcome the bull, the sincerity is to penetrate the white rainbow.</t>
  </si>
  <si>
    <t>If you don't see a sparrow in the hedge, you'll see a harrier throw itself. Boosts Strike and Dodge.</t>
  </si>
  <si>
    <t>Silver and iron hooked together, chipping the bone and sucking the marrow.</t>
  </si>
  <si>
    <t>The beads are born in the jaws of a black dragon, or in the mouth of a spiritual snake.</t>
  </si>
  <si>
    <t>Culm sheaths on the road, shrinking away from leeches and snakes. Increases blood absorption and speed.</t>
  </si>
  <si>
    <t>The seven emotions are like ice and snow, and the one nature is clear and profoundly quiet. Enhances the damage of the Seven Sentiments of Entanglement Compassion's moves.</t>
  </si>
  <si>
    <t>Gerb Deep Cloth, thick and rustic. It can improve external defense.</t>
  </si>
  <si>
    <t>Light Luo thin satin, take cut into clothes. To look rich.</t>
  </si>
  <si>
    <t>It looks like a phoenix feather and is as light as nothing.</t>
  </si>
  <si>
    <t>The skin of rhinoceros and bull, tanned into leather, is as strong as gold. Can enhance internal defense.</t>
  </si>
  <si>
    <t>The screen is deep in Jin Quxu, now ringing with Jade Linglong. Can raise the upper limit of qi and blood.</t>
  </si>
  <si>
    <t>Looking up at the blue sky, overlooking the green waterfront.</t>
  </si>
  <si>
    <t>White elephant boards are born from dust, and the sound breaks the purple luan xiao.</t>
  </si>
  <si>
    <t>Bone piercing and blood drinking, vicious and bizarre. It can enhance blood sucking.</t>
  </si>
  <si>
    <t>Fine scale armor with embedded bias plates, crafted with the utmost precision. Enhances anti-injury.</t>
  </si>
  <si>
    <t>The basalt-colored silk is as dull as a sunken abyss.</t>
  </si>
  <si>
    <t>Made of cooked iron, strong and heavy.</t>
  </si>
  <si>
    <t>Woven with light Luo, soft and comfortable. It can enhance internal attacks.</t>
  </si>
  <si>
    <t>Gold and iron arm guards, moving like thunder.</t>
  </si>
  <si>
    <t>A variety of brocade hybrid weaving, gorgeous beyond words.</t>
  </si>
  <si>
    <t>Embroidered with a flowing cloud pattern, the style is unusual, but you will realize the mystery of it when you wear it. It can increase the storm attack.</t>
  </si>
  <si>
    <t>In the midst of the heat and fire, the king's division frequently went out to the west of Jian Guan.</t>
  </si>
  <si>
    <t>Flying down to the realm of Snowkor, shaking the ice wheel sky. Increases Strike and Strike Damage, but reduces the base attributes of the equipment.</t>
  </si>
  <si>
    <t>The floating clouds are separated by two obsidians, and all things are dim and cloudy.</t>
  </si>
  <si>
    <t>Who called for the wind of the Spirit Mountain, and came into the Middle Kingdom to revive the feathered instrument.</t>
  </si>
  <si>
    <t>It is made of basic iron and is strong and powerful.</t>
  </si>
  <si>
    <t>The capital door flies with feathered books, and the ice and snow go with hu-riders.</t>
  </si>
  <si>
    <t>Stream wind swept the mirror water, Lanqi sky high, was once a water village in the secret vault, Lian Tianyun swept the world club, there is a water village minions to take advantage of the chaos with this thing to escape, since then do not know the whereabouts. Enhances the damage of the Leg Technique's moves.</t>
  </si>
  <si>
    <t>Blood stains the sands of the Great Wall and horses trample on the bones of conscripts.</t>
  </si>
  <si>
    <t>The wind hyena chases the stars and lowers its shadow, and the frosty hooves go noiselessly by the electricity. Enhances movement speed.</t>
  </si>
  <si>
    <t>All living beings are the basis of the body of wisdom, Vajra.</t>
  </si>
  <si>
    <t>The sword walks into the South Palace, and the hairpin comes from the North Que.</t>
  </si>
  <si>
    <t>Ticked off the lamp flower pistil, from the teachings of the stained Cui Dian, the Western Region, Imagawa Liu first came to the Lianhuanzhai, this thing is the gift of worship. Can enhance the body.</t>
  </si>
  <si>
    <t>The crane is in the mountain pavilion, and the dragon walks on the stone bridge.</t>
  </si>
  <si>
    <t>Kunshan jade shattered and the agate tower cracked, and the old dragon danced to frighten the bright moon.</t>
  </si>
  <si>
    <t>The painting boat carries wine to moor the green mountain, and brushes the broken monument between the grass and the mangled mountains.</t>
  </si>
  <si>
    <t>Purple qi floats in the air by the stream, and fathers and elders bring their staffs to see their old marquis. Can raise the initial true qi.</t>
  </si>
  <si>
    <t>A blazing red unicorn and a water furnace, with a phoenix patterned brocade mattress and a felt.</t>
  </si>
  <si>
    <t>Gold and silver arch over the Brahma Shastra, and the coloring of the corridors is illuminated. Can raise the upper limit of qi and blood.</t>
  </si>
  <si>
    <t>A cool breeze refreshes the bones of the stones and a quick rain passes over the hills.</t>
  </si>
  <si>
    <t>Xixi and Shu Linghui, swiftly West pole through.</t>
  </si>
  <si>
    <t>The county floats in front of the Pu, and the Heavenly Lanes move far into the sky. Enhances external defense.</t>
  </si>
  <si>
    <t>The dragon buildings and ships are floating in the wrong water, and the carved sails are making the wind blow in a chaotic manner.</t>
  </si>
  <si>
    <t>The home of the detained minister is ten thousand miles away, and the eyes of the heavens discern the loyalty of the orphaned.</t>
  </si>
  <si>
    <t>Dancing Sleeves and Mandarin Ducks Brocade, Singing Pearls and Tortoiseshell Feast. Enhances the Blood Limit and Stamina Recovery.</t>
  </si>
  <si>
    <t>Since ancient times, ghosts have been weeping, and strong men have been saddened by the flow of years.</t>
  </si>
  <si>
    <t>Forged from basalt iron, in a simple and ancient style, Zhao Xin's favorite work. Can enhance force.</t>
  </si>
  <si>
    <t>Engraved with cloud pattern, quite exquisite.</t>
  </si>
  <si>
    <t>I went to burn the jade, and came to pick up the turnip.</t>
  </si>
  <si>
    <t>A young man who has won the laurel and ascended to the imperial palace, pouring pearls on the golden platform.</t>
  </si>
  <si>
    <t>The red haze turns into a mysterious cloud, and the wind rises up to plug the smoke.</t>
  </si>
  <si>
    <t>Life and death are all illusions, and illusory people's sorrows are tied to their feelings. Enhances internal defense.</t>
  </si>
  <si>
    <t>If you don't go with Haiyan Cypress Liang, you should not have a jade ring to report your favor. Enhances external defense.</t>
  </si>
  <si>
    <t>The night is deep and the temple is abrupt, and the wind moves the golden chains.</t>
  </si>
  <si>
    <t>A night grows to, two Yin still each day.</t>
  </si>
  <si>
    <t>Yaoguang building south of all the forbidden, pear garden fairy banquets near the flower branch, Ruoyan take over the position of the flower leader, Xiaoxiang Zi in the bedchamber in the hand on top of his hand. It can enhance the speed.</t>
  </si>
  <si>
    <t>The gold bracelet is made of silver, and the robe is scarlet and purple.</t>
  </si>
  <si>
    <t>The incense burner cuts the golden hibiscus, and the waterfall drags the green emerald.</t>
  </si>
  <si>
    <t>The spirit of the mountain protects the shrine, and the moss erodes the ancient tree shade of the Qin monument.</t>
  </si>
  <si>
    <t>The joys of the joys of the Song, the wildness of the Fushan.</t>
  </si>
  <si>
    <t>The stone fountains are clear, and the winds and pines are tranquil.</t>
  </si>
  <si>
    <t>Xie Zhengqing's family heirloom was already quite old. It can boost the damage of the Floating Sword Technique's moves.</t>
  </si>
  <si>
    <t>Su Wu's title was still thin, and Cui Yin's eunuchs were not skillful.</t>
  </si>
  <si>
    <t>The road to the north is long, and the wind and sand are roiling.</t>
  </si>
  <si>
    <t>Generals die in a hundred battles, strong men return in ten years.</t>
  </si>
  <si>
    <t>The six dusts are unconscious and are as clear as glass.</t>
  </si>
  <si>
    <t>Sweet rains rain down on the nine heavens, and the Emperor's blessing is spread out over the world.</t>
  </si>
  <si>
    <t>The pearl should be related to the eye of the fish, and the lead has not yet ambushed the dragon's spring. Boosts the damage of the Drunken Drinking Dragon Subduing Peerless Stance.</t>
  </si>
  <si>
    <t>In the midst of the heat of competition, the heavens choose to store a few. Boosts the damage of Heartless Stream - Battousai's moves.</t>
  </si>
  <si>
    <t>Pink necklace, light yellow coloring agarwood.</t>
  </si>
  <si>
    <t>Thunderbolts cracked the sky, and the sea tumbled in torrents.</t>
  </si>
  <si>
    <t>The thunder and lightning are too swift to cover the ears.</t>
  </si>
  <si>
    <t>The streets of heaven were once drunk with the bones of beauties. Boosts the damage of the Seven Sentiments of Entanglement Compulsion's moves.</t>
  </si>
  <si>
    <t>When the seven orifices open to chaos, there is no peace anywhere in the eight directions. It can enhance the stance.</t>
  </si>
  <si>
    <t>The peony on the stretcher is still allowed to be seen, but the city does not recognize the sound of the warbler. It can lift the muscles and bones.</t>
  </si>
  <si>
    <t>Once you give up your throne, the sword seal will be passed on to infinity. Enhances both External Attack and Internal Attack.</t>
  </si>
  <si>
    <t>The Imperial Ceremony system is quite heavy. Can boost external attacks.</t>
  </si>
  <si>
    <t>Holding a white luan tail in his hand, he sweeps the clouds of the southern mountains at night. Enhances internal attacks.</t>
  </si>
  <si>
    <t>Who is known after 3,000 years, why should we labor to report peace. Can enhance the force.</t>
  </si>
  <si>
    <t>The bright white horse eats my seedlings. I'll tie it up and keep it for the rest of my life. It can enhance the body.</t>
  </si>
  <si>
    <t>Cultivate the snake across the cavern, swallow the elephant on the island of Linjiang. Can attach a [Poison] effect to attacks, but reduces the base attributes of the equipment.</t>
  </si>
  <si>
    <t>It is made from the blood vine of a different state, although it lacks a little bit of toughness, but it is demonic and beautiful, and it is quite popular with the red image. It can enhance blood-sucking.</t>
  </si>
  <si>
    <t>Empty with the intention of crossing the iron horse, not yet tried the glacier to fall finger cold.</t>
  </si>
  <si>
    <t>The pendant given by Li Qi. The color is translucent, like the year-round snow on the peak of Yanshan Mountain outside of Sui Dongguan.</t>
  </si>
  <si>
    <t>A pendant carved from red jade. It is vaguely warm to the touch and has the effect of suppressing cold yin.</t>
  </si>
  <si>
    <t>The first bloom of the blade, the martial arts path leaves traces, the chivalrous shadow passes, the frosty blade is still fresh.</t>
  </si>
  <si>
    <t>Fighting with the heart and condensing the mind, I, Wu Wei Yang, swallow the six, break a thousand pounds of force.</t>
  </si>
  <si>
    <t>The tiger roars and the dragon roars, and the martial bones are dusty; the spirit is strong, and the qi is strong.</t>
  </si>
  <si>
    <t>Crown of the eight wastelands, martial arts town of the nine states; Jianghu co-owner, the world's sole respect.</t>
  </si>
  <si>
    <t>sortId</t>
  </si>
  <si>
    <t>作用描述</t>
  </si>
  <si>
    <t>使用效果</t>
  </si>
  <si>
    <t>快捷栏叠加</t>
  </si>
  <si>
    <t>消耗</t>
  </si>
  <si>
    <t>使用条件</t>
  </si>
  <si>
    <t>使用限制</t>
  </si>
  <si>
    <t>使用CD</t>
  </si>
  <si>
    <t>使用调用特殊界面</t>
  </si>
  <si>
    <t>tips</t>
  </si>
  <si>
    <t>使用音效</t>
  </si>
  <si>
    <t>道具说明</t>
  </si>
  <si>
    <t>还复膏</t>
  </si>
  <si>
    <t>药品</t>
  </si>
  <si>
    <t>气血回复</t>
  </si>
  <si>
    <t>气血:780</t>
  </si>
  <si>
    <t>use,1</t>
  </si>
  <si>
    <t>境界≥1</t>
  </si>
  <si>
    <t>立即回复气血值780点</t>
  </si>
  <si>
    <t>已使用【还复膏】</t>
  </si>
  <si>
    <t>item/901003</t>
  </si>
  <si>
    <t>Using.wav</t>
  </si>
  <si>
    <t>精研草本制成的丸药，能够活血化瘀，回复一定气血。</t>
  </si>
  <si>
    <t>理气丸</t>
  </si>
  <si>
    <t>气血:1160</t>
  </si>
  <si>
    <t>境界≥2</t>
  </si>
  <si>
    <t>立即回复气血值1160点</t>
  </si>
  <si>
    <t>已使用【理气丸】</t>
  </si>
  <si>
    <t>item/901004</t>
  </si>
  <si>
    <t>气血行之经脉，流转百骸，可自愈疾也。</t>
  </si>
  <si>
    <t>八宝花丸</t>
  </si>
  <si>
    <t>气血:4440</t>
  </si>
  <si>
    <t>境界≥3</t>
  </si>
  <si>
    <t>立即回复气血值4440点</t>
  </si>
  <si>
    <t>已使用【八宝花丸】</t>
  </si>
  <si>
    <t>item/950001</t>
  </si>
  <si>
    <t>羚角、珍珠磨粉，佐以牛黄、麝香、三七等材，有活血化瘀之效。</t>
  </si>
  <si>
    <t>白霞散</t>
  </si>
  <si>
    <t>气血:6400</t>
  </si>
  <si>
    <t>境界≥4</t>
  </si>
  <si>
    <t>立即回复气血值6400点</t>
  </si>
  <si>
    <t>已使用【白霞散】</t>
  </si>
  <si>
    <t>item/901403</t>
  </si>
  <si>
    <t>色若银晶，嗅如沉香，敷可续肌，服可养血。</t>
  </si>
  <si>
    <t>生脉丹</t>
  </si>
  <si>
    <t>气血:8840</t>
  </si>
  <si>
    <t>境界≥5</t>
  </si>
  <si>
    <t>立即回复气血值8840点</t>
  </si>
  <si>
    <t>已使用【生脉丹】</t>
  </si>
  <si>
    <t>数十种名贵药材煎煮凝成，其味苦辛，药性颇烈。</t>
  </si>
  <si>
    <t>玉髓膏</t>
  </si>
  <si>
    <t>气血:10240</t>
  </si>
  <si>
    <t>境界≥6</t>
  </si>
  <si>
    <t>立即回复气血值10240点</t>
  </si>
  <si>
    <t>已使用【玉髓膏】</t>
  </si>
  <si>
    <t>甘香扑鼻，药气浓郁，服之可生新血、破旧瘀、续白骨。</t>
  </si>
  <si>
    <t>回天露</t>
  </si>
  <si>
    <t>气血:13080</t>
  </si>
  <si>
    <t>境界≥7</t>
  </si>
  <si>
    <t>立即回复气血值13080点</t>
  </si>
  <si>
    <t>已使用【回天露】</t>
  </si>
  <si>
    <t>item/901303</t>
  </si>
  <si>
    <t>取无源之水三钱，秘植数十，熬煎取液，至蒸水取露，可酿此药。</t>
  </si>
  <si>
    <t>还神丹</t>
  </si>
  <si>
    <t>气血:20080</t>
  </si>
  <si>
    <t>境界≥8</t>
  </si>
  <si>
    <t>立即回复气血值20080点</t>
  </si>
  <si>
    <t>已使用【还神丹】</t>
  </si>
  <si>
    <t>item/901301</t>
  </si>
  <si>
    <t>采千年首乌之精，万年灵芝之华，方可炼就。</t>
  </si>
  <si>
    <t>止血草</t>
  </si>
  <si>
    <t>添加buff:气血恢复,171,5</t>
  </si>
  <si>
    <t>气血值每秒回复171，共持续5秒</t>
  </si>
  <si>
    <t>已使用【止血草】</t>
  </si>
  <si>
    <t>item/901001</t>
  </si>
  <si>
    <t>最简易的外敷药草，上至刀剑伤势，下至指尖小创皆不妨一试。</t>
  </si>
  <si>
    <t>金创散</t>
  </si>
  <si>
    <t>添加buff:气血恢复,255,5</t>
  </si>
  <si>
    <t>气血值每秒回复255，共持续5秒</t>
  </si>
  <si>
    <t>已使用【金创散】</t>
  </si>
  <si>
    <t>item/950002</t>
  </si>
  <si>
    <t>江湖郎中以铜石草药研磨而成的粉，外敷，可疗愈外伤出血。</t>
  </si>
  <si>
    <t>续命散</t>
  </si>
  <si>
    <t>添加buff:气血恢复,976,5</t>
  </si>
  <si>
    <t>气血值每秒回复976，共持续5秒</t>
  </si>
  <si>
    <t>已使用【续命散】</t>
  </si>
  <si>
    <t>色赤而味辛，江湖常见的止血消痛之药。</t>
  </si>
  <si>
    <t>净血丸</t>
  </si>
  <si>
    <t>添加buff:气血恢复,1408,5</t>
  </si>
  <si>
    <t>气血值每秒回复1408，共持续5秒</t>
  </si>
  <si>
    <t>已使用【净血丸】</t>
  </si>
  <si>
    <t>药香浓郁，其色赤红，服之可安神定气，补精益元。</t>
  </si>
  <si>
    <t>灵露丸</t>
  </si>
  <si>
    <t>添加buff:气血恢复,1944,5</t>
  </si>
  <si>
    <t>气血值每秒回复1944，共持续5秒</t>
  </si>
  <si>
    <t>已使用【灵露丸】</t>
  </si>
  <si>
    <t>解表化湿，理气和中，气芳香，味甘、微苦。</t>
  </si>
  <si>
    <t>雪蟾膏</t>
  </si>
  <si>
    <t>添加buff:气血恢复,2252,5</t>
  </si>
  <si>
    <t>气血值每秒回复2252，共持续5秒</t>
  </si>
  <si>
    <t>已使用【雪蟾膏】</t>
  </si>
  <si>
    <t>性味咸平，不燥不火，补气益中，兴髓生血。</t>
  </si>
  <si>
    <t>凝华丹</t>
  </si>
  <si>
    <t>添加buff:气血恢复,2877,5</t>
  </si>
  <si>
    <t>气血值每秒回复2877，共持续5秒</t>
  </si>
  <si>
    <t>已使用【凝华丹】</t>
  </si>
  <si>
    <t>壮元阳，强筋骨，暖丹田，益精神。</t>
  </si>
  <si>
    <t>冰魄膏</t>
  </si>
  <si>
    <t>添加buff:气血恢复,4417,5</t>
  </si>
  <si>
    <t>气血值每秒回复4417，共持续5秒</t>
  </si>
  <si>
    <t>已使用【冰魄膏】</t>
  </si>
  <si>
    <t>item/902038</t>
  </si>
  <si>
    <t>取天山雪莲为引，以龙涎香为材，集百花之蜜调制而成，可续骨生肌，极具灵效。</t>
  </si>
  <si>
    <t>蕴灵散</t>
  </si>
  <si>
    <t>内劲增长</t>
  </si>
  <si>
    <t>添加buff:内劲增加比例,0.3,10</t>
  </si>
  <si>
    <t>内劲获得增加30%，共持续10秒</t>
  </si>
  <si>
    <t>已使用【蕴灵散】</t>
  </si>
  <si>
    <t>甘霖起于枯朽，蕴草筛之可入药。</t>
  </si>
  <si>
    <t>固本丸</t>
  </si>
  <si>
    <t>体力不减</t>
  </si>
  <si>
    <t>添加buff:不消耗体力,3</t>
  </si>
  <si>
    <t>体力在3秒内不会消耗</t>
  </si>
  <si>
    <t>已使用【固本丸】</t>
  </si>
  <si>
    <t>传闻日中有踆乌，固体而行，可至千里。</t>
  </si>
  <si>
    <t>归元散</t>
  </si>
  <si>
    <t>真气增长</t>
  </si>
  <si>
    <t>真气:1</t>
  </si>
  <si>
    <t>获得真气1点</t>
  </si>
  <si>
    <t>使用【归元散】</t>
  </si>
  <si>
    <t>item/901002</t>
  </si>
  <si>
    <t>草药粗灰所制，药性温，服之可固本培元。</t>
  </si>
  <si>
    <t>凝神露</t>
  </si>
  <si>
    <t>真气:2</t>
  </si>
  <si>
    <t>获得真气2点</t>
  </si>
  <si>
    <t>使用【凝神露】</t>
  </si>
  <si>
    <t>item/901104</t>
  </si>
  <si>
    <t>藏阴之窟，有藓暗生，刮之以清泉服送，可顺气凝神。</t>
  </si>
  <si>
    <t>Restoration Ointment</t>
  </si>
  <si>
    <r>
      <rPr>
        <sz val="12"/>
        <color theme="1"/>
        <rFont val="Segoe UI"/>
        <family val="2"/>
      </rPr>
      <t>Immediately restores 780 HP.​</t>
    </r>
    <r>
      <rPr>
        <sz val="12"/>
        <color theme="1"/>
        <rFont val="Segoe UI"/>
        <family val="2"/>
      </rPr>
      <t>​</t>
    </r>
  </si>
  <si>
    <r>
      <rPr>
        <sz val="12"/>
        <color theme="1"/>
        <rFont val="Segoe UI"/>
        <family val="2"/>
      </rPr>
      <t>​</t>
    </r>
    <r>
      <rPr>
        <sz val="12"/>
        <color theme="1"/>
        <rFont val="Segoe UI"/>
        <family val="2"/>
      </rPr>
      <t>​Used [Recovery Ointment].​</t>
    </r>
    <r>
      <rPr>
        <sz val="12"/>
        <color theme="1"/>
        <rFont val="Segoe UI"/>
        <family val="2"/>
      </rPr>
      <t>​</t>
    </r>
  </si>
  <si>
    <t>"A pill refined from premium herbs, capable of invigorating blood circulation, dispersing stasis, and restoring a portion of health."</t>
  </si>
  <si>
    <t>Qi-Regulating Pills</t>
  </si>
  <si>
    <r>
      <rPr>
        <sz val="12"/>
        <color theme="1"/>
        <rFont val="Segoe UI"/>
        <family val="2"/>
      </rPr>
      <t>​</t>
    </r>
    <r>
      <rPr>
        <sz val="12"/>
        <color theme="1"/>
        <rFont val="Segoe UI"/>
        <family val="2"/>
      </rPr>
      <t>​Immediately restores 1,160 HP.​</t>
    </r>
    <r>
      <rPr>
        <sz val="12"/>
        <color theme="1"/>
        <rFont val="Segoe UI"/>
        <family val="2"/>
      </rPr>
      <t>​</t>
    </r>
  </si>
  <si>
    <r>
      <rPr>
        <sz val="12"/>
        <color theme="1"/>
        <rFont val="Segoe UI"/>
        <family val="2"/>
      </rPr>
      <t>​</t>
    </r>
    <r>
      <rPr>
        <sz val="12"/>
        <color theme="1"/>
        <rFont val="Segoe UI"/>
        <family val="2"/>
      </rPr>
      <t>​Used [Qi-Regulating Pill].​</t>
    </r>
    <r>
      <rPr>
        <sz val="12"/>
        <color theme="1"/>
        <rFont val="Segoe UI"/>
        <family val="2"/>
      </rPr>
      <t>​</t>
    </r>
  </si>
  <si>
    <t>"Qi and blood flow through the meridians, reaching every limb—thus, ailments may heal naturally."</t>
  </si>
  <si>
    <t>Precious Flowers Pill</t>
  </si>
  <si>
    <r>
      <rPr>
        <sz val="12"/>
        <color theme="1"/>
        <rFont val="Segoe UI"/>
        <family val="2"/>
      </rPr>
      <t>​</t>
    </r>
    <r>
      <rPr>
        <sz val="12"/>
        <color theme="1"/>
        <rFont val="Segoe UI"/>
        <family val="2"/>
      </rPr>
      <t>​Immediately restores 4,440 HP.​</t>
    </r>
    <r>
      <rPr>
        <sz val="12"/>
        <color theme="1"/>
        <rFont val="Segoe UI"/>
        <family val="2"/>
      </rPr>
      <t>​</t>
    </r>
  </si>
  <si>
    <r>
      <rPr>
        <sz val="12"/>
        <color theme="1"/>
        <rFont val="Segoe UI"/>
        <family val="2"/>
      </rPr>
      <t>​</t>
    </r>
    <r>
      <rPr>
        <sz val="12"/>
        <color theme="1"/>
        <rFont val="Segoe UI"/>
        <family val="2"/>
      </rPr>
      <t>​Used [Eight-Treasure Blossom Pill].​</t>
    </r>
    <r>
      <rPr>
        <sz val="12"/>
        <color theme="1"/>
        <rFont val="Segoe UI"/>
        <family val="2"/>
      </rPr>
      <t>​</t>
    </r>
  </si>
  <si>
    <t>"Powdered antelope horn and pearl, blended with bezoar, musk, and pseudoginseng, yields an effect that activates blood and dissolves stasis."</t>
  </si>
  <si>
    <t>White Mist Powder</t>
  </si>
  <si>
    <r>
      <rPr>
        <sz val="12"/>
        <color theme="1"/>
        <rFont val="Segoe UI"/>
        <family val="2"/>
      </rPr>
      <t>​</t>
    </r>
    <r>
      <rPr>
        <sz val="12"/>
        <color theme="1"/>
        <rFont val="Segoe UI"/>
        <family val="2"/>
      </rPr>
      <t>​Immediately restores 6,400 HP.​</t>
    </r>
    <r>
      <rPr>
        <sz val="12"/>
        <color theme="1"/>
        <rFont val="Segoe UI"/>
        <family val="2"/>
      </rPr>
      <t>​</t>
    </r>
  </si>
  <si>
    <r>
      <rPr>
        <sz val="12"/>
        <color theme="1"/>
        <rFont val="Segoe UI"/>
        <family val="2"/>
      </rPr>
      <t>​</t>
    </r>
    <r>
      <rPr>
        <sz val="12"/>
        <color theme="1"/>
        <rFont val="Segoe UI"/>
        <family val="2"/>
      </rPr>
      <t>​Used [White Mist Powder].​</t>
    </r>
    <r>
      <rPr>
        <sz val="12"/>
        <color theme="1"/>
        <rFont val="Segoe UI"/>
        <family val="2"/>
      </rPr>
      <t>​</t>
    </r>
  </si>
  <si>
    <t>"Silvery in hue, fragrant as agarwood—applied topically, it mends flesh; ingested, it nourishes blood."</t>
  </si>
  <si>
    <t>Pulse-Generating Elixir</t>
  </si>
  <si>
    <r>
      <rPr>
        <sz val="12"/>
        <color theme="1"/>
        <rFont val="Segoe UI"/>
        <family val="2"/>
      </rPr>
      <t>​</t>
    </r>
    <r>
      <rPr>
        <sz val="12"/>
        <color theme="1"/>
        <rFont val="Segoe UI"/>
        <family val="2"/>
      </rPr>
      <t>​Immediately restores 8,840 HP.​</t>
    </r>
    <r>
      <rPr>
        <sz val="12"/>
        <color theme="1"/>
        <rFont val="Segoe UI"/>
        <family val="2"/>
      </rPr>
      <t>​</t>
    </r>
  </si>
  <si>
    <r>
      <rPr>
        <sz val="12"/>
        <color theme="1"/>
        <rFont val="Segoe UI"/>
        <family val="2"/>
      </rPr>
      <t>​</t>
    </r>
    <r>
      <rPr>
        <sz val="12"/>
        <color theme="1"/>
        <rFont val="Segoe UI"/>
        <family val="2"/>
      </rPr>
      <t>​Used [Pulse-Restoring Elixir].​</t>
    </r>
    <r>
      <rPr>
        <sz val="12"/>
        <color theme="1"/>
        <rFont val="Segoe UI"/>
        <family val="2"/>
      </rPr>
      <t>​</t>
    </r>
  </si>
  <si>
    <t>"Concocted from dozens of rare herbs, its taste is bitter and pungent, its medicinal properties fiercely potent."</t>
  </si>
  <si>
    <t>Jade Marrow Ointment</t>
  </si>
  <si>
    <r>
      <rPr>
        <sz val="12"/>
        <color theme="1"/>
        <rFont val="Segoe UI"/>
        <family val="2"/>
      </rPr>
      <t>​</t>
    </r>
    <r>
      <rPr>
        <sz val="12"/>
        <color theme="1"/>
        <rFont val="Segoe UI"/>
        <family val="2"/>
      </rPr>
      <t>​Immediately restores 10,240 HP.​</t>
    </r>
    <r>
      <rPr>
        <sz val="12"/>
        <color theme="1"/>
        <rFont val="Segoe UI"/>
        <family val="2"/>
      </rPr>
      <t>​</t>
    </r>
  </si>
  <si>
    <r>
      <rPr>
        <sz val="12"/>
        <color theme="1"/>
        <rFont val="Segoe UI"/>
        <family val="2"/>
      </rPr>
      <t>​</t>
    </r>
    <r>
      <rPr>
        <sz val="12"/>
        <color theme="1"/>
        <rFont val="Segoe UI"/>
        <family val="2"/>
      </rPr>
      <t>​Used [Jade Marrow Ointment].​</t>
    </r>
    <r>
      <rPr>
        <sz val="12"/>
        <color theme="1"/>
        <rFont val="Segoe UI"/>
        <family val="2"/>
      </rPr>
      <t>​</t>
    </r>
  </si>
  <si>
    <t>"A sweet, rich aroma permeates this medicine. Consumed, it generates fresh blood, breaks old stagnation, and even knits shattered bones."</t>
  </si>
  <si>
    <t>Heaven-Reviving Elixir</t>
  </si>
  <si>
    <r>
      <rPr>
        <sz val="12"/>
        <color theme="1"/>
        <rFont val="Segoe UI"/>
        <family val="2"/>
      </rPr>
      <t>​</t>
    </r>
    <r>
      <rPr>
        <sz val="12"/>
        <color theme="1"/>
        <rFont val="Segoe UI"/>
        <family val="2"/>
      </rPr>
      <t>​Immediately restores 13,080 HP.​</t>
    </r>
    <r>
      <rPr>
        <sz val="12"/>
        <color theme="1"/>
        <rFont val="Segoe UI"/>
        <family val="2"/>
      </rPr>
      <t>​</t>
    </r>
  </si>
  <si>
    <r>
      <rPr>
        <sz val="12"/>
        <color theme="1"/>
        <rFont val="Segoe UI"/>
        <family val="2"/>
      </rPr>
      <t>​</t>
    </r>
    <r>
      <rPr>
        <sz val="12"/>
        <color theme="1"/>
        <rFont val="Segoe UI"/>
        <family val="2"/>
      </rPr>
      <t>​Used [Heavenly Revival Dew].​</t>
    </r>
    <r>
      <rPr>
        <sz val="12"/>
        <color theme="1"/>
        <rFont val="Segoe UI"/>
        <family val="2"/>
      </rPr>
      <t>​</t>
    </r>
  </si>
  <si>
    <t>"Three coins of 'source-less water,' dozens of secret botanicals, boiled to extract their essence—distilled into dew, then fermented into this remedy."</t>
  </si>
  <si>
    <t>Spirit-Restoring Pellet</t>
  </si>
  <si>
    <r>
      <rPr>
        <sz val="12"/>
        <color theme="1"/>
        <rFont val="Segoe UI"/>
        <family val="2"/>
      </rPr>
      <t>​</t>
    </r>
    <r>
      <rPr>
        <sz val="12"/>
        <color theme="1"/>
        <rFont val="Segoe UI"/>
        <family val="2"/>
      </rPr>
      <t>​Immediately restores 20,080 HP.​</t>
    </r>
    <r>
      <rPr>
        <sz val="12"/>
        <color theme="1"/>
        <rFont val="Segoe UI"/>
        <family val="2"/>
      </rPr>
      <t>​</t>
    </r>
  </si>
  <si>
    <r>
      <rPr>
        <sz val="12"/>
        <color theme="1"/>
        <rFont val="Segoe UI"/>
        <family val="2"/>
      </rPr>
      <t>​</t>
    </r>
    <r>
      <rPr>
        <sz val="12"/>
        <color theme="1"/>
        <rFont val="Segoe UI"/>
        <family val="2"/>
      </rPr>
      <t>​Used [Spirit-Returning Pill].​</t>
    </r>
    <r>
      <rPr>
        <sz val="12"/>
        <color theme="1"/>
        <rFont val="Segoe UI"/>
        <family val="2"/>
      </rPr>
      <t>​</t>
    </r>
  </si>
  <si>
    <t>"Only by refining the essence of millennial fleeceflower and the bloom of a ten-thousand-year lingzhi can this medicine be forged."</t>
  </si>
  <si>
    <t>Bleed-Stanching Herb</t>
  </si>
  <si>
    <r>
      <rPr>
        <sz val="12"/>
        <color theme="1"/>
        <rFont val="Segoe UI"/>
        <family val="2"/>
      </rPr>
      <t>​</t>
    </r>
    <r>
      <rPr>
        <sz val="12"/>
        <color theme="1"/>
        <rFont val="Segoe UI"/>
        <family val="2"/>
      </rPr>
      <t>​Restores 171 HP per second for 5 seconds.​</t>
    </r>
    <r>
      <rPr>
        <sz val="12"/>
        <color theme="1"/>
        <rFont val="Segoe UI"/>
        <family val="2"/>
      </rPr>
      <t>​</t>
    </r>
  </si>
  <si>
    <r>
      <rPr>
        <sz val="12"/>
        <color theme="1"/>
        <rFont val="Segoe UI"/>
        <family val="2"/>
      </rPr>
      <t>​</t>
    </r>
    <r>
      <rPr>
        <sz val="12"/>
        <color theme="1"/>
        <rFont val="Segoe UI"/>
        <family val="2"/>
      </rPr>
      <t>​Used [Bloodroot Herb].​</t>
    </r>
    <r>
      <rPr>
        <sz val="12"/>
        <color theme="1"/>
        <rFont val="Segoe UI"/>
        <family val="2"/>
      </rPr>
      <t>​</t>
    </r>
  </si>
  <si>
    <t>"The simplest of topical herbs—equally fit for sword wounds or fingertip nicks."</t>
  </si>
  <si>
    <t>Golden Trauma Powder</t>
  </si>
  <si>
    <r>
      <rPr>
        <sz val="12"/>
        <color theme="1"/>
        <rFont val="Segoe UI"/>
        <family val="2"/>
      </rPr>
      <t>​</t>
    </r>
    <r>
      <rPr>
        <sz val="12"/>
        <color theme="1"/>
        <rFont val="Segoe UI"/>
        <family val="2"/>
      </rPr>
      <t>​Restores 255 HP per second for 5 seconds.​</t>
    </r>
    <r>
      <rPr>
        <sz val="12"/>
        <color theme="1"/>
        <rFont val="Segoe UI"/>
        <family val="2"/>
      </rPr>
      <t>​</t>
    </r>
  </si>
  <si>
    <r>
      <rPr>
        <sz val="12"/>
        <color theme="1"/>
        <rFont val="Segoe UI"/>
        <family val="2"/>
      </rPr>
      <t>​</t>
    </r>
    <r>
      <rPr>
        <sz val="12"/>
        <color theme="1"/>
        <rFont val="Segoe UI"/>
        <family val="2"/>
      </rPr>
      <t>​Used [Golden Wound Powder].​</t>
    </r>
    <r>
      <rPr>
        <sz val="12"/>
        <color theme="1"/>
        <rFont val="Segoe UI"/>
        <family val="2"/>
      </rPr>
      <t>​</t>
    </r>
  </si>
  <si>
    <t>"A powder ground from copper, stone, and herbs by itinerant healers. Applied externally, it stanches bleeding and mends injuries."</t>
  </si>
  <si>
    <t>Life-Prolonging Powder</t>
  </si>
  <si>
    <r>
      <rPr>
        <sz val="12"/>
        <color theme="1"/>
        <rFont val="Segoe UI"/>
        <family val="2"/>
      </rPr>
      <t>​</t>
    </r>
    <r>
      <rPr>
        <sz val="12"/>
        <color theme="1"/>
        <rFont val="Segoe UI"/>
        <family val="2"/>
      </rPr>
      <t>​Restores 976 HP per second for 5 seconds.​</t>
    </r>
    <r>
      <rPr>
        <sz val="12"/>
        <color theme="1"/>
        <rFont val="Segoe UI"/>
        <family val="2"/>
      </rPr>
      <t>​</t>
    </r>
  </si>
  <si>
    <r>
      <rPr>
        <sz val="12"/>
        <color theme="1"/>
        <rFont val="Segoe UI"/>
        <family val="2"/>
      </rPr>
      <t>​</t>
    </r>
    <r>
      <rPr>
        <sz val="12"/>
        <color theme="1"/>
        <rFont val="Segoe UI"/>
        <family val="2"/>
      </rPr>
      <t>​Used [Life-Prolonging Powder].​</t>
    </r>
    <r>
      <rPr>
        <sz val="12"/>
        <color theme="1"/>
        <rFont val="Segoe UI"/>
        <family val="2"/>
      </rPr>
      <t>​</t>
    </r>
  </si>
  <si>
    <t>"Crimson in color, pungent in taste—a common Jianghu remedy to halt bleeding and dull pain."</t>
  </si>
  <si>
    <t>Blood-Purifying Pills</t>
  </si>
  <si>
    <r>
      <rPr>
        <sz val="12"/>
        <color theme="1"/>
        <rFont val="Segoe UI"/>
        <family val="2"/>
      </rPr>
      <t>​</t>
    </r>
    <r>
      <rPr>
        <sz val="12"/>
        <color theme="1"/>
        <rFont val="Segoe UI"/>
        <family val="2"/>
      </rPr>
      <t>​Restores 1,408 HP per second for 5 seconds.​</t>
    </r>
    <r>
      <rPr>
        <sz val="12"/>
        <color theme="1"/>
        <rFont val="Segoe UI"/>
        <family val="2"/>
      </rPr>
      <t>​</t>
    </r>
  </si>
  <si>
    <r>
      <rPr>
        <sz val="12"/>
        <color theme="1"/>
        <rFont val="Segoe UI"/>
        <family val="2"/>
      </rPr>
      <t>​</t>
    </r>
    <r>
      <rPr>
        <sz val="12"/>
        <color theme="1"/>
        <rFont val="Segoe UI"/>
        <family val="2"/>
      </rPr>
      <t>​Used [Blood-Cleansing Pill].​</t>
    </r>
    <r>
      <rPr>
        <sz val="12"/>
        <color theme="1"/>
        <rFont val="Segoe UI"/>
        <family val="2"/>
      </rPr>
      <t>​</t>
    </r>
  </si>
  <si>
    <t>"Thick with medicinal fragrance, vividly red. When taken, it calms the spirit, steadies qi, and replenishes essence."</t>
  </si>
  <si>
    <t>Divine Dew Pills</t>
  </si>
  <si>
    <r>
      <rPr>
        <sz val="12"/>
        <color theme="1"/>
        <rFont val="Segoe UI"/>
        <family val="2"/>
      </rPr>
      <t>​</t>
    </r>
    <r>
      <rPr>
        <sz val="12"/>
        <color theme="1"/>
        <rFont val="Segoe UI"/>
        <family val="2"/>
      </rPr>
      <t>​Restores 1,944 HP per second for 5 seconds.​</t>
    </r>
    <r>
      <rPr>
        <sz val="12"/>
        <color theme="1"/>
        <rFont val="Segoe UI"/>
        <family val="2"/>
      </rPr>
      <t>​</t>
    </r>
  </si>
  <si>
    <r>
      <rPr>
        <sz val="12"/>
        <color theme="1"/>
        <rFont val="Segoe UI"/>
        <family val="2"/>
      </rPr>
      <t>​</t>
    </r>
    <r>
      <rPr>
        <sz val="12"/>
        <color theme="1"/>
        <rFont val="Segoe UI"/>
        <family val="2"/>
      </rPr>
      <t>​Used [Spiritual Dew Pill].​</t>
    </r>
    <r>
      <rPr>
        <sz val="12"/>
        <color theme="1"/>
        <rFont val="Segoe UI"/>
        <family val="2"/>
      </rPr>
      <t>​</t>
    </r>
  </si>
  <si>
    <t>"Releases surface tension, resolves dampness, regulates qi, and harmonizes the middle burner. Aromatic, sweet, and faintly bitter."</t>
  </si>
  <si>
    <t>Snow Toad Ointment</t>
  </si>
  <si>
    <r>
      <rPr>
        <sz val="12"/>
        <color theme="1"/>
        <rFont val="Segoe UI"/>
        <family val="2"/>
      </rPr>
      <t>​</t>
    </r>
    <r>
      <rPr>
        <sz val="12"/>
        <color theme="1"/>
        <rFont val="Segoe UI"/>
        <family val="2"/>
      </rPr>
      <t>​Restores 2,252 HP per second for 5 seconds.​</t>
    </r>
    <r>
      <rPr>
        <sz val="12"/>
        <color theme="1"/>
        <rFont val="Segoe UI"/>
        <family val="2"/>
      </rPr>
      <t>​</t>
    </r>
  </si>
  <si>
    <r>
      <rPr>
        <sz val="12"/>
        <color theme="1"/>
        <rFont val="Segoe UI"/>
        <family val="2"/>
      </rPr>
      <t>​</t>
    </r>
    <r>
      <rPr>
        <sz val="12"/>
        <color theme="1"/>
        <rFont val="Segoe UI"/>
        <family val="2"/>
      </rPr>
      <t>​Used [Snow Toad Ointment].​</t>
    </r>
    <r>
      <rPr>
        <sz val="12"/>
        <color theme="1"/>
        <rFont val="Segoe UI"/>
        <family val="2"/>
      </rPr>
      <t>​</t>
    </r>
  </si>
  <si>
    <t>"Neutral in temperament—neither drying nor inflaming. Tonifies qi, fortifies the core, and revitalizes marrow to generate blood."</t>
  </si>
  <si>
    <t>Essence Condensation Pellet</t>
  </si>
  <si>
    <r>
      <rPr>
        <sz val="12"/>
        <color theme="1"/>
        <rFont val="Segoe UI"/>
        <family val="2"/>
      </rPr>
      <t>​</t>
    </r>
    <r>
      <rPr>
        <sz val="12"/>
        <color theme="1"/>
        <rFont val="Segoe UI"/>
        <family val="2"/>
      </rPr>
      <t>​Restores 2,877 HP per second for 5 seconds.​</t>
    </r>
    <r>
      <rPr>
        <sz val="12"/>
        <color theme="1"/>
        <rFont val="Segoe UI"/>
        <family val="2"/>
      </rPr>
      <t>​</t>
    </r>
  </si>
  <si>
    <r>
      <rPr>
        <sz val="12"/>
        <color theme="1"/>
        <rFont val="Segoe UI"/>
        <family val="2"/>
      </rPr>
      <t>​</t>
    </r>
    <r>
      <rPr>
        <sz val="12"/>
        <color theme="1"/>
        <rFont val="Segoe UI"/>
        <family val="2"/>
      </rPr>
      <t>​Used [Condensed Essence Pill].​</t>
    </r>
    <r>
      <rPr>
        <sz val="12"/>
        <color theme="1"/>
        <rFont val="Segoe UI"/>
        <family val="2"/>
      </rPr>
      <t>​</t>
    </r>
  </si>
  <si>
    <t>"Strengthens primal yang, reinforces tendons and bones, warms the dantian, and sharpens the spirit."</t>
  </si>
  <si>
    <t>Ice Soul Ointment</t>
  </si>
  <si>
    <r>
      <rPr>
        <sz val="12"/>
        <color theme="1"/>
        <rFont val="Segoe UI"/>
        <family val="2"/>
      </rPr>
      <t>​</t>
    </r>
    <r>
      <rPr>
        <sz val="12"/>
        <color theme="1"/>
        <rFont val="Segoe UI"/>
        <family val="2"/>
      </rPr>
      <t>​Restores 4,417 HP per second for 5 seconds.​</t>
    </r>
    <r>
      <rPr>
        <sz val="12"/>
        <color theme="1"/>
        <rFont val="Segoe UI"/>
        <family val="2"/>
      </rPr>
      <t>​</t>
    </r>
  </si>
  <si>
    <r>
      <rPr>
        <sz val="12"/>
        <color theme="1"/>
        <rFont val="Segoe UI"/>
        <family val="2"/>
      </rPr>
      <t>​</t>
    </r>
    <r>
      <rPr>
        <sz val="12"/>
        <color theme="1"/>
        <rFont val="Segoe UI"/>
        <family val="2"/>
      </rPr>
      <t>​Used [Frost Soul Ointment].​</t>
    </r>
    <r>
      <rPr>
        <sz val="12"/>
        <color theme="1"/>
        <rFont val="Segoe UI"/>
        <family val="2"/>
      </rPr>
      <t>​</t>
    </r>
  </si>
  <si>
    <t>"Snow lotus from the Heavenly Mountains serves as the base, blended with ambergris and the nectar of a hundred flowers. Mends bones and regenerates flesh with miraculous efficacy."</t>
  </si>
  <si>
    <t>Spirit-Infused Powder</t>
  </si>
  <si>
    <r>
      <rPr>
        <sz val="12"/>
        <color theme="1"/>
        <rFont val="Segoe UI"/>
        <family val="2"/>
      </rPr>
      <t>​</t>
    </r>
    <r>
      <rPr>
        <sz val="12"/>
        <color theme="1"/>
        <rFont val="Segoe UI"/>
        <family val="2"/>
      </rPr>
      <t>​Increases Inner Force gain by 30% for 10 seconds.​</t>
    </r>
    <r>
      <rPr>
        <sz val="12"/>
        <color theme="1"/>
        <rFont val="Segoe UI"/>
        <family val="2"/>
      </rPr>
      <t>​</t>
    </r>
  </si>
  <si>
    <r>
      <rPr>
        <sz val="12"/>
        <color theme="1"/>
        <rFont val="Segoe UI"/>
        <family val="2"/>
      </rPr>
      <t>​</t>
    </r>
    <r>
      <rPr>
        <sz val="12"/>
        <color theme="1"/>
        <rFont val="Segoe UI"/>
        <family val="2"/>
      </rPr>
      <t>​Used [Soul-Nourishing Powder].​</t>
    </r>
    <r>
      <rPr>
        <sz val="12"/>
        <color theme="1"/>
        <rFont val="Segoe UI"/>
        <family val="2"/>
      </rPr>
      <t>​</t>
    </r>
  </si>
  <si>
    <t>"Sweet dew springs from decay; herbs sifted from it become medicine."</t>
  </si>
  <si>
    <t>Root-Securing Pills</t>
  </si>
  <si>
    <r>
      <rPr>
        <sz val="12"/>
        <color theme="1"/>
        <rFont val="Segoe UI"/>
        <family val="2"/>
      </rPr>
      <t>​</t>
    </r>
    <r>
      <rPr>
        <sz val="12"/>
        <color theme="1"/>
        <rFont val="Segoe UI"/>
        <family val="2"/>
      </rPr>
      <t>​Stamina consumption is prevented for 3 seconds.​</t>
    </r>
    <r>
      <rPr>
        <sz val="12"/>
        <color theme="1"/>
        <rFont val="Segoe UI"/>
        <family val="2"/>
      </rPr>
      <t>​</t>
    </r>
  </si>
  <si>
    <r>
      <rPr>
        <sz val="12"/>
        <color theme="1"/>
        <rFont val="Segoe UI"/>
        <family val="2"/>
      </rPr>
      <t>​</t>
    </r>
    <r>
      <rPr>
        <sz val="12"/>
        <color theme="1"/>
        <rFont val="Segoe UI"/>
        <family val="2"/>
      </rPr>
      <t>​Used [Fortifying Root Pill].​</t>
    </r>
    <r>
      <rPr>
        <sz val="12"/>
        <color theme="1"/>
        <rFont val="Segoe UI"/>
        <family val="2"/>
      </rPr>
      <t>​</t>
    </r>
  </si>
  <si>
    <t>"Legends speak of a three-legged crow in the sun—solid in form, swift enough to traverse a thousand li."</t>
  </si>
  <si>
    <t>Origin-Returning Powder</t>
  </si>
  <si>
    <r>
      <rPr>
        <sz val="12"/>
        <color theme="1"/>
        <rFont val="Segoe UI"/>
        <family val="2"/>
      </rPr>
      <t>​</t>
    </r>
    <r>
      <rPr>
        <sz val="12"/>
        <color theme="1"/>
        <rFont val="Segoe UI"/>
        <family val="2"/>
      </rPr>
      <t>​Gains 1 Qi point.​</t>
    </r>
    <r>
      <rPr>
        <sz val="12"/>
        <color theme="1"/>
        <rFont val="Segoe UI"/>
        <family val="2"/>
      </rPr>
      <t>​</t>
    </r>
  </si>
  <si>
    <r>
      <rPr>
        <sz val="12"/>
        <color theme="1"/>
        <rFont val="Segoe UI"/>
        <family val="2"/>
      </rPr>
      <t>​</t>
    </r>
    <r>
      <rPr>
        <sz val="12"/>
        <color theme="1"/>
        <rFont val="Segoe UI"/>
        <family val="2"/>
      </rPr>
      <t>​Used [Origin-Returning Powder].​</t>
    </r>
    <r>
      <rPr>
        <sz val="12"/>
        <color theme="1"/>
        <rFont val="Segoe UI"/>
        <family val="2"/>
      </rPr>
      <t>​</t>
    </r>
  </si>
  <si>
    <t>"Crude ash from medicinal herbs. Warm in nature, it consolidates foundational qi when ingested."</t>
  </si>
  <si>
    <t>Spirit-Focusing Elixir</t>
  </si>
  <si>
    <r>
      <rPr>
        <sz val="12"/>
        <color theme="1"/>
        <rFont val="Segoe UI"/>
        <family val="2"/>
      </rPr>
      <t>​</t>
    </r>
    <r>
      <rPr>
        <sz val="12"/>
        <color theme="1"/>
        <rFont val="Segoe UI"/>
        <family val="2"/>
      </rPr>
      <t>​Gains 2 Qi points.​</t>
    </r>
  </si>
  <si>
    <r>
      <rPr>
        <sz val="12"/>
        <color theme="1"/>
        <rFont val="Segoe UI"/>
        <family val="2"/>
      </rPr>
      <t>​</t>
    </r>
    <r>
      <rPr>
        <sz val="12"/>
        <color theme="1"/>
        <rFont val="Segoe UI"/>
        <family val="2"/>
      </rPr>
      <t>​Used [Mind-Stabilizing Dew].​</t>
    </r>
  </si>
  <si>
    <t>饱食度</t>
  </si>
  <si>
    <t>使用调用列表类别</t>
  </si>
  <si>
    <t>清汤面</t>
  </si>
  <si>
    <t>食物</t>
  </si>
  <si>
    <t>精力+6</t>
  </si>
  <si>
    <t>食用</t>
  </si>
  <si>
    <t>寻常的阳春小面，汤头清澈，面条劲道滑爽。</t>
  </si>
  <si>
    <t>食用清汤面，精力+5</t>
  </si>
  <si>
    <t>item/902001</t>
  </si>
  <si>
    <t>Using</t>
  </si>
  <si>
    <t>馒头</t>
  </si>
  <si>
    <t>寻常碱面所制的馒头，虽难言可口，却是饱腹充饥之首选。</t>
  </si>
  <si>
    <t>食用馒头，精力+2</t>
  </si>
  <si>
    <t>item/902002</t>
  </si>
  <si>
    <t>咸蛋</t>
  </si>
  <si>
    <t>乡下农家腌制的咸蛋，流黄清香，滋味鲜美。</t>
  </si>
  <si>
    <t>食用咸蛋，精力+3</t>
  </si>
  <si>
    <t>item/902003</t>
  </si>
  <si>
    <t>青田鱼汤</t>
  </si>
  <si>
    <t>精力+10</t>
  </si>
  <si>
    <t>青田有鱼，煮之清甜，汤色奶白，肉质嫩滑鲜香。</t>
  </si>
  <si>
    <t>食用青田鱼汤，精力+7</t>
  </si>
  <si>
    <t>item/902004</t>
  </si>
  <si>
    <t>青菜豆腐</t>
  </si>
  <si>
    <t>青菜炖豆腐，虽无半点荤腥，却亦为众人日常饮食之选。</t>
  </si>
  <si>
    <t>食用青菜豆腐，精力+6</t>
  </si>
  <si>
    <t>item/902005</t>
  </si>
  <si>
    <t>高粱红</t>
  </si>
  <si>
    <t>饮用</t>
  </si>
  <si>
    <t>高粱入曲所酿，其性烈，干辣入喉。</t>
  </si>
  <si>
    <t>饮用高粱红，精力+3</t>
  </si>
  <si>
    <t>item/902006</t>
  </si>
  <si>
    <t>高粱红陈酿</t>
  </si>
  <si>
    <t>精力+8</t>
  </si>
  <si>
    <t>青萍村内所特制的高粱红，较之寻常酒曲更为细腻，辛甘清香。</t>
  </si>
  <si>
    <t>饮用高粱红陈酿，精力+10</t>
  </si>
  <si>
    <t>item/902007</t>
  </si>
  <si>
    <t>丹河大曲</t>
  </si>
  <si>
    <t>精力+12</t>
  </si>
  <si>
    <t>丹河特酿，风味独到。</t>
  </si>
  <si>
    <t>牛油豆腐面</t>
  </si>
  <si>
    <t>一辣二麻三鲜,味道可口,回味无穷。</t>
  </si>
  <si>
    <t>襄阳缠蹄</t>
  </si>
  <si>
    <t>色泽红亮，肉质清香，佐以姜丝米醋，余味幽长。</t>
  </si>
  <si>
    <t>item/902012</t>
  </si>
  <si>
    <t>夷邑盘鳝</t>
  </si>
  <si>
    <t>精力+20</t>
  </si>
  <si>
    <t>肉嫩味鲜，香酥可口。</t>
  </si>
  <si>
    <t>夹沙肉</t>
  </si>
  <si>
    <t>白里透红,鲜香甜糯,肥而不腻。</t>
  </si>
  <si>
    <t>item/902023</t>
  </si>
  <si>
    <t>西湖醋鱼</t>
  </si>
  <si>
    <t>精力+30</t>
  </si>
  <si>
    <t>色泽红亮，肉质鲜嫩，酸甜清香，口感软嫩。</t>
  </si>
  <si>
    <t>item/902011</t>
  </si>
  <si>
    <t>龙井虾仁</t>
  </si>
  <si>
    <t>精力+15</t>
  </si>
  <si>
    <t>清新软嫩，虾仁玉嫩，色泽雅丽，清口开胃。</t>
  </si>
  <si>
    <t>item/902022</t>
  </si>
  <si>
    <t>桂花糕</t>
  </si>
  <si>
    <t>糕体光滑细腻，清甜可口。</t>
  </si>
  <si>
    <t>item/902008</t>
  </si>
  <si>
    <t>糯米鸡</t>
  </si>
  <si>
    <t>荷叶包米，糯米包鸡，清香扑鼻，鲜味四溢。</t>
  </si>
  <si>
    <t>item/902025</t>
  </si>
  <si>
    <t>弥渡卷蹄</t>
  </si>
  <si>
    <t>色泽红白透明，鲜嫩可口，味微酸。</t>
  </si>
  <si>
    <t>扒肉饵丝</t>
  </si>
  <si>
    <t>南诏遗味，色香俱佳。</t>
  </si>
  <si>
    <t>item/902015</t>
  </si>
  <si>
    <t>乳扇</t>
  </si>
  <si>
    <t>邓川弓鱼美，洱源乳扇香。</t>
  </si>
  <si>
    <t>永平腊鹅</t>
  </si>
  <si>
    <t>皮色金黄，肉质芳香，肥而不腻，鲜美难言。</t>
  </si>
  <si>
    <t>item/902014</t>
  </si>
  <si>
    <t>惜玉怜香</t>
  </si>
  <si>
    <t>咸淡适口，细嫩鲜美，有补精益气之效。</t>
  </si>
  <si>
    <t>item/902030</t>
  </si>
  <si>
    <t>浓情蜜意</t>
  </si>
  <si>
    <t>取新鲜花蜜制成，甜酥可口，润肺通络。</t>
  </si>
  <si>
    <t>item/902018</t>
  </si>
  <si>
    <t>鱼水相欢</t>
  </si>
  <si>
    <t>汤汁清亮,香甜爽口,有益胃健脾,养血补虚之效。</t>
  </si>
  <si>
    <t>item/902027</t>
  </si>
  <si>
    <t>花前月下</t>
  </si>
  <si>
    <t>鲜桃花摘瓣去蒂，拌以蜜糖做馅，再经烘炉烤制，香甜可口，有滋阴养颜之效。</t>
  </si>
  <si>
    <t>item/902024</t>
  </si>
  <si>
    <t>桃花酿</t>
  </si>
  <si>
    <t>精力+24</t>
  </si>
  <si>
    <t>以桃花细瓣入酒，清酿而成，花香酒香交映，甘甜清洌。</t>
  </si>
  <si>
    <t>item/902032</t>
  </si>
  <si>
    <t>叫花鸡</t>
  </si>
  <si>
    <t>色泽枣红明亮，芳香扑鼻，板酥肉嫩，入口酥烂肥嫩，风味独特。</t>
  </si>
  <si>
    <t>东坡肉</t>
  </si>
  <si>
    <t>半肥半瘦的猪肉，加入配料焖制而成，色如玛瑙，入口软而不烂，肥而不腻。</t>
  </si>
  <si>
    <t>蜂蜜麻鸭</t>
  </si>
  <si>
    <t>野蜂蜜所烤制的鸭子，出炉后复以蜂蜜渣缀之，口味独具特色。</t>
  </si>
  <si>
    <t>蛋炒饭</t>
  </si>
  <si>
    <t>又名碎金饭，天下之人无不会烧制，至于各种口感却是大异了。</t>
  </si>
  <si>
    <t>item/902009</t>
  </si>
  <si>
    <t>口感不佳的野果</t>
  </si>
  <si>
    <t>精力+4</t>
  </si>
  <si>
    <t>虽说可以食用，但味道寡淡酸涩，加工后或能有所改变。</t>
  </si>
  <si>
    <t>食用口感不佳的野果，精力+1</t>
  </si>
  <si>
    <t>item/902036</t>
  </si>
  <si>
    <t>口感不错的野果</t>
  </si>
  <si>
    <t>寻常的山间野果，饱满多汁，味道尚可，若经过加工，想必会变得更为美味。</t>
  </si>
  <si>
    <t>食用口感不错的野果，精力+2</t>
  </si>
  <si>
    <t>item/902037</t>
  </si>
  <si>
    <t>果酱</t>
  </si>
  <si>
    <t>由山间野果制成的果酱，味道虽算不上有多特别，但亦足以充饥。</t>
  </si>
  <si>
    <t>食用果酱，精力+4</t>
  </si>
  <si>
    <t>item/908054</t>
  </si>
  <si>
    <t>糖人</t>
  </si>
  <si>
    <t>软腻黏牙，甘甜无比。</t>
  </si>
  <si>
    <t>食用糖人，精力+1</t>
  </si>
  <si>
    <t>item/908008</t>
  </si>
  <si>
    <t>百花丸</t>
  </si>
  <si>
    <t>天清果研粉，沉香压碎，取百花酿汁，混合适量蜂蜜，取用为糖丸，甘甜香腻，最为孩童所喜。</t>
  </si>
  <si>
    <t>食用百花丸，精力+50</t>
  </si>
  <si>
    <t>item/902041</t>
  </si>
  <si>
    <t>秋露白</t>
  </si>
  <si>
    <t>精力+18</t>
  </si>
  <si>
    <t>日华煎露成真液，泉脉穿岩咽细流。</t>
  </si>
  <si>
    <t>item/902039</t>
  </si>
  <si>
    <t>烧刀子</t>
  </si>
  <si>
    <t>关外之味，辛烈已极。</t>
  </si>
  <si>
    <t>item/902040</t>
  </si>
  <si>
    <t>竹叶青</t>
  </si>
  <si>
    <t>胜赏须倾竹叶青，此花元自圣之清。</t>
  </si>
  <si>
    <t>item/902035</t>
  </si>
  <si>
    <t>猴儿酒</t>
  </si>
  <si>
    <t>精力+200</t>
  </si>
  <si>
    <t>昔有仙猿撷百果，灵酿澄碧醉九霄。</t>
  </si>
  <si>
    <t>item/902033</t>
  </si>
  <si>
    <t>一碗清水</t>
  </si>
  <si>
    <t>一碗清水，平平无奇。</t>
  </si>
  <si>
    <t>item/901022</t>
  </si>
  <si>
    <t>薯干</t>
  </si>
  <si>
    <t>简易晒制的薯干，香甜可口。</t>
  </si>
  <si>
    <t>item/901023</t>
  </si>
  <si>
    <t>鲜鱼</t>
  </si>
  <si>
    <t>刚捞起的鲜鱼，仍在活蹦乱跳。</t>
  </si>
  <si>
    <t>item/907025</t>
  </si>
  <si>
    <t>蒸饼</t>
  </si>
  <si>
    <t>热腾腾的蒸饼。</t>
  </si>
  <si>
    <t>item/901026</t>
  </si>
  <si>
    <t>云滇小曲</t>
  </si>
  <si>
    <t>大理独有佳酿。整粒发酵，佐以少量草药。风味清雅，甘冽爽净，与中原大曲迥异。</t>
  </si>
  <si>
    <t>同袍酒</t>
  </si>
  <si>
    <t>岂曰无衣，与子同袍，止戈为武，尽解前尘。</t>
  </si>
  <si>
    <t>item/901020</t>
  </si>
  <si>
    <t>五力士丹</t>
  </si>
  <si>
    <t>武力+1</t>
  </si>
  <si>
    <t>古朝丹方，据传先时古蜀之王遣五名力士开山凿道，便赖此丹，永久增加武力1点。</t>
  </si>
  <si>
    <t>九阳丹</t>
  </si>
  <si>
    <t>内息+1</t>
  </si>
  <si>
    <t>据传此丹需于丹鼎中炼制七七四十九天方成，其方更是不传之秘，纵使毫无资质根骨之人，服之亦能内察丹田，滋生内息，永久增加内息1点。</t>
  </si>
  <si>
    <t>驺吾神行丹</t>
  </si>
  <si>
    <t>身法+1</t>
  </si>
  <si>
    <t>山海北经有云：林氏国有珍兽，大若虎，五采毕具，尾长于身，名曰驺吾，乘之日行千里，永久增加身法1点。</t>
  </si>
  <si>
    <t>忘尘丹</t>
  </si>
  <si>
    <t>悟性+1</t>
  </si>
  <si>
    <t>天材灵宝炼成，服之能通寸关之脉，理心水二气，明沉浮、悟玄机，永久增加悟性1点。</t>
  </si>
  <si>
    <t>伏狮散</t>
  </si>
  <si>
    <t>由百种壮元药材精制而成，服之可增力强肌，其性甚烈，故体虚者不能擅用，永久增加武力1点。</t>
  </si>
  <si>
    <t>item/901201</t>
  </si>
  <si>
    <t>紫香丸</t>
  </si>
  <si>
    <t>东壁先生得意之方，其色赤紫，其香清郁，服之可增筋骨肌力，价值连城，永久增加内息1点。</t>
  </si>
  <si>
    <t>item/901103</t>
  </si>
  <si>
    <t>焙风丹</t>
  </si>
  <si>
    <t>从阴引阳，从阳引阴，使气血灌注，周流不息，服之可通经络，足轻捷，永久增加身法1点。</t>
  </si>
  <si>
    <t>秋冰方</t>
  </si>
  <si>
    <t>海阁一脉独有奇方，能培补先天、后天，使脑髓得充，化源得滋，永久增加悟性1点。</t>
  </si>
  <si>
    <t>item/901501</t>
  </si>
  <si>
    <t>饲阴丸</t>
  </si>
  <si>
    <t>味苦难言，其中毒性相冲相克，反得滋养灵效，永久增加武力1点。</t>
  </si>
  <si>
    <t>item/901503</t>
  </si>
  <si>
    <t>九噬膏</t>
  </si>
  <si>
    <t>九种至毒之物炼制而成，入体宛若活虫，可吞周身内息，促其新生，永久增加内息1点。</t>
  </si>
  <si>
    <t>item/907022</t>
  </si>
  <si>
    <t>天龙饮</t>
  </si>
  <si>
    <t>以“七宝蜈蚣”为材制而成，极其难得，服之如生百足，步履如风，永久增加身法1点。</t>
  </si>
  <si>
    <t>item/902034</t>
  </si>
  <si>
    <t>幻迷仙</t>
  </si>
  <si>
    <t>集百种苗地异草灵菇炼制而成，据传一经服下，便可得窥天机，永久增加悟性1点。</t>
  </si>
  <si>
    <t>蜕资丹</t>
  </si>
  <si>
    <t>可重置武学资质，获得重新分配的机会。</t>
  </si>
  <si>
    <t>重置资质</t>
  </si>
  <si>
    <t>葱花鱼汤</t>
  </si>
  <si>
    <t>入口肉质绵柔，汤汁醇厚微甜，虽为简食，却能恢复少量体力与精力。</t>
  </si>
  <si>
    <t>item/902061</t>
  </si>
  <si>
    <t>清蒸银刀鱼</t>
  </si>
  <si>
    <t>精力+40</t>
  </si>
  <si>
    <t>入口鱼肉细腻似雪，咸鲜间藏淡淡回甘，食用后恢复中等量体力精力。</t>
  </si>
  <si>
    <t>item/902062</t>
  </si>
  <si>
    <t>醉仙鱼</t>
  </si>
  <si>
    <t>精力+70</t>
  </si>
  <si>
    <t>浓郁鱼鲜裹酒香袭来，鱼肉绵滑细腻，鲜香在口中层层散开，回味悠长，食用后恢复大量体力精力，一扫周身倦怠。</t>
  </si>
  <si>
    <t>item/902063</t>
  </si>
  <si>
    <t>盐焗虾</t>
  </si>
  <si>
    <t>咸鲜之味唤醒味蕾，食用后可恢复少量体力与精力。</t>
  </si>
  <si>
    <t>item/902064</t>
  </si>
  <si>
    <t>椒爆鲜虾段</t>
  </si>
  <si>
    <t>鲜虾焦香混青椒辛香扑鼻，虾肉弹牙、青椒爽脆，香辣滋味刺激舌尖，吃下可恢复中等量体力精力。</t>
  </si>
  <si>
    <t>item/902065</t>
  </si>
  <si>
    <t>血玉虾羹</t>
  </si>
  <si>
    <t>色泽瑰丽夺目，香气浓郁，虾肉软糯弹牙，食材口感丰富，鲜香醇厚直达心底，食之恢复大量体力精力，一扫周身倦怠。</t>
  </si>
  <si>
    <t>item/902066</t>
  </si>
  <si>
    <t>蟹肉豆腐煲</t>
  </si>
  <si>
    <t>蟹肉紧实、豆腐吸饱鲜汁，咸香入味，下肚后虽恢复体力精力有限，却能解一时饥乏。</t>
  </si>
  <si>
    <t>item/902067</t>
  </si>
  <si>
    <t>蟹脂蛋羹</t>
  </si>
  <si>
    <t>蛋羹绵密、蟹肉鲜甜，咸香适口，食用后恢复中等量体力精力。</t>
  </si>
  <si>
    <t>item/902068</t>
  </si>
  <si>
    <t>蓝田玉蟹酿</t>
  </si>
  <si>
    <t>蟹肉酿入饱满花菇，蟹肉鲜甜、花菇饱吸鲜味，口感醇厚深邃，食用后恢复大量体力精力，一扫周身倦怠。</t>
  </si>
  <si>
    <t>item/902069</t>
  </si>
  <si>
    <t>草螺羹</t>
  </si>
  <si>
    <t>入口汤头鲜醇，螺肉嚼劲十足，食之能恢复少量体力精力。</t>
  </si>
  <si>
    <t>item/902070</t>
  </si>
  <si>
    <t>翡翠煨白螺</t>
  </si>
  <si>
    <t>莹白螺肉配翠绿菜心，汤色清亮如琥珀。螺肉鲜香与菜心清甜交织，螺肉软嫩、菜心脆爽，汤鲜味美，食用后恢复中等量体力精力。</t>
  </si>
  <si>
    <t>item/902071</t>
  </si>
  <si>
    <t>彩云螺肉烧</t>
  </si>
  <si>
    <t>红亮酱汁裹螺肉如彩纹缀云，咸香微甜，吃下恢复大量体力精力，一扫周身倦怠。</t>
  </si>
  <si>
    <t>item/902072</t>
  </si>
  <si>
    <t>Plain Noodle Soup</t>
  </si>
  <si>
    <t>Ordinary spring noodles with clear broth, firm and smooth texture.</t>
  </si>
  <si>
    <t>Eating Clear Broth Noodles, Stamina +5</t>
  </si>
  <si>
    <t>Steamed Bun</t>
  </si>
  <si>
    <t>Common alkaline dough steamed buns, though not particularly tasty, are the go-to for filling hunger.</t>
  </si>
  <si>
    <t>Eating Steamed Buns, Stamina +2</t>
  </si>
  <si>
    <t>Salted Egg</t>
  </si>
  <si>
    <t>Countryside salted eggs with rich, fragrant yolks and delicious flavor.</t>
  </si>
  <si>
    <t>Eating Salted Eggs, Stamina +3</t>
  </si>
  <si>
    <t>Qingtian Fish Soup</t>
  </si>
  <si>
    <t>Fresh fish from Qingtian, sweet when boiled, milky white broth with tender, fragrant flesh.</t>
  </si>
  <si>
    <t>Eating Qingtian Fish Soup, Stamina +7</t>
  </si>
  <si>
    <t>Vegetables with Tofu</t>
  </si>
  <si>
    <t>Steamed tofu with greens, though meatless, is a common daily meal choice.</t>
  </si>
  <si>
    <t>Eating Greens with Tofu, Stamina +6</t>
  </si>
  <si>
    <t>Sorghum Wine</t>
  </si>
  <si>
    <t>Sorghum-based liquor, strong and dry with a spicy throat burn.</t>
  </si>
  <si>
    <t>Drinking Sorghum Red Wine, Stamina +3</t>
  </si>
  <si>
    <t>Aged Sorghum Wine</t>
  </si>
  <si>
    <t>Special sorghum red from Qingping Village, more refined than regular brews, with a spicy-sweet aroma.</t>
  </si>
  <si>
    <t>Drinking Aged Sorghum Red Wine, Stamina +10</t>
  </si>
  <si>
    <t>Danhe Daqu Liquor</t>
  </si>
  <si>
    <t>Dan River specialty brew, uniquely flavored.</t>
  </si>
  <si>
    <t>Dan River Daqu</t>
  </si>
  <si>
    <t>Butter Tofu Noodles</t>
  </si>
  <si>
    <t>First spicy, then numbing, then umami—delicious with endless aftertaste.</t>
  </si>
  <si>
    <t>Xiangyang Wrapped Trotters</t>
  </si>
  <si>
    <t>Bright red color, fragrant meat, best with ginger shreds and rice vinegar for a lingering finish.</t>
  </si>
  <si>
    <t>Xiangyang Wrapped Trotter</t>
  </si>
  <si>
    <t>Yiyi Eel Platter</t>
  </si>
  <si>
    <t>Tender meat, crispy and savory.</t>
  </si>
  <si>
    <t>Layered Pork Belly</t>
  </si>
  <si>
    <t>White with hints of red, sweet and sticky, rich but not greasy.</t>
  </si>
  <si>
    <t>Layered Pork with Sweet Bean Paste</t>
  </si>
  <si>
    <t>West Lake Vinegar Fish</t>
  </si>
  <si>
    <t>Bright red color, tender meat, sweet-sour aroma, soft texture.</t>
  </si>
  <si>
    <t>Longjing Shrimp</t>
  </si>
  <si>
    <t>Fresh and tender shrimp, jade-like with elegant color, refreshing and appetizing.</t>
  </si>
  <si>
    <t>Osmanthus Cake</t>
  </si>
  <si>
    <t>Smooth, delicate cake, lightly sweet.</t>
  </si>
  <si>
    <t>Sticky Rice Chicken</t>
  </si>
  <si>
    <t>Lotus-wrapped rice, chicken-wrapped glutinous rice, fragrant and bursting with umami.</t>
  </si>
  <si>
    <t>Midu Rolled Trotters</t>
  </si>
  <si>
    <t>Transparent red-white color, tender and slightly sour.</t>
  </si>
  <si>
    <t>Midu Rolled Trotter</t>
  </si>
  <si>
    <t>Braised Meat with Rice Noodles</t>
  </si>
  <si>
    <t>Legacy flavor of Nanzhao, excellent in both color and aroma.</t>
  </si>
  <si>
    <t>Milk Fan</t>
  </si>
  <si>
    <t>Dengchuan bowfish is exquisite, Eryuan milk fan is fragrant.</t>
  </si>
  <si>
    <t>Yongping Smoked Goose</t>
  </si>
  <si>
    <t>Golden skin, aromatic meat, rich but not greasy, indescribably delicious.</t>
  </si>
  <si>
    <t>Yongping Cured Goose</t>
  </si>
  <si>
    <t>Jade's Delicate Scent</t>
  </si>
  <si>
    <t>Well-seasoned, tender and fresh, boosts vitality and energy.</t>
  </si>
  <si>
    <t>Tender Jade and Fragrant Love</t>
  </si>
  <si>
    <t>Passionate Affection</t>
  </si>
  <si>
    <t>Made from fresh flower honey, sweet and crisp, moistens lungs and unblocks meridians.</t>
  </si>
  <si>
    <t>Harmonious Delight</t>
  </si>
  <si>
    <t>Clear broth, sweet and refreshing, benefits stomach and spleen, nourishes blood.</t>
  </si>
  <si>
    <t>Fish and Water's Joy</t>
  </si>
  <si>
    <t>Moonlit Rendezvous</t>
  </si>
  <si>
    <t>Fresh peach petals mixed with honey as filling, baked to sweet perfection, nourishes yin and beautifies.</t>
  </si>
  <si>
    <t>Moonlit Blossoms</t>
  </si>
  <si>
    <t>Peach Blossom Wine</t>
  </si>
  <si>
    <t>Peach petals brewed into wine, floral and liquor aromas intertwined, sweet and crisp.</t>
  </si>
  <si>
    <t>Beggar's Chicken</t>
  </si>
  <si>
    <t>Jujube-red color, intense aroma, crispy meat, tender and rich, uniquely flavored.</t>
  </si>
  <si>
    <t>Dongpo Pork</t>
  </si>
  <si>
    <t>Pork belly braised with spices, agate-colored, soft but not mushy, rich but not greasy.</t>
  </si>
  <si>
    <t>Honey Glazed Duck</t>
  </si>
  <si>
    <t>Wild honey-roasted duck, glazed with honey residue after baking, uniquely flavored.</t>
  </si>
  <si>
    <t>Egg Fried Rice</t>
  </si>
  <si>
    <t>Also called "golden broken rice," everyone knows how to cook it, but textures vary greatly.</t>
  </si>
  <si>
    <t>Bitter Wild Berry</t>
  </si>
  <si>
    <t>Edible but bland and sour—processing might improve it.</t>
  </si>
  <si>
    <t>Eating Wild Fruit (Poor Taste), Stamina +1</t>
  </si>
  <si>
    <t>Sweet Wild Berry</t>
  </si>
  <si>
    <t>Common wild mountain fruit, plump and juicy, decent taste; processing could enhance it.</t>
  </si>
  <si>
    <t>Eating Wild Fruit (Good Taste), Stamina +2</t>
  </si>
  <si>
    <t>Fruit Jam</t>
  </si>
  <si>
    <t>Wild fruit jam, not particularly special but enough to stave off hunger.</t>
  </si>
  <si>
    <t>Eating Fruit Jam, Stamina +4</t>
  </si>
  <si>
    <t>Sugar Figurine</t>
  </si>
  <si>
    <t>Soft, sticky, and incredibly sweet.</t>
  </si>
  <si>
    <t>Eating Sugar Figurine, Stamina +1</t>
  </si>
  <si>
    <t>Hundred Flowers Pill</t>
  </si>
  <si>
    <t>Sky-clear fruit powder, crushed agarwood, blended with flower nectar and honey into sweet pills, beloved by children.</t>
  </si>
  <si>
    <t>Eating Hundred-Flower Pills, Stamina +50</t>
  </si>
  <si>
    <t>Autumn Dew White</t>
  </si>
  <si>
    <t>Sunlight brews dew into true liquid, springs pierce rocks in slender streams.</t>
  </si>
  <si>
    <t>Fire Knife Liquor</t>
  </si>
  <si>
    <t>Beyond-the-border flavor, intensely spicy.</t>
  </si>
  <si>
    <t>Burning Knife Liquor</t>
  </si>
  <si>
    <t>Bamboo Leaf Green</t>
  </si>
  <si>
    <t>For fine tasting, pour bamboo leaf green—this flower's purity stems from the divine.</t>
  </si>
  <si>
    <t>Monkey King Wine</t>
  </si>
  <si>
    <t>Legend tells of an immortal ape picking fruits to brew emerald liquor that intoxicated the heavens.</t>
  </si>
  <si>
    <t>A Bowl of Water</t>
  </si>
  <si>
    <t>A bowl of plain water, utterly ordinary.</t>
  </si>
  <si>
    <t>A Bowl of Plain Water</t>
  </si>
  <si>
    <t>Dried Sweet Potato</t>
  </si>
  <si>
    <t>Simply sun-dried sweet potato strips, sweet and tasty.</t>
  </si>
  <si>
    <t>Fresh Fish</t>
  </si>
  <si>
    <t>Freshly caught fish, still flipping alive.</t>
  </si>
  <si>
    <t>Steamed Flatbread</t>
  </si>
  <si>
    <t>Steaming hot flatbread.</t>
  </si>
  <si>
    <t>Yundian Folk Tune</t>
  </si>
  <si>
    <t>Dali's unique brew. Whole-grain fermentation with herbs. Elegant, crisp, and clean, distinct from central plains' heavy liquor.</t>
  </si>
  <si>
    <t>Yunnan Xiaoqu Wine</t>
  </si>
  <si>
    <t>Comrade's Wine</t>
  </si>
  <si>
    <t>"Shall I say no clothes? I'll share my robe." Sheathing weapons resolves past grievances.</t>
  </si>
  <si>
    <t>Comrade Wine</t>
  </si>
  <si>
    <t>Five Warriors Pill</t>
  </si>
  <si>
    <t>Ancient elixir recipe, said to grant a permanent +1 Might.</t>
  </si>
  <si>
    <t>Might +1</t>
  </si>
  <si>
    <t>Nine Sun Pill</t>
  </si>
  <si>
    <t>Rumored to require 49 days of alchemy, its formula secret—even the untalented can sense their dantian after consuming, permanently +1 Breath.</t>
  </si>
  <si>
    <t>Breath +1</t>
  </si>
  <si>
    <t>Zouwu Swiftstep Pill</t>
  </si>
  <si>
    <t>Classics of Mountains and Seas: North records the Zouwu, a rainbow-tailed beast faster than tigers, riding it grants +1 Dexterity.</t>
  </si>
  <si>
    <t>Dexterity +1</t>
  </si>
  <si>
    <t>Memoryless Pill</t>
  </si>
  <si>
    <t>Heavenly treasures refined to unblock meridians, harmonize qi, and enlighten mysteries, permanently +1 Wisdom.</t>
  </si>
  <si>
    <t>Wisdom +1</t>
  </si>
  <si>
    <t>Lion Subduing Powder</t>
  </si>
  <si>
    <t>Made from 100 yang-fortifying herbs, enhances strength—too potent for the frail, permanently +1 Might.</t>
  </si>
  <si>
    <t>Purple Fragrance Pill</t>
  </si>
  <si>
    <t>Master Dongbi's prized recipe, purple-red and fragrant, strengthens sinews, worth a fortune, permanently +1 Breath.</t>
  </si>
  <si>
    <t>Roasted Wind Pill</t>
  </si>
  <si>
    <t>Balances yin-yang, circulates qi, unblocks meridians, permanently +1 Dexterity.</t>
  </si>
  <si>
    <t>Autumn Ice Formula</t>
  </si>
  <si>
    <t>Hai Ge's secret formula nourishes innate and acquired traits, fills marrow, and sparks insight, permanently +1 Wisdom.</t>
  </si>
  <si>
    <t>Yin Nourishing Pill</t>
  </si>
  <si>
    <t>Bitter and toxic, yet paradoxically nourishing, permanently +1 Might.</t>
  </si>
  <si>
    <t>Nine Devourments Ointment</t>
  </si>
  <si>
    <t>Nine deadly poisons refined into "living worms" that consume and renew inner energy, permanently +1 Breath.</t>
  </si>
  <si>
    <t>Heavenly Dragon Drink</t>
  </si>
  <si>
    <t>Rare "seven-treasure centipede" elixir grants swift strides, permanently +1 Dexterity.</t>
  </si>
  <si>
    <t>Illusion Immortal</t>
  </si>
  <si>
    <t>100 rare southern herbs and mushrooms, said to reveal heavenly secrets upon consumption, permanently +1 Wisdom.</t>
  </si>
  <si>
    <t>Molting Pill</t>
  </si>
  <si>
    <t>Resets martial aptitude, allowing redistribution.</t>
  </si>
  <si>
    <t>Reset Attributes</t>
  </si>
  <si>
    <t>Scallion Fish Soup</t>
  </si>
  <si>
    <t>Tender meat, mildly sweet broth—simple but restores some stamina and energy.</t>
  </si>
  <si>
    <t>Steamed Silver Fish</t>
  </si>
  <si>
    <t>Snow-like fish flesh with savory-sweet aftertaste, restores moderate stamina and energy.</t>
  </si>
  <si>
    <t>Steamed Silver Knife Fish</t>
  </si>
  <si>
    <t>Drunken Immortal Fish</t>
  </si>
  <si>
    <t>Rich fish aroma layered with wine, tender flesh, restores abundant stamina and energy, dispelling fatigue.</t>
  </si>
  <si>
    <t>Salt-Baked Shrimp</t>
  </si>
  <si>
    <t>Savory umami awakens the palate, restores some stamina and energy.</t>
  </si>
  <si>
    <t>Spicy Fried Shrimp</t>
  </si>
  <si>
    <t>Charred shrimp with spicy peppers, bouncy meat and crisp veggies, restores moderate stamina and energy.</t>
  </si>
  <si>
    <t>Spicy Fried Shrimp Segments</t>
  </si>
  <si>
    <t>Jade Shrimp Soup</t>
  </si>
  <si>
    <t>Vibrant colors, rich aroma, soft shrimp, complex textures, restores abundant stamina and energy, dispelling fatigue.</t>
  </si>
  <si>
    <t>Crab Meat Tofu Pot</t>
  </si>
  <si>
    <t>Firm crab meat, tofu soaked in broth, restores limited stamina but eases hunger.</t>
  </si>
  <si>
    <t>Crab Roe Steamed Egg</t>
  </si>
  <si>
    <t>Silky egg custard with sweet crab, restores moderate stamina and energy.</t>
  </si>
  <si>
    <t>Crab Roe Egg Custard</t>
  </si>
  <si>
    <t>Blue Field Jade Crab Roe</t>
  </si>
  <si>
    <t>Crab-stuffed mushrooms, deep umami, restores abundant stamina and energy, dispelling fatigue.</t>
  </si>
  <si>
    <t>Lantian Jade Crab Delicacy</t>
  </si>
  <si>
    <t>River Snail Soup</t>
  </si>
  <si>
    <t>Rich broth, chewy snail, restores some stamina and energy.</t>
  </si>
  <si>
    <t>Grass Snail Soup</t>
  </si>
  <si>
    <t>Jade Simmered Snail</t>
  </si>
  <si>
    <t>Pearl-white snails with emerald greens, amber-clear broth—sweet and savory, restores moderate stamina and energy.</t>
  </si>
  <si>
    <t>Jadeite Simmered White Snail</t>
  </si>
  <si>
    <t>Colorful Cloud Snail Stir-Fry</t>
  </si>
  <si>
    <t>Red-glazed snails in sweet-salty sauce, restores abundant stamina and energy, dispelling fatigue.</t>
  </si>
  <si>
    <t>Colorful Cloud Snail Stir-fry</t>
  </si>
  <si>
    <t>sort</t>
  </si>
  <si>
    <t>lvLimit</t>
  </si>
  <si>
    <t>清汤面烹饪配方</t>
  </si>
  <si>
    <t>艺能</t>
  </si>
  <si>
    <t>1,100001</t>
  </si>
  <si>
    <t>学习</t>
  </si>
  <si>
    <t>记载了某种食肴的料理手艺，阅读研究后可习得清汤面的烹饪方法。</t>
  </si>
  <si>
    <t>习得清汤面烹饪配方</t>
  </si>
  <si>
    <t>item/958000</t>
  </si>
  <si>
    <t>馒头烹饪配方</t>
  </si>
  <si>
    <t>1,100002</t>
  </si>
  <si>
    <t>记载了某种食肴的料理手艺，阅读研究后可习得馒头的烹饪方法。</t>
  </si>
  <si>
    <t>习得馒头烹饪配方</t>
  </si>
  <si>
    <t>咸蛋烹饪配方</t>
  </si>
  <si>
    <t>1,100003</t>
  </si>
  <si>
    <t>记载了某种食肴的料理手艺，阅读研究后可习得咸蛋的腌制方法。</t>
  </si>
  <si>
    <t>习得咸蛋烹饪配方</t>
  </si>
  <si>
    <t>高粱红烹饪配方</t>
  </si>
  <si>
    <t>1,100004</t>
  </si>
  <si>
    <t>记载了某种美酒的酿制配方，阅读研究后可习得高粱红的酿造方法。</t>
  </si>
  <si>
    <t>习得高粱红烹饪配方</t>
  </si>
  <si>
    <t>硬木刀·精锻造配方</t>
  </si>
  <si>
    <t>2,110001</t>
  </si>
  <si>
    <t>记载了单手轻刃类武器的精制技艺，学习后可以制造【硬木刀·精】。此装备需有粗通皮毛之武境方可运使自如。</t>
  </si>
  <si>
    <t>习得硬木刀·精锻造配方</t>
  </si>
  <si>
    <t>旧纸扇·精锻造配方</t>
  </si>
  <si>
    <t>2,110002</t>
  </si>
  <si>
    <t>记载了扇子类武器的精制技艺，学习后可以锻造【旧纸扇·精】。此装备需有粗通皮毛之武境方可运使自如。</t>
  </si>
  <si>
    <t>习得旧纸扇·精锻造配方</t>
  </si>
  <si>
    <t>蒲草链·精锻造配方</t>
  </si>
  <si>
    <t>2,110003</t>
  </si>
  <si>
    <t>记载了项链类装备的精制技艺，学习后可以制作【蒲草链·精】。此装备需有略有小成之武境方可佩戴。</t>
  </si>
  <si>
    <t>习得蒲草链·精锻造配方</t>
  </si>
  <si>
    <t>山水画扇·精锻造配方</t>
  </si>
  <si>
    <t>2,110004</t>
  </si>
  <si>
    <t>记载了扇子类武器的精制技艺，学习后可以制造【山水画扇·精】。此装备需有略有小成之武境方可运使自如。</t>
  </si>
  <si>
    <t>习得山水画扇·精锻造配方</t>
  </si>
  <si>
    <t>素剑·精锻造配方</t>
  </si>
  <si>
    <t>2,110005</t>
  </si>
  <si>
    <t>记载了单手轻刃类武器的精制技艺，学习后可以锻造【素剑·精】。此装备需有略有小成之武境方可运使自如。</t>
  </si>
  <si>
    <t>习得素剑·精锻造配方</t>
  </si>
  <si>
    <t>锈铁缠手·精锻造配方</t>
  </si>
  <si>
    <t>2,110006</t>
  </si>
  <si>
    <t>记载了掌套类武器的精制技艺，学习后可以锻造【锈铁缠手·精】。此装备需有略有小成之武境方可运使自如。</t>
  </si>
  <si>
    <t>习得锈铁缠手·精锻造配方</t>
  </si>
  <si>
    <t>锈红缨·精锻造配方</t>
  </si>
  <si>
    <t>2,110007</t>
  </si>
  <si>
    <t>记载了长兵类武器的精制技艺，学习后可以锻造【锈红缨·精】。此装备需有心领神会之武境方可运使自如。</t>
  </si>
  <si>
    <t>习得锈红缨·精锻造配方</t>
  </si>
  <si>
    <t>哨棒·精锻造配方</t>
  </si>
  <si>
    <t>2,110008</t>
  </si>
  <si>
    <t>记载了长兵类武器的精制技艺，学习后可以制造【哨棒·精】。此装备需有粗通皮毛之武境方可运使自如。</t>
  </si>
  <si>
    <t>习得哨棒·精锻造配方</t>
  </si>
  <si>
    <t>棉布长衫·精锻造配方</t>
  </si>
  <si>
    <t>2,110009</t>
  </si>
  <si>
    <t>记载了护甲类装备的精制技艺，学习后可以缝制【棉布长衫·精】。此装备需有略有小成之武境方可穿戴。</t>
  </si>
  <si>
    <t>习得棉布长衫·精锻造配方</t>
  </si>
  <si>
    <t>粗铁护胫·精锻造配方</t>
  </si>
  <si>
    <t>2,110010</t>
  </si>
  <si>
    <t>记载了护腿类武器的精制技艺，学习后可以锻造【粗铁护腿·精】。此装备需有心领神会之武境方可穿戴。</t>
  </si>
  <si>
    <t>习得粗铁护胫·精锻造配方</t>
  </si>
  <si>
    <t>墨家连环铳图解·壹</t>
  </si>
  <si>
    <t>2,110011</t>
  </si>
  <si>
    <t>其上所载之火器制法极尽巧思，精雕细缕，令人叹为观止……</t>
  </si>
  <si>
    <t>习得墨家连环铳锻造配方</t>
  </si>
  <si>
    <t>墨家连环铳图解·贰</t>
  </si>
  <si>
    <t>2,110012</t>
  </si>
  <si>
    <t>墨家连环铳图解·叁</t>
  </si>
  <si>
    <t>2,110013</t>
  </si>
  <si>
    <t>墨家连环铳图解·肆</t>
  </si>
  <si>
    <t>2,110014</t>
  </si>
  <si>
    <t>神秘图解</t>
  </si>
  <si>
    <t>2,110015</t>
  </si>
  <si>
    <t>习得钜子锻造配方</t>
  </si>
  <si>
    <t>九州无量·精锻造配方</t>
  </si>
  <si>
    <t>2,110016</t>
  </si>
  <si>
    <t>记载了掌套类武器的精制技艺，学习后可以锻造【九州无量·精】。此装备需有炉火纯青之武境方可运使自如。</t>
  </si>
  <si>
    <t>习得九州无量·精锻造配方</t>
  </si>
  <si>
    <t>小切玉·精锻造配方</t>
  </si>
  <si>
    <t>2,110017</t>
  </si>
  <si>
    <t>记载了单手轻刃类武器的精制技艺，学习后可以锻造【小切玉·精】。此装备需有炉火纯青之武境方可运使自如。</t>
  </si>
  <si>
    <t>习得小切玉·精锻造配方</t>
  </si>
  <si>
    <t>红笺无色·精锻造配方</t>
  </si>
  <si>
    <t>2,110018</t>
  </si>
  <si>
    <t>记载了长兵类武器的精制技艺，学习后可以锻造【红笺无色·精】。此装备需有炉火纯青之武境方可运使自如。</t>
  </si>
  <si>
    <t>习得红笺无色·精锻造配方</t>
  </si>
  <si>
    <t>修罗·精锻造配方</t>
  </si>
  <si>
    <t>2,110019</t>
  </si>
  <si>
    <t>记载了长兵类武器的精制技艺，学习后可以锻造【修罗·精】。此装备需有炉火纯青之武境方可运使自如。</t>
  </si>
  <si>
    <t>习得修罗·精锻造配方</t>
  </si>
  <si>
    <t>北逐天狼·精锻造配方</t>
  </si>
  <si>
    <t>2,110020</t>
  </si>
  <si>
    <t>记载了弓箭类武器的精制技艺，学习后可以制造【北逐天狼·精】。此装备需有炉火纯青之武境方可运使自如。</t>
  </si>
  <si>
    <t>习得北逐天狼·精锻造配方</t>
  </si>
  <si>
    <t>清刚·精锻造配方</t>
  </si>
  <si>
    <t>2,110021</t>
  </si>
  <si>
    <t>记载了短兵类武器的精制技艺，学习后可以锻造【清刚·精】。此装备需有炉火纯青之武境方可运使自如。</t>
  </si>
  <si>
    <t>习得清刚·精锻造配方</t>
  </si>
  <si>
    <t>烟罗云锦·精锻造配方</t>
  </si>
  <si>
    <t>2,110022</t>
  </si>
  <si>
    <t>记载了护甲类装备的精制技艺，学习后可以缝制【烟罗云锦·精】。此装备需有炉火纯青之武境方可穿戴。</t>
  </si>
  <si>
    <t>习得烟罗云锦·精锻造配方</t>
  </si>
  <si>
    <t>八方人间·精锻造配方</t>
  </si>
  <si>
    <t>2,110023</t>
  </si>
  <si>
    <t>记载了护腰类装备的精制技艺，学习后可以缝制【八方人间·精】。此装备需有炉火纯青之武境方可穿戴。</t>
  </si>
  <si>
    <t>习得八方人间·精锻造配方</t>
  </si>
  <si>
    <t>千里烟波·精锻造配方</t>
  </si>
  <si>
    <t>2,110024</t>
  </si>
  <si>
    <t>记载了护腿类装备的精制技艺，学习后可以锻造【千里烟波·精】。此装备需有炉火纯青之武境方可穿戴。</t>
  </si>
  <si>
    <t>习得千里烟波·精锻造配方</t>
  </si>
  <si>
    <t>镇西关·精锻造配方</t>
  </si>
  <si>
    <t>2,110025</t>
  </si>
  <si>
    <t>记载了护臂类装备的精制技艺，学习后可以锻造【镇西关·精】。此装备需有炉火纯青之武境方可穿戴。</t>
  </si>
  <si>
    <t>习得镇西关·精锻造配方</t>
  </si>
  <si>
    <t>却邪·精锻造配方</t>
  </si>
  <si>
    <t>2,110026</t>
  </si>
  <si>
    <t>记载了单手轻刃类武器的精制技艺，学习后可以锻造【却邪·精】。此装备需有炉火纯青之武境方可运使自如。</t>
  </si>
  <si>
    <t>习得却邪·精锻造配方</t>
  </si>
  <si>
    <t>古锭·精锻造配方</t>
  </si>
  <si>
    <t>2,110027</t>
  </si>
  <si>
    <t>记载了重刃类武器的精制技艺，学习后可以锻造【古锭·精】。此装备需有炉火纯青之武境方可运使自如。</t>
  </si>
  <si>
    <t>习得千里古锭·精锻造配方</t>
  </si>
  <si>
    <t>秋风悲画·精锻造配方</t>
  </si>
  <si>
    <t>2,110028</t>
  </si>
  <si>
    <t>记载了扇子类武器的精制技艺，学习后可以制造【秋风悲画·精】。此装备需有炉火纯青之武境方可运使自如。</t>
  </si>
  <si>
    <t>习得秋风悲画·精锻造配方</t>
  </si>
  <si>
    <t>2,110029</t>
  </si>
  <si>
    <t>记载了暗器类武器的精制技艺，学习后可以锻造【霜月·精】。此装备需有炉火纯青之武境方可运使自如。</t>
  </si>
  <si>
    <t>习得霜月·精锻造配方</t>
  </si>
  <si>
    <t>五岳三山·精锻造配方</t>
  </si>
  <si>
    <t>2,110030</t>
  </si>
  <si>
    <t>记载了靴头类武器的精制技艺，学习后可以锻造【五岳三山·精】。此装备需有炉火纯青之武境方可运使自如。</t>
  </si>
  <si>
    <t>习得五岳三山·精锻造配方</t>
  </si>
  <si>
    <t>丸锻隼前龙光·精锻造配方</t>
  </si>
  <si>
    <t>2,110031</t>
  </si>
  <si>
    <t>记载了双手轻刃类武器的精制技艺，学习后可以锻造【丸锻隼前龙光·精】。此装备需有炉火纯青之武境方可运使自如。</t>
  </si>
  <si>
    <t>习得丸锻隼前龙光·精锻造配方</t>
  </si>
  <si>
    <t>玉露·精锻造配方</t>
  </si>
  <si>
    <t>2,110032</t>
  </si>
  <si>
    <t>记载了绳镖类武器的精制技艺，学习后可以锻造【玉露·精】。此装备需有炉火纯青之武境方可运使自如。</t>
  </si>
  <si>
    <t>习得玉露·精锻造配方</t>
  </si>
  <si>
    <t>铸铁铳·精锻造配方</t>
  </si>
  <si>
    <t>2,110033</t>
  </si>
  <si>
    <t>记载了火器类武器的精制技艺，学习后可以锻造【铸铁铳·精】。此装备需有粗通皮毛之武境方可运使自如。</t>
  </si>
  <si>
    <t>习得铸铁铳·精锻造配方</t>
  </si>
  <si>
    <t>铁炎·精锻造配方</t>
  </si>
  <si>
    <t>2,110034</t>
  </si>
  <si>
    <t>记载了火器类武器的精制技艺，学习后可以锻造【铁炎·精】。此装备需有略有小成之武境方可运使自如。</t>
  </si>
  <si>
    <t>习得铁炎·精锻造配方</t>
  </si>
  <si>
    <t>雷鸟铳·精锻造配方</t>
  </si>
  <si>
    <t>2,110035</t>
  </si>
  <si>
    <t>记载了火器类武器的精制技艺，学习后可以锻造【雷鸟铳·精】。此装备需有心领神会之武境方可运使自如。</t>
  </si>
  <si>
    <t>习得雷鸟铳·精锻造配方</t>
  </si>
  <si>
    <t>青焰·精锻造配方</t>
  </si>
  <si>
    <t>2,110036</t>
  </si>
  <si>
    <t>记载了火器类武器的精制技艺，学习后可以锻造【青焰·精】。此装备需有出类拔萃之武境方可运使自如。</t>
  </si>
  <si>
    <t>习得青焰·精锻造配方</t>
  </si>
  <si>
    <t>燧焰·精锻造配方</t>
  </si>
  <si>
    <t>2,110037</t>
  </si>
  <si>
    <t>记载了火器类武器的精制技艺，学习后可以锻造【燧焰·精】。此装备需有登堂入室之武境方可运使自如。</t>
  </si>
  <si>
    <t>习得燧焰·精锻造配方</t>
  </si>
  <si>
    <t>电光铳·精锻造配方</t>
  </si>
  <si>
    <t>2,110038</t>
  </si>
  <si>
    <t>记载了火器类武器的精制技艺，学习后可以锻造【电光铳·精】。此装备需有融会贯通之武境方可运使自如。</t>
  </si>
  <si>
    <t>习得电光铳·精锻造配方</t>
  </si>
  <si>
    <t>佛朗机·精锻造配方</t>
  </si>
  <si>
    <t>2,110039</t>
  </si>
  <si>
    <t>记载了火器类武器的精制技艺，学习后可以锻造【佛朗机·精】。此装备需有炉火纯青之武境方可运使自如。</t>
  </si>
  <si>
    <t>习得佛朗机·精锻造配方</t>
  </si>
  <si>
    <t>机巧铳·精锻造配方</t>
  </si>
  <si>
    <t>2,110040</t>
  </si>
  <si>
    <t>记载了火器类武器的精制技艺，学习后可以锻造【机巧铳·精】。此装备需有登峰造极之武境方可运使自如。</t>
  </si>
  <si>
    <t>习得机巧铳·精锻造配方</t>
  </si>
  <si>
    <t>墨家千机匣·精锻造配方</t>
  </si>
  <si>
    <t>2,110041</t>
  </si>
  <si>
    <t>记载了火器类武器的精制技艺，学习后可以锻造【墨家千机匣·精】。此装备需有登峰造极之武境方可运使自如。</t>
  </si>
  <si>
    <t>习得墨家千机匣·精锻造配方</t>
  </si>
  <si>
    <t>墨家原型·精锻造配方</t>
  </si>
  <si>
    <t>2,110042</t>
  </si>
  <si>
    <t>记载了火器类武器的精制技艺，学习后可以锻造【墨家原型·精】。此装备需有登峰造极之武境方可运使自如。</t>
  </si>
  <si>
    <t>习得墨家原型·精锻造配方</t>
  </si>
  <si>
    <t>叫花鸡烹饪配方</t>
  </si>
  <si>
    <t>1,100005</t>
  </si>
  <si>
    <t>记载了某种食肴的料理手艺，阅读研究后可习得叫花鸡的烹饪方法。</t>
  </si>
  <si>
    <t>习得叫花鸡烹饪配方</t>
  </si>
  <si>
    <t>东坡肉烹饪配方</t>
  </si>
  <si>
    <t>1,100006</t>
  </si>
  <si>
    <t>记载了某种食肴的料理手艺，阅读研究后可习得东坡肉的烹饪方法。</t>
  </si>
  <si>
    <t>习得东坡肉烹饪配方</t>
  </si>
  <si>
    <t>桃花酿烹饪配方</t>
  </si>
  <si>
    <t>1,100007</t>
  </si>
  <si>
    <t>记载了某种美酒的酿制配方，阅读研究后可习得桃花酿的酿造方法。</t>
  </si>
  <si>
    <t>习得桃花酿烹饪配方</t>
  </si>
  <si>
    <t>蜂蜜麻鸭烹饪配方</t>
  </si>
  <si>
    <t>1,100008</t>
  </si>
  <si>
    <t>记载了某种食肴的料理手艺，阅读研究后可习得蜂蜜麻鸭的烹饪方法。</t>
  </si>
  <si>
    <t>习得蜂蜜麻鸭烹饪配方</t>
  </si>
  <si>
    <t>蛋炒饭烹饪配方</t>
  </si>
  <si>
    <t>1,100009</t>
  </si>
  <si>
    <t>记载了某种食肴的料理手艺，阅读研究后可习得蛋炒饭的烹饪方法。</t>
  </si>
  <si>
    <t>习得蛋炒饭烹饪配方</t>
  </si>
  <si>
    <t>西湖醋鱼烹饪配方</t>
  </si>
  <si>
    <t>1,100010</t>
  </si>
  <si>
    <t>记载了某种食肴的料理手艺，阅读研究后可习得西湖醋鱼的烹饪方法。</t>
  </si>
  <si>
    <t>习得西湖醋鱼烹饪配方</t>
  </si>
  <si>
    <t>关山月·精锻造配方</t>
  </si>
  <si>
    <t>2,110043</t>
  </si>
  <si>
    <t>记载了掌套类武器的精制技艺，学习后可以锻造【关山月·精】。此装备需有登峰造极之武境方可运使自如。</t>
  </si>
  <si>
    <t>习得关山月·精锻造配方</t>
  </si>
  <si>
    <t>掌定乾坤·精锻造配方</t>
  </si>
  <si>
    <t>2,110044</t>
  </si>
  <si>
    <t>记载了掌套类武器的精制技艺，学习后可以锻造【掌定乾坤·精】。此装备需有登峰造极之武境方可运使自如。</t>
  </si>
  <si>
    <t>习得掌定乾坤·精锻造配方</t>
  </si>
  <si>
    <t>虚玄·精锻造配方</t>
  </si>
  <si>
    <t>2,110045</t>
  </si>
  <si>
    <t>记载了掌套类武器的精制技艺，学习后可以锻造【虚玄·精】。此装备需有登峰造极之武境方可运使自如。</t>
  </si>
  <si>
    <t>习得虚玄·精锻造配方</t>
  </si>
  <si>
    <t>青璃·精锻造配方</t>
  </si>
  <si>
    <t>2,110046</t>
  </si>
  <si>
    <t>记载了单手轻刃类武器的精制技艺，学习后可以锻造【青璃·精】。此装备需有登峰造极之武境方可运使自如。</t>
  </si>
  <si>
    <t>习得青璃·精锻造配方</t>
  </si>
  <si>
    <t>纵渊·精锻造配方</t>
  </si>
  <si>
    <t>2,110047</t>
  </si>
  <si>
    <t>记载了单手轻刃类武器的精制技艺，学习后可以锻造【纵渊·精】。此装备需有登峰造极之武境方可运使自如。</t>
  </si>
  <si>
    <t>习得纵渊·精锻造配方</t>
  </si>
  <si>
    <t>尘光·精锻造配方</t>
  </si>
  <si>
    <t>2,110048</t>
  </si>
  <si>
    <t>记载了单手轻刃类武器的精制技艺，学习后可以锻造【尘光·精】。此装备需有登峰造极之武境方可运使自如。</t>
  </si>
  <si>
    <t>习得尘光·精锻造配方</t>
  </si>
  <si>
    <t>归合·精锻造配方</t>
  </si>
  <si>
    <t>2,110049</t>
  </si>
  <si>
    <t>记载了单手轻刃类武器的精制技艺，学习后可以锻造【归合·精】。此装备需有登峰造极之武境方可运使自如。</t>
  </si>
  <si>
    <t>习得归合·精锻造配方</t>
  </si>
  <si>
    <t>断不平·精锻造配方</t>
  </si>
  <si>
    <t>2,110050</t>
  </si>
  <si>
    <t>记载了单手轻刃类武器的精制技艺，学习后可以锻造【断不平·精】。此装备需有登峰造极之武境方可运使自如。</t>
  </si>
  <si>
    <t>习得断不平·精锻造配方</t>
  </si>
  <si>
    <t>不惧·精锻造配方</t>
  </si>
  <si>
    <t>2,110051</t>
  </si>
  <si>
    <t>记载了单手轻刃类武器的精制技艺，学习后可以锻造【不惧·精】。此装备需有登峰造极之武境方可运使自如。</t>
  </si>
  <si>
    <t>习得不惧·精锻造配方</t>
  </si>
  <si>
    <t>千石沉林·精锻造配方</t>
  </si>
  <si>
    <t>2,110052</t>
  </si>
  <si>
    <t>记载了重刃类武器的精制技艺，学习后可以锻造【千石沉林·精】。此装备需有登峰造极之武境方可运使自如。</t>
  </si>
  <si>
    <t>习得千石沉林·精锻造配方</t>
  </si>
  <si>
    <t>柳絮·精锻造配方</t>
  </si>
  <si>
    <t>2,110053</t>
  </si>
  <si>
    <t>记载了重刃类武器的精制技艺，学习后可以锻造【柳絮·精】。此装备需有登峰造极之武境方可运使自如。</t>
  </si>
  <si>
    <t>习得柳絮·精锻造配方</t>
  </si>
  <si>
    <t>圣人无名·精锻造配方</t>
  </si>
  <si>
    <t>2,110054</t>
  </si>
  <si>
    <t>记载了重刃类武器的精制技艺，学习后可以锻造【圣人无名·精】。此装备需有登峰造极之武境方可运使自如。</t>
  </si>
  <si>
    <t>习得圣人无名·精锻造配方</t>
  </si>
  <si>
    <t>寒骜·精锻造配方</t>
  </si>
  <si>
    <t>2,110055</t>
  </si>
  <si>
    <t>记载了长兵类武器的精制技艺，学习后可以锻造【寒骜·精】。此装备需有登峰造极之武境方可运使自如。</t>
  </si>
  <si>
    <t>习得寒骜·精锻造配方</t>
  </si>
  <si>
    <t>奉天·精锻造配方</t>
  </si>
  <si>
    <t>2,110056</t>
  </si>
  <si>
    <t>记载了长兵类武器的精制技艺，学习后可以锻造【奉天·精】。此装备需有登峰造极之武境方可运使自如。</t>
  </si>
  <si>
    <t>习得奉天·精锻造配方</t>
  </si>
  <si>
    <t>迷悟·精锻造配方</t>
  </si>
  <si>
    <t>2,110057</t>
  </si>
  <si>
    <t>记载了长兵类武器的精制技艺，学习后可以锻造【迷悟·精】。此装备需有登峰造极之武境方可运使自如。</t>
  </si>
  <si>
    <t>习得迷悟·精锻造配方</t>
  </si>
  <si>
    <t>定规王土·精锻造配方</t>
  </si>
  <si>
    <t>2,110058</t>
  </si>
  <si>
    <t>记载了长兵类武器的精制技艺，学习后可以锻造【定规王土·精】。此装备需有登峰造极之武境方可运使自如。</t>
  </si>
  <si>
    <t>习得定规王土·精锻造配方</t>
  </si>
  <si>
    <t>百战死·精锻造配方</t>
  </si>
  <si>
    <t>2,110059</t>
  </si>
  <si>
    <t>记载了长兵类武器的精制技艺，学习后可以锻造【百战死·精】。此装备需有登峰造极之武境方可运使自如。</t>
  </si>
  <si>
    <t>习得百战死·精锻造配方</t>
  </si>
  <si>
    <t>镇·精锻造配方</t>
  </si>
  <si>
    <t>2,110060</t>
  </si>
  <si>
    <t>记载了长兵类武器的精制技艺，学习后可以锻造【镇·精】。此装备需有登峰造极之武境方可运使自如。</t>
  </si>
  <si>
    <t>习得镇·精锻造配方</t>
  </si>
  <si>
    <t>饮余生·精锻造配方</t>
  </si>
  <si>
    <t>2,110061</t>
  </si>
  <si>
    <t>记载了扇子类武器的精制技艺，学习后可以制造【饮余生·精】。此装备需有登峰造极之武境方可运使自如。</t>
  </si>
  <si>
    <t>习得饮余生·精锻造配方</t>
  </si>
  <si>
    <t>焚琴煮鹤·精锻造配方</t>
  </si>
  <si>
    <t>2,110062</t>
  </si>
  <si>
    <t>记载了扇子类武器的精制技艺，学习后可以制造【焚琴煮鹤·精】。此装备需有登峰造极之武境方可运使自如。</t>
  </si>
  <si>
    <t>习得焚琴煮鹤·精锻造配方</t>
  </si>
  <si>
    <t>展颜·精锻造配方</t>
  </si>
  <si>
    <t>2,110063</t>
  </si>
  <si>
    <t>记载了扇子类武器的精制技艺，学习后可以制造【展颜·精】。此装备需有登峰造极之武境方可运使自如。</t>
  </si>
  <si>
    <t>习得展颜·精锻造配方</t>
  </si>
  <si>
    <t>离愁·精锻造配方</t>
  </si>
  <si>
    <t>2,110064</t>
  </si>
  <si>
    <t>记载了暗器类武器的精制技艺，学习后可以锻造【离愁·精】。此装备需有登峰造极之武境方可运使自如。</t>
  </si>
  <si>
    <t>习得离愁·精锻造配方</t>
  </si>
  <si>
    <t>红拂·精锻造配方</t>
  </si>
  <si>
    <t>2,110065</t>
  </si>
  <si>
    <t>记载了暗器类武器的精制技艺，学习后可以锻造【红拂·精】。此装备需有登峰造极之武境方可运使自如。</t>
  </si>
  <si>
    <t>习得红拂·精锻造配方</t>
  </si>
  <si>
    <t>楚人赋·精锻造配方</t>
  </si>
  <si>
    <t>2,110066</t>
  </si>
  <si>
    <t>记载了暗器类武器的精制技艺，学习后可以锻造【楚人赋·精】。此装备需有登峰造极之武境方可运使自如。</t>
  </si>
  <si>
    <t>习得楚人赋·精锻造配方</t>
  </si>
  <si>
    <t>踏雪·精锻造配方</t>
  </si>
  <si>
    <t>2,110067</t>
  </si>
  <si>
    <t>记载了靴头类武器的精制技艺，学习后可以锻造【踏雪·精】。此装备需有登峰造极之武境方可运使自如。</t>
  </si>
  <si>
    <t>习得踏雪·精锻造配方</t>
  </si>
  <si>
    <t>游子·精锻造配方</t>
  </si>
  <si>
    <t>2,110068</t>
  </si>
  <si>
    <t>记载了靴头类武器的精制技艺，学习后可以锻造【游子·精】。此装备需有登峰造极之武境方可运使自如。</t>
  </si>
  <si>
    <t>习得游子·精锻造配方</t>
  </si>
  <si>
    <t>捭阖·精锻造配方</t>
  </si>
  <si>
    <t>2,110069</t>
  </si>
  <si>
    <t>记载了靴头类武器的精制技艺，学习后可以锻造【捭阖·精】。此装备需有登峰造极之武境方可运使自如。</t>
  </si>
  <si>
    <t>习得捭阖·精锻造配方</t>
  </si>
  <si>
    <t>绿竹·精锻造配方</t>
  </si>
  <si>
    <t>2,110070</t>
  </si>
  <si>
    <t>记载了双手轻刃类武器的精制技艺，学习后可以锻造【绿竹·精】。此装备需有登峰造极之武境方可运使自如。</t>
  </si>
  <si>
    <t>习得绿竹·精锻造配方</t>
  </si>
  <si>
    <t>鬼十刃·精锻造配方</t>
  </si>
  <si>
    <t>2,110071</t>
  </si>
  <si>
    <t>记载了双手轻刃类武器的精制技艺，学习后可以锻造【鬼十刃·精】。此装备需有登峰造极之武境方可运使自如。</t>
  </si>
  <si>
    <t>习得鬼十刃·精锻造配方</t>
  </si>
  <si>
    <t>至心·精锻造配方</t>
  </si>
  <si>
    <t>2,110072</t>
  </si>
  <si>
    <t>记载了双手轻刃类武器的精制技艺，学习后可以锻造【至心·精】。此装备需有登峰造极之武境方可运使自如。</t>
  </si>
  <si>
    <t>习得至心·精锻造配方</t>
  </si>
  <si>
    <t>饮风·精锻造配方</t>
  </si>
  <si>
    <t>2,110073</t>
  </si>
  <si>
    <t>记载了绳镖类武器的精制技艺，学习后可以锻造【饮风·精】。此装备需有登峰造极之武境方可运使自如。</t>
  </si>
  <si>
    <t>习得饮风·精锻造配方</t>
  </si>
  <si>
    <t>幽音·精锻造配方</t>
  </si>
  <si>
    <t>2,110074</t>
  </si>
  <si>
    <t>记载了绳镖类武器的精制技艺，学习后可以锻造【幽音·精】。此装备需有登峰造极之武境方可运使自如。</t>
  </si>
  <si>
    <t>习得幽音·精锻造配方</t>
  </si>
  <si>
    <t>碎幻·精锻造配方</t>
  </si>
  <si>
    <t>2,110075</t>
  </si>
  <si>
    <t>记载了绳镖类武器的精制技艺，学习后可以锻造【碎幻·精】。此装备需有登峰造极之武境方可运使自如。</t>
  </si>
  <si>
    <t>习得碎幻·精锻造配方</t>
  </si>
  <si>
    <t>墨枢·精锻造配方</t>
  </si>
  <si>
    <t>2,110076</t>
  </si>
  <si>
    <t>记载了弓箭类武器的精制技艺，学习后可以制造【墨枢·精】。此装备需有登峰造极之武境方可运使自如。</t>
  </si>
  <si>
    <t>习得墨枢·精锻造配方</t>
  </si>
  <si>
    <t>寒弦逐月·精锻造配方</t>
  </si>
  <si>
    <t>2,110077</t>
  </si>
  <si>
    <t>记载了弓箭类武器的精制技艺，学习后可以制造【寒弦逐月·精】。此装备需有登峰造极之武境方可运使自如。</t>
  </si>
  <si>
    <t>习得寒弦逐月·精锻造配方</t>
  </si>
  <si>
    <t>青冥羽·精锻造配方</t>
  </si>
  <si>
    <t>2,110078</t>
  </si>
  <si>
    <t>记载了弓箭类武器的精制技艺，学习后可以制造【青冥羽·精】。此装备需有登峰造极之武境方可运使自如。</t>
  </si>
  <si>
    <t>习得青冥羽·精锻造配方</t>
  </si>
  <si>
    <t>相思缠·精锻造配方</t>
  </si>
  <si>
    <t>2,110079</t>
  </si>
  <si>
    <t>记载了软鞭类武器的精制技艺，学习后可以制造【相思缠·精】。此装备需有登峰造极之武境方可运使自如。</t>
  </si>
  <si>
    <t>习得相思缠·精锻造配方</t>
  </si>
  <si>
    <t>沧漫·精锻造配方</t>
  </si>
  <si>
    <t>2,110080</t>
  </si>
  <si>
    <t>记载了软鞭类武器的精制技艺，学习后可以制造【沧漫·精】。此装备需有登峰造极之武境方可运使自如。</t>
  </si>
  <si>
    <t>习得沧漫·精锻造配方</t>
  </si>
  <si>
    <t>龙蛇·精锻造配方</t>
  </si>
  <si>
    <t>2,110081</t>
  </si>
  <si>
    <t>记载了软鞭类武器的精制技艺，学习后可以制造【龙蛇·精】。此装备需有登峰造极之武境方可运使自如。</t>
  </si>
  <si>
    <t>习得龙蛇·精锻造配方</t>
  </si>
  <si>
    <t>擘鲤·精锻造配方</t>
  </si>
  <si>
    <t>2,110082</t>
  </si>
  <si>
    <t>记载了短兵类武器的精制技艺，学习后可以锻造【擘鲤·精】。此装备需有登峰造极之武境方可运使自如。</t>
  </si>
  <si>
    <t>习得擘鲤·精锻造配方</t>
  </si>
  <si>
    <t>环月吟·精锻造配方</t>
  </si>
  <si>
    <t>2,110083</t>
  </si>
  <si>
    <t>记载了短兵类武器的精制技艺，学习后可以锻造【环月吟·精】。此装备需有登峰造极之武境方可运使自如。</t>
  </si>
  <si>
    <t>习得环月吟·精锻造配方</t>
  </si>
  <si>
    <t>双影依身·精锻造配方</t>
  </si>
  <si>
    <t>2,110084</t>
  </si>
  <si>
    <t>记载了短兵类武器的精制技艺，学习后可以锻造【双影依身·精】。此装备需有登峰造极之武境方可运使自如。</t>
  </si>
  <si>
    <t>习得双影依身·精锻造配方</t>
  </si>
  <si>
    <t>羽罗披·精锻造配方</t>
  </si>
  <si>
    <t>2,110085</t>
  </si>
  <si>
    <t>记载了护甲类装备的精制技艺，学习后可以缝制【羽罗披·精】。此装备需有登峰造极之武境方可穿戴。</t>
  </si>
  <si>
    <t>习得羽罗披·精锻造配方</t>
  </si>
  <si>
    <t>露华·精锻造配方</t>
  </si>
  <si>
    <t>2,110086</t>
  </si>
  <si>
    <t>记载了护甲类装备的精制技艺，学习后可以缝制【露华·精】。此装备需有登峰造极之武境方可穿戴。</t>
  </si>
  <si>
    <t>习得露华·精锻造配方</t>
  </si>
  <si>
    <t>天衢·精锻造配方</t>
  </si>
  <si>
    <t>2,110087</t>
  </si>
  <si>
    <t>记载了护甲类装备的精制技艺，学习后可以缝制【天衢·精】。此装备需有登峰造极之武境方可穿戴。</t>
  </si>
  <si>
    <t>习得天衢·精锻造配方</t>
  </si>
  <si>
    <t>刑天臂·精锻造配方</t>
  </si>
  <si>
    <t>2,110088</t>
  </si>
  <si>
    <t>记载了护臂类装备的精制技艺，学习后可以锻造【刑天臂·精】。此装备需有登峰造极之武境方可穿戴。</t>
  </si>
  <si>
    <t>习得刑天臂·精锻造配方</t>
  </si>
  <si>
    <t>敛骨·精锻造配方</t>
  </si>
  <si>
    <t>2,110089</t>
  </si>
  <si>
    <t>记载了护臂类装备的精制技艺，学习后可以锻造【敛骨·精】。此装备需有登峰造极之武境方可穿戴。</t>
  </si>
  <si>
    <t>习得敛骨·精锻造配方</t>
  </si>
  <si>
    <t>归一·精锻造配方</t>
  </si>
  <si>
    <t>2,110090</t>
  </si>
  <si>
    <t>记载了护臂类装备的精制技艺，学习后可以锻造【归一·精】。此装备需有登峰造极之武境方可穿戴。</t>
  </si>
  <si>
    <t>习得归一·精锻造配方</t>
  </si>
  <si>
    <t>飞琼·精锻造配方</t>
  </si>
  <si>
    <t>2,110091</t>
  </si>
  <si>
    <t>记载了护腿类装备的精制技艺，学习后可以锻造【飞琼·精】。此装备需有登峰造极之武境方可穿戴。</t>
  </si>
  <si>
    <t>习得飞琼·精锻造配方</t>
  </si>
  <si>
    <t>玉城·精锻造配方</t>
  </si>
  <si>
    <t>2,110092</t>
  </si>
  <si>
    <t>记载了护腿类装备的精制技艺，学习后可以锻造【玉城·精】。此装备需有登峰造极之武境方可穿戴。</t>
  </si>
  <si>
    <t>习得玉城·精锻造配方</t>
  </si>
  <si>
    <t>孤鹜·精锻造配方</t>
  </si>
  <si>
    <t>2,110093</t>
  </si>
  <si>
    <t>记载了护腿类装备的精制技艺，学习后可以锻造【孤鹜·精】。此装备需有登峰造极之武境方可穿戴。</t>
  </si>
  <si>
    <t>习得孤鹜·精锻造配方</t>
  </si>
  <si>
    <t>浩然意·精锻造配方</t>
  </si>
  <si>
    <t>2,110094</t>
  </si>
  <si>
    <t>记载了护腰类装备的精制技艺，学习后可以缝制【浩然意·精】。此装备需有登峰造极之武境方可穿戴。</t>
  </si>
  <si>
    <t>习得浩然意·精锻造配方</t>
  </si>
  <si>
    <t>逢龙·精锻造配方</t>
  </si>
  <si>
    <t>2,110095</t>
  </si>
  <si>
    <t>记载了护腰类装备的精制技艺，学习后可以缝制【逢龙·精】。此装备需有登峰造极之武境方可穿戴。</t>
  </si>
  <si>
    <t>习得逢龙·精锻造配方</t>
  </si>
  <si>
    <t>缚海·精锻造配方</t>
  </si>
  <si>
    <t>2,110096</t>
  </si>
  <si>
    <t>记载了护腰类装备的精制技艺，学习后可以缝制【缚海·精】。此装备需有登峰造极之武境方可穿戴。</t>
  </si>
  <si>
    <t>习得缚海·精锻造配方</t>
  </si>
  <si>
    <t>还复膏药方</t>
  </si>
  <si>
    <t>3,120001</t>
  </si>
  <si>
    <t>记载了某种药材的配制单方，阅读后可习得还复膏的制药方法。</t>
  </si>
  <si>
    <t>习得还复膏配方</t>
  </si>
  <si>
    <t>理气丸药方</t>
  </si>
  <si>
    <t>3,120002</t>
  </si>
  <si>
    <t>记载了某种药材的配制单方，阅读后可习得理气丸的制药方法。</t>
  </si>
  <si>
    <t>习得理气丸配方</t>
  </si>
  <si>
    <t>白霞散药方</t>
  </si>
  <si>
    <t>3,120003</t>
  </si>
  <si>
    <t>记载了某种药材的配制单方，阅读后可习得白霞散的制药方法。</t>
  </si>
  <si>
    <t>习得白霞散配方</t>
  </si>
  <si>
    <t>玉髓膏药方</t>
  </si>
  <si>
    <t>3,120004</t>
  </si>
  <si>
    <t>记载了某种药材的配制单方，阅读后可习得玉髓膏的制药方法。</t>
  </si>
  <si>
    <t>习得玉髓膏配方</t>
  </si>
  <si>
    <t>止血草药方</t>
  </si>
  <si>
    <t>3,120005</t>
  </si>
  <si>
    <t>记载了某种药材的配制单方，阅读后可习得止血草的制药方法。</t>
  </si>
  <si>
    <t>习得止血草配方</t>
  </si>
  <si>
    <t>金创散药方</t>
  </si>
  <si>
    <t>3,120006</t>
  </si>
  <si>
    <t>记载了某种药材的配制单方，阅读后可习得金创散的制药方法。</t>
  </si>
  <si>
    <t>习得金创散配方</t>
  </si>
  <si>
    <t>净血丸药方</t>
  </si>
  <si>
    <t>3,120007</t>
  </si>
  <si>
    <t>记载了某种药材的配制单方，阅读后可习得净血丸的制药方法。</t>
  </si>
  <si>
    <t>习得净血丸配方</t>
  </si>
  <si>
    <t>雪蟾膏药方</t>
  </si>
  <si>
    <t>3,120008</t>
  </si>
  <si>
    <t>记载了某种药材的配制单方，阅读后可习得雪蟾膏的制药方法。</t>
  </si>
  <si>
    <t>习得雪蟾膏配方</t>
  </si>
  <si>
    <t>蕴灵散药方</t>
  </si>
  <si>
    <t>3,120009</t>
  </si>
  <si>
    <t>记载了某种药材的配制单方，阅读后可习得蕴灵散的制药方法。</t>
  </si>
  <si>
    <t>习得蕴灵散配方</t>
  </si>
  <si>
    <t>归元散药方</t>
  </si>
  <si>
    <t>3,120010</t>
  </si>
  <si>
    <t>葱花鱼汤烹饪配方</t>
  </si>
  <si>
    <t>1,100011</t>
  </si>
  <si>
    <t>记载了某种食肴的料理手艺，阅读研究后可习得葱花鱼汤的烹饪方法。</t>
  </si>
  <si>
    <t>习得葱花鱼汤配方</t>
  </si>
  <si>
    <t>清蒸银刀鱼烹饪配方</t>
  </si>
  <si>
    <t>1,100012</t>
  </si>
  <si>
    <t>记载了某种食肴的料理手艺，阅读研究后可习得清蒸银刀鱼的烹饪方法。</t>
  </si>
  <si>
    <t>习得清蒸银刀鱼配方</t>
  </si>
  <si>
    <t>醉仙鱼烹饪配方</t>
  </si>
  <si>
    <t>1,100013</t>
  </si>
  <si>
    <t>记载了某种食肴的料理手艺，阅读研究后可习得醉仙鱼的烹饪方法。</t>
  </si>
  <si>
    <t>习得醉仙鱼配方</t>
  </si>
  <si>
    <t>盐焗虾烹饪配方</t>
  </si>
  <si>
    <t>1,100014</t>
  </si>
  <si>
    <t>记载了某种食肴的料理手艺，阅读研究后可习得盐焗虾的烹饪方法。</t>
  </si>
  <si>
    <t>习得盐焗虾配方</t>
  </si>
  <si>
    <t>椒爆鲜虾段烹饪配方</t>
  </si>
  <si>
    <t>1,100015</t>
  </si>
  <si>
    <t>记载了某种食肴的料理手艺，阅读研究后可习得椒爆鲜虾段的烹饪方法。</t>
  </si>
  <si>
    <t>习得椒爆鲜虾段配方</t>
  </si>
  <si>
    <t>血玉虾羹烹饪配方</t>
  </si>
  <si>
    <t>1,100016</t>
  </si>
  <si>
    <t>记载了某种食肴的料理手艺，阅读研究后可习得血玉虾羹的烹饪方法。</t>
  </si>
  <si>
    <t>习得血玉虾羹配方</t>
  </si>
  <si>
    <t>蟹肉豆腐煲烹饪配方</t>
  </si>
  <si>
    <t>1,100017</t>
  </si>
  <si>
    <t>记载了某种食肴的料理手艺，阅读研究后可习得蟹肉豆腐煲的烹饪方法。</t>
  </si>
  <si>
    <t>习得蟹肉豆腐煲配方</t>
  </si>
  <si>
    <t>蟹脂蛋羹烹饪配方</t>
  </si>
  <si>
    <t>1,100018</t>
  </si>
  <si>
    <t>记载了某种食肴的料理手艺，阅读研究后可习得蟹脂蛋羹的烹饪方法。</t>
  </si>
  <si>
    <t>习得蟹脂蛋羹配方</t>
  </si>
  <si>
    <t>蓝田玉蟹酿烹饪配方</t>
  </si>
  <si>
    <t>1,100019</t>
  </si>
  <si>
    <t>记载了某种食肴的料理手艺，阅读研究后可习得蓝田玉蟹酿的烹饪方法。</t>
  </si>
  <si>
    <t>习得蓝田玉蟹酿配方</t>
  </si>
  <si>
    <t>草螺羹烹饪配方</t>
  </si>
  <si>
    <t>1,100020</t>
  </si>
  <si>
    <t>记载了某种食肴的料理手艺，阅读研究后可习得草螺羹的烹饪方法。</t>
  </si>
  <si>
    <t>习得草螺羹配方</t>
  </si>
  <si>
    <t>翡翠煨白螺烹饪配方</t>
  </si>
  <si>
    <t>1,100021</t>
  </si>
  <si>
    <t>记载了某种食肴的料理手艺，阅读研究后可习得翡翠煨白螺的烹饪方法。</t>
  </si>
  <si>
    <t>习得翡翠煨白螺配方</t>
  </si>
  <si>
    <t>彩云螺肉烧烹饪配方</t>
  </si>
  <si>
    <t>1,100022</t>
  </si>
  <si>
    <t>记载了某种食肴的料理手艺，阅读研究后可习得彩云螺肉烧的烹饪方法。</t>
  </si>
  <si>
    <t>习得彩云螺肉烧配方</t>
  </si>
  <si>
    <t>Clear Broth Noodles Recipe</t>
  </si>
  <si>
    <t>Records culinary techniques for a certain dish. Studying allows learning the Clear Broth Noodles recipe.</t>
  </si>
  <si>
    <t>Learned Clear Broth Noodles Recipe</t>
  </si>
  <si>
    <t>Steamed Buns Recipe</t>
  </si>
  <si>
    <t>Records culinary techniques for a certain dish. Studying allows learning the Steamed Buns recipe.</t>
  </si>
  <si>
    <t>Learned Steamed Buns Recipe</t>
  </si>
  <si>
    <t>Salted Eggs Recipe</t>
  </si>
  <si>
    <t>Records culinary techniques for a certain dish. Studying allows learning the Salted Eggs preparation method.</t>
  </si>
  <si>
    <t>Learned Salted Eggs Recipe</t>
  </si>
  <si>
    <t>Sorghum Red Wine Recipe</t>
  </si>
  <si>
    <t>Records brewing techniques for a certain fine liquor. Studying allows learning the Sorghum Red Wine brewing method.</t>
  </si>
  <si>
    <t>Learned Sorghum Red Wine Recipe</t>
  </si>
  <si>
    <t>Hardwood Blade (Refined) Blueprint</t>
  </si>
  <si>
    <t>Records refined crafting techniques for single-handed light blades. Allows forging [Hardwood Blade路Refined]. Requires Novice martial realm to wield effectively.</t>
  </si>
  <si>
    <t>Learned Hardwood Blade (Refined) Forging Blueprint</t>
  </si>
  <si>
    <t>Old Paper Fan (Refined) Blueprint</t>
  </si>
  <si>
    <t>Records refined crafting techniques for fan weapons. Allows forging [Old Paper Fan路Refined]. Requires Novice martial realm to wield effectively.</t>
  </si>
  <si>
    <t>Learned Old Paper Fan (Refined) Forging Blueprint</t>
  </si>
  <si>
    <t>Cattail Chain (Refined) Blueprint</t>
  </si>
  <si>
    <t>Records refined crafting techniques for necklaces. Allows crafting [Cattail Chain路Refined]. Requires Apprentice martial realm to equip.</t>
  </si>
  <si>
    <t>Learned Cattail Chain (Refined) Forging Blueprint</t>
  </si>
  <si>
    <t>Landscape Painting Fan (Refined) Blueprint</t>
  </si>
  <si>
    <t>Records refined crafting techniques for fan weapons. Allows forging [Landscape Painting Fan路Refined]. Requires Apprentice martial realm to wield effectively.</t>
  </si>
  <si>
    <t>Learned Landscape Painting Fan (Refined) Forging Blueprint</t>
  </si>
  <si>
    <t>Plain Sword (Refined) Blueprint</t>
  </si>
  <si>
    <t>Records refined crafting techniques for single-handed light blades. Allows forging [Plain Sword路Refined]. Requires Apprentice martial realm to wield effectively.</t>
  </si>
  <si>
    <t>Learned Plain Sword (Refined) Forging Blueprint</t>
  </si>
  <si>
    <t>Rusty Iron Handwraps (Refined) Blueprint</t>
  </si>
  <si>
    <t>Records refined crafting techniques for palm weapons. Allows forging [Rusty Iron Handwraps路Refined]. Requires Apprentice martial realm to wield effectively.</t>
  </si>
  <si>
    <t>Learned Rusty Iron Handwraps (Refined) Forging Blueprint</t>
  </si>
  <si>
    <t>Rusty Red Tassel (Refined) Blueprint</t>
  </si>
  <si>
    <t>Records refined crafting techniques for long weapons. Allows forging [Rusty Red Tassel路Refined]. Requires Adept martial realm to wield effectively.</t>
  </si>
  <si>
    <t>Learned Rusty Red Tassel (Refined) Forging Blueprint</t>
  </si>
  <si>
    <t>Watchman's Staff (Refined) Blueprint</t>
  </si>
  <si>
    <t>Records refined crafting techniques for long weapons. Allows forging [Watchman's Staff路Refined]. Requires Novice martial realm to wield effectively.</t>
  </si>
  <si>
    <t>Learned Watchman's Staff (Refined) Forging Blueprint</t>
  </si>
  <si>
    <t>Cotton Robe (Refined) Blueprint</t>
  </si>
  <si>
    <t>Records refined crafting techniques for armor. Allows sewing [Cotton Robe路Refined]. Requires Apprentice martial realm to equip.</t>
  </si>
  <si>
    <t>Learned Cotton Robe (Refined) Forging Blueprint</t>
  </si>
  <si>
    <t>Rough Iron Greaves (Refined) Blueprint</t>
  </si>
  <si>
    <t>Records refined crafting techniques for leg guards. Allows forging [Rough Iron Greaves路Refined]. Requires Adept martial realm to equip.</t>
  </si>
  <si>
    <t>Learned Rough Iron Greaves (Refined) Forging Blueprint</t>
  </si>
  <si>
    <t>Mo Family Repeating Crossbow Diagram I</t>
  </si>
  <si>
    <t>The firearm crafting methods recorded here demonstrate extraordinary ingenuity and meticulous detail, inspiring awe...</t>
  </si>
  <si>
    <t>Learned Mo Family Repeating Crossbow Forging Blueprint</t>
  </si>
  <si>
    <t>Mo Family Repeating Crossbow Diagram II</t>
  </si>
  <si>
    <t>Mo Family Repeating Crossbow Diagram III</t>
  </si>
  <si>
    <t>Mo Family Repeating Crossbow Diagram IV</t>
  </si>
  <si>
    <t>Mysterious Diagram</t>
  </si>
  <si>
    <t>Learned Master Craftsman Forging Blueprint</t>
  </si>
  <si>
    <t>Nine Provinces Limitless (Refined) Blueprint</t>
  </si>
  <si>
    <t>Records refined crafting techniques for palm weapons. Allows forging [Nine Provinces Limitless路Refined]. Requires Master martial realm to wield effectively.</t>
  </si>
  <si>
    <t>Learned Nine Provinces Limitless (Refined) Forging Blueprint</t>
  </si>
  <si>
    <t>Small Jade Cutter (Refined) Blueprint</t>
  </si>
  <si>
    <t>Records refined crafting techniques for single-handed light blades. Allows forging [Small Jade Cutter路Refined]. Requires Master martial realm to wield effectively.</t>
  </si>
  <si>
    <t>Learned Small Jade Cutter (Refined) Forging Blueprint</t>
  </si>
  <si>
    <t>Red Paper Colorless (Refined) Blueprint</t>
  </si>
  <si>
    <t>Records refined crafting techniques for long weapons. Allows forging [Red Paper Colorless路Refined]. Requires Master martial realm to wield effectively.</t>
  </si>
  <si>
    <t>Learned Red Paper Colorless (Refined) Forging Blueprint</t>
  </si>
  <si>
    <t>Asura (Refined) Blueprint</t>
  </si>
  <si>
    <t>Records refined crafting techniques for long weapons. Allows forging [Asura路Refined]. Requires Master martial realm to wield effectively.</t>
  </si>
  <si>
    <t>Learned Asura (Refined) Forging Blueprint</t>
  </si>
  <si>
    <t>Northward Wolfchaser (Refined) Blueprint</t>
  </si>
  <si>
    <t>Records refined crafting techniques for bow weapons. Allows forging [Northward Wolfchaser路Refined]. Requires Master martial realm to wield effectively.</t>
  </si>
  <si>
    <t>Learned Northward Wolfchaser (Refined) Forging Blueprint</t>
  </si>
  <si>
    <t>Qinggang (Refined) Blueprint</t>
  </si>
  <si>
    <t>Records refined crafting techniques for short weapons. Allows forging [Qinggang路Refined]. Requires Master martial realm to wield effectively.</t>
  </si>
  <si>
    <t>Learned Qinggang (Refined) Forging Blueprint</t>
  </si>
  <si>
    <t>Mist Silk Brocade (Refined) Blueprint</t>
  </si>
  <si>
    <t>Records refined crafting techniques for armor. Allows sewing [Mist Silk Brocade路Refined]. Requires Master martial realm to equip.</t>
  </si>
  <si>
    <t>Learned Mist Silk Brocade (Refined) Forging Blueprint</t>
  </si>
  <si>
    <t>Eight Directions Mortal World (Refined) Blueprint</t>
  </si>
  <si>
    <t>Records refined crafting techniques for waist guards. Allows sewing [Eight Directions Mortal World路Refined]. Requires Master martial realm to equip.</t>
  </si>
  <si>
    <t>Learned Eight Directions Mortal World (Refined) Forging Blueprint</t>
  </si>
  <si>
    <t>Thousand-Mile Misty Waves (Refined) Blueprint</t>
  </si>
  <si>
    <t>Records refined crafting techniques for leg guards. Allows forging [Thousand-Mile Misty Waves路Refined]. Requires Master martial realm to equip.</t>
  </si>
  <si>
    <t>Learned Thousand-Mile Misty Waves (Refined) Forging Blueprint</t>
  </si>
  <si>
    <t>Guardian of Western Pass (Refined) Blueprint</t>
  </si>
  <si>
    <t>Records refined crafting techniques for arm guards. Allows forging [Guardian of Western Pass路Refined]. Requires Master martial realm to equip.</t>
  </si>
  <si>
    <t>Learned Guardian of Western Pass (Refined) Forging Blueprint</t>
  </si>
  <si>
    <t>Evil-Slayer (Refined) Blueprint</t>
  </si>
  <si>
    <t>Records refined crafting techniques for single-handed light blades. Allows forging [Evil-Slayer路Refined]. Requires Master martial realm to wield effectively.</t>
  </si>
  <si>
    <t>Learned Evil-Slayer (Refined) Forging Blueprint</t>
  </si>
  <si>
    <t>Ancient Ingot (Refined) Blueprint</t>
  </si>
  <si>
    <t>Records refined crafting techniques for heavy blades. Allows forging [Ancient Ingot路Refined]. Requires Master martial realm to wield effectively.</t>
  </si>
  <si>
    <t>Learned Ancient Ingot (Refined) Forging Blueprint</t>
  </si>
  <si>
    <t>Autumn Wind Mourns the Painting (Refined) Blueprint</t>
  </si>
  <si>
    <t>Records refined crafting techniques for fan weapons. Allows forging [Autumn Wind Mourns the Painting路Refined]. Requires Master martial realm to wield effectively.</t>
  </si>
  <si>
    <t>Learned Autumn Wind Mourns the Painting (Refined) Forging Blueprint</t>
  </si>
  <si>
    <t>Frost Moon (Refined) Blueprint</t>
  </si>
  <si>
    <t>Records refined crafting techniques for hidden weapons. Allows forging [Frost Moon路Refined]. Requires Master martial realm to wield effectively.</t>
  </si>
  <si>
    <t>Learned Frost Moon (Refined) Forging Blueprint</t>
  </si>
  <si>
    <t>Five Peaks Three Mountains (Refined) Blueprint</t>
  </si>
  <si>
    <t>Records refined crafting techniques for boot weapons. Allows forging [Five Peaks Three Mountains路Refined]. Requires Master martial realm to wield effectively.</t>
  </si>
  <si>
    <t>Learned Five Peaks Three Mountains (Refined) Forging Blueprint</t>
  </si>
  <si>
    <t>Maru-Tachi Falcon's Front Dragonlight (Refined) Blueprint</t>
  </si>
  <si>
    <t>Records refined crafting techniques for dual-wield light blades. Allows forging [Maru-Tachi Falcon's Front Dragonlight路Refined]. Requires Master martial realm to wield effectively.</t>
  </si>
  <si>
    <t>Learned Maru-Tachi Falcon's Front Dragonlight (Refined) Forging Blueprint</t>
  </si>
  <si>
    <t>Jade Dew (Refined) Blueprint</t>
  </si>
  <si>
    <t>Records refined crafting techniques for rope darts. Allows forging [Jade Dew路Refined]. Requires Master martial realm to wield effectively.</t>
  </si>
  <si>
    <t>Learned Jade Dew (Refined) Forging Blueprint</t>
  </si>
  <si>
    <t>Cast Iron Blunderbuss (Refined) Blueprint</t>
  </si>
  <si>
    <t>Records refined crafting techniques for firearms. Allows forging [Cast Iron Blunderbuss路Refined]. Requires Novice martial realm to wield effectively.</t>
  </si>
  <si>
    <t>Learned Cast Iron Blunderbuss (Refined) Forging Blueprint</t>
  </si>
  <si>
    <t>Iron Flame (Refined) Blueprint</t>
  </si>
  <si>
    <t>Records refined crafting techniques for firearms. Allows forging [Iron Flame路Refined]. Requires Apprentice martial realm to wield effectively.</t>
  </si>
  <si>
    <t>Learned Iron Flame (Refined) Forging Blueprint</t>
  </si>
  <si>
    <t>Thunderbird Blunderbuss (Refined) Blueprint</t>
  </si>
  <si>
    <t>Records refined crafting techniques for firearms. Allows forging [Thunderbird Blunderbuss路Refined]. Requires Adept martial realm to wield effectively.</t>
  </si>
  <si>
    <t>Learned Thunderbird Blunderbuss (Refined) Forging Blueprint</t>
  </si>
  <si>
    <t>Blue Flame (Refined) Blueprint</t>
  </si>
  <si>
    <t>Records refined crafting techniques for firearms. Allows forging [Blue Flame路Refined]. Requires Expert martial realm to wield effectively.</t>
  </si>
  <si>
    <t>Learned Blue Flame (Refined) Forging Blueprint</t>
  </si>
  <si>
    <t>Flint Flame (Refined) Blueprint</t>
  </si>
  <si>
    <t>Records refined crafting techniques for firearms. Allows forging [Flint Flame路Refined]. Requires Advanced martial realm to wield effectively.</t>
  </si>
  <si>
    <t>Learned Flint Flame (Refined) Forging Blueprint</t>
  </si>
  <si>
    <t>Lightning Blunderbuss (Refined) Blueprint</t>
  </si>
  <si>
    <t>Records refined crafting techniques for firearms. Allows forging [Lightning Blunderbuss路Refined]. Requires Proficient martial realm to wield effectively.</t>
  </si>
  <si>
    <t>Learned Lightning Blunderbuss (Refined) Forging Blueprint</t>
  </si>
  <si>
    <t>Frankish Machine (Refined) Blueprint</t>
  </si>
  <si>
    <t>Records refined crafting techniques for firearms. Allows forging [Frankish Machine路Refined]. Requires Master martial realm to wield effectively.</t>
  </si>
  <si>
    <t>Learned Frankish Machine (Refined) Forging Blueprint</t>
  </si>
  <si>
    <t>Mechanized Blunderbuss (Refined) Blueprint</t>
  </si>
  <si>
    <t>Records refined crafting techniques for firearms. Allows forging [Mechanized Blunderbuss路Refined]. Requires Grandmaster martial realm to wield effectively.</t>
  </si>
  <si>
    <t>Learned Mechanized Blunderbuss (Refined) Forging Blueprint</t>
  </si>
  <si>
    <t>Mo Family Thousand-Mechanism Box (Refined) Blueprint</t>
  </si>
  <si>
    <t>Records refined crafting techniques for firearms. Allows forging [Mo Family Thousand-Mechanism Box路Refined]. Requires Grandmaster martial realm to wield effectively.</t>
  </si>
  <si>
    <t>Learned Mo Family Thousand-Mechanism Box (Refined) Forging Blueprint</t>
  </si>
  <si>
    <t>Mo Family Prototype (Refined) Blueprint</t>
  </si>
  <si>
    <t>Records refined crafting techniques for firearms. Allows forging [Mo Family Prototype路Refined]. Requires Grandmaster martial realm to wield effectively.</t>
  </si>
  <si>
    <t>Learned Mo Family Prototype (Refined) Forging Blueprint</t>
  </si>
  <si>
    <t>Beggar's Chicken Recipe</t>
  </si>
  <si>
    <t>Records culinary techniques for a certain dish. Studying allows learning the Beggar's Chicken recipe.</t>
  </si>
  <si>
    <t>Learned Beggar's Chicken Recipe</t>
  </si>
  <si>
    <t>Dongpo Pork Recipe</t>
  </si>
  <si>
    <t>Records culinary techniques for a certain dish. Studying allows learning the Dongpo Pork recipe.</t>
  </si>
  <si>
    <t>Learned Dongpo Pork Recipe</t>
  </si>
  <si>
    <t>Peach Blossom Wine Recipe</t>
  </si>
  <si>
    <t>Records brewing techniques for a certain fine liquor. Studying allows learning the Peach Blossom Wine brewing method.</t>
  </si>
  <si>
    <t>Learned Peach Blossom Wine Recipe</t>
  </si>
  <si>
    <t>Honey Glazed Duck Recipe</t>
  </si>
  <si>
    <t>Records culinary techniques for a certain dish. Studying allows learning the Honey Glazed Duck recipe.</t>
  </si>
  <si>
    <t>Learned Honey Glazed Duck Recipe</t>
  </si>
  <si>
    <t>Egg Fried Rice Recipe</t>
  </si>
  <si>
    <t>Records culinary techniques for a certain dish. Studying allows learning the Egg Fried Rice recipe.</t>
  </si>
  <si>
    <t>Learned Egg Fried Rice Recipe</t>
  </si>
  <si>
    <t>West Lake Vinegar Fish Recipe</t>
  </si>
  <si>
    <t>Records culinary techniques for a certain dish. Studying allows learning the West Lake Vinegar Fish recipe.</t>
  </si>
  <si>
    <t>Learned West Lake Vinegar Fish Recipe</t>
  </si>
  <si>
    <t>Moon Over Mountain Pass (Refined) Blueprint</t>
  </si>
  <si>
    <t>Records refined crafting techniques for palm weapons. Allows forging [Moon Over Mountain Pass路Refined]. Requires Grandmaster martial realm to wield effectively.</t>
  </si>
  <si>
    <t>Learned Moon Over Mountain Pass (Refined) Forging Blueprint</t>
  </si>
  <si>
    <t>Palm Holds Heaven and Earth (Refined) Blueprint</t>
  </si>
  <si>
    <t>Records refined crafting techniques for palm weapons. Allows forging [Palm Holds Heaven and Earth路Refined]. Requires Grandmaster martial realm to wield effectively.</t>
  </si>
  <si>
    <t>Learned Palm Holds Heaven and Earth (Refined) Forging Blueprint</t>
  </si>
  <si>
    <t>Void Mystery (Refined) Blueprint</t>
  </si>
  <si>
    <t>Records refined crafting techniques for palm weapons. Allows forging [Void Mystery路Refined]. Requires Grandmaster martial realm to wield effectively.</t>
  </si>
  <si>
    <t>Learned Void Mystery (Refined) Forging Blueprint</t>
  </si>
  <si>
    <t>Azure Glass (Refined) Blueprint</t>
  </si>
  <si>
    <t>Records refined crafting techniques for single-handed light blades. Allows forging [Azure Glass路Refined]. Requires Grandmaster martial realm to wield effectively.</t>
  </si>
  <si>
    <t>Learned Azure Glass (Refined) Forging Blueprint</t>
  </si>
  <si>
    <t>Leaping Abyss (Refined) Blueprint</t>
  </si>
  <si>
    <t>Records refined crafting techniques for single-handed light blades. Allows forging [Leaping Abyss路Refined]. Requires Grandmaster martial realm to wield effectively.</t>
  </si>
  <si>
    <t>Learned Leaping Abyss (Refined) Forging Blueprint</t>
  </si>
  <si>
    <t>Dust Light (Refined) Blueprint</t>
  </si>
  <si>
    <t>Records refined crafting techniques for single-handed light blades. Allows forging [Dust Light路Refined]. Requires Grandmaster martial realm to wield effectively.</t>
  </si>
  <si>
    <t>Learned Dust Light (Refined) Forging Blueprint</t>
  </si>
  <si>
    <t>Return to Unity (Refined) Blueprint</t>
  </si>
  <si>
    <t>Records refined crafting techniques for single-handed light blades. Allows forging [Return to Unity路Refined]. Requires Grandmaster martial realm to wield effectively.</t>
  </si>
  <si>
    <t>Learned Return to Unity (Refined) Forging Blueprint</t>
  </si>
  <si>
    <t>Cut the Unjust (Refined) Blueprint</t>
  </si>
  <si>
    <t>Records refined crafting techniques for single-handed light blades. Allows forging [Cut the Unjust路Refined]. Requires Grandmaster martial realm to wield effectively.</t>
  </si>
  <si>
    <t>Learned Cut the Unjust (Refined) Forging Blueprint</t>
  </si>
  <si>
    <t>Fearless (Refined) Blueprint</t>
  </si>
  <si>
    <t>Records refined crafting techniques for single-handed light blades. Allows forging [Fearless路Refined]. Requires Grandmaster martial realm to wield effectively.</t>
  </si>
  <si>
    <t>Learned Fearless (Refined) Forging Blueprint</t>
  </si>
  <si>
    <t>Thousand-Stone Forest Sinker (Refined) Blueprint</t>
  </si>
  <si>
    <t>Records refined crafting techniques for heavy blades. Allows forging [Thousand-Stone Forest Sinker路Refined]. Requires Grandmaster martial realm to wield effectively.</t>
  </si>
  <si>
    <t>Learned Thousand-Stone Forest Sinker (Refined) Forging Blueprint</t>
  </si>
  <si>
    <t>Willow Catkin (Refined) Blueprint</t>
  </si>
  <si>
    <t>Records refined crafting techniques for heavy blades. Allows forging [Willow Catkin路Refined]. Requires Grandmaster martial realm to wield effectively.</t>
  </si>
  <si>
    <t>Learned Willow Catkin (Refined) Forging Blueprint</t>
  </si>
  <si>
    <t>Sage Without a Name (Refined) Blueprint</t>
  </si>
  <si>
    <t>Records refined crafting techniques for heavy blades. Allows forging [Sage Without a Name路Refined]. Requires Grandmaster martial realm to wield effectively.</t>
  </si>
  <si>
    <t>Learned Sage Without a Name (Refined) Forging Blueprint</t>
  </si>
  <si>
    <t>Frost Arrogance (Refined) Blueprint</t>
  </si>
  <si>
    <t>Records refined crafting techniques for long weapons. Allows forging [Frost Arrogance路Refined]. Requires Grandmaster martial realm to wield effectively.</t>
  </si>
  <si>
    <t>Learned Frost Arrogance (Refined) Forging Blueprint</t>
  </si>
  <si>
    <t>Heaven's Mandate (Refined) Blueprint</t>
  </si>
  <si>
    <t>Records refined crafting techniques for long weapons. Allows forging [Heaven's Mandate路Refined]. Requires Grandmaster martial realm to wield effectively.</t>
  </si>
  <si>
    <t>Learned Heaven's Mandate (Refined) Forging Blueprint</t>
  </si>
  <si>
    <t>Lost in Enlightenment (Refined) Blueprint</t>
  </si>
  <si>
    <t>Records refined crafting techniques for long weapons. Allows forging [Lost in Enlightenment路Refined]. Requires Grandmaster martial realm to wield effectively.</t>
  </si>
  <si>
    <t>Learned Lost in Enlightenment (Refined) Forging Blueprint</t>
  </si>
  <si>
    <t>Rule the Land (Refined) Blueprint</t>
  </si>
  <si>
    <t>Records refined crafting techniques for long weapons. Allows forging [Rule the Land路Refined]. Requires Grandmaster martial realm to wield effectively.</t>
  </si>
  <si>
    <t>Learned Rule the Land (Refined) Forging Blueprint</t>
  </si>
  <si>
    <t>Death in a Hundred Battles (Refined) Blueprint</t>
  </si>
  <si>
    <t>Records refined crafting techniques for long weapons. Allows forging [Death in a Hundred Battles路Refined]. Requires Grandmaster martial realm to wield effectively.</t>
  </si>
  <si>
    <t>Learned Death in a Hundred Battles (Refined) Forging Blueprint</t>
  </si>
  <si>
    <t>Suppressor (Refined) Blueprint</t>
  </si>
  <si>
    <t>Records refined crafting techniques for long weapons. Allows forging [Suppressor路Refined]. Requires Grandmaster martial realm to wield effectively.</t>
  </si>
  <si>
    <t>Learned Suppressor (Refined) Forging Blueprint</t>
  </si>
  <si>
    <t>Drink the Rest of Life (Refined) Blueprint</t>
  </si>
  <si>
    <t>Records refined crafting techniques for fan weapons. Allows forging [Drink the Rest of Life路Refined]. Requires Grandmaster martial realm to wield effectively.</t>
  </si>
  <si>
    <t>Learned Drink the Rest of Life (Refined) Forging Blueprint</t>
  </si>
  <si>
    <t>Burn Lutes to Cook Cranes (Refined) Blueprint</t>
  </si>
  <si>
    <t>Records refined crafting techniques for fan weapons. Allows forging [Burn Lutes to Cook Cranes路Refined]. Requires Grandmaster martial realm to wield effectively.</t>
  </si>
  <si>
    <t>Learned Burn Lutes to Cook Cranes (Refined) Forging Blueprint</t>
  </si>
  <si>
    <t>Unfolding Smile (Refined) Blueprint</t>
  </si>
  <si>
    <t>Records refined crafting techniques for fan weapons. Allows forging [Unfolding Smile路Refined]. Requires Grandmaster martial realm to wield effectively.</t>
  </si>
  <si>
    <t>Learned Unfolding Smile (Refined) Forging Blueprint</t>
  </si>
  <si>
    <t>Parting Sorrow (Refined) Blueprint</t>
  </si>
  <si>
    <t>Records refined crafting techniques for hidden weapons. Allows forging [Parting Sorrow路Refined]. Requires Grandmaster martial realm to wield effectively.</t>
  </si>
  <si>
    <t>Learned Parting Sorrow (Refined) Forging Blueprint</t>
  </si>
  <si>
    <t>Red Whisk (Refined) Blueprint</t>
  </si>
  <si>
    <t>Records refined crafting techniques for hidden weapons. Allows forging [Red Whisk路Refined]. Requires Grandmaster martial realm to wield effectively.</t>
  </si>
  <si>
    <t>Learned Red Whisk (Refined) Forging Blueprint</t>
  </si>
  <si>
    <t>Chu's Ode (Refined) Blueprint</t>
  </si>
  <si>
    <t>Records refined crafting techniques for hidden weapons. Allows forging [Chu's Ode路Refined]. Requires Grandmaster martial realm to wield effectively.</t>
  </si>
  <si>
    <t>Learned Chu's Ode (Refined) Forging Blueprint</t>
  </si>
  <si>
    <t>Treading Snow (Refined) Blueprint</t>
  </si>
  <si>
    <t>Records refined crafting techniques for boot weapons. Allows forging [Treading Snow路Refined]. Requires Grandmaster martial realm to wield effectively.</t>
  </si>
  <si>
    <t>Learned Treading Snow (Refined) Forging Blueprint</t>
  </si>
  <si>
    <t>Wanderer (Refined) Blueprint</t>
  </si>
  <si>
    <t>Records refined crafting techniques for boot weapons. Allows forging [Wanderer路Refined]. Requires Grandmaster martial realm to wield effectively.</t>
  </si>
  <si>
    <t>Learned Wanderer (Refined) Forging Blueprint</t>
  </si>
  <si>
    <t>Open and Close (Refined) Blueprint</t>
  </si>
  <si>
    <t>Records refined crafting techniques for boot weapons. Allows forging [Open and Close路Refined]. Requires Grandmaster martial realm to wield effectively.</t>
  </si>
  <si>
    <t>Learned Open and Close (Refined) Forging Blueprint</t>
  </si>
  <si>
    <t>Green Bamboo (Refined) Blueprint</t>
  </si>
  <si>
    <t>Records refined crafting techniques for dual-wield light blades. Allows forging [Green Bamboo路Refined]. Requires Grandmaster martial realm to wield effectively.</t>
  </si>
  <si>
    <t>Learned Green Bamboo (Refined) Forging Blueprint</t>
  </si>
  <si>
    <t>Ten Demon Blades (Refined) Blueprint</t>
  </si>
  <si>
    <t>Records refined crafting techniques for dual-wield light blades. Allows forging [Ten Demon Blades路Refined]. Requires Grandmaster martial realm to wield effectively.</t>
  </si>
  <si>
    <t>Learned Ten Demon Blades (Refined) Forging Blueprint</t>
  </si>
  <si>
    <t>Utmost Sincerity (Refined) Blueprint</t>
  </si>
  <si>
    <t>Records refined crafting techniques for dual-wield light blades. Allows forging [Utmost Sincerity路Refined]. Requires Grandmaster martial realm to wield effectively.</t>
  </si>
  <si>
    <t>Learned Utmost Sincerity (Refined) Forging Blueprint</t>
  </si>
  <si>
    <t>Drink the Wind (Refined) Blueprint</t>
  </si>
  <si>
    <t>Records refined crafting techniques for rope darts. Allows forging [Drink the Wind路Refined]. Requires Grandmaster martial realm to wield effectively.</t>
  </si>
  <si>
    <t>Learned Drink the Wind (Refined) Forging Blueprint</t>
  </si>
  <si>
    <t>Eerie Melody (Refined) Blueprint</t>
  </si>
  <si>
    <t>Records refined crafting techniques for rope darts. Allows forging [Eerie Melody路Refined]. Requires Grandmaster martial realm to wield effectively.</t>
  </si>
  <si>
    <t>Learned Eerie Melody (Refined) Forging Blueprint</t>
  </si>
  <si>
    <t>Shattered Illusion (Refined) Blueprint</t>
  </si>
  <si>
    <t>Records refined crafting techniques for rope darts. Allows forging [Shattered Illusion路Refined]. Requires Grandmaster martial realm to wield effectively.</t>
  </si>
  <si>
    <t>Learned Shattered Illusion (Refined) Forging Blueprint</t>
  </si>
  <si>
    <t>Mo's Pivot (Refined) Blueprint</t>
  </si>
  <si>
    <t>Records refined crafting techniques for bow weapons. Allows forging [Mo's Pivot路Refined]. Requires Grandmaster martial realm to wield effectively.</t>
  </si>
  <si>
    <t>Learned Mo's Pivot (Refined) Forging Blueprint</t>
  </si>
  <si>
    <t>Frost String Chases the Moon (Refined) Blueprint</t>
  </si>
  <si>
    <t>Records refined crafting techniques for bow weapons. Allows forging [Frost String Chases the Moon路Refined]. Requires Grandmaster martial realm to wield effectively.</t>
  </si>
  <si>
    <t>Learned Frost String Chases the Moon (Refined) Forging Blueprint</t>
  </si>
  <si>
    <t>Azure Feather (Refined) Blueprint</t>
  </si>
  <si>
    <t>Records refined crafting techniques for bow weapons. Allows forging [Azure Feather路Refined]. Requires Grandmaster martial realm to wield effectively.</t>
  </si>
  <si>
    <t>Learned Azure Feather (Refined) Forging Blueprint</t>
  </si>
  <si>
    <t>Love's Entanglement (Refined) Blueprint</t>
  </si>
  <si>
    <t>Records refined crafting techniques for soft whips. Allows forging [Love's Entanglement路Refined]. Requires Grandmaster martial realm to wield effectively.</t>
  </si>
  <si>
    <t>Learned Love's Entanglement (Refined) Forging Blueprint</t>
  </si>
  <si>
    <t>Vast Blue (Refined) Blueprint</t>
  </si>
  <si>
    <t>Records refined crafting techniques for soft whips. Allows forging [Vast Blue路Refined]. Requires Grandmaster martial realm to wield effectively.</t>
  </si>
  <si>
    <t>Learned Vast Blue (Refined) Forging Blueprint</t>
  </si>
  <si>
    <t>Dragon-Snake (Refined) Blueprint</t>
  </si>
  <si>
    <t>Records refined crafting techniques for soft whips. Allows forging [Dragon-Snake路Refined]. Requires Grandmaster martial realm to wield effectively.</t>
  </si>
  <si>
    <t>Learned Dragon-Snake (Refined) Forging Blueprint</t>
  </si>
  <si>
    <t>Carp-Splitter (Refined) Blueprint</t>
  </si>
  <si>
    <t>Records refined crafting techniques for short weapons. Allows forging [Carp-Splitter路Refined]. Requires Grandmaster martial realm to wield effectively.</t>
  </si>
  <si>
    <t>Learned Carp-Splitter (Refined) Forging Blueprint</t>
  </si>
  <si>
    <t>Moonloop Chant (Refined) Blueprint</t>
  </si>
  <si>
    <t>Records refined crafting techniques for short weapons. Allows forging [Moonloop Chant路Refined]. Requires Grandmaster martial realm to wield effectively.</t>
  </si>
  <si>
    <t>Learned Moonloop Chant (Refined) Forging Blueprint</t>
  </si>
  <si>
    <t>Twin Shadows Embrace (Refined) Blueprint</t>
  </si>
  <si>
    <t>Records refined crafting techniques for short weapons. Allows forging [Twin Shadows Embrace路Refined]. Requires Grandmaster martial realm to wield effectively.</t>
  </si>
  <si>
    <t>Learned Twin Shadows Embrace (Refined) Forging Blueprint</t>
  </si>
  <si>
    <t>Feather-Robe (Refined) Blueprint</t>
  </si>
  <si>
    <t>Records refined crafting techniques for armor. Allows sewing [Feather-Robe路Refined]. Requires Grandmaster martial realm to equip.</t>
  </si>
  <si>
    <t>Learned Feather-Robe (Refined) Forging Blueprint</t>
  </si>
  <si>
    <t>Dew's Radiance (Refined) Blueprint</t>
  </si>
  <si>
    <t>Records refined crafting techniques for armor. Allows sewing [Dew's Radiance路Refined]. Requires Grandmaster martial realm to equip.</t>
  </si>
  <si>
    <t>Learned Dew's Radiance (Refined) Forging Blueprint</t>
  </si>
  <si>
    <t>Celestial Path (Refined) Blueprint</t>
  </si>
  <si>
    <t>Records refined crafting techniques for armor. Allows sewing [Celestial Path路Refined]. Requires Grandmaster martial realm to equip.</t>
  </si>
  <si>
    <t>Learned Celestial Path (Refined) Forging Blueprint</t>
  </si>
  <si>
    <t>Xingtian's Arm (Refined) Blueprint</t>
  </si>
  <si>
    <t>Records refined crafting techniques for arm guards. Allows forging [Xingtian's Arm路Refined]. Requires Grandmaster martial realm to equip.</t>
  </si>
  <si>
    <t>Learned Xingtian's Arm (Refined) Forging Blueprint</t>
  </si>
  <si>
    <t>Bone-Gatherer (Refined) Blueprint</t>
  </si>
  <si>
    <t>Records refined crafting techniques for arm guards. Allows forging [Bone-Gatherer路Refined]. Requires Grandmaster martial realm to equip.</t>
  </si>
  <si>
    <t>Learned Bone-Gatherer (Refined) Forging Blueprint</t>
  </si>
  <si>
    <t>Return to One (Refined) Blueprint</t>
  </si>
  <si>
    <t>Records refined crafting techniques for arm guards. Allows forging [Return to One路Refined]. Requires Grandmaster martial realm to equip.</t>
  </si>
  <si>
    <t>Learned Return to One (Refined) Forging Blueprint</t>
  </si>
  <si>
    <t>Flying Jade (Refined) Blueprint</t>
  </si>
  <si>
    <t>Records refined crafting techniques for leg guards. Allows forging [Flying Jade路Refined]. Requires Grandmaster martial realm to equip.</t>
  </si>
  <si>
    <t>Learned Flying Jade (Refined) Forging Blueprint</t>
  </si>
  <si>
    <t>Jade City (Refined) Blueprint</t>
  </si>
  <si>
    <t>Records refined crafting techniques for leg guards. Allows forging [Jade City路Refined]. Requires Grandmaster martial realm to equip.</t>
  </si>
  <si>
    <t>Learned Jade City (Refined) Forging Blueprint</t>
  </si>
  <si>
    <t>Lone Swan (Refined) Blueprint</t>
  </si>
  <si>
    <t>Records refined crafting techniques for leg guards. Allows forging [Lone Swan路Refined]. Requires Grandmaster martial realm to equip.</t>
  </si>
  <si>
    <t>Learned Lone Swan (Refined) Forging Blueprint</t>
  </si>
  <si>
    <t>Vast Righteousness (Refined) Blueprint</t>
  </si>
  <si>
    <t>Records refined crafting techniques for waist guards. Allows sewing [Vast Righteousness路Refined]. Requires Grandmaster martial realm to equip.</t>
  </si>
  <si>
    <t>Learned Vast Righteousness (Refined) Forging Blueprint</t>
  </si>
  <si>
    <t>Meet the Dragon (Refined) Blueprint</t>
  </si>
  <si>
    <t>Records refined crafting techniques for waist guards. Allows sewing [Meet the Dragon路Refined]. Requires Grandmaster martial realm to equip.</t>
  </si>
  <si>
    <t>Learned Meet the Dragon (Refined) Forging Blueprint</t>
  </si>
  <si>
    <t>Bind the Sea (Refined) Blueprint</t>
  </si>
  <si>
    <t>Records refined crafting techniques for waist guards. Allows sewing [Bind the Sea路Refined]. Requires Grandmaster martial realm to equip.</t>
  </si>
  <si>
    <t>Learned Bind the Sea (Refined) Forging Blueprint</t>
  </si>
  <si>
    <t>Recovery Ointment Formula</t>
  </si>
  <si>
    <t>Records medicinal preparation methods. Studying allows learning the Recovery Ointment formula.</t>
  </si>
  <si>
    <t>Learned Recovery Ointment Formula</t>
  </si>
  <si>
    <t>Qi-Regulating Pill Formula</t>
  </si>
  <si>
    <t>Records medicinal preparation methods. Studying allows learning the Qi-Regulating Pill formula.</t>
  </si>
  <si>
    <t>Learned Qi-Regulating Pill Formula</t>
  </si>
  <si>
    <t>White Mist Powder Formula</t>
  </si>
  <si>
    <t>Records medicinal preparation methods. Studying allows learning the White Mist Powder formula.</t>
  </si>
  <si>
    <t>Learned White Mist Powder Formula</t>
  </si>
  <si>
    <t>Jade Marrow Ointment Formula</t>
  </si>
  <si>
    <t>Records medicinal preparation methods. Studying allows learning the Jade Marrow Ointment formula.</t>
  </si>
  <si>
    <t>Learned Jade Marrow Ointment Formula</t>
  </si>
  <si>
    <t>Bloodroot Herb Formula</t>
  </si>
  <si>
    <t>Records medicinal preparation methods. Studying allows learning the Bloodroot Herb formula.</t>
  </si>
  <si>
    <t>Learned Bloodroot Herb Formula</t>
  </si>
  <si>
    <t>Golden Wound Powder Formula</t>
  </si>
  <si>
    <t>Records medicinal preparation methods. Studying allows learning the Golden Wound Powder formula.</t>
  </si>
  <si>
    <t>Learned Golden Wound Powder Formula</t>
  </si>
  <si>
    <t>Blood-Cleansing Pill Formula</t>
  </si>
  <si>
    <t>Records medicinal preparation methods. Studying allows learning the Blood-Cleansing Pill formula.</t>
  </si>
  <si>
    <t>Learned Blood-Cleansing Pill Formula</t>
  </si>
  <si>
    <t>Snow Toad Ointment Formula</t>
  </si>
  <si>
    <t>Records medicinal preparation methods. Studying allows learning the Snow Toad Ointment formula.</t>
  </si>
  <si>
    <t>Learned Snow Toad Ointment Formula</t>
  </si>
  <si>
    <t>Soul-Nourishing Powder Formula</t>
  </si>
  <si>
    <t>Records medicinal preparation methods. Studying allows learning the Soul-Nourishing Powder formula.</t>
  </si>
  <si>
    <t>Learned Soul-Nourishing Powder Formula</t>
  </si>
  <si>
    <t>Origin-Returning Powder Formula</t>
  </si>
  <si>
    <t>Records medicinal preparation methods. Studying allows learning the Origin-Returning Powder formula.</t>
  </si>
  <si>
    <t>Scallion Fish Soup Recipe</t>
  </si>
  <si>
    <t>Records culinary techniques for a certain dish. Studying allows learning the Scallion Fish Soup recipe.</t>
  </si>
  <si>
    <t>Learned Scallion Fish Soup Recipe</t>
  </si>
  <si>
    <t>Steamed Silver Knife Fish Recipe</t>
  </si>
  <si>
    <t>Records culinary techniques for a certain dish. Studying allows learning the Steamed Silver Knife Fish recipe.</t>
  </si>
  <si>
    <t>Learned Steamed Silver Knife Fish Recipe</t>
  </si>
  <si>
    <t>Drunken Immortal Fish Recipe</t>
  </si>
  <si>
    <t>Records culinary techniques for a certain dish. Studying allows learning the Drunken Immortal Fish recipe.</t>
  </si>
  <si>
    <t>Learned Drunken Immortal Fish Recipe</t>
  </si>
  <si>
    <t>Salt-Baked Shrimp Recipe</t>
  </si>
  <si>
    <t>Records culinary techniques for a certain dish. Studying allows learning the Salt-Baked Shrimp recipe.</t>
  </si>
  <si>
    <t>Learned Salt-Baked Shrimp Recipe</t>
  </si>
  <si>
    <t>Spicy Fried Shrimp Segments Recipe</t>
  </si>
  <si>
    <t>Records culinary techniques for a certain dish. Studying allows learning the Spicy Fried Shrimp Segments recipe.</t>
  </si>
  <si>
    <t>Learned Spicy Fried Shrimp Segments Recipe</t>
  </si>
  <si>
    <t>Jade Shrimp Soup Recipe</t>
  </si>
  <si>
    <t>Records culinary techniques for a certain dish. Studying allows learning the Jade Shrimp Soup recipe.</t>
  </si>
  <si>
    <t>Learned Jade Shrimp Soup Recipe</t>
  </si>
  <si>
    <t>Crab Meat Tofu Pot Recipe</t>
  </si>
  <si>
    <t>Records culinary techniques for a certain dish. Studying allows learning the Crab Meat Tofu Pot recipe.</t>
  </si>
  <si>
    <t>Learned Crab Meat Tofu Pot Recipe</t>
  </si>
  <si>
    <t>Crab Roe Egg Custody Recipe</t>
  </si>
  <si>
    <t>Records culinary techniques for a certain dish. Studying allows learning the Crab Roe Egg Custody recipe.</t>
  </si>
  <si>
    <t>Learned Crab Roe Egg Custody Recipe</t>
  </si>
  <si>
    <t>Lantian Jade Crab Delicacy Recipe</t>
  </si>
  <si>
    <t>Records culinary techniques for a certain dish. Studying allows learning the Lantian Jade Crab Delicacy recipe.</t>
  </si>
  <si>
    <t>Learned Lantian Jade Crab Delicacy Recipe</t>
  </si>
  <si>
    <t>Grass Snail Soup Recipe</t>
  </si>
  <si>
    <t>Records culinary techniques for a certain dish. Studying allows learning the Grass Snail Soup recipe.</t>
  </si>
  <si>
    <t>Jadeite Simmered White Snail Recipe</t>
  </si>
  <si>
    <t>Records culinary techniques for a certain dish. Studying allows learning the Jadeite Simmered White Snail recipe.</t>
  </si>
  <si>
    <t>Learned Jadeite Simmered White Snail Recipe</t>
  </si>
  <si>
    <t>Colorful Cloud Snail Stir-fry Recipe</t>
  </si>
  <si>
    <t>Records culinary techniques for a certain dish. Studying allows learning the Colorful Cloud Snail Stir-fry recipe.</t>
  </si>
  <si>
    <t>附属名</t>
  </si>
  <si>
    <t>类型</t>
  </si>
  <si>
    <t>自动学习招式</t>
  </si>
  <si>
    <t>指定被动招式</t>
  </si>
  <si>
    <t>世界BUFF条件</t>
  </si>
  <si>
    <t>mapBuff</t>
  </si>
  <si>
    <t>buffTxt</t>
  </si>
  <si>
    <t>buffid</t>
  </si>
  <si>
    <t>千锻拳势</t>
  </si>
  <si>
    <t>拳掌</t>
  </si>
  <si>
    <t>秘籍</t>
  </si>
  <si>
    <t>武学研本</t>
  </si>
  <si>
    <t>1;101001</t>
  </si>
  <si>
    <t>1010101_1;1010103_1;1010105</t>
  </si>
  <si>
    <t>无</t>
  </si>
  <si>
    <t>修习</t>
  </si>
  <si>
    <t>拳势如锤，于转折伸缩之间刚柔并济，拆打八方。（影响属性：武力）</t>
  </si>
  <si>
    <t>习得千锻拳势</t>
  </si>
  <si>
    <t>item/951000</t>
  </si>
  <si>
    <t>千锻拳势（上册）</t>
  </si>
  <si>
    <t>千锻拳势（下册）</t>
  </si>
  <si>
    <t>5;6;7;8;9;10</t>
  </si>
  <si>
    <t>千锻拳势（全本）</t>
  </si>
  <si>
    <t>1;2;3;4;5;6;7;8;9;10</t>
  </si>
  <si>
    <t>伏阳开碑拳</t>
  </si>
  <si>
    <t>1;101002</t>
  </si>
  <si>
    <t>1010201;1010203;1010205</t>
  </si>
  <si>
    <t>至阳至刚，至横至猛，劲力迅强，有崩铠裂石之威。（影响属性：武力）</t>
  </si>
  <si>
    <t>习得伏阳开碑拳</t>
  </si>
  <si>
    <t>伏阳开碑拳（上册）</t>
  </si>
  <si>
    <t>伏阳开碑拳（下册）</t>
  </si>
  <si>
    <t>伏阳开碑拳（全本）</t>
  </si>
  <si>
    <t>太极拳</t>
  </si>
  <si>
    <t>1;101003</t>
  </si>
  <si>
    <t>1010301;1010303;1010305</t>
  </si>
  <si>
    <t>太和正法，真武太极，此拳法不拘门户之见，人人皆可修习，太极拳法自浅入深，以柔克刚，若然悟性心性不够，纵拳法天才亦难全尽其威。（影响属性：内息）</t>
  </si>
  <si>
    <t>习得太极拳</t>
  </si>
  <si>
    <t>太极拳（上册）</t>
  </si>
  <si>
    <t>太极拳（下册）</t>
  </si>
  <si>
    <t>太极拳（全本）</t>
  </si>
  <si>
    <t>神通剑指</t>
  </si>
  <si>
    <t>1;101004</t>
  </si>
  <si>
    <t>1010401;1010403;1010405</t>
  </si>
  <si>
    <t>据传为前朝靖南王所创的神妙武学，非内力盖世者断难修习，倘若练至大成，出手则剑气纵横，能杀人于百步之外。（影响属性：内息）</t>
  </si>
  <si>
    <t>习得神通剑指</t>
  </si>
  <si>
    <t>神通剑指（上册）</t>
  </si>
  <si>
    <t>神通剑指（下册）</t>
  </si>
  <si>
    <t>神通剑指（全本）</t>
  </si>
  <si>
    <t>凌鸿剑势</t>
  </si>
  <si>
    <t>1;102001</t>
  </si>
  <si>
    <t>1020201_1;1020203;1020205</t>
  </si>
  <si>
    <t>惊鸿翩然，飞巧凌击，孤鸿之悲，何问归途，恩仇两别处，破甲三千里。（影响属性：身法）</t>
  </si>
  <si>
    <t>习得凌鸿剑势</t>
  </si>
  <si>
    <t>凌鸿剑势（上册）</t>
  </si>
  <si>
    <t>凌鸿剑势（下册）</t>
  </si>
  <si>
    <t>凌鸿剑势（全本）</t>
  </si>
  <si>
    <t>清风剑法</t>
  </si>
  <si>
    <t>1;102002</t>
  </si>
  <si>
    <t>1020301;1020303;1020305</t>
  </si>
  <si>
    <t>清风快剑，迅疾无形，其势轻灵潇洒，据传由江湖前客江怀楚所创，后江怀楚身死于镇国卫，功法下落不明。（影响属性：身法）</t>
  </si>
  <si>
    <t>习得清风剑法</t>
  </si>
  <si>
    <t>清风剑法（上册）</t>
  </si>
  <si>
    <t>清风剑法（下册）</t>
  </si>
  <si>
    <t>清风剑法（全本）</t>
  </si>
  <si>
    <t>沧海观澜刀法</t>
  </si>
  <si>
    <t>1;102003</t>
  </si>
  <si>
    <t>1020401;1020403;1020405</t>
  </si>
  <si>
    <t>天涯海阁所传刀法，为天涯海阁门主左三思凭海观澜所创，其势骤烈，似沧海浪涛。（影响属性：武学）</t>
  </si>
  <si>
    <t>习得沧海观澜刀法</t>
  </si>
  <si>
    <t>沧海观澜刀法（上册）</t>
  </si>
  <si>
    <t>沧海观澜刀法（下册）</t>
  </si>
  <si>
    <t>沧海观澜刀法（全本）</t>
  </si>
  <si>
    <t>两仪剑法</t>
  </si>
  <si>
    <t>1;102005</t>
  </si>
  <si>
    <t>1020501;1020503;1020505</t>
  </si>
  <si>
    <t>太和剑法，谓阴阳之初分，定化两仪，囊含四宇，至真至纯，为道家剑法真传，其广博精妙，远非寻常江湖招式可比，但若然心性不诚，悟性不足，纵学其剑法之形亦是枉然。（影响属性：内息）</t>
  </si>
  <si>
    <t>习得两仪剑法</t>
  </si>
  <si>
    <t>太和剑法，谓阴阳之初分，定化两仪，囊含四宇，至真至纯，为道家剑法真传，其广博精妙，远非寻常江湖招式可比，但若然心性不诚，悟性不足，纵学其剑法之形亦是枉然。</t>
  </si>
  <si>
    <t>两仪剑法（上册）</t>
  </si>
  <si>
    <t>两仪剑法（下册）</t>
  </si>
  <si>
    <t>两仪剑法（全本）</t>
  </si>
  <si>
    <t>浮萍剑诀</t>
  </si>
  <si>
    <t>1;102006</t>
  </si>
  <si>
    <t>1020601;1020603;1020605</t>
  </si>
  <si>
    <t>聚散如浮萍，死生犹幻沫，此剑法据传乃前朝一无名宫宦所创，诡迅凌厉，进退如风。（影响属性：身法）</t>
  </si>
  <si>
    <t>习得浮萍剑诀</t>
  </si>
  <si>
    <t>阉割后才能习得</t>
  </si>
  <si>
    <t>浮萍剑诀（上册）</t>
  </si>
  <si>
    <t>浮萍剑诀（下册）</t>
  </si>
  <si>
    <t>浮萍剑诀（全本）</t>
  </si>
  <si>
    <t>槎枒寻梅</t>
  </si>
  <si>
    <t>1;102007</t>
  </si>
  <si>
    <t>1020701;1020703;1020705</t>
  </si>
  <si>
    <t>于红梅合天山、少林两派之长创出的刀法，煞气腾腾中不失高妙意境，但其中杀意过重，心志不坚者倘若妄加习练，难免堕入魔道。</t>
  </si>
  <si>
    <t>习得槎枒寻梅</t>
  </si>
  <si>
    <t>槎枒寻梅（上册）</t>
  </si>
  <si>
    <t>槎枒寻梅（下册）</t>
  </si>
  <si>
    <t>槎枒寻梅（全本）</t>
  </si>
  <si>
    <t>斩铁无锋卷</t>
  </si>
  <si>
    <t>1;103001</t>
  </si>
  <si>
    <t>1030101;1030103;1030105</t>
  </si>
  <si>
    <t>重刃无锋，大巧不工，时名斩铁，以拙胜巧，何须奇技于侧，人剑为一，此身即斩。（影响属性：武力）</t>
  </si>
  <si>
    <t>习得斩铁无锋卷</t>
  </si>
  <si>
    <t>斩铁无锋卷（上册）</t>
  </si>
  <si>
    <t>斩铁无锋卷（下册）</t>
  </si>
  <si>
    <t>斩铁无锋卷（全本）</t>
  </si>
  <si>
    <t>醉君侯刀铭</t>
  </si>
  <si>
    <t>1;103002</t>
  </si>
  <si>
    <t>1030201;1030203;1030205</t>
  </si>
  <si>
    <t>醉君侯刀铭（上册）</t>
  </si>
  <si>
    <t>醉君侯刀铭（下册）</t>
  </si>
  <si>
    <t>醉君侯刀铭（全本）</t>
  </si>
  <si>
    <t>北顾枪法</t>
  </si>
  <si>
    <t>1;104001</t>
  </si>
  <si>
    <t>1040101;1040103;1040105</t>
  </si>
  <si>
    <t>军阵所传枪法，拦扎扫打，有进无退，招式大开大阖，雄浑质朴。（影响属性：身法）</t>
  </si>
  <si>
    <t>习得北顾枪法</t>
  </si>
  <si>
    <t>北顾枪法（上册）</t>
  </si>
  <si>
    <t>北顾枪法（下册）</t>
  </si>
  <si>
    <t>北顾枪法（全本）</t>
  </si>
  <si>
    <t>玄黄入阵旌</t>
  </si>
  <si>
    <t>1;104002</t>
  </si>
  <si>
    <t>1040201;1040203;1040205</t>
  </si>
  <si>
    <t>有轩辕氏，玄血入阵，巡视四方，踏八荒而定九州，此为十方拜服之旌。（影响属性：武力）</t>
  </si>
  <si>
    <t>习得玄黄入阵旌</t>
  </si>
  <si>
    <t>玄黄入阵旌（上册）</t>
  </si>
  <si>
    <t>玄黄入阵旌（下册）</t>
  </si>
  <si>
    <t>玄黄入阵旌（全本）</t>
  </si>
  <si>
    <t>众相菩提杖</t>
  </si>
  <si>
    <t>1;104003</t>
  </si>
  <si>
    <t>1040301;1040303;1040305</t>
  </si>
  <si>
    <t>勾栏挂靠，伸缩圈点，明心释性，佛念昭然。（影响属性：筋骨）</t>
  </si>
  <si>
    <t>习得众相菩提杖</t>
  </si>
  <si>
    <t>众相菩提杖（上册）</t>
  </si>
  <si>
    <t>众相菩提杖（下册）</t>
  </si>
  <si>
    <t>众相菩提杖（全本）</t>
  </si>
  <si>
    <t>镇国抵岳枪</t>
  </si>
  <si>
    <t>1;104004</t>
  </si>
  <si>
    <t>1040401;1040403;1040405</t>
  </si>
  <si>
    <t>勾栏挂靠，伸缩圈点，明心释性，佛念昭然。（影响属性：身法）</t>
  </si>
  <si>
    <t>习得镇国抵岳枪</t>
  </si>
  <si>
    <t>镇国抵岳枪（上册）</t>
  </si>
  <si>
    <t>镇国抵岳枪（下册）</t>
  </si>
  <si>
    <t>镇国抵岳枪（全本）</t>
  </si>
  <si>
    <t>悲遮扇法</t>
  </si>
  <si>
    <t>扇法</t>
  </si>
  <si>
    <t>1;105001</t>
  </si>
  <si>
    <t>1050101;1050103;1050105</t>
  </si>
  <si>
    <t>遗响而悲风，遮拦迷眼，文人风骨轻赋，此扇法出自天涯海阁，集百家之长，其式亦隐隐有文章凤姿所在。（影响属性：内息）</t>
  </si>
  <si>
    <t>习得悲遮扇法</t>
  </si>
  <si>
    <t>悲遮扇法（上册）</t>
  </si>
  <si>
    <t>悲遮扇法（下册）</t>
  </si>
  <si>
    <t>悲遮扇法（全本）</t>
  </si>
  <si>
    <t>小周天扇法</t>
  </si>
  <si>
    <t>1;105002</t>
  </si>
  <si>
    <t>1050201;1050203;1050205</t>
  </si>
  <si>
    <t>日月两周天，一纸滞途次。此法扇势轻柔，暗藏内劲。身形辗转，飘影绰绰。</t>
  </si>
  <si>
    <t>习得小周天扇法</t>
  </si>
  <si>
    <t>小周天扇法（上册）</t>
  </si>
  <si>
    <t>小周天扇法（下册）</t>
  </si>
  <si>
    <t>小周天扇法（全本）</t>
  </si>
  <si>
    <t>暴雨梨花刀</t>
  </si>
  <si>
    <t>1;106001</t>
  </si>
  <si>
    <t>1060101;1060103;1060105</t>
  </si>
  <si>
    <t>江湖中流转的暗器武学，其内杀机隐现，至阴至险。（影响属性：内息）</t>
  </si>
  <si>
    <t>习得暴雨梨花刀</t>
  </si>
  <si>
    <t>暴雨梨花刀（上册）</t>
  </si>
  <si>
    <t>暴雨梨花刀（下册）</t>
  </si>
  <si>
    <t>暴雨梨花刀（全本）</t>
  </si>
  <si>
    <t>羁离谱</t>
  </si>
  <si>
    <t>1;106002</t>
  </si>
  <si>
    <t>1060201;1060203;1060205</t>
  </si>
  <si>
    <t>于红梅开辟大雪山门后，观天池落雪所创，手法如羚羊挂角不拘一格，暗器去路极尽刁钻飘忽，防不胜防。（影响属性：武力）</t>
  </si>
  <si>
    <t>习得羁离谱</t>
  </si>
  <si>
    <t>羁离谱（上册）</t>
  </si>
  <si>
    <t>羁离谱（下册）</t>
  </si>
  <si>
    <t>羁离谱（全本）</t>
  </si>
  <si>
    <t>醉饮降龙无双式</t>
  </si>
  <si>
    <t>腿脚</t>
  </si>
  <si>
    <t>1;109001</t>
  </si>
  <si>
    <t>1090101;1090103;1090105</t>
  </si>
  <si>
    <t>半梦半醒，破灭颠倒梦想，人笑饮醉狂歌，岂知人世知音，无双降龙，国士之疏狂，当如是也！（影响属性：武力）</t>
  </si>
  <si>
    <t>习得醉饮降龙无双式</t>
  </si>
  <si>
    <t>醉饮降龙无双式（上册）</t>
  </si>
  <si>
    <t>醉饮降龙无双式（下册）</t>
  </si>
  <si>
    <t>醉饮降龙无双式（全本）</t>
  </si>
  <si>
    <t>踪影孤鸿</t>
  </si>
  <si>
    <t>1;109002</t>
  </si>
  <si>
    <t>1090201;1090203;1090205</t>
  </si>
  <si>
    <t>江上双飞鸿，饮啄行相随。迅瞬飘忽，似鸿掠苍穹，无影无形，难觅其迹。</t>
  </si>
  <si>
    <t>习得踪影孤鸿</t>
  </si>
  <si>
    <t>踪影孤鸿（上册）</t>
  </si>
  <si>
    <t>踪影孤鸿（下册）</t>
  </si>
  <si>
    <t>踪影孤鸿（全本）</t>
  </si>
  <si>
    <t>无心流·拔刀术</t>
  </si>
  <si>
    <t>1;110001</t>
  </si>
  <si>
    <t>1100101;1100103;1100105</t>
  </si>
  <si>
    <t>记载了无心流拔刀术的技巧，其与中原武学迥然不同，除此以外，再无此招式的来历可考。（影响属性：武力）</t>
  </si>
  <si>
    <t>习得无心流·拔刀术</t>
  </si>
  <si>
    <t>无心流·拔刀术（上册）</t>
  </si>
  <si>
    <t>无心流·拔刀术（下册）</t>
  </si>
  <si>
    <t>无心流·拔刀术（全本）</t>
  </si>
  <si>
    <t>密剑·山中石响</t>
  </si>
  <si>
    <t>1;110002</t>
  </si>
  <si>
    <t>1100201;1100203;1100205</t>
  </si>
  <si>
    <t>本属东瀛剑术，随倭乱传入中原后多经口耳相授，真义渐易，自得异妙。</t>
  </si>
  <si>
    <t>习得密剑·山中石响</t>
  </si>
  <si>
    <t>密剑·山中石响（上册）</t>
  </si>
  <si>
    <t>密剑·山中石响（下册）</t>
  </si>
  <si>
    <t>密剑·山中石响（全本）</t>
  </si>
  <si>
    <t>弑流·伐剑取</t>
  </si>
  <si>
    <t>1;110003</t>
  </si>
  <si>
    <t>1100301;1100303;1100305</t>
  </si>
  <si>
    <t>习得弑流·伐剑取</t>
  </si>
  <si>
    <t>弑流·伐剑取（上册）</t>
  </si>
  <si>
    <t>弑流·伐剑取（下册）</t>
  </si>
  <si>
    <t>弑流·伐剑取（全本）</t>
  </si>
  <si>
    <t>天威军阵刀术</t>
  </si>
  <si>
    <t>1;110004</t>
  </si>
  <si>
    <t>1100401;1100403;1100405</t>
  </si>
  <si>
    <t>自沿海抗倭官军中流传出的军阵刀法，暗含分进合击之法，工正严整，大巧不工。（影响属性：武力）</t>
  </si>
  <si>
    <t>习得天威军阵刀术</t>
  </si>
  <si>
    <t>天威军阵刀术（上册）</t>
  </si>
  <si>
    <t>天威军阵刀术（下册）</t>
  </si>
  <si>
    <t>天威军阵刀术（全本）</t>
  </si>
  <si>
    <t>流缶金绳镖</t>
  </si>
  <si>
    <t>1;111001</t>
  </si>
  <si>
    <t>1110101;1110103;1110105</t>
  </si>
  <si>
    <t>流火玄金，破缶裂甲，挥扫崩锤，柔中带刚。（影响属性：武力）</t>
  </si>
  <si>
    <t>习得绳镖</t>
  </si>
  <si>
    <t>流缶金绳镖（上册）</t>
  </si>
  <si>
    <t>流缶金绳镖（下册）</t>
  </si>
  <si>
    <t>流缶金绳镖（全本）</t>
  </si>
  <si>
    <t>锋狩控弦决</t>
  </si>
  <si>
    <t>1;112001</t>
  </si>
  <si>
    <t>1120101;1120103;1120105</t>
  </si>
  <si>
    <t>尽载军阵所传弓弩操持之法，心体之术分而习练，方能百步穿杨，透石没簇。（影响属性：武力）</t>
  </si>
  <si>
    <t>习得锋狩控弦决</t>
  </si>
  <si>
    <t>锋狩控弦决（上册）</t>
  </si>
  <si>
    <t>锋狩控弦决（下册）</t>
  </si>
  <si>
    <t>锋狩控弦决（全本）</t>
  </si>
  <si>
    <t>鳞五净蛊鞭</t>
  </si>
  <si>
    <t>1;113001</t>
  </si>
  <si>
    <t>1130101;1130103;1130105</t>
  </si>
  <si>
    <t>蛇，蝎，蟾，蜈，蛛为五圣鳞之灵，辅净蛊锻体，乃五圣教内秘传鞭法。</t>
  </si>
  <si>
    <t>习得鳞五净蛊鞭</t>
  </si>
  <si>
    <t>鳞五净蛊鞭（上册）</t>
  </si>
  <si>
    <t>鳞五净蛊鞭（下册）</t>
  </si>
  <si>
    <t>鳞五净蛊鞭（全本）</t>
  </si>
  <si>
    <t>掣骨金虹决</t>
  </si>
  <si>
    <t>1;113002</t>
  </si>
  <si>
    <t>1130201;1130203;1130205</t>
  </si>
  <si>
    <t>百年前江湖奇人所创，招式凌厉翩然，劲力如雷，但若内力不济者强行修习，恐伤己身。</t>
  </si>
  <si>
    <t>习得掣骨金虹决</t>
  </si>
  <si>
    <t>掣骨金虹决（上册）</t>
  </si>
  <si>
    <t>掣骨金虹决（下册）</t>
  </si>
  <si>
    <t>掣骨金虹决（全本）</t>
  </si>
  <si>
    <t>西域火器·珠</t>
  </si>
  <si>
    <t>1;114001</t>
  </si>
  <si>
    <t>1140101;1140103;1140105</t>
  </si>
  <si>
    <t>西域传入的火器机关详解，内含火器养护、击发、拆解等诸多法门，精奥晦杂，难以言述。（影响属性：武力）</t>
  </si>
  <si>
    <t>习得西域火器·珠</t>
  </si>
  <si>
    <t>西域火器·珠（上册）</t>
  </si>
  <si>
    <t>西域火器·珠（下册）</t>
  </si>
  <si>
    <t>西域火器·珠（全本）</t>
  </si>
  <si>
    <t>七情缠蛊匕</t>
  </si>
  <si>
    <t>1;115001</t>
  </si>
  <si>
    <t>1150101;1150103;1150105</t>
  </si>
  <si>
    <t>五圣教秘传，专擅贴身短打，近斗搏杀，观势如情人悱恻，诡雅难明，然却阴狠莫辨，凶毒至极。（影响属性：内息）</t>
  </si>
  <si>
    <t>习得七情缠蛊匕</t>
  </si>
  <si>
    <t>七情缠蛊匕（上册）</t>
  </si>
  <si>
    <t>七情缠蛊匕（下册）</t>
  </si>
  <si>
    <t>七情缠蛊匕（全本）</t>
  </si>
  <si>
    <t>月残经</t>
  </si>
  <si>
    <t>1;115002</t>
  </si>
  <si>
    <t>1150201;1150203;1150205</t>
  </si>
  <si>
    <t>残月出门时，美人和泪辞。如月隐云，如云遮月，势如天华骤现，令敌骨血彻寒。</t>
  </si>
  <si>
    <t>习得月残经</t>
  </si>
  <si>
    <t>月残经（上册）</t>
  </si>
  <si>
    <t>月残经（下册）</t>
  </si>
  <si>
    <t>月残经（全本）</t>
  </si>
  <si>
    <t>天涯月明章</t>
  </si>
  <si>
    <t>内功</t>
  </si>
  <si>
    <t>1;201001</t>
  </si>
  <si>
    <t>2010101</t>
  </si>
  <si>
    <t>天涯海阁所传内功，据传为百十年前，一无名老者路途径三生石处所遗，其内招式浩然广博，深妙无穷。</t>
  </si>
  <si>
    <t>习得天涯月明章</t>
  </si>
  <si>
    <t>天涯月明章（上册）</t>
  </si>
  <si>
    <t>天涯月明章（下册）</t>
  </si>
  <si>
    <t>天涯月明章（全本）</t>
  </si>
  <si>
    <t>嗤魔祭血真经</t>
  </si>
  <si>
    <t>1;201002</t>
  </si>
  <si>
    <t>2010201</t>
  </si>
  <si>
    <t>自河图洛书残篇之上衍化而出，奇诡怪诞，更兼残暴嗜虐，修习此术者无一善终。</t>
  </si>
  <si>
    <t>习得嗤魔祭血真经</t>
  </si>
  <si>
    <t>嗤魔祭血真经（上册）</t>
  </si>
  <si>
    <t>嗤魔祭血真经（下册）</t>
  </si>
  <si>
    <t>嗤魔祭血真经（全本）</t>
  </si>
  <si>
    <t>连珏天璧法</t>
  </si>
  <si>
    <t>1;201003</t>
  </si>
  <si>
    <t>2010301</t>
  </si>
  <si>
    <t>暇璧珠碎，连珏不破，其中所载心法至刚若柔，妙用无穷。</t>
  </si>
  <si>
    <t>习得连珏天璧法</t>
  </si>
  <si>
    <t>连珏天璧法（上册）</t>
  </si>
  <si>
    <t>连珏天璧法（下册）</t>
  </si>
  <si>
    <t>连珏天璧法（全本）</t>
  </si>
  <si>
    <t>玄黎蛊瘴</t>
  </si>
  <si>
    <t>1;201004</t>
  </si>
  <si>
    <t>2010401</t>
  </si>
  <si>
    <t>据传是先古时期苗祖所创修习之法，其内法门多反其中原之道而行之，颇为玄异。</t>
  </si>
  <si>
    <t>习得玄黎蛊瘴</t>
  </si>
  <si>
    <t>玄黎蛊瘴（上册）</t>
  </si>
  <si>
    <t>玄黎蛊瘴（下册）</t>
  </si>
  <si>
    <t>玄黎蛊瘴（全本）</t>
  </si>
  <si>
    <t>三昧阿修罗道</t>
  </si>
  <si>
    <t>1;201005</t>
  </si>
  <si>
    <t>2010501</t>
  </si>
  <si>
    <t>神狩四年，刀祖于红梅叛出少林后独创此法：有德而性骄慢，受教而不改执，闻法而不能悟，是为修罗。</t>
  </si>
  <si>
    <t>习得三昧阿修罗道</t>
  </si>
  <si>
    <t>三昧阿修罗道（上册）</t>
  </si>
  <si>
    <t>三昧阿修罗道（下册）</t>
  </si>
  <si>
    <t>三昧阿修罗道（全本）</t>
  </si>
  <si>
    <t>太素灵枢篇</t>
  </si>
  <si>
    <t>1;201006</t>
  </si>
  <si>
    <t>2010601</t>
  </si>
  <si>
    <t>太素之问无觅，医者之道独行，此灵枢一篇，悬壶济世，仅此便足。</t>
  </si>
  <si>
    <t>习得太素灵枢篇</t>
  </si>
  <si>
    <t>太素灵枢篇（上册）</t>
  </si>
  <si>
    <t>太素灵枢篇（下册）</t>
  </si>
  <si>
    <t>太素灵枢篇（全本）</t>
  </si>
  <si>
    <t>太玄混元经</t>
  </si>
  <si>
    <t>1;201007</t>
  </si>
  <si>
    <t>2010701</t>
  </si>
  <si>
    <t>太和山秘传真法，位析乾坤，朴分呈瑞，法门由浅入深，实乃玄门正宗。</t>
  </si>
  <si>
    <t>习得太玄混元经</t>
  </si>
  <si>
    <t>太玄混元经（上册）</t>
  </si>
  <si>
    <t>太玄混元经（下册）</t>
  </si>
  <si>
    <t>太玄混元经（全本）</t>
  </si>
  <si>
    <t>悟玄参契</t>
  </si>
  <si>
    <t>1;201008</t>
  </si>
  <si>
    <t>2010801</t>
  </si>
  <si>
    <t>悟玄可通明，悟理方参契，此上心决古朴难明，似与昆仑天池隐有关联。</t>
  </si>
  <si>
    <t>习得悟玄参契</t>
  </si>
  <si>
    <t>悟玄参契（上册）</t>
  </si>
  <si>
    <t>悟玄参契（下册）</t>
  </si>
  <si>
    <t>悟玄参契（全本）</t>
  </si>
  <si>
    <t>吸星噬寰图</t>
  </si>
  <si>
    <t>1;201009</t>
  </si>
  <si>
    <t>2010901</t>
  </si>
  <si>
    <t>吸星而吞宇，噬寰而堙尘，此式霸道冠绝天下，远非寻常武学可比，但因其威势过烈，非大毅力之人难习至巅峰。</t>
  </si>
  <si>
    <t>习得吸星噬寰图</t>
  </si>
  <si>
    <t>吸星噬寰图（上册）</t>
  </si>
  <si>
    <t>吸星噬寰图（下册）</t>
  </si>
  <si>
    <t>吸星噬寰图（全本）</t>
  </si>
  <si>
    <t>湘竹葬兰书</t>
  </si>
  <si>
    <t>1;201010</t>
  </si>
  <si>
    <t>2011001</t>
  </si>
  <si>
    <t>湘妃洒泪成竹，流水无心葬兰，此书所载，既为武学，又似诗篇，其中悲切之意，难堪再语。</t>
  </si>
  <si>
    <t>习得湘竹葬兰书</t>
  </si>
  <si>
    <t>湘竹葬兰书（上册）</t>
  </si>
  <si>
    <t>湘竹葬兰书（下册）</t>
  </si>
  <si>
    <t>湘竹葬兰书（全本）</t>
  </si>
  <si>
    <t>昭霞别册</t>
  </si>
  <si>
    <t>1;201011</t>
  </si>
  <si>
    <t>2011101</t>
  </si>
  <si>
    <t>世所罕见的内功心法，运使若朝霞漫天，云野四盖，紫气至处，万化皆消。</t>
  </si>
  <si>
    <t>习得昭霞别册</t>
  </si>
  <si>
    <t>昭霞别册（上册）</t>
  </si>
  <si>
    <t>昭霞别册（下册）</t>
  </si>
  <si>
    <t>昭霞别册（全本）</t>
  </si>
  <si>
    <t>禅音狮子吼</t>
  </si>
  <si>
    <t>1;201012</t>
  </si>
  <si>
    <t>2011201</t>
  </si>
  <si>
    <t>佛门正宗，浩瀚磅礴，倘若发功呼啸，雷音滚滚，令敌肝胆俱裂，不战而溃。</t>
  </si>
  <si>
    <t>习得禅音狮子吼</t>
  </si>
  <si>
    <t>禅音狮子吼（上册）</t>
  </si>
  <si>
    <t>禅音狮子吼（下册）</t>
  </si>
  <si>
    <t>禅音狮子吼（全本）</t>
  </si>
  <si>
    <t>金钟护体罩</t>
  </si>
  <si>
    <t>1;201013</t>
  </si>
  <si>
    <t>2011301</t>
  </si>
  <si>
    <t>两禅寺新立，诸式流出，此心法亦是在少林分立之乱中传至江湖，后不知所踪，终不为人知。</t>
  </si>
  <si>
    <t>习得金钟护体罩</t>
  </si>
  <si>
    <t>金钟护体罩（上册）</t>
  </si>
  <si>
    <t>金钟护体罩（下册）</t>
  </si>
  <si>
    <t>金钟护体罩（全本）</t>
  </si>
  <si>
    <t>太虚无极劲</t>
  </si>
  <si>
    <t>1;201014</t>
  </si>
  <si>
    <t>2011401</t>
  </si>
  <si>
    <t>梦冷通仙阙，神融合太虚，据传乃太和道祖羽化所遗，与诸多修习之法迥异，讲求清净自然，顿悟登仙，唯悟性奇高者方可修习。</t>
  </si>
  <si>
    <t>习得太虚无极劲</t>
  </si>
  <si>
    <t>太虚无极劲（上册）</t>
  </si>
  <si>
    <t>太虚无极劲（下册）</t>
  </si>
  <si>
    <t>太虚无极劲（全本）</t>
  </si>
  <si>
    <t>霸王卸甲</t>
  </si>
  <si>
    <t>1;201015</t>
  </si>
  <si>
    <t>2011501</t>
  </si>
  <si>
    <t>刚猛横练，锻骨炼血，大成者真气沛然雄浑游走周身，断骨而不痛，浴血而不死，无惧者，无敌也。</t>
  </si>
  <si>
    <t>习得霸王卸甲</t>
  </si>
  <si>
    <t>霸王卸甲（上册）</t>
  </si>
  <si>
    <t>霸王卸甲（下册）</t>
  </si>
  <si>
    <t>霸王卸甲（全本）</t>
  </si>
  <si>
    <t>青囊宝钞</t>
  </si>
  <si>
    <t>1;201016</t>
  </si>
  <si>
    <t>2011601</t>
  </si>
  <si>
    <t>据传此法乃前朝医道圣手所遗，其间所载经脉医理高深晦涩，以之入武，亦有独到之处。</t>
  </si>
  <si>
    <t>习得青囊宝钞</t>
  </si>
  <si>
    <t>青囊宝钞（上册）</t>
  </si>
  <si>
    <t>青囊宝钞（下册）</t>
  </si>
  <si>
    <t>青囊宝钞（全本）</t>
  </si>
  <si>
    <t>饮情蛊</t>
  </si>
  <si>
    <t>1;201017</t>
  </si>
  <si>
    <t>2011701</t>
  </si>
  <si>
    <t>苗疆独有心法，大成者顾盼生魅，不施刀兵便能乱人心神，是正是邪，犹未可知。</t>
  </si>
  <si>
    <t>习得饮情蛊</t>
  </si>
  <si>
    <t>饮情蛊（上册）</t>
  </si>
  <si>
    <t>饮情蛊（下册）</t>
  </si>
  <si>
    <t>饮情蛊（全本）</t>
  </si>
  <si>
    <t>支山祁</t>
  </si>
  <si>
    <t>1;201018</t>
  </si>
  <si>
    <t>2011801</t>
  </si>
  <si>
    <t>尧九年支祈为孽，应龙驱之淮阳山足下，其怨动山荡海。</t>
  </si>
  <si>
    <t>习得支山祁</t>
  </si>
  <si>
    <t>支山祁（上册）</t>
  </si>
  <si>
    <t>支山祁（下册）</t>
  </si>
  <si>
    <t>支山祁（全本）</t>
  </si>
  <si>
    <t>七煞铁衣功</t>
  </si>
  <si>
    <t>1;201019</t>
  </si>
  <si>
    <t>2011901</t>
  </si>
  <si>
    <t>七煞铁衣功（上册）</t>
  </si>
  <si>
    <t>七煞铁衣功（下册）</t>
  </si>
  <si>
    <t>七煞铁衣功（全本）</t>
  </si>
  <si>
    <t>不仁经</t>
  </si>
  <si>
    <t>1;201020</t>
  </si>
  <si>
    <t>2012001</t>
  </si>
  <si>
    <t>于红梅集少林、天山两派内功之长所创，虽霸道绝伦，威力无穷，但其中暗藏无穷杀意，非心如明镜者难窥其中真意。</t>
  </si>
  <si>
    <t>习得不仁经</t>
  </si>
  <si>
    <t>不仁经（上册）</t>
  </si>
  <si>
    <t>不仁经（下册）</t>
  </si>
  <si>
    <t>不仁经（全本）</t>
  </si>
  <si>
    <t>步海阁</t>
  </si>
  <si>
    <t>轻功</t>
  </si>
  <si>
    <t>1;301001</t>
  </si>
  <si>
    <t>3010101</t>
  </si>
  <si>
    <t>踏阁而步海，卧行而凌空，天涯海阁所传步法，潇洒灵动，独有文生气象。</t>
  </si>
  <si>
    <t>习得步海阁</t>
  </si>
  <si>
    <t>步海阁（上册）</t>
  </si>
  <si>
    <t>步海阁（下册）</t>
  </si>
  <si>
    <t>步海阁（全本）</t>
  </si>
  <si>
    <t>赶蝉游身环</t>
  </si>
  <si>
    <t>1;301002</t>
  </si>
  <si>
    <t>3010201</t>
  </si>
  <si>
    <t>出自八卦的步法，行如游身，又谓游身八卦形，据传可八步黏蝉，不落身形。</t>
  </si>
  <si>
    <t>习得赶蝉游身环</t>
  </si>
  <si>
    <t>赶蝉游身环（上册）</t>
  </si>
  <si>
    <t>赶蝉游身环（下册）</t>
  </si>
  <si>
    <t>赶蝉游身环（全本）</t>
  </si>
  <si>
    <t>洛神踏雪步</t>
  </si>
  <si>
    <t>1;301004</t>
  </si>
  <si>
    <t>3010401</t>
  </si>
  <si>
    <t>传闻有神女，轻移莲步，其姿轻盈，其法玄妙。</t>
  </si>
  <si>
    <t>习得洛神踏雪步</t>
  </si>
  <si>
    <t>洛神踏雪步（上册）</t>
  </si>
  <si>
    <t>洛神踏雪步（下册）</t>
  </si>
  <si>
    <t>洛神踏雪步（全本）</t>
  </si>
  <si>
    <t>晴梅花步</t>
  </si>
  <si>
    <t>1;301005</t>
  </si>
  <si>
    <t>3010501</t>
  </si>
  <si>
    <t>步伐取自梅花寒香之意，独寒独蕴，实为江湖内不可多见之运步巧术。</t>
  </si>
  <si>
    <t>习得晴梅花步</t>
  </si>
  <si>
    <t>晴梅花步（上册）</t>
  </si>
  <si>
    <t>晴梅花步（下册）</t>
  </si>
  <si>
    <t>晴梅花步（全本）</t>
  </si>
  <si>
    <t>犰狳穿滚术</t>
  </si>
  <si>
    <t>1;301006</t>
  </si>
  <si>
    <t>3010601</t>
  </si>
  <si>
    <t>此术来源已不可追，其以犰狳之形入武，穿纵滚翻，攻敌之不备，避寻常招式所不可避。</t>
  </si>
  <si>
    <t>习得犰狳穿滚术</t>
  </si>
  <si>
    <t>犰狳穿滚术（上册）</t>
  </si>
  <si>
    <t>犰狳穿滚术（下册）</t>
  </si>
  <si>
    <t>犰狳穿滚术（全本）</t>
  </si>
  <si>
    <t>梯云纵</t>
  </si>
  <si>
    <t>1;301007</t>
  </si>
  <si>
    <t>3010701</t>
  </si>
  <si>
    <t>梯云而登青天，渺目浮云，可望得道之一字？</t>
  </si>
  <si>
    <t>习得梯云纵</t>
  </si>
  <si>
    <t>梯云纵（上册）</t>
  </si>
  <si>
    <t>梯云纵（下册）</t>
  </si>
  <si>
    <t>梯云纵（全本）</t>
  </si>
  <si>
    <t>魍魉诡步</t>
  </si>
  <si>
    <t>1;301008</t>
  </si>
  <si>
    <t>3010801</t>
  </si>
  <si>
    <t>十步杀一人，千里不留行，魍魉魑魅，步诡踏血。</t>
  </si>
  <si>
    <t>习得魍魉诡步</t>
  </si>
  <si>
    <t>魍魉诡步（上册）</t>
  </si>
  <si>
    <t>魍魉诡步（下册）</t>
  </si>
  <si>
    <t>魍魉诡步（全本）</t>
  </si>
  <si>
    <t>燕纵步</t>
  </si>
  <si>
    <t>1;301009</t>
  </si>
  <si>
    <t>3010901</t>
  </si>
  <si>
    <t>穿纵之燕，步身合一，纤巧破云，另有诸般变化寓中。</t>
  </si>
  <si>
    <t>习得燕纵步</t>
  </si>
  <si>
    <t>燕纵步（上册）</t>
  </si>
  <si>
    <t>燕纵步（下册）</t>
  </si>
  <si>
    <t>燕纵步（全本）</t>
  </si>
  <si>
    <t>长亭远寄</t>
  </si>
  <si>
    <t>1;301010</t>
  </si>
  <si>
    <t>3011001</t>
  </si>
  <si>
    <t>长亭古道，故乡月明俱远寄，人无归还，此情何书？</t>
  </si>
  <si>
    <t>习得长亭远寄</t>
  </si>
  <si>
    <t>长亭远寄（上册）</t>
  </si>
  <si>
    <t>长亭远寄（下册）</t>
  </si>
  <si>
    <t>长亭远寄（全本）</t>
  </si>
  <si>
    <t>凌波微步</t>
  </si>
  <si>
    <t>1;301011</t>
  </si>
  <si>
    <t>3011101</t>
  </si>
  <si>
    <t>凌波微步，罗袜生尘，飘摇若雪，舞如仙骥。</t>
  </si>
  <si>
    <t>习得凌波微步</t>
  </si>
  <si>
    <t>凌波微步（上册）</t>
  </si>
  <si>
    <t>凌波微步（下册）</t>
  </si>
  <si>
    <t>凌波微步（全本）</t>
  </si>
  <si>
    <t>巫蟒堕月</t>
  </si>
  <si>
    <t>1;301012</t>
  </si>
  <si>
    <t>3011201</t>
  </si>
  <si>
    <t>静若银蛟拦山，动如金蟒断江，五圣教独有腾挪身法，与中原武学迥异。</t>
  </si>
  <si>
    <t>习得巫蟒堕月</t>
  </si>
  <si>
    <t>巫蟒堕月（上册）</t>
  </si>
  <si>
    <t>巫蟒堕月（下册）</t>
  </si>
  <si>
    <t>巫蟒堕月（全本）</t>
  </si>
  <si>
    <t>紫乌啸凤图</t>
  </si>
  <si>
    <t>1;301013</t>
  </si>
  <si>
    <t>3011301</t>
  </si>
  <si>
    <t>玄鸟初归去，宾鸿属仲秋，此法腾挪如风，矫若鹏腾，飘逸灵动之间，不失潇洒。</t>
  </si>
  <si>
    <t>习得紫乌啸凤图</t>
  </si>
  <si>
    <t>紫乌啸凤图（上册）</t>
  </si>
  <si>
    <t>紫乌啸凤图（下册）</t>
  </si>
  <si>
    <t>紫乌啸凤图（全本）</t>
  </si>
  <si>
    <t>撼山步</t>
  </si>
  <si>
    <t>1;301014</t>
  </si>
  <si>
    <t>3011401</t>
  </si>
  <si>
    <t>硬桥硬马的外门身法，取步履撼山，震震有声之意。</t>
  </si>
  <si>
    <t>习得撼山步</t>
  </si>
  <si>
    <t>撼山步（上册）</t>
  </si>
  <si>
    <t>撼山步（下册）</t>
  </si>
  <si>
    <t>撼山步（全本）</t>
  </si>
  <si>
    <t>逆流十二身</t>
  </si>
  <si>
    <t>1;301015</t>
  </si>
  <si>
    <t>3011501</t>
  </si>
  <si>
    <t>习武修身，若逆水而行，此身既至，何不逆流击水？</t>
  </si>
  <si>
    <t>习得逆流十二身</t>
  </si>
  <si>
    <t>逆流十二身（上册）</t>
  </si>
  <si>
    <t>逆流十二身（下册）</t>
  </si>
  <si>
    <t>逆流十二身（全本）</t>
  </si>
  <si>
    <t>虎贲阵</t>
  </si>
  <si>
    <t>1;301016</t>
  </si>
  <si>
    <t>3011601</t>
  </si>
  <si>
    <t>34</t>
  </si>
  <si>
    <t>虎贲阵（上册）</t>
  </si>
  <si>
    <t>虎贲阵（下册）</t>
  </si>
  <si>
    <t>虎贲阵（全本）</t>
  </si>
  <si>
    <t>影血秘典</t>
  </si>
  <si>
    <t>1;301017</t>
  </si>
  <si>
    <t>3011701</t>
  </si>
  <si>
    <t>于红梅独创身法，诡谲难测，踏雪无痕，过水无波。</t>
  </si>
  <si>
    <t>习得影血秘典</t>
  </si>
  <si>
    <t>影血秘典（上册）</t>
  </si>
  <si>
    <t>影血秘典（下册）</t>
  </si>
  <si>
    <t>影血秘典（全本）</t>
  </si>
  <si>
    <t>拳掌轻击</t>
  </si>
  <si>
    <t>江湖散学</t>
  </si>
  <si>
    <t>6;9010002</t>
  </si>
  <si>
    <t>9010003;9010004</t>
  </si>
  <si>
    <t>可习得拳掌轻击（影响属性：外功攻击，内功攻击）</t>
  </si>
  <si>
    <t>习得拳掌轻击</t>
  </si>
  <si>
    <t>item/959000</t>
  </si>
  <si>
    <t>拳掌重击</t>
  </si>
  <si>
    <t>7;9010005</t>
  </si>
  <si>
    <t>9010006</t>
  </si>
  <si>
    <t>可习得拳掌重击（影响属性：外功攻击，内功攻击）</t>
  </si>
  <si>
    <t>习得拳掌重击</t>
  </si>
  <si>
    <t>单手轻刃轻击</t>
  </si>
  <si>
    <t>6;9020002</t>
  </si>
  <si>
    <t>9020003</t>
  </si>
  <si>
    <t>可习得单手轻刃轻击（影响属性：外功攻击，内功攻击）</t>
  </si>
  <si>
    <t>习得单手轻刃轻击</t>
  </si>
  <si>
    <t>单手轻刃重击</t>
  </si>
  <si>
    <t>7;9020011</t>
  </si>
  <si>
    <t>9020012</t>
  </si>
  <si>
    <t>可习得单手轻刃重击（影响属性：外功攻击，内功攻击）</t>
  </si>
  <si>
    <t>习得单手轻刃重击</t>
  </si>
  <si>
    <t>重刃轻击</t>
  </si>
  <si>
    <t>6;9030002</t>
  </si>
  <si>
    <t>可习得重刃轻击（影响属性：外功攻击，内功攻击）</t>
  </si>
  <si>
    <t>习得重刃轻击</t>
  </si>
  <si>
    <t>重刃重击</t>
  </si>
  <si>
    <t>7;9030011</t>
  </si>
  <si>
    <t>9030012</t>
  </si>
  <si>
    <t>可习得重刃重击（影响属性：外功攻击，内功攻击）</t>
  </si>
  <si>
    <t>习得重刃重击</t>
  </si>
  <si>
    <t>长兵轻击</t>
  </si>
  <si>
    <t>6;9040002</t>
  </si>
  <si>
    <t>9040003</t>
  </si>
  <si>
    <t>可习得长兵轻击（影响属性：外功攻击，内功攻击）</t>
  </si>
  <si>
    <t>习得长兵轻击</t>
  </si>
  <si>
    <t>长兵重击</t>
  </si>
  <si>
    <t>7;9040005</t>
  </si>
  <si>
    <t>9040006</t>
  </si>
  <si>
    <t>可习得长兵重击（影响属性：外功攻击，内功攻击）</t>
  </si>
  <si>
    <t>习得长兵重击</t>
  </si>
  <si>
    <t>扇法轻击</t>
  </si>
  <si>
    <t>6;9050002</t>
  </si>
  <si>
    <t>9050003;9050004</t>
  </si>
  <si>
    <t>可习得扇法轻击（影响属性：外功攻击，内功攻击）</t>
  </si>
  <si>
    <t>习得扇法轻击</t>
  </si>
  <si>
    <t>扇法重击</t>
  </si>
  <si>
    <t>7;9050005</t>
  </si>
  <si>
    <t>9050006</t>
  </si>
  <si>
    <t>可习得扇法重击（影响属性：外功攻击，内功攻击）</t>
  </si>
  <si>
    <t>习得扇法重击</t>
  </si>
  <si>
    <t>暗器轻击</t>
  </si>
  <si>
    <t>6;9060002</t>
  </si>
  <si>
    <t>9060003</t>
  </si>
  <si>
    <t>可习得暗器轻击（影响属性：外功攻击，内功攻击）</t>
  </si>
  <si>
    <t>习得暗器轻击</t>
  </si>
  <si>
    <t>暗器重击</t>
  </si>
  <si>
    <t>7;9060011</t>
  </si>
  <si>
    <t>9060012</t>
  </si>
  <si>
    <t>可习得暗器重击（影响属性：外功攻击，内功攻击）</t>
  </si>
  <si>
    <t>习得暗器重击</t>
  </si>
  <si>
    <t>腿脚轻击</t>
  </si>
  <si>
    <t>6;9090002</t>
  </si>
  <si>
    <t>9090003;9090004</t>
  </si>
  <si>
    <t>可习得腿脚轻击（影响属性：外功攻击，内功攻击）</t>
  </si>
  <si>
    <t>习得腿脚轻击</t>
  </si>
  <si>
    <t>腿脚重击</t>
  </si>
  <si>
    <t>7;9090011</t>
  </si>
  <si>
    <t>9090012</t>
  </si>
  <si>
    <t>可习得腿脚重击（影响属性：外功攻击，内功攻击）</t>
  </si>
  <si>
    <t>习得腿脚重击</t>
  </si>
  <si>
    <t>双手轻刃轻击</t>
  </si>
  <si>
    <t>6;9100002</t>
  </si>
  <si>
    <t>9100003</t>
  </si>
  <si>
    <t>可习得双手轻刃轻击（影响属性：外功攻击，内功攻击）</t>
  </si>
  <si>
    <t>习得双手轻刃轻击</t>
  </si>
  <si>
    <t>双手轻刃重击</t>
  </si>
  <si>
    <t>7;9100011</t>
  </si>
  <si>
    <t>9100012</t>
  </si>
  <si>
    <t>可习得双手轻刃重击（影响属性：外功攻击，内功攻击）</t>
  </si>
  <si>
    <t>习得双手轻刃重击</t>
  </si>
  <si>
    <t>绳镖轻击</t>
  </si>
  <si>
    <t>6;9110002</t>
  </si>
  <si>
    <t>9110003</t>
  </si>
  <si>
    <t>可习得绳镖轻击（影响属性：外功攻击，内功攻击）</t>
  </si>
  <si>
    <t>习得绳镖轻击</t>
  </si>
  <si>
    <t>绳镖重击</t>
  </si>
  <si>
    <t>7;9110011</t>
  </si>
  <si>
    <t>9110012</t>
  </si>
  <si>
    <t>可习得绳镖重击（影响属性：外功攻击，内功攻击）</t>
  </si>
  <si>
    <t>习得绳镖重击</t>
  </si>
  <si>
    <t>弓箭轻击</t>
  </si>
  <si>
    <t>6;9120001</t>
  </si>
  <si>
    <t>9120002;9120003</t>
  </si>
  <si>
    <t>可习得弓箭轻击（影响属性：外功攻击，内功攻击）</t>
  </si>
  <si>
    <t>习得弓箭轻击</t>
  </si>
  <si>
    <t>弓箭重击</t>
  </si>
  <si>
    <t>7;9120011</t>
  </si>
  <si>
    <t>9120012</t>
  </si>
  <si>
    <t>可习得弓箭重击（影响属性：外功攻击，内功攻击）</t>
  </si>
  <si>
    <t>习得弓箭重击</t>
  </si>
  <si>
    <t>软鞭轻击</t>
  </si>
  <si>
    <t>6;9130001</t>
  </si>
  <si>
    <t>9130001</t>
  </si>
  <si>
    <t>可习得软鞭轻击（影响属性：外功攻击，内功攻击）</t>
  </si>
  <si>
    <t>习得软鞭轻击</t>
  </si>
  <si>
    <t>软鞭重击</t>
  </si>
  <si>
    <t>7;9130011</t>
  </si>
  <si>
    <t>9130012</t>
  </si>
  <si>
    <t>可习得软鞭重击（影响属性：外功攻击，内功攻击）</t>
  </si>
  <si>
    <t>习得软鞭重击</t>
  </si>
  <si>
    <t>火器轻击</t>
  </si>
  <si>
    <t>6;9140001</t>
  </si>
  <si>
    <t>9140001</t>
  </si>
  <si>
    <t>可习得火器轻击（影响属性：外功攻击，内功攻击）</t>
  </si>
  <si>
    <t>习得火器轻击</t>
  </si>
  <si>
    <t>火器重击</t>
  </si>
  <si>
    <t>7;9140011</t>
  </si>
  <si>
    <t>9140012</t>
  </si>
  <si>
    <t>可习得火器重击（影响属性：外功攻击，内功攻击）</t>
  </si>
  <si>
    <t>习得火器重击</t>
  </si>
  <si>
    <t>短兵轻击</t>
  </si>
  <si>
    <t>6;9150001</t>
  </si>
  <si>
    <t>9150001</t>
  </si>
  <si>
    <t>可习得短兵轻击（影响属性：外功攻击，内功攻击）</t>
  </si>
  <si>
    <t>习得短兵轻击</t>
  </si>
  <si>
    <t>短兵重击</t>
  </si>
  <si>
    <t>7;9150011</t>
  </si>
  <si>
    <t>9150012</t>
  </si>
  <si>
    <t>可习得短兵重击（影响属性：外功攻击，内功攻击）</t>
  </si>
  <si>
    <t>习得短兵重击</t>
  </si>
  <si>
    <t>白猿托印</t>
  </si>
  <si>
    <t>江湖通式</t>
  </si>
  <si>
    <t>4;1010001</t>
  </si>
  <si>
    <t>可习得拳掌通式壹·白猿托印（影响属性：外功攻击，内功攻击）</t>
  </si>
  <si>
    <t>习得拳掌通式壹·白猿托印</t>
  </si>
  <si>
    <t>item/955000</t>
  </si>
  <si>
    <t>如雷贯耳</t>
  </si>
  <si>
    <t>4;1010002</t>
  </si>
  <si>
    <t>可习得拳掌通式贰·如雷贯耳（影响属性：外功攻击，内功攻击）</t>
  </si>
  <si>
    <t>习得拳掌通式贰·如雷贯耳</t>
  </si>
  <si>
    <t>提撩式</t>
  </si>
  <si>
    <t>4;1020001</t>
  </si>
  <si>
    <t>可习得单手轻刃通式壹·提撩式（影响属性：外功攻击，内功攻击）</t>
  </si>
  <si>
    <t>习得单手轻刃通式壹·提撩式</t>
  </si>
  <si>
    <t>贯日斩</t>
  </si>
  <si>
    <t>4;1020002</t>
  </si>
  <si>
    <t>可习得单手轻刃通式贰·贯日斩（影响属性：外功攻击，内功攻击）</t>
  </si>
  <si>
    <t>习得单手轻刃通式贰·贯日斩</t>
  </si>
  <si>
    <t>断西关</t>
  </si>
  <si>
    <t>4;1030001</t>
  </si>
  <si>
    <t>可习得重刃通式壹·断西关（影响属性：外功攻击，内功攻击）</t>
  </si>
  <si>
    <t>习得重刃通式壹·断西关</t>
  </si>
  <si>
    <t>撼地摧城</t>
  </si>
  <si>
    <t>4;1030002</t>
  </si>
  <si>
    <t>可习得重刃通式贰·撼地摧城（影响属性：外功攻击，内功攻击）</t>
  </si>
  <si>
    <t>习得重刃通式贰·撼地摧城</t>
  </si>
  <si>
    <t>敌万军</t>
  </si>
  <si>
    <t>4;1040002</t>
  </si>
  <si>
    <t>可习得长兵通式贰·敌万军（影响属性：外功攻击，内功攻击）</t>
  </si>
  <si>
    <t>习得长兵通式壹·敌万军</t>
  </si>
  <si>
    <t>肃勇志</t>
  </si>
  <si>
    <t>4;1040001</t>
  </si>
  <si>
    <t>可习得长兵通式壹·肃勇志（影响属性：外功攻击，内功攻击）</t>
  </si>
  <si>
    <t>习得长兵通式贰·肃勇志</t>
  </si>
  <si>
    <t>转千阙</t>
  </si>
  <si>
    <t>4;1050002</t>
  </si>
  <si>
    <t>可习得扇法通式贰·转千阙（影响属性：外功攻击，内功攻击）</t>
  </si>
  <si>
    <t>习得扇法通式贰·转千阙</t>
  </si>
  <si>
    <t>复重楼</t>
  </si>
  <si>
    <t>4;1050001</t>
  </si>
  <si>
    <t>可习得扇法通式壹·复重楼（影响属性：外功攻击，内功攻击）</t>
  </si>
  <si>
    <t>习得扇法通式壹·复重楼</t>
  </si>
  <si>
    <t>广寒挂星</t>
  </si>
  <si>
    <t>4;1060001</t>
  </si>
  <si>
    <t>可习得暗器通式壹·广寒挂星（影响属性：外功攻击，内功攻击）</t>
  </si>
  <si>
    <t>习得暗器通式壹·广寒挂星</t>
  </si>
  <si>
    <t>鹞哨</t>
  </si>
  <si>
    <t>4;1060002</t>
  </si>
  <si>
    <t>可习得暗器通式贰·鹞哨（影响属性：外功攻击，内功攻击）</t>
  </si>
  <si>
    <t>习得暗器通式贰·鹞哨</t>
  </si>
  <si>
    <t>云龙九现</t>
  </si>
  <si>
    <t>4;1090001</t>
  </si>
  <si>
    <t>可习得腿脚通式壹·云龙九现（影响属性：外功攻击，内功攻击）</t>
  </si>
  <si>
    <t>习得腿脚通式壹·云龙九现</t>
  </si>
  <si>
    <t>山川无极</t>
  </si>
  <si>
    <t>4;1090002</t>
  </si>
  <si>
    <t>可习得腿脚通式贰·山川无极（影响属性：外功攻击，内功攻击）</t>
  </si>
  <si>
    <t>习得腿脚通式贰·山川无极</t>
  </si>
  <si>
    <t>鬼十斩</t>
  </si>
  <si>
    <t>4;1100001</t>
  </si>
  <si>
    <t>可习得双手轻刃通式壹·鬼十斩（影响属性：外功攻击，内功攻击）</t>
  </si>
  <si>
    <t>习得双手轻刃通式壹·鬼十斩</t>
  </si>
  <si>
    <t>一闪</t>
  </si>
  <si>
    <t>4;1100002</t>
  </si>
  <si>
    <t>可习得双手轻刃通式贰·一闪（影响属性：外功攻击，内功攻击）</t>
  </si>
  <si>
    <t>习得双手轻刃通式贰·一闪</t>
  </si>
  <si>
    <t>镖影诡式</t>
  </si>
  <si>
    <t>4;1110001</t>
  </si>
  <si>
    <t>可习得绳镖通式壹·镖影诡式（影响属性：外功攻击，内功攻击）</t>
  </si>
  <si>
    <t>习得绳镖通式壹·绳镖通式1</t>
  </si>
  <si>
    <t>隐火匿尘</t>
  </si>
  <si>
    <t>4;1110002</t>
  </si>
  <si>
    <t>可习得绳镖通式贰·隐火匿尘（影响属性：外功攻击，内功攻击）</t>
  </si>
  <si>
    <t>习得绳镖通式贰·绳镖通式2</t>
  </si>
  <si>
    <t>纵弓离弦</t>
  </si>
  <si>
    <t>4;1120001</t>
  </si>
  <si>
    <t>可习得弓箭通式壹·纵弓离弦（影响属性：外功攻击，内功攻击）</t>
  </si>
  <si>
    <t>习得弓箭通式壹·纵弓离弦</t>
  </si>
  <si>
    <t>捕兽陷阱</t>
  </si>
  <si>
    <t>4;1120002</t>
  </si>
  <si>
    <t>可习得弓箭通式贰·捕兽陷阱（影响属性：外功攻击，内功攻击）</t>
  </si>
  <si>
    <t>习得弓箭通式贰·捕兽陷阱</t>
  </si>
  <si>
    <t>涤山荡野</t>
  </si>
  <si>
    <t>4;1130001</t>
  </si>
  <si>
    <t>可习得软鞭通式壹·涤山荡野（影响属性：外功攻击，内功攻击）</t>
  </si>
  <si>
    <t>习得软鞭通式壹·涤山荡野</t>
  </si>
  <si>
    <t>破踪却敌</t>
  </si>
  <si>
    <t>4;1130002</t>
  </si>
  <si>
    <t>可习得软鞭通式贰·破踪却敌（影响属性：外功攻击，内功攻击）</t>
  </si>
  <si>
    <t>习得软鞭通式壹·破踪却敌</t>
  </si>
  <si>
    <t>炸珠·破</t>
  </si>
  <si>
    <t>4;1140001</t>
  </si>
  <si>
    <t>可习得火器通式壹·炸珠·破（影响属性：外功攻击）</t>
  </si>
  <si>
    <t>习得火器通式壹·炸珠·破</t>
  </si>
  <si>
    <t>机巧·蓄</t>
  </si>
  <si>
    <t>4;1140002</t>
  </si>
  <si>
    <t>可习得火器通式贰·机巧·蓄（影响属性：外功攻击）</t>
  </si>
  <si>
    <t>习得火器通式贰·机巧·蓄</t>
  </si>
  <si>
    <t>肋斜剜骨</t>
  </si>
  <si>
    <t>4;1150001</t>
  </si>
  <si>
    <t>可习得短兵通式壹·肋斜剜骨（影响属性：外功攻击，内功攻击）</t>
  </si>
  <si>
    <t>习得短兵通式壹·肋斜剜骨</t>
  </si>
  <si>
    <t>魅魈美人刺</t>
  </si>
  <si>
    <t>4;1150002</t>
  </si>
  <si>
    <t>可习得短兵通式壹·魅魈美人刺（影响属性：外功攻击，内功攻击）</t>
  </si>
  <si>
    <t>习得短兵通式贰·魅魈美人刺</t>
  </si>
  <si>
    <t>长雁</t>
  </si>
  <si>
    <t>心诀</t>
  </si>
  <si>
    <t>2;8020201</t>
  </si>
  <si>
    <t>招式【物衍天行】施展时获得【霸体】效果。</t>
  </si>
  <si>
    <t>习得凌鸿剑势心诀·长雁</t>
  </si>
  <si>
    <t>返鸾</t>
  </si>
  <si>
    <t>2;8020202</t>
  </si>
  <si>
    <t>暴击概率额外提升5%</t>
  </si>
  <si>
    <t>习得凌鸿剑势心诀·返鸾</t>
  </si>
  <si>
    <t>鸳折</t>
  </si>
  <si>
    <t>2;8020203</t>
  </si>
  <si>
    <t>施展招式【孤鸿照影】时，将获得【返鸾】效果：不受任何伤害和控制效果的影响。</t>
  </si>
  <si>
    <t>习得凌鸿剑势心诀·鸳折</t>
  </si>
  <si>
    <t>悲鸣</t>
  </si>
  <si>
    <t>2;8020204</t>
  </si>
  <si>
    <t>招式【纵起惊鸿】在空中时无敌2秒</t>
  </si>
  <si>
    <t>习得凌鸿剑势心诀·悲鸣</t>
  </si>
  <si>
    <t>随风</t>
  </si>
  <si>
    <t>2;8020301</t>
  </si>
  <si>
    <t>招式【风潇雨晦】调息时间减少1秒。</t>
  </si>
  <si>
    <t>习得清风剑法心诀·随风</t>
  </si>
  <si>
    <t>飘零</t>
  </si>
  <si>
    <t>2;8020302</t>
  </si>
  <si>
    <t>招式【秋风落尽】调息时间减少1秒。</t>
  </si>
  <si>
    <t>习得清风剑法心诀·飘零</t>
  </si>
  <si>
    <t>罡破</t>
  </si>
  <si>
    <t>2;8020303</t>
  </si>
  <si>
    <t>招式【秋风落尽】释放时霸体</t>
  </si>
  <si>
    <t>习得清风剑法心诀·罡破</t>
  </si>
  <si>
    <t>栖隙</t>
  </si>
  <si>
    <t>2;8020304</t>
  </si>
  <si>
    <t>招式【朔风厉松】能释放时无敌</t>
  </si>
  <si>
    <t>习得清风剑法心诀·栖隙</t>
  </si>
  <si>
    <t>2;8020401</t>
  </si>
  <si>
    <t>招式【焚沧断海】调息时间减少1秒。</t>
  </si>
  <si>
    <t>习得沧海观澜刀法心诀·无涯</t>
  </si>
  <si>
    <t>壁岩</t>
  </si>
  <si>
    <t>2;8020402</t>
  </si>
  <si>
    <t>招式【临碣寒】调息时间减少1秒。</t>
  </si>
  <si>
    <t>习得沧海观澜刀法心诀·壁岩</t>
  </si>
  <si>
    <t>赤心</t>
  </si>
  <si>
    <t>2;8020403</t>
  </si>
  <si>
    <t>施展招式【临碣寒】真气消耗减1</t>
  </si>
  <si>
    <t>习得沧海观澜刀法心诀·赤心</t>
  </si>
  <si>
    <t>万凿</t>
  </si>
  <si>
    <t>2;8020404</t>
  </si>
  <si>
    <t>施展招式【骇浪惊涛】真气消耗减1</t>
  </si>
  <si>
    <t>习得沧海观澜刀法心诀·万凿</t>
  </si>
  <si>
    <t>敛英</t>
  </si>
  <si>
    <t>提升气血回复属性10%</t>
  </si>
  <si>
    <t>銮客</t>
  </si>
  <si>
    <t>提升5％的移动速度</t>
  </si>
  <si>
    <t>放词</t>
  </si>
  <si>
    <t>2;8050101</t>
  </si>
  <si>
    <t>招式【归去来】的伤害提升10%。</t>
  </si>
  <si>
    <t>习得悲遮扇法心诀·放词</t>
  </si>
  <si>
    <t>凌散</t>
  </si>
  <si>
    <t>2;8050102</t>
  </si>
  <si>
    <t>招式【柔云绕指】释放时对敌方的造成【致盲】效果，有概率无法命中自身，效果持续3秒。</t>
  </si>
  <si>
    <t>习得悲遮扇法心诀·凌散</t>
  </si>
  <si>
    <t>风骨</t>
  </si>
  <si>
    <t>2;8050103</t>
  </si>
  <si>
    <t>【穷途】触发时，立即重置招式【复重楼】调息时间，每隔20秒触发1次。</t>
  </si>
  <si>
    <t>习得悲遮扇法心诀·风骨</t>
  </si>
  <si>
    <t>肆宴</t>
  </si>
  <si>
    <t>2;8050104</t>
  </si>
  <si>
    <t>招式【归去来】的伤害提升5%。</t>
  </si>
  <si>
    <t>习得悲遮扇法心诀·肆宴</t>
  </si>
  <si>
    <t>知秋</t>
  </si>
  <si>
    <t>2;8050105</t>
  </si>
  <si>
    <t>每次获得【难觅】效果时，将立即刷新【问秋风】的时间</t>
  </si>
  <si>
    <t>习得悲遮扇法心诀·知秋</t>
  </si>
  <si>
    <t>2;8040101</t>
  </si>
  <si>
    <t>招式【钧北顾】暴击率提升5%。</t>
  </si>
  <si>
    <t>习得北顾枪法心诀·摧岳</t>
  </si>
  <si>
    <t>百炼</t>
  </si>
  <si>
    <t>2;8040102</t>
  </si>
  <si>
    <t>暴击概率额外提升5%。</t>
  </si>
  <si>
    <t>习得北顾枪法心诀·百炼</t>
  </si>
  <si>
    <t>昭烈</t>
  </si>
  <si>
    <t>2;8040103</t>
  </si>
  <si>
    <t>招式【钧北顾】施展时增加20%暴击伤害。</t>
  </si>
  <si>
    <t>习得北顾枪法心诀·昭烈</t>
  </si>
  <si>
    <t>飞将</t>
  </si>
  <si>
    <t>2;8040104</t>
  </si>
  <si>
    <t>招式【横叠嶂】在飞跃时，自身免受任何伤害/控制效果。</t>
  </si>
  <si>
    <t>习得北顾枪法心诀·飞将</t>
  </si>
  <si>
    <t>痴缠</t>
  </si>
  <si>
    <t>2;8060101</t>
  </si>
  <si>
    <t>造成伤害时，附加【痴缠】效果，使目标每秒损失1%血量，持续5秒。</t>
  </si>
  <si>
    <t>习得暴雨梨花刀心诀·痴缠</t>
  </si>
  <si>
    <t>雨绻</t>
  </si>
  <si>
    <t>2;8060102</t>
  </si>
  <si>
    <t>造成伤害时，附加【雨绻】效果，使目标每5秒损失1真气，持续10秒。</t>
  </si>
  <si>
    <t>习得暴雨梨花刀心诀·雨绻</t>
  </si>
  <si>
    <t>绸缪</t>
  </si>
  <si>
    <t>2;8060103</t>
  </si>
  <si>
    <t>造成伤害时，附加【绸缪】效果，使目标每秒损失1%体力，持续5秒。</t>
  </si>
  <si>
    <t>习得暴雨梨花刀心诀·绸缪</t>
  </si>
  <si>
    <t>梅雨</t>
  </si>
  <si>
    <t>2;8060104</t>
  </si>
  <si>
    <t>体力恢复每秒额外恢复2点。</t>
  </si>
  <si>
    <t>习得暴雨梨花刀心诀·梅雨</t>
  </si>
  <si>
    <t>漫堤</t>
  </si>
  <si>
    <t>2;8060105</t>
  </si>
  <si>
    <t>体力上限额外增加10点。</t>
  </si>
  <si>
    <t>习得暴雨梨花刀心诀·漫堤</t>
  </si>
  <si>
    <t>炼血</t>
  </si>
  <si>
    <t>进入战斗时，提升5％的移动速度</t>
  </si>
  <si>
    <t>残筋</t>
  </si>
  <si>
    <t>降低【碎灯花】调息时间降低1秒</t>
  </si>
  <si>
    <t>化始</t>
  </si>
  <si>
    <t>2;8010301</t>
  </si>
  <si>
    <t>招式【大道始分】调息时间减少1秒。</t>
  </si>
  <si>
    <t>习得太极拳心诀·化始</t>
  </si>
  <si>
    <t>转寰</t>
  </si>
  <si>
    <t>2;8010302</t>
  </si>
  <si>
    <t>招式【开太极】调息时间减少1秒。</t>
  </si>
  <si>
    <t>习得太极拳心诀·转寰</t>
  </si>
  <si>
    <t>朝闻</t>
  </si>
  <si>
    <t>2;8010303</t>
  </si>
  <si>
    <t>招式【大道始分】真气消耗减1</t>
  </si>
  <si>
    <t>习得太极拳心诀·朝闻</t>
  </si>
  <si>
    <t>无我</t>
  </si>
  <si>
    <t>2;8010304</t>
  </si>
  <si>
    <t>招式【合太极】真气消耗减1</t>
  </si>
  <si>
    <t>习得太极拳心诀·无我</t>
  </si>
  <si>
    <t>斗转</t>
  </si>
  <si>
    <t>2;8010306</t>
  </si>
  <si>
    <t>招式【合太极】释放后，招式【开太极】减少调息时间1秒</t>
  </si>
  <si>
    <t>习得太极拳心诀·斗转</t>
  </si>
  <si>
    <t>昭赤</t>
  </si>
  <si>
    <t>2;8010201</t>
  </si>
  <si>
    <t>招式【伏邪诛阳】伤害提升5%</t>
  </si>
  <si>
    <t>习得伏阳开碑拳心诀·昭赤</t>
  </si>
  <si>
    <t>镇晷</t>
  </si>
  <si>
    <t>2;8010202</t>
  </si>
  <si>
    <t>招式【镇残碑】减少调息时间1秒</t>
  </si>
  <si>
    <t>习得伏阳开碑拳心诀·镇晷</t>
  </si>
  <si>
    <t>旱临</t>
  </si>
  <si>
    <t>2;8010203</t>
  </si>
  <si>
    <t>招式【伏邪诛阳】减少调息时间1秒</t>
  </si>
  <si>
    <t>习得伏阳开碑拳心诀·旱临</t>
  </si>
  <si>
    <t>烈轮</t>
  </si>
  <si>
    <t>2;8010204</t>
  </si>
  <si>
    <t>招式【伏邪诛阳】真气消耗降低1点</t>
  </si>
  <si>
    <t>习得伏阳开碑拳心诀·烈轮</t>
  </si>
  <si>
    <t>至旭</t>
  </si>
  <si>
    <t>2;8010205</t>
  </si>
  <si>
    <t>招式【镇残碑】施展后，下一次施展【伏邪诛阳】时必造成破防效果：防御力降低10%，持续5秒。</t>
  </si>
  <si>
    <t>习得伏阳开碑拳心诀·至旭</t>
  </si>
  <si>
    <t>束发</t>
  </si>
  <si>
    <t>招式【摘星寥】真气消耗降低1点</t>
  </si>
  <si>
    <t>寥落</t>
  </si>
  <si>
    <t>招式【引星穹】调息时间降低1秒</t>
  </si>
  <si>
    <t>长虹</t>
  </si>
  <si>
    <t>2;8020501</t>
  </si>
  <si>
    <t>招式【分阴阳】减少调息时间1秒</t>
  </si>
  <si>
    <t>习得两仪剑法心诀·长虹</t>
  </si>
  <si>
    <t>盈亏</t>
  </si>
  <si>
    <t>2;8020502</t>
  </si>
  <si>
    <t>招式【割昏晓】减少调息时间1秒</t>
  </si>
  <si>
    <t>习得两仪剑法心诀·盈亏</t>
  </si>
  <si>
    <t>气清</t>
  </si>
  <si>
    <t>2;8020503</t>
  </si>
  <si>
    <t>招式【分阴阳】真气消耗降低1点</t>
  </si>
  <si>
    <t>习得两仪剑法心诀·气清</t>
  </si>
  <si>
    <t>万化</t>
  </si>
  <si>
    <t>2;8020504</t>
  </si>
  <si>
    <t>招式【割昏晓】真气消耗降低1点</t>
  </si>
  <si>
    <t>习得两仪剑法心诀·万化</t>
  </si>
  <si>
    <t>凌虚</t>
  </si>
  <si>
    <t>2;8020505</t>
  </si>
  <si>
    <t>招式【荡寰宇】减少调息时间1秒</t>
  </si>
  <si>
    <t>习得两仪剑法心诀·凌虚</t>
  </si>
  <si>
    <t>魅身</t>
  </si>
  <si>
    <t>2;8020506</t>
  </si>
  <si>
    <t>招式【掠青川】施展后获得【霸体】效果。</t>
  </si>
  <si>
    <t>习得浮萍剑诀心诀·魅身</t>
  </si>
  <si>
    <t>矢志</t>
  </si>
  <si>
    <t>2;8010101</t>
  </si>
  <si>
    <t>招式【古锤-贯体式】，【古锤-锻终式】在释放过程中具有短暂霸体效果。</t>
  </si>
  <si>
    <t>习得千锻拳势心诀·矢志</t>
  </si>
  <si>
    <t>复烬</t>
  </si>
  <si>
    <t>2;8010102</t>
  </si>
  <si>
    <t>招式【古锤-锻终式】减少调息时间1秒</t>
  </si>
  <si>
    <t>习得千锻拳势心诀·复烬</t>
  </si>
  <si>
    <t>浑旋</t>
  </si>
  <si>
    <t>2;8010103</t>
  </si>
  <si>
    <t>招式【古锤-贯体式】减少调息时间1秒</t>
  </si>
  <si>
    <t>习得千锻拳势心诀·浑旋</t>
  </si>
  <si>
    <t>里剑术</t>
  </si>
  <si>
    <t>2;8100101</t>
  </si>
  <si>
    <t>招式【拔刀术.里切】真气消耗降低1点</t>
  </si>
  <si>
    <t>习得无心流·拔刀术心诀·里剑术</t>
  </si>
  <si>
    <t>断空流</t>
  </si>
  <si>
    <t>2;8100102</t>
  </si>
  <si>
    <t>招式【刀术.里返】施展时产生霸体</t>
  </si>
  <si>
    <t>习得无心流·拔刀术心诀·断空流</t>
  </si>
  <si>
    <t>逆袈裟</t>
  </si>
  <si>
    <t>2;8100103</t>
  </si>
  <si>
    <t>招式【拔刀术.居合】真气消耗降低1点</t>
  </si>
  <si>
    <t>习得无心流·拔刀术心诀·逆袈裟</t>
  </si>
  <si>
    <t>落樱花</t>
  </si>
  <si>
    <t>2;8100104</t>
  </si>
  <si>
    <t>招式【拔刀术.居合】减少调息时间1秒</t>
  </si>
  <si>
    <t>习得无心流·拔刀术心诀·落樱花</t>
  </si>
  <si>
    <t>刑天</t>
  </si>
  <si>
    <t>2;8040201</t>
  </si>
  <si>
    <t>招式【九州纵横】施展时，外功攻击提升5%</t>
  </si>
  <si>
    <t>习得玄黄入阵旌心诀·刑天</t>
  </si>
  <si>
    <t>风后</t>
  </si>
  <si>
    <t>2;8040202</t>
  </si>
  <si>
    <t>招式【十方共主】减少调息时间1秒</t>
  </si>
  <si>
    <t>习得玄黄入阵旌心诀·风后</t>
  </si>
  <si>
    <t>分野</t>
  </si>
  <si>
    <t>2;8040203</t>
  </si>
  <si>
    <t>招式【八荒尽取】减少调息时间1秒</t>
  </si>
  <si>
    <t>习得玄黄入阵旌心诀·分野</t>
  </si>
  <si>
    <t>鼎湖</t>
  </si>
  <si>
    <t>2;8040204</t>
  </si>
  <si>
    <t>招式【八荒尽取】施展时，外功攻击提升5%</t>
  </si>
  <si>
    <t>习得玄黄入阵旌心诀·鼎湖</t>
  </si>
  <si>
    <t>搦战</t>
  </si>
  <si>
    <t>2;8030101</t>
  </si>
  <si>
    <t>招式【夜斩石虎】调息时间减1秒。</t>
  </si>
  <si>
    <t>习得斩铁无锋卷心诀·搦战</t>
  </si>
  <si>
    <t>孤胆</t>
  </si>
  <si>
    <t>2;8030102</t>
  </si>
  <si>
    <t>招式【夜斩石虎】施展时产生2秒霸体。</t>
  </si>
  <si>
    <t>习得斩铁无锋卷心诀·孤胆</t>
  </si>
  <si>
    <t>不破</t>
  </si>
  <si>
    <t>2;8030103</t>
  </si>
  <si>
    <t>重击释放完毕后，自身将处于霸体状态，持续1秒。</t>
  </si>
  <si>
    <t>习得斩铁无锋卷心诀·不破</t>
  </si>
  <si>
    <t>众覆</t>
  </si>
  <si>
    <t>2;8030104</t>
  </si>
  <si>
    <t>招式【覆压千钧】调息时间减1秒。</t>
  </si>
  <si>
    <t>习得斩铁无锋卷心诀·众覆</t>
  </si>
  <si>
    <t>杀势</t>
  </si>
  <si>
    <t>2;8030105</t>
  </si>
  <si>
    <t>招式【锋卷破浪】调息时间减1秒。</t>
  </si>
  <si>
    <t>习得斩铁无锋卷心诀·杀势</t>
  </si>
  <si>
    <t>独觉</t>
  </si>
  <si>
    <t>2;8040301</t>
  </si>
  <si>
    <t>招式【一苇横江】不消耗真气。</t>
  </si>
  <si>
    <t>习得众相菩提杖心诀·独觉</t>
  </si>
  <si>
    <t>尘劫</t>
  </si>
  <si>
    <t>2;8040302</t>
  </si>
  <si>
    <t>招式【无我无相】施展时获得【霸体】效果。</t>
  </si>
  <si>
    <t>习得众相菩提杖心诀·尘劫</t>
  </si>
  <si>
    <t>三生</t>
  </si>
  <si>
    <t>2;8040303</t>
  </si>
  <si>
    <t>招式【拈花掷象】减少调息时间1秒。</t>
  </si>
  <si>
    <t>习得众相菩提杖心诀·三生</t>
  </si>
  <si>
    <t>破障</t>
  </si>
  <si>
    <t>2;8040304</t>
  </si>
  <si>
    <t>招式【无我无相】减少调息时间1秒。</t>
  </si>
  <si>
    <t>习得众相菩提杖心诀·破障</t>
  </si>
  <si>
    <t>不垢</t>
  </si>
  <si>
    <t>2;8040305</t>
  </si>
  <si>
    <t>【不动】效果持续10秒。</t>
  </si>
  <si>
    <t>习得众相菩提杖心诀·不垢</t>
  </si>
  <si>
    <t>御</t>
  </si>
  <si>
    <t>2;8040306</t>
  </si>
  <si>
    <t>招式【刀术.里切】获得【霸体】效果。</t>
  </si>
  <si>
    <t>习得无心流·拔刀术心诀·御</t>
  </si>
  <si>
    <t>腾龙</t>
  </si>
  <si>
    <t>2;8090101</t>
  </si>
  <si>
    <t>招式【龙游天地】真气消耗降低1点。</t>
  </si>
  <si>
    <t>习得醉饮降龙无双式心诀·腾龙</t>
  </si>
  <si>
    <t>降世</t>
  </si>
  <si>
    <t>2;8090102</t>
  </si>
  <si>
    <t>招式【神龙摆尾】真气消耗降低1点。</t>
  </si>
  <si>
    <t>习得醉饮降龙无双式心诀·降世</t>
  </si>
  <si>
    <t>鸿渐</t>
  </si>
  <si>
    <t>2;8090103</t>
  </si>
  <si>
    <t>招式【龙游天地】减少调息时间1秒。</t>
  </si>
  <si>
    <t>习得醉饮降龙无双式心诀·鸿渐</t>
  </si>
  <si>
    <t>时乘</t>
  </si>
  <si>
    <t>2;8090104</t>
  </si>
  <si>
    <t>招式【神龙摆尾】减少调息时间1秒。</t>
  </si>
  <si>
    <t>习得醉饮降龙无双式心诀·时乘</t>
  </si>
  <si>
    <t>不息</t>
  </si>
  <si>
    <t>2;8090105</t>
  </si>
  <si>
    <t>招式【飞龙在天】减少调息时间1秒。</t>
  </si>
  <si>
    <t>习得醉饮降龙无双式心诀·不息</t>
  </si>
  <si>
    <t>晦朔</t>
  </si>
  <si>
    <t>2;8130101</t>
  </si>
  <si>
    <t>招式【澜沧凌栈】真气消耗降低1点。</t>
  </si>
  <si>
    <t>习得鳞五净蛊鞭心诀·晦朔</t>
  </si>
  <si>
    <t>蛇影</t>
  </si>
  <si>
    <t>2;8130102</t>
  </si>
  <si>
    <t>招式【灵蛇刁蛊】减少调息时间1秒。</t>
  </si>
  <si>
    <t>习得鳞五净蛊鞭心诀·蛇影</t>
  </si>
  <si>
    <t>星居</t>
  </si>
  <si>
    <t>2;8130103</t>
  </si>
  <si>
    <t>招式【天龙佑躯】后对造成伤害的目标附加【眩晕】效果。</t>
  </si>
  <si>
    <t>习得鳞五净蛊鞭心诀·星居</t>
  </si>
  <si>
    <t>渺渺然</t>
  </si>
  <si>
    <t>2;8130201</t>
  </si>
  <si>
    <t>自身移动速度提升50点，每30秒获得1点真气。</t>
  </si>
  <si>
    <t>归骨地</t>
  </si>
  <si>
    <t>2;8130202</t>
  </si>
  <si>
    <t>提升自身3%外功攻击。</t>
  </si>
  <si>
    <t>灵犀</t>
  </si>
  <si>
    <t>2;8150101</t>
  </si>
  <si>
    <t>招式【绕蛊缠身】施展时获得【霸体】效果。</t>
  </si>
  <si>
    <t>习得七情缠蛊匕心诀·灵犀</t>
  </si>
  <si>
    <t>祭礼</t>
  </si>
  <si>
    <t>2;8150102</t>
  </si>
  <si>
    <t>招式【残空凌】减少调息时间1秒。</t>
  </si>
  <si>
    <t>习得七情缠蛊匕心诀·祭礼</t>
  </si>
  <si>
    <t>百足</t>
  </si>
  <si>
    <t>2;8150103</t>
  </si>
  <si>
    <t>招式【青丝缠蛇法】减少调息时间1秒。</t>
  </si>
  <si>
    <t>习得七情缠蛊匕心诀·百足</t>
  </si>
  <si>
    <t>转瞬</t>
  </si>
  <si>
    <t>2;8120101</t>
  </si>
  <si>
    <t>【招式矢雨晴】施展后，增加自身的移动速度。</t>
  </si>
  <si>
    <t>习得锋狩控弦决心诀·转瞬</t>
  </si>
  <si>
    <t>须臾</t>
  </si>
  <si>
    <t>2;8120102</t>
  </si>
  <si>
    <t>招式【寒猎晓镝】施展时，拿箭刺击时获得霸体效果。</t>
  </si>
  <si>
    <t>习得锋狩控弦决心诀·须臾</t>
  </si>
  <si>
    <t>游散</t>
  </si>
  <si>
    <t>2;8120103</t>
  </si>
  <si>
    <t>当自身被击飞时，获得1秒的无敌效果。</t>
  </si>
  <si>
    <t>习得锋狩控弦决心诀·游散</t>
  </si>
  <si>
    <t>激灼</t>
  </si>
  <si>
    <t>2;8110101</t>
  </si>
  <si>
    <t>招式【扫岳荡丘】攻击附加【灼烧】目标的敌人时减少【草蛇金线】招式的当前调息时间1秒。</t>
  </si>
  <si>
    <t>习得流缶金绳镖心诀·激灼</t>
  </si>
  <si>
    <t>扬尘</t>
  </si>
  <si>
    <t>2;8110102</t>
  </si>
  <si>
    <t>招式【草蛇金线】攻击附加【灼烧】目标的敌人时减少获得【扬尘】效果，该效果持续8秒,效果持续期间施展【扫岳荡丘】所需消耗的真气降低1点。</t>
  </si>
  <si>
    <t>习得流缶金绳镖心诀·扬尘</t>
  </si>
  <si>
    <t>散星</t>
  </si>
  <si>
    <t>2;8110103</t>
  </si>
  <si>
    <t>招式【流星奔散】施展时获得霸体效果。</t>
  </si>
  <si>
    <t>习得流缶金绳镖心诀·散星</t>
  </si>
  <si>
    <t>势</t>
  </si>
  <si>
    <t>2;8100201</t>
  </si>
  <si>
    <t>额外增加【斩·断石】招式剑气伤害。</t>
  </si>
  <si>
    <t>习得密剑·山中石响心诀·势</t>
  </si>
  <si>
    <t>返</t>
  </si>
  <si>
    <t>2;8100202</t>
  </si>
  <si>
    <t>招式【裟·破林】施展后减少【斩·断石】招式的当前调息时间1秒。</t>
  </si>
  <si>
    <t>习得密剑·山中石响心诀·返</t>
  </si>
  <si>
    <t>苍</t>
  </si>
  <si>
    <t>2;8010305</t>
  </si>
  <si>
    <t>招式【密·归寂】施展后获得【霸体】效果。</t>
  </si>
  <si>
    <t>习得密剑·山中石响心诀·苍</t>
  </si>
  <si>
    <t>断绳</t>
  </si>
  <si>
    <t>弑流··伐剑取</t>
  </si>
  <si>
    <t>招式【初取·攻伐】调息时间降低1秒</t>
  </si>
  <si>
    <t>98100302</t>
  </si>
  <si>
    <t>刀取</t>
  </si>
  <si>
    <t>进入战斗时，根据提升最终伤害5%</t>
  </si>
  <si>
    <t>8100302</t>
  </si>
  <si>
    <t>守土</t>
  </si>
  <si>
    <t>自身防御提升3%，进入战斗后反伤属性提升10%</t>
  </si>
  <si>
    <t>98100402</t>
  </si>
  <si>
    <t>开疆</t>
  </si>
  <si>
    <t>提升3%最终伤害，50点移动速度</t>
  </si>
  <si>
    <t>8100402</t>
  </si>
  <si>
    <t>蓄机</t>
  </si>
  <si>
    <t>2;8140101</t>
  </si>
  <si>
    <t>进入战斗后,默认额外增加1颗初始子弹数量。</t>
  </si>
  <si>
    <t>习得西域火器·珠心诀·蓄机</t>
  </si>
  <si>
    <t>流构</t>
  </si>
  <si>
    <t>2;8140102</t>
  </si>
  <si>
    <t>招式【散珠·蓄】施展后，增加自身的移动速度。</t>
  </si>
  <si>
    <t>习得西域火器·珠心诀·流构</t>
  </si>
  <si>
    <t>扩匣</t>
  </si>
  <si>
    <t>2;8140103</t>
  </si>
  <si>
    <t>弹容量增加1发。</t>
  </si>
  <si>
    <t>习得西域火器·珠心诀·扩匣</t>
  </si>
  <si>
    <t>复始</t>
  </si>
  <si>
    <t>2;8050106</t>
  </si>
  <si>
    <t>额外增加【经合夜昼】扇子击中目标所造成的伤害。</t>
  </si>
  <si>
    <t>习得小周天扇法心诀·复始</t>
  </si>
  <si>
    <t>2;8050201</t>
  </si>
  <si>
    <t>移动速度增加50。</t>
  </si>
  <si>
    <t>习得小周天扇法心诀·不息</t>
  </si>
  <si>
    <t>注化</t>
  </si>
  <si>
    <t>2;8050202</t>
  </si>
  <si>
    <t>招式【化气贯神】施展时，获得霸体效果。</t>
  </si>
  <si>
    <t>习得小周天扇法心诀·注化</t>
  </si>
  <si>
    <t>红月</t>
  </si>
  <si>
    <t>2;8010307</t>
  </si>
  <si>
    <t>吸血属性额外提升10%。</t>
  </si>
  <si>
    <t>习得月残经心诀·红月</t>
  </si>
  <si>
    <t>清辉</t>
  </si>
  <si>
    <t>2;8150201</t>
  </si>
  <si>
    <t>额外增加轻击5%的伤害。</t>
  </si>
  <si>
    <t>习得月残经心诀·清辉</t>
  </si>
  <si>
    <t>寒玉</t>
  </si>
  <si>
    <t>2;8150202</t>
  </si>
  <si>
    <t>招式【谪玉盘】施展后，获得2秒的霸体效果。</t>
  </si>
  <si>
    <t>习得月残经心诀·寒玉</t>
  </si>
  <si>
    <t>将谪</t>
  </si>
  <si>
    <t>2;8040401</t>
  </si>
  <si>
    <t>招式【秦王入阵】对目标造成伤害后，获得1层【将星】效果，该效果持续3秒，该效果叠加至5层后，获得【无敌】，无敌效果持续2秒。</t>
  </si>
  <si>
    <t>习得镇国抵岳枪心诀·将谪</t>
  </si>
  <si>
    <t>陷曲</t>
  </si>
  <si>
    <t>2;8040402</t>
  </si>
  <si>
    <t>当自身气血降低至50%后，气血恢复属性增加25%</t>
  </si>
  <si>
    <t>习得镇国抵岳枪心诀·陷曲</t>
  </si>
  <si>
    <t>独横</t>
  </si>
  <si>
    <t>2;8040403</t>
  </si>
  <si>
    <t>当施展【虎贲阵】的【漠玉鞍】招式后,获得【独横】效果，效果持续期间每秒恢复30体力,该效果持续8秒</t>
  </si>
  <si>
    <t>习得镇国抵岳枪心诀·独横</t>
  </si>
  <si>
    <t>破云</t>
  </si>
  <si>
    <t>2;8050107</t>
  </si>
  <si>
    <t>招式【梭云回日】施展后获得【霸体】效果。</t>
  </si>
  <si>
    <t>习得踪影孤鸿心诀·破云</t>
  </si>
  <si>
    <t>返日</t>
  </si>
  <si>
    <t>2;8090201</t>
  </si>
  <si>
    <t>招式【梭云回日】施展后降低【纵九霄】当前调息时间1秒。</t>
  </si>
  <si>
    <t>习得踪影孤鸿心诀·返日</t>
  </si>
  <si>
    <t>掠风</t>
  </si>
  <si>
    <t>2;8090202</t>
  </si>
  <si>
    <t>招式【梭云回日】施展后对受到伤害的目标附加【风阻】效果，移动速度降低30%，效果持续5秒。</t>
  </si>
  <si>
    <t>习得踪影孤鸿心诀·掠风</t>
  </si>
  <si>
    <t>沙横</t>
  </si>
  <si>
    <t>2;8030201</t>
  </si>
  <si>
    <t>当获得【七煞铁衣功】的【阴山月】内功注释后，施展【醉横沙场】招式后霸体效果延续2秒。</t>
  </si>
  <si>
    <t>习得醉君侯刀铭心诀·沙横</t>
  </si>
  <si>
    <t>陷阵</t>
  </si>
  <si>
    <t>2;8030202</t>
  </si>
  <si>
    <t>当自身气血降低至50%后，额外增加8%的伤害。</t>
  </si>
  <si>
    <t>习得醉君侯刀铭心诀·陷阵</t>
  </si>
  <si>
    <t>冲阵</t>
  </si>
  <si>
    <t>2;8030203</t>
  </si>
  <si>
    <t>当自身受击时获得【坚守】效果，体力回复增加15%，该效果持续5秒</t>
  </si>
  <si>
    <t>习得醉君侯刀铭心诀·冲阵</t>
  </si>
  <si>
    <t>天衍·夕落卷</t>
  </si>
  <si>
    <t>天衍篇</t>
  </si>
  <si>
    <t>三才书</t>
  </si>
  <si>
    <t>3;100101</t>
  </si>
  <si>
    <t>装配此卷的角色持单手轻刃、扇法时外功和内功攻击额外提升5%。（可装备至【天卷】1号槽位）</t>
  </si>
  <si>
    <t>习得天衍·夕落卷</t>
  </si>
  <si>
    <t>item/sancaishutian</t>
  </si>
  <si>
    <t>天衍·裂石卷</t>
  </si>
  <si>
    <t>3;100102</t>
  </si>
  <si>
    <t>装配此卷的角色持拳掌、腿脚时外功和内功攻击额外提升5%。（可装备至【天卷】1号槽位）</t>
  </si>
  <si>
    <t>习得天衍·裂石卷</t>
  </si>
  <si>
    <t>天衍·破军卷</t>
  </si>
  <si>
    <t>3;100103</t>
  </si>
  <si>
    <t>装配此卷的角色持重刃、长兵时外功和内功攻击额外提升5%。（可装备至【天卷】1号槽位）</t>
  </si>
  <si>
    <t>习得天衍·破军卷</t>
  </si>
  <si>
    <t>天衍·桃花卷</t>
  </si>
  <si>
    <t>3;100104</t>
  </si>
  <si>
    <t>装配此卷的角色持绳镖、软鞭时外功和内功攻击额外提升5%。（可装备至【天卷】1号槽位）</t>
  </si>
  <si>
    <t>习得天衍·桃花卷</t>
  </si>
  <si>
    <t>天衍·摘星卷</t>
  </si>
  <si>
    <t>3;100105</t>
  </si>
  <si>
    <t>装配此卷的角色持暗器、火器、弓箭时外功和内功攻击额外提升5%。（可装备至【天卷】1号槽位）</t>
  </si>
  <si>
    <t>习得天衍·摘星卷</t>
  </si>
  <si>
    <t>天衍·须佐卷</t>
  </si>
  <si>
    <t>3;100106</t>
  </si>
  <si>
    <t>装配此卷的角色持双手轻刃、短兵时外功和内功攻击额外提升5%。（可装备至【天卷】1号槽位）</t>
  </si>
  <si>
    <t>习得天衍·须佐卷</t>
  </si>
  <si>
    <t>天衍·望山卷</t>
  </si>
  <si>
    <t>3;100107</t>
  </si>
  <si>
    <t>装配此卷的角色施展拳掌、腿脚武学将获得额外5%外功和内功攻击的提升。（可装备至【天卷】2号槽位）</t>
  </si>
  <si>
    <t>习得天衍·望山卷</t>
  </si>
  <si>
    <t>天衍·凌云卷</t>
  </si>
  <si>
    <t>3;100108</t>
  </si>
  <si>
    <t>装配此卷的角色施展单手轻刃、扇法武学将获得额外5%外功和内功攻击的提升。（可装备至【天卷】2号槽位）</t>
  </si>
  <si>
    <t>习得天衍·凌云卷</t>
  </si>
  <si>
    <t>天衍·西风卷</t>
  </si>
  <si>
    <t>3;100109</t>
  </si>
  <si>
    <t>装配此卷的角色施展重剑、长兵武学将获得额外5%外功和内功攻击的提升。（可装备至【天卷】2号槽位）</t>
  </si>
  <si>
    <t>习得天衍·西风卷</t>
  </si>
  <si>
    <t>天衍·相思卷</t>
  </si>
  <si>
    <t>3;100110</t>
  </si>
  <si>
    <t>装配此卷的角色施展暗器、火器、弓箭武学将获得额外5%外功和内功攻击的提升。（可装备至【天卷】2号槽位）</t>
  </si>
  <si>
    <t>习得天衍·相思卷</t>
  </si>
  <si>
    <t>天衍·建御卷</t>
  </si>
  <si>
    <t>3;100111</t>
  </si>
  <si>
    <t>装配此卷的角色施展双手轻刃、短兵武学将获得额外5%外功和内功攻击的提升。（可装备至【天卷】2号槽位）</t>
  </si>
  <si>
    <t>习得天衍·建御卷</t>
  </si>
  <si>
    <t>天衍·泄玉卷</t>
  </si>
  <si>
    <t>3;100112</t>
  </si>
  <si>
    <t>装配此卷的角色施展绳镖、软鞭武学将获得额外5%外功和内功攻击的提升。（可装备至【天卷】2号槽位）</t>
  </si>
  <si>
    <t>习得天衍·泄玉卷</t>
  </si>
  <si>
    <t>天衍·狮搏卷</t>
  </si>
  <si>
    <t>3;100113</t>
  </si>
  <si>
    <t>装配此卷的角色外功攻击提升5%，外功防御降低5%。（可装备至【天卷】3号槽位）</t>
  </si>
  <si>
    <t>习得天衍·狮搏卷</t>
  </si>
  <si>
    <t>天衍·敛瀑卷</t>
  </si>
  <si>
    <t>3;100114</t>
  </si>
  <si>
    <t>装配此卷的角色内功攻击提升5%，内功防御降低5%。（可装备至【天卷】3号槽位）</t>
  </si>
  <si>
    <t>习得天衍·敛瀑卷</t>
  </si>
  <si>
    <t>天衍·长生卷</t>
  </si>
  <si>
    <t>3;100115</t>
  </si>
  <si>
    <t>装配此卷的角色气血恢复额外提升10%（可装备至【天卷】3号槽位）</t>
  </si>
  <si>
    <t>习得天衍·长生卷</t>
  </si>
  <si>
    <t>天衍·震乾卷</t>
  </si>
  <si>
    <t>3;100116</t>
  </si>
  <si>
    <t>装配此卷的角色暴击率提升5%。（可装备至【天卷】4号槽位）</t>
  </si>
  <si>
    <t>习得天衍·震乾卷</t>
  </si>
  <si>
    <t>天衍·镇厌卷</t>
  </si>
  <si>
    <t>3;100117</t>
  </si>
  <si>
    <t>装配此卷的角色暴击伤害提升15%，暴击减免降低5%。（可装备至【天卷】4号槽位）</t>
  </si>
  <si>
    <t>习得天衍·镇厌卷</t>
  </si>
  <si>
    <t>天衍·弃世卷</t>
  </si>
  <si>
    <t>3;100118</t>
  </si>
  <si>
    <t>装配此卷的角色暴击率提升5%，暴击伤害提升10%（可装备至【天卷】4号槽位）</t>
  </si>
  <si>
    <t>习得天衍·弃世卷</t>
  </si>
  <si>
    <t xml:space="preserve">天衍·晦朔卷 </t>
  </si>
  <si>
    <t>3;100119</t>
  </si>
  <si>
    <t>装配此卷的角色攻击力提升3%，气血上限降低10%（可装备至【天卷】5号槽位）</t>
  </si>
  <si>
    <t>习得天衍·晦朔卷</t>
  </si>
  <si>
    <t>天衍·喋喰卷</t>
  </si>
  <si>
    <t>3;100120</t>
  </si>
  <si>
    <t>装配此卷的角色吸血提升5%。（可装备至【天卷】5号槽位）</t>
  </si>
  <si>
    <t>习得天衍·喋喰卷</t>
  </si>
  <si>
    <t>地覆·混元卷</t>
  </si>
  <si>
    <t>地覆卷</t>
  </si>
  <si>
    <t>3;100121</t>
  </si>
  <si>
    <t>装配此卷的角色内功防御与外功防御皆提升5%。（可装备至【地卷】1号槽位）</t>
  </si>
  <si>
    <t>习得地覆·混元卷</t>
  </si>
  <si>
    <t>item/sancaishudi</t>
  </si>
  <si>
    <t>地覆·万生卷</t>
  </si>
  <si>
    <t>3;100122</t>
  </si>
  <si>
    <t>装配此卷的角色体力恢复额外提升20%（可装备至【地卷】1号槽位）</t>
  </si>
  <si>
    <t>习得地覆·万生卷</t>
  </si>
  <si>
    <t>地覆·垒峦卷</t>
  </si>
  <si>
    <t>3;100123</t>
  </si>
  <si>
    <t>装配此卷的角色外功防御提升15%，外功攻击降低10%（可装备至【地卷】2号槽位）</t>
  </si>
  <si>
    <t>习得地覆·垒峦卷</t>
  </si>
  <si>
    <t>地覆·开疆卷</t>
  </si>
  <si>
    <t>3;100124</t>
  </si>
  <si>
    <t>装配此卷的角色内功防御提升15%，内功攻击降低10%（可装备至【地卷】2号槽位）</t>
  </si>
  <si>
    <t>习得地覆·开疆卷</t>
  </si>
  <si>
    <t>地覆·诸御卷</t>
  </si>
  <si>
    <t>3;100125</t>
  </si>
  <si>
    <t>装配此卷的角色暴击减免提升10%。（可装备至【地卷】2号槽位）</t>
  </si>
  <si>
    <t>习得地覆·诸御卷</t>
  </si>
  <si>
    <t>地覆·万钟卷</t>
  </si>
  <si>
    <t>3;100126</t>
  </si>
  <si>
    <t>装配此卷的角色内功防御提升10%。（可装备至【地卷】3号槽位）</t>
  </si>
  <si>
    <t>习得地覆·万钟卷</t>
  </si>
  <si>
    <t>地覆·固源卷</t>
  </si>
  <si>
    <t>3;100127</t>
  </si>
  <si>
    <t>装配此卷的角色免暴提升10%。（可装备至【地卷】3号槽位）</t>
  </si>
  <si>
    <t>习得地覆·固源卷</t>
  </si>
  <si>
    <t>地覆·架擎卷</t>
  </si>
  <si>
    <t>3;100128</t>
  </si>
  <si>
    <t>装配此卷的角色暴击减免提升10%。（可装备至【地卷】4号槽位）</t>
  </si>
  <si>
    <t>习得地覆·架擎卷</t>
  </si>
  <si>
    <t>地覆·骄子卷</t>
  </si>
  <si>
    <t>3;100129</t>
  </si>
  <si>
    <t>装配此卷的角色气血上限提升10%。（可装备至【地卷】4号槽位）</t>
  </si>
  <si>
    <t>习得地覆·骄子卷</t>
  </si>
  <si>
    <t>地覆·无垢卷</t>
  </si>
  <si>
    <t>3;100130</t>
  </si>
  <si>
    <t>装配此卷的角色气血上限增加5%，气血恢复降低5%（可装备至【地卷】5号槽位）</t>
  </si>
  <si>
    <t>习得地覆·无垢卷</t>
  </si>
  <si>
    <t>地覆·触石卷</t>
  </si>
  <si>
    <t>3;100131</t>
  </si>
  <si>
    <t>装配此卷的角色外功防御提升10%。（可装备至【地卷】5号槽位）</t>
  </si>
  <si>
    <t>习得地覆·触石卷</t>
  </si>
  <si>
    <t>地覆·睚眦卷</t>
  </si>
  <si>
    <t>3;100132</t>
  </si>
  <si>
    <t>装配此卷的角色反伤提升5%。（可装备至【地卷】5号槽位）</t>
  </si>
  <si>
    <t>习得地覆·睚眦卷</t>
  </si>
  <si>
    <t>地覆·坤玖卷</t>
  </si>
  <si>
    <t>3;100133</t>
  </si>
  <si>
    <t>装配此卷的角色体力上限提升10%。（可装备至【地卷】5号槽位）</t>
  </si>
  <si>
    <t>习得地覆·坤玖卷</t>
  </si>
  <si>
    <t>人世·诛邪卷</t>
  </si>
  <si>
    <t>人世卷</t>
  </si>
  <si>
    <t>3;100134</t>
  </si>
  <si>
    <t>装配此卷的角色单手轻刃、扇法的相关武学时，暴击率提升5%。（可装备至【人卷】1号槽位）</t>
  </si>
  <si>
    <t>习得人世·诛邪卷</t>
  </si>
  <si>
    <t>item/sancaishuren</t>
  </si>
  <si>
    <t>人世·撼岳卷</t>
  </si>
  <si>
    <t>3;100135</t>
  </si>
  <si>
    <t>装配此卷的角色拳掌、腿脚的相关武学时，暴击率提升5%。（可装备至【人卷】1号槽位）</t>
  </si>
  <si>
    <t>习得人世·撼岳卷</t>
  </si>
  <si>
    <t>人世·孤鸾卷</t>
  </si>
  <si>
    <t>3;100136</t>
  </si>
  <si>
    <t>装配此卷的角色重刃、长兵的相关武学时，暴击率提升5%。（可装备至【人卷】1号槽位）</t>
  </si>
  <si>
    <t>习得人世·孤鸾卷</t>
  </si>
  <si>
    <t>人世·天照卷</t>
  </si>
  <si>
    <t>3;100137</t>
  </si>
  <si>
    <t>装配此卷的角色双手轻刃、短兵的相关武学时，暴击率提升5%。（可装备至【人卷】1号槽位）</t>
  </si>
  <si>
    <t>习得人世·天照卷</t>
  </si>
  <si>
    <t>人世·寒鹊卷</t>
  </si>
  <si>
    <t>3;100138</t>
  </si>
  <si>
    <t>装配此卷的角色暗器、火器、弓箭的相关武学时，暴击率提升5%。（可装备至【人卷】1号槽位）</t>
  </si>
  <si>
    <t>习得人世·寒鹊卷</t>
  </si>
  <si>
    <t>人世·断肠卷</t>
  </si>
  <si>
    <t>3;100139</t>
  </si>
  <si>
    <t>装配此卷的角色软鞭、绳镖的相关武学时，暴击率提升5%。（可装备至【人卷】1号槽位）</t>
  </si>
  <si>
    <t>习得人世·断肠卷</t>
  </si>
  <si>
    <t>人世·不工卷</t>
  </si>
  <si>
    <t>3;100140</t>
  </si>
  <si>
    <t>装配此卷的角色反伤提升10%，移动速度降低50（可装备至【人卷】2号槽位）</t>
  </si>
  <si>
    <t>习得人世·不工卷</t>
  </si>
  <si>
    <t>人世·致学卷</t>
  </si>
  <si>
    <t>3;100141</t>
  </si>
  <si>
    <t>装配此卷的角色获得的修为值额外提升10%，仅主角可生效。（可装备至【人卷】2号槽位）</t>
  </si>
  <si>
    <t>习得人世·致学卷</t>
  </si>
  <si>
    <t>人世·无迹卷</t>
  </si>
  <si>
    <t>3;100142</t>
  </si>
  <si>
    <t>装配此卷的角色提升30点移动速度。（可装备至【人卷】2号槽位）</t>
  </si>
  <si>
    <t>习得人世·无迹卷</t>
  </si>
  <si>
    <t>人世·百草卷</t>
  </si>
  <si>
    <t>3;100143</t>
  </si>
  <si>
    <t>装配此卷的角色气血恢复属性提升10%。（可装备至【人卷】3号槽位）</t>
  </si>
  <si>
    <t>习得人世·百草卷</t>
  </si>
  <si>
    <t>人世·药蛊卷</t>
  </si>
  <si>
    <t>3;100144</t>
  </si>
  <si>
    <t>装配此卷的角色体力恢复提升10%。（可装备至【人卷】3号槽位）</t>
  </si>
  <si>
    <t>习得人世·药蛊卷</t>
  </si>
  <si>
    <t>人世·悬壶卷</t>
  </si>
  <si>
    <t>3;100145</t>
  </si>
  <si>
    <t>装配此卷的角色吸血提升5%，气血上限降低5%（可装备至【人卷】3号槽位）</t>
  </si>
  <si>
    <t>习得人世·悬壶卷</t>
  </si>
  <si>
    <t>人世·匠造卷</t>
  </si>
  <si>
    <t>3;100146</t>
  </si>
  <si>
    <t>装配此卷的角色移动速度提升30，体力上限降低20%（可装备至【人卷】4号槽位）</t>
  </si>
  <si>
    <t>习得人世·匠造卷</t>
  </si>
  <si>
    <t>人世·妙手卷</t>
  </si>
  <si>
    <t>3;100147</t>
  </si>
  <si>
    <t>装配此卷的角色，使用暗器时提升自身暴击率10%（可装备至【人卷】4号槽位）</t>
  </si>
  <si>
    <t>习得人世·妙手卷</t>
  </si>
  <si>
    <t>人世·丹霞卷</t>
  </si>
  <si>
    <t>3;100148</t>
  </si>
  <si>
    <t>装配此卷的角色内劲增长提升10%。（可装备至【人卷】4号槽位）</t>
  </si>
  <si>
    <t>习得人世·丹霞卷</t>
  </si>
  <si>
    <t>人世·达摩卷</t>
  </si>
  <si>
    <t>3;100149</t>
  </si>
  <si>
    <t>装配此卷的角色获得的修为值额外提升10%，攻击力降低5%（可装备至【人卷】5号槽位）</t>
  </si>
  <si>
    <t>习得人世·达摩卷</t>
  </si>
  <si>
    <t>人世·情蛊卷</t>
  </si>
  <si>
    <t>3;100150</t>
  </si>
  <si>
    <t>装配此卷的角色免暴提升10%，暴击减免提升10%（可装备至【人卷】5号槽位）</t>
  </si>
  <si>
    <t>习得人世·情蛊卷</t>
  </si>
  <si>
    <t>Thousand-Forged Fist Momentum</t>
  </si>
  <si>
    <t>Skill</t>
  </si>
  <si>
    <t>Fist momentum like a hammer, combining hardness and softness in transitions, dismantling all directions. (Affected attribute: Might)</t>
  </si>
  <si>
    <t>Mastered Thousand-Forged Fist Momentum</t>
  </si>
  <si>
    <t>Thousand-Forged Fist Momentum (Volume 1)</t>
  </si>
  <si>
    <t>Thousand-Forged Fist Momentum (Volume 2)</t>
  </si>
  <si>
    <t>Thousand-Forged Fist Momentum (Complete)</t>
  </si>
  <si>
    <t>Fuyang Boulder-Splitting Fist</t>
  </si>
  <si>
    <t>Utmost yang and utmost rigidity, overwhelmingly fierce and swift, with the power to shatter armor and split stone. (Affected attribute: Might)</t>
  </si>
  <si>
    <t>Mastered Sun-Sundering Boulder Fist</t>
  </si>
  <si>
    <t>Fuyang Boulder-Splitting Fist (Volume 1)</t>
  </si>
  <si>
    <t>Fuyang Boulder-Splitting Fist (Volume 2)</t>
  </si>
  <si>
    <t>Fuyang Boulder-Splitting Fist (Complete)</t>
  </si>
  <si>
    <t>Taiji Fist</t>
  </si>
  <si>
    <t>The orthodox method of Taihe, the true martial Taiji. This fist technique transcends sectarian views, accessible to all. Taijiquan progresses from shallow to deep, using softness to overcome hardness. Without sufficient enlightenment and temperament, even a fist technique genius cannot fully unleash its power. (Affected attribute: Breath)</t>
  </si>
  <si>
    <t>Mastered Tai Chi Fist</t>
  </si>
  <si>
    <t>Taiji Fist (Volume 1)</t>
  </si>
  <si>
    <t>Taiji Fist (Volume 2)</t>
  </si>
  <si>
    <t>Taiji Fist (Complete)</t>
  </si>
  <si>
    <t>Divine Sword Finger</t>
  </si>
  <si>
    <t>Rumored to be a divine martial art created by the former dynasty's Prince Jingnan. Only those with unparalleled internal strength can practice it. When mastered, sword energy crisscrosses, capable of killing enemies a hundred paces away. (Affected attribute: Breath)</t>
  </si>
  <si>
    <t>Mastered Divine Sword Finger</t>
  </si>
  <si>
    <t>Divine Sword Finger (Volume 1)</t>
  </si>
  <si>
    <t>Divine Sword Finger (Volume 2)</t>
  </si>
  <si>
    <t>Divine Sword Finger (Complete)</t>
  </si>
  <si>
    <t>Soaring Swan Sword Momentum</t>
  </si>
  <si>
    <t>Graceful as a startled swan, swift and precise in flight. The sorrow of a lone swan, questioning the path home. Where gratitude and grudges part, armor is shattered for three thousand miles. (Affected attribute: Dexterity)</t>
  </si>
  <si>
    <t>Mastered Soaring Swan Sword Momentum</t>
  </si>
  <si>
    <t>Soaring Swan Sword Momentum (Volume 1)</t>
  </si>
  <si>
    <t>Soaring Swan Sword Momentum (Volume 2)</t>
  </si>
  <si>
    <t>Soaring Swan Sword Momentum (Complete)</t>
  </si>
  <si>
    <t>Breeze Swordplay</t>
  </si>
  <si>
    <t>Swift as the breeze, formless and ethereal. Its style is light and elegant, rumored to have been created by the former wanderer Jiang Huaichu. After Jiang's death at the hands of the Imperial Guards, the technique was lost. (Affected attribute: Dexterity)</t>
  </si>
  <si>
    <t>Mastered Breeze Swordplay</t>
  </si>
  <si>
    <t>Breeze Swordplay (Volume 1)</t>
  </si>
  <si>
    <t>Breeze Swordplay (Volume 2)</t>
  </si>
  <si>
    <t>Breeze Swordplay (Complete)</t>
  </si>
  <si>
    <t>Swift as the breeze, formless and ethereal. Its style is light and elegant, rumored to have been created by the former wanderer Jiang Huaichu. after Jiang's death at the hands of the Imperial Guards, the technique was lost. (Affected attribute: Dexterity)</t>
  </si>
  <si>
    <t>Ocean-Gazing Blade Art</t>
  </si>
  <si>
    <t>A blade technique passed down by the Tianya Haige, created by its master Zuo Sansi while contemplating the sea. Its momentum is fierce, like the waves of the vast ocean. (Affected attribute: Martial Arts)</t>
  </si>
  <si>
    <t>Mastered Sea-Gazing Wave Blade</t>
  </si>
  <si>
    <t>Ocean-Gazing Blade Art (Volume 1)</t>
  </si>
  <si>
    <t>Ocean-Gazing Blade Art (Volume 2)</t>
  </si>
  <si>
    <t>Ocean-Gazing Blade Art (Complete)</t>
  </si>
  <si>
    <t>Dual-Polarity Swordplay</t>
  </si>
  <si>
    <t>The Taihe sword technique, said to originate from the division of yin and yang, forming the two polarities, encompassing the four realms. Utmost truth and purity, the true transmission of Daoist swordplay. Its breadth and profundity far surpass ordinary martial techniques. However, without sincere temperament and insufficient enlightenment, even learning its form is futile. (Affected attribute: Breath)</t>
  </si>
  <si>
    <t>Mastered Dual-Polarity Swordplay</t>
  </si>
  <si>
    <t>Dual-Polarity Swordplay (Volume 1)</t>
  </si>
  <si>
    <t>Dual-Polarity Swordplay (Volume 2)</t>
  </si>
  <si>
    <t>Dual-Polarity Swordplay (Complete)</t>
  </si>
  <si>
    <t>Floating Duckweed Sword Formula</t>
  </si>
  <si>
    <t>Gathering and scattering like duckweed, life and death like fleeting foam. This sword technique is rumored to have been created by an unnamed palace eunuch of a former dynasty. It is swift, fierce, and elusive, advancing and retreating like the wind. (Affected attribute: Dexterity)</t>
  </si>
  <si>
    <t>Mastered Floating Duckweed Sword Art</t>
  </si>
  <si>
    <t>Floating Duckweed Sword Formula (Volume 1)</t>
  </si>
  <si>
    <t>Floating Duckweed Sword Formula (Volume 2)</t>
  </si>
  <si>
    <t>Floating Duckweed Sword Formula (Complete)</t>
  </si>
  <si>
    <t>Gnarled Plum Seeking</t>
  </si>
  <si>
    <t>A blade technique created by Yu Hongmei, combining the strengths of the Tianshan and Shaolin schools. Filled with murderous intent yet retaining profound artistic conception. However, its killing intent is overwhelming. Those with unstable minds who recklessly practice it may easily fall into demonic paths.</t>
  </si>
  <si>
    <t>Mastered Gnarled Plum Search</t>
  </si>
  <si>
    <t>Gnarled Plum Seeking (Volume 1)</t>
  </si>
  <si>
    <t>Gnarled Plum Seeking (Volume 2)</t>
  </si>
  <si>
    <t>Gnarled Plum Seeking (Complete)</t>
  </si>
  <si>
    <t>Iron-Cutting Edge Scroll</t>
  </si>
  <si>
    <t>Heavy blade without edge, great skill appears clumsy, known as Iron-Cleaver, defeating cleverness with simplicity. Why rely on fancy techniques? Man and sword become one, the body itself is the strike. (Affected attribute: Might)</t>
  </si>
  <si>
    <t>Mastered Iron-Cutting Bladeless Scroll</t>
  </si>
  <si>
    <t>Iron-Cutting Edge Scroll (Volume 1)</t>
  </si>
  <si>
    <t>Iron-Cutting Edge Scroll (Volume 2)</t>
  </si>
  <si>
    <t>Iron-Cutting Edge Scroll (Complete)</t>
  </si>
  <si>
    <t>Drunken Lord Blade Inscription</t>
  </si>
  <si>
    <t>Drunken Lord Blade Inscription (Volume 1)</t>
  </si>
  <si>
    <t>Drunken Lord Blade Inscription (Volume 2)</t>
  </si>
  <si>
    <t>Drunken Lord Blade Inscription (Complete)</t>
  </si>
  <si>
    <t>Northward-Gazing Spear Art</t>
  </si>
  <si>
    <t>A spear technique passed down from military formations, blocking, thrusting, sweeping, and striking—advancing without retreating. Its movements are grand and unadorned, vigorous and simple. (Affected attribute: Dexterity)</t>
  </si>
  <si>
    <t>Mastered Northward Gaze Spearplay</t>
  </si>
  <si>
    <t>Northward-Gazing Spear Art (Volume 1)</t>
  </si>
  <si>
    <t>Northward-Gazing Spear Art (Volume 2)</t>
  </si>
  <si>
    <t>Northward-Gazing Spear Art (Complete)</t>
  </si>
  <si>
    <t>Primordial Battle Banner</t>
  </si>
  <si>
    <t>There was the Xuanyuan clan, with dark blood entering battle, surveying the four directions, treading the eight wastelands to pacify the nine provinces. This is the banner that commands reverence from all. (Affected attribute: Might)</t>
  </si>
  <si>
    <t>Mastered Primordial Battle Banner</t>
  </si>
  <si>
    <t>Primordial Battle Banner (Volume 1)</t>
  </si>
  <si>
    <t>Primordial Battle Banner (Volume 2)</t>
  </si>
  <si>
    <t>Primordial Battle Banner (Complete)</t>
  </si>
  <si>
    <t>Manifestation Bodhi Staff</t>
  </si>
  <si>
    <t>Hanging and leaning, extending and contracting, circling and pointing—clarifying the mind and revealing Buddha-nature, the Buddhist intent shines clearly. (Affected attribute: Physique)</t>
  </si>
  <si>
    <t>Mastered All-Beings Bodhi Staff</t>
  </si>
  <si>
    <t>Manifestation Bodhi Staff (Volume 1)</t>
  </si>
  <si>
    <t>Manifestation Bodhi Staff (Volume 2)</t>
  </si>
  <si>
    <t>Manifestation Bodhi Staff (Complete)</t>
  </si>
  <si>
    <t>Nation-Guarding Mountain-Supporting Spear</t>
  </si>
  <si>
    <t>Hanging and leaning, extending and contracting, circling and pointing—clarifying the mind and revealing Buddha-nature, the Buddhist intent shines clearly. (Affected attribute: Dexterity)</t>
  </si>
  <si>
    <t>Mastered Nation-Guarding Mountain Spear</t>
  </si>
  <si>
    <t>Nation-Guarding Mountain-Supporting Spear (Volume 1)</t>
  </si>
  <si>
    <t>Nation-Guarding Mountain-Supporting Spear (Volume 2)</t>
  </si>
  <si>
    <t>Nation-Guarding Mountain-Supporting Spear (Complete)</t>
  </si>
  <si>
    <t>Sorrow-Veiling Fan Art</t>
  </si>
  <si>
    <t>Echoes of sorrowful winds, obscuring vision with veils. The scholar's spirit lightly composes—this fan technique originates from Tianya Haige, synthesizing the strengths of a hundred schools. Its form faintly carries the grace of literary phoenix. (Affected attribute: Breath)</t>
  </si>
  <si>
    <t>Mastered Mourning Veil Fan</t>
  </si>
  <si>
    <t>Sorrow-Veiling Fan Art (Volume 1)</t>
  </si>
  <si>
    <t>Sorrow-Veiling Fan Art (Volume 2)</t>
  </si>
  <si>
    <t>Sorrow-Veiling Fan Art (Complete)</t>
  </si>
  <si>
    <t>Minor Heavenly Cycle Fan Art</t>
  </si>
  <si>
    <t>Two cycles of sun and moon, a single sheet halts the journey. This fan technique is gentle yet conceals inner force. The body twists and turns, shadows flickering indistinctly.</t>
  </si>
  <si>
    <t>Mastered Microcosmic Fan</t>
  </si>
  <si>
    <t>Two cycles of sun and moon, a single sheet halts the journey. This fan technique is gentle yet conceals inner force. the body twists and turns, shadows flickering indistinctly.</t>
  </si>
  <si>
    <t>Minor Heavenly Cycle Fan Art (Volume 1)</t>
  </si>
  <si>
    <t>Minor Heavenly Cycle Fan Art (Volume 2)</t>
  </si>
  <si>
    <t>Minor Heavenly Cycle Fan Art (Complete)</t>
  </si>
  <si>
    <t>Storm of Pear Blossoms Blade</t>
  </si>
  <si>
    <t>A hidden weapon martial art circulating in the martial world, its killing intent concealed within—utmost yin and utmost peril. (Affected attribute: Breath)</t>
  </si>
  <si>
    <t>Mastered Storm of Pear Blossoms Blade</t>
  </si>
  <si>
    <t>Storm of Pear Blossoms Blade (Volume 1)</t>
  </si>
  <si>
    <t>Storm of Pear Blossoms Blade (Volume 2)</t>
  </si>
  <si>
    <t>Storm of Pear Blossoms Blade (Complete)</t>
  </si>
  <si>
    <t>Restraint Score</t>
  </si>
  <si>
    <t>Created by Yu Hongmei after establishing the Great Snow Mountain Sect, inspired by snowfall on Tianchi. Its methods are unpredictable like an antelope's horns, the hidden weapon's path extremely erratic and elusive—impossible to guard against. (Affected attribute: Might)</t>
  </si>
  <si>
    <t>Mastered Bonds Severing Score</t>
  </si>
  <si>
    <t>Restraint Score (Volume 1)</t>
  </si>
  <si>
    <t>Restraint Score (Volume 2)</t>
  </si>
  <si>
    <t>Restraint Score (Complete)</t>
  </si>
  <si>
    <t>Dragon-Subduing Unparalleled Drunken Style</t>
  </si>
  <si>
    <t>Half-dreaming, half-awake, shattering delusions. People laugh, drink, and sing drunkenly—who knows life's true confidant? Peerless Dragon-Subduing, the unrestrained spirit of a national scholar—this is how it should be! (Affected attribute: Might)</t>
  </si>
  <si>
    <t>Mastered Drunken Dragon Subduing Unparalleled Style</t>
  </si>
  <si>
    <t>Dragon-Subduing Unparalleled Drunken Style (Volume 1)</t>
  </si>
  <si>
    <t>Dragon-Subduing Unparalleled Drunken Style (Volume 2)</t>
  </si>
  <si>
    <t>Dragon-Subduing Unparalleled Drunken Style (Complete)</t>
  </si>
  <si>
    <t>Lone Swan Traces</t>
  </si>
  <si>
    <t>Two swans flying over the river, feeding and moving together. Swift and fleeting, like swans skimming the heavens—traceless and formless, impossible to track.</t>
  </si>
  <si>
    <t>Mastered Lone Swan's Trace</t>
  </si>
  <si>
    <t>Lone Swan Traces (Volume 1)</t>
  </si>
  <si>
    <t>Lone Swan Traces (Volume 2)</t>
  </si>
  <si>
    <t>Lone Swan Traces (Complete)</t>
  </si>
  <si>
    <t>Heartless Style - Iaijutsu</t>
  </si>
  <si>
    <t>Records the techniques of the No-Mind Style Iaijutsu, entirely distinct from Central Plains martial arts. Beyond this, no further origins of this technique can be traced. (Affected attribute: Might)</t>
  </si>
  <si>
    <t>Mastered Heartless Style - Iaido</t>
  </si>
  <si>
    <t>Heartless Style - Iaijutsu (Volume 1)</t>
  </si>
  <si>
    <t>Heartless Style - Iaijutsu (Volume 2)</t>
  </si>
  <si>
    <t>Heartless Style - Iaijutsu (Complete)</t>
  </si>
  <si>
    <t>Secret Sword - Mountain Echo</t>
  </si>
  <si>
    <t>Originally a Japanese swordsmanship, introduced to the Central Plains during the Wokou disturbances. Passed down orally, its true meaning gradually transformed, gaining unique marvels.</t>
  </si>
  <si>
    <t>Mastered Secret Sword - Mountain Echo</t>
  </si>
  <si>
    <t>Secret Sword - Mountain Echo (Volume 1)</t>
  </si>
  <si>
    <t>Secret Sword - Mountain Echo (Volume 2)</t>
  </si>
  <si>
    <t>Secret Sword - Mountain Echo (Complete)</t>
  </si>
  <si>
    <t>Slayer Style - Blade Reaping</t>
  </si>
  <si>
    <t>Mastered Slaughter Stream - Blade Taking</t>
  </si>
  <si>
    <t>Slayer Style - Blade Reaping (Volume 1)</t>
  </si>
  <si>
    <t>Slayer Style - Blade Reaping (Volume 2)</t>
  </si>
  <si>
    <t>Slayer Style - Blade Reaping (Complete)</t>
  </si>
  <si>
    <t>Heavenly Might Formation Blade Art</t>
  </si>
  <si>
    <t>A military saber technique passed down from coastal anti-pirate forces, containing concealed tactics of dividing and converging. Precise and rigorous, where great skill appears clumsy. (Affected attribute: Might)</t>
  </si>
  <si>
    <t>Mastered Heavenly Might Formation Blade</t>
  </si>
  <si>
    <t>Heavenly Might Formation Blade Art (Volume 1)</t>
  </si>
  <si>
    <t>Heavenly Might Formation Blade Art (Volume 2)</t>
  </si>
  <si>
    <t>Heavenly Might Formation Blade Art (Complete)</t>
  </si>
  <si>
    <t>Flowing Vessel Golden Rope Dart</t>
  </si>
  <si>
    <t>Flowing fire and dark metal, shattering pottery and splitting armor. Swinging, sweeping, crushing—softness conceals hardness. (Affected attribute: Might)</t>
  </si>
  <si>
    <t>Mastered Rope Dart</t>
  </si>
  <si>
    <t>Flowing Vessel Golden Rope Dart (Volume 1)</t>
  </si>
  <si>
    <t>Flowing Vessel Golden Rope Dart (Volume 2)</t>
  </si>
  <si>
    <t>Flowing Vessel Golden Rope Dart (Complete)</t>
  </si>
  <si>
    <t>Sharp Hunt Bowstring Formula</t>
  </si>
  <si>
    <t>A complete record of military bow and crossbow techniques. Only by separately training mind and body can one shoot through willows at a hundred paces and pierce stone with arrows. (Affected attribute: Might)</t>
  </si>
  <si>
    <t>Mastered Hunting Bowstring Art</t>
  </si>
  <si>
    <t>Sharp Hunt Bowstring Formula (Volume 1)</t>
  </si>
  <si>
    <t>Sharp Hunt Bowstring Formula (Volume 2)</t>
  </si>
  <si>
    <t>Sharp Hunt Bowstring Formula (Complete)</t>
  </si>
  <si>
    <t>Scale Five Purification Whip</t>
  </si>
  <si>
    <t>Snake, scorpion, toad, centipede, and spider—the five sacred scaled spirits. Combined with purified gu for body refinement, this is the Five Saints Sect's secret whip technique.</t>
  </si>
  <si>
    <t>Mastered Five-Scale Purification Whip</t>
  </si>
  <si>
    <t>Scale Five Purification Whip (Volume 1)</t>
  </si>
  <si>
    <t>Scale Five Purification Whip (Volume 2)</t>
  </si>
  <si>
    <t>Scale Five Purification Whip (Complete)</t>
  </si>
  <si>
    <t>Bone-Pulling Golden Rainbow Formula</t>
  </si>
  <si>
    <t>Created by a martial arts eccentric a century ago, its techniques are fierce and graceful, with power like thunder. But those with insufficient inner strength risk injuring themselves if they force its practice.</t>
  </si>
  <si>
    <t>Mastered Bone-Pulling Golden Rainbow Art</t>
  </si>
  <si>
    <t>Bone-Pulling Golden Rainbow Formula (Volume 1)</t>
  </si>
  <si>
    <t>Bone-Pulling Golden Rainbow Formula (Volume 2)</t>
  </si>
  <si>
    <t>Bone-Pulling Golden Rainbow Formula (Complete)</t>
  </si>
  <si>
    <t>Western Firearms - Pearl</t>
  </si>
  <si>
    <t>A detailed manual on firearms mechanisms imported from the Western Regions, covering maintenance, firing, disassembly, and more. Profound yet obscure, difficult to describe. (Affected attribute: Might)</t>
  </si>
  <si>
    <t>Mastered Western Firearms - Pearls</t>
  </si>
  <si>
    <t>Western Firearms - Pearl (Volume 1)</t>
  </si>
  <si>
    <t>Western Firearms - Pearl (Volume 2)</t>
  </si>
  <si>
    <t>Western Firearms - Pearl (Complete)</t>
  </si>
  <si>
    <t>Seven Emotions Entwining Dagger</t>
  </si>
  <si>
    <t>A secret technique of the Five Saints Sect, specializing in close-quarters combat. Its movements resemble lovers' whispers—elegant yet inscrutable, but beneath lies unfathomable cruelty and lethality. (Affected attribute: Breath)</t>
  </si>
  <si>
    <t>Mastered Seven Emotions Entangling Dagger</t>
  </si>
  <si>
    <t>Seven Emotions Entwining Dagger (Volume 1)</t>
  </si>
  <si>
    <t>Seven Emotions Entwining Dagger (Volume 2)</t>
  </si>
  <si>
    <t>Seven Emotions Entwining Dagger (Complete)</t>
  </si>
  <si>
    <t>Moon Waning Scripture</t>
  </si>
  <si>
    <t>When the waning moon departs, the beauty bids farewell with tears. Like the moon hidden by clouds, or clouds veiling the moon—its power flashes like celestial splendor, chilling enemies to the bone.</t>
  </si>
  <si>
    <t>Mastered Moon's Remnant Scripture</t>
  </si>
  <si>
    <t>Moon Waning Scripture (Volume 1)</t>
  </si>
  <si>
    <t>Moon Waning Scripture (Volume 2)</t>
  </si>
  <si>
    <t>Moon Waning Scripture (Complete)</t>
  </si>
  <si>
    <t>Horizon's Bright Moon Chapter</t>
  </si>
  <si>
    <t>An internal martial art passed down by Tianya Haige, said to have been left by an unnamed elder who passed by the Stone of Three Lives over a century ago. Its techniques are vast and profound, infinitely subtle.</t>
  </si>
  <si>
    <t>Mastered World's Edge Moonlight Chapter</t>
  </si>
  <si>
    <t>Horizon's Bright Moon Chapter (Volume 1)</t>
  </si>
  <si>
    <t>Horizon's Bright Moon Chapter (Volume 2)</t>
  </si>
  <si>
    <t>Horizon's Bright Moon Chapter (Complete)</t>
  </si>
  <si>
    <t>Demon-Mocking Blood Sacrifice True Scripture</t>
  </si>
  <si>
    <t>Derived from fragments of the Hetu and Luoshu, bizarre and grotesque, with an added layer of cruelty and brutality. None who practice this art meet a good end.</t>
  </si>
  <si>
    <t>Mastered Demon-Scorn Blood Sacrifice Scripture</t>
  </si>
  <si>
    <t>Demon-Mocking Blood Sacrifice True Scripture (Volume 1)</t>
  </si>
  <si>
    <t>Demon-Mocking Blood Sacrifice True Scripture (Volume 2)</t>
  </si>
  <si>
    <t>Demon-Mocking Blood Sacrifice True Scripture (Complete)</t>
  </si>
  <si>
    <t>Jade Pair Heavenly Disc Method</t>
  </si>
  <si>
    <t>Broken jade and shattered pearls, yet the unbroken jade remains. The mental cultivation recorded within is firm yet supple, with endless subtle applications.</t>
  </si>
  <si>
    <t>Mastered Twin-Jade Heaven Method</t>
  </si>
  <si>
    <t>Jade Pair Heavenly Disc Method (Volume 1)</t>
  </si>
  <si>
    <t>Jade Pair Heavenly Disc Method (Volume 2)</t>
  </si>
  <si>
    <t>Jade Pair Heavenly Disc Method (Complete)</t>
  </si>
  <si>
    <t>Mystic Black Poison Miasma</t>
  </si>
  <si>
    <t>Rumored to be a cultivation method created by the ancient Miao ancestors. Its techniques often invert Central Plains principles, making it profoundly mysterious.</t>
  </si>
  <si>
    <t>Mastered Dark Li Poison Mist</t>
  </si>
  <si>
    <t>Mystic Black Poison Miasma (Volume 1)</t>
  </si>
  <si>
    <t>Mystic Black Poison Miasma (Volume 2)</t>
  </si>
  <si>
    <t>Mystic Black Poison Miasma (Complete)</t>
  </si>
  <si>
    <t>Threefold Asura Path</t>
  </si>
  <si>
    <t>In the fourth year of Shenshou, the Sword Ancestor Yu Hongmei created this technique after defecting from Shaolin: "Virtuous yet arrogant, taught yet unyielding, hearing the dharma yet unenlightened—this is the Asura."</t>
  </si>
  <si>
    <t>Mastered Triple Asura Path</t>
  </si>
  <si>
    <t>Threefold Asura Path (Volume 1)</t>
  </si>
  <si>
    <t>Threefold Asura Path (Volume 2)</t>
  </si>
  <si>
    <t>Threefold Asura Path (Complete)</t>
  </si>
  <si>
    <t>Primordial Life Pivot Chapter</t>
  </si>
  <si>
    <t>The question of the Primordial Chaos is unfathomable; the path of the healer walks alone. This chapter of the "Lingshu" is enough—to heal the world with a hanging gourd.</t>
  </si>
  <si>
    <t>Mastered Primordial Life Pivot Chapter</t>
  </si>
  <si>
    <t>The question of the Primordial Chaos is unfathomable; the path of the healer walks alone. this chapter of the "Lingshu" is enough—to heal the world with a hanging gourd.</t>
  </si>
  <si>
    <t>Primordial Life Pivot Chapter (Volume 1)</t>
  </si>
  <si>
    <t>Primordial Life Pivot Chapter (Volume 2)</t>
  </si>
  <si>
    <t>Primordial Life Pivot Chapter (Complete)</t>
  </si>
  <si>
    <t>Mysterious Chaos Scripture</t>
  </si>
  <si>
    <t>The secret true method of Taihe Mountain, analyzing the cosmos, revealing simplicity's auspiciousness. Its techniques progress from shallow to deep—the orthodox path of the Mystic Gate.</t>
  </si>
  <si>
    <t>Mastered Supreme Mystery Primordial Scripture</t>
  </si>
  <si>
    <t>Mysterious Chaos Scripture (Volume 1)</t>
  </si>
  <si>
    <t>Mysterious Chaos Scripture (Volume 2)</t>
  </si>
  <si>
    <t>Mysterious Chaos Scripture (Complete)</t>
  </si>
  <si>
    <t>Enlightenment Contemplation</t>
  </si>
  <si>
    <t>Understanding mystery leads to enlightenment; grasping principle allows mastery. This mental technique is ancient and obscure, seemingly connected to the hidden Kunlun Heavenly Pool.</t>
  </si>
  <si>
    <t>Mastered Enlightenment Through Mystery</t>
  </si>
  <si>
    <t>Enlightenment Contemplation (Volume 1)</t>
  </si>
  <si>
    <t>Enlightenment Contemplation (Volume 2)</t>
  </si>
  <si>
    <t>Enlightenment Contemplation (Complete)</t>
  </si>
  <si>
    <t>Star-Devouring Cosmos Diagram</t>
  </si>
  <si>
    <t>Devouring stars and swallowing the cosmos, consuming worlds and burying dust. This technique's dominance is unparalleled, far beyond ordinary martial arts. But its overwhelming power makes it impossible to master without extraordinary will.</t>
  </si>
  <si>
    <t>Mastered Star-Devouring Cosmos Diagram</t>
  </si>
  <si>
    <t>Star-Devouring Cosmos Diagram (Volume 1)</t>
  </si>
  <si>
    <t>Star-Devouring Cosmos Diagram (Volume 2)</t>
  </si>
  <si>
    <t>Star-Devouring Cosmos Diagram (Complete)</t>
  </si>
  <si>
    <t>Xiang Bamboo Orchid Burial Book</t>
  </si>
  <si>
    <t>The Xiang Consort's tears formed bamboo; flowing water unwittingly buried orchids. This text is both martial art and poetry—its sorrow too profound to speak of again.</t>
  </si>
  <si>
    <t>Mastered Xiang Bamboo Buries Orchids</t>
  </si>
  <si>
    <t>Xiang Bamboo Orchid Burial Book (Volume 1)</t>
  </si>
  <si>
    <t>Xiang Bamboo Orchid Burial Book (Volume 2)</t>
  </si>
  <si>
    <t>Xiang Bamboo Orchid Burial Book (Complete)</t>
  </si>
  <si>
    <t>Radiant Dawn Appendix</t>
  </si>
  <si>
    <t>A rare internal martial art. When employed, it resembles dawn clouds filling the sky, purple energy sweeping all before it.</t>
  </si>
  <si>
    <t>Mastered Dawn Cloud Appendix</t>
  </si>
  <si>
    <t>Radiant Dawn Appendix (Volume 1)</t>
  </si>
  <si>
    <t>Radiant Dawn Appendix (Volume 2)</t>
  </si>
  <si>
    <t>Radiant Dawn Appendix (Complete)</t>
  </si>
  <si>
    <t>Lion's Roar of Zen</t>
  </si>
  <si>
    <t>The orthodox Buddhist method, vast and majestic. When unleashed with a roar, thunderous echoes shatter enemy courage before battle even begins.</t>
  </si>
  <si>
    <t>Mastered Zen Lion's Roar</t>
  </si>
  <si>
    <t>Lion's Roar of Zen (Volume 1)</t>
  </si>
  <si>
    <t>Lion's Roar of Zen (Volume 2)</t>
  </si>
  <si>
    <t>Lion's Roar of Zen (Complete)</t>
  </si>
  <si>
    <t>Golden Bell Protection Aura</t>
  </si>
  <si>
    <t>After the establishment of the Two Chan Temples, many techniques spread. This mental cultivation was also leaked during the Shaolin schism, later disappearing without a trace, ultimately forgotten.</t>
  </si>
  <si>
    <t>Mastered Golden Bell Protection</t>
  </si>
  <si>
    <t>Golden Bell Protection Aura (Volume 1)</t>
  </si>
  <si>
    <t>Golden Bell Protection Aura (Volume 2)</t>
  </si>
  <si>
    <t>Golden Bell Protection Aura (Complete)</t>
  </si>
  <si>
    <t>Infinite Void Momentum</t>
  </si>
  <si>
    <t>Dreams chill to reach the immortal palace; spirit merges with the great void. Said to be left behind by the Taihe Dao Ancestor upon ascension. Unlike other cultivation methods, it emphasizes purity, naturalness, and sudden enlightenment—only those of exceptional insight can practice it.</t>
  </si>
  <si>
    <t>Mastered Supreme Void Limitless Power</t>
  </si>
  <si>
    <t>Infinite Void Momentum (Volume 1)</t>
  </si>
  <si>
    <t>Infinite Void Momentum (Volume 2)</t>
  </si>
  <si>
    <t>Infinite Void Momentum (Complete)</t>
  </si>
  <si>
    <t>Overlord's Armor Shedding</t>
  </si>
  <si>
    <t>Fierce and unyielding training, tempering bones and refining blood. At its peak, true qi surges powerfully through the body—broken bones bring no pain, bathing in blood brings no death. Fearless, thus invincible.</t>
  </si>
  <si>
    <t>Mastered Tyrant's Armor Shedding</t>
  </si>
  <si>
    <t>Overlord's Armor Shedding (Volume 1)</t>
  </si>
  <si>
    <t>Overlord's Armor Shedding (Volume 2)</t>
  </si>
  <si>
    <t>Overlord's Armor Shedding (Complete)</t>
  </si>
  <si>
    <t>Green Satchel Treasury Notes</t>
  </si>
  <si>
    <t>Rumored to be left behind by a medical sage of a former dynasty. The meridian theories recorded within are profound and obscure, yet when applied to martial arts, they reveal unique insights.</t>
  </si>
  <si>
    <t>Mastered Green Satchel Treasury</t>
  </si>
  <si>
    <t>Green Satchel Treasury Notes (Volume 1)</t>
  </si>
  <si>
    <t>Green Satchel Treasury Notes (Volume 2)</t>
  </si>
  <si>
    <t>Green Satchel Treasury Notes (Complete)</t>
  </si>
  <si>
    <t>Passion-Drinking Gu</t>
  </si>
  <si>
    <t>A unique Miaojiang mental cultivation. At its peak, a mere glance can bewitch minds without lifting a blade—whether righteous or evil remains unknown.</t>
  </si>
  <si>
    <t>Mastered Emotion-Drinking Gu</t>
  </si>
  <si>
    <t>Passion-Drinking Gu (Volume 1)</t>
  </si>
  <si>
    <t>Passion-Drinking Gu (Volume 2)</t>
  </si>
  <si>
    <t>Passion-Drinking Gu (Complete)</t>
  </si>
  <si>
    <t>Zhi Mountain Qi</t>
  </si>
  <si>
    <t>In the ninth year of Yao's reign, Zhiqi wrought havoc. Yinglong drove it beneath the foot of Huaiyang Mountain, its resentment shaking mountains and churning seas.</t>
  </si>
  <si>
    <t>Mastered Mountain-Supporting Qi</t>
  </si>
  <si>
    <t>Zhi Mountain Qi (Volume 1)</t>
  </si>
  <si>
    <t>Zhi Mountain Qi (Volume 2)</t>
  </si>
  <si>
    <t>Zhi Mountain Qi (Complete)</t>
  </si>
  <si>
    <t>Seven Killers Iron Shirt Skill</t>
  </si>
  <si>
    <t>Seven Killers Iron Shirt Skill (Volume 1)</t>
  </si>
  <si>
    <t>Seven Killers Iron Shirt Skill (Volume 2)</t>
  </si>
  <si>
    <t>Seven Killers Iron Shirt Skill (Complete)</t>
  </si>
  <si>
    <t>Ruthlessness Scripture</t>
  </si>
  <si>
    <t>Created by Yu Hongmei, combining the strengths of Shaolin and Tianshan internal arts. Though overwhelmingly domineering and infinitely powerful, it harbors boundless killing intent—only those with minds like clear mirrors can glimpse its true meaning.</t>
  </si>
  <si>
    <t>Mastered Ruthlessness Scripture</t>
  </si>
  <si>
    <t>Ruthlessness Scripture (Volume 1)</t>
  </si>
  <si>
    <t>Ruthlessness Scripture (Volume 2)</t>
  </si>
  <si>
    <t>Ruthlessness Scripture (Complete)</t>
  </si>
  <si>
    <t>Striding Sea Pavilion</t>
  </si>
  <si>
    <t>A footwork technique passed down by Tianya Haige—strolling pavilions as if walking on seas, reclining yet traversing the skies. Graceful and lively, uniquely bearing the air of literati.</t>
  </si>
  <si>
    <t>Mastered Sea-Treading Pavilion</t>
  </si>
  <si>
    <t>Striding Sea Pavilion (Volume 1)</t>
  </si>
  <si>
    <t>Striding Sea Pavilion (Volume 2)</t>
  </si>
  <si>
    <t>Striding Sea Pavilion (Complete)</t>
  </si>
  <si>
    <t>Cicada-Chasing Body Ring</t>
  </si>
  <si>
    <t>Footwork derived from the Eight Trigrams, moving like a drifting body—also called "Drifting Body Eight Trigrams Form." Rumored to allow catching cicadas in eight steps without revealing one's form.</t>
  </si>
  <si>
    <t>Mastered Cicada-Chasing Body Ring</t>
  </si>
  <si>
    <t>Cicada-Chasing Body Ring (Volume 1)</t>
  </si>
  <si>
    <t>Cicada-Chasing Body Ring (Volume 2)</t>
  </si>
  <si>
    <t>Cicada-Chasing Body Ring (Complete)</t>
  </si>
  <si>
    <t>Luo Goddess Treading Snow Steps</t>
  </si>
  <si>
    <t>Legends speak of a goddess whose lotus steps were light, her movements ethereal and profound.</t>
  </si>
  <si>
    <t>Mastered Luo Goddess Treads Snow</t>
  </si>
  <si>
    <t>Luo Goddess Treading Snow Steps (Volume 1)</t>
  </si>
  <si>
    <t>Luo Goddess Treading Snow Steps (Volume 2)</t>
  </si>
  <si>
    <t>Luo Goddess Treading Snow Steps (Complete)</t>
  </si>
  <si>
    <t>Sunny Plum Blossom Steps</t>
  </si>
  <si>
    <t>Footwork inspired by the cold fragrance of plum blossoms—solitary yet profound, a rare and ingenious movement technique in the martial world.</t>
  </si>
  <si>
    <t>Mastered Clear Plum Blossom Step</t>
  </si>
  <si>
    <t>Sunny Plum Blossom Steps (Volume 1)</t>
  </si>
  <si>
    <t>Sunny Plum Blossom Steps (Volume 2)</t>
  </si>
  <si>
    <t>Sunny Plum Blossom Steps (Complete)</t>
  </si>
  <si>
    <t>Armadillo Rolling Technique</t>
  </si>
  <si>
    <t>The origin of this technique is lost to time. It mimics the armadillo's form—darting, rolling, striking where enemies least expect, evading what ordinary techniques cannot.</t>
  </si>
  <si>
    <t>Mastered Armadillo Piercing Roll</t>
  </si>
  <si>
    <t>The origin of this technique is lost to time. it mimics the armadillo's form—darting, rolling, striking where enemies least expect, evading what ordinary techniques cannot.</t>
  </si>
  <si>
    <t>Armadillo Rolling Technique (Volume 1)</t>
  </si>
  <si>
    <t>Armadillo Rolling Technique (Volume 2)</t>
  </si>
  <si>
    <t>Armadillo Rolling Technique (Complete)</t>
  </si>
  <si>
    <t>Cloud Ladder Leap</t>
  </si>
  <si>
    <t>Ascending clouds to reach the azure heavens—gazing at distant floating clouds, can one glimpse the word "enlightenment"?</t>
  </si>
  <si>
    <t>Mastered Ladder Cloud Leap</t>
  </si>
  <si>
    <t>Cloud Ladder Leap (Volume 1)</t>
  </si>
  <si>
    <t>Cloud Ladder Leap (Volume 2)</t>
  </si>
  <si>
    <t>Cloud Ladder Leap (Complete)</t>
  </si>
  <si>
    <t>Ten steps to kill a man, a thousand miles without lingering. Ghosts and demons tread strange paths, stepping in blood.</t>
  </si>
  <si>
    <t>Phantom Deception Steps</t>
  </si>
  <si>
    <t>Mastered Phantom Deceit Step</t>
  </si>
  <si>
    <t>Phantom Deception Steps (Volume 1)</t>
  </si>
  <si>
    <t>Phantom Deception Steps (Volume 2)</t>
  </si>
  <si>
    <t>Phantom Deception Steps (Complete)</t>
  </si>
  <si>
    <t>The darting swallow—body and steps united, delicate yet piercing clouds, containing myriad hidden variations.</t>
  </si>
  <si>
    <t>Swallow Soaring Steps</t>
  </si>
  <si>
    <t>Mastered Swallow Darting Step</t>
  </si>
  <si>
    <t>Swallow Soaring Steps (Volume 1)</t>
  </si>
  <si>
    <t>Swallow Soaring Steps (Volume 2)</t>
  </si>
  <si>
    <t>Swallow Soaring Steps (Complete)</t>
  </si>
  <si>
    <t>Long pavilions and ancient roads—hometown moonlight sent afar. No one returns—how can this feeling be written?</t>
  </si>
  <si>
    <t>Long Pavilion Distant Dispatch</t>
  </si>
  <si>
    <t>Mastered Long Pavilion Distant Sendoff</t>
  </si>
  <si>
    <t>Long Pavilion Distant Dispatch (Volume 1)</t>
  </si>
  <si>
    <t>Long Pavilion Distant Dispatch (Volume 2)</t>
  </si>
  <si>
    <t>Long Pavilion Distant Dispatch (Complete)</t>
  </si>
  <si>
    <t>Rippling steps, silk socks stirring dust—fluttering like snow, dancing like celestial steeds.</t>
  </si>
  <si>
    <t>Lightfoot Watercrossing</t>
  </si>
  <si>
    <t>Mastered Rippling Water Step</t>
  </si>
  <si>
    <t>Lightfoot Watercrossing (Volume 1)</t>
  </si>
  <si>
    <t>Lightfoot Watercrossing (Volume 2)</t>
  </si>
  <si>
    <t>Lightfoot Watercrossing (Complete)</t>
  </si>
  <si>
    <t>Still as a silver serpent blocking mountains, moving like a golden python severing rivers—the Five Saints Sect's unique dodging technique, utterly distinct from Central Plains martial arts.</t>
  </si>
  <si>
    <t>Witch Python Moonfall</t>
  </si>
  <si>
    <t>Mastered Witch Serpent Moonfall</t>
  </si>
  <si>
    <t>Witch Python Moonfall (Volume 1)</t>
  </si>
  <si>
    <t>Witch Python Moonfall (Volume 2)</t>
  </si>
  <si>
    <t>Witch Python Moonfall (Complete)</t>
  </si>
  <si>
    <t>The dark bird first departs; guest geese belong to mid-autumn. This technique shifts like the wind, agile as a soaring roc—graceful and lively, never losing its elegance.</t>
  </si>
  <si>
    <t>Purple Crow Phoenix-Cry Diagram</t>
  </si>
  <si>
    <t>Mastered Purple Crow Cries Phoenix</t>
  </si>
  <si>
    <t>Purple Crow Phoenix-Cry Diagram (Volume 1)</t>
  </si>
  <si>
    <t>Purple Crow Phoenix-Cry Diagram (Volume 2)</t>
  </si>
  <si>
    <t>Purple Crow Phoenix-Cry Diagram (Complete)</t>
  </si>
  <si>
    <t>An external body technique of rigid bridges and horses—evoking the idea of footsteps shaking mountains, resonating with sound.</t>
  </si>
  <si>
    <t>Mountain-Shaking Steps</t>
  </si>
  <si>
    <t>Mastered Mountain-Shaking Step</t>
  </si>
  <si>
    <t>Mountain-Shaking Steps (Volume 1)</t>
  </si>
  <si>
    <t>Mountain-Shaking Steps (Volume 2)</t>
  </si>
  <si>
    <t>Mountain-Shaking Steps (Complete)</t>
  </si>
  <si>
    <t>Cultivating martial arts is like walking against the current. Since this body has arrived, why not strike against the flow?</t>
  </si>
  <si>
    <t>Countercurrent Twelve Forms</t>
  </si>
  <si>
    <t>Mastered Twelve Against the Current Forms</t>
  </si>
  <si>
    <t>Countercurrent Twelve Forms (Volume 1)</t>
  </si>
  <si>
    <t>Countercurrent Twelve Forms (Volume 2)</t>
  </si>
  <si>
    <t>Countercurrent Twelve Forms (Complete)</t>
  </si>
  <si>
    <t>Tiger Guard Formation</t>
  </si>
  <si>
    <t>Tiger Guard Formation (Volume 1)</t>
  </si>
  <si>
    <t>Tiger Guard Formation (Volume 2)</t>
  </si>
  <si>
    <t>Tiger Guard Formation (Complete)</t>
  </si>
  <si>
    <t>Yu Hongmei's original body technique—unpredictable and elusive, leaving no trace on snow, no ripple on water.</t>
  </si>
  <si>
    <t>Shadow Blood Secret Canon</t>
  </si>
  <si>
    <t>Mastered Shadow Blood Secret Codex</t>
  </si>
  <si>
    <t>Shadow Blood Secret Canon (Volume 1)</t>
  </si>
  <si>
    <t>Shadow Blood Secret Canon (Volume 2)</t>
  </si>
  <si>
    <t>Shadow Blood Secret Canon (Complete)</t>
  </si>
  <si>
    <t>Fist/Palm Light Strike</t>
  </si>
  <si>
    <t>Learnable Fist/Palm Light Attack (Affects: Physical Attack, Internal Attack)</t>
  </si>
  <si>
    <t>Mastered Fist/Palm Light Strike</t>
  </si>
  <si>
    <t>Fist/Palm Heavy Strike</t>
  </si>
  <si>
    <t>Learnable Fist/Palm Heavy Attack (Affects: Physical Attack, Internal Attack)</t>
  </si>
  <si>
    <t>Mastered Fist/Palm Heavy Strike</t>
  </si>
  <si>
    <t>Single-Handed Light Blade Light Strike</t>
  </si>
  <si>
    <t>Learnable Single-Handed Light Blade Light Attack (Affects: Physical Attack, Internal Attack)</t>
  </si>
  <si>
    <t>Mastered Single-Handed Light Blade Light Strike</t>
  </si>
  <si>
    <t>Single-Handed Light Blade Heavy Strike</t>
  </si>
  <si>
    <t>Learnable Single-Handed Light Blade Heavy Attack (Affects: Physical Attack, Internal Attack)</t>
  </si>
  <si>
    <t>Mastered Single-Handed Light Blade Heavy Strike</t>
  </si>
  <si>
    <t>Heavy Blade Light Strike</t>
  </si>
  <si>
    <t>Learnable Heavy Blade Light Attack (Affects: Physical Attack, Internal Attack)</t>
  </si>
  <si>
    <t>Mastered Heavy Blade Light Strike</t>
  </si>
  <si>
    <t>Heavy Blade Heavy Strike</t>
  </si>
  <si>
    <t>Learnable Heavy Blade Heavy Attack (Affects: Physical Attack, Internal Attack)</t>
  </si>
  <si>
    <t>Mastered Heavy Blade Heavy Strike</t>
  </si>
  <si>
    <t>Long Weapon Light Strike</t>
  </si>
  <si>
    <t>Learnable Polearm Light Attack (Affects: Physical Attack, Internal Attack)</t>
  </si>
  <si>
    <t>Mastered Polearm Light Strike</t>
  </si>
  <si>
    <t>Long Weapon Heavy Strike</t>
  </si>
  <si>
    <t>Learnable Polearm Heavy Attack (Affects: Physical Attack, Internal Attack)</t>
  </si>
  <si>
    <t>Mastered Polearm Heavy Strike</t>
  </si>
  <si>
    <t>Fan Art Light Strike</t>
  </si>
  <si>
    <t>Learnable Fan Light Attack (Affects: Physical Attack, Internal Attack)</t>
  </si>
  <si>
    <t>Mastered Fan Light Strike</t>
  </si>
  <si>
    <t>Fan Art Heavy Strike</t>
  </si>
  <si>
    <t>Learnable Fan Heavy Attack (Affects: Physical Attack, Internal Attack)</t>
  </si>
  <si>
    <t>Mastered Fan Heavy Strike</t>
  </si>
  <si>
    <t>Hidden Weapon Light Strike</t>
  </si>
  <si>
    <t>Learnable Thrown Weapon Light Attack (Affects: Physical Attack, Internal Attack)</t>
  </si>
  <si>
    <t>Mastered Thrown Weapon Light Strike</t>
  </si>
  <si>
    <t>Hidden Weapon Heavy Strike</t>
  </si>
  <si>
    <t>Learnable Thrown Weapon Heavy Attack (Affects: Physical Attack, Internal Attack)</t>
  </si>
  <si>
    <t>Mastered Thrown Weapon Heavy Strike</t>
  </si>
  <si>
    <t>Leg/Foot Light Strike</t>
  </si>
  <si>
    <t>Learnable Leg/Kick Light Attack (Affects: Physical Attack, Internal Attack)</t>
  </si>
  <si>
    <t>Mastered Leg/Kick Light Strike</t>
  </si>
  <si>
    <t>Leg/Foot Heavy Strike</t>
  </si>
  <si>
    <t>Learnable Leg/Kick Heavy Attack (Affects: Physical Attack, Internal Attack)</t>
  </si>
  <si>
    <t>Mastered Leg/Kick Heavy Strike</t>
  </si>
  <si>
    <t>Dual-Wield Light Blade Light Strike</t>
  </si>
  <si>
    <t>Learnable Dual-Wield Light Blade Light Attack (Affects: Physical Attack, Internal Attack)</t>
  </si>
  <si>
    <t>Mastered Dual-Wield Light Blade Light Strike</t>
  </si>
  <si>
    <t>Dual-Wield Light Blade Heavy Strike</t>
  </si>
  <si>
    <t>Learnable Dual-Wield Light Blade Heavy Attack (Affects: Physical Attack, Internal Attack)</t>
  </si>
  <si>
    <t>Mastered Dual-Wield Light Blade Heavy Strike</t>
  </si>
  <si>
    <t>Rope Dart Light Strike</t>
  </si>
  <si>
    <t>Learnable Rope Dart Light Attack (Affects: Physical Attack, Internal Attack)</t>
  </si>
  <si>
    <t>Mastered Rope Dart Light Strike</t>
  </si>
  <si>
    <t>Rope Dart Heavy Strike</t>
  </si>
  <si>
    <t>Learnable Rope Dart Heavy Attack (Affects: Physical Attack, Internal Attack)</t>
  </si>
  <si>
    <t>Mastered Rope Dart Heavy Strike</t>
  </si>
  <si>
    <t>Bow Light Strike</t>
  </si>
  <si>
    <t>Learnable Bow Light Attack (Affects: Physical Attack, Internal Attack)</t>
  </si>
  <si>
    <t>Mastered Bow Light Strike</t>
  </si>
  <si>
    <t>Bow Heavy Strike</t>
  </si>
  <si>
    <t>Learnable Bow Heavy Attack (Affects: Physical Attack, Internal Attack)</t>
  </si>
  <si>
    <t>Mastered Bow Heavy Strike</t>
  </si>
  <si>
    <t>Soft Whip Light Strike</t>
  </si>
  <si>
    <t>Learnable Whip Light Attack (Affects: Physical Attack, Internal Attack)</t>
  </si>
  <si>
    <t>Mastered Whip Light Strike</t>
  </si>
  <si>
    <t>Soft Whip Heavy Strike</t>
  </si>
  <si>
    <t>Learnable Whip Heavy Attack (Affects: Physical Attack, Internal Attack)</t>
  </si>
  <si>
    <t>Mastered Whip Heavy Strike</t>
  </si>
  <si>
    <t>Firearm Light Strike</t>
  </si>
  <si>
    <t>Learnable Firearm Light Attack (Affects: Physical Attack, Internal Attack)</t>
  </si>
  <si>
    <t>Mastered Firearm Light Strike</t>
  </si>
  <si>
    <t>Firearm Heavy Strike</t>
  </si>
  <si>
    <t>Learnable Firearm Heavy Attack (Affects: Physical Attack, Internal Attack)</t>
  </si>
  <si>
    <t>Mastered Firearm Heavy Strike</t>
  </si>
  <si>
    <t>Short Weapon Light Strike</t>
  </si>
  <si>
    <t>Learnable Short Weapon Light Attack (Affects: Physical Attack, Internal Attack)</t>
  </si>
  <si>
    <t>Mastered Short Weapon Light Strike</t>
  </si>
  <si>
    <t>Short Weapon Heavy Strike</t>
  </si>
  <si>
    <t>Learnable Short Weapon Heavy Attack (Affects: Physical Attack, Internal Attack)</t>
  </si>
  <si>
    <t>Mastered Short Weapon Heavy Strike</t>
  </si>
  <si>
    <t>White Ape Holding Seal</t>
  </si>
  <si>
    <t>Learnable Fist/Palm Common Form I - White Ape Seals the Seal (Affects: Physical Attack, Internal Attack)</t>
  </si>
  <si>
    <t>Mastered Fist/Palm Common Form I - White Ape Seals the Seal</t>
  </si>
  <si>
    <t>Thunderclap Strike</t>
  </si>
  <si>
    <t>Learnable Fist/Palm Common Form II - Thunderclap (Affects: Physical Attack, Internal Attack)</t>
  </si>
  <si>
    <t>Mastered Fist/Palm Common Form II - Thunderclap</t>
  </si>
  <si>
    <t>Lifting Sweep Style</t>
  </si>
  <si>
    <t>Learnable Single-Handed Light Blade Common Form I - Lifting Slash (Affects: Physical Attack, Internal Attack)</t>
  </si>
  <si>
    <t>Mastered Single-Handed Light Blade Common Form I - Lifting Slash</t>
  </si>
  <si>
    <t>Sun-Piercing Slash</t>
  </si>
  <si>
    <t>Learnable Single-Handed Light Blade Common Form II - Sun-Piercing Strike (Affects: Physical Attack, Internal Attack)</t>
  </si>
  <si>
    <t>Mastered Single-Handed Light Blade Common Form II - Sun-Piercing Strike</t>
  </si>
  <si>
    <t>Western Pass Severance</t>
  </si>
  <si>
    <t>Learnable Heavy Blade Common Form I - Severing the Western Pass (Affects: Physical Attack, Internal Attack)</t>
  </si>
  <si>
    <t>Mastered Heavy Blade Common Form I - Severing the Western Pass</t>
  </si>
  <si>
    <t>Earth-Shaking City Crusher</t>
  </si>
  <si>
    <t>Learnable Heavy Blade Common Form II - Shattering Earth and Toppling Cities (Affects: Physical Attack, Internal Attack)</t>
  </si>
  <si>
    <t>Mastered Heavy Blade Common Form II - Shattering Earth and Toppling Cities</t>
  </si>
  <si>
    <t>Ten Thousand Army Opposer</t>
  </si>
  <si>
    <t>Learnable Polearm Common Form II - Against Ten Thousand Armies (Affects: Physical Attack, Internal Attack)</t>
  </si>
  <si>
    <t>Mastered Polearm Common Form I - Against Ten Thousand Armies</t>
  </si>
  <si>
    <t>Solemn Valor Resolve</t>
  </si>
  <si>
    <t>Learnable Polearm Common Form I - Solemn Valor (Affects: Physical Attack, Internal Attack)</t>
  </si>
  <si>
    <t>Mastered Polearm Common Form II - Solemn Valor</t>
  </si>
  <si>
    <t>Thousand Turns Revolving</t>
  </si>
  <si>
    <t>Learnable Fan Common Form II - Turning a Thousand Towers (Affects: Physical Attack, Internal Attack)</t>
  </si>
  <si>
    <t>Mastered Fan Common Form II - Turning a Thousand Towers</t>
  </si>
  <si>
    <t>Tower Rebuilding</t>
  </si>
  <si>
    <t>Learnable Fan Common Form I - Repeating Towers (Affects: Physical Attack, Internal Attack)</t>
  </si>
  <si>
    <t>Mastered Fan Common Form I - Repeating Towers</t>
  </si>
  <si>
    <t>Moon Palace Star Hanging</t>
  </si>
  <si>
    <t>Learnable Thrown Weapon Common Form I - Moon Hanging Stars (Affects: Physical Attack, Internal Attack)</t>
  </si>
  <si>
    <t>Mastered Thrown Weapon Common Form I - Moon Hanging Stars</t>
  </si>
  <si>
    <t>Hawk Whistle</t>
  </si>
  <si>
    <t>Learnable Thrown Weapon Common Form II - Sparrowhawk's Whistle (Affects: Physical Attack, Internal Attack)</t>
  </si>
  <si>
    <t>Mastered Thrown Weapon Common Form II - Sparrowhawk's Whistle</t>
  </si>
  <si>
    <t>Nine Cloud Dragon Manifestations</t>
  </si>
  <si>
    <t>Learnable Leg/Kick Common Form I - Nine Appearances of the Cloud Dragon (Affects: Physical Attack, Internal Attack)</t>
  </si>
  <si>
    <t>Mastered Leg/Kick Common Form I - Nine Appearances of the Cloud Dragon</t>
  </si>
  <si>
    <t>Boundless Mountains and Rivers</t>
  </si>
  <si>
    <t>Learnable Leg/Kick Common Form II - Boundless Mountains and Rivers (Affects: Physical Attack, Internal Attack)</t>
  </si>
  <si>
    <t>Mastered Leg/Kick Common Form II - Boundless Mountains and Rivers</t>
  </si>
  <si>
    <t>Ten Demon Slashes</t>
  </si>
  <si>
    <t>Learnable Dual-Wield Light Blade Common Form I - Ten Ghostly Strikes (Affects: Physical Attack, Internal Attack)</t>
  </si>
  <si>
    <t>Mastered Dual-Wield Light Blade Common Form I - Ten Ghostly Strikes</t>
  </si>
  <si>
    <t>Flash Strike</t>
  </si>
  <si>
    <t>Learnable Dual-Wield Light Blade Common Form II - Flash (Affects: Physical Attack, Internal Attack)</t>
  </si>
  <si>
    <t>Mastered Dual-Wield Light Blade Common Form II - Flash</t>
  </si>
  <si>
    <t>Dart Shadow Deception</t>
  </si>
  <si>
    <t>Learnable Rope Dart Common Form I - Phantom Dart Technique (Affects: Physical Attack, Internal Attack)</t>
  </si>
  <si>
    <t>Mastered Rope Dart Common Form I - Phantom Dart Technique</t>
  </si>
  <si>
    <t>Hidden Fire Concealed Dust</t>
  </si>
  <si>
    <t>Learnable Rope Dart Common Form II - Hidden Fire and Concealed Dust (Affects: Physical Attack, Internal Attack)</t>
  </si>
  <si>
    <t>Mastered Rope Dart Common Form II - Hidden Fire and Concealed Dust</t>
  </si>
  <si>
    <t>Bowstring Release</t>
  </si>
  <si>
    <t>Learnable Bow Common Form I - Arrow Released from the Bowstring (Affects: Physical Attack, Internal Attack)</t>
  </si>
  <si>
    <t>Mastered Bow Common Form I - Arrow Released from the Bowstring</t>
  </si>
  <si>
    <t>Hunting Trap</t>
  </si>
  <si>
    <t>Learnable Bow Common Form II - Beast Trap (Affects: Physical Attack, Internal Attack)</t>
  </si>
  <si>
    <t>Mastered Bow Common Form II - Beast Trap</t>
  </si>
  <si>
    <t>Mountain-Cleansing Wild Sweep</t>
  </si>
  <si>
    <t>Learnable Whip Common Form I - Sweeping Mountains and Fields (Affects: Physical Attack, Internal Attack)</t>
  </si>
  <si>
    <t>Mastered Whip Common Form I - Sweeping Mountains and Fields</t>
  </si>
  <si>
    <t>Tracking Disruptor</t>
  </si>
  <si>
    <t>Learnable Whip Common Form II - Breaking Pursuit (Affects: Physical Attack, Internal Attack)</t>
  </si>
  <si>
    <t>Mastered Whip Common Form I - Breaking Pursuit</t>
  </si>
  <si>
    <t>Explosive Pearl - Burst</t>
  </si>
  <si>
    <t>Learnable Firearm Common Form I - Explosive Pearl - Shatter (Affects: Physical Attack)</t>
  </si>
  <si>
    <t>Mastered Firearm Common Form I - Explosive Pearl - Shatter</t>
  </si>
  <si>
    <t>Mechanism - Charge</t>
  </si>
  <si>
    <t>Learnable Firearm Common Form II - Ingenious Mechanism - Charge (Affects: Physical Attack)</t>
  </si>
  <si>
    <t>Mastered Firearm Common Form II - Ingenious Mechanism - Charge</t>
  </si>
  <si>
    <t>Rib Oblique Gouge</t>
  </si>
  <si>
    <t>Learnable Short Weapon Common Form I - Rib Gouge (Affects: Physical Attack, Internal Attack)</t>
  </si>
  <si>
    <t>Mastered Short Weapon Common Form I - Rib Gouge</t>
  </si>
  <si>
    <t>Enchanting Beauty Dagger</t>
  </si>
  <si>
    <t>Learnable Short Weapon Common Form I - Seductive Phantom Stab (Affects: Physical Attack, Internal Attack)</t>
  </si>
  <si>
    <t>Mastered Short Weapon Common Form II - Seductive Phantom Stab</t>
  </si>
  <si>
    <t>Long Wild Goose</t>
  </si>
  <si>
    <t>Skill [Cosmic Evolution] grants [Super Armor] when executed.</t>
  </si>
  <si>
    <t>Mastered Soaring Swan Sword Heart Formula - Long Goose</t>
  </si>
  <si>
    <t>Returning Phoenix</t>
  </si>
  <si>
    <t>Critical Hit Chance increased by 5%.</t>
  </si>
  <si>
    <t>Mastered Soaring Swan Sword Heart Formula - Returning Phoenix</t>
  </si>
  <si>
    <t>Mandarin Duck Break</t>
  </si>
  <si>
    <t>When executing skill [Lone Swan's Reflection], gain [Returning Phoenix] effect: immune to all damage and control effects.</t>
  </si>
  <si>
    <t>Mastered Soaring Swan Sword Heart Formula - Broken Lovebirds</t>
  </si>
  <si>
    <t>Lament</t>
  </si>
  <si>
    <t>Skill [Soaring Surprise] grants invincibility for 2 seconds while airborne.</t>
  </si>
  <si>
    <t>Mastered Soaring Swan Sword Heart Formula - Mournful Cry</t>
  </si>
  <si>
    <t>Following Wind</t>
  </si>
  <si>
    <t>Skill [Stormy Skies] cooldown reduced by 1 second.</t>
  </si>
  <si>
    <t>Mastered Breeze Swordplay Heart Formula - Following Wind</t>
  </si>
  <si>
    <t>Falling Leaves</t>
  </si>
  <si>
    <t>Skill [Autumn Wind Fades] cooldown reduced by 1 second.</t>
  </si>
  <si>
    <t>Mastered Breeze Swordplay Heart Formula - Drifting</t>
  </si>
  <si>
    <t>Astral Break</t>
  </si>
  <si>
    <t>Skill [Autumn Wind Fades] grants [Super Armor] when executed.</t>
  </si>
  <si>
    <t>Mastered Breeze Swordplay Heart Formula - Barrier Break</t>
  </si>
  <si>
    <t>Niche Dweller</t>
  </si>
  <si>
    <t>Skill [North Wind Pierces Pines] grants invincibility when executed.</t>
  </si>
  <si>
    <t>Mastered Breeze Swordplay Heart Formula - Nesting Gap</t>
  </si>
  <si>
    <t>Boundless</t>
  </si>
  <si>
    <t>Skill [Burning Seas] cooldown reduced by 1 second.</t>
  </si>
  <si>
    <t>Mastered Sea-Gazing Wave Blade Heart Formula - Boundless</t>
  </si>
  <si>
    <t>Cliff Wall</t>
  </si>
  <si>
    <t>Skill [Frozen Shore] cooldown reduced by 1 second.</t>
  </si>
  <si>
    <t>Mastered Sea-Gazing Wave Blade Heart Formula - Cliff Heart</t>
  </si>
  <si>
    <t>Red Heart</t>
  </si>
  <si>
    <t>Executing skill [Frozen Shore] reduces Qi consumption by 1.</t>
  </si>
  <si>
    <t>Mastered Sea-Gazing Wave Blade Heart Formula - Crimson Core</t>
  </si>
  <si>
    <t>Ten Thousand Chisels</t>
  </si>
  <si>
    <t>Executing skill [Raging Waves] reduces Qi consumption by 1.</t>
  </si>
  <si>
    <t>Mastered Sea-Gazing Wave Blade Heart Formula - Ten Thousand Chisels</t>
  </si>
  <si>
    <t>Hero Gathering</t>
  </si>
  <si>
    <t>HP Recovery increased by 10%.</t>
  </si>
  <si>
    <t>Mastered Gnarled Plum Search Heart Formula - Hero Gathering</t>
  </si>
  <si>
    <t>Carriage Guest</t>
  </si>
  <si>
    <t>Movement Speed increased by 5%.</t>
  </si>
  <si>
    <t>Mastered Gnarled Plum Search Heart Formula - Carriage Guest</t>
  </si>
  <si>
    <t>Poem Release</t>
  </si>
  <si>
    <t>Skill [Returning Home] damage increased by 10%.</t>
  </si>
  <si>
    <t>Mastered Mourning Veil Fan Heart Formula - Releasing Words</t>
  </si>
  <si>
    <t>Scattered Wind</t>
  </si>
  <si>
    <t>Skill [Soft Clouds Wrap Fingers] inflicts [Blind] on enemies, reducing their hit chance against the user for 3 seconds.</t>
  </si>
  <si>
    <t>Mastered Mourning Veil Fan Heart Formula - Scattered Elegance</t>
  </si>
  <si>
    <t>Bone of Style</t>
  </si>
  <si>
    <t>When [Desperation] triggers, immediately resets skill [Repeating Towers] cooldown. Can occur once every 20 seconds.</t>
  </si>
  <si>
    <t>Mastered Mourning Veil Fan Heart Formula - Unyielding Spirit</t>
  </si>
  <si>
    <t>Feast of Excess</t>
  </si>
  <si>
    <t>Skill [Returning Home] damage increased by 5%.</t>
  </si>
  <si>
    <t>Mastered Mourning Veil Fan Heart Formula - Lavish Feast</t>
  </si>
  <si>
    <t>Knowing Autumn</t>
  </si>
  <si>
    <t>Each time [Elusive] is gained, immediately refreshes [Questioning Autumn Wind] duration.</t>
  </si>
  <si>
    <t>Mastered Mourning Veil Fan Heart Formula - Knowing Autumn</t>
  </si>
  <si>
    <t>Mountain Crusher</t>
  </si>
  <si>
    <t>Skill [Northern Gaze] critical hit chance increased by 5%.</t>
  </si>
  <si>
    <t>Mastered Northward Gaze Spearplay Heart Formula - Crushing Peaks</t>
  </si>
  <si>
    <t>Hundred Refinements</t>
  </si>
  <si>
    <t>Mastered Northward Gaze Spearplay Heart Formula - Hundred Refinements</t>
  </si>
  <si>
    <t>Bright Valor</t>
  </si>
  <si>
    <t>Skill [Northern Gaze] increases critical hit damage by 20% when executed.</t>
  </si>
  <si>
    <t>Mastered Northward Gaze Spearplay Heart Formula - Illustrious Deeds</t>
  </si>
  <si>
    <t>Flying General</t>
  </si>
  <si>
    <t>Skill [Mountain Overlap] grants immunity to all damage/control effects while leaping.</t>
  </si>
  <si>
    <t>Mastered Northward Gaze Spearplay Heart Formula - Flying General</t>
  </si>
  <si>
    <t>Obsessive Entanglement</t>
  </si>
  <si>
    <t>Dealing damage applies [Obsession], causing the target to lose 1% HP per second for 5 seconds.</t>
  </si>
  <si>
    <t>Mastered Storm of Pear Blossoms Blade Heart Formula - Obsession</t>
  </si>
  <si>
    <t>Rainy Affection</t>
  </si>
  <si>
    <t>Dealing damage applies [Rain’s Embrace], causing the target to lose 1 Qi every 5 seconds for 10 seconds.</t>
  </si>
  <si>
    <t>Mastered Storm of Pear Blossoms Blade Heart Formula - Rain's Embrace</t>
  </si>
  <si>
    <t>Silk Preparation</t>
  </si>
  <si>
    <t>Dealing damage applies [Entanglement], causing the target to lose 1% Stamina per second for 5 seconds.</t>
  </si>
  <si>
    <t>Mastered Storm of Pear Blossoms Blade Heart Formula - Entanglement</t>
  </si>
  <si>
    <t>Plum Rain</t>
  </si>
  <si>
    <t>Stamina Recovery increased by 2 per second.</t>
  </si>
  <si>
    <t>Mastered Storm of Pear Blossoms Blade Heart Formula - Plum Rain</t>
  </si>
  <si>
    <t>Overflowing Dike</t>
  </si>
  <si>
    <t>Stamina Capacity increased by 10.</t>
  </si>
  <si>
    <t>Mastered Storm of Pear Blossoms Blade Heart Formula - Overflowing Banks</t>
  </si>
  <si>
    <t>Blood Refining</t>
  </si>
  <si>
    <t>Upon entering combat, Movement Speed increased by 5%.</t>
  </si>
  <si>
    <t>Mastered Bonds Severing Score Heart Formula - Blood Refining</t>
  </si>
  <si>
    <t>Tendon Severing</t>
  </si>
  <si>
    <t>Reduces [Shattered Lantern] cooldown by 1 second.</t>
  </si>
  <si>
    <t>Mastered Bonds Severing Score Heart Formula - Tendon Severing</t>
  </si>
  <si>
    <t>Transformation Beginning</t>
  </si>
  <si>
    <t>Skill [Primordial Division] cooldown reduced by 1 second.</t>
  </si>
  <si>
    <t>Mastered Tai Chi Fist Heart Formula - Primordial Division</t>
  </si>
  <si>
    <t>Cycle Turning</t>
  </si>
  <si>
    <t>Skill [Opening the Tai Chi] cooldown reduced by 1 second.</t>
  </si>
  <si>
    <t>Mastered Tai Chi Fist Heart Formula - Cosmic Pivot</t>
  </si>
  <si>
    <t>Morning Enlightenment</t>
  </si>
  <si>
    <t>Skill [Primordial Division] Qi consumption reduced by 1.</t>
  </si>
  <si>
    <t>Mastered Tai Chi Fist Heart Formula - Morning Enlightenment</t>
  </si>
  <si>
    <t>Selfless</t>
  </si>
  <si>
    <t>Skill [Closing the Tai Chi] Qi consumption reduced by 1.</t>
  </si>
  <si>
    <t>Mastered Tai Chi Fist Heart Formula - Formless Self</t>
  </si>
  <si>
    <t>Dipper Turn</t>
  </si>
  <si>
    <t>After executing [Closing the Tai Chi], reduces [Opening the Tai Chi] cooldown by 1 second.</t>
  </si>
  <si>
    <t>Mastered Tai Chi Fist Heart Formula - Heavenly Reversal</t>
  </si>
  <si>
    <t>Bright Crimson</t>
  </si>
  <si>
    <t>Skill [Sun-Sundering Strike] damage increased by 5%.</t>
  </si>
  <si>
    <t>Mastered Sun-Sundering Boulder Fist Heart Formula - Crimson Radiance</t>
  </si>
  <si>
    <t>Sundial Suppression</t>
  </si>
  <si>
    <t>Skill [Crushing the Monument] cooldown reduced by 1 second.</t>
  </si>
  <si>
    <t>Mastered Sun-Sundering Boulder Fist Heart Formula - Sundial Suppression</t>
  </si>
  <si>
    <t>Drought Arrival</t>
  </si>
  <si>
    <t>Skill [Sun-Sundering Strike] cooldown reduced by 1 second.</t>
  </si>
  <si>
    <t>Mastered Sun-Sundering Boulder Fist Heart Formula - Drought's Arrival</t>
  </si>
  <si>
    <t>Fierce Wheel</t>
  </si>
  <si>
    <t>Skill [Sun-Sundering Strike] Qi consumption reduced by 1.</t>
  </si>
  <si>
    <t>Mastered Sun-Sundering Boulder Fist Heart Formula - Blazing Wheel</t>
  </si>
  <si>
    <t>Ultimate Dawn</t>
  </si>
  <si>
    <t>After executing [Crushing the Monument], the next [Sun-Sundering Strike] will guarantee a defense break: reduces target’s Defense by 10% for 5 seconds.</t>
  </si>
  <si>
    <t>Mastered Sun-Sundering Boulder Fist Heart Formula - Zenith Sun</t>
  </si>
  <si>
    <t>Tied Hair</t>
  </si>
  <si>
    <t>Skill [Plucking Stars] Qi consumption reduced by 1.</t>
  </si>
  <si>
    <t>Mastered Divine Sword Finger Heart Formula - Tied Hair</t>
  </si>
  <si>
    <t>Desolate Fall</t>
  </si>
  <si>
    <t>Skill [Drawing the Stars] cooldown reduced by 1 second.</t>
  </si>
  <si>
    <t>Mastered Divine Sword Finger Heart Formula - Desolate Fall</t>
  </si>
  <si>
    <t>Long Rainbow</t>
  </si>
  <si>
    <t>Skill [Dividing Yin and Yang] cooldown reduced by 1 second.</t>
  </si>
  <si>
    <t>Mastered Dual-Polarity Swordplay Heart Formula - Long Rainbow</t>
  </si>
  <si>
    <t>Wax and Wane</t>
  </si>
  <si>
    <t>Skill [Severing Dusk] cooldown reduced by 1 second.</t>
  </si>
  <si>
    <t>Mastered Dual-Polarity Swordplay Heart Formula - Wax and Wane</t>
  </si>
  <si>
    <t>Clear Qi</t>
  </si>
  <si>
    <t>Skill [Dividing Yin and Yang] Qi consumption reduced by 1.</t>
  </si>
  <si>
    <t>Mastered Dual-Polarity Swordplay Heart Formula - Clear Qi</t>
  </si>
  <si>
    <t>Ten Thousand Transformations</t>
  </si>
  <si>
    <t>Skill [Severing Dusk] Qi consumption reduced by 1.</t>
  </si>
  <si>
    <t>Mastered Dual-Polarity Swordplay Heart Formula - Ten Thousand Changes</t>
  </si>
  <si>
    <t>Soaring Void</t>
  </si>
  <si>
    <t>Skill [Shaking the Cosmos] cooldown reduced by 1 second.</t>
  </si>
  <si>
    <t>Mastered Dual-Polarity Swordplay Heart Formula - Soaring Void</t>
  </si>
  <si>
    <t>Enchanting Body</t>
  </si>
  <si>
    <t>Skill [Sweeping Green Rivers] grants [Super Armor] when executed.</t>
  </si>
  <si>
    <t>Mastered Floating Duckweed Sword Art Heart Formula - Enchanting Body</t>
  </si>
  <si>
    <t>Unyielding Will</t>
  </si>
  <si>
    <t>Skills [Ancient Hammer - Penetration] and [Ancient Hammer - Final Forging] grant brief [Super Armor] during execution.</t>
  </si>
  <si>
    <t>Mastered Thousand-Forged Fist Momentum Heart Formula - Unwavering Resolve</t>
  </si>
  <si>
    <t>Reignited Embers</t>
  </si>
  <si>
    <t>Skill [Ancient Hammer - Final Forging] cooldown reduced by 1 second.</t>
  </si>
  <si>
    <t>Mastered Thousand-Forged Fist Momentum Heart Formula - Ashes Reborn</t>
  </si>
  <si>
    <t>Chaotic Spin</t>
  </si>
  <si>
    <t>Skill [Ancient Hammer - Penetration] cooldown reduced by 1 second.</t>
  </si>
  <si>
    <t>Mastered Thousand-Forged Fist Momentum Heart Formula - Turbid Whirl</t>
  </si>
  <si>
    <t>Inner Sword Technique</t>
  </si>
  <si>
    <t>Skill [Iaido - Inner Cut] Qi consumption reduced by 1.</t>
  </si>
  <si>
    <t>Mastered Heartless Style - Iaido Heart Formula - Inner Swordplay</t>
  </si>
  <si>
    <t>Void-Severing Style</t>
  </si>
  <si>
    <t>Skill [Swordplay - Inner Return] grants [Super Armor] when executed.</t>
  </si>
  <si>
    <t>Mastered Heartless Style - Iaido Heart Formula - Void-Severing Flow</t>
  </si>
  <si>
    <t>Reverse Kasaya</t>
  </si>
  <si>
    <t>Skill [Iaido - Draw] Qi consumption reduced by 1.</t>
  </si>
  <si>
    <t>Mastered Heartless Style - Iaido Heart Formula - Reverse Robe</t>
  </si>
  <si>
    <t>Falling Cherry Blossoms</t>
  </si>
  <si>
    <t>Skill [Iaido - Draw] cooldown reduced by 1 second.</t>
  </si>
  <si>
    <t>Mastered Heartless Style - Iaido Heart Formula - Falling Cherry Blossoms</t>
  </si>
  <si>
    <t>Dismemberment Sky</t>
  </si>
  <si>
    <t>Skill [Nine Provinces Unification] increases Physical Attack by 5% when executed.</t>
  </si>
  <si>
    <t>Mastered Primordial Battle Banner Heart Formula - Dismembered Titan</t>
  </si>
  <si>
    <t>Wind Queen</t>
  </si>
  <si>
    <t>Skill [Lord of Ten Directions] cooldown reduced by 1 second.</t>
  </si>
  <si>
    <t>Mastered Primordial Battle Banner Heart Formula - Wind Sovereign</t>
  </si>
  <si>
    <t>Territory Division</t>
  </si>
  <si>
    <t>Skill [Eight Wastes Claimed] cooldown reduced by 1 second.</t>
  </si>
  <si>
    <t>Mastered Primordial Battle Banner Heart Formula - Divided Territory</t>
  </si>
  <si>
    <t>Cauldron Lake</t>
  </si>
  <si>
    <t>Skill [Eight Wastes Claimed] increases Physical Attack by 5% when executed.</t>
  </si>
  <si>
    <t>Mastered Primordial Battle Banner Heart Formula - Cauldron Lake</t>
  </si>
  <si>
    <t>Provocation</t>
  </si>
  <si>
    <t>Skill [Night Slayer] cooldown reduced by 1 second.</t>
  </si>
  <si>
    <t>Mastered Iron-Cutting Bladeless Scroll Heart Formula - Provoking Battle</t>
  </si>
  <si>
    <t>Lone Courage</t>
  </si>
  <si>
    <t>Skill [Night Slayer] grants 2 seconds of [Super Armor] when executed.</t>
  </si>
  <si>
    <t>Mastered Iron-Cutting Bladeless Scroll Heart Formula - Lone Courage</t>
  </si>
  <si>
    <t>Unbreakable</t>
  </si>
  <si>
    <t>After executing a Heavy Attack, grants [Super Armor] for 1 second.</t>
  </si>
  <si>
    <t>Mastered Iron-Cutting Bladeless Scroll Heart Formula - Unbreakable</t>
  </si>
  <si>
    <t>Mass Overthrow</t>
  </si>
  <si>
    <t>Skill [Overwhelming Force] cooldown reduced by 1 second.</t>
  </si>
  <si>
    <t>Mastered Iron-Cutting Bladeless Scroll Heart Formula - Mass Overthrow</t>
  </si>
  <si>
    <t>Killing Momentum</t>
  </si>
  <si>
    <t>Skill [Tidal Surge] cooldown reduced by 1 second.</t>
  </si>
  <si>
    <t>Mastered Iron-Cutting Bladeless Scroll Heart Formula - Killing Momentum</t>
  </si>
  <si>
    <t>Solitary Enlightenment</t>
  </si>
  <si>
    <t>Skill [Crossing the River] consumes no Qi.</t>
  </si>
  <si>
    <t>Mastered All-Beings Bodhi Staff Heart Formula - Solitary Enlightenment</t>
  </si>
  <si>
    <t>Worldly Tribulation</t>
  </si>
  <si>
    <t>Skill [Formless Self] grants [Super Armor] when executed.</t>
  </si>
  <si>
    <t>Mastered All-Beings Bodhi Staff Heart Formula - Dust Calamity</t>
  </si>
  <si>
    <t>Three Lives</t>
  </si>
  <si>
    <t>Skill [Flower Toss] cooldown reduced by 1 second.</t>
  </si>
  <si>
    <t>Mastered All-Beings Bodhi Staff Heart Formula - Three Lives</t>
  </si>
  <si>
    <t>Obstacle Breaker</t>
  </si>
  <si>
    <t>Skill [Formless Self] cooldown reduced by 1 second.</t>
  </si>
  <si>
    <t>Mastered All-Beings Bodhi Staff Heart Formula - Barrier Shattering</t>
  </si>
  <si>
    <t>Unstained</t>
  </si>
  <si>
    <t>[Immobile] effect duration increased to 10 seconds.</t>
  </si>
  <si>
    <t>Mastered All-Beings Bodhi Staff Heart Formula - Stainless</t>
  </si>
  <si>
    <t>Defense</t>
  </si>
  <si>
    <t>Skill [Swordplay - Inner Cut] grants [Super Armor].</t>
  </si>
  <si>
    <t>Mastered Heartless Style - Iaido Heart Formula - Defense</t>
  </si>
  <si>
    <t>Soaring Dragon</t>
  </si>
  <si>
    <t>Skill [Dragon Roams Heaven and Earth] Qi consumption reduced by 1.</t>
  </si>
  <si>
    <t>Mastered Drunken Dragon Subduing Unparalleled Style Heart Formula - Soaring Dragon</t>
  </si>
  <si>
    <t>Descending World</t>
  </si>
  <si>
    <t>Skill [Divine Dragon’s Tail] Qi consumption reduced by 1.</t>
  </si>
  <si>
    <t>Mastered Drunken Dragon Subduing Unparalleled Style Heart Formula - Descending Upon the World</t>
  </si>
  <si>
    <t>Gradual Progress</t>
  </si>
  <si>
    <t>Skill [Dragon Roams Heaven and Earth] cooldown reduced by 1 second.</t>
  </si>
  <si>
    <t>Mastered Drunken Dragon Subduing Unparalleled Style Heart Formula - Gradual Ascent</t>
  </si>
  <si>
    <t>Timely Ride</t>
  </si>
  <si>
    <t>Skill [Divine Dragon’s Tail] cooldown reduced by 1 second.</t>
  </si>
  <si>
    <t>Mastered Drunken Dragon Subduing Unparalleled Style Heart Formula - Timely Ride</t>
  </si>
  <si>
    <t>Unending</t>
  </si>
  <si>
    <t>Skill [Soaring Dragon] cooldown reduced by 1 second.</t>
  </si>
  <si>
    <t>Mastered Drunken Dragon Subduing Unparalleled Style Heart Formula - Unceasing</t>
  </si>
  <si>
    <t>Dark and Bright</t>
  </si>
  <si>
    <t>Skill [Azure Waves Piercing the Sky] Qi consumption reduced by 1.</t>
  </si>
  <si>
    <t>Mastered Five-Scale Purification Whip Heart Formula - Dark and Dawn</t>
  </si>
  <si>
    <t>Serpent Shadow</t>
  </si>
  <si>
    <t>Skill [Viper’s Strike] cooldown reduced by 1 second.</t>
  </si>
  <si>
    <t>Mastered Five-Scale Purification Whip Heart Formula - Serpent's Shadow</t>
  </si>
  <si>
    <t>Star Dwelling</t>
  </si>
  <si>
    <t>After [Heavenly Dragon’s Protection], attacks inflict [Stun] on damaged targets.</t>
  </si>
  <si>
    <t>Mastered Five-Scale Purification Whip Heart Formula - Stellar Dwelling</t>
  </si>
  <si>
    <t>Vast Emptiness</t>
  </si>
  <si>
    <t>Movement Speed increased by 50. Gain 1 Qi every 30 seconds.</t>
  </si>
  <si>
    <t>Mastered Bone-Pulling Golden Rainbow Art Heart Formula - Vast Emptiness</t>
  </si>
  <si>
    <t>Bone Return</t>
  </si>
  <si>
    <t>Physical Attack increased by 3%.</t>
  </si>
  <si>
    <t>Mastered Bone-Pulling Golden Rainbow Art Heart Formula - Bone Return</t>
  </si>
  <si>
    <t>Keen Insight</t>
  </si>
  <si>
    <t>Skill [Coiling Serpent] grants [Super Armor] when executed.</t>
  </si>
  <si>
    <t>Mastered Seven Emotions Entangling Dagger Heart Formula - Soul Resonance</t>
  </si>
  <si>
    <t>Sacrificial Rites</t>
  </si>
  <si>
    <t>Skill [Void Piercer] cooldown reduced by 1 second.</t>
  </si>
  <si>
    <t>Mastered Seven Emotions Entangling Dagger Heart Formula - Sacrificial Rite</t>
  </si>
  <si>
    <t>Hundred Legs</t>
  </si>
  <si>
    <t>Skill [Silken Threads Binding Snake] cooldown reduced by 1 second.</t>
  </si>
  <si>
    <t>Mastered Seven Emotions Entangling Dagger Heart Formula - Hundred Legs</t>
  </si>
  <si>
    <t>Instant</t>
  </si>
  <si>
    <t>After executing [Arrow Rain], increases Movement Speed.</t>
  </si>
  <si>
    <t>Mastered Hunting Bowstring Art Heart Formula - Fleeting Moment</t>
  </si>
  <si>
    <t>Moment</t>
  </si>
  <si>
    <t>Skill [Frost Hunt] grants [Super Armor] during spear thrust.</t>
  </si>
  <si>
    <t>Mastered Hunting Bowstring Art Heart Formula - Instant</t>
  </si>
  <si>
    <t>Wandering Scatter</t>
  </si>
  <si>
    <t>When knocked airborne, gain 1 second of invincibility.</t>
  </si>
  <si>
    <t>Mastered Hunting Bowstring Art Heart Formula - Wandering Scatter</t>
  </si>
  <si>
    <t>Intense Burn</t>
  </si>
  <si>
    <t>Skill [Sweeping Mountains] reduces [Golden Thread] cooldown by 1 second when attacking [Burning] targets.</t>
  </si>
  <si>
    <t>Mastered Flowing Cauldron Rope Dart Heart Formula - Scorching Heat</t>
  </si>
  <si>
    <t>Dust Rising</t>
  </si>
  <si>
    <t>Skill [Golden Thread] inflicts [Dust Cloud] when attacking [Burning] targets, lasting 8 seconds. During this effect, [Sweeping Mountains] Qi cost reduced by 1.</t>
  </si>
  <si>
    <t>Mastered Flowing Cauldron Rope Dart Heart Formula - Dust Cloud</t>
  </si>
  <si>
    <t>Scattered Stars</t>
  </si>
  <si>
    <t>Skill [Meteor Scatter] grants [Super Armor] when executed.</t>
  </si>
  <si>
    <t>Mastered Flowing Cauldron Rope Dart Heart Formula - Scattered Stars</t>
  </si>
  <si>
    <t>Momentum</t>
  </si>
  <si>
    <t>Increases [Sever - Stone Splitter] sword energy damage.</t>
  </si>
  <si>
    <t>Mastered Secret Sword - Mountain Echo Heart Formula - Momentum</t>
  </si>
  <si>
    <t>Return</t>
  </si>
  <si>
    <t>After executing [Robe - Forest Breaker], reduces [Sever - Stone Splitter] cooldown by 1 second.</t>
  </si>
  <si>
    <t>Mastered Secret Sword - Mountain Echo Heart Formula - Return</t>
  </si>
  <si>
    <t>Azure</t>
  </si>
  <si>
    <t>Skill [Secret - Silent Return] grants [Super Armor] when executed.</t>
  </si>
  <si>
    <t>Mastered Secret Sword - Mountain Echo Heart Formula - Azure</t>
  </si>
  <si>
    <t>Rope Sever</t>
  </si>
  <si>
    <t>Skill [First Strike - Assault] cooldown reduced by 1 second.</t>
  </si>
  <si>
    <t>Mastered Slaughter Stream - Blade Taking Heart Formula - Rope Sever</t>
  </si>
  <si>
    <t>Blade Taking</t>
  </si>
  <si>
    <t>Upon entering combat, increases final damage by 5%.</t>
  </si>
  <si>
    <t>Mastered Slaughter Stream - Blade Taking Heart Formula - Blade Taking</t>
  </si>
  <si>
    <t>Land Guarding</t>
  </si>
  <si>
    <t>Defense increased by 3%. Upon entering combat, reflect damage increased by 10%.</t>
  </si>
  <si>
    <t>Mastered Heavenly Might Formation Blade Heart Formula - Land Guarding</t>
  </si>
  <si>
    <t>Territory Opening</t>
  </si>
  <si>
    <t>Final damage increased by 3%. Movement Speed increased by 50.</t>
  </si>
  <si>
    <t>Mastered Heavenly Might Formation Blade Heart Formula - Territory Opening</t>
  </si>
  <si>
    <t>Mechanism Storing</t>
  </si>
  <si>
    <t>Upon entering combat, gains +1 initial bullet capacity.</t>
  </si>
  <si>
    <t>Mastered Western Firearms - Pearls Heart Formula - Charging Mechanism</t>
  </si>
  <si>
    <t>Flowing Structure</t>
  </si>
  <si>
    <t>After executing [Scatter Shot - Charge], increases Movement Speed.</t>
  </si>
  <si>
    <t>Mastered Western Firearms - Pearls Heart Formula - Flowing Structure</t>
  </si>
  <si>
    <t>Expanded Chamber</t>
  </si>
  <si>
    <t>Magazine capacity increased by 1.</t>
  </si>
  <si>
    <t>Mastered Western Firearms - Pearls Heart Formula - Expanded Magazine</t>
  </si>
  <si>
    <t>Cycle Beginning</t>
  </si>
  <si>
    <t>Increases [Night and Day] fan strike damage.</t>
  </si>
  <si>
    <t>Mastered Microcosmic Fan Heart Formula - Cycle Renewed</t>
  </si>
  <si>
    <t>Movement Speed increased by 50.</t>
  </si>
  <si>
    <t>Mastered Microcosmic Fan Heart Formula - Unending</t>
  </si>
  <si>
    <t>Infused Transformation</t>
  </si>
  <si>
    <t>Skill [Qi Infusion] grants [Super Armor] when executed.</t>
  </si>
  <si>
    <t>Mastered Microcosmic Fan Heart Formula - Focused Transformation</t>
  </si>
  <si>
    <t>Crimson Moon</t>
  </si>
  <si>
    <t>Lifesteal increased by 10%.</t>
  </si>
  <si>
    <t>Mastered Moon's Remnant Scripture Heart Formula - Crimson Moon</t>
  </si>
  <si>
    <t>Clear Radiance</t>
  </si>
  <si>
    <t>Light Attack damage increased by 5%.</t>
  </si>
  <si>
    <t>Mastered Moon's Remnant Scripture Heart Formula - Pure Radiance</t>
  </si>
  <si>
    <t>Cold Jade</t>
  </si>
  <si>
    <t>After executing [Jade Plate], grants 2 seconds of [Super Armor].</t>
  </si>
  <si>
    <t>Mastered Moon's Remnant Scripture Heart Formula - Cold Jade</t>
  </si>
  <si>
    <t>General's Exile</t>
  </si>
  <si>
    <t>Skill [Qin King Enters Battle] grants [General’s Star] stack per hit (max 5). At 5 stacks, grants [Invincible] for 2 seconds.</t>
  </si>
  <si>
    <t>Mastered Nation-Guarding Mountain Spear Heart Formula - General's Exile</t>
  </si>
  <si>
    <t>Trap Tune</t>
  </si>
  <si>
    <t>When HP drops below 50%, HP Recovery increased by 25%.</t>
  </si>
  <si>
    <t>Mastered Nation-Guarding Mountain Spear Heart Formula - Trapped Melody</t>
  </si>
  <si>
    <t>Lone Domineering</t>
  </si>
  <si>
    <t>After executing [Tiger Guard Formation - Desert Saddle], grants [Lone Dominance], restoring 30 Stamina per second for 8 seconds.</t>
  </si>
  <si>
    <t>Mastered Nation-Guarding Mountain Spear Heart Formula - Lone Dominance</t>
  </si>
  <si>
    <t>Cloud Piercing</t>
  </si>
  <si>
    <t>Skill [Shuttle Through Clouds] grants [Super Armor] when executed.</t>
  </si>
  <si>
    <t>Mastered Lone Swan's Trace Heart Formula - Cloud Piercing</t>
  </si>
  <si>
    <t>Sun Return</t>
  </si>
  <si>
    <t>After executing [Shuttle Through Clouds], reduces [Soaring Nine Heavens] cooldown by 1 second.</t>
  </si>
  <si>
    <t>Mastered Lone Swan's Trace Heart Formula - Sun Returning</t>
  </si>
  <si>
    <t>Wind Skimming</t>
  </si>
  <si>
    <t>After executing [Shuttle Through Clouds], inflicts [Wind Resistance] on damaged targets, reducing Movement Speed by 30% for 5 seconds.</t>
  </si>
  <si>
    <t>Mastered Lone Swan's Trace Heart Formula - Wind Skimming</t>
  </si>
  <si>
    <t>Horizontal Sand</t>
  </si>
  <si>
    <t>With [Seven Killers Iron Armor - Moon Over Yin Mountains] active, [Drunken Battlefield] [Super Armor] duration extended by 2 seconds.</t>
  </si>
  <si>
    <t>Mastered Drunken Lord Blade Inscription Heart Formula - Desert Cross</t>
  </si>
  <si>
    <t>Formation Breach</t>
  </si>
  <si>
    <t>When HP drops below 50%, damage increased by 8%.</t>
  </si>
  <si>
    <t>Mastered Drunken Lord Blade Inscription Heart Formula - Formation Breach</t>
  </si>
  <si>
    <t>Formation Charge</t>
  </si>
  <si>
    <t>When hit, gain [Steadfast], increasing Stamina Recovery by 15% for 5 seconds.</t>
  </si>
  <si>
    <t>Mastered Drunken Lord Blade Inscription Heart Formula - Charge Formation</t>
  </si>
  <si>
    <t>Heavenly Evolution - Sunset Scroll</t>
  </si>
  <si>
    <t>Equipping this scroll increases Physical and Internal Attack by 5% when wielding Single-Handed Light Blades or Fans. (Can be slotted in [Heaven Scroll] Slot 1)</t>
  </si>
  <si>
    <t>Mastered Heavenly Derivation - Sunset Scroll</t>
  </si>
  <si>
    <t>Heavenly Evolution - Stone-Splitting Scroll</t>
  </si>
  <si>
    <t>Equipping this scroll increases Physical and Internal Attack by 5% when using Fist/Palm or Leg/Kick techniques. (Can be slotted in [Heaven Scroll] Slot 1)</t>
  </si>
  <si>
    <t>Mastered Heavenly Derivation - Stone-Splitting Scroll</t>
  </si>
  <si>
    <t>Heavenly Evolution - Army-Breaking Scroll</t>
  </si>
  <si>
    <t>Equipping this scroll increases Physical and Internal Attack by 5% when wielding Heavy Blades or Polearms. (Can be slotted in [Heaven Scroll] Slot 1)</t>
  </si>
  <si>
    <t>Mastered Heavenly Derivation - Army-Shattering Scroll</t>
  </si>
  <si>
    <t>Heavenly Evolution - Peach Blossom Scroll</t>
  </si>
  <si>
    <t>Equipping this scroll increases Physical and Internal Attack by 5% when using Rope Darts or Whips. (Can be slotted in [Heaven Scroll] Slot 1)</t>
  </si>
  <si>
    <t>Mastered Heavenly Derivation - Peach Blossom Scroll</t>
  </si>
  <si>
    <t>Heavenly Evolution - Star-Plucking Scroll</t>
  </si>
  <si>
    <t>Equipping this scroll increases Physical and Internal Attack by 5% when using Thrown Weapons, Firearms, or Bows. (Can be slotted in [Heaven Scroll] Slot 1)</t>
  </si>
  <si>
    <t>Mastered Heavenly Derivation - Star-Plucking Scroll</t>
  </si>
  <si>
    <t>Heavenly Evolution - Susanoo Scroll</t>
  </si>
  <si>
    <t>Equipping this scroll increases Physical and Internal Attack by 5% when wielding Dual-Wield Light Blades or Short Weapons. (Can be slotted in [Heaven Scroll] Slot 1)</t>
  </si>
  <si>
    <t>Mastered Heavenly Derivation - Susanoo Scroll</t>
  </si>
  <si>
    <t>Heavenly Evolution - Mountain-Gazing Scroll</t>
  </si>
  <si>
    <t>Equipping this scroll increases Physical and Internal Attack by 5% when using Fist/Palm or Leg/Kick martial arts. (Can be slotted in [Heaven Scroll] Slot 2)</t>
  </si>
  <si>
    <t>Mastered Heavenly Derivation - Mountain-Gazing Scroll</t>
  </si>
  <si>
    <t>Heavenly Evolution - Soaring Clouds Scroll</t>
  </si>
  <si>
    <t>Equipping this scroll increases Physical and Internal Attack by 5% when using Single-Handed Light Blades or Fan martial arts. (Can be slotted in [Heaven Scroll] Slot 2)</t>
  </si>
  <si>
    <t>Mastered Heavenly Derivation - Cloud-Soaring Scroll</t>
  </si>
  <si>
    <t>Heavenly Evolution - West Wind Scroll</t>
  </si>
  <si>
    <t>Equipping this scroll increases Physical and Internal Attack by 5% when using Heavy Blades or Polearm martial arts. (Can be slotted in [Heaven Scroll] Slot 2)</t>
  </si>
  <si>
    <t>Mastered Heavenly Derivation - West Wind Scroll</t>
  </si>
  <si>
    <t>Heavenly Evolution - Yearning Scroll</t>
  </si>
  <si>
    <t>Equipping this scroll increases Physical and Internal Attack by 5% when using Thrown Weapons, Firearms, or Bow martial arts. (Can be slotted in [Heaven Scroll] Slot 2)</t>
  </si>
  <si>
    <t>Mastered Heavenly Derivation - Longing Scroll</t>
  </si>
  <si>
    <t>Heavenly Evolution - Defense Scroll</t>
  </si>
  <si>
    <t>Equipping this scroll increases Physical and Internal Attack by 5% when using Dual-Wield Light Blades or Short Weapon martial arts. (Can be slotted in [Heaven Scroll] Slot 2)</t>
  </si>
  <si>
    <t>Mastered Heavenly Derivation - Takemikazuchi Scroll</t>
  </si>
  <si>
    <t>Heavenly Evolution - Jade-Leaking Scroll</t>
  </si>
  <si>
    <t>Equipping this scroll increases Physical and Internal Attack by 5% when using Rope Dart or Whip martial arts. (Can be slotted in [Heaven Scroll] Slot 2)</t>
  </si>
  <si>
    <t>Mastered Heavenly Derivation - Jade-Leaking Scroll</t>
  </si>
  <si>
    <t>Heavenly Evolution - Lion Pounce Scroll</t>
  </si>
  <si>
    <t>Equipping this scroll increases Physical Attack by 5% and reduces Physical Defense by 5%. (Can be slotted in [Heaven Scroll] Slot 3)</t>
  </si>
  <si>
    <t>Mastered Heavenly Derivation - Lion's Pounce Scroll</t>
  </si>
  <si>
    <t>Heavenly Evolution - Waterfall-Gathering Scroll</t>
  </si>
  <si>
    <t>Equipping this scroll increases Internal Attack by 5% and reduces Internal Defense by 5%. (Can be slotted in [Heaven Scroll] Slot 3)</t>
  </si>
  <si>
    <t>Mastered Heavenly Derivation - Waterfall-Concealing Scroll</t>
  </si>
  <si>
    <t>Heavenly Evolution - Longevity Scroll</t>
  </si>
  <si>
    <t>Equipping this scroll increases HP Recovery by 10%. (Can be slotted in [Heaven Scroll] Slot 3)</t>
  </si>
  <si>
    <t>Mastered Heavenly Derivation - Longevity Scroll</t>
  </si>
  <si>
    <t>Heavenly Evolution - Heaven-Shaking Scroll</t>
  </si>
  <si>
    <t>Equipping this scroll increases Critical Hit Chance by 5%. (Can be slotted in [Heaven Scroll] Slot 4)</t>
  </si>
  <si>
    <t>Mastered Heavenly Derivation - Heaven-Shaking Scroll</t>
  </si>
  <si>
    <t>Heavenly Evolution - Suppression Scroll</t>
  </si>
  <si>
    <t>Equipping this scroll increases Critical Damage by 15% and reduces Critical Resistance by 5%. (Can be slotted in [Heaven Scroll] Slot 4)</t>
  </si>
  <si>
    <t>Mastered Heavenly Derivation - Suppression Scroll</t>
  </si>
  <si>
    <t>Heavenly Evolution - World-Abandoning Scroll</t>
  </si>
  <si>
    <t>Equipping this scroll increases Critical Hit Chance by 5% and Critical Damage by 10%. (Can be slotted in [Heaven Scroll] Slot 4)</t>
  </si>
  <si>
    <t>Mastered Heavenly Derivation - World-Abandoning Scroll</t>
  </si>
  <si>
    <t>Heavenly Evolution - Dark and Bright Scroll</t>
  </si>
  <si>
    <t>Equipping this scroll increases Attack by 3% and reduces Max HP by 10%. (Can be slotted in [Heaven Scroll] Slot 5)</t>
  </si>
  <si>
    <t>Mastered Heavenly Derivation - Dark and Dawn Scroll</t>
  </si>
  <si>
    <t>Heavenly Evolution - Devouring Scroll</t>
  </si>
  <si>
    <t>Equipping this scroll increases Lifesteal by 5%. (Can be slotted in [Heaven Scroll] Slot 5)</t>
  </si>
  <si>
    <t>Mastered Heavenly Derivation - Devouring Scroll</t>
  </si>
  <si>
    <t>Earth Overturning - Primordial Chaos Scroll</t>
  </si>
  <si>
    <t>Equipping this scroll increases both Internal and Physical Defense by 5%. (Can be slotted in [Earth Scroll] Slot 1)</t>
  </si>
  <si>
    <t>Mastered Earth Overturning - Primordial Chaos Scroll</t>
  </si>
  <si>
    <t>Earth Overturning - Myriad Life Scroll</t>
  </si>
  <si>
    <t>Equipping this scroll increases Stamina Recovery by 20%. (Can be slotted in [Earth Scroll] Slot 1)</t>
  </si>
  <si>
    <t>Mastered Earth Overturning - Ten Thousand Lives Scroll</t>
  </si>
  <si>
    <t>Earth Overturning - Mountain-Piling Scroll</t>
  </si>
  <si>
    <t>Equipping this scroll increases Physical Defense by 15% and reduces Physical Attack by 10%. (Can be slotted in [Earth Scroll] Slot 2)</t>
  </si>
  <si>
    <t>Mastered Earth Overturning - Mountain-Piling Scroll</t>
  </si>
  <si>
    <t>Earth Overturning - Territory-Opening Scroll</t>
  </si>
  <si>
    <t>Equipping this scroll increases Internal Defense by 15% and reduces Internal Attack by 10%. (Can be slotted in [Earth Scroll] Slot 2)</t>
  </si>
  <si>
    <t>Mastered Earth Overturning - Territory-Opening Scroll</t>
  </si>
  <si>
    <t>Earth Overturning - All-Defense Scroll</t>
  </si>
  <si>
    <t>Equipping this scroll increases Critical Resistance by 10%. (Can be slotted in [Earth Scroll] Slot 2)</t>
  </si>
  <si>
    <t>Mastered Earth Overturning - All-Defense Scroll</t>
  </si>
  <si>
    <t>Earth Overturning - Ten Thousand Bells Scroll</t>
  </si>
  <si>
    <t>Equipping this scroll increases Internal Defense by 10%. (Can be slotted in [Earth Scroll] Slot 3)</t>
  </si>
  <si>
    <t>Mastered Earth Overturning - Ten Thousand Bells Scroll</t>
  </si>
  <si>
    <t>Earth Overturning - Solid Source Scroll</t>
  </si>
  <si>
    <t>Equipping this scroll increases Critical Immunity by 10%. (Can be slotted in [Earth Scroll] Slot 3)</t>
  </si>
  <si>
    <t>Mastered Earth Overturning - Solid Source Scroll</t>
  </si>
  <si>
    <t>Earth Overturning - Frame-Lifting Scroll</t>
  </si>
  <si>
    <t>Equipping this scroll increases Critical Resistance by 10%. (Can be slotted in [Earth Scroll] Slot 4)</t>
  </si>
  <si>
    <t>Mastered Earth Overturning - Pillar-Holding Scroll</t>
  </si>
  <si>
    <t>Earth Overturning - Proud Son Scroll</t>
  </si>
  <si>
    <t>Equipping this scroll increases Max HP by 10%. (Can be slotted in [Earth Scroll] Slot 4)</t>
  </si>
  <si>
    <t>Mastered Earth Overturning - Proud Son Scroll</t>
  </si>
  <si>
    <t>Earth Overturning - Stainless Scroll</t>
  </si>
  <si>
    <t>Equipping this scroll increases Max HP by 5% and reduces HP Recovery by 5%. (Can be slotted in [Earth Scroll] Slot 5)</t>
  </si>
  <si>
    <t>Mastered Earth Overturning - Stainless Scroll</t>
  </si>
  <si>
    <t>Earth Overturning - Stone-Touching Scroll</t>
  </si>
  <si>
    <t>Equipping this scroll increases Physical Defense by 10%. (Can be slotted in [Earth Scroll] Slot 5)</t>
  </si>
  <si>
    <t>Mastered Earth Overturning - Stone-Touching Scroll</t>
  </si>
  <si>
    <t>Earth Overturning - Grudge Scroll</t>
  </si>
  <si>
    <t>Equipping this scroll increases Reflect Damage by 5%. (Can be slotted in [Earth Scroll] Slot 5)</t>
  </si>
  <si>
    <t>Mastered Earth Overturning - Grudge-Bearing Scroll</t>
  </si>
  <si>
    <t>Earth Overturning - Ninth Earth Scroll</t>
  </si>
  <si>
    <t>Equipping this scroll increases Stamina Capacity by 10%. (Can be slotted in [Earth Scroll] Slot 5)</t>
  </si>
  <si>
    <t>Mastered Earth Overturning - Kun Nine Scroll</t>
  </si>
  <si>
    <t>Mortal World - Evil-Slaying Scroll</t>
  </si>
  <si>
    <t>Equipping this scroll increases Critical Hit Chance by 5% when using Single-Handed Light Blades or Fan martial arts. (Can be slotted in [Human Scroll] Slot 1)</t>
  </si>
  <si>
    <t>Mastered Mortal World - Evil-Slaying Scroll</t>
  </si>
  <si>
    <t>Mortal World - Mountain-Shaking Scroll</t>
  </si>
  <si>
    <t>Equipping this scroll increases Critical Hit Chance by 5% when using Fist/Palm or Leg/Kick martial arts. (Can be slotted in [Human Scroll] Slot 1)</t>
  </si>
  <si>
    <t>Mastered Mortal World - Mountain-Shaking Scroll</t>
  </si>
  <si>
    <t>Mortal World - Lone Phoenix Scroll</t>
  </si>
  <si>
    <t>Equipping this scroll increases Critical Hit Chance by 5% when using Heavy Blades or Polearm martial arts. (Can be slotted in [Human Scroll] Slot 1)</t>
  </si>
  <si>
    <t>Mastered Mortal World - Lone Phoenix Scroll</t>
  </si>
  <si>
    <t>Mortal World - Sun-Shining Scroll</t>
  </si>
  <si>
    <t>Equipping this scroll increases Critical Hit Chance by 5% when using Dual-Wield Light Blades or Short Weapon martial arts. (Can be slotted in [Human Scroll] Slot 1)</t>
  </si>
  <si>
    <t>Mastered Mortal World - Sun-Shining Scroll</t>
  </si>
  <si>
    <t>Mortal World - Cold Magpie Scroll</t>
  </si>
  <si>
    <t>Equipping this scroll increases Critical Hit Chance by 5% when using Thrown Weapons, Firearms, or Bow martial arts. (Can be slotted in [Human Scroll] Slot 1)</t>
  </si>
  <si>
    <t>Mastered Mortal World - Cold Magpie Scroll</t>
  </si>
  <si>
    <t>Mortal World - Heartbreak Scroll</t>
  </si>
  <si>
    <t>Equipping this scroll increases Critical Hit Chance by 5% when using Whip or Rope Dart martial arts. (Can be slotted in [Human Scroll] Slot 1)</t>
  </si>
  <si>
    <t>Mastered Mortal World - Heartbreak Scroll</t>
  </si>
  <si>
    <t>Mortal World - Unpolished Scroll</t>
  </si>
  <si>
    <t>Equipping this scroll increases Reflect Damage by 10% and reduces Movement Speed by 50. (Can be slotted in [Human Scroll] Slot 2)</t>
  </si>
  <si>
    <t>Mastered Mortal World - Unpolished Scroll</t>
  </si>
  <si>
    <t>Mortal World - Scholarly Scroll</t>
  </si>
  <si>
    <t>Equipping this scroll increases EXP gain by 10% (Main Character only). (Can be slotted in [Human Scroll] Slot 2)</t>
  </si>
  <si>
    <t>Mastered Mortal World - Scholarly Pursuit Scroll</t>
  </si>
  <si>
    <t>Mortal World - Traceless Scroll</t>
  </si>
  <si>
    <t>Equipping this scroll increases Movement Speed by 30. (Can be slotted in [Human Scroll] Slot 2)</t>
  </si>
  <si>
    <t>Mastered Mortal World - Traceless Scroll</t>
  </si>
  <si>
    <t>Mortal World - Hundred Herbs Scroll</t>
  </si>
  <si>
    <t>Equipping this scroll increases HP Recovery by 10%. (Can be slotted in [Human Scroll] Slot 3)</t>
  </si>
  <si>
    <t>Mastered Mortal World - Hundred Herbs Scroll</t>
  </si>
  <si>
    <t>Mortal World - Poison Gu Scroll</t>
  </si>
  <si>
    <t>Equipping this scroll increases Stamina Recovery by 10%. (Can be slotted in [Human Scroll] Slot 3)</t>
  </si>
  <si>
    <t>Mastered Mortal World - Poison Gu Scroll</t>
  </si>
  <si>
    <t>Mortal World - Hanging Pot Scroll</t>
  </si>
  <si>
    <t>Equipping this scroll increases Lifesteal by 5% and reduces Max HP by 5%. (Can be slotted in [Human Scroll] Slot 3)</t>
  </si>
  <si>
    <t>Mastered Mortal World - Hanging Gourd Scroll</t>
  </si>
  <si>
    <t>Mortal World - Artisan Scroll</t>
  </si>
  <si>
    <t>Equipping this scroll increases Movement Speed by 30 and reduces Stamina Capacity by 20%. (Can be slotted in [Human Scroll] Slot 4)</t>
  </si>
  <si>
    <t>Mastered Mortal World - Artisanry Scroll</t>
  </si>
  <si>
    <t>Mortal World - Skilled Hands Scroll</t>
  </si>
  <si>
    <t>Equipping this scroll increases Critical Hit Chance by 10% when using Thrown Weapons. (Can be slotted in [Human Scroll] Slot 4)</t>
  </si>
  <si>
    <t>Mastered Mortal World - Skilled Hands Scroll</t>
  </si>
  <si>
    <t>Mortal World - Rosy Clouds Scroll</t>
  </si>
  <si>
    <t>Equipping this scroll increases Internal Power growth by 10%. (Can be slotted in [Human Scroll] Slot 4)</t>
  </si>
  <si>
    <t>Mastered Mortal World - Crimson Cloud Scroll</t>
  </si>
  <si>
    <t>Mortal World - Bodhidharma Scroll</t>
  </si>
  <si>
    <t>Equipping this scroll increases EXP gain by 10% and reduces Attack by 5%. (Can be slotted in [Human Scroll] Slot 5)</t>
  </si>
  <si>
    <t>Mastered Mortal World - Bodhidharma Scroll</t>
  </si>
  <si>
    <t>Mortal World - Love Gu Scroll</t>
  </si>
  <si>
    <t>Equipping this scroll increases Critical Immunity by 10% and Critical Resistance by 10%. (Can be slotted in [Human Scroll] Slot 5)</t>
  </si>
  <si>
    <t>Mastered Mortal World - Love Gu Scroll</t>
  </si>
  <si>
    <t>陶罐</t>
  </si>
  <si>
    <t>材料</t>
  </si>
  <si>
    <t>寻常的陶制容器，并没有什么特别的地方。</t>
  </si>
  <si>
    <t>item/907009</t>
  </si>
  <si>
    <t>空酒坛</t>
  </si>
  <si>
    <t>空荡荡的酒坛，除了盛酒以外似乎亦能盛放其他东西......</t>
  </si>
  <si>
    <t>item/907010</t>
  </si>
  <si>
    <t>碎木</t>
  </si>
  <si>
    <t>纵是鲁班再世亦难将此物复原，不过这堆碎木似乎尚能另做他用......</t>
  </si>
  <si>
    <t>item/907011</t>
  </si>
  <si>
    <t>野花</t>
  </si>
  <si>
    <t>不知名的山间野花，隐约间透有丝丝香气。</t>
  </si>
  <si>
    <t>item/907012</t>
  </si>
  <si>
    <t>有毒的野果</t>
  </si>
  <si>
    <t>含有毒性的野果，贸然服用恐怕不是什么明智的选择，似乎别有用途。</t>
  </si>
  <si>
    <t>item/907013</t>
  </si>
  <si>
    <t>野蘑菇</t>
  </si>
  <si>
    <t>可以食用的野蘑菇，在潮湿处十分常见。</t>
  </si>
  <si>
    <t>item/907014</t>
  </si>
  <si>
    <t>有毒的蘑菇</t>
  </si>
  <si>
    <t>虽说不能食用，但颜色如此鲜艳的蘑菇似乎另有用途。</t>
  </si>
  <si>
    <t>item/907015</t>
  </si>
  <si>
    <t>矿石</t>
  </si>
  <si>
    <t>品色十分低劣的矿石，想用它来进行冶炼恐怕颇为不易。</t>
  </si>
  <si>
    <t>item/907016</t>
  </si>
  <si>
    <t>碎石</t>
  </si>
  <si>
    <t>随处可见的碎石头。</t>
  </si>
  <si>
    <t>item/907017</t>
  </si>
  <si>
    <t>骨粉</t>
  </si>
  <si>
    <t>从骨头身上得来的粉末，似乎能用来制药。</t>
  </si>
  <si>
    <t>item/907018</t>
  </si>
  <si>
    <t>铁矿石</t>
  </si>
  <si>
    <t>形如黑炭，或为红锈，其质固且坚，锻而生铁。</t>
  </si>
  <si>
    <t>item/907019</t>
  </si>
  <si>
    <t>铜矿石</t>
  </si>
  <si>
    <t>状如姜石而有铜星，味酸且寒，熔之取铜，亦可为药。</t>
  </si>
  <si>
    <t>item/907020</t>
  </si>
  <si>
    <t>蜂蛹</t>
  </si>
  <si>
    <t>山间野蜂的蛹，营养丰富，炒制后风味独特。</t>
  </si>
  <si>
    <t>item/907021</t>
  </si>
  <si>
    <t>蜂蜜</t>
  </si>
  <si>
    <t>可从山间蜂巢中取得，甜蜜清爽，亦是制取良品丹食的必需材料。</t>
  </si>
  <si>
    <t>天麻草</t>
  </si>
  <si>
    <t>气味辛辣，后味绵密浓郁，使人头昏脑涨，乃是制备迷药所需的上佳材料。</t>
  </si>
  <si>
    <t>item/907023</t>
  </si>
  <si>
    <t>迷香草</t>
  </si>
  <si>
    <t>气味香甜，后味迷人心智，乃是制备迷药所需的上佳材料。</t>
  </si>
  <si>
    <t>item/907024</t>
  </si>
  <si>
    <t>草鱼</t>
  </si>
  <si>
    <t>因其主食水草，故名。刺少肉多，肉质鲜美，是炖鱼汤首选材料。</t>
  </si>
  <si>
    <t>醋</t>
  </si>
  <si>
    <t>用来调制酸味的调味品。</t>
  </si>
  <si>
    <t>item/907026</t>
  </si>
  <si>
    <t>粗粮</t>
  </si>
  <si>
    <t>相对于米面来说未进行过再加工的五谷杂粮。是蛮夷羌狄之地的主要食粮。</t>
  </si>
  <si>
    <t>item/907027</t>
  </si>
  <si>
    <t>荷叶</t>
  </si>
  <si>
    <t>荷花的叶子，散发着淡淡清新香气，有清凉解暑，止渴生津，治泻痢，解火热之功效。</t>
  </si>
  <si>
    <t>item/907028</t>
  </si>
  <si>
    <t>鸡肉</t>
  </si>
  <si>
    <t>鸡身上的肉。适于热炒、炖汤、烧烤、凉拌的肉类。</t>
  </si>
  <si>
    <t>item/907029</t>
  </si>
  <si>
    <t>煤炭</t>
  </si>
  <si>
    <t>用来生火的燃料。</t>
  </si>
  <si>
    <t>item/907030</t>
  </si>
  <si>
    <t>面粉</t>
  </si>
  <si>
    <t>以小麦磨成的粉状物，以水调和可以做成各种面点。是长江以北百姓的主要食粮。</t>
  </si>
  <si>
    <t>item/907031</t>
  </si>
  <si>
    <t>普通木材</t>
  </si>
  <si>
    <t>随出可以见的树枝树干，可用来引火烧柴。</t>
  </si>
  <si>
    <t>item/907032</t>
  </si>
  <si>
    <t>兽骨</t>
  </si>
  <si>
    <t>野兽的骨头，上面带着些许筋肉。</t>
  </si>
  <si>
    <t>item/907033</t>
  </si>
  <si>
    <t>水</t>
  </si>
  <si>
    <t>用来煮米，和面的必备之物。</t>
  </si>
  <si>
    <t>item/907034</t>
  </si>
  <si>
    <t>丝线</t>
  </si>
  <si>
    <t>用蚕丝搓纺而成的线。</t>
  </si>
  <si>
    <t>item/907035</t>
  </si>
  <si>
    <t>桃花</t>
  </si>
  <si>
    <t>性味甘，平无毒，可消食顺气</t>
  </si>
  <si>
    <t>item/907036</t>
  </si>
  <si>
    <t>鸭肉</t>
  </si>
  <si>
    <t>肉质层次感分明：鸭皮酥脆利口，瘦肉细腻香嫩，肥肉则油而不腻。</t>
  </si>
  <si>
    <t>item/907037</t>
  </si>
  <si>
    <t>盐巴</t>
  </si>
  <si>
    <t>用来调制咸味的调味品。</t>
  </si>
  <si>
    <t>item/907038</t>
  </si>
  <si>
    <t>米</t>
  </si>
  <si>
    <t>水稻经碾压脱壳后的种仁，是长江以南百姓的主要食粮。</t>
  </si>
  <si>
    <t>item/907039</t>
  </si>
  <si>
    <t>猪肉</t>
  </si>
  <si>
    <t>农户平日饲养的猪，在年关将近用来取肉而食，骨细筋少肉多。</t>
  </si>
  <si>
    <t>item/907040</t>
  </si>
  <si>
    <t>鸡蛋</t>
  </si>
  <si>
    <t>家禽下的蛋，百姓家中常见的食材。</t>
  </si>
  <si>
    <t>item/907041</t>
  </si>
  <si>
    <t>火绳锤</t>
  </si>
  <si>
    <t>锻制火铳的必备部件，视工艺、匠力等因，损量不一而足。</t>
  </si>
  <si>
    <t>item/901010</t>
  </si>
  <si>
    <t>底火盘</t>
  </si>
  <si>
    <t>击锤簧</t>
  </si>
  <si>
    <t>宣纸</t>
  </si>
  <si>
    <t>使用</t>
  </si>
  <si>
    <t>优质宣纸，是书法丹青之术必须的材料。</t>
  </si>
  <si>
    <t>item/908002</t>
  </si>
  <si>
    <t>砚墨</t>
  </si>
  <si>
    <t>优质松烟墨，是书法丹青之术必须的材料。</t>
  </si>
  <si>
    <t>item/908017</t>
  </si>
  <si>
    <t>酒坛</t>
  </si>
  <si>
    <t>此物虽忘忧，却也是伤身至极。</t>
  </si>
  <si>
    <t>item/908031</t>
  </si>
  <si>
    <r>
      <rPr>
        <sz val="10.5"/>
        <color theme="1"/>
        <rFont val="宋体"/>
        <family val="3"/>
        <charset val="134"/>
      </rPr>
      <t>破损的鞭子</t>
    </r>
  </si>
  <si>
    <t>鞭子之主若不是武功高强，那便是狠毒至极！</t>
  </si>
  <si>
    <t>item/908034</t>
  </si>
  <si>
    <r>
      <rPr>
        <sz val="10.5"/>
        <color theme="1"/>
        <rFont val="宋体"/>
        <family val="3"/>
        <charset val="134"/>
      </rPr>
      <t>破布娃娃</t>
    </r>
  </si>
  <si>
    <t>虽说有些破损，但表面上却未沾上多少污痕，可见娃娃主人对其爱护有加。可娃娃的主人，如今又在何处呢？</t>
  </si>
  <si>
    <t>item/908035</t>
  </si>
  <si>
    <r>
      <rPr>
        <sz val="10.5"/>
        <color theme="1"/>
        <rFont val="宋体"/>
        <family val="3"/>
        <charset val="134"/>
      </rPr>
      <t>被摔碎的玉镯</t>
    </r>
  </si>
  <si>
    <t>原先寄托着祝福的手镯，此时却已散作一地。</t>
  </si>
  <si>
    <t>item/908036</t>
  </si>
  <si>
    <t>毒药</t>
  </si>
  <si>
    <t>蛊毒千品，种种不同，或攻心肠，或乱神志，君子慎而远之。</t>
  </si>
  <si>
    <t>item/908043</t>
  </si>
  <si>
    <t>铁镐</t>
  </si>
  <si>
    <t>寻常铁镐，可用之挖掘土木金石。</t>
  </si>
  <si>
    <t>item/908044</t>
  </si>
  <si>
    <t>竹篮</t>
  </si>
  <si>
    <t>由竹干编织而成的篮子，底部孔洞细密，提梁上还刻着某些花纹，兼有桐油漆底，纵是用来盛水，亦不会撒漏半分。</t>
  </si>
  <si>
    <t>item/908048</t>
  </si>
  <si>
    <t>铲子</t>
  </si>
  <si>
    <t>斗宽而柄细，赖之以掘土。</t>
  </si>
  <si>
    <t>item/908049</t>
  </si>
  <si>
    <t>木桶</t>
  </si>
  <si>
    <t>由寻常木材制成的圆桶，平平无奇。</t>
  </si>
  <si>
    <t>item/908050</t>
  </si>
  <si>
    <t>生肉</t>
  </si>
  <si>
    <t>从飞禽走兽身上得来的肉，未经加工，尚不可吃食。</t>
  </si>
  <si>
    <t>item/908056</t>
  </si>
  <si>
    <t>弹弓</t>
  </si>
  <si>
    <t>由细木枝制成的弹弓，做工十分粗糙。</t>
  </si>
  <si>
    <t>item/908057</t>
  </si>
  <si>
    <t>断刃</t>
  </si>
  <si>
    <t>锈迹斑斑的断刃，不过巴掌大小，边缘处刻有极细的血槽。</t>
  </si>
  <si>
    <t>item/908058</t>
  </si>
  <si>
    <r>
      <rPr>
        <sz val="10.5"/>
        <color theme="1"/>
        <rFont val="宋体"/>
        <family val="3"/>
        <charset val="134"/>
      </rPr>
      <t>柘木弓</t>
    </r>
  </si>
  <si>
    <t>由柘木制成的角弓，此弓弓片宽大，弓梢细小，两端挂弦处有钩状的延伸，是专门为马上作战设计的弓种。</t>
  </si>
  <si>
    <t>item/908059</t>
  </si>
  <si>
    <t>挂画</t>
  </si>
  <si>
    <t>其上画着一副女子肖像，栩栩如生。</t>
  </si>
  <si>
    <t>item/908060</t>
  </si>
  <si>
    <t>御守</t>
  </si>
  <si>
    <t>绣有桔梗花纹的深蓝色布袋中装着刻有祝福或所奉神明名讳的木片，据闻乃是东瀛人用作祈福破灾的物品。</t>
  </si>
  <si>
    <t>item/908061</t>
  </si>
  <si>
    <r>
      <rPr>
        <sz val="10.5"/>
        <color theme="1"/>
        <rFont val="宋体"/>
        <family val="3"/>
        <charset val="134"/>
      </rPr>
      <t>雁翎刀</t>
    </r>
  </si>
  <si>
    <t>此刀形如大雁翎毛，杀气甚重，即使收入鞘中，仍能感到一阵寒光透来。</t>
  </si>
  <si>
    <t>item/908062</t>
  </si>
  <si>
    <t>酥骨销魂散</t>
  </si>
  <si>
    <t>以十余种迷草异花混调而成，遇水即溶，无色无味，服之骨软筋麻，如坠云端。</t>
  </si>
  <si>
    <t>item/901102</t>
  </si>
  <si>
    <t>绵意七情香</t>
  </si>
  <si>
    <t>以肉豆蔻、淫羊藿等材混以檀香制成，香气甜郁，燃起后不论男女，嗅之生情。</t>
  </si>
  <si>
    <t>item/908001</t>
  </si>
  <si>
    <t>仙蜜合欢露</t>
  </si>
  <si>
    <t>将巴戟天、鹿茸、红膻等数十种奇淫药石，浸于桃花酿中蕴养多年而成，清冽馥郁，极尽滋阴补阳之能事。</t>
  </si>
  <si>
    <t>item/902031</t>
  </si>
  <si>
    <t>龙涎壮元丹</t>
  </si>
  <si>
    <t>紫河车为主材，辅以仙茅、阳起石制成，药性极阳极烈，久服者难有幸终。</t>
  </si>
  <si>
    <t>痴梦膏</t>
  </si>
  <si>
    <t>天竺秘药，据传将其涂于神阙穴上，行事时便能动欲生春，长乐无央。</t>
  </si>
  <si>
    <t>鎏金宝盏</t>
  </si>
  <si>
    <t>通体简制，典雅光素，似是古朝遗物。</t>
  </si>
  <si>
    <t>item/908183</t>
  </si>
  <si>
    <t>松纹银槎</t>
  </si>
  <si>
    <t>白银铸成，造型繁复，接处了然无痕，匠工极精，价值不菲。</t>
  </si>
  <si>
    <t>item/908184</t>
  </si>
  <si>
    <t>掐丝珐琅樽</t>
  </si>
  <si>
    <t>冲耳鼓腹，柱呈足型，如玉如石，莹润邃美。</t>
  </si>
  <si>
    <t>item/908185</t>
  </si>
  <si>
    <t>不动明王像</t>
  </si>
  <si>
    <t>大日如来为一切诸尊之总体，为自性轮身，不动明王为一切诸佛教令轮身，称诸明王之王，五大明王之主尊，显愤怒像。</t>
  </si>
  <si>
    <t>item/908186</t>
  </si>
  <si>
    <t>销骨散</t>
  </si>
  <si>
    <t>此毒于江湖旁门左道之中多有流传，炼法简易，中毒者纵使修为再高，亦难免骨软筋麻，任人摆布。</t>
  </si>
  <si>
    <t>失魂丹</t>
  </si>
  <si>
    <t>此毒于江湖旁门左道之中多有流传，炼法简易，中毒者纵使修为再高，亦难免神昏智消，任人摆布。</t>
  </si>
  <si>
    <t>败腑饮</t>
  </si>
  <si>
    <t>此毒无色无味，清透若水，毒性阴寒，中毒者初无异样，然若日久持服，侵肠破腑，必是神仙难救。</t>
  </si>
  <si>
    <t>item/901203</t>
  </si>
  <si>
    <t>灵蜈蛊</t>
  </si>
  <si>
    <t>百目君身死之后，此蛊炼法亦随之绝迹。</t>
  </si>
  <si>
    <t>item/901027</t>
  </si>
  <si>
    <t>补血药材</t>
  </si>
  <si>
    <t>些许未经加工的药材。可以补血行血，归身主守，补固有功。</t>
  </si>
  <si>
    <t>item/907045</t>
  </si>
  <si>
    <t>理气药材</t>
  </si>
  <si>
    <t>些许未经加工的药材。适宜理气补气、除滞降逆、活机顺脉。</t>
  </si>
  <si>
    <t>item/907046</t>
  </si>
  <si>
    <t>身形修长，灰棕色鳞片泛着淡淡草泽光泽，常群栖于水草丰茂的池塘、湖泊浅水区，生性较贪食，易钓获。</t>
  </si>
  <si>
    <t>item/907047</t>
  </si>
  <si>
    <t>银刀鱼</t>
  </si>
  <si>
    <t>鱼身银白如刀，游动迅疾，多穿梭于水流湍急的之处，较难钓获。</t>
  </si>
  <si>
    <t>item/907048</t>
  </si>
  <si>
    <t>金线鱼</t>
  </si>
  <si>
    <t>鳞片嵌金色细纹，在水中折射微光，栖于深水暗流处，生性机敏，难以钓获。</t>
  </si>
  <si>
    <t>item/907049</t>
  </si>
  <si>
    <t>草虾</t>
  </si>
  <si>
    <t>通体修长呈灰色，触须细长灵活，多活跃于山间溪流的浅滩石缝间，易钓获。</t>
  </si>
  <si>
    <t>item/907050</t>
  </si>
  <si>
    <t>虎头虾</t>
  </si>
  <si>
    <t>外壳生有虎纹般的深色斑纹，栖息于深潭底部泥沙处，较难钓获。</t>
  </si>
  <si>
    <t>item/907051</t>
  </si>
  <si>
    <t>血玉虾</t>
  </si>
  <si>
    <t>虾身赤红如古玉，触须泛血色光泽，喜暖水，常藏身于地热石窟之中，难以钓获。</t>
  </si>
  <si>
    <t>item/907052</t>
  </si>
  <si>
    <t>草蟹</t>
  </si>
  <si>
    <t>外壳青褐坚硬，双钳短小有力，偏爱于河湾的石块夹缝中栖息，易钓获。</t>
  </si>
  <si>
    <t>item/907053</t>
  </si>
  <si>
    <t>三眼蟹</t>
  </si>
  <si>
    <t>背甲生有三只暗红色眼状斑纹，活跃于礁石缝隙间，较难钓获。</t>
  </si>
  <si>
    <t>item/907054</t>
  </si>
  <si>
    <t>蓝田蟹</t>
  </si>
  <si>
    <t>外壳呈青蓝色泽，质地似玉石，穴居于湖底深处，难以钓获。</t>
  </si>
  <si>
    <t>item/907055</t>
  </si>
  <si>
    <t>草螺</t>
  </si>
  <si>
    <t>背壳呈灰褐色螺旋状，常吸附于静水水域的水草或石块表面，易钓获。</t>
  </si>
  <si>
    <t>item/907056</t>
  </si>
  <si>
    <t>白沙螺</t>
  </si>
  <si>
    <t>螺壳莹白如雪，表面光滑，多藏于细软泥沙之中，较难钓获。</t>
  </si>
  <si>
    <t>item/907057</t>
  </si>
  <si>
    <t>斑斓螺</t>
  </si>
  <si>
    <t>螺壳布满绚丽彩纹，栖息于暗礁遍布的危险水域，难以钓获。</t>
  </si>
  <si>
    <t>item/907058</t>
  </si>
  <si>
    <t>Clay Pot</t>
  </si>
  <si>
    <t>An ordinary clay vessel, nothing particularly special.</t>
  </si>
  <si>
    <t>Empty Wine Jar</t>
  </si>
  <si>
    <t>An empty wine jar that seems capable of holding more than just wine...</t>
  </si>
  <si>
    <t>Shattered Wood</t>
  </si>
  <si>
    <t>Even the legendary craftsman Lu Ban couldn't restore this shattered wood, though it might still serve other purposes...</t>
  </si>
  <si>
    <t>Wildflowers</t>
  </si>
  <si>
    <t>Unidentified wildflowers from the mountains, faintly exuding a delicate fragrance.</t>
  </si>
  <si>
    <t>Poisonous Wild Berries</t>
  </si>
  <si>
    <t>Poisonous wild berries—consuming them recklessly would be unwise, though they may have other uses.</t>
  </si>
  <si>
    <t>Wild Mushrooms</t>
  </si>
  <si>
    <t>Edible wild mushrooms, commonly found in damp areas.</t>
  </si>
  <si>
    <t>Poisonous Mushrooms</t>
  </si>
  <si>
    <t>Though inedible, these vividly colored mushrooms likely have alternative uses.</t>
  </si>
  <si>
    <t>Ore</t>
  </si>
  <si>
    <t>Low-grade ore—smelting it would prove quite difficult.</t>
  </si>
  <si>
    <t>Crushed Stone</t>
  </si>
  <si>
    <t>Common crushed stones.</t>
  </si>
  <si>
    <t>Bone Powder</t>
  </si>
  <si>
    <t>Powder derived from bones, seemingly useful for medicine.</t>
  </si>
  <si>
    <t>Iron Ore</t>
  </si>
  <si>
    <t>Black as charcoal or rust-red, solid and hard—forged into iron.</t>
  </si>
  <si>
    <t>Copper Ore</t>
  </si>
  <si>
    <t>Resembles ginger-root with copper flecks, sour and cold—melted for copper or used medicinally.</t>
  </si>
  <si>
    <t>Bee Larvae</t>
  </si>
  <si>
    <t>Wild bee larvae, rich in nutrients, with a unique flavor when stir-fried.</t>
  </si>
  <si>
    <t>Honey</t>
  </si>
  <si>
    <t>Harvested from mountain beehives, sweet and refreshing—also essential for crafting fine elixirs.</t>
  </si>
  <si>
    <t>Gastrodia Herb</t>
  </si>
  <si>
    <t>Pungent aroma with a lingering, intoxicating aftertaste—ideal for crafting mind-altering drugs.</t>
  </si>
  <si>
    <t>Charmweed</t>
  </si>
  <si>
    <t>Sweet fragrance with a mesmerizing aftertaste—ideal for crafting mind-altering drugs.</t>
  </si>
  <si>
    <t>Grass Carp</t>
  </si>
  <si>
    <t>Named for its diet of aquatic plants, this fish has few bones and tender flesh, perfect for stews.</t>
  </si>
  <si>
    <t>Vinegar</t>
  </si>
  <si>
    <t>A condiment used to add sourness.</t>
  </si>
  <si>
    <t>Coarse Grain</t>
  </si>
  <si>
    <t>Unprocessed grains, staple food of frontier regions.</t>
  </si>
  <si>
    <t>Lotus Leaf</t>
  </si>
  <si>
    <t>Lotus leaves emit a fresh, soothing scent—cooling, thirst-quenching, and curative for heat-induced ailments.</t>
  </si>
  <si>
    <t>Chicken Meat</t>
  </si>
  <si>
    <t>Meat from poultry, suitable for stir-frying, stewing, grilling, or cold dishes.</t>
  </si>
  <si>
    <t>Coal</t>
  </si>
  <si>
    <t>Fuel for kindling fire.</t>
  </si>
  <si>
    <t>Flour</t>
  </si>
  <si>
    <t>Wheat ground into flour, mixed with water to make various dough-based foods—staple of northern regions.</t>
  </si>
  <si>
    <t>Common Timber</t>
  </si>
  <si>
    <t>Common branches and logs, usable as firewood.</t>
  </si>
  <si>
    <t>Animal Bones</t>
  </si>
  <si>
    <t>Beast bones with traces of sinew still attached.</t>
  </si>
  <si>
    <t>Water</t>
  </si>
  <si>
    <t>Essential for cooking rice and kneading dough.</t>
  </si>
  <si>
    <t>Silk Thread</t>
  </si>
  <si>
    <t>Thread spun from silkworm silk.</t>
  </si>
  <si>
    <t>Peach Blossoms</t>
  </si>
  <si>
    <t>Sweet and neutral in nature, aids digestion and regulates qi.</t>
  </si>
  <si>
    <t>Duck Meat</t>
  </si>
  <si>
    <t>Distinct layers of texture—crispy skin, tender lean meat, and rich yet non-greasy fat.</t>
  </si>
  <si>
    <t>Salt</t>
  </si>
  <si>
    <t>A condiment used to add saltiness.</t>
  </si>
  <si>
    <t>Rice</t>
  </si>
  <si>
    <t>Dehusked rice grains—staple of southern regions.</t>
  </si>
  <si>
    <t>Pork</t>
  </si>
  <si>
    <t>Farm-raised pigs slaughtered for meat—yielding lean cuts with minimal bones.</t>
  </si>
  <si>
    <t>Eggs</t>
  </si>
  <si>
    <t>Common poultry eggs, a household staple.</t>
  </si>
  <si>
    <t>Fuse Hammer</t>
  </si>
  <si>
    <t>Essential firearm component—wear varies by craftsmanship.</t>
  </si>
  <si>
    <t>Primer Plate</t>
  </si>
  <si>
    <t>Hammer Spring</t>
  </si>
  <si>
    <t>Rice Paper</t>
  </si>
  <si>
    <t>High-quality paper for calligraphy and painting.</t>
  </si>
  <si>
    <t>Inkstone Ink</t>
  </si>
  <si>
    <t>High-quality pine-soot ink for calligraphy and painting.</t>
  </si>
  <si>
    <t>Wine Jar</t>
  </si>
  <si>
    <t>Though it drowns sorrows, it harms the body all the same.</t>
  </si>
  <si>
    <t>Damaged Whip</t>
  </si>
  <si>
    <t>The wielder of this whip must be either a martial master or utterly ruthless!</t>
  </si>
  <si>
    <t>Ragged Doll</t>
  </si>
  <si>
    <t>Despite damage, the doll remains clean—clearly cherished by its owner. But where is that owner now?</t>
  </si>
  <si>
    <t>Shattered Jade Bracelet</t>
  </si>
  <si>
    <t>A bracelet once carrying blessings now lies shattered.</t>
  </si>
  <si>
    <t>Poison</t>
  </si>
  <si>
    <t>Poisons come in countless forms—some attack the heart, others cloud the mind—wise men keep their distance.</t>
  </si>
  <si>
    <t>Iron Pickaxe</t>
  </si>
  <si>
    <t>An ordinary iron pickaxe for digging earth, stone, or metal.</t>
  </si>
  <si>
    <t>Bamboo Basket</t>
  </si>
  <si>
    <t>A bamboo-woven basket with fine holes, lacquered to hold water without spilling.</t>
  </si>
  <si>
    <t>Shovel</t>
  </si>
  <si>
    <t>Wide scoop with a narrow handle, used for digging.</t>
  </si>
  <si>
    <t>Wooden Bucket</t>
  </si>
  <si>
    <t>A plain wooden bucket, unremarkable.</t>
  </si>
  <si>
    <t>Raw Meat</t>
  </si>
  <si>
    <t>Raw meat from beasts or fowl—inedible without preparation.</t>
  </si>
  <si>
    <t>Slingshot</t>
  </si>
  <si>
    <t>A crude slingshot made from twigs.</t>
  </si>
  <si>
    <t>Broken Blade</t>
  </si>
  <si>
    <t>A rusted broken blade, palm-sized with finely grooved edges.</t>
  </si>
  <si>
    <t>Mulberry Wood Bow</t>
  </si>
  <si>
    <t>A mulberry-wood bow designed for horseback combat—wide limbs with hooked tips for stringing.</t>
  </si>
  <si>
    <t>Hanging Scroll</t>
  </si>
  <si>
    <t>A hanging scroll depicting a lifelike portrait of a woman.</t>
  </si>
  <si>
    <t>Talisman</t>
  </si>
  <si>
    <t>A dark blue pouch embroidered with bellflowers, containing inscribed wooden talismans—an Eastern practice for blessings.</t>
  </si>
  <si>
    <t>Wild Goose Feather Saber</t>
  </si>
  <si>
    <t>A saber shaped like a goose feather, radiating cold steel even sheathed.</t>
  </si>
  <si>
    <t>Bone-Melting Ecstasy Powder</t>
  </si>
  <si>
    <t>A blend of herbs that dissolves in water—odorless, tasteless, inducing bone-melting euphoria.</t>
  </si>
  <si>
    <t>Soft Intent Seven-Passion Incense</t>
  </si>
  <si>
    <t>Aromatic blend of spices and aphrodisiacs, igniting desire when burned.</t>
  </si>
  <si>
    <t>Immortal Honey Bliss Elixir</t>
  </si>
  <si>
    <t>Infused with rare herbs and aged in peach-blossom wine—a potent tonic for vitality.</t>
  </si>
  <si>
    <t>Dragon Salute Vitality Pill</t>
  </si>
  <si>
    <t>A fiercely yang formula—prolonged use risks fatal excess.</t>
  </si>
  <si>
    <t>Delirium Paste</t>
  </si>
  <si>
    <t>An exotic ointment said to enhance pleasure when applied.</t>
  </si>
  <si>
    <t>Gilded Treasure Cup</t>
  </si>
  <si>
    <t>A minimalist antique, possibly from an ancient dynasty.</t>
  </si>
  <si>
    <t>Pine-Pattern Silver Raft</t>
  </si>
  <si>
    <t>Intricately cast silverware, flawless in craftsmanship—priceless.</t>
  </si>
  <si>
    <t>Cloisonné Chalice</t>
  </si>
  <si>
    <t>A chalice with drum-shaped belly and pillar legs—jade-like luster.</t>
  </si>
  <si>
    <t>Immovable Wisdom King Statue</t>
  </si>
  <si>
    <t>The Immovable Wisdom King—fierce manifestation of the Buddha’s wrath.</t>
  </si>
  <si>
    <t>Bone-Dissolving Powder</t>
  </si>
  <si>
    <t>A common underworld toxin—paralyzes even the mightiest.</t>
  </si>
  <si>
    <t>Soul-Losing Pill</t>
  </si>
  <si>
    <t>A common underworld toxin—clouds the mind beyond recovery.</t>
  </si>
  <si>
    <t>Organ-Rotting Brew</t>
  </si>
  <si>
    <t>Colorless, odorless, and insidious—slowly ravages the organs.</t>
  </si>
  <si>
    <t>Spirit Centipede Gu</t>
  </si>
  <si>
    <t>A lost art since the demise of the Centipede Lord.</t>
  </si>
  <si>
    <t>Blood-Toning Herbs</t>
  </si>
  <si>
    <t>Unprocessed herbs for nourishing blood and vitality.</t>
  </si>
  <si>
    <t>Qi-Regulating Herbs</t>
  </si>
  <si>
    <t>Unprocessed herbs for regulating qi and easing stagnation.</t>
  </si>
  <si>
    <t>Slender with gray-brown scales, found in weedy shallows—easy to catch.</t>
  </si>
  <si>
    <t>Silver Knife Fish</t>
  </si>
  <si>
    <t>Silver-bodied and swift, favoring turbulent waters—harder to catch.</t>
  </si>
  <si>
    <t>Golden Thread Fish</t>
  </si>
  <si>
    <t>Gold-veined scales glimmer in deep currents—elusive prey.</t>
  </si>
  <si>
    <t>Grass Shrimp</t>
  </si>
  <si>
    <t>Gray with long antennae, hiding in rocky streams—easy to catch.</t>
  </si>
  <si>
    <t>Tiger Head Shrimp</t>
  </si>
  <si>
    <t>Tiger-striped shell, burrowing in deep silt—harder to catch.</t>
  </si>
  <si>
    <t>Blood Jade Shrimp</t>
  </si>
  <si>
    <t>Crimson-shelled with blood-red feelers, lurking in thermal vents—rare.</t>
  </si>
  <si>
    <t>Grass Crab</t>
  </si>
  <si>
    <t>Hard green-brown shell, clinging to river rocks—easy to catch.</t>
  </si>
  <si>
    <t>Three-Eyed Crab</t>
  </si>
  <si>
    <t>Three-eyed pattern, darting through reefs—harder to catch.</t>
  </si>
  <si>
    <t>Blue Field Crab</t>
  </si>
  <si>
    <t>Jade-blue shell, dwelling in lake depths—rare.</t>
  </si>
  <si>
    <t>Grass Snail</t>
  </si>
  <si>
    <t>Spiraled gray shell, clinging to submerged plants—easy to catch.</t>
  </si>
  <si>
    <t>White Sand Snail</t>
  </si>
  <si>
    <t>Snow-white shell, buried in soft sand—harder to catch.</t>
  </si>
  <si>
    <t>Colorful Snail</t>
  </si>
  <si>
    <t>Vibrantly patterned, hiding in treacherous reefs—rare.</t>
  </si>
  <si>
    <t>UsderMapId</t>
  </si>
  <si>
    <t>一枚铜钱</t>
  </si>
  <si>
    <t>触发XX任务成功</t>
  </si>
  <si>
    <t>小小的铜钱，握于掌中却似有千钧之重。</t>
  </si>
  <si>
    <t>item/908004</t>
  </si>
  <si>
    <t>孤鸿玉牌</t>
  </si>
  <si>
    <t>杜颜白所赠玉牌，无字无印，只在最上方飞一只孤鸿。</t>
  </si>
  <si>
    <t>item/908005</t>
  </si>
  <si>
    <t>连环寨木牌</t>
  </si>
  <si>
    <t>绿林道上互相辨识的证明，下方是一个画工粗糙的九连环形状。</t>
  </si>
  <si>
    <t>item/908006</t>
  </si>
  <si>
    <t>彩布球</t>
  </si>
  <si>
    <t>悉心缝制的彩色布球，是果果心爱之物。</t>
  </si>
  <si>
    <t>item/908007</t>
  </si>
  <si>
    <t>钱袋</t>
  </si>
  <si>
    <t>失而复得的钱袋，内里虽有缺失，但仍旧沉甸甸的。</t>
  </si>
  <si>
    <t>item/908009</t>
  </si>
  <si>
    <t>黑市腰牌</t>
  </si>
  <si>
    <t>南宫莲所赠腰牌，其上暗纹表明此乃黑市通行之令牌。</t>
  </si>
  <si>
    <t>item/908010</t>
  </si>
  <si>
    <t>南宫莲信笺</t>
  </si>
  <si>
    <t>read,980011</t>
  </si>
  <si>
    <t>阅读</t>
  </si>
  <si>
    <t>南宫莲留给你的信笺，点击展开可以阅读。</t>
  </si>
  <si>
    <r>
      <rPr>
        <sz val="11"/>
        <color theme="1"/>
        <rFont val="宋体"/>
        <family val="3"/>
        <charset val="134"/>
        <scheme val="minor"/>
      </rPr>
      <t>item/</t>
    </r>
    <r>
      <rPr>
        <sz val="11"/>
        <color theme="1"/>
        <rFont val="宋体"/>
        <family val="3"/>
        <charset val="134"/>
        <scheme val="minor"/>
      </rPr>
      <t>918000</t>
    </r>
  </si>
  <si>
    <t>遗失的鞋履</t>
  </si>
  <si>
    <t>一只遗失的鞋履，其主人应当就在桥上。</t>
  </si>
  <si>
    <t>item/908012</t>
  </si>
  <si>
    <t>乔府来信</t>
  </si>
  <si>
    <t>read,980014</t>
  </si>
  <si>
    <t>乔府托人带来的信笺。</t>
  </si>
  <si>
    <t>收拾好的包袱</t>
  </si>
  <si>
    <t>提前备好的包袱，内容物颇丰，但受人之托，还是不要打开了。</t>
  </si>
  <si>
    <t>item/908014</t>
  </si>
  <si>
    <t>功课典籍</t>
  </si>
  <si>
    <t>新装订的道经功课，须分发给诸多同辈弟子。</t>
  </si>
  <si>
    <t>item/908015</t>
  </si>
  <si>
    <t>喽啰的家书</t>
  </si>
  <si>
    <t>read,980021</t>
  </si>
  <si>
    <t>瘦弱喽啰的家信</t>
  </si>
  <si>
    <t>刚玉针</t>
  </si>
  <si>
    <t>乌黑泛光，品质上佳的刚玉针</t>
  </si>
  <si>
    <t>item/908018</t>
  </si>
  <si>
    <t>解毒丹</t>
  </si>
  <si>
    <t>具有祛除邪毒，温养经脉之功效。</t>
  </si>
  <si>
    <t>item/908019</t>
  </si>
  <si>
    <t>闭气丹</t>
  </si>
  <si>
    <t>具有延息闭气之功效。</t>
  </si>
  <si>
    <t>item/908020</t>
  </si>
  <si>
    <t>残损的竹简</t>
  </si>
  <si>
    <t>read,980022</t>
  </si>
  <si>
    <t>一册残损的竹简。</t>
  </si>
  <si>
    <t>item/908021</t>
  </si>
  <si>
    <t>青萍真相</t>
  </si>
  <si>
    <t>随着种种线索汇集，深藏在这个村庄里的真相浮出了水面。</t>
  </si>
  <si>
    <t>item/908022</t>
  </si>
  <si>
    <r>
      <rPr>
        <sz val="11"/>
        <color rgb="FF000000"/>
        <rFont val="宋体"/>
        <family val="3"/>
        <charset val="134"/>
      </rPr>
      <t>黑市名帖</t>
    </r>
  </si>
  <si>
    <t>一张素纸名帖，通体黑色，不见文字，隐约显露出暗纹。</t>
  </si>
  <si>
    <t>item/908023</t>
  </si>
  <si>
    <r>
      <rPr>
        <sz val="10.5"/>
        <color theme="1"/>
        <rFont val="宋体"/>
        <family val="3"/>
        <charset val="134"/>
      </rPr>
      <t>金缕莲钗</t>
    </r>
  </si>
  <si>
    <t>一支金丝编制的钗子，做工考究，可作进入承安黑市的信物。</t>
  </si>
  <si>
    <t>item/908024</t>
  </si>
  <si>
    <r>
      <rPr>
        <sz val="11"/>
        <color rgb="FF000000"/>
        <rFont val="宋体"/>
        <family val="3"/>
        <charset val="134"/>
      </rPr>
      <t>咸鱼</t>
    </r>
  </si>
  <si>
    <t>腌制风干许久的咸鱼，十分坚硬。</t>
  </si>
  <si>
    <t>item/908025</t>
  </si>
  <si>
    <r>
      <rPr>
        <sz val="11"/>
        <color rgb="FF000000"/>
        <rFont val="宋体"/>
        <family val="3"/>
        <charset val="134"/>
      </rPr>
      <t>大力丸</t>
    </r>
  </si>
  <si>
    <t>task,1</t>
  </si>
  <si>
    <t>强身健体，包治百病。</t>
  </si>
  <si>
    <t>item/908026</t>
  </si>
  <si>
    <t>梁三信笺&lt;壹&gt;</t>
  </si>
  <si>
    <t>梁三所书之信，以告乔应珠琴音并非无人可识。</t>
  </si>
  <si>
    <r>
      <rPr>
        <sz val="11"/>
        <color theme="1"/>
        <rFont val="宋体"/>
        <family val="3"/>
        <charset val="134"/>
        <scheme val="minor"/>
      </rPr>
      <t>item/9080</t>
    </r>
    <r>
      <rPr>
        <sz val="11"/>
        <color theme="1"/>
        <rFont val="宋体"/>
        <family val="3"/>
        <charset val="134"/>
        <scheme val="minor"/>
      </rPr>
      <t>00</t>
    </r>
  </si>
  <si>
    <t>马俊才信笺</t>
  </si>
  <si>
    <t>马俊才所书之信，以告乔应珠莫再惦念于他。</t>
  </si>
  <si>
    <t>item/908000</t>
  </si>
  <si>
    <t>梁三信笺&lt;贰&gt;</t>
  </si>
  <si>
    <t>梁三所书之信，以表明心迹。</t>
  </si>
  <si>
    <t>复肌养息丸</t>
  </si>
  <si>
    <t>细长的瓷瓶上贴有写着“复肌养息丸”的纸片，从瓷瓶的不凡质地来看，里面所纳之物想必也是价值不菲。</t>
  </si>
  <si>
    <t>item/908063</t>
  </si>
  <si>
    <t>火折子</t>
  </si>
  <si>
    <t>可用于生火。</t>
  </si>
  <si>
    <t>item/908064</t>
  </si>
  <si>
    <t>破碎的探花面具</t>
  </si>
  <si>
    <t>item/908065</t>
  </si>
  <si>
    <t>追匿公文</t>
  </si>
  <si>
    <t>read,980034</t>
  </si>
  <si>
    <t>item/908066</t>
  </si>
  <si>
    <t>孙茶所留信笺</t>
  </si>
  <si>
    <t>read,980033</t>
  </si>
  <si>
    <t>细软包裹</t>
  </si>
  <si>
    <t>item/908068</t>
  </si>
  <si>
    <t>金属粉末</t>
  </si>
  <si>
    <t>item/908069</t>
  </si>
  <si>
    <t>雪山密令</t>
  </si>
  <si>
    <t>item/908070</t>
  </si>
  <si>
    <t>白色棋子</t>
  </si>
  <si>
    <t>item/908071</t>
  </si>
  <si>
    <t>方寰棋经</t>
  </si>
  <si>
    <t>item/908072</t>
  </si>
  <si>
    <t>上锈的钥匙</t>
  </si>
  <si>
    <t>其上锈迹斑斑，看来已是使用了许久，或许能用来打开某物。</t>
  </si>
  <si>
    <t>item/908089</t>
  </si>
  <si>
    <t>未署名的信笺</t>
  </si>
  <si>
    <t>沉甸甸的包裹</t>
  </si>
  <si>
    <t>洛文清手印</t>
  </si>
  <si>
    <t>item/908076</t>
  </si>
  <si>
    <t>蓝玉的包裹</t>
  </si>
  <si>
    <t>item/908077</t>
  </si>
  <si>
    <t>蓝玉的日志</t>
  </si>
  <si>
    <t>read,980027</t>
  </si>
  <si>
    <t>item/908078</t>
  </si>
  <si>
    <t>莺啼伞</t>
  </si>
  <si>
    <t>item/908079</t>
  </si>
  <si>
    <t>金乌鸣</t>
  </si>
  <si>
    <t>item/908080</t>
  </si>
  <si>
    <t>牡丹媚</t>
  </si>
  <si>
    <t>item/908081</t>
  </si>
  <si>
    <t>迟来的信笺</t>
  </si>
  <si>
    <t>read,980026</t>
  </si>
  <si>
    <t>文牒</t>
  </si>
  <si>
    <t>糖人张所嘱托的文牒，需送往书生处。</t>
  </si>
  <si>
    <t>糖人张所嘱托的文牒，需送往残瘸老者处。</t>
  </si>
  <si>
    <t>糖人张所嘱托的文牒，需送往连环寨处。</t>
  </si>
  <si>
    <t>食材清单</t>
  </si>
  <si>
    <t>read,980025</t>
  </si>
  <si>
    <t>酒瓯小贩请托与你的食材清单，其上记载着所需采集的各式材料。</t>
  </si>
  <si>
    <t>定海石</t>
  </si>
  <si>
    <t>镇派三石之一，曾为神秀所有。</t>
  </si>
  <si>
    <t>item/901005</t>
  </si>
  <si>
    <t>玄岳碑</t>
  </si>
  <si>
    <t>镇派三石之一，曾为太和所有。</t>
  </si>
  <si>
    <t>item/901006</t>
  </si>
  <si>
    <t>不二禅舍利</t>
  </si>
  <si>
    <t>镇派三石之一，曾为少林所有。</t>
  </si>
  <si>
    <t>item/901007</t>
  </si>
  <si>
    <t>定海石·伪</t>
  </si>
  <si>
    <t>仿“镇派三石”所制之物，似可用来开启某处秘门。</t>
  </si>
  <si>
    <t>玄岳碑·伪</t>
  </si>
  <si>
    <t>不二禅舍利·伪</t>
  </si>
  <si>
    <t>钜子零件·壹</t>
  </si>
  <si>
    <t>火铳零件，被珍而重之分储各地，若能将其集齐拼凑，不知将有何等威力……</t>
  </si>
  <si>
    <t>item/901008</t>
  </si>
  <si>
    <t>钜子零件·贰</t>
  </si>
  <si>
    <t>item/901009</t>
  </si>
  <si>
    <t>钜子零件·叁</t>
  </si>
  <si>
    <t>钜子零件·肆</t>
  </si>
  <si>
    <t>item/901011</t>
  </si>
  <si>
    <t>黄天秘要·壹</t>
  </si>
  <si>
    <t>平平无奇的石板，上雕奇异密文……如能集齐，再去寻对太平道有所了解之人，许能解之。</t>
  </si>
  <si>
    <t>item/901012</t>
  </si>
  <si>
    <t>黄天秘要·贰</t>
  </si>
  <si>
    <t>黄天秘要·叁</t>
  </si>
  <si>
    <t>黄天秘要·肆</t>
  </si>
  <si>
    <t>黄天秘要·伍</t>
  </si>
  <si>
    <t>黄天秘要·陆</t>
  </si>
  <si>
    <t>黄天秘要·柒</t>
  </si>
  <si>
    <t>黄天秘要·捌</t>
  </si>
  <si>
    <t>信号烟火</t>
  </si>
  <si>
    <t>某人用来通传讯息之物，贸然引燃，后果难料……</t>
  </si>
  <si>
    <t>item/901013</t>
  </si>
  <si>
    <t>陈旧香囊</t>
  </si>
  <si>
    <t>其内香料早已无味，却自带一股清异幽香……</t>
  </si>
  <si>
    <t>买凶文书</t>
  </si>
  <si>
    <t>文字歪歪扭扭，语序纷乱，似是东瀛手笔，但亦能看出其欲重金悬赏一名“凶犯”，赏银三两，死活不论。</t>
  </si>
  <si>
    <t>青色丝帕</t>
  </si>
  <si>
    <t>青青子衿，悠悠我心。</t>
  </si>
  <si>
    <t>item/901014</t>
  </si>
  <si>
    <t>食盒</t>
  </si>
  <si>
    <t>装着些寻常酒菜，无甚稀奇。</t>
  </si>
  <si>
    <t>item/901015</t>
  </si>
  <si>
    <t>精致食盒</t>
  </si>
  <si>
    <t>装着些精致酒菜，香气扑鼻。</t>
  </si>
  <si>
    <t>item/901016</t>
  </si>
  <si>
    <t>旧剑</t>
  </si>
  <si>
    <t>锈迹斑斑的剑，想来值些银钱。</t>
  </si>
  <si>
    <t>item/901017</t>
  </si>
  <si>
    <t>巨熊掌</t>
  </si>
  <si>
    <t>巨熊之掌，价值不菲。</t>
  </si>
  <si>
    <t>item/901018</t>
  </si>
  <si>
    <t>燕窝</t>
  </si>
  <si>
    <t>寻常燕窝，想来能值些银钱。</t>
  </si>
  <si>
    <t>item/901019</t>
  </si>
  <si>
    <t>朝参牙牌</t>
  </si>
  <si>
    <t>正面刻着“都察院经历司”六个大字，背面则刻有此人姓名——蒋维躬。</t>
  </si>
  <si>
    <t>item/901021</t>
  </si>
  <si>
    <t>倭文书信</t>
  </si>
  <si>
    <t>一封倭文写就的书信。</t>
  </si>
  <si>
    <t>item/918000</t>
  </si>
  <si>
    <t>抚恤文书</t>
  </si>
  <si>
    <t>官府下发的抚恤文书。</t>
  </si>
  <si>
    <t>恤金</t>
  </si>
  <si>
    <t>官府下发的恤金。</t>
  </si>
  <si>
    <t>item/silver</t>
  </si>
  <si>
    <t>小五门信物</t>
  </si>
  <si>
    <t>小五门门人多隐于市，形制松散，故有只认信物不认人之说。</t>
  </si>
  <si>
    <t>铅红丹丸</t>
  </si>
  <si>
    <t>色如鹤顶，药性难明。</t>
  </si>
  <si>
    <t>咸鱼</t>
  </si>
  <si>
    <t>腥臭难当，难以下咽。</t>
  </si>
  <si>
    <t>腥臭难当，难以下咽，鱼腹鼓起，其中似有物事。</t>
  </si>
  <si>
    <t>漆黑铁牌</t>
  </si>
  <si>
    <t>京城黑市的通行信物。</t>
  </si>
  <si>
    <t>item/901024</t>
  </si>
  <si>
    <t>“徐”字玉佩</t>
  </si>
  <si>
    <t>小七昔年被遗弃时随身之物，上镌一个“徐”字。</t>
  </si>
  <si>
    <t>item/901025</t>
  </si>
  <si>
    <t>奇怪的蒸饼</t>
  </si>
  <si>
    <t>热腾腾的蒸饼，只是不知为何气味似乎有些奇怪。</t>
  </si>
  <si>
    <t>枯蝎令</t>
  </si>
  <si>
    <t>五圣教枯蝎使令牌，上镌奇异苗纹。</t>
  </si>
  <si>
    <t>圣女印信</t>
  </si>
  <si>
    <t>竹青翠玉雕刻而成的玉牌，五圣教圣女的专属印信，拥有此物者可视为圣女认可的贵客。</t>
  </si>
  <si>
    <t>段氏秘辛</t>
  </si>
  <si>
    <t>字迹歪扭，其中汉字苗文相杂，年月已久，不少字迹几已风化。</t>
  </si>
  <si>
    <t>夜明珠</t>
  </si>
  <si>
    <t>今夜明珠色，当随满月开。</t>
  </si>
  <si>
    <t>“恨”字玉牌</t>
  </si>
  <si>
    <t>略显陈旧的玉牌，上镌一个“恨”字。</t>
  </si>
  <si>
    <t>江川酿</t>
  </si>
  <si>
    <t>倭国名酒，香气醉人。</t>
  </si>
  <si>
    <t>item/902017</t>
  </si>
  <si>
    <t>白及</t>
  </si>
  <si>
    <t>苦、甘、涩，微寒。</t>
  </si>
  <si>
    <t>三七</t>
  </si>
  <si>
    <t>性温，味甘、微苦。</t>
  </si>
  <si>
    <t>其上尽是倭国文字，似鬼画符，或可寻人解之……</t>
  </si>
  <si>
    <t>item/908016</t>
  </si>
  <si>
    <t>今川家信</t>
  </si>
  <si>
    <t>其上尽是倭国文字，但其中亦夹汉文，勉强只能认出几个皆以“今川”为姓的人名……</t>
  </si>
  <si>
    <t>西门遗信</t>
  </si>
  <si>
    <t>read,980029</t>
  </si>
  <si>
    <t>一封泛黄书信，似已有许多年头。</t>
  </si>
  <si>
    <t>锈迹斑斑的剑，打磨之后或能一用。</t>
  </si>
  <si>
    <t>小沙弥的疗伤药</t>
  </si>
  <si>
    <t>草木灰加上些寻常药材精心搓制而成，许能治些轻微伤患。</t>
  </si>
  <si>
    <t>赵云灵的玉佩</t>
  </si>
  <si>
    <t>一枚平平无奇的玉佩。</t>
  </si>
  <si>
    <t>囚车钥匙</t>
  </si>
  <si>
    <t>一把普通的钥匙。</t>
  </si>
  <si>
    <t>应珠家书</t>
  </si>
  <si>
    <t>乔应珠托你带给乔员外的家信，还是莫要拆开了。</t>
  </si>
  <si>
    <t>诛恶令</t>
  </si>
  <si>
    <t>read,980028</t>
  </si>
  <si>
    <t>寻常木片，其上刻痕入木三分，似是用剑高手以剑尖削就。</t>
  </si>
  <si>
    <t>花山清单</t>
  </si>
  <si>
    <t>记录着花山节所需一应物事的清单，角下画着条小蛇。</t>
  </si>
  <si>
    <t>一包毽子</t>
  </si>
  <si>
    <t>一包中原常见的毽子，已有些旧了。</t>
  </si>
  <si>
    <t>红花</t>
  </si>
  <si>
    <t>漂亮的红花，似无他用。</t>
  </si>
  <si>
    <t>胡郎中的药囊</t>
  </si>
  <si>
    <t>沉甸甸的，其中似装着不少瓶罐。</t>
  </si>
  <si>
    <t>河图洛书残篇·壹</t>
  </si>
  <si>
    <t>河出图，洛出书，圣人则之。</t>
  </si>
  <si>
    <t>item/954000</t>
  </si>
  <si>
    <t>河图洛书残篇·贰</t>
  </si>
  <si>
    <t>河图洛书残篇·叁</t>
  </si>
  <si>
    <t>河图洛书残篇·肆</t>
  </si>
  <si>
    <t>河图洛书残篇·伍</t>
  </si>
  <si>
    <t>河图洛书残篇·陆</t>
  </si>
  <si>
    <t>河图洛书残篇·柒</t>
  </si>
  <si>
    <t>河图洛书残篇·捌</t>
  </si>
  <si>
    <t>一封家信</t>
  </si>
  <si>
    <t>read,980030</t>
  </si>
  <si>
    <t>一封满含乡情的信笺。</t>
  </si>
  <si>
    <t>信笺</t>
  </si>
  <si>
    <t>read,980031</t>
  </si>
  <si>
    <t>一封信笺，不知是何人所写。</t>
  </si>
  <si>
    <t>路引</t>
  </si>
  <si>
    <t>出入襄阳所需之路引凭证，其上署名“莫中”。</t>
  </si>
  <si>
    <t>出入襄阳所需之路引凭证，其上署名“贾正”。</t>
  </si>
  <si>
    <t>顾瑶玉佩</t>
  </si>
  <si>
    <t>顾瑶的玉佩。</t>
  </si>
  <si>
    <t>沈瑄绝笔</t>
  </si>
  <si>
    <t>read,980032</t>
  </si>
  <si>
    <t>沈瑄临终写就的书信，或可拆开一观。</t>
  </si>
  <si>
    <t>耄耋香</t>
  </si>
  <si>
    <t>散发着一股古怪气味，不知有何用途。</t>
  </si>
  <si>
    <t>蛇胆</t>
  </si>
  <si>
    <t>新鲜剖出的蛇胆。</t>
  </si>
  <si>
    <t>item/907008</t>
  </si>
  <si>
    <t>何傲霜所赠定情之物，其内香料早已无味，却自带一股清异幽香……</t>
  </si>
  <si>
    <t>密信</t>
  </si>
  <si>
    <t>信封上写着“神狩十七年致吾徒傲霜”，还是莫要拆开了……</t>
  </si>
  <si>
    <t>壁城来信</t>
  </si>
  <si>
    <t>一封装缮妥当的书信。</t>
  </si>
  <si>
    <t>花相书信</t>
  </si>
  <si>
    <t>一封装缮妥当的书信，花相所托之物，欲送往桃花坞处。</t>
  </si>
  <si>
    <t>远行船册</t>
  </si>
  <si>
    <t>袁二爷转赠之物，不知其中有何玄机。</t>
  </si>
  <si>
    <t>潦草笺记</t>
  </si>
  <si>
    <t>read,980040</t>
  </si>
  <si>
    <t>潇湘子所遗手记，其上记载着零碎文字图画。</t>
  </si>
  <si>
    <t>舱门钥匙</t>
  </si>
  <si>
    <t>一把钥匙，似能开启某扇锁着的门。</t>
  </si>
  <si>
    <t>item/908073</t>
  </si>
  <si>
    <t>闯阵口诀</t>
  </si>
  <si>
    <t>read,980035</t>
  </si>
  <si>
    <t>公输古榆随手写成的破阵口诀，过关之法尽在其中。</t>
  </si>
  <si>
    <t>item/908074</t>
  </si>
  <si>
    <t>蒙芸的藏宝图</t>
  </si>
  <si>
    <t>一张画得歪歪扭扭的图画，似已有些年头。</t>
  </si>
  <si>
    <t>小字条</t>
  </si>
  <si>
    <t>read,980036</t>
  </si>
  <si>
    <t>蒙芸埋下的“宝藏”。</t>
  </si>
  <si>
    <t>幻赤初方</t>
  </si>
  <si>
    <t>似乎是册药方，其上记录着许多不知名的药材。</t>
  </si>
  <si>
    <t>解毒药方</t>
  </si>
  <si>
    <t>东壁先生所研之方，能解“幻赤初方”中所载之毒。</t>
  </si>
  <si>
    <t>焦毁信笺</t>
  </si>
  <si>
    <t>其上文字皆一时难识，许需寻苗寨中人帮忙解之。</t>
  </si>
  <si>
    <t>除账目之外，末尾还注出了藏物之处——三塔东北。</t>
  </si>
  <si>
    <t>泛黄书信</t>
  </si>
  <si>
    <t>read,980037</t>
  </si>
  <si>
    <t>连环密信·壹</t>
  </si>
  <si>
    <t>信封缀有画工粗糙的九连环形状，其中内容却是似鬼画符，全然难明。</t>
  </si>
  <si>
    <t>连环密信·贰</t>
  </si>
  <si>
    <t>连环密信·叁</t>
  </si>
  <si>
    <t>小七的藏宝图</t>
  </si>
  <si>
    <t>其上除难以明辨的画迹之外，还写着一行小字：良庄东北山间。</t>
  </si>
  <si>
    <t>锈蚀钥匙</t>
  </si>
  <si>
    <t>一把锈迹斑斑的钥匙，不知能打开何处的锁。</t>
  </si>
  <si>
    <t>菜谱</t>
  </si>
  <si>
    <t>一套菜谱，记了几道常见菜肴的独到烹制手法。</t>
  </si>
  <si>
    <t>神秘信笺</t>
  </si>
  <si>
    <t>一封神秘信笺，不知出于谁手。</t>
  </si>
  <si>
    <t>紫晴密函</t>
  </si>
  <si>
    <t>read,980038</t>
  </si>
  <si>
    <t>紫晴赠予的一封信笺。信中仅有寥寥数语，并无提称落款，不知是何人所寄。</t>
  </si>
  <si>
    <t>青云来信</t>
  </si>
  <si>
    <t>read,980039</t>
  </si>
  <si>
    <t>一封传入你手的信笺，落款题有李青山之名。</t>
  </si>
  <si>
    <t>木质方匣</t>
  </si>
  <si>
    <t>从乐师身上寻到的木质方匣，整匣无孔，似有某种机关。</t>
  </si>
  <si>
    <t>item/908209</t>
  </si>
  <si>
    <t>陈旧书信</t>
  </si>
  <si>
    <t>read,980041</t>
  </si>
  <si>
    <t>孙猎户家中遗落的书信，或可打开一观。</t>
  </si>
  <si>
    <t>沾血扳指</t>
  </si>
  <si>
    <t>一枚沾血扳指，可作为杀死阮彦春的证明。</t>
  </si>
  <si>
    <t>白面土</t>
  </si>
  <si>
    <t>颜色近白，不甚坚硬。</t>
  </si>
  <si>
    <t>满载干粮的麻袋</t>
  </si>
  <si>
    <t>一个满装干饼粮米的袋子。</t>
  </si>
  <si>
    <t>item/908091</t>
  </si>
  <si>
    <t>陈旧檀香</t>
  </si>
  <si>
    <t>一把檀香，或能一用。</t>
  </si>
  <si>
    <t>鼠袋</t>
  </si>
  <si>
    <t>装着整整一袋硕鼠，不失为饥民佳肴。</t>
  </si>
  <si>
    <t>土饼</t>
  </si>
  <si>
    <t>彼之砒霜，吾之蜜糖。</t>
  </si>
  <si>
    <t>浸水信笺</t>
  </si>
  <si>
    <t>河图洛书</t>
  </si>
  <si>
    <t>完整的“河图洛书”，记载了一套绝世心法的诸多奥秘。</t>
  </si>
  <si>
    <t>慧寂手书</t>
  </si>
  <si>
    <t>read,980042</t>
  </si>
  <si>
    <t>一封书信，似是慧寂所遗。</t>
  </si>
  <si>
    <t>锻刀令</t>
  </si>
  <si>
    <t>大雪山门主于红梅手令，持此物者可令锻刀窟刀匠依意锻刀。</t>
  </si>
  <si>
    <t>寒铁刀</t>
  </si>
  <si>
    <t>一柄宝刀，吹毛短发。</t>
  </si>
  <si>
    <t>真龙</t>
  </si>
  <si>
    <t>朱翊真所赐尚方宝剑，奢美华贵，不甚实用。上镌两列篆字：玄鸟衔圭，九五至尊。万邦既伏，天命攸存。</t>
  </si>
  <si>
    <t>北豺的头颅</t>
  </si>
  <si>
    <t>装有北豺头颅的包裹。</t>
  </si>
  <si>
    <t>秘图</t>
  </si>
  <si>
    <t>据说是秦皇陵秘道地图，但看其上图样，却似另有玄机。</t>
  </si>
  <si>
    <t>一盒火药</t>
  </si>
  <si>
    <t>包裹于粗布之中的一盒火药。</t>
  </si>
  <si>
    <t>item/909199</t>
  </si>
  <si>
    <t>Copper Coin</t>
  </si>
  <si>
    <t>A small copper coin that feels as heavy as a thousand weights in the palm.</t>
  </si>
  <si>
    <t>Lone Swan Jade Token</t>
  </si>
  <si>
    <t>A jade token gifted by Du Yanbai, blank except for a lone goose carved at the top.</t>
  </si>
  <si>
    <t>Lianhuan Stronghold Wooden Plaque</t>
  </si>
  <si>
    <t>A crude nine-linked ring emblem used for identification among outlaws.</t>
  </si>
  <si>
    <t>Colorful Cloth Ball</t>
  </si>
  <si>
    <t>A carefully stitched colorful cloth ball, beloved by Guoguo.</t>
  </si>
  <si>
    <t>Money Pouch</t>
  </si>
  <si>
    <t>A recovered money pouch, still heavy despite missing contents.</t>
  </si>
  <si>
    <t>Black Market Waist Token</t>
  </si>
  <si>
    <t>A waist token from Nan Gonglian, its hidden patterns marking it as a black market pass.</t>
  </si>
  <si>
    <t>Nan Gonglian's Letter</t>
  </si>
  <si>
    <t>A letter left by Nan Gonglian—click to read.</t>
  </si>
  <si>
    <t>Lost Shoe</t>
  </si>
  <si>
    <t>A lost shoe whose owner must still be on the bridge.</t>
  </si>
  <si>
    <t>Qiao Family Letter</t>
  </si>
  <si>
    <t>A letter delivered by the Qiao family.</t>
  </si>
  <si>
    <t>Prepared Bundle</t>
  </si>
  <si>
    <t>A pre-packed bundle, rich in contents—but best left unopened per the giver's request.</t>
  </si>
  <si>
    <t>Scripture Texts</t>
  </si>
  <si>
    <t>Newly bound Daoist scriptures for distribution among fellow disciples.</t>
  </si>
  <si>
    <t>Underling's Letter Home</t>
  </si>
  <si>
    <t>A frail lackey's heartfelt letter home.</t>
  </si>
  <si>
    <t>Corundum Needles</t>
  </si>
  <si>
    <t>Jet-black, high-quality corundum needles.</t>
  </si>
  <si>
    <t>Antidote Pill</t>
  </si>
  <si>
    <t>Effective for dispelling toxins and warming meridians.</t>
  </si>
  <si>
    <t>Breath-Suspending Pill</t>
  </si>
  <si>
    <t>Extends breath and slows metabolism.</t>
  </si>
  <si>
    <t>Damaged Bamboo Scroll</t>
  </si>
  <si>
    <t>A damaged bamboo scroll.</t>
  </si>
  <si>
    <t>Truth of Qingping Case</t>
  </si>
  <si>
    <t>As clues converge, the truth buried in this village surfaces.</t>
  </si>
  <si>
    <t>Black Market Name Card</t>
  </si>
  <si>
    <t>A plain black name card with faint hidden patterns but no text.</t>
  </si>
  <si>
    <t>Golden Lotus Hairpin</t>
  </si>
  <si>
    <t>An exquisitely crafted gold-thread hairpin, doubling as a pass for Cheng'an's black market.</t>
  </si>
  <si>
    <t>Salted Fish</t>
  </si>
  <si>
    <t>Long-cured salted fish, rock-hard.</t>
  </si>
  <si>
    <t>Strength Pill</t>
  </si>
  <si>
    <t>Strengthens the body and cures all ills.</t>
  </si>
  <si>
    <t>Liang San's Letter (1)</t>
  </si>
  <si>
    <t>A letter from Liang San to Qiao Yingzhu, affirming her musical talent.</t>
  </si>
  <si>
    <t>Ma Juncai's Letter</t>
  </si>
  <si>
    <t>A letter from Ma Juncai urging Qiao Yingzhu to move on.</t>
  </si>
  <si>
    <t>Liang San's Letter (2)</t>
  </si>
  <si>
    <t>Liang San's heartfelt confession.</t>
  </si>
  <si>
    <t>Muscle-Restoring Pill</t>
  </si>
  <si>
    <t>A slender porcelain vial labeled "Muscle-Restoring Vitality Pill"—its premium container hints at priceless contents.</t>
  </si>
  <si>
    <t>Fire Starter</t>
  </si>
  <si>
    <t>Useful for starting fires.</t>
  </si>
  <si>
    <t>Shattered Scholar Mask</t>
  </si>
  <si>
    <t>A shattered "Flower Scout" mask.</t>
  </si>
  <si>
    <t>Wanted Notice</t>
  </si>
  <si>
    <t>A fugitive warrant.</t>
  </si>
  <si>
    <t>Sun Cha's Letter</t>
  </si>
  <si>
    <t>A letter left by Sun Cha.</t>
  </si>
  <si>
    <t>Valuables Bundle</t>
  </si>
  <si>
    <t>A bundle of valuables.</t>
  </si>
  <si>
    <t>Metal Powder</t>
  </si>
  <si>
    <t>Metal powder.</t>
  </si>
  <si>
    <t>Snow Mountain Secret Order</t>
  </si>
  <si>
    <t>Snow Mountain Secret Order.</t>
  </si>
  <si>
    <t>White Go Stone</t>
  </si>
  <si>
    <t>A white Go stone.</t>
  </si>
  <si>
    <t>Fanghuan Go Manual</t>
  </si>
  <si>
    <t>The "Cosmic Go Manual."</t>
  </si>
  <si>
    <t>Rusted Key</t>
  </si>
  <si>
    <t>Heavily rusted, perhaps a key to something.</t>
  </si>
  <si>
    <t>Anonymous Letter</t>
  </si>
  <si>
    <t>An anonymous letter.</t>
  </si>
  <si>
    <t>Heavy Package</t>
  </si>
  <si>
    <t>A weighty package.</t>
  </si>
  <si>
    <t>Luo Wenqing's Handwritten Note</t>
  </si>
  <si>
    <t>Luo Wenqing's handwritten note.</t>
  </si>
  <si>
    <t>Lanyu's Package</t>
  </si>
  <si>
    <t>Lanyu's parcel.</t>
  </si>
  <si>
    <t>Lanyu's Journal</t>
  </si>
  <si>
    <t>Lanyu's journal.</t>
  </si>
  <si>
    <t>Nightingale Umbrella</t>
  </si>
  <si>
    <t>"Nightingale's Cry" umbrella.</t>
  </si>
  <si>
    <t>Golden Crow Call</t>
  </si>
  <si>
    <t>"Golden Crow's Call."</t>
  </si>
  <si>
    <t>Peony Charm</t>
  </si>
  <si>
    <t>"Peony's Allure."</t>
  </si>
  <si>
    <t>Belated Letter</t>
  </si>
  <si>
    <t>A belated letter.</t>
  </si>
  <si>
    <t>Official Document</t>
  </si>
  <si>
    <t>A document entrusted by Sugar-Figurine Zhang for delivery to a scholar.</t>
  </si>
  <si>
    <t>A document entrusted by Sugar-Figurine Zhang for delivery to a crippled elder.</t>
  </si>
  <si>
    <t>A document entrusted by Sugar-Figurine Zhang for delivery to the Lianhuan Stronghold.</t>
  </si>
  <si>
    <t>Ingredient List</t>
  </si>
  <si>
    <t>A vendor's ingredient list for gathering materials.</t>
  </si>
  <si>
    <t>Dinghai Stone</t>
  </si>
  <si>
    <t>One of the Three Sacred Stones, once owned by Shenxiu.</t>
  </si>
  <si>
    <t>Xuanyue Stele</t>
  </si>
  <si>
    <t>One of the Three Sacred Stones, once owned by Taihe.</t>
  </si>
  <si>
    <t>Buddha's Relic (Fake)</t>
  </si>
  <si>
    <t>One of the Three Sacred Stones, once owned by Shaolin.</t>
  </si>
  <si>
    <t>Dinghai Stone (Fake)</t>
  </si>
  <si>
    <t>A replica of the "Three Sacred Stones," possibly a key to a hidden door.</t>
  </si>
  <si>
    <t>Xuanyue Stele (Fake)</t>
  </si>
  <si>
    <t>Artisan Component (1)</t>
  </si>
  <si>
    <t>A firearm component, stored separately—assembling all parts may unleash unknown power...</t>
  </si>
  <si>
    <t>Artisan Component (2)</t>
  </si>
  <si>
    <t>Artisan Component (3)</t>
  </si>
  <si>
    <t>Artisan Component (4)</t>
  </si>
  <si>
    <t>Yellow Sky Secret (1)</t>
  </si>
  <si>
    <t>An ordinary stone slab carved with cryptic symbols—collect all to decipher with a Taiping Dao expert's help.</t>
  </si>
  <si>
    <t>Yellow Sky Secret (2)</t>
  </si>
  <si>
    <t>Yellow Sky Secret (3)</t>
  </si>
  <si>
    <t>Yellow Sky Secret (4)</t>
  </si>
  <si>
    <t>Yellow Sky Secret (5)</t>
  </si>
  <si>
    <t>Yellow Sky Secret (6)</t>
  </si>
  <si>
    <t>Yellow Sky Secret (7)</t>
  </si>
  <si>
    <t>Yellow Sky Secret (8)</t>
  </si>
  <si>
    <t>Signal Flare</t>
  </si>
  <si>
    <t>A signaling device—igniting it may have unpredictable consequences...</t>
  </si>
  <si>
    <t>Aged Sachet</t>
  </si>
  <si>
    <t>Its incense long faded, yet it exudes an eerie fragrance...</t>
  </si>
  <si>
    <t>Assassin Contract</t>
  </si>
  <si>
    <t>A crudely written note in garbled Japanese, offering three taels for a fugitive—dead or alive.</t>
  </si>
  <si>
    <t>Blue Silk Handkerchief</t>
  </si>
  <si>
    <t>"Blue is your collar, my heart is in sorrow."</t>
  </si>
  <si>
    <t>Meal Box</t>
  </si>
  <si>
    <t>A meal of ordinary dishes, unremarkable.</t>
  </si>
  <si>
    <t>Exquisite Meal Box</t>
  </si>
  <si>
    <t>A meal of exquisite dishes, aromatic.</t>
  </si>
  <si>
    <t>Old Sword</t>
  </si>
  <si>
    <t>A rusted sword, still valuable.</t>
  </si>
  <si>
    <t>Giant Bear Paw</t>
  </si>
  <si>
    <t>A prized bear paw.</t>
  </si>
  <si>
    <t>Bird's Nest</t>
  </si>
  <si>
    <t>Common bird's nest, somewhat valuable.</t>
  </si>
  <si>
    <t>Court Access Token</t>
  </si>
  <si>
    <t>A badge inscribed "Surveillance Bureau" on the front and "Jiang Weigong" on the back.</t>
  </si>
  <si>
    <t>Simple sun-dried sweet potato strips, delicious.</t>
  </si>
  <si>
    <t>Japanese Letter</t>
  </si>
  <si>
    <t>A letter written in Japanese.</t>
  </si>
  <si>
    <t>Condolence Document</t>
  </si>
  <si>
    <t>An official condolence document.</t>
  </si>
  <si>
    <t>Pension Funds</t>
  </si>
  <si>
    <t>Official bereavement funds.</t>
  </si>
  <si>
    <t>Five Minor Sects Token</t>
  </si>
  <si>
    <t>The Five Minor Sects operate covertly, recognizing only tokens, not faces.</t>
  </si>
  <si>
    <t>Lead-Red Pill</t>
  </si>
  <si>
    <t>Crimson as a crane's crown, its properties unknown.</t>
  </si>
  <si>
    <t>Revoltingly foul, barely edible.</t>
  </si>
  <si>
    <t>Revoltingly foul, barely edible—its bloated belly seems to contain something.</t>
  </si>
  <si>
    <t>Black Iron Token</t>
  </si>
  <si>
    <t>A pass for the capital's black market.</t>
  </si>
  <si>
    <t>"Xu" Jade Pendant</t>
  </si>
  <si>
    <t>Xiaoqi's sole possession when abandoned, engraved with the character "Xu."</t>
  </si>
  <si>
    <t>Strange Steamed Bread</t>
  </si>
  <si>
    <t>Steaming hot flatbread with a peculiar odor.</t>
  </si>
  <si>
    <t>Scorpion Envoy Token</t>
  </si>
  <si>
    <t>Five Poisons Sect's "Scorpion Envoy" token, carved with Miao patterns.</t>
  </si>
  <si>
    <t>Saintess' Sigil</t>
  </si>
  <si>
    <t>A jade-green token, the Five Poisons Sect's Saintess' exclusive sigil—bearers are honored guests.</t>
  </si>
  <si>
    <t>Duan Family Secrets</t>
  </si>
  <si>
    <t>A faded note mixing Chinese and Miao script, barely legible.</t>
  </si>
  <si>
    <t>Night-Shining Pearl</t>
  </si>
  <si>
    <t>"Tonight the bright pearl's glow shall rival the full moon."</t>
  </si>
  <si>
    <t>"Hatred" Jade Token</t>
  </si>
  <si>
    <t>A worn jade token engraved with the character "Hatred."</t>
  </si>
  <si>
    <t>Jiangchuan Brew</t>
  </si>
  <si>
    <t>Premium Japanese sake, intoxicatingly fragrant.</t>
  </si>
  <si>
    <t>Bletilla Striata</t>
  </si>
  <si>
    <t>Bitter, sweet, astringent, slightly cold.</t>
  </si>
  <si>
    <t>Pseudoginseng</t>
  </si>
  <si>
    <t>Warm, sweet, mildly bitter.</t>
  </si>
  <si>
    <t>Covered in Japanese script resembling ghostly scribbles—perhaps someone can decipher it...</t>
  </si>
  <si>
    <t>Imagawa Family Letter</t>
  </si>
  <si>
    <t>Mixed Japanese and Chinese text, barely recognizable names all prefixed "Imagawa"...</t>
  </si>
  <si>
    <t>Ximen Family Letter</t>
  </si>
  <si>
    <t>A yellowed letter, aged.</t>
  </si>
  <si>
    <t>A rusted sword that might serve if polished.</t>
  </si>
  <si>
    <t>Novice Monk's Healing Salve</t>
  </si>
  <si>
    <t>Herbal poultice for minor wounds, made from plant ash and common herbs.</t>
  </si>
  <si>
    <t>Zhao Yunling's Jade Pendant</t>
  </si>
  <si>
    <t>An unremarkable jade pendant.</t>
  </si>
  <si>
    <t>Prison Cart Key</t>
  </si>
  <si>
    <t>An ordinary key.</t>
  </si>
  <si>
    <t>Yingzhu's Family Letter</t>
  </si>
  <si>
    <t>Qiao Yingzhu's sealed letter to her father—best left unopened.</t>
  </si>
  <si>
    <t>Evil-Slaying Order</t>
  </si>
  <si>
    <t>A wooden chip with deep sword-carved marks, likely made by a master.</t>
  </si>
  <si>
    <t>Flower Mountain Checklist</t>
  </si>
  <si>
    <t>A checklist for the Flower Mountain Festival, with a tiny snake doodle in the corner.</t>
  </si>
  <si>
    <t>Shuttlecock Bundle</t>
  </si>
  <si>
    <t>A worn-out shuttlecock bundle, common in the Central Plains.</t>
  </si>
  <si>
    <t>Red Flower</t>
  </si>
  <si>
    <t>A pretty red flower, seemingly useless.</t>
  </si>
  <si>
    <t>Physician Hu's Medicine Bag</t>
  </si>
  <si>
    <t>A heavy bundle clinking with bottles.</t>
  </si>
  <si>
    <t>River Map Fragment (1)</t>
  </si>
  <si>
    <t>"The River yields a Map, the Luo a Script—the Sages took these as models."</t>
  </si>
  <si>
    <t>River Map Fragment (2)</t>
  </si>
  <si>
    <t>River Map Fragment (3)</t>
  </si>
  <si>
    <t>River Map Fragment (4)</t>
  </si>
  <si>
    <t>River Map Fragment (5)</t>
  </si>
  <si>
    <t>River Map Fragment (6)</t>
  </si>
  <si>
    <t>River Map Fragment (7)</t>
  </si>
  <si>
    <t>River Map Fragment (8)</t>
  </si>
  <si>
    <t>Family Letter</t>
  </si>
  <si>
    <t>A homesick letter.</t>
  </si>
  <si>
    <t>Letter</t>
  </si>
  <si>
    <t>An unsigned letter.</t>
  </si>
  <si>
    <t>Travel Pass</t>
  </si>
  <si>
    <t>A travel pass for Xiangyang under the name "Mo Zhong."</t>
  </si>
  <si>
    <t>A travel pass for Xiangyang under the name "Jia Zheng."</t>
  </si>
  <si>
    <t>Gu Yao's Jade Pendant</t>
  </si>
  <si>
    <t>Gu Yao's jade pendant.</t>
  </si>
  <si>
    <t>Shen Xuan's Last Words</t>
  </si>
  <si>
    <t>Shen Xuan's deathbed letter—perhaps worth reading.</t>
  </si>
  <si>
    <t>Aged Incense</t>
  </si>
  <si>
    <t>Emits a strange odor, purpose unknown.</t>
  </si>
  <si>
    <t>Snake Gallbladder</t>
  </si>
  <si>
    <t>A freshly extracted snake gallbladder.</t>
  </si>
  <si>
    <t>He Aoshuang's love token—its faded incense still exudes an odd fragrance...</t>
  </si>
  <si>
    <t>Secret Letter</t>
  </si>
  <si>
    <t>An envelope labeled "To My Disciple Aoshuang, Year 17 of Divine Hunt"—best left sealed...</t>
  </si>
  <si>
    <t>Bicheng Letter</t>
  </si>
  <si>
    <t>A neatly sealed letter.</t>
  </si>
  <si>
    <t>Hua Xiang's Letter</t>
  </si>
  <si>
    <t>A letter entrusted by Hua Xiang for delivery to Peach Blossom Dock.</t>
  </si>
  <si>
    <t>Voyage Ledger</t>
  </si>
  <si>
    <t>A gift from Second Master Yuan, its secrets unclear.</t>
  </si>
  <si>
    <t>Scribbled Notes</t>
  </si>
  <si>
    <t>Xiaoxiangzi's fragmented notes with scattered text and sketches.</t>
  </si>
  <si>
    <t>Cabin Door Key</t>
  </si>
  <si>
    <t>A key, possibly for a locked door.</t>
  </si>
  <si>
    <t>Puzzle-Solving口诀</t>
  </si>
  <si>
    <t>Gongshu Guyu's hastily scribbled puzzle-solving口诀, containing the solution.</t>
  </si>
  <si>
    <t>Meng Yun's Treasure Map</t>
  </si>
  <si>
    <t>A crudely drawn picture, aged.</t>
  </si>
  <si>
    <t>Small Note</t>
  </si>
  <si>
    <t>Meng Yun's buried "treasure."</t>
  </si>
  <si>
    <t>Illusory Crimson Formula</t>
  </si>
  <si>
    <t>A possible prescription listing unknown herbs.</t>
  </si>
  <si>
    <t>Antidote Prescription</t>
  </si>
  <si>
    <t>Dongbi Xiansheng's antidote for the "Illusory Crimson Formula" poison.</t>
  </si>
  <si>
    <t>Charred Letter</t>
  </si>
  <si>
    <t>Written in undecipherable script—perhaps a Miao villager can help.</t>
  </si>
  <si>
    <t>Besides accounts, it notes a hiding spot—northeast of the Three Pagodas.</t>
  </si>
  <si>
    <t>Yellowed Letter</t>
  </si>
  <si>
    <t>Interlinked Letter (1)</t>
  </si>
  <si>
    <t>An envelope with a crude nine-linked ring doodle, contents illegible.</t>
  </si>
  <si>
    <t>Interlinked Letter (2)</t>
  </si>
  <si>
    <t>Interlinked Letter (3)</t>
  </si>
  <si>
    <t>Xiaoqi's Treasure Map</t>
  </si>
  <si>
    <t>Aside from cryptic symbols, a small note reads: "Northeast mountains of Liang Village."</t>
  </si>
  <si>
    <t>A rusted key of unknown purpose.</t>
  </si>
  <si>
    <t>Recipe Book</t>
  </si>
  <si>
    <t>A cookbook with unique recipes for common dishes.</t>
  </si>
  <si>
    <t>Mysterious Letter</t>
  </si>
  <si>
    <t>A mysterious letter of unknown origin.</t>
  </si>
  <si>
    <t>Ziqing's Secret Note</t>
  </si>
  <si>
    <t>A letter from Ziqing—brief and unsigned, its sender unclear.</t>
  </si>
  <si>
    <t>Qingyun Letter</t>
  </si>
  <si>
    <t>A letter addressed to you, signed by Li Qingshan.</t>
  </si>
  <si>
    <t>Frost Mist</t>
  </si>
  <si>
    <t>A Xiangyang Chu family heirloom, still sharp after a century.</t>
  </si>
  <si>
    <t>Wooden Puzzle Box</t>
  </si>
  <si>
    <t>A wooden box found on a musician, seemingly puzzle-locked.</t>
  </si>
  <si>
    <t>Aged Letter</t>
  </si>
  <si>
    <t>A letter left in Hunter Sun's home—perhaps worth opening.</t>
  </si>
  <si>
    <t>Bloodstained Ring</t>
  </si>
  <si>
    <t>A bloodstained ring, proof of Ruan Yanchun's murder.</t>
  </si>
  <si>
    <t>White Clay</t>
  </si>
  <si>
    <t>Pale and brittle.</t>
  </si>
  <si>
    <t>Sack of Provisions</t>
  </si>
  <si>
    <t>A sack of dried rations.</t>
  </si>
  <si>
    <t>Aged Sandalwood</t>
  </si>
  <si>
    <t>Sandalwood incense, possibly useful.</t>
  </si>
  <si>
    <t>Rat Bag</t>
  </si>
  <si>
    <t>A bag of plump rats—a delicacy for the starving.</t>
  </si>
  <si>
    <t>Dirt Cake</t>
  </si>
  <si>
    <t>"One man's poison is another's feast."</t>
  </si>
  <si>
    <t>Waterlogged Letter</t>
  </si>
  <si>
    <t>River Map &amp; Luo Script</t>
  </si>
  <si>
    <t>The complete "River Map and Luo Script," detailing secrets of a peerless martial art.</t>
  </si>
  <si>
    <t>Huiji's Handwriting</t>
  </si>
  <si>
    <t>A letter, likely left by Huiji.</t>
  </si>
  <si>
    <t>Forge Order</t>
  </si>
  <si>
    <t>An order from Great Snow Sect leader Yu Hongmei—bearers may commission blades from the Forge Cave.</t>
  </si>
  <si>
    <t>Frost-Iron Saber</t>
  </si>
  <si>
    <t>A treasured blade that splits hairs.</t>
  </si>
  <si>
    <t>Imperial Edict</t>
  </si>
  <si>
    <t>Zhu Yizhen's imperial sword—ornate but impractical, inscribed: "The Dark Bird bears the Scepter, the Throne is Supreme. All Lands Submit, Heaven's Mandate Endures."</t>
  </si>
  <si>
    <t>Northern Jackal's Head</t>
  </si>
  <si>
    <t>A bundle containing Northern Jackal's head.</t>
  </si>
  <si>
    <t>Secret Map</t>
  </si>
  <si>
    <t>Supposedly a map to Qin Shihuang's tomb, but its markings suggest deeper secrets.</t>
  </si>
  <si>
    <t>Cloudsoaring Sword</t>
  </si>
  <si>
    <t>One of the Three Cloud Swords—cloud-patterned, blue phoenix-engraved, shadowless yet soaring. Legend says gathering all three triggers a marvel.</t>
  </si>
  <si>
    <t>Jadecloud Sword</t>
  </si>
  <si>
    <t>One of the Three Cloud Swords—pearl-adorned, swan-engraved, jade-cutting, autumn-water-cleaving. Legend says gathering all three triggers a marvel.</t>
  </si>
  <si>
    <t>Greenshade Sword</t>
  </si>
  <si>
    <t>One of the Three Cloud Swords—plumed, golden serpent-engraved, silent iron-shearing, wind-swift. Legend says gathering all three triggers a marvel.</t>
  </si>
  <si>
    <t>Gunpowder Box</t>
  </si>
  <si>
    <t>A cloth-wrapped box of gunpowder.</t>
  </si>
  <si>
    <t>banDepot</t>
  </si>
  <si>
    <t>其他</t>
  </si>
  <si>
    <t>item/908030</t>
  </si>
  <si>
    <t>空荡荡的酒坛，除了盛酒以外似乎亦能盛放其他东西……</t>
  </si>
  <si>
    <t>item/908032</t>
  </si>
  <si>
    <t>纵是鲁班再世亦难将此物复原，不过这堆碎木似乎尚能另做他用……</t>
  </si>
  <si>
    <t>item/908033</t>
  </si>
  <si>
    <t>item/908037</t>
  </si>
  <si>
    <t>虽说可以食用，但味道实在算不上好，或许加工之后能有所改善。</t>
  </si>
  <si>
    <t>item/908038</t>
  </si>
  <si>
    <t>寻常的山间野果，饱满多汁，味道尚可，不过如果经过加工的话，想必会变得更为美味。</t>
  </si>
  <si>
    <t>item/908039</t>
  </si>
  <si>
    <t>item/908040</t>
  </si>
  <si>
    <t>item/908041</t>
  </si>
  <si>
    <t>item/908042</t>
  </si>
  <si>
    <t>item/908045</t>
  </si>
  <si>
    <t>item/908046</t>
  </si>
  <si>
    <t>item/908047</t>
  </si>
  <si>
    <t>房屋甲钥匙</t>
  </si>
  <si>
    <t>房屋甲的钥匙</t>
  </si>
  <si>
    <t>房屋乙钥匙</t>
  </si>
  <si>
    <t>房屋乙的钥匙</t>
  </si>
  <si>
    <t>草庐钥匙</t>
  </si>
  <si>
    <t>民房钥匙</t>
  </si>
  <si>
    <t>麻袋</t>
  </si>
  <si>
    <t>一个麻袋，似乎可以装下一个人。</t>
  </si>
  <si>
    <r>
      <rPr>
        <sz val="11"/>
        <color theme="1"/>
        <rFont val="宋体"/>
        <family val="3"/>
        <charset val="134"/>
        <scheme val="minor"/>
      </rPr>
      <t>item/90809</t>
    </r>
    <r>
      <rPr>
        <sz val="11"/>
        <color theme="1"/>
        <rFont val="宋体"/>
        <family val="3"/>
        <charset val="134"/>
        <scheme val="minor"/>
      </rPr>
      <t>1</t>
    </r>
  </si>
  <si>
    <t>浸水皮鞭</t>
  </si>
  <si>
    <t>浸水后皮鞭打在人身上十分疼痛，一鞭下去就会有一道红印，两鞭就会皮开肉绽。</t>
  </si>
  <si>
    <t>item/908092</t>
  </si>
  <si>
    <t>烙铁</t>
  </si>
  <si>
    <t>用烧热、烧红的铁具灼于受刑者的皮肤，使其产生痛感。</t>
  </si>
  <si>
    <r>
      <rPr>
        <sz val="11"/>
        <color theme="1"/>
        <rFont val="宋体"/>
        <family val="3"/>
        <charset val="134"/>
        <scheme val="minor"/>
      </rPr>
      <t>item/908093</t>
    </r>
  </si>
  <si>
    <t>虎形钳</t>
  </si>
  <si>
    <t>通常用于夹受刑者的手指脚趾或拔去指甲，牙齿。</t>
  </si>
  <si>
    <t>item/908094</t>
  </si>
  <si>
    <t>蜡烛</t>
  </si>
  <si>
    <t>借助融蜡的高温对皮肤产生刺激的刑罚。</t>
  </si>
  <si>
    <r>
      <rPr>
        <sz val="11"/>
        <color theme="1"/>
        <rFont val="宋体"/>
        <family val="3"/>
        <charset val="134"/>
        <scheme val="minor"/>
      </rPr>
      <t>item/908095</t>
    </r>
  </si>
  <si>
    <t>短羽毛</t>
  </si>
  <si>
    <t>轻轻的在受刑者的脚心，腋下，脖颈，侧腹，肚脐等敏感部位来回刮蹭，使其瘙痒难忍，狂笑不止。</t>
  </si>
  <si>
    <t>item/908096</t>
  </si>
  <si>
    <t>剜肉小刀</t>
  </si>
  <si>
    <t>凌迟工具，将人身上的肉一刀刀割去,是一种肢解的惩罚,即包含身体四肢的切割。</t>
  </si>
  <si>
    <r>
      <rPr>
        <sz val="11"/>
        <color theme="1"/>
        <rFont val="宋体"/>
        <family val="3"/>
        <charset val="134"/>
        <scheme val="minor"/>
      </rPr>
      <t>item/908097</t>
    </r>
  </si>
  <si>
    <t>靛蓝劲装</t>
  </si>
  <si>
    <t>江湖常见装束，靛青棉布制成，结实耐污。</t>
  </si>
  <si>
    <t>item/908098</t>
  </si>
  <si>
    <t>紫粟衣</t>
  </si>
  <si>
    <t>江湖常见装束，紫色棉布制成，结实耐污。</t>
  </si>
  <si>
    <t>item/908099</t>
  </si>
  <si>
    <t>缠臂劲装</t>
  </si>
  <si>
    <t>江湖常见装束，由多色布料缝扎而成，厚实保暖。</t>
  </si>
  <si>
    <t>item/908100</t>
  </si>
  <si>
    <t>悬壶衫</t>
  </si>
  <si>
    <t>江湖常见装束，简朴舒适。</t>
  </si>
  <si>
    <t>item/908101</t>
  </si>
  <si>
    <t>骤雪白衣</t>
  </si>
  <si>
    <t>白如霜雪，傲然若松。</t>
  </si>
  <si>
    <t>item/908102</t>
  </si>
  <si>
    <t>始分衣</t>
  </si>
  <si>
    <t>江湖常见装束，扎腰短打，干净爽利。</t>
  </si>
  <si>
    <t>item/908103</t>
  </si>
  <si>
    <t>夜行衣衫</t>
  </si>
  <si>
    <t>墨色黑衣，惯以夜行诡事者，多有所备。</t>
  </si>
  <si>
    <t>item/908104</t>
  </si>
  <si>
    <t>浑敞</t>
  </si>
  <si>
    <t>江湖常见装束，布衣敞怀，诸礼不用。</t>
  </si>
  <si>
    <t>item/908105</t>
  </si>
  <si>
    <t>公子青</t>
  </si>
  <si>
    <t>晓天青脉脉，玉面立疏篱。</t>
  </si>
  <si>
    <t>item/908106</t>
  </si>
  <si>
    <t>侠白衬</t>
  </si>
  <si>
    <t>白练束腰袖半卷，身捽秋风鉴侠心。</t>
  </si>
  <si>
    <t>item/908107</t>
  </si>
  <si>
    <t>褡巾常服</t>
  </si>
  <si>
    <t>江湖常见装束，束袖带巾，常为劳民役厮所喜。</t>
  </si>
  <si>
    <t>item/908108</t>
  </si>
  <si>
    <t>富贵袍</t>
  </si>
  <si>
    <t>金玉满堂，莫之能守。富贵而骄，自遗其咎。</t>
  </si>
  <si>
    <t>item/908109</t>
  </si>
  <si>
    <t>褴褛襟</t>
  </si>
  <si>
    <t>破布缝拼而成，污不可言。</t>
  </si>
  <si>
    <t>item/908110</t>
  </si>
  <si>
    <t>靛白杂衫</t>
  </si>
  <si>
    <t>江湖常见装束，素衫敛衽，多为僧道所着。</t>
  </si>
  <si>
    <t>item/908111</t>
  </si>
  <si>
    <t>书卷白</t>
  </si>
  <si>
    <t>床头亦有闲书卷，信手拈来倦即休。</t>
  </si>
  <si>
    <t>item/908112</t>
  </si>
  <si>
    <t>江湖披</t>
  </si>
  <si>
    <t>江湖常见装束，短衫裁袖，戴月披星。</t>
  </si>
  <si>
    <t>item/908113</t>
  </si>
  <si>
    <t>蓝童裳</t>
  </si>
  <si>
    <t>常见小童装束，无甚特别。</t>
  </si>
  <si>
    <t>item/908114</t>
  </si>
  <si>
    <t>粉童裙</t>
  </si>
  <si>
    <t>item/908115</t>
  </si>
  <si>
    <t>儿童褂</t>
  </si>
  <si>
    <t>item/908116</t>
  </si>
  <si>
    <t>烂窄衣</t>
  </si>
  <si>
    <t>item/908117</t>
  </si>
  <si>
    <t>东瀛半褂</t>
  </si>
  <si>
    <t>倭人常见装束，风致与中原迥异。</t>
  </si>
  <si>
    <t>item/908118</t>
  </si>
  <si>
    <t>东瀛褂</t>
  </si>
  <si>
    <t>item/908119</t>
  </si>
  <si>
    <t>东瀛短衣</t>
  </si>
  <si>
    <t>item/908120</t>
  </si>
  <si>
    <t>墨紫劲装</t>
  </si>
  <si>
    <t>江湖常见装束，靛紫棉布制成，结实耐污。</t>
  </si>
  <si>
    <t>item/908121</t>
  </si>
  <si>
    <t>赤粟衣</t>
  </si>
  <si>
    <t>江湖常见装束，土褐棉布制成，结识耐污。</t>
  </si>
  <si>
    <t>item/908122</t>
  </si>
  <si>
    <t>缠臂黑衫</t>
  </si>
  <si>
    <t>江湖常见装束，墨蓝棉布制成，结识耐污。</t>
  </si>
  <si>
    <t>item/908123</t>
  </si>
  <si>
    <t>济世衫</t>
  </si>
  <si>
    <t>item/908124</t>
  </si>
  <si>
    <t>脏墨衣</t>
  </si>
  <si>
    <t>江湖常见装束，墨黑短褐，干净爽利。</t>
  </si>
  <si>
    <t>item/908125</t>
  </si>
  <si>
    <t>半怀衣</t>
  </si>
  <si>
    <t>item/908126</t>
  </si>
  <si>
    <t>紫衣夜行</t>
  </si>
  <si>
    <t>紫色劲衣，惯以夜行诡事者，多有所备。</t>
  </si>
  <si>
    <t>item/908127</t>
  </si>
  <si>
    <t>一色浑敞</t>
  </si>
  <si>
    <t>item/908128</t>
  </si>
  <si>
    <t>扇公子</t>
  </si>
  <si>
    <t>白纸裁成扇，轻摇满袖风。</t>
  </si>
  <si>
    <t>item/908129</t>
  </si>
  <si>
    <t>褡巾蓝服</t>
  </si>
  <si>
    <t>item/908130</t>
  </si>
  <si>
    <t>百纳襟</t>
  </si>
  <si>
    <t>item/908131</t>
  </si>
  <si>
    <t>执青绿</t>
  </si>
  <si>
    <t>江湖常见装束，素衫敛衽，略有风雅。</t>
  </si>
  <si>
    <t>item/908132</t>
  </si>
  <si>
    <t>释卷</t>
  </si>
  <si>
    <t>item/908133</t>
  </si>
  <si>
    <t>江湖衣衫</t>
  </si>
  <si>
    <t>item/908134</t>
  </si>
  <si>
    <t>东瀛半蓝</t>
  </si>
  <si>
    <t>item/908135</t>
  </si>
  <si>
    <t>东瀛青</t>
  </si>
  <si>
    <t>item/908136</t>
  </si>
  <si>
    <t>东瀛紫</t>
  </si>
  <si>
    <t>item/908137</t>
  </si>
  <si>
    <t>太和高功</t>
  </si>
  <si>
    <t>孰能访太极，与游两仪外。</t>
  </si>
  <si>
    <t>item/908138</t>
  </si>
  <si>
    <t>太和道袍</t>
  </si>
  <si>
    <t>何方道士知人意，授与炉中一粒砂。</t>
  </si>
  <si>
    <t>item/908139</t>
  </si>
  <si>
    <t>仙鹤袍</t>
  </si>
  <si>
    <t>楼台新紫气，云物旧黄山。</t>
  </si>
  <si>
    <t>item/908140</t>
  </si>
  <si>
    <t>紫道服</t>
  </si>
  <si>
    <t>item/908141</t>
  </si>
  <si>
    <t>乡野孩童</t>
  </si>
  <si>
    <t>item/908142</t>
  </si>
  <si>
    <t>少公子</t>
  </si>
  <si>
    <t>item/908143</t>
  </si>
  <si>
    <t>红织童装</t>
  </si>
  <si>
    <t>item/908144</t>
  </si>
  <si>
    <t>鹤羽大氅</t>
  </si>
  <si>
    <t>item/908145</t>
  </si>
  <si>
    <t>霸王衫</t>
  </si>
  <si>
    <r>
      <rPr>
        <sz val="11"/>
        <color theme="1"/>
        <rFont val="宋体"/>
        <family val="3"/>
        <charset val="134"/>
        <scheme val="minor"/>
      </rPr>
      <t>山林啸聚何劳取，</t>
    </r>
    <r>
      <rPr>
        <sz val="10.5"/>
        <color rgb="FF000000"/>
        <rFont val="Helvetica"/>
        <family val="2"/>
      </rPr>
      <t xml:space="preserve"> </t>
    </r>
    <r>
      <rPr>
        <sz val="10.5"/>
        <color rgb="FF000000"/>
        <rFont val="宋体"/>
        <family val="3"/>
        <charset val="134"/>
      </rPr>
      <t>漠野群凶定破机。</t>
    </r>
  </si>
  <si>
    <t>item/908146</t>
  </si>
  <si>
    <t>薄纱青衫</t>
  </si>
  <si>
    <t>笑春风，舞罗衣，君今不醉将安归。</t>
  </si>
  <si>
    <t>item/908147</t>
  </si>
  <si>
    <t>侠白</t>
  </si>
  <si>
    <t>江湖常见装束，白衫扎袖，尽显侠风。</t>
  </si>
  <si>
    <t>item/908148</t>
  </si>
  <si>
    <t>丝缕江湖</t>
  </si>
  <si>
    <t>江湖常见装束，劲衣缠红，英风飒爽。</t>
  </si>
  <si>
    <t>item/908149</t>
  </si>
  <si>
    <t>灰半晌</t>
  </si>
  <si>
    <t>江湖常见装束，灰绸织金，略显华贵。</t>
  </si>
  <si>
    <t>item/908150</t>
  </si>
  <si>
    <t>红常衣</t>
  </si>
  <si>
    <t>江湖常见装束，红麻织成，常为劳民役厮所喜。</t>
  </si>
  <si>
    <t>item/908151</t>
  </si>
  <si>
    <t>女常衣</t>
  </si>
  <si>
    <t>江湖常见装束，青麻织成，常为劳民役厮所喜。</t>
  </si>
  <si>
    <t>item/908152</t>
  </si>
  <si>
    <t>红袖</t>
  </si>
  <si>
    <t>翠屏遮烛影，红袖下帘声。</t>
  </si>
  <si>
    <t>item/908153</t>
  </si>
  <si>
    <t>粉裳</t>
  </si>
  <si>
    <t>江湖常见装束，粉布织成，常为劳民役厮所喜。</t>
  </si>
  <si>
    <t>item/908154</t>
  </si>
  <si>
    <t>青绿丝</t>
  </si>
  <si>
    <t>碧玉小家女，不敢攀贵德。感郎千金意，惭无倾城色。</t>
  </si>
  <si>
    <t>item/908155</t>
  </si>
  <si>
    <t>朱红颜</t>
  </si>
  <si>
    <t>名贵红缎织成，价值不菲。</t>
  </si>
  <si>
    <t>item/908156</t>
  </si>
  <si>
    <t>朱紫</t>
  </si>
  <si>
    <t>紫罗抹身绣腰裙，倾国风流宛胜秦。</t>
  </si>
  <si>
    <t>item/908157</t>
  </si>
  <si>
    <t>item/908158</t>
  </si>
  <si>
    <t>丝缕缠</t>
  </si>
  <si>
    <t>item/908159</t>
  </si>
  <si>
    <t>靛蓝裳</t>
  </si>
  <si>
    <t>江湖常见装束，蓝衣织青，略显风雅。</t>
  </si>
  <si>
    <t>item/908160</t>
  </si>
  <si>
    <t>春晓</t>
  </si>
  <si>
    <t>江湖常见装束，黄麻织成，常为劳民役厮所喜。</t>
  </si>
  <si>
    <t>item/908161</t>
  </si>
  <si>
    <t>冬明</t>
  </si>
  <si>
    <t>item/908162</t>
  </si>
  <si>
    <t>靛青霓</t>
  </si>
  <si>
    <t>黄鹤楼头仙不回，青鸾镜里人难老。</t>
  </si>
  <si>
    <t>item/908163</t>
  </si>
  <si>
    <t>嫩绿绽</t>
  </si>
  <si>
    <t>江湖常见装束，青布织成，常为劳民役厮所喜。</t>
  </si>
  <si>
    <t>item/908164</t>
  </si>
  <si>
    <t>柔紫霓裳</t>
  </si>
  <si>
    <t>荷叶罗裙一色裁，芙蓉向脸两边开。</t>
  </si>
  <si>
    <t>item/908165</t>
  </si>
  <si>
    <t>华贵衣衫</t>
  </si>
  <si>
    <t>金织玉缕，颇显华贵。</t>
  </si>
  <si>
    <t>item/908166</t>
  </si>
  <si>
    <t>item/908167</t>
  </si>
  <si>
    <t>道袍</t>
  </si>
  <si>
    <t>item/908168</t>
  </si>
  <si>
    <t>道门高功</t>
  </si>
  <si>
    <t>item/908169</t>
  </si>
  <si>
    <t>紫道袍</t>
  </si>
  <si>
    <t>item/908170</t>
  </si>
  <si>
    <t>女公子</t>
  </si>
  <si>
    <t>江海素存廊庙志，市朝难变水云心。</t>
  </si>
  <si>
    <t>item/908171</t>
  </si>
  <si>
    <t>红缠</t>
  </si>
  <si>
    <t>紫艳半开篱菊静，红衣落尽渚莲愁。</t>
  </si>
  <si>
    <t>item/908172</t>
  </si>
  <si>
    <t>片刻春</t>
  </si>
  <si>
    <t>薄罗衫子金泥凤，困纤腰怯铢衣重。</t>
  </si>
  <si>
    <t>item/908173</t>
  </si>
  <si>
    <t>异域情</t>
  </si>
  <si>
    <t>罗裙纤月，作弄新秋。</t>
  </si>
  <si>
    <t>item/908174</t>
  </si>
  <si>
    <t>空麻袋</t>
  </si>
  <si>
    <t>一只半空麻袋，或可捕获什么动物……或人？</t>
  </si>
  <si>
    <t>item/908175</t>
  </si>
  <si>
    <t>家仆契</t>
  </si>
  <si>
    <t>用以表明家仆所有权的证明。</t>
  </si>
  <si>
    <t>item/908176</t>
  </si>
  <si>
    <t>公门差衙</t>
  </si>
  <si>
    <t>江湖常见装束，常为公门差役所着。</t>
  </si>
  <si>
    <t>item/908187</t>
  </si>
  <si>
    <t>阡陌更夫</t>
  </si>
  <si>
    <t>江湖常见装束，常为巡游更人所着。</t>
  </si>
  <si>
    <t>item/908188</t>
  </si>
  <si>
    <t>百家饭食</t>
  </si>
  <si>
    <t>一蓑烟雨任平生。</t>
  </si>
  <si>
    <t>item/908190</t>
  </si>
  <si>
    <t>狰狞兽</t>
  </si>
  <si>
    <t>蛮夷行千里，流血原野腥。</t>
  </si>
  <si>
    <t>item/908191</t>
  </si>
  <si>
    <t>富贵人间</t>
  </si>
  <si>
    <t>未央树色春中见，长乐钟声月下闻。</t>
  </si>
  <si>
    <t>item/908192</t>
  </si>
  <si>
    <t>书涯</t>
  </si>
  <si>
    <t>鸿雁向西北，因书报天涯。</t>
  </si>
  <si>
    <t>item/908193</t>
  </si>
  <si>
    <t>着锦海</t>
  </si>
  <si>
    <t>寒月化五龙，飞鱼瞻玉京。诏狱丧易牙，绣春照雪明。</t>
  </si>
  <si>
    <t>item/908194</t>
  </si>
  <si>
    <t>着锦红</t>
  </si>
  <si>
    <t>item/908195</t>
  </si>
  <si>
    <t>着锦青</t>
  </si>
  <si>
    <t>item/908196</t>
  </si>
  <si>
    <t>短劲</t>
  </si>
  <si>
    <t>江湖常见装束，锦带扎腰，料工精致。</t>
  </si>
  <si>
    <t>item/908197</t>
  </si>
  <si>
    <t>海阁</t>
  </si>
  <si>
    <t>观潮阁在东溟上，有客来登自华阳。</t>
  </si>
  <si>
    <t>item/908198</t>
  </si>
  <si>
    <t>青缎</t>
  </si>
  <si>
    <t>江湖常见装束，青锻织成，风雅华贵。</t>
  </si>
  <si>
    <t>item/908199</t>
  </si>
  <si>
    <t>苗蛊心</t>
  </si>
  <si>
    <t>苗疆常见装束，蜡染而成。</t>
  </si>
  <si>
    <t>item/908200</t>
  </si>
  <si>
    <t>蛊执宰</t>
  </si>
  <si>
    <t>苗疆常见装束，蜡染而成，上缀银饰。</t>
  </si>
  <si>
    <t>item/908201</t>
  </si>
  <si>
    <t>军胄</t>
  </si>
  <si>
    <t>但使将军能百战，不须天子筑长城。</t>
  </si>
  <si>
    <t>item/908202</t>
  </si>
  <si>
    <t>苗蛊情</t>
  </si>
  <si>
    <t>item/908204</t>
  </si>
  <si>
    <t>蛊圣女</t>
  </si>
  <si>
    <t>item/908205</t>
  </si>
  <si>
    <t>清风佩</t>
  </si>
  <si>
    <t>一身正气，两袖清风。</t>
  </si>
  <si>
    <t>item/908207</t>
  </si>
  <si>
    <t>血影令</t>
  </si>
  <si>
    <t>千秋不朽业，尽在杀人中。</t>
  </si>
  <si>
    <t>item/908208</t>
  </si>
  <si>
    <t>镖礼</t>
  </si>
  <si>
    <t>走过千山万水路，历尽艰险忠义全。</t>
  </si>
  <si>
    <t>镖酬</t>
  </si>
  <si>
    <t>一个包裹，其中装了些散碎银两。</t>
  </si>
  <si>
    <t>还乡酬</t>
  </si>
  <si>
    <t>其中满装金银细软，寻常镖师但得此物，便可籍此半生无忧，不必再讨刀口舔血的生活，故有此名。</t>
  </si>
  <si>
    <t>兑换银两的镖局商品·普通</t>
  </si>
  <si>
    <t>item/908212</t>
  </si>
  <si>
    <t>兑换银两的镖局商品·中级</t>
  </si>
  <si>
    <t>item/908213</t>
  </si>
  <si>
    <t>兑换银两的镖局商品·高级</t>
  </si>
  <si>
    <t>item/908214</t>
  </si>
  <si>
    <t>洗髓丹</t>
  </si>
  <si>
    <t>色如澄碧，上萦淡紫雾气，服之可改天换地，重塑根基。</t>
  </si>
  <si>
    <t>囹圄</t>
  </si>
  <si>
    <t>白麻织成，简陋至极。</t>
  </si>
  <si>
    <t>item/908219</t>
  </si>
  <si>
    <t>囚心</t>
  </si>
  <si>
    <t>item/908220</t>
  </si>
  <si>
    <t>免罪令</t>
  </si>
  <si>
    <t>赃官污吏私下贩售，使用后减少缉捕值，缉捕值不构成违法时使用此物也会被消耗。</t>
  </si>
  <si>
    <t>item/908221</t>
  </si>
  <si>
    <t>一把钥匙，似能打开承安镇的某处房门。</t>
  </si>
  <si>
    <t>一把钥匙，似能打开天涯海阁的某处房门。</t>
  </si>
  <si>
    <t>一把钥匙，似能打开杭州的某处房门。</t>
  </si>
  <si>
    <t>民居钥匙</t>
  </si>
  <si>
    <t>一把钥匙，似能打开大理的某处房门。</t>
  </si>
  <si>
    <t>一把钥匙，似能打开襄阳的某处房门。</t>
  </si>
  <si>
    <t>一把钥匙，似能打开长安的某处房门。</t>
  </si>
  <si>
    <t>雪烽</t>
  </si>
  <si>
    <t>大旗门惯常披挂。轻裘戎甲，保暖护身。</t>
  </si>
  <si>
    <t>item/908228</t>
  </si>
  <si>
    <t>将军意</t>
  </si>
  <si>
    <t>大旗门惯常披挂。玄甲饰金，武威雄壮。</t>
  </si>
  <si>
    <t>item/908229</t>
  </si>
  <si>
    <t>霜火</t>
  </si>
  <si>
    <t>item/908230</t>
  </si>
  <si>
    <t>红妆烈</t>
  </si>
  <si>
    <t>大旗门惯常披挂。玄甲妆红，英姿飒烈。</t>
  </si>
  <si>
    <t>item/908231</t>
  </si>
  <si>
    <t>女真裘袍</t>
  </si>
  <si>
    <t>女真百姓、士卒惯穿的袍服，圆领窄袖，便于骑行。</t>
  </si>
  <si>
    <t>item/908232</t>
  </si>
  <si>
    <t>布面大铠</t>
  </si>
  <si>
    <t>女真将领常见的布面甲。其甲片内置，外覆棉布，镶钉连缀成铠，擅于抵御火器弹丸。</t>
  </si>
  <si>
    <t>item/908233</t>
  </si>
  <si>
    <t>悠悠我心</t>
  </si>
  <si>
    <t>小钰亲手为你缝制的衣衫，很是妥帖合身，款式素雅清旷，风姿不凡。青青子衿，但为君故。</t>
  </si>
  <si>
    <t>item/908234</t>
  </si>
  <si>
    <t>小钰亲手为你缝制的衣衫，很是妥帖合身，款式温雅清婉，风姿不凡。青青子衿，但为君故。</t>
  </si>
  <si>
    <t>item/908235</t>
  </si>
  <si>
    <t>叹江湖</t>
  </si>
  <si>
    <t>桃李春风一杯酒，江湖夜雨十年灯。</t>
  </si>
  <si>
    <t>item/908236</t>
  </si>
  <si>
    <t>洛神</t>
  </si>
  <si>
    <t>翩若惊鸿，婉若游龙。</t>
  </si>
  <si>
    <t>item/908237</t>
  </si>
  <si>
    <t>青灯</t>
  </si>
  <si>
    <t>万籁此俱寂，但余钟磬音。</t>
  </si>
  <si>
    <t>item/908238</t>
  </si>
  <si>
    <t>匣中客</t>
  </si>
  <si>
    <t>大雪山惯常装束，轻便保暖，坚实耐穿。</t>
  </si>
  <si>
    <t>item/908239</t>
  </si>
  <si>
    <t>刀酒意</t>
  </si>
  <si>
    <t>item/908240</t>
  </si>
  <si>
    <t>系岚</t>
  </si>
  <si>
    <t>item/908241</t>
  </si>
  <si>
    <t>寄雪</t>
  </si>
  <si>
    <t>item/908242</t>
  </si>
  <si>
    <t>敛红妆</t>
  </si>
  <si>
    <t>铁面冰心谁得似，夜来风雨不沾衣。</t>
  </si>
  <si>
    <t>item/908243</t>
  </si>
  <si>
    <t>花见</t>
  </si>
  <si>
    <t>东瀛百姓惯常装束，颇有异域之风。</t>
  </si>
  <si>
    <t>item/908244</t>
  </si>
  <si>
    <t>一期一会</t>
  </si>
  <si>
    <t>东瀛贵族女子惯常装束，颇有异国风韵。</t>
  </si>
  <si>
    <t>item/908245</t>
  </si>
  <si>
    <t>太平天子</t>
  </si>
  <si>
    <t>太平天子朝元日，五色云车驾六龙。</t>
  </si>
  <si>
    <t>item/908246</t>
  </si>
  <si>
    <t>一把钥匙，似能打开京城的某处房门。</t>
  </si>
  <si>
    <t>一把钥匙，似能打开洛阳的某处房门。</t>
  </si>
  <si>
    <t>Sticky and sweet, clings to teeth.</t>
  </si>
  <si>
    <t>An ordinary clay vessel, nothing special.</t>
  </si>
  <si>
    <t>An empty wine jar that could hold other things too...</t>
  </si>
  <si>
    <t>Even Lu Ban couldn't restore this shattered wood, though it might be repurposed...</t>
  </si>
  <si>
    <t>Unidentified mountain wildflowers with faint fragrance.</t>
  </si>
  <si>
    <t>Bitter Wild Berries</t>
  </si>
  <si>
    <t>Edible but tastes bad, might improve with processing.</t>
  </si>
  <si>
    <t>Sweet Wild Berries</t>
  </si>
  <si>
    <t>Common mountain berries, juicy and decent - would taste better processed.</t>
  </si>
  <si>
    <t>Poisonous wild berries - unwise to eat raw, may have other uses.</t>
  </si>
  <si>
    <t>Edible wild mushrooms, common in damp areas.</t>
  </si>
  <si>
    <t>Inedible but vividly colored - likely other uses.</t>
  </si>
  <si>
    <t>Low-grade ore - difficult to smelt effectively.</t>
  </si>
  <si>
    <t>Bone powder, possibly medicinal.</t>
  </si>
  <si>
    <t>Wild berry jam - plain but filling.</t>
  </si>
  <si>
    <t>House A Key</t>
  </si>
  <si>
    <t>House B Key</t>
  </si>
  <si>
    <t>Thatched Cottage Key</t>
  </si>
  <si>
    <t>Common House Key</t>
  </si>
  <si>
    <t>Gunny Sack</t>
  </si>
  <si>
    <t>A sack large enough to hold a person.</t>
  </si>
  <si>
    <t>Waterlogged Whip</t>
  </si>
  <si>
    <t>Waterlogged whip - extremely painful, breaks skin in two lashes.</t>
  </si>
  <si>
    <t>Branding Iron</t>
  </si>
  <si>
    <t>Hot iron branding torture tool.</t>
  </si>
  <si>
    <t>Tiger-Shaped Pliers</t>
  </si>
  <si>
    <t>Pliers for crushing fingers/toes or extracting nails/teeth.</t>
  </si>
  <si>
    <t>Candle</t>
  </si>
  <si>
    <t>Hot wax torture method.</t>
  </si>
  <si>
    <t>Short Feather</t>
  </si>
  <si>
    <t>Tickling sensitive areas to induce hysterical laughter.</t>
  </si>
  <si>
    <t>Flesh-Carving Knife</t>
  </si>
  <si>
    <t>Lingchi tool for slow slicing dismemberment.</t>
  </si>
  <si>
    <t>Indigo Martial Attire</t>
  </si>
  <si>
    <t>Indigo cotton attire - sturdy and stain-resistant.</t>
  </si>
  <si>
    <t>Purple Hemp Robe</t>
  </si>
  <si>
    <t>Purple cotton attire - sturdy and stain-resistant.</t>
  </si>
  <si>
    <t>Arm-Wrapping Gi</t>
  </si>
  <si>
    <t>Patchwork multi-colored attire - thick and warm.</t>
  </si>
  <si>
    <t>Wandering Healer's Garb</t>
  </si>
  <si>
    <t>Simple comfortable clothing.</t>
  </si>
  <si>
    <t>Blizzard White Garment</t>
  </si>
  <si>
    <t>Snow-white and pine-sturdy.</t>
  </si>
  <si>
    <t>Primordial Division Robe</t>
  </si>
  <si>
    <t>Short martial attire - neat and practical.</t>
  </si>
  <si>
    <t>Nightwalker's Clothes</t>
  </si>
  <si>
    <t>Black nightwalker's garb for covert operations.</t>
  </si>
  <si>
    <t>Unrestrained Cloak</t>
  </si>
  <si>
    <t>Open-front robe - disregards etiquette.</t>
  </si>
  <si>
    <t>Young Master Blue</t>
  </si>
  <si>
    <t>"Morning sky blue" - refined noble robe.</t>
  </si>
  <si>
    <t>Chivalrous White Shirt</t>
  </si>
  <si>
    <t>White sash at waist - embodies chivalry.</t>
  </si>
  <si>
    <t>Commoner's Tunic</t>
  </si>
  <si>
    <t>Common laborer's tunic with rolled sleeves.</t>
  </si>
  <si>
    <t>Opulent Gown</t>
  </si>
  <si>
    <t>"Riches invite ruin" - opulent but ominous robe.</t>
  </si>
  <si>
    <t>Tattered Coat</t>
  </si>
  <si>
    <t>Filthy rags stitched together.</t>
  </si>
  <si>
    <t>Indigo-White Mixed Gi</t>
  </si>
  <si>
    <t>Plain robe for monks/Taoists.</t>
  </si>
  <si>
    <t>Scholar's White Robe</t>
  </si>
  <si>
    <t>"Leisurely books by bed" - scholar's robe.</t>
  </si>
  <si>
    <t>Wanderer's Cape</t>
  </si>
  <si>
    <t>Short-sleeved traveler's garb.</t>
  </si>
  <si>
    <t>Blue Child's Attire</t>
  </si>
  <si>
    <t>Ordinary children's wear.</t>
  </si>
  <si>
    <t>Pink Child's Dress</t>
  </si>
  <si>
    <t>Children's Jacket</t>
  </si>
  <si>
    <t>Ragged Narrow Garment</t>
  </si>
  <si>
    <t>Japanese Half-Robe</t>
  </si>
  <si>
    <t>Japanese half-robe - exotic style.</t>
  </si>
  <si>
    <t>Japanese Kimono</t>
  </si>
  <si>
    <t>Japanese kimono - exotic style.</t>
  </si>
  <si>
    <t>Japanese Short Coat</t>
  </si>
  <si>
    <t>Japanese short coat - exotic style.</t>
  </si>
  <si>
    <t>Ink-Purple Gi</t>
  </si>
  <si>
    <t>Dark purple martial attire - sturdy.</t>
  </si>
  <si>
    <t>Crimson Hemp Robe</t>
  </si>
  <si>
    <t>Earthen hemp robe - sturdy.</t>
  </si>
  <si>
    <t>Black Arm-Wrapping Gi</t>
  </si>
  <si>
    <t>Navy arm-wrapping gi - sturdy.</t>
  </si>
  <si>
    <t>Compassion Healer's Robe</t>
  </si>
  <si>
    <t>Ink-Stained Garment</t>
  </si>
  <si>
    <t>Black short martial attire.</t>
  </si>
  <si>
    <t>Half-Open Robe</t>
  </si>
  <si>
    <t>Short practical garb.</t>
  </si>
  <si>
    <t>Purple Nightwalker's Garb</t>
  </si>
  <si>
    <t>Purple nightwalker's outfit.</t>
  </si>
  <si>
    <t>Monochrome Cloak</t>
  </si>
  <si>
    <t>Fan-Wielding Noble</t>
  </si>
  <si>
    <t>"Paper fan breezes" - noble accessory.</t>
  </si>
  <si>
    <t>Blue Commoner's Tunic</t>
  </si>
  <si>
    <t>Patchwork Coat</t>
  </si>
  <si>
    <t>Jade-Green Attire</t>
  </si>
  <si>
    <t>Elegant plain robe.</t>
  </si>
  <si>
    <t>Book-Closing Robe</t>
  </si>
  <si>
    <t>Wanderer's Outfit</t>
  </si>
  <si>
    <t>Japanese Blue Half-Robe</t>
  </si>
  <si>
    <t>Japanese blue half-robe - exotic.</t>
  </si>
  <si>
    <t>Japanese Blue Kimono</t>
  </si>
  <si>
    <t>Japanese blue kimono - exotic.</t>
  </si>
  <si>
    <t>Japanese Purple Kimono</t>
  </si>
  <si>
    <t>Japanese purple kimono - exotic.</t>
  </si>
  <si>
    <t>Taihe High Priest Robe</t>
  </si>
  <si>
    <t>"Who understands Taiji?" - Taihe priest robe.</t>
  </si>
  <si>
    <t>Taihe Taoist Robe</t>
  </si>
  <si>
    <t>"Which Taoist understands?" - Taoist robe.</t>
  </si>
  <si>
    <t>Crane Feather Robe</t>
  </si>
  <si>
    <t>"Towers in purple aura" - Taoist robe.</t>
  </si>
  <si>
    <t>Purple Taoist Gown</t>
  </si>
  <si>
    <t>Rustic Child's Wear</t>
  </si>
  <si>
    <t>Young Noble's Attire</t>
  </si>
  <si>
    <t>Red Woven Children's Outfit</t>
  </si>
  <si>
    <t>Crane Feather Cloak</t>
  </si>
  <si>
    <t>Overlord's Gi</t>
  </si>
  <si>
    <t>"Bandits in hills" - heroic attire.</t>
  </si>
  <si>
    <t>Sheer Blue-Green Gown</t>
  </si>
  <si>
    <t>"Laughing in spring breeze" - festive robe.</t>
  </si>
  <si>
    <t>Chivalrous White</t>
  </si>
  <si>
    <t>White-sleeved chivalry garb.</t>
  </si>
  <si>
    <t>Threadbare Wanderer's Garb</t>
  </si>
  <si>
    <t>Red-wrapped martial attire.</t>
  </si>
  <si>
    <t>Gray Half-Day Robe</t>
  </si>
  <si>
    <t>Gray silk with gold - slightly luxurious.</t>
  </si>
  <si>
    <t>Red Commoner's Dress</t>
  </si>
  <si>
    <t>Red hemp laborer's garb.</t>
  </si>
  <si>
    <t>Women's Casual Dress</t>
  </si>
  <si>
    <t>Green hemp laborer's garb.</t>
  </si>
  <si>
    <t>Red Sleeves</t>
  </si>
  <si>
    <t>"Jade screens veil light" - alluring dress.</t>
  </si>
  <si>
    <t>Pink Blouse</t>
  </si>
  <si>
    <t>Pink laborer's garb.</t>
  </si>
  <si>
    <t>Jade-Green Silk</t>
  </si>
  <si>
    <t>"Jade maiden" - modest attire.</t>
  </si>
  <si>
    <t>Vermilion Beauty</t>
  </si>
  <si>
    <t>Expensive red satin robe.</t>
  </si>
  <si>
    <t>Scarlet-Purple</t>
  </si>
  <si>
    <t>"Purple waist-skirt" - luxurious gown.</t>
  </si>
  <si>
    <t>Nightwalker's Outfit</t>
  </si>
  <si>
    <t>Black nightwalker's garb.</t>
  </si>
  <si>
    <t>Silk-Wrapped Gi</t>
  </si>
  <si>
    <t>Indigo Dress</t>
  </si>
  <si>
    <t>Blue-green elegant attire.</t>
  </si>
  <si>
    <t>Spring Dawn</t>
  </si>
  <si>
    <t>Yellow hemp laborer's garb.</t>
  </si>
  <si>
    <t>Winter Brightness</t>
  </si>
  <si>
    <t>Indigo Rainbow</t>
  </si>
  <si>
    <t>"Yellow Crane Tower" - poetic robe.</t>
  </si>
  <si>
    <t>Tender Green Bloom</t>
  </si>
  <si>
    <t>Green laborer's garb.</t>
  </si>
  <si>
    <t>Soft Purple Gown</t>
  </si>
  <si>
    <t>"Lotus-leaf skirts" - vibrant dress.</t>
  </si>
  <si>
    <t>Luxurious Attire</t>
  </si>
  <si>
    <t>Gold-woven luxurious attire.</t>
  </si>
  <si>
    <t>Taoist Robe</t>
  </si>
  <si>
    <t>Taoist High Priest Gown</t>
  </si>
  <si>
    <t>Purple Taoist Robe</t>
  </si>
  <si>
    <t>Noblewoman's Attire</t>
  </si>
  <si>
    <t>"Rivers hide ambitions" - recluse robe.</t>
  </si>
  <si>
    <t>Red Wrapping</t>
  </si>
  <si>
    <t>"Purple chrysanthemums" - elegant robe.</t>
  </si>
  <si>
    <t>Moment of Spring</t>
  </si>
  <si>
    <t>"Gauze with phoenixes" - delicate dress.</t>
  </si>
  <si>
    <t>Exotic Charm</t>
  </si>
  <si>
    <t>"Silk under moon" - graceful attire.</t>
  </si>
  <si>
    <t>Empty Gunny Sack</t>
  </si>
  <si>
    <t>Half-empty sack - could trap animals or people.</t>
  </si>
  <si>
    <t>Servant's Contract</t>
  </si>
  <si>
    <t>Servant ownership proof.</t>
  </si>
  <si>
    <t>Government Runner's Uniform</t>
  </si>
  <si>
    <t>Common government runner uniform.</t>
  </si>
  <si>
    <t>Village Watchman's Garb</t>
  </si>
  <si>
    <t>Common night watchman garb.</t>
  </si>
  <si>
    <t>Commoner's Meal</t>
  </si>
  <si>
    <t>"A straw cloak withstands life's rains" - wanderer robe.</t>
  </si>
  <si>
    <t>Ferocious Beast</t>
  </si>
  <si>
    <t>"Barbarians march miles, staining plains with blood" - fierce attire.</t>
  </si>
  <si>
    <t>Opulent Life</t>
  </si>
  <si>
    <t>"Endless spring trees in Weiyang, Changle Palace bells under moonlight" - opulent robe.</t>
  </si>
  <si>
    <t>Scholarly Journey</t>
  </si>
  <si>
    <t>"Wild geese northwest-bound, carrying letters to horizons" - wanderer note.</t>
  </si>
  <si>
    <t>Ocean of Brocade</t>
  </si>
  <si>
    <t>"Cold moon becomes five dragons, flying fish gaze at jade capital" - mystical armor.</t>
  </si>
  <si>
    <t>Red Brocade</t>
  </si>
  <si>
    <t>Green Brocade</t>
  </si>
  <si>
    <t>Short Gi</t>
  </si>
  <si>
    <t>Brocade-sashed refined attire.</t>
  </si>
  <si>
    <t>Seaside Pavilion</t>
  </si>
  <si>
    <t>"Tide-Watching Pavilion east of the sea, guests ascend from Huayang" - elegant robe.</t>
  </si>
  <si>
    <t>Blue Satin</t>
  </si>
  <si>
    <t>Blue satin elegant attire.</t>
  </si>
  <si>
    <t>Miao Gu Charm</t>
  </si>
  <si>
    <t>Miao batik attire.</t>
  </si>
  <si>
    <t>Gu Master's Robe</t>
  </si>
  <si>
    <t>Miao batik attire with silver adornments.</t>
  </si>
  <si>
    <t>Military Armor</t>
  </si>
  <si>
    <t>"Let generals win battles, no need for imperial walls" - military armor.</t>
  </si>
  <si>
    <t>Miao Gu Affection</t>
  </si>
  <si>
    <t>Gu Saintess Garb</t>
  </si>
  <si>
    <t>Breeze Pendant</t>
  </si>
  <si>
    <t>"Upright and uncorrupted" - virtuous robe.</t>
  </si>
  <si>
    <t>Bloodshadow Order</t>
  </si>
  <si>
    <t>"Eternal deeds lie in killing" - mercenary creed.</t>
  </si>
  <si>
    <t>Escort Gift</t>
  </si>
  <si>
    <t>"Crossing countless mountains and rivers, loyalty unwavering" - escort motto.</t>
  </si>
  <si>
    <t>Escort Reward</t>
  </si>
  <si>
    <t>Package of scattered silver coins.</t>
  </si>
  <si>
    <t>Homecoming Reward</t>
  </si>
  <si>
    <t>Life-changing haul for escorts - enough to retire.</t>
  </si>
  <si>
    <t>Escort Goods (Basic)</t>
  </si>
  <si>
    <t>Escort Goods (Basic).</t>
  </si>
  <si>
    <t>Escort Goods (Intermediate)</t>
  </si>
  <si>
    <t>Escort Goods (Intermediate).</t>
  </si>
  <si>
    <t>Escort Goods (Advanced)</t>
  </si>
  <si>
    <t>Escort Goods (Advanced).</t>
  </si>
  <si>
    <t>Marrow-Cleansing Pill</t>
  </si>
  <si>
    <t>Jade-green pill with violet mist - rebirth in a capsule.</t>
  </si>
  <si>
    <t>Prisoner's Shackles</t>
  </si>
  <si>
    <t>Coarse hemp prisoner garb.</t>
  </si>
  <si>
    <t>Heart's Imprisonment</t>
  </si>
  <si>
    <t>Pardon Decree</t>
  </si>
  <si>
    <t>Corrupt officials' pardon - reduces bounty.</t>
  </si>
  <si>
    <t>Key to a house in Cheng'an.</t>
  </si>
  <si>
    <t>Key to a house in Tianya Haige.</t>
  </si>
  <si>
    <t>Key to a house in Hangzhou.</t>
  </si>
  <si>
    <t>Residence Key</t>
  </si>
  <si>
    <t>Key to a house in Dali.</t>
  </si>
  <si>
    <t>Key to a house in Xiangyang.</t>
  </si>
  <si>
    <t>Key to a house in Chang'an.</t>
  </si>
  <si>
    <t>Snow Beacon</t>
  </si>
  <si>
    <t>Da Qi Sect light fur armor.</t>
  </si>
  <si>
    <t>General's Resolve</t>
  </si>
  <si>
    <t>Da Qi Sect gilded black armor.</t>
  </si>
  <si>
    <t>Frostfire</t>
  </si>
  <si>
    <t>Fierce Rouge</t>
  </si>
  <si>
    <t>Da Qi Sect red-accented armor.</t>
  </si>
  <si>
    <t>Jurchen Fur Robe</t>
  </si>
  <si>
    <t>Jurchen riding robe.</t>
  </si>
  <si>
    <t>Cloth Lamellar Armor</t>
  </si>
  <si>
    <t>Jurchen cloth armor.</t>
  </si>
  <si>
    <t>"My Heart Longs"</t>
  </si>
  <si>
    <t>Xiaoyu's handmade elegant robe.</t>
  </si>
  <si>
    <t>Xiaoyu's handmade graceful robe.</t>
  </si>
  <si>
    <t>Sigh of the Jianghu</t>
  </si>
  <si>
    <t>"Peach blossoms, one cup of wine; ten years of rain in Jianghu" - wanderer lament.</t>
  </si>
  <si>
    <t>Goddess of the Luo</t>
  </si>
  <si>
    <t>"Graceful as startled swan, elegant as soaring dragon" - goddess attire.</t>
  </si>
  <si>
    <t>Blue Lantern</t>
  </si>
  <si>
    <t>"All sounds fade, only temple chimes remain" - monastic robe.</t>
  </si>
  <si>
    <t>Guest in the Box</t>
  </si>
  <si>
    <t>Great Snow Sect attire.</t>
  </si>
  <si>
    <t>Saber and Wine</t>
  </si>
  <si>
    <t>Mist-Tied Cloak</t>
  </si>
  <si>
    <t>Snow-Sent Garb</t>
  </si>
  <si>
    <t>Concealed Rouge</t>
  </si>
  <si>
    <t>"Iron mask, icy heart - untouched by stormy nights" - stoic robe.</t>
  </si>
  <si>
    <t>Flower Viewing</t>
  </si>
  <si>
    <t>Japanese common attire.</t>
  </si>
  <si>
    <t>Once-in-a-Lifetime Encounter</t>
  </si>
  <si>
    <t>Japanese noble attire.</t>
  </si>
  <si>
    <t>Peaceful Emperor</t>
  </si>
  <si>
    <t>"Peaceful emperor's coronation day" - imperial motif.</t>
  </si>
  <si>
    <t>Key to a house in capital.</t>
  </si>
  <si>
    <t>Key to a house in Luoyang.</t>
  </si>
  <si>
    <t>武学秘籍</t>
  </si>
  <si>
    <t>此拳法传闻出自篇古锻场残篇，拳势如锻锤，千锤百炼，筋骨运使玄妙刚猛，其势之威，再无其他拳法可堪相匹。</t>
  </si>
  <si>
    <r>
      <rPr>
        <sz val="12"/>
        <color theme="1"/>
        <rFont val="宋体"/>
        <family val="3"/>
        <charset val="134"/>
        <scheme val="minor"/>
      </rPr>
      <t>use,1</t>
    </r>
  </si>
  <si>
    <t>拳势破旭，如朝霞日晷，伏压四方，镇厌万物，非心思刚直，所求正道者难以大成。</t>
  </si>
  <si>
    <t>太和正法，真武太极，此拳法不拘门户之见，人人皆可修习，太极拳法自浅入深，以柔克刚，若然悟性心性不够，纵拳法天才亦难全尽其威。</t>
  </si>
  <si>
    <t>惊鸿翩然，飞巧凌击，孤鸿之悲，何问归途，恩仇两别处，破甲三千里。</t>
  </si>
  <si>
    <t>清风快剑，迅疾无形，其势轻灵潇洒，据传由江湖前客江怀楚所创，后江怀楚身死于镇国卫，功法下落不明。</t>
  </si>
  <si>
    <t>天涯海阁所传刀法，为天涯海阁门主左三思凭海观澜所创，其势骤烈，似沧海浪涛。</t>
  </si>
  <si>
    <t>重刃无锋，大巧不工，时名斩铁，以拙胜巧，何须奇技于侧，人剑为一，此身即斩。</t>
  </si>
  <si>
    <t>过河之卒，何问北顾之机，此枪法出于行伍，暴烈霸道，其上所述皆为以命换命，以血相搏之法。</t>
  </si>
  <si>
    <t>有轩辕氏，玄血入阵，巡视四方，踏八荒而定九州，此为十方拜服之旌。</t>
  </si>
  <si>
    <t>众生所在，皆为菩提化处，相空无异，唯慈悲常驻常守，无染凡境。</t>
  </si>
  <si>
    <t>遗响而悲风，遮拦迷眼，文人风骨轻赋，此扇法出自天涯海阁，集百家之长，其式亦隐隐有文章凤姿所在。</t>
  </si>
  <si>
    <t>据传出自巴蜀唐门外门，虽为暗器飞刀，却亦属堂堂正正之术，出手时宛若梨花暴雨，难以暇接。</t>
  </si>
  <si>
    <t>半梦半醒，破灭颠倒梦想，人笑饮醉狂歌，岂知人世知音，无双降龙，国士之疏狂，当如是也！</t>
  </si>
  <si>
    <t>记载了无心流拔刀术的技巧，其与中原武学迥然不同，除此以外，再无此招式的来历可考。</t>
  </si>
  <si>
    <t>此术据传为“刀祖”于红梅所秘藏之法，其上记述的功力奇诡怪诞，更兼残暴嗜虐，修习此术者无不难得善终。</t>
  </si>
  <si>
    <t>九厄不死法</t>
  </si>
  <si>
    <t>闻有仙人，经九劫而不死，终九厄而不灭，其身其形，似刑天舞戚，怒战不止，此内功亦为一处祭祀之地所现，是正是邪，犹未可知。</t>
  </si>
  <si>
    <t>习得九厄不死法</t>
  </si>
  <si>
    <t>世如火窟，人坐业火莲，夜日熬煎，明明三昧，诸法诸相空识，行灭世之法，曰大慈悲者，此为阿修罗道。</t>
  </si>
  <si>
    <t>太玄冥冥，一气混元，玄之又玄，众妙之门，众法首章。</t>
  </si>
  <si>
    <t>洄流身法</t>
  </si>
  <si>
    <t>如水如势，无常无行，其身法似洄流奔水，反复莫测，其所创之出处已不可考。</t>
  </si>
  <si>
    <t>习得洄流身法</t>
  </si>
  <si>
    <t>凌波微步，罗袜生尘，飘摇若雪，传闻有神女，轻移莲步，其姿轻盈，其法玄妙。</t>
  </si>
  <si>
    <t>长亭古道，故乡月明俱远寄，人无归还，此情何书</t>
  </si>
  <si>
    <t>轻击二式</t>
  </si>
  <si>
    <t>可习得拳掌轻击二式</t>
  </si>
  <si>
    <t>习得拳掌轻击二式</t>
  </si>
  <si>
    <t>轻击三式</t>
  </si>
  <si>
    <t>6;9010003</t>
  </si>
  <si>
    <t>可习得拳掌轻击三式</t>
  </si>
  <si>
    <t>习得拳掌轻击三式</t>
  </si>
  <si>
    <t>轻击四式</t>
  </si>
  <si>
    <t>6;9010004</t>
  </si>
  <si>
    <t>可习得拳掌轻击四式</t>
  </si>
  <si>
    <t>习得拳掌轻击四式</t>
  </si>
  <si>
    <t>重式</t>
  </si>
  <si>
    <t>可习得拳掌重式</t>
  </si>
  <si>
    <t>习得拳掌重式</t>
  </si>
  <si>
    <t>可习得单手轻刃轻击二式</t>
  </si>
  <si>
    <t>习得单手轻刃轻击二式</t>
  </si>
  <si>
    <t>6;9020003</t>
  </si>
  <si>
    <t>可习得单手轻刃轻击三式</t>
  </si>
  <si>
    <t>习得单手轻刃轻击三式</t>
  </si>
  <si>
    <t>可习得单手轻刃重式</t>
  </si>
  <si>
    <t>习得单手轻刃重式</t>
  </si>
  <si>
    <t>可习得重刃轻击二式</t>
  </si>
  <si>
    <t>习得重刃轻击二式</t>
  </si>
  <si>
    <t>可习得重刃重式</t>
  </si>
  <si>
    <t>习得重刃重式</t>
  </si>
  <si>
    <t>可习得长兵轻击二式</t>
  </si>
  <si>
    <t>习得长兵轻击二式</t>
  </si>
  <si>
    <t>6;9040003</t>
  </si>
  <si>
    <t>可习得长兵轻击三式</t>
  </si>
  <si>
    <t>习得长兵轻击三式</t>
  </si>
  <si>
    <t>可习得长兵重式</t>
  </si>
  <si>
    <t>习得长兵重式</t>
  </si>
  <si>
    <t>可习得扇法轻击二式</t>
  </si>
  <si>
    <t>习得扇法轻击二式</t>
  </si>
  <si>
    <t>6;9050003</t>
  </si>
  <si>
    <t>可习得扇法轻击三式</t>
  </si>
  <si>
    <t>习得扇法轻击三式</t>
  </si>
  <si>
    <t>6;9050004</t>
  </si>
  <si>
    <t>可习得扇法轻击四式</t>
  </si>
  <si>
    <t>习得扇法轻击四式</t>
  </si>
  <si>
    <t>可习得扇法重式</t>
  </si>
  <si>
    <t>习得扇法重式</t>
  </si>
  <si>
    <t>可习得暗器轻击二式</t>
  </si>
  <si>
    <t>习得暗器轻击二式</t>
  </si>
  <si>
    <t>6;9060003</t>
  </si>
  <si>
    <t>可习得暗器轻击三式</t>
  </si>
  <si>
    <t>习得暗器轻击三式</t>
  </si>
  <si>
    <t>可习得暗器重式</t>
  </si>
  <si>
    <t>习得暗器重式</t>
  </si>
  <si>
    <t>可习得腿脚轻击二式</t>
  </si>
  <si>
    <t>习得腿脚轻击二式</t>
  </si>
  <si>
    <t>6;9090003</t>
  </si>
  <si>
    <t>可习得腿脚轻击三式</t>
  </si>
  <si>
    <t>习得腿脚轻击三式</t>
  </si>
  <si>
    <t>6;9090004</t>
  </si>
  <si>
    <t>可习得腿脚轻击四式</t>
  </si>
  <si>
    <t>习得腿脚轻击四式</t>
  </si>
  <si>
    <t>可习得腿脚重式</t>
  </si>
  <si>
    <t>习得腿脚重式</t>
  </si>
  <si>
    <t>可习得双手轻刃轻击二式</t>
  </si>
  <si>
    <t>习得双手轻刃轻击二式</t>
  </si>
  <si>
    <t>6;9100003</t>
  </si>
  <si>
    <t>可习得双手轻刃轻击三式</t>
  </si>
  <si>
    <t>习得双手轻刃轻击三式</t>
  </si>
  <si>
    <t>可习得双手轻刃重式</t>
  </si>
  <si>
    <t>习得双手轻刃重式</t>
  </si>
  <si>
    <t>纵跃</t>
  </si>
  <si>
    <t>二式</t>
  </si>
  <si>
    <t>5;9000003</t>
  </si>
  <si>
    <t>可习得纵跃二式</t>
  </si>
  <si>
    <t>习得纵跃二式</t>
  </si>
  <si>
    <t>通式壹·白猿托印</t>
  </si>
  <si>
    <t>武学通式</t>
  </si>
  <si>
    <t>可习得拳掌通式壹·白猿托印</t>
  </si>
  <si>
    <t>通式贰·如雷贯耳</t>
  </si>
  <si>
    <t>可习得拳掌通式贰·如雷贯耳</t>
  </si>
  <si>
    <t>通式壹·提撩式</t>
  </si>
  <si>
    <t>可习得单手轻刃通式壹·提撩式</t>
  </si>
  <si>
    <t>通式贰·贯日斩</t>
  </si>
  <si>
    <t>可习得单手轻刃通式贰·贯日斩</t>
  </si>
  <si>
    <t>通式壹·断西关</t>
  </si>
  <si>
    <t>可习得重刃通式壹·断西关</t>
  </si>
  <si>
    <t>通式贰·撼地摧城</t>
  </si>
  <si>
    <t>可习得重刃通式贰·撼地摧城</t>
  </si>
  <si>
    <t>通式壹·敌万军</t>
  </si>
  <si>
    <t>可习得长兵通式壹·敌万军</t>
  </si>
  <si>
    <t>通式贰·肃勇志</t>
  </si>
  <si>
    <t>可习得长兵通式贰·肃勇志</t>
  </si>
  <si>
    <t>通式壹·转千阙</t>
  </si>
  <si>
    <t>可习得扇法通式壹·转千阙</t>
  </si>
  <si>
    <t>习得扇法通式壹·转千阙</t>
  </si>
  <si>
    <t>通式贰·复重楼</t>
  </si>
  <si>
    <t>可习得扇法通式贰·复重楼</t>
  </si>
  <si>
    <t>习得扇法通式贰·复重楼</t>
  </si>
  <si>
    <t>通式壹·广寒挂星</t>
  </si>
  <si>
    <t>可习得暗器通式壹·广寒挂星</t>
  </si>
  <si>
    <t>通式贰·鹞哨</t>
  </si>
  <si>
    <t>可习得暗器通式贰·鹞哨</t>
  </si>
  <si>
    <t>通式壹·云龙九现</t>
  </si>
  <si>
    <t>可习得腿脚通式壹·云龙九现</t>
  </si>
  <si>
    <t>通式贰·山川无极</t>
  </si>
  <si>
    <t>可习得腿脚通式贰·山川无极</t>
  </si>
  <si>
    <t>通式壹·鬼十斩</t>
  </si>
  <si>
    <t>可习得双手轻刃通式壹·鬼十斩</t>
  </si>
  <si>
    <t>通式贰·一闪</t>
  </si>
  <si>
    <t>可习得双手轻刃通式贰·一闪</t>
  </si>
  <si>
    <t>心诀·长雁</t>
  </si>
  <si>
    <t>武学心诀</t>
  </si>
  <si>
    <t>招式【孤鸿照影】的移动距离提升30%。</t>
  </si>
  <si>
    <t>心诀·返鸾</t>
  </si>
  <si>
    <t>施展招式【孤鸿照影】后，将获得buff：返鸾（返鸾：不受任何伤害和控制效果的影响）持续1秒。</t>
  </si>
  <si>
    <t>心诀·鸳折</t>
  </si>
  <si>
    <t>施展招式【孤鸿照影】时，自身获得buff：返鸾。此心决无法与心决【返鸾】同时使用。</t>
  </si>
  <si>
    <t>心诀·悲鸣</t>
  </si>
  <si>
    <t>心诀·随风</t>
  </si>
  <si>
    <t>心诀·飘零</t>
  </si>
  <si>
    <t>招式【秋分落尽】调息时间减少1秒。</t>
  </si>
  <si>
    <t>心诀·罡破</t>
  </si>
  <si>
    <t>招式【秋分落尽】释放时霸体</t>
  </si>
  <si>
    <t>心诀·栖隙</t>
  </si>
  <si>
    <t>心诀·无涯</t>
  </si>
  <si>
    <t>心诀·壁岩</t>
  </si>
  <si>
    <t>心诀·赤心</t>
  </si>
  <si>
    <t>施展招式【临碣寒】真元消耗减1</t>
  </si>
  <si>
    <t>心诀·万凿</t>
  </si>
  <si>
    <t>施展招式【骇浪惊涛】真元消耗减1</t>
  </si>
  <si>
    <t>心诀·放词</t>
  </si>
  <si>
    <t>招式【归去来】的伤害范围提升50%，伤害提升100%，但折扇不再返回。</t>
  </si>
  <si>
    <t>心诀·凌散</t>
  </si>
  <si>
    <t>招式【复重楼】释放时不再具有伤害，但对敌方的致盲时长增加至（5）秒。</t>
  </si>
  <si>
    <t>心诀·风骨</t>
  </si>
  <si>
    <t>【穷途】触发时，立即重置招式【复重楼】调息CD。</t>
  </si>
  <si>
    <t>心诀·肆宴</t>
  </si>
  <si>
    <t>招式【萧意寒】的伤害提升50%，但每次触发【萧意寒】需消耗（1）点真气。</t>
  </si>
  <si>
    <t>心诀·知秋</t>
  </si>
  <si>
    <t>每次获得【难觅】效果时，将立即刷新【问秋风】的CD</t>
  </si>
  <si>
    <t>心诀·摧眉</t>
  </si>
  <si>
    <t>扇法的普通攻击造成的伤害提升（30%），获取的真气量降低（20%）。</t>
  </si>
  <si>
    <t>习得悲遮扇法心诀·摧眉</t>
  </si>
  <si>
    <t>心诀·乃绝</t>
  </si>
  <si>
    <t>每10秒给自身一个【醉雪】效果，最多可叠加3次，当攻击敌方附带负面状态时，额外对敌方造成20点伤害。</t>
  </si>
  <si>
    <t>习得悲遮扇法心诀·乃绝</t>
  </si>
  <si>
    <t>心诀·摧岳</t>
  </si>
  <si>
    <t>招式【钧北顾】暴击率提升50%。</t>
  </si>
  <si>
    <t>心诀·百炼</t>
  </si>
  <si>
    <t>重击无需聚力，也可以造成3次伤害，伤害量降低至原伤害的50%。</t>
  </si>
  <si>
    <t>心诀·昭烈</t>
  </si>
  <si>
    <t>招式【钧北顾】会将手中长枪置出，造成范围伤害。</t>
  </si>
  <si>
    <t>心诀·飞将</t>
  </si>
  <si>
    <t>招式【断坚阵】在飞跃时，自身免受任何伤害/控制效果。</t>
  </si>
  <si>
    <t>心诀·痴缠</t>
  </si>
  <si>
    <t>造成伤害时，叠加【痴缠】，使目标每秒损失1%血量，持续5秒。</t>
  </si>
  <si>
    <t>心诀·雨绻</t>
  </si>
  <si>
    <t>造成伤害时，叠加【雨绻】，使目标每5秒损失1真元，持续10秒。</t>
  </si>
  <si>
    <t>心诀·绸缪</t>
  </si>
  <si>
    <t>造成伤害时，叠加【绸缪】，使目标每秒损失1%体力，持续5秒。</t>
  </si>
  <si>
    <t>心诀·梅雨</t>
  </si>
  <si>
    <t xml:space="preserve">【别离】充能产生飞刀每秒获得2把                                                                                       </t>
  </si>
  <si>
    <t>心诀·漫堤</t>
  </si>
  <si>
    <t>【别离】充能上限最多20把</t>
  </si>
  <si>
    <t>心诀·化始</t>
  </si>
  <si>
    <t>心诀·转寰</t>
  </si>
  <si>
    <t>心诀·朝闻</t>
  </si>
  <si>
    <t>招式【大道始分】真元消耗减1</t>
  </si>
  <si>
    <t>心诀·无我</t>
  </si>
  <si>
    <t>招式【合太极】真元消耗减1</t>
  </si>
  <si>
    <t>心诀·弘道</t>
  </si>
  <si>
    <t>招式【大道始分】6段伤害提升50%。</t>
  </si>
  <si>
    <t>习得太极拳心诀·弘道</t>
  </si>
  <si>
    <t>心诀·斗转</t>
  </si>
  <si>
    <t>心诀·归元</t>
  </si>
  <si>
    <t>招式【大道始分】6段释放后，招式【开太极】减少调息时间1秒</t>
  </si>
  <si>
    <t>习得太极拳心诀·归元</t>
  </si>
  <si>
    <t>心诀·昭赤</t>
  </si>
  <si>
    <t>招式【伏邪诛阳】伤害提升20%</t>
  </si>
  <si>
    <t>心诀·镇晷</t>
  </si>
  <si>
    <t>心诀·旱临</t>
  </si>
  <si>
    <t>心诀·烈轮</t>
  </si>
  <si>
    <t>心诀·至旭</t>
  </si>
  <si>
    <t>招式【中天诸悬】释放后，下一次施展【伏邪诛阳】时必造成破防效果。</t>
  </si>
  <si>
    <t>心诀·长虹</t>
  </si>
  <si>
    <t>心诀·盈亏</t>
  </si>
  <si>
    <t>心诀·气清</t>
  </si>
  <si>
    <t>心诀·万化</t>
  </si>
  <si>
    <t>心诀·凌虚</t>
  </si>
  <si>
    <t>心诀·太玄</t>
  </si>
  <si>
    <t>招式【荡寰宇】暴击的几率提升10%</t>
  </si>
  <si>
    <t>习得两仪剑法心诀·太玄</t>
  </si>
  <si>
    <t>心诀·矢志</t>
  </si>
  <si>
    <t>心诀·复烬</t>
  </si>
  <si>
    <t>心诀·浑旋</t>
  </si>
  <si>
    <t>心诀·里剑术</t>
  </si>
  <si>
    <t>心诀·断空流</t>
  </si>
  <si>
    <t>招式【拔刀术.里切】施展时产生霸体</t>
  </si>
  <si>
    <t>心诀·逆袈裟</t>
  </si>
  <si>
    <t>心诀·落樱花</t>
  </si>
  <si>
    <t>心诀·刑天</t>
  </si>
  <si>
    <t>招式【诛祟破邪】造成的伤害，提升50%+（内息*系数/境界）暴击几率。</t>
  </si>
  <si>
    <t>心诀·风后</t>
  </si>
  <si>
    <t>心诀·分野</t>
  </si>
  <si>
    <t>心诀·鼎湖</t>
  </si>
  <si>
    <t>招式【诛祟破邪】伤害提升50%（可与刑天叠加）</t>
  </si>
  <si>
    <t>心诀·搦战</t>
  </si>
  <si>
    <t>重击将使自身跃起，并攻向附近距离最近的敌人</t>
  </si>
  <si>
    <t>释放重击时，自身将处于霸体状态。</t>
  </si>
  <si>
    <t>心诀·众覆</t>
  </si>
  <si>
    <t>招式【锋卷破浪】攻击段数额外提升1，造成范围伤害次数额外提升1</t>
  </si>
  <si>
    <t>心诀·杀势</t>
  </si>
  <si>
    <t>重击的攻击范围有所提升</t>
  </si>
  <si>
    <t>心诀·独觉</t>
  </si>
  <si>
    <t>招式【一苇横江】不消耗真气</t>
  </si>
  <si>
    <t>心诀·尘劫</t>
  </si>
  <si>
    <t>当承受一次致死攻击时，触发【金刚怒目】</t>
  </si>
  <si>
    <t>心诀·三生</t>
  </si>
  <si>
    <t>招式【拈花掷象】减少调息时间1秒</t>
  </si>
  <si>
    <t>心诀·破障</t>
  </si>
  <si>
    <t>【金刚怒目】触发后无敌2秒。</t>
  </si>
  <si>
    <t>心诀·不垢</t>
  </si>
  <si>
    <t>【不动】效果持续10秒</t>
  </si>
  <si>
    <t>心诀·济世</t>
  </si>
  <si>
    <r>
      <rPr>
        <sz val="10.5"/>
        <color theme="1"/>
        <rFont val="宋体"/>
        <family val="3"/>
        <charset val="134"/>
      </rPr>
      <t>【慈悲渡厄】恢复血量至</t>
    </r>
    <r>
      <rPr>
        <sz val="10.5"/>
        <color theme="1"/>
        <rFont val="等线"/>
        <family val="3"/>
        <charset val="134"/>
      </rPr>
      <t>10%</t>
    </r>
  </si>
  <si>
    <t>习得众相菩提杖心诀·济世</t>
  </si>
  <si>
    <t>心诀·腾龙</t>
  </si>
  <si>
    <t>招式【龙游天地】真气消耗降低1点</t>
  </si>
  <si>
    <t>心诀·降世</t>
  </si>
  <si>
    <t>招式【神龙摆尾】真气消耗降低1点</t>
  </si>
  <si>
    <t>心诀·鸿渐</t>
  </si>
  <si>
    <t>招式【龙游天地】减少调息时间1秒</t>
  </si>
  <si>
    <t>心诀·时乘</t>
  </si>
  <si>
    <t>招式【神龙摆尾】减少调息时间1秒</t>
  </si>
  <si>
    <t>心诀·不息</t>
  </si>
  <si>
    <t>招式【飞龙在天】减少调息时间1秒</t>
  </si>
  <si>
    <t>河图·阏逢篇</t>
  </si>
  <si>
    <t>狮搏·肃杀卷</t>
  </si>
  <si>
    <t>河图</t>
  </si>
  <si>
    <t>3;1001</t>
  </si>
  <si>
    <t>可习得狮搏·肃杀卷</t>
  </si>
  <si>
    <t>习得狮搏·肃杀卷</t>
  </si>
  <si>
    <t>怜月·晦朔卷</t>
  </si>
  <si>
    <t>可习得怜月·晦朔卷</t>
  </si>
  <si>
    <t>习得怜月·晦朔卷</t>
  </si>
  <si>
    <t>观海·触石卷</t>
  </si>
  <si>
    <t>可习得观海·触石卷</t>
  </si>
  <si>
    <t>习得观海·触石卷</t>
  </si>
  <si>
    <t>河图·旃蒙篇</t>
  </si>
  <si>
    <t>道源·长生卷</t>
  </si>
  <si>
    <t>3;1002</t>
  </si>
  <si>
    <t>可习得道源·长生卷</t>
  </si>
  <si>
    <t>习得道源·长生卷</t>
  </si>
  <si>
    <t>道源·同尘卷</t>
  </si>
  <si>
    <t>可习得道源·同尘卷</t>
  </si>
  <si>
    <t>习得道源·同尘卷</t>
  </si>
  <si>
    <t>河图·柔兆篇</t>
  </si>
  <si>
    <t>金钗·诛邪卷</t>
  </si>
  <si>
    <t>3;1003</t>
  </si>
  <si>
    <t>可习得金钗·诛邪卷</t>
  </si>
  <si>
    <t>习得金钗·诛邪卷</t>
  </si>
  <si>
    <t>河图·强圉篇</t>
  </si>
  <si>
    <t>镇国·孤守卷</t>
  </si>
  <si>
    <t>3;1004</t>
  </si>
  <si>
    <t>可习得镇国·孤守卷</t>
  </si>
  <si>
    <t>习得镇国·孤守卷</t>
  </si>
  <si>
    <t>一苇渡江·达摩卷</t>
  </si>
  <si>
    <t>可习得一苇渡江·达摩卷</t>
  </si>
  <si>
    <t>习得一苇渡江·达摩卷</t>
  </si>
  <si>
    <t>镇国·覆岳卷</t>
  </si>
  <si>
    <t>可习得镇国·覆岳卷</t>
  </si>
  <si>
    <t>习得镇国·覆岳卷</t>
  </si>
  <si>
    <t>寒山·霸刀卷</t>
  </si>
  <si>
    <t>可习得寒山·霸刀卷</t>
  </si>
  <si>
    <t>习得寒山·霸刀卷</t>
  </si>
  <si>
    <t>河图·著雍篇</t>
  </si>
  <si>
    <t>花满·弃世卷</t>
  </si>
  <si>
    <t>3;1005</t>
  </si>
  <si>
    <t>可习得花满·弃世卷</t>
  </si>
  <si>
    <t>习得花满·弃世卷</t>
  </si>
  <si>
    <t>情蛊·同生卷</t>
  </si>
  <si>
    <t>可习得情蛊·同生卷</t>
  </si>
  <si>
    <t>习得情蛊·同生卷</t>
  </si>
  <si>
    <t>洛书·屠维篇</t>
  </si>
  <si>
    <t>不动·梵空卷</t>
  </si>
  <si>
    <t>洛书</t>
  </si>
  <si>
    <t>3;2001</t>
  </si>
  <si>
    <t>可习得不动·梵空卷</t>
  </si>
  <si>
    <t>习得不动·梵空卷</t>
  </si>
  <si>
    <t>洛书·上章篇</t>
  </si>
  <si>
    <t>非攻·尺矩卷</t>
  </si>
  <si>
    <t>3;2002</t>
  </si>
  <si>
    <t>可习得非攻·尺矩卷</t>
  </si>
  <si>
    <t>习得非攻·尺矩卷</t>
  </si>
  <si>
    <t>非攻·匠造卷</t>
  </si>
  <si>
    <t>可习得非攻·匠造卷</t>
  </si>
  <si>
    <t>习得非攻·匠造卷</t>
  </si>
  <si>
    <t>洛书·重光篇</t>
  </si>
  <si>
    <t>擎旗·破阵卷</t>
  </si>
  <si>
    <t>3;2003</t>
  </si>
  <si>
    <t>可习得擎旗·破阵卷</t>
  </si>
  <si>
    <t>习得擎旗·破阵卷</t>
  </si>
  <si>
    <t>洛书·玄黓篇</t>
  </si>
  <si>
    <t>无锋·不工卷</t>
  </si>
  <si>
    <t>3;2004</t>
  </si>
  <si>
    <t>可习得无锋·不工卷</t>
  </si>
  <si>
    <t>习得无锋·不工卷</t>
  </si>
  <si>
    <t>无锋·夕落卷</t>
  </si>
  <si>
    <t>可习得无锋·夕落卷</t>
  </si>
  <si>
    <t>习得无锋·夕落卷</t>
  </si>
  <si>
    <t>洛书·昭阳篇</t>
  </si>
  <si>
    <t>顾应·北望卷</t>
  </si>
  <si>
    <t>3;2005</t>
  </si>
  <si>
    <t>可习得顾应·北望卷</t>
  </si>
  <si>
    <t>习得顾应·北望卷</t>
  </si>
  <si>
    <t>气血上限+357;防御力+8</t>
  </si>
  <si>
    <t>气血上限+</t>
  </si>
  <si>
    <t>防御力+</t>
  </si>
  <si>
    <t>攻击力+2</t>
  </si>
  <si>
    <t>随意挑选的结实木棍，是初学者日常对练的首选，亦是顽童的最爱。</t>
  </si>
  <si>
    <t>气血上限+476;防御力+16</t>
  </si>
  <si>
    <t>攻击力+6</t>
  </si>
  <si>
    <t>武馆初学者的必备之物，可保皮肉无虞。</t>
  </si>
  <si>
    <t>气血上限+713;防御力+22</t>
  </si>
  <si>
    <t>劣铁剑</t>
  </si>
  <si>
    <t>攻击力+7</t>
  </si>
  <si>
    <t>路边铁匠铺出品，材料劣质，剑刃易损。好在造价便宜，丢了也毫不心疼，是三流草贼的最爱。</t>
  </si>
  <si>
    <t>气血上限+1188;防御力+36</t>
  </si>
  <si>
    <t>粗钢刀</t>
  </si>
  <si>
    <t>用料扎实，做工一般，而且较重，不适合初学者使用。一般用作普通镖师的佩刀，尽心保养，便可保持锋利，经久耐用。</t>
  </si>
  <si>
    <t>气血上限+1901;防御力+58</t>
  </si>
  <si>
    <t>长柄兵器基础，初学者必备。</t>
  </si>
  <si>
    <t>气血上限+3089;防御力+92</t>
  </si>
  <si>
    <t>红缨枪</t>
  </si>
  <si>
    <t>长鞭</t>
  </si>
  <si>
    <r>
      <rPr>
        <sz val="11"/>
        <color theme="1"/>
        <rFont val="宋体"/>
        <family val="3"/>
        <charset val="134"/>
        <scheme val="minor"/>
      </rPr>
      <t>1;2;3;4;</t>
    </r>
    <r>
      <rPr>
        <sz val="11"/>
        <color theme="1"/>
        <rFont val="宋体"/>
        <family val="3"/>
        <charset val="134"/>
        <scheme val="minor"/>
      </rPr>
      <t>5</t>
    </r>
  </si>
  <si>
    <t>攻击力+9</t>
  </si>
  <si>
    <t>在白蜡杆上加入枪头，略微提升武器的穿刺能力。</t>
  </si>
  <si>
    <r>
      <rPr>
        <sz val="11"/>
        <color theme="1"/>
        <rFont val="宋体"/>
        <family val="3"/>
        <charset val="134"/>
        <scheme val="minor"/>
      </rPr>
      <t>item/104</t>
    </r>
    <r>
      <rPr>
        <sz val="11"/>
        <color theme="1"/>
        <rFont val="宋体"/>
        <family val="3"/>
        <charset val="134"/>
        <scheme val="minor"/>
      </rPr>
      <t>1</t>
    </r>
    <r>
      <rPr>
        <sz val="11"/>
        <color theme="1"/>
        <rFont val="宋体"/>
        <family val="3"/>
        <charset val="134"/>
        <scheme val="minor"/>
      </rPr>
      <t>0</t>
    </r>
    <r>
      <rPr>
        <sz val="11"/>
        <color theme="1"/>
        <rFont val="宋体"/>
        <family val="3"/>
        <charset val="134"/>
        <scheme val="minor"/>
      </rPr>
      <t>1</t>
    </r>
  </si>
  <si>
    <t>气血上限+4990;防御力+148</t>
  </si>
  <si>
    <t>钿铁扇</t>
  </si>
  <si>
    <t>初学者所用，因初学者常腕力虚浮，故需铁扇。</t>
  </si>
  <si>
    <t>简单打造的重刃，常为初学者夯实基础所用。</t>
  </si>
  <si>
    <t>气血上限+8079;防御力+240</t>
  </si>
  <si>
    <t>薄柳袖刀</t>
  </si>
  <si>
    <t>攻击力+5</t>
  </si>
  <si>
    <t>铁匠铺精工打造的双刃飞刀，轻薄便携，锋利坚韧。</t>
  </si>
  <si>
    <t>气血上限+13068;防御力+388</t>
  </si>
  <si>
    <t>结实的普通布鞋。</t>
  </si>
  <si>
    <t>气血上限+21147;防御力+626</t>
  </si>
  <si>
    <t>初学者所用的竹木刀，平平无奇。</t>
  </si>
  <si>
    <t>以坚韧的绳索将铁球系紧，既可掷抛远击，又可缩短近击，犹如飞火流星般令人猝不及防。</t>
  </si>
  <si>
    <t>防御力+7</t>
  </si>
  <si>
    <t>农夫下地时穿的衣服，耐脏结实。</t>
  </si>
  <si>
    <t>命中+34</t>
  </si>
  <si>
    <t>便宜耐用的棉布护腕，用料扎实，制作简单。可自行缝制。</t>
  </si>
  <si>
    <t>蒲草护腿</t>
  </si>
  <si>
    <t>闪避+1</t>
  </si>
  <si>
    <t>初入武林之人因简就陋之法。</t>
  </si>
  <si>
    <t>粗麻腰带</t>
  </si>
  <si>
    <t>气血上限+30</t>
  </si>
  <si>
    <t>庄户人家下时使用的腰带，粗麻搓制，因简就陋。</t>
  </si>
  <si>
    <t>环铁扳指</t>
  </si>
  <si>
    <t>速度+23</t>
  </si>
  <si>
    <t>糙铁弯曲而成的扳指，随无甚用处，却亦不失为装饰玩意儿。</t>
  </si>
  <si>
    <t>气血上限+238;防御力+6</t>
  </si>
  <si>
    <t>细缠链</t>
  </si>
  <si>
    <t>气血上限+10</t>
  </si>
  <si>
    <t>细麻缠成的小链，其上另有些许花纹。</t>
  </si>
  <si>
    <t>气血上限+476;防御力+10</t>
  </si>
  <si>
    <t>流苏下垂的小坠，颇有些许风雅之意。</t>
  </si>
  <si>
    <t>气血上限+713;防御力+16</t>
  </si>
  <si>
    <t>薄铁掌虎</t>
  </si>
  <si>
    <t>攻击力+13</t>
  </si>
  <si>
    <t>粗铁铸造，亦称指虎。深受街头无赖的喜爱。</t>
  </si>
  <si>
    <t>气血上限+1188;防御力+24</t>
  </si>
  <si>
    <t>云形剑</t>
  </si>
  <si>
    <t>攻击力+15</t>
  </si>
  <si>
    <t>初入武林之人常以获得一把云流山庄所铸的剑为荣。形制俊美，精工细作。</t>
  </si>
  <si>
    <t>气血上限+1901;防御力+38</t>
  </si>
  <si>
    <t>连首环刀</t>
  </si>
  <si>
    <t>攻击力+16</t>
  </si>
  <si>
    <t>边军配发的军刀。刀刃有缺，不知前主人经历过何种血战。</t>
  </si>
  <si>
    <t>气血上限+3089;防御力+62</t>
  </si>
  <si>
    <t>水火长棍</t>
  </si>
  <si>
    <t>铁木夯直的木棍，因其守如流水，攻若猛火的名。</t>
  </si>
  <si>
    <t>气血上限+4990;防御力+100</t>
  </si>
  <si>
    <t>火尖枪</t>
  </si>
  <si>
    <r>
      <rPr>
        <sz val="11"/>
        <color theme="1"/>
        <rFont val="宋体"/>
        <family val="3"/>
        <charset val="134"/>
        <scheme val="minor"/>
      </rPr>
      <t>攻击力+1</t>
    </r>
    <r>
      <rPr>
        <sz val="11"/>
        <color theme="1"/>
        <rFont val="宋体"/>
        <family val="3"/>
        <charset val="134"/>
        <scheme val="minor"/>
      </rPr>
      <t>7</t>
    </r>
  </si>
  <si>
    <t>因枪尖形式火焰，故此得名。</t>
  </si>
  <si>
    <r>
      <rPr>
        <sz val="11"/>
        <color theme="1"/>
        <rFont val="宋体"/>
        <family val="3"/>
        <charset val="134"/>
        <scheme val="minor"/>
      </rPr>
      <t>item/104</t>
    </r>
    <r>
      <rPr>
        <sz val="11"/>
        <color theme="1"/>
        <rFont val="宋体"/>
        <family val="3"/>
        <charset val="134"/>
        <scheme val="minor"/>
      </rPr>
      <t>1</t>
    </r>
    <r>
      <rPr>
        <sz val="11"/>
        <color theme="1"/>
        <rFont val="宋体"/>
        <family val="3"/>
        <charset val="134"/>
        <scheme val="minor"/>
      </rPr>
      <t>02</t>
    </r>
  </si>
  <si>
    <t>白绘骨扇</t>
  </si>
  <si>
    <t>攻击力+14</t>
  </si>
  <si>
    <t>待功法初有所成，便可换用骨扇。此时，练功之人腕力丰足，需勤习收放引巧之法，故使轻便硬脆之骨扇。</t>
  </si>
  <si>
    <t>气血上限+8079;防御力+160</t>
  </si>
  <si>
    <t>重斩厚刃</t>
  </si>
  <si>
    <t>攻击力+17</t>
  </si>
  <si>
    <t>用料扎实的精工重刃，颇受行走江湖之人认可。</t>
  </si>
  <si>
    <t>气血上限+13068;防御力+258</t>
  </si>
  <si>
    <t>乍看上去乃是普通石子，实际上则是挑选过趁手的飞石，每一粒石子都打磨过，出手时迅捷如飞蝗过境。</t>
  </si>
  <si>
    <t>气血上限+21147;防御力+418</t>
  </si>
  <si>
    <t>镫马靴</t>
  </si>
  <si>
    <t>边军配发的马靴，厚底铁掌，甚是耐用。</t>
  </si>
  <si>
    <t>铁匠铺打造的仿刀，材质外观尽与倭刀近似，然工艺相差甚远。</t>
  </si>
  <si>
    <t>青布细杉</t>
  </si>
  <si>
    <t>防御力+14</t>
  </si>
  <si>
    <t>瑞福祥出品的长衫，时兴款式。</t>
  </si>
  <si>
    <t>命中+40</t>
  </si>
  <si>
    <t>升级款的棉布护腕，在棉布护腕的基础上增加了竹片。</t>
  </si>
  <si>
    <t>石棉护腿</t>
  </si>
  <si>
    <t>闪避+2;</t>
  </si>
  <si>
    <t>稍有进益的门派子弟常被要求负重，而石棉护腿便是此间佳品。</t>
  </si>
  <si>
    <t>气血上限+100</t>
  </si>
  <si>
    <t>细锦缎裁剪的腰带，保暖舒适。</t>
  </si>
  <si>
    <t>青碧环指</t>
  </si>
  <si>
    <t>速度+25;</t>
  </si>
  <si>
    <t>碧玉所制成的指环，常为人所喜，价格不菲。</t>
  </si>
  <si>
    <t>碎铜链</t>
  </si>
  <si>
    <t>黄铜重淬后勾连而成的小链，日光之下闪烁发光，颇为好看。</t>
  </si>
  <si>
    <t>匠工雕坠</t>
  </si>
  <si>
    <t>气血上限+20</t>
  </si>
  <si>
    <t>北方市集上所售的雕坠，其工精巧，匠心独运。</t>
  </si>
  <si>
    <t>摘星手</t>
  </si>
  <si>
    <t>攻击力+15;暴击+5</t>
  </si>
  <si>
    <t>精做掌虎，以坚固著称。同时增加了虎齿，使其威力大增。</t>
  </si>
  <si>
    <t>item/101202</t>
  </si>
  <si>
    <t>寄蜉蝣</t>
  </si>
  <si>
    <t>攻击力+17;暴击+5</t>
  </si>
  <si>
    <t>独特的轻刃，以势猛而闻名，连续攻击时如同蜉过境，浩浩汤汤。</t>
  </si>
  <si>
    <t>渺沧海</t>
  </si>
  <si>
    <t>攻击力+18;暴击+5</t>
  </si>
  <si>
    <t>看似纤细，然坚韧轻便。相传为前代女侠林岳佩剑，待林岳归隐，此剑便就此流落民间。</t>
  </si>
  <si>
    <t>item/102402</t>
  </si>
  <si>
    <t>醉斩</t>
  </si>
  <si>
    <t>攻击力+20;暴击+7</t>
  </si>
  <si>
    <t>匠心精工的重刃。传说曾有人醉饮后以此刀斩树，一刀而倒，故曰醉斩。日后为江湖中人所重，颇为流行。</t>
  </si>
  <si>
    <t>item/103202</t>
  </si>
  <si>
    <t>攻击力+18;暴击+6</t>
  </si>
  <si>
    <t>佛门弟子修行所携护身之棍，虽无杀气，却也有些许暴戾之气。</t>
  </si>
  <si>
    <r>
      <rPr>
        <sz val="11"/>
        <color theme="1"/>
        <rFont val="宋体"/>
        <family val="3"/>
        <charset val="134"/>
        <scheme val="minor"/>
      </rPr>
      <t>item/104</t>
    </r>
    <r>
      <rPr>
        <sz val="11"/>
        <color theme="1"/>
        <rFont val="宋体"/>
        <family val="3"/>
        <charset val="134"/>
        <scheme val="minor"/>
      </rPr>
      <t>20</t>
    </r>
    <r>
      <rPr>
        <sz val="11"/>
        <color theme="1"/>
        <rFont val="宋体"/>
        <family val="3"/>
        <charset val="134"/>
        <scheme val="minor"/>
      </rPr>
      <t>2</t>
    </r>
  </si>
  <si>
    <t>攻击力+19;暴击+7</t>
  </si>
  <si>
    <t>辽东大旗门枪派上级弟子的佩枪，通体暗红，配合大旗门功法，如修罗降世。</t>
  </si>
  <si>
    <r>
      <rPr>
        <sz val="11"/>
        <color theme="1"/>
        <rFont val="宋体"/>
        <family val="3"/>
        <charset val="134"/>
        <scheme val="minor"/>
      </rPr>
      <t>item/104</t>
    </r>
    <r>
      <rPr>
        <sz val="11"/>
        <color theme="1"/>
        <rFont val="宋体"/>
        <family val="3"/>
        <charset val="134"/>
        <scheme val="minor"/>
      </rPr>
      <t>3</t>
    </r>
    <r>
      <rPr>
        <sz val="11"/>
        <color theme="1"/>
        <rFont val="宋体"/>
        <family val="3"/>
        <charset val="134"/>
        <scheme val="minor"/>
      </rPr>
      <t>02</t>
    </r>
  </si>
  <si>
    <t>攻击力+16;暴击+4</t>
  </si>
  <si>
    <t>曾为一江湖儒侠所用。此公乐善好施，为人持正。然一朝遭人忌害，从此下落不明。唯余此扇。巧绘女红扇面，上书诗经，甚是精巧。</t>
  </si>
  <si>
    <t>漫天星斗</t>
  </si>
  <si>
    <t>精铸的乌钢珠，相传为天下至坚。看似无害，出手则如雷霆贯日。</t>
  </si>
  <si>
    <t>item/106202</t>
  </si>
  <si>
    <t>本朝旧历曾有一奇人，屡试不第，便寄情山水。此后数年，此公纵横万余里，遍览壮盛。此公曾创一靴，靴底有钉，可跋山涉水，如履平地。</t>
  </si>
  <si>
    <t>item/109202</t>
  </si>
  <si>
    <t>花骨·枯松心中</t>
  </si>
  <si>
    <t>此刀为贡品，形制甚美。然旧历三年内宫失火，此刀不翼而飞，后于江湖现身，被人购去。</t>
  </si>
  <si>
    <t>item/110202</t>
  </si>
  <si>
    <t>凌云长杉</t>
  </si>
  <si>
    <t>防御力+10;气血上限+200;</t>
  </si>
  <si>
    <t>天涯海阁为贵客准备的上等长衫，用料上乘，做工甚精细。</t>
  </si>
  <si>
    <t>item/200102</t>
  </si>
  <si>
    <t>命中+35;免暴+3</t>
  </si>
  <si>
    <t>西南曾有已女匪，此贼甚美艳，常以色诱杀人越货。日久，便有虞美人之名。一日大军杀到，走投无路之下，此贼自焚。仅余此护臂。</t>
  </si>
  <si>
    <t>item/300102</t>
  </si>
  <si>
    <t>浮生缠足</t>
  </si>
  <si>
    <r>
      <rPr>
        <sz val="11"/>
        <color theme="1"/>
        <rFont val="宋体"/>
        <family val="3"/>
        <charset val="134"/>
        <scheme val="minor"/>
      </rPr>
      <t>闪避+</t>
    </r>
    <r>
      <rPr>
        <sz val="11"/>
        <color theme="1"/>
        <rFont val="宋体"/>
        <family val="3"/>
        <charset val="134"/>
        <scheme val="minor"/>
      </rPr>
      <t>2</t>
    </r>
    <r>
      <rPr>
        <sz val="11"/>
        <color theme="1"/>
        <rFont val="宋体"/>
        <family val="3"/>
        <charset val="134"/>
        <scheme val="minor"/>
      </rPr>
      <t>;速度</t>
    </r>
    <r>
      <rPr>
        <sz val="11"/>
        <color theme="1"/>
        <rFont val="宋体"/>
        <family val="3"/>
        <charset val="134"/>
        <scheme val="minor"/>
      </rPr>
      <t>+80</t>
    </r>
  </si>
  <si>
    <t>相传曾有一武僧，甚喜饮酒。一日为换酒，便将护腿脱下以换酒。进而作一浮生歌以抒情，颇为自在。日后，此缠足便名为浮生，</t>
  </si>
  <si>
    <t>腰带</t>
  </si>
  <si>
    <t>气血上限+80;气血回复+2</t>
  </si>
  <si>
    <t>前朝京兆府曾有一阔少，生性舒阔，仗义疏财。一朝遭逢变故，身死形灭，空余一腰带得存。后人得知，名曰雪满长安以为纪。</t>
  </si>
  <si>
    <t>item/500102</t>
  </si>
  <si>
    <t>少年游</t>
  </si>
  <si>
    <r>
      <rPr>
        <sz val="11"/>
        <color theme="1"/>
        <rFont val="宋体"/>
        <family val="3"/>
        <charset val="134"/>
        <scheme val="minor"/>
      </rPr>
      <t>速度+</t>
    </r>
    <r>
      <rPr>
        <sz val="11"/>
        <color theme="1"/>
        <rFont val="宋体"/>
        <family val="3"/>
        <charset val="134"/>
        <scheme val="minor"/>
      </rPr>
      <t>20</t>
    </r>
    <r>
      <rPr>
        <sz val="11"/>
        <color theme="1"/>
        <rFont val="宋体"/>
        <family val="3"/>
        <charset val="134"/>
        <scheme val="minor"/>
      </rPr>
      <t>;体力回复</t>
    </r>
    <r>
      <rPr>
        <sz val="11"/>
        <color theme="1"/>
        <rFont val="宋体"/>
        <family val="3"/>
        <charset val="134"/>
        <scheme val="minor"/>
      </rPr>
      <t>+1</t>
    </r>
  </si>
  <si>
    <t>欲买桂花同载酒，终不似，少年游。</t>
  </si>
  <si>
    <t>item/600102</t>
  </si>
  <si>
    <r>
      <rPr>
        <sz val="11"/>
        <color theme="1"/>
        <rFont val="宋体"/>
        <family val="3"/>
        <charset val="134"/>
        <scheme val="minor"/>
      </rPr>
      <t>气血上限</t>
    </r>
    <r>
      <rPr>
        <sz val="11"/>
        <color theme="1"/>
        <rFont val="宋体"/>
        <family val="3"/>
        <charset val="134"/>
        <scheme val="minor"/>
      </rPr>
      <t>+20</t>
    </r>
    <r>
      <rPr>
        <sz val="11"/>
        <color theme="1"/>
        <rFont val="宋体"/>
        <family val="3"/>
        <charset val="134"/>
        <scheme val="minor"/>
      </rPr>
      <t>;内劲增长</t>
    </r>
    <r>
      <rPr>
        <sz val="11"/>
        <color theme="1"/>
        <rFont val="宋体"/>
        <family val="3"/>
        <charset val="134"/>
        <scheme val="minor"/>
      </rPr>
      <t>+1</t>
    </r>
  </si>
  <si>
    <t>item/700102</t>
  </si>
  <si>
    <t>菩萨蛮</t>
  </si>
  <si>
    <t>气血上限+15;免暴+4</t>
  </si>
  <si>
    <t>菩萨小饰的背后，隐约有一行被抹去的文字。</t>
  </si>
  <si>
    <t>item/800102</t>
  </si>
  <si>
    <t>拢掌拳套</t>
  </si>
  <si>
    <t>攻击力+18</t>
  </si>
  <si>
    <t>精铁打造的拳套，号称可一拳破石。</t>
  </si>
  <si>
    <t>名匠龙光所造之长剑，吹毛立断，削铁如泥。龙光用那特殊材质，剑锻出了浅绿，显得十分珍贵。</t>
  </si>
  <si>
    <t>鬼型吞刀</t>
  </si>
  <si>
    <t>攻击力+21</t>
  </si>
  <si>
    <t>一把造型奇特的长刀，刀身狭长，极锋利，材质颇坚。推测为东洋舶来之物。势甚刚猛。</t>
  </si>
  <si>
    <t>磐龙棍</t>
  </si>
  <si>
    <r>
      <rPr>
        <sz val="11"/>
        <color theme="1"/>
        <rFont val="宋体"/>
        <family val="3"/>
        <charset val="134"/>
        <scheme val="minor"/>
      </rPr>
      <t>攻击力+2</t>
    </r>
    <r>
      <rPr>
        <sz val="11"/>
        <color theme="1"/>
        <rFont val="宋体"/>
        <family val="3"/>
        <charset val="134"/>
        <scheme val="minor"/>
      </rPr>
      <t>0</t>
    </r>
  </si>
  <si>
    <t>以硬木制成棍身，两侧包有龙纹铜衣。</t>
  </si>
  <si>
    <t>钿银长枪</t>
  </si>
  <si>
    <t>攻击力+22</t>
  </si>
  <si>
    <t>本朝如林军所配长枪，寒光闪闪。以此枪结阵，如长林徐进。攻则动若雷震；守则不动如山。</t>
  </si>
  <si>
    <t>桃花绘扇</t>
  </si>
  <si>
    <t>攻击力+19</t>
  </si>
  <si>
    <t>梦华堂所造，颇受欢迎的精工扇面，通常绘有时令花卉，所有者可依自身喜好，题写诗文或添些花鸟。此款为桃花。</t>
  </si>
  <si>
    <t>气血上限+120</t>
  </si>
  <si>
    <t>擎斩重刃</t>
  </si>
  <si>
    <t>攻击力+23</t>
  </si>
  <si>
    <t>此刀为边军明光营配发武器，长数杖，持重坚实，可一刀斩马，威力巨大。颇受敌酋忌惮。</t>
  </si>
  <si>
    <t>气血上限+476</t>
  </si>
  <si>
    <t>铁淬蒺藜</t>
  </si>
  <si>
    <t>原为行伍中人所用的，往往直接撒在战场上，可伤战马。后经人改造，用作暗器。</t>
  </si>
  <si>
    <t>气血上限+714</t>
  </si>
  <si>
    <t>林南硬靴</t>
  </si>
  <si>
    <t>薄底快靴，轻功入门者必备。</t>
  </si>
  <si>
    <t>气血上限+1188</t>
  </si>
  <si>
    <t>明时雨</t>
  </si>
  <si>
    <t>此刀为倭国宏光流所造，甚锋利。</t>
  </si>
  <si>
    <t>气血上限+1902</t>
  </si>
  <si>
    <t>挽镜胄</t>
  </si>
  <si>
    <t>防御力+21</t>
  </si>
  <si>
    <t>朝廷内卫专用的护内穿护甲。内卫常需布衣示人，然追踪者多有刀斧随身。久而久之，此种内穿护甲便在内卫中流行起来。</t>
  </si>
  <si>
    <t>气血上限+3090</t>
  </si>
  <si>
    <t>命中+42</t>
  </si>
  <si>
    <t>峨眉弟子所用的蜀锦护腕，甚是轻薄，加之采用上等蜀锦，哪怕仅作为饰品，也颇为流行。</t>
  </si>
  <si>
    <t>气血上限+4990</t>
  </si>
  <si>
    <t>铁线甲马</t>
  </si>
  <si>
    <t>闪避+4</t>
  </si>
  <si>
    <t>边军骑兵常用的护腿，样式颇有特点。</t>
  </si>
  <si>
    <t>气血上限+8080</t>
  </si>
  <si>
    <t>锦澜腰缠</t>
  </si>
  <si>
    <t>气血上限+160</t>
  </si>
  <si>
    <t>峨眉派精工出品，用料讲究，无论是江湖中人，还是富家小姐，均对此投以青睐。</t>
  </si>
  <si>
    <t>气血上限+13068</t>
  </si>
  <si>
    <t>速度+30</t>
  </si>
  <si>
    <t>少见的深黑木料所制戒指，以讹传讹，引为乌木。</t>
  </si>
  <si>
    <t>气血上限+21148</t>
  </si>
  <si>
    <t>气血上限+40</t>
  </si>
  <si>
    <t>细绣小鳞所勾织成的项链小锁，想必是出自某位绣娘的精巧工艺。</t>
  </si>
  <si>
    <t>青庐环佩</t>
  </si>
  <si>
    <t>环佩叮当，似青庐于鸣。</t>
  </si>
  <si>
    <t>拈花</t>
  </si>
  <si>
    <t>攻击力+25;暴击+9</t>
  </si>
  <si>
    <t>相传此物为女子所创，另辟蹊径，重在威力。虽无一般拳套之刚猛，然拳拳到肉，刚柔并济。</t>
  </si>
  <si>
    <t>item/101203</t>
  </si>
  <si>
    <t>太上隐者</t>
  </si>
  <si>
    <t>攻击力+27;暴击+10</t>
  </si>
  <si>
    <t>此剑来历颇为传奇，传说为太上老君修行时所铸。甚是轻盈，然锋利无比。</t>
  </si>
  <si>
    <t>无定骨</t>
  </si>
  <si>
    <t>攻击力+28;暴击+11</t>
  </si>
  <si>
    <t>上古有一凶兽，名曰无定。作恶多端，为害人间。黄帝遣人灭之。取其脊柱，为神兵。</t>
  </si>
  <si>
    <t>item/102303</t>
  </si>
  <si>
    <t>攻击力+30;暴击+13</t>
  </si>
  <si>
    <t>大雪山中一把无主的重刃，看似笨重，然可力破千钧，吹毛立断，故得拙机之名。</t>
  </si>
  <si>
    <t>item/103203</t>
  </si>
  <si>
    <t>攻击力+29;暴击+12</t>
  </si>
  <si>
    <t>相传为上古一凶兽之脊，名讳如何已不可考，然此棍通体温润，摸之不似骨殖。唯两头血红，确似血染。</t>
  </si>
  <si>
    <t>item/104203</t>
  </si>
  <si>
    <t>格萨尔王枪</t>
  </si>
  <si>
    <t>吐蕃传说中神子转世的格萨尔王年轻时所使用的长枪，魑魅魍魉皆斩于下。</t>
  </si>
  <si>
    <t>item/104303</t>
  </si>
  <si>
    <t>攻击力+26;暴击+9</t>
  </si>
  <si>
    <t>前朝大学生赵文正公遗物。此公一度官场失意，便寄情于江南山水。曾行走江湖多年，期间，一挚友以扇增之，文正公多才，遍录江南山水于其上，故曰，江南行尽。</t>
  </si>
  <si>
    <t>item/105203</t>
  </si>
  <si>
    <t>精工细作，细细打磨过的钢玉针，驱之则如仲夏暴雨，骤然而至，横扫千军。</t>
  </si>
  <si>
    <t>item/106203</t>
  </si>
  <si>
    <t>辽东大旗门所创的硬靴，望之似硬底马靴，然内有乾坤，靴底内藏匕首，颇为狠戾。</t>
  </si>
  <si>
    <t>item/109203</t>
  </si>
  <si>
    <t>恶犬·梧桐斋</t>
  </si>
  <si>
    <t>五十年前，倭国曾有一落魄武士，孤苦无依。一日，一年存善，于数条恶犬口下救得一藩主小儿。藩主为答谢，特仿铸名刀梧桐斋赠之。又因此人曾力毙数条恶犬，故称 恶犬·梧桐斋。</t>
  </si>
  <si>
    <t>item/110203</t>
  </si>
  <si>
    <t>防御力+17;气血上限+300;</t>
  </si>
  <si>
    <t>前朝郭巨侠晚年不再理事，虽早已无意江湖，然江湖之人未有一日不扰。如此经年，郭巨侠不堪其扰，终于一日，留一蓑衣，就此归隐。</t>
  </si>
  <si>
    <t>item/200103</t>
  </si>
  <si>
    <t>夔袖</t>
  </si>
  <si>
    <t>暴击+5;攻击力+30;</t>
  </si>
  <si>
    <t>夔者，形似龙，仅一足，凶兽也。夔袖以夔纹为饰，内有乾坤，内力催之则甚凶猛。</t>
  </si>
  <si>
    <t>item/300103</t>
  </si>
  <si>
    <t>速度+50;免暴+8;</t>
  </si>
  <si>
    <t>前朝有一骁将，以善奔袭著称。后前朝皇帝以护腿赠之，此护腿轻便坚固，金边银甲，甚是精巧。取马踏匈奴，追亡逐北之意，故曰踏逐腿。</t>
  </si>
  <si>
    <t>item/400103</t>
  </si>
  <si>
    <t>经年去</t>
  </si>
  <si>
    <t>气血上限+200;气血回复+4</t>
  </si>
  <si>
    <t>此去经年，应是良辰美景虚度。</t>
  </si>
  <si>
    <t>item/500103</t>
  </si>
  <si>
    <t>螣蛇木辟</t>
  </si>
  <si>
    <t>防御力+60</t>
  </si>
  <si>
    <t>螣蛇形制的木辟，据传有辟邪驱毒之效。</t>
  </si>
  <si>
    <t>item/600103</t>
  </si>
  <si>
    <t>又逢君</t>
  </si>
  <si>
    <r>
      <rPr>
        <sz val="11"/>
        <color theme="1"/>
        <rFont val="宋体"/>
        <family val="3"/>
        <charset val="134"/>
        <scheme val="minor"/>
      </rPr>
      <t>气血上限+</t>
    </r>
    <r>
      <rPr>
        <sz val="11"/>
        <color theme="1"/>
        <rFont val="宋体"/>
        <family val="3"/>
        <charset val="134"/>
        <scheme val="minor"/>
      </rPr>
      <t>50</t>
    </r>
    <r>
      <rPr>
        <sz val="11"/>
        <color theme="1"/>
        <rFont val="宋体"/>
        <family val="3"/>
        <charset val="134"/>
        <scheme val="minor"/>
      </rPr>
      <t>;内劲增长</t>
    </r>
    <r>
      <rPr>
        <sz val="11"/>
        <color theme="1"/>
        <rFont val="宋体"/>
        <family val="3"/>
        <charset val="134"/>
        <scheme val="minor"/>
      </rPr>
      <t>+1</t>
    </r>
  </si>
  <si>
    <t>花落时节，未再逢君。</t>
  </si>
  <si>
    <t>item/700103</t>
  </si>
  <si>
    <t>气血上限+500</t>
  </si>
  <si>
    <t>形如蛤蟆口仰天而鸣，在南邑多为吉祥之兆。</t>
  </si>
  <si>
    <t>气血上限+1198;防御力+39</t>
  </si>
  <si>
    <t>锁墨指束</t>
  </si>
  <si>
    <t>攻击力+28</t>
  </si>
  <si>
    <t>墨家所创的特殊拳套，掌似两扇门，防可滴水不漏。故此物为门上被甲，更显坚固。</t>
  </si>
  <si>
    <t>攻击力+30</t>
  </si>
  <si>
    <t>名匠龙光历时数年所铸，通体乌黑，三尺有余，故曰三尺鸦。出鞘隐有龙吟，用之则剑光如虹。</t>
  </si>
  <si>
    <t>吞吴</t>
  </si>
  <si>
    <t>攻击力+31</t>
  </si>
  <si>
    <t>曾是名将白牧的佩剑，久经战阵，吞吴出鞘，历来饮人鲜血，纵横捭阖，攻城灭国。</t>
  </si>
  <si>
    <t>攻击力+45;暴击+1</t>
  </si>
  <si>
    <t>曾有神鸟，名曰鲲。死后化为玄铁。一异人取其翅以铸兵刃，然火皓颇多，终只获一残翎。寒光闪烁，剑气可伤人。</t>
  </si>
  <si>
    <t>item/102114</t>
  </si>
  <si>
    <t>昔年纵横家苏秦，张仪在鬼谷内修行期间分别选用昆仑赤金和天宫之铁各制造一柄镔铁棍，可以巧妙的使两柄长棍纵横交错，合二为一。</t>
  </si>
  <si>
    <t>本朝以武立国，故本朝羽林所用仪仗皆非“器”，均乃名匠精工细作，威力惊人，且装饰华丽。极少流入民间，颇受推崇。</t>
  </si>
  <si>
    <t>攻击力+29</t>
  </si>
  <si>
    <t>梦华堂精工所造，扇骨韧而无锋，内力灌之而不损分毫，江湖之人方可发挥其妙用。</t>
  </si>
  <si>
    <t>攻击力+33</t>
  </si>
  <si>
    <t>前朝铁马军所用战刀。该军皆为五尺莽夫，战则袒胸露臂，挥舞重刀而来，凶悍无比。故此刀颇具凶名。</t>
  </si>
  <si>
    <t>相传为前朝女子特制，外观娟秀，常被人误作饰品。攻击时常能攻其不备，用法诡谲。</t>
  </si>
  <si>
    <t>本朝边军曾有一女将，代父从军。征战经年，屡有战功。一日归乡，则以朱履罗裙示人，有泼皮相扰，遭重责。后此款朱履便流传于江湖，颇受女侠青睐。</t>
  </si>
  <si>
    <t>宏光流精工细作之刀，常用以贸易。因其跨海而来，故曰 远海惊涛。</t>
  </si>
  <si>
    <t>烟罗雨锦</t>
  </si>
  <si>
    <t>防御力+12</t>
  </si>
  <si>
    <t>瑞福祥精工的上等锦袍，所穿者非富即贵，在京师更是身份的象征。</t>
  </si>
  <si>
    <t>餮纹掩臂</t>
  </si>
  <si>
    <t>命中+48</t>
  </si>
  <si>
    <t>龙生饕餮，贪食，甚凶猛。边军常以饕餮为纹饰，以凶兽震邪祟。餮纹掩臂便是边军所用，中正规整。</t>
  </si>
  <si>
    <t>映丛云</t>
  </si>
  <si>
    <t>闪避+6</t>
  </si>
  <si>
    <t>边军骑兵中有一骁毅军，此军仅千人，然马术超群，甚善骑射。主帅爱之，故有精工护甲加持。名曰映丛云。</t>
  </si>
  <si>
    <t>气血上限+240;</t>
  </si>
  <si>
    <t>边军裨将所配的盔甲护腰，饰以凶兽，外观颇肃杀。边军将此狐妖称为“裹烟波”。</t>
  </si>
  <si>
    <t>吞日月</t>
  </si>
  <si>
    <t>速度+50</t>
  </si>
  <si>
    <t>气破山河，如吞日月。</t>
  </si>
  <si>
    <t>浮屠</t>
  </si>
  <si>
    <t>浮屠罪业，尽归己身，此乃大慈悲。</t>
  </si>
  <si>
    <t>气血上限+70</t>
  </si>
  <si>
    <t>气血上限+1300;防御力+26</t>
  </si>
  <si>
    <t>灯花落</t>
  </si>
  <si>
    <t>攻击力+45;防御力+20</t>
  </si>
  <si>
    <t>前朝有一高僧，日日精习拳法，唤曰武痴。一日习武后入梦，获玄女所赠拳掌。翌日梦醒，于花圃落花之下真获一拳套，故名曰，灯花落。</t>
  </si>
  <si>
    <t>红豆</t>
  </si>
  <si>
    <t>攻击力+48;防御力+23</t>
  </si>
  <si>
    <t>百年前有情侣殉情，机缘巧合之下，二人所用殉情之剑幸得历代有情人推崇。光阴流转，此剑却日渐锋利。</t>
  </si>
  <si>
    <t>item/102204</t>
  </si>
  <si>
    <t>攻击力+49;防御力+24</t>
  </si>
  <si>
    <t>本朝曾有一灭门血案，幸存者卧薪尝胆十余载，终大仇德报。此人曾托人打造此剑，事后，此剑流落民间，为高人所用。</t>
  </si>
  <si>
    <t>独影</t>
  </si>
  <si>
    <t>攻击力+52;防御力+27</t>
  </si>
  <si>
    <t>此刀不知何人所用，一日，一僧不慎落水，于一瀑布后得一洞天。一时眼花，将插于石缝中的此刀误以为人。后经人搭救得活，顺得此刀。由洞内重重，此僧将此刀命名为“独影”。</t>
  </si>
  <si>
    <t>item/103204</t>
  </si>
  <si>
    <t>韦陀降魔棍</t>
  </si>
  <si>
    <t>攻击力+49;防御力+27</t>
  </si>
  <si>
    <t>相传佛门护法韦陀所使用的武器，整个棍身为菩提木所制，外罩纯铜镂空雕铸，浑然一体。</t>
  </si>
  <si>
    <t>满江红</t>
  </si>
  <si>
    <t>攻击力+50;防御力+25</t>
  </si>
  <si>
    <t>数百年前，曾有一员骁将，名曰海奔。于国家危难之际力挽狂澜，收复失地，驱除鞑虏。然终因奸佞所忌，加之时逢昏君当道，终含冤而逝。此枪为海将军生前佩枪，以海将军明志之满江红为名，以纪忠魂。</t>
  </si>
  <si>
    <t>item/104304</t>
  </si>
  <si>
    <t>攻击力+46;防御力+21</t>
  </si>
  <si>
    <t>文正公晚年寥落，政敌攻讦常使其悲苦凄凉。故制此扇，聊以自嘲。扇面有文正公所绘之秋风图，因情景过悲，故称为秋风悲画。</t>
  </si>
  <si>
    <t>攻击力+44;防御力+19</t>
  </si>
  <si>
    <t>造型奇异的薄刃，修长如草叶。此刃攻防兼备，使之无声无息，凌厉凶猛。熟练者常可杀人于无形。</t>
  </si>
  <si>
    <t>泊孤舟</t>
  </si>
  <si>
    <t>攻击力+47;防御力+22</t>
  </si>
  <si>
    <t>水上人家常用软底长靴，此靴为此间佳品，用鲛皮缝制，避水防割。鲛甚珍贵，故此靴可遇而不可求。</t>
  </si>
  <si>
    <t>攻击力+51;防御+26</t>
  </si>
  <si>
    <t>倭国剑圣佩刀之一。流落而来。此刀曾为倭国剑圣手中利器，于百名武士阻拦下，轻易斩得敌将首级。故更名为百人一首。</t>
  </si>
  <si>
    <t>item/110204</t>
  </si>
  <si>
    <t>白狐裘</t>
  </si>
  <si>
    <t>防御力+25;气血上限+400;</t>
  </si>
  <si>
    <t>承安镇南宫家特供的狐裘，高价求所购之白狐，遣人求得名匠精制。甚精美。</t>
  </si>
  <si>
    <t>item/200104</t>
  </si>
  <si>
    <t>般若</t>
  </si>
  <si>
    <t>暴击;攻击力;</t>
  </si>
  <si>
    <t>两禅珍藏的护臂，不知其来历，然依前代方丈所述，此物名曰般若，用之可明悟。故而被两禅视为至宝。</t>
  </si>
  <si>
    <t>item/300104</t>
  </si>
  <si>
    <t>北饮大泽</t>
  </si>
  <si>
    <t>速度;闪避;</t>
  </si>
  <si>
    <t>上古曾有夸父逐日，百年后曾有人于不周山获一护腿，此物甚奇，用之，可身轻如燕。后人疑为上古圣物，故起名夸父。</t>
  </si>
  <si>
    <t>item/400104</t>
  </si>
  <si>
    <t>体力回复+2;气血回复+2;内劲增长+6</t>
  </si>
  <si>
    <t>太和门创派尊师曾游历八荒，期间取天地宝材制用具，此护腰便是此间造物，名曰八方人间。创派尊师穿此护腰，纵横江湖。</t>
  </si>
  <si>
    <t>item/500104</t>
  </si>
  <si>
    <t>黄粱一梦</t>
  </si>
  <si>
    <t>防御力+32</t>
  </si>
  <si>
    <t>俗世之际，无非黄粱一梦，所谓浮生若梦，盖如是也。</t>
  </si>
  <si>
    <t>镇狱石</t>
  </si>
  <si>
    <t>暴击+74;气血上限+200</t>
  </si>
  <si>
    <t>夷地有奇石，采之可镇鬼压胜，谓之镇狱。</t>
  </si>
  <si>
    <t>item/700104</t>
  </si>
  <si>
    <t>气血上限+800</t>
  </si>
  <si>
    <t>攻击力+47</t>
  </si>
  <si>
    <t>此拳掌为两禅所造，拥此拳掌者，均可一拳碎一石碑，故称，破碑。</t>
  </si>
  <si>
    <t>清泉吟</t>
  </si>
  <si>
    <t>攻击力+50</t>
  </si>
  <si>
    <t>云流山庄精工细作的上等宝剑，武林中似是一种身份象征，所有者均颇有大名。</t>
  </si>
  <si>
    <t>虎啸山</t>
  </si>
  <si>
    <t>攻击力+51</t>
  </si>
  <si>
    <t>此刀曾为一代义匪川虎所用，此匪劫富济贫，颇有义名。数年前，更赖此刀与官军周旋数月，最终脱身。待此匪金盆洗手，此刀一度为江湖匪争夺，最终流落而出。</t>
  </si>
  <si>
    <t>镇邪</t>
  </si>
  <si>
    <t>两禅金刚因戒律所限，不可以兵刃破禁，然罗汉需降魔卫道，故而，两禅以精钢打造长棍，名曰镇邪。</t>
  </si>
  <si>
    <t>聚散流云</t>
  </si>
  <si>
    <t>攻击力+48</t>
  </si>
  <si>
    <t>明教守正所制之扇，扇面绘龙。用之则有翻手为云之态。故曰聚散流云。</t>
  </si>
  <si>
    <t>厌</t>
  </si>
  <si>
    <t>攻击力+54</t>
  </si>
  <si>
    <t>曾为一边将所用。原为一名刀，然此将归乡时因厌战，故意毁刀，使此刀不复往日之威。虽如此，仍可见昔日此刀之刚猛无敌。</t>
  </si>
  <si>
    <t>定鼎</t>
  </si>
  <si>
    <t>攻击力+46</t>
  </si>
  <si>
    <t>此暗器并不以便携隐蔽伤人，由于其尺寸颇大，难以隐藏。但胜在力沉，可轻易破甲，以势伤人。常可一招定胜。</t>
  </si>
  <si>
    <t>离上人愁</t>
  </si>
  <si>
    <t>攻击力+49</t>
  </si>
  <si>
    <t>京城曾有一美艳女子，色绝京师。诸多纨绔一掷千金，只求一睹芳容，然该女子只青睐一禁军小将。某年边关告急，禁军奉调前往边关，此女子于城外设台，以一曲舞送心上人出征。事毕，京师震动。一时多追仿，而女子所着之履亦大受欢迎。</t>
  </si>
  <si>
    <t>知火鬃·狮子</t>
  </si>
  <si>
    <t>攻击力+53</t>
  </si>
  <si>
    <t>不知名工匠打造的仿倭刀，甚精美。挥舞之下，常似狮吼。故造此刀者，为此刀装饰了狮鬃。雄狮扑咬之下，侵略如火。</t>
  </si>
  <si>
    <t>防御力+17</t>
  </si>
  <si>
    <t>朝廷内廷司精制的素袍，原为皇家专供，本朝太子节俭勤勉，将此类素袍作为皇恩向民间出售，一时大受欢迎。</t>
  </si>
  <si>
    <t>降龙念</t>
  </si>
  <si>
    <t>命中+67</t>
  </si>
  <si>
    <t>大刀门精工的护臂。虽大刀门无两禅名分，然大刀门喜以佛门自居，故而诸多两禅名头。</t>
  </si>
  <si>
    <t>伏虎磐</t>
  </si>
  <si>
    <t>闪避+9</t>
  </si>
  <si>
    <t>禁军所用之护腿，轻便坚固，装饰豪华。</t>
  </si>
  <si>
    <t>可汗天</t>
  </si>
  <si>
    <t>气血上限+450</t>
  </si>
  <si>
    <t>塞外游牧民族进贡的贡品护腰，颇具特色。因语言问题，将此护腰误作“可汗天”。真名已不可考。</t>
  </si>
  <si>
    <t>速度+129</t>
  </si>
  <si>
    <t>刘海戏金蟾</t>
  </si>
  <si>
    <t>气血上限+220</t>
  </si>
  <si>
    <t>此物上所雕的刘海戏金蟾似有些许不同，人物面目模糊，那金蝉的眼睛更是古怪至极，观之而觉心中恶寒。</t>
  </si>
  <si>
    <t>花月水镜</t>
  </si>
  <si>
    <t>羽鹤大氅</t>
  </si>
  <si>
    <t>防御力+35</t>
  </si>
  <si>
    <t>内廷司受命为张阁老特制的大氅，用料颇为讲究，白狐与白鹤此类至珍贵之物更是不惜血本。</t>
  </si>
  <si>
    <t>item/200105</t>
  </si>
  <si>
    <t>洛神凌波</t>
  </si>
  <si>
    <t>速度+160</t>
  </si>
  <si>
    <t>骁毅军主将曰伏波将军，相传早年率军渡洛水时，遇一老妪赠甲，故有此“洛神凌波”护腿。</t>
  </si>
  <si>
    <t>攻击力+81</t>
  </si>
  <si>
    <t>一无名无姓之异人所造。望之似猿猴手臂，指甚锋利。后人装以白毛，故得此拳掌。</t>
  </si>
  <si>
    <t>含光</t>
  </si>
  <si>
    <t>攻击力+85</t>
  </si>
  <si>
    <t>此剑为峨眉派先师所铸，因剑光如虹得名，轻盈坚韧，仅以剑气便可伤人。常年为高人所用，故而沾染了灵气。</t>
  </si>
  <si>
    <t>五蕴皆狂</t>
  </si>
  <si>
    <t>攻击力+86</t>
  </si>
  <si>
    <t>大雪山流出的奇特大刀。此刀望之平平，但刀主常走火入魔，后高人试刀，才知此刀可催动使用者五蕴八气，使使用者短期内功力大增，然如若内息不问，则极易被此刀反噬。</t>
  </si>
  <si>
    <t>定海禹槊</t>
  </si>
  <si>
    <t>攻击力+88</t>
  </si>
  <si>
    <t>上古曾有一妖猴，翻江倒海，黎民倒悬。天帝便遣人降妖，事后又铸长枪定海，以平息江河。后人仿其形制，铸造长枪，每当江湖泛滥，便以此镇之。</t>
  </si>
  <si>
    <t>龙髓</t>
  </si>
  <si>
    <r>
      <rPr>
        <sz val="11"/>
        <color theme="1"/>
        <rFont val="宋体"/>
        <family val="3"/>
        <charset val="134"/>
        <scheme val="minor"/>
      </rPr>
      <t>1;2;3;4;5;6;</t>
    </r>
    <r>
      <rPr>
        <sz val="11"/>
        <color theme="1"/>
        <rFont val="宋体"/>
        <family val="3"/>
        <charset val="134"/>
        <scheme val="minor"/>
      </rPr>
      <t>7</t>
    </r>
  </si>
  <si>
    <r>
      <rPr>
        <sz val="11"/>
        <color theme="1"/>
        <rFont val="宋体"/>
        <family val="3"/>
        <charset val="134"/>
        <scheme val="minor"/>
      </rPr>
      <t>攻击力+</t>
    </r>
    <r>
      <rPr>
        <sz val="11"/>
        <color theme="1"/>
        <rFont val="宋体"/>
        <family val="3"/>
        <charset val="134"/>
        <scheme val="minor"/>
      </rPr>
      <t>90</t>
    </r>
  </si>
  <si>
    <t>相处为远古时期一黄龙陨落于海中，经千万年海浪拍打，其髓形成一柄长枪破骨而出。</t>
  </si>
  <si>
    <r>
      <rPr>
        <sz val="11"/>
        <color theme="1"/>
        <rFont val="宋体"/>
        <family val="3"/>
        <charset val="134"/>
        <scheme val="minor"/>
      </rPr>
      <t>item/104</t>
    </r>
    <r>
      <rPr>
        <sz val="11"/>
        <color theme="1"/>
        <rFont val="宋体"/>
        <family val="3"/>
        <charset val="134"/>
        <scheme val="minor"/>
      </rPr>
      <t>1</t>
    </r>
    <r>
      <rPr>
        <sz val="11"/>
        <color theme="1"/>
        <rFont val="宋体"/>
        <family val="3"/>
        <charset val="134"/>
        <scheme val="minor"/>
      </rPr>
      <t>0</t>
    </r>
    <r>
      <rPr>
        <sz val="11"/>
        <color theme="1"/>
        <rFont val="宋体"/>
        <family val="3"/>
        <charset val="134"/>
        <scheme val="minor"/>
      </rPr>
      <t>6</t>
    </r>
  </si>
  <si>
    <t>化羽</t>
  </si>
  <si>
    <t>攻击力+83</t>
  </si>
  <si>
    <t>此扇为女子所用，衣袂纷飞之下，收放自如，有如仙人。羽化而登仙。</t>
  </si>
  <si>
    <t>攻击力+90</t>
  </si>
  <si>
    <t>此刀大开大合，如彩蝶上下纷飞，故得此名。</t>
  </si>
  <si>
    <t>生死错</t>
  </si>
  <si>
    <t>攻击力+80</t>
  </si>
  <si>
    <t>此针细若发丝，单针似难以伤人，然本身淬毒，加之攻击时如风卷残云，大开大合，常可杀人于无形。传言为上古神兵，落入凡间，颇有威名。</t>
  </si>
  <si>
    <t>踏凤来仪</t>
  </si>
  <si>
    <t>相当年太和门初创，创派师宗煞是风流潇洒。一年武林大会，一异人以鞋靴图样相赠。师宗试之，甚满意。此后，太和门关门大弟子皆可获此奇物。</t>
  </si>
  <si>
    <t>斗胜</t>
  </si>
  <si>
    <t>宏光流开山之作。其先师以须发饲之，反复锤炼月余方得此刀。初试，则轻易斩断名刀，后多次对砍，均无败绩。故倭国国王赐号，称为“斗胜”。</t>
  </si>
  <si>
    <t>披日载月</t>
  </si>
  <si>
    <t>禁军所用之盔甲，轻便坚固，装饰豪华。</t>
  </si>
  <si>
    <t>八苦</t>
  </si>
  <si>
    <t>命中+95</t>
  </si>
  <si>
    <t>生、老、病、死、爱别离、所求不得、怨憎会、五阴盛。</t>
  </si>
  <si>
    <t>千里月明</t>
  </si>
  <si>
    <t>闪避+11</t>
  </si>
  <si>
    <t>太和山弟子所用之轻便坚固护甲，由密不外传之法打造，故物以稀为贵，世间难得。</t>
  </si>
  <si>
    <t>乾坤珏横</t>
  </si>
  <si>
    <t>气血上限+900</t>
  </si>
  <si>
    <t>内廷司出品的贡品护腰，精工细作，珠光宝气。内织金丝软猬甲，颇为精致。在江湖中也是上等佳品，颇受欢迎。</t>
  </si>
  <si>
    <t>玄女</t>
  </si>
  <si>
    <t>速度+116</t>
  </si>
  <si>
    <t>忘川兰草</t>
  </si>
  <si>
    <t>气血上限+400</t>
  </si>
  <si>
    <t>此生既忘，何念兰草。</t>
  </si>
  <si>
    <t>气血上限+200</t>
  </si>
  <si>
    <t>攻击力+100</t>
  </si>
  <si>
    <t>道家高人所传拳掌，号曰无量之威，使之则有横扫九州之猛。为天下至坚至猛之拳掌。</t>
  </si>
  <si>
    <t>纯钧</t>
  </si>
  <si>
    <t>攻击力+105</t>
  </si>
  <si>
    <t>相传为道家真人心血须发所铸。世间曾有邪龙作祟，此畜生鳞甲颇坚，众人奈何不得。一道家先辈舍身，以心血须发喂剑，并以必生功力注入，得此宝剑。此间仅凭剑气便可取人姓名于数丈之外，无坚不摧。</t>
  </si>
  <si>
    <t>攻击力+107</t>
  </si>
  <si>
    <t>倭国进贡的宝刀，相传此刀铸成后，以奴隶殉刀，以铸刀魂。故，此刀甚是诡谲，锋利无比。</t>
  </si>
  <si>
    <t>神木</t>
  </si>
  <si>
    <t>攻击力+108</t>
  </si>
  <si>
    <t>东海之滨曾有一岛，岛上除一巨树外别无他物。某年，一道霹雳将此树劈开，中留树干。天涯海阁创派师祖取之，略加修饰以为长棍。名曰神木。</t>
  </si>
  <si>
    <t>何苦</t>
  </si>
  <si>
    <t>攻击力+103</t>
  </si>
  <si>
    <t>此扇为前朝大恶所用。暗藏锋芒，此贼曾曰世人皆可杀之，何苦降生。久而久之，此扇便失了本名，被江湖人唤曰 何苦。</t>
  </si>
  <si>
    <t>血菩提</t>
  </si>
  <si>
    <t>攻击力+99</t>
  </si>
  <si>
    <t>两禅寺一狂僧所用。取除魔卫道之意，故而此刀铸造时颇依佛理，菩提为柄，佛经为铭。然日后为狂僧所沾染，血气萦绕，故改成血菩提。</t>
  </si>
  <si>
    <t>皆墟</t>
  </si>
  <si>
    <t>万物皆虚，万事皆允。此乃上古神物，相传为黄帝手下夷牟所造，收放自如，无坚不催。</t>
  </si>
  <si>
    <t>通天</t>
  </si>
  <si>
    <t>攻击力+104</t>
  </si>
  <si>
    <t>上古曾有凶手，名曰霸下。一日身死，有大胆者皮草以得利，得一靴。此靴甚轻巧，然坚若磐石，刀剑水火解难相害，故乃世间至奇之物。</t>
  </si>
  <si>
    <t>菊·啼</t>
  </si>
  <si>
    <t>攻击力+106</t>
  </si>
  <si>
    <t>倭国皇室佩刀，三年前倭国内乱，此刀主人被斩于马下，此刀不知所终。最近于本朝现身，因本名已随主人而逝，因其有菊纹装饰，故商贩原本将其命名为“菊”。然一熟手使此刀操练，挥舞之间有如夜枭鸣啼，故改称为“菊·啼”。</t>
  </si>
  <si>
    <t>靖雄剑</t>
  </si>
  <si>
    <t>攻击力+1080</t>
  </si>
  <si>
    <t>item/102908</t>
  </si>
  <si>
    <t>宇桐甲</t>
  </si>
  <si>
    <t>防御力+9999</t>
  </si>
  <si>
    <t>item/200908</t>
  </si>
  <si>
    <t>文龙护手</t>
  </si>
  <si>
    <t>命中+9999</t>
  </si>
  <si>
    <t>item/300908</t>
  </si>
  <si>
    <t>胜亮护腿</t>
  </si>
  <si>
    <t>闪避+9999</t>
  </si>
  <si>
    <t>item/400908</t>
  </si>
  <si>
    <t>李裴腰带</t>
  </si>
  <si>
    <t>气血上限+99999</t>
  </si>
  <si>
    <t>item/500908</t>
  </si>
  <si>
    <t>光云戒</t>
  </si>
  <si>
    <t>体力回复+30</t>
  </si>
  <si>
    <t>item/600908</t>
  </si>
  <si>
    <t>曾华链</t>
  </si>
  <si>
    <t>速度+1000</t>
  </si>
  <si>
    <t>item/700908</t>
  </si>
  <si>
    <t>河清坠</t>
  </si>
  <si>
    <t>气血回复+999</t>
  </si>
  <si>
    <t>item/800908</t>
  </si>
  <si>
    <t>体力回复+2;气血回复+2</t>
  </si>
  <si>
    <t>一枚好看的木片，上方还以稚嫩的笔画刻了条歪歪扭扭的“青龙”。</t>
  </si>
  <si>
    <t>命中+15;暴击+15</t>
  </si>
  <si>
    <t>果果珍藏的草环，其上还点缀了一片薄薄的花瓣。</t>
  </si>
  <si>
    <t>徐嵩阳的小花</t>
  </si>
  <si>
    <t>闪避+3;免暴+15</t>
  </si>
  <si>
    <t>徐嵩阳竭力所护的小花，被踩踏后又被其拾回，小心擦拭。</t>
  </si>
  <si>
    <t>item/700101</t>
  </si>
  <si>
    <t>防御力+25;气血上限+50;</t>
  </si>
  <si>
    <t>小钰亲手编织的青衫，衣襟内侧还绣了只不易察觉的红豆枝。</t>
  </si>
  <si>
    <t>item/200101</t>
  </si>
  <si>
    <t>防御力+50;气血上限+320;</t>
  </si>
  <si>
    <t>太和山弟子的门派清修所着的衣物。</t>
  </si>
  <si>
    <t>攻击力+86;暴击+2;</t>
  </si>
  <si>
    <r>
      <rPr>
        <sz val="11"/>
        <color theme="1"/>
        <rFont val="宋体"/>
        <family val="3"/>
        <charset val="134"/>
        <scheme val="minor"/>
      </rPr>
      <t>item/1022</t>
    </r>
    <r>
      <rPr>
        <sz val="11"/>
        <color theme="1"/>
        <rFont val="宋体"/>
        <family val="3"/>
        <charset val="134"/>
        <scheme val="minor"/>
      </rPr>
      <t>1</t>
    </r>
    <r>
      <rPr>
        <sz val="11"/>
        <color theme="1"/>
        <rFont val="宋体"/>
        <family val="3"/>
        <charset val="134"/>
        <scheme val="minor"/>
      </rPr>
      <t>3</t>
    </r>
  </si>
  <si>
    <t>防御力+1;气血上限+10;</t>
  </si>
  <si>
    <t>item/200201</t>
  </si>
  <si>
    <t>闪避+8;速度+200;</t>
  </si>
  <si>
    <t>已然破碎的探花面具，乃邓克礼所遗之物。</t>
  </si>
  <si>
    <t>攻击力+198</t>
  </si>
  <si>
    <t>气血上限+1000</t>
  </si>
  <si>
    <t>item/800105</t>
  </si>
  <si>
    <r>
      <rPr>
        <sz val="11"/>
        <color theme="1"/>
        <rFont val="宋体"/>
        <family val="3"/>
        <charset val="134"/>
        <scheme val="minor"/>
      </rPr>
      <t>速度+</t>
    </r>
    <r>
      <rPr>
        <sz val="11"/>
        <color theme="1"/>
        <rFont val="宋体"/>
        <family val="3"/>
        <charset val="134"/>
        <scheme val="minor"/>
      </rPr>
      <t>200</t>
    </r>
  </si>
  <si>
    <t>落雨寒烟翠，天明归路时。</t>
  </si>
  <si>
    <t>item/700105</t>
  </si>
  <si>
    <t>鲁班飞索</t>
  </si>
  <si>
    <r>
      <rPr>
        <sz val="11"/>
        <color theme="1"/>
        <rFont val="宋体"/>
        <family val="3"/>
        <charset val="134"/>
        <scheme val="minor"/>
      </rPr>
      <t>暴击+</t>
    </r>
    <r>
      <rPr>
        <sz val="11"/>
        <color theme="1"/>
        <rFont val="宋体"/>
        <family val="3"/>
        <charset val="134"/>
        <scheme val="minor"/>
      </rPr>
      <t>80</t>
    </r>
  </si>
  <si>
    <t>传闻乃是前代鲁班所制，另有机巧变化，但若然不得其法，只能当做寻常用具。</t>
  </si>
  <si>
    <t>item/800205</t>
  </si>
  <si>
    <t>通贩</t>
  </si>
  <si>
    <t>随意寻来的结实木棍，微削成了木剑形状。</t>
  </si>
  <si>
    <t>武馆初学者的必备之物，勉强可保皮肉无虞。</t>
  </si>
  <si>
    <t>刀剑初学者练习所用，以硬木制成。</t>
  </si>
  <si>
    <t>用料扎实，做工一般但经久耐用。</t>
  </si>
  <si>
    <t>寻常的白蜡杆，勉强可作枪棍之用。</t>
  </si>
  <si>
    <t>红缨铁枪</t>
  </si>
  <si>
    <t>只在枪尖铸铁的长枪，易损易折，顶部套了稀疏的红缨。</t>
  </si>
  <si>
    <t>初学者常腕力虚浮，故需使镂空之铁扇。</t>
  </si>
  <si>
    <t>打造粗陋的重刃，为夯实基础所用之物。</t>
  </si>
  <si>
    <t>在千层底靴头前方缀以铁片，以其伤敌防身。</t>
  </si>
  <si>
    <t>以坚韧的绳索将铁球系紧，可掷抛远击，亦可缩短近击。</t>
  </si>
  <si>
    <t>寻常人家穿的粗布衣服，耐脏结实。</t>
  </si>
  <si>
    <t>防御+3;攻击力+2</t>
  </si>
  <si>
    <t>便宜耐用的棉布护腕，用料扎实，制作简单。</t>
  </si>
  <si>
    <t>防御+4</t>
  </si>
  <si>
    <t>初入武林之人因简就陋所扎的绑腿。</t>
  </si>
  <si>
    <t>防御+2;气血上限+50</t>
  </si>
  <si>
    <t>庄户人家使用的腰带，粗麻搓制，勉强堪用。</t>
  </si>
  <si>
    <t>气血上限+13</t>
  </si>
  <si>
    <t>糙铁弯曲而成的扳指，虽无甚用处，却亦不失为装饰玩意儿。</t>
  </si>
  <si>
    <t>气血上限+15</t>
  </si>
  <si>
    <t>粗铸指虎，又称“铁莲花”、“铁四指”。</t>
  </si>
  <si>
    <t>此剑乃云流山庄铸造的制式兵刃，故称“云形”，薄锐精美。</t>
  </si>
  <si>
    <t>精锻长刀</t>
  </si>
  <si>
    <t>此刀虽以凡铁为材，但百锻之下，亦得刚硬锋锐。</t>
  </si>
  <si>
    <t>常为衙门所用，又称“杀威棒”，坚实牢靠。</t>
  </si>
  <si>
    <t>骨扇轻便硬脆，不失精美，多为江湖儒客喜爱，扇面绘有竹枝，颇显清雅。</t>
  </si>
  <si>
    <t>用料扎实，颇为沉重，即使无锋，亦可以其分量挥砸伤人。</t>
  </si>
  <si>
    <t>边军骑兵制式，上雕兽首，颇具威风。</t>
  </si>
  <si>
    <t>勾魂索</t>
  </si>
  <si>
    <r>
      <rPr>
        <sz val="11"/>
        <color theme="1"/>
        <rFont val="宋体"/>
        <family val="3"/>
        <charset val="134"/>
        <scheme val="minor"/>
      </rPr>
      <t>攻击力+1</t>
    </r>
    <r>
      <rPr>
        <sz val="11"/>
        <color theme="1"/>
        <rFont val="宋体"/>
        <family val="3"/>
        <charset val="134"/>
        <scheme val="minor"/>
      </rPr>
      <t>3</t>
    </r>
  </si>
  <si>
    <t>套索长九尺，两端有四寸八棱镖头为坠。运使时翻腾飞舞，隐有穿云破空之声。</t>
  </si>
  <si>
    <t>防御+5;攻击力+3</t>
  </si>
  <si>
    <t>在棉布护腕的基础上增加了竹片，可御斩割。</t>
  </si>
  <si>
    <t>防御+7</t>
  </si>
  <si>
    <t>轻功修习常需负重，此物便是为此而制。</t>
  </si>
  <si>
    <t>防御+4;气血上限+130</t>
  </si>
  <si>
    <t>细锦缎裁剪的腰带，保暖舒适，兼具美观。</t>
  </si>
  <si>
    <t>气血上限+25;</t>
  </si>
  <si>
    <t>碧玉雕成的指环，虽用料一般，雕工却甚是精细。</t>
  </si>
  <si>
    <t>颇有关外之风的雕坠，手艺精巧，颇具匠心。</t>
  </si>
  <si>
    <t>攻击力+15;命中+40</t>
  </si>
  <si>
    <t>危楼高百尺，手可摘星辰。</t>
  </si>
  <si>
    <t>攻击力+17;命中+40</t>
  </si>
  <si>
    <t>如寄蜉蝣天地笑。</t>
  </si>
  <si>
    <t>item/102202</t>
  </si>
  <si>
    <t>攻击力+18;命中+40</t>
  </si>
  <si>
    <t>沧海狂歌众生渺。</t>
  </si>
  <si>
    <t>攻击力+20;命中+40</t>
  </si>
  <si>
    <t>高祖酩酊斩白蛇，还乡悲唱大风歌。</t>
  </si>
  <si>
    <t>item/104202</t>
  </si>
  <si>
    <t>攻击力+19;命中+40</t>
  </si>
  <si>
    <t>攻击力+16;命中+40</t>
  </si>
  <si>
    <t>呦呦鹿鸣，食野之苹。</t>
  </si>
  <si>
    <t>星河如梭天穹落。</t>
  </si>
  <si>
    <t>青山缭绕疑无路，忽见千帆隐映来。</t>
  </si>
  <si>
    <t>十年花骨东风泪，枯松落雨素壁尘。</t>
  </si>
  <si>
    <t>君侧</t>
  </si>
  <si>
    <t>席间杯酒销王气，汴水流年咽露盘。</t>
  </si>
  <si>
    <t>item/111202</t>
  </si>
  <si>
    <t>防御力+10;气血上限+150;</t>
  </si>
  <si>
    <t>天涯海阁为尊贵客人备下的衣衫，用料上乘，做工极为精细。</t>
  </si>
  <si>
    <t>防御力+4;气血回复+1</t>
  </si>
  <si>
    <t>皓腕玉臂今何在，血污游魂归不得。</t>
  </si>
  <si>
    <t>防御力+4;闪避+2</t>
  </si>
  <si>
    <t>浮生若梦，悲欢几何。</t>
  </si>
  <si>
    <t>浮生只合尊前老，雪满长安道。</t>
  </si>
  <si>
    <t>气血上限+20;体力回复+1</t>
  </si>
  <si>
    <t>气血上限+15;速度+50</t>
  </si>
  <si>
    <t>西北望长安，可怜无数山。</t>
  </si>
  <si>
    <t>精铁拳套，上以薄金为饰，价值不菲。</t>
  </si>
  <si>
    <t>剑鞘、剑柄皆以碧玉为饰；名贵之余，亦是把薄如蝉翼，吹毛立断的好剑。</t>
  </si>
  <si>
    <t>磐龙</t>
  </si>
  <si>
    <t>秦岭金刚木为底材，经文火武炼，上盘一条铜龙，更添威势。</t>
  </si>
  <si>
    <t>军制长枪，杀机凛凛，枪头灿亮如银，以此得名。</t>
  </si>
  <si>
    <t>选材颇为考究，更曾求江南名家作一桃花扇面，哪怕不作兵刃，亦是极佳陈设。</t>
  </si>
  <si>
    <t>边军破阵所用，需膂力颇强方能使动，斩裂寻常甲盾，不在话下。</t>
  </si>
  <si>
    <t>精铁百锻，上可淬毒；本是行伍设伏所用，后经暗器高手改制，亦能袖下伤敌。</t>
  </si>
  <si>
    <t>内有机扩，靴头枪尖可伸缩自如，攀崖伤敌，易如反掌。</t>
  </si>
  <si>
    <t>异国刀匠精工锻打而成，于中原辗转多年，仍锋利如新。</t>
  </si>
  <si>
    <t>无间分铜</t>
  </si>
  <si>
    <t>分铜乃行商沽价所用，颇为沉重，再以铁索相连，膂力不足者或难运使。</t>
  </si>
  <si>
    <t>上缀护心镜的黑革皮铠，轻便牢靠，寻常兵刃皆可御之。</t>
  </si>
  <si>
    <t>防御+15;攻击力+6</t>
  </si>
  <si>
    <t>防御+18</t>
  </si>
  <si>
    <t>以硬铁、坚革层叠而成，刀枪难伤。</t>
  </si>
  <si>
    <r>
      <rPr>
        <sz val="11"/>
        <color theme="1"/>
        <rFont val="宋体"/>
        <family val="3"/>
        <charset val="134"/>
        <scheme val="minor"/>
      </rPr>
      <t>防御+</t>
    </r>
    <r>
      <rPr>
        <sz val="11"/>
        <color theme="1"/>
        <rFont val="宋体"/>
        <family val="3"/>
        <charset val="134"/>
        <scheme val="minor"/>
      </rPr>
      <t>12</t>
    </r>
    <r>
      <rPr>
        <sz val="11"/>
        <color theme="1"/>
        <rFont val="宋体"/>
        <family val="3"/>
        <charset val="134"/>
        <scheme val="minor"/>
      </rPr>
      <t>;气血上限+220</t>
    </r>
  </si>
  <si>
    <t>蜀锦织造，上缀红玉，极尽显贵。</t>
  </si>
  <si>
    <t>气血上限+35</t>
  </si>
  <si>
    <t>沉稳典雅，不加雕饰，纯以木纹为奇，颇具古韵。</t>
  </si>
  <si>
    <t>造型朴素，却以美玉为坯，取其璞玉浑金，不慕名利的君子之意。</t>
  </si>
  <si>
    <t>攻击力+25;命中+75</t>
  </si>
  <si>
    <t>曾为一外家功夫登峰造极的隐世高人所有，内镌“镇恶”二字。</t>
  </si>
  <si>
    <t>攻击力+27;命中+75</t>
  </si>
  <si>
    <t>从一方崖墓中寻得的古剑，据传崖墓乃古时得道之人藏丹之所，该剑故此得名。</t>
  </si>
  <si>
    <t>攻击力+28;命中+75</t>
  </si>
  <si>
    <t>玄铁锻成，传说纵是钢筋铁骨，此刀亦可削之如泥，故得此名。</t>
  </si>
  <si>
    <t>攻击力+30;命中+75</t>
  </si>
  <si>
    <t>此刀已非为凡夫锻制，大巧若拙，非天生神力者难以挥持。</t>
  </si>
  <si>
    <t>攻击力+29;命中+75</t>
  </si>
  <si>
    <t>其材通体温润，非金非玉，以罕见红石为饰，似有禅机。</t>
  </si>
  <si>
    <t>胜天赞释</t>
  </si>
  <si>
    <t>无名冢中所得，三尖两刃，斩刺劈挑无所不能，来历已不可考，上镌天竺文字“胜天赞释”。</t>
  </si>
  <si>
    <t>攻击力+26;命中+75</t>
  </si>
  <si>
    <t>一京中大员被抄家后流出之物，牙雕扇骨，更有古之名家所绘山水扇面，乃稀世重宝，作为兵刃亦相当堪用。</t>
  </si>
  <si>
    <t>一套陨铁飞针，锻冶名家精铸数年方得，极尽精致隽雅之能事，乃一暗器名宿为向负心人复仇之用，至于何得此名，却是无人知晓。</t>
  </si>
  <si>
    <t>一关外名匠倾注终生心血方得此靴头，内嵌千锻锯轮，锐不可当；出腿时锯轮飞转，有割雾切风之能。</t>
  </si>
  <si>
    <t>倭国某将军的家传名刀，原主折戟中原后数易其主，供养日久，几已自生杀意。</t>
  </si>
  <si>
    <t>传闻此物发自前朝将陵之中，挥舞间隐有风雷之声。</t>
  </si>
  <si>
    <t>item/111203</t>
  </si>
  <si>
    <t>防御力+17;气血上限+350</t>
  </si>
  <si>
    <t>传闻是江南一大家闺秀听闻情郎进京赶考多年，终于高中状元，欣喜之下呕心沥血缝制而成，然此袍极新，竟是无人穿过。</t>
  </si>
  <si>
    <t>防御+20;攻击力+30</t>
  </si>
  <si>
    <t>夔者，状如牛，苍身而无角，一足，出入水则必风雨，其光如日月，其声如雷；此袖以夔纹为饰，更有虚实莫辨之传言，只道此袖是以夔皮制成。</t>
  </si>
  <si>
    <t>防御+15;速度+100</t>
  </si>
  <si>
    <t>古有乱世，一儒将大破敌军，斩获万余，受赏此物，名取追亡逐北之意，本为国库重宝，后因宫内失窃，流入江湖。</t>
  </si>
  <si>
    <t>气血上限+400;气血回复+4</t>
  </si>
  <si>
    <t>此带与踏逐腿一同于宫中失窃，源末已不可考，唯余内衬一道诗纹“今忽暮春间，值我病经年。”</t>
  </si>
  <si>
    <t>防御力+20;闪避+12</t>
  </si>
  <si>
    <t>传闻乃东汉枭雄作《龟虽寿》时，麾下幕僚阿谀所作之物，古色古韵，颇为精细。</t>
  </si>
  <si>
    <t>一老叟于江中钓得，上镌“落花时节再逢君。”，应是痴情人所遗之物。</t>
  </si>
  <si>
    <t>气血上限+50;攻击力+20</t>
  </si>
  <si>
    <t>据传是一前朝巨贪的枕边物，有招财进宝之灵异神效。</t>
  </si>
  <si>
    <t>命中+15;闪避+5</t>
  </si>
  <si>
    <r>
      <rPr>
        <sz val="11"/>
        <color theme="1"/>
        <rFont val="宋体"/>
        <family val="3"/>
        <charset val="134"/>
        <scheme val="minor"/>
      </rPr>
      <t>防御力+</t>
    </r>
    <r>
      <rPr>
        <sz val="11"/>
        <color theme="1"/>
        <rFont val="宋体"/>
        <family val="3"/>
        <charset val="134"/>
        <scheme val="minor"/>
      </rPr>
      <t>2</t>
    </r>
    <r>
      <rPr>
        <sz val="11"/>
        <color theme="1"/>
        <rFont val="宋体"/>
        <family val="3"/>
        <charset val="134"/>
        <scheme val="minor"/>
      </rPr>
      <t>;气血上限+10;</t>
    </r>
  </si>
  <si>
    <t>攻击力+42</t>
  </si>
  <si>
    <t>以墨家遗卷为据锻出的拳套，其中多有机扩刀锋，极其罕见。</t>
  </si>
  <si>
    <t>攻击力+43</t>
  </si>
  <si>
    <r>
      <rPr>
        <sz val="11"/>
        <color theme="1"/>
        <rFont val="宋体"/>
        <family val="3"/>
        <charset val="134"/>
        <scheme val="minor"/>
      </rPr>
      <t>攻击力+</t>
    </r>
    <r>
      <rPr>
        <sz val="11"/>
        <color theme="1"/>
        <rFont val="宋体"/>
        <family val="3"/>
        <charset val="134"/>
        <scheme val="minor"/>
      </rPr>
      <t>44</t>
    </r>
  </si>
  <si>
    <t>取“遗恨失吞吴”中吞吴之意，刀脊泛青，颇有古韵。</t>
  </si>
  <si>
    <t>攻击力+44</t>
  </si>
  <si>
    <r>
      <rPr>
        <sz val="11"/>
        <color theme="1"/>
        <rFont val="宋体"/>
        <family val="3"/>
        <charset val="134"/>
        <scheme val="minor"/>
      </rPr>
      <t>攻击力+</t>
    </r>
    <r>
      <rPr>
        <sz val="11"/>
        <color theme="1"/>
        <rFont val="宋体"/>
        <family val="3"/>
        <charset val="134"/>
        <scheme val="minor"/>
      </rPr>
      <t>45</t>
    </r>
  </si>
  <si>
    <t>除枪尖雪白外通体猩红，极尽凶戾，隐有霸王遗风。</t>
  </si>
  <si>
    <t>无论扇骨扇面，尽皆坚固轻便，不失文人风骨，携之云游万里，亦不失其新时光彩。</t>
  </si>
  <si>
    <t>仿古之名，重逾千钧，重刃所到之处，衣甲平过。</t>
  </si>
  <si>
    <t>攻击力+41</t>
  </si>
  <si>
    <t>状似梅花，极锋极锐，以不同手法掷出便有不同变化，凡精擅暗器之人，无不喜其形制。</t>
  </si>
  <si>
    <r>
      <rPr>
        <sz val="11"/>
        <color theme="1"/>
        <rFont val="宋体"/>
        <family val="3"/>
        <charset val="134"/>
        <scheme val="minor"/>
      </rPr>
      <t>攻击力+</t>
    </r>
    <r>
      <rPr>
        <sz val="11"/>
        <color theme="1"/>
        <rFont val="宋体"/>
        <family val="3"/>
        <charset val="134"/>
        <scheme val="minor"/>
      </rPr>
      <t>43</t>
    </r>
  </si>
  <si>
    <t>出自名家之手，陨铁锻成的破甲矛锥，破甲穿盾，易如反掌。</t>
  </si>
  <si>
    <t>倭寇精锐制式佩刀，因其远渡重洋而来，故得此名。</t>
  </si>
  <si>
    <t>陨铁锻刃，骨血淬魂，镰刃过处，生机断绝。</t>
  </si>
  <si>
    <t>防御力+41</t>
  </si>
  <si>
    <t>丝以蚕初最柔，每只蚕终生只得三寸，单丝便要千金之价，其工更是价值连城。</t>
  </si>
  <si>
    <r>
      <rPr>
        <sz val="11"/>
        <color theme="1"/>
        <rFont val="宋体"/>
        <family val="3"/>
        <charset val="134"/>
        <scheme val="minor"/>
      </rPr>
      <t>防御+</t>
    </r>
    <r>
      <rPr>
        <sz val="11"/>
        <color theme="1"/>
        <rFont val="宋体"/>
        <family val="3"/>
        <charset val="134"/>
        <scheme val="minor"/>
      </rPr>
      <t>1</t>
    </r>
    <r>
      <rPr>
        <sz val="11"/>
        <color theme="1"/>
        <rFont val="宋体"/>
        <family val="3"/>
        <charset val="134"/>
        <scheme val="minor"/>
      </rPr>
      <t>8;攻击力+</t>
    </r>
    <r>
      <rPr>
        <sz val="11"/>
        <color theme="1"/>
        <rFont val="宋体"/>
        <family val="3"/>
        <charset val="134"/>
        <scheme val="minor"/>
      </rPr>
      <t>1</t>
    </r>
    <r>
      <rPr>
        <sz val="11"/>
        <color theme="1"/>
        <rFont val="宋体"/>
        <family val="3"/>
        <charset val="134"/>
        <scheme val="minor"/>
      </rPr>
      <t>6</t>
    </r>
  </si>
  <si>
    <t>饕餮乃远古凶兽，镌之可镇诸邪，但这般邪纹亦自带魔念，非心境至纯之人不能镇。</t>
  </si>
  <si>
    <r>
      <rPr>
        <sz val="11"/>
        <color theme="1"/>
        <rFont val="宋体"/>
        <family val="3"/>
        <charset val="134"/>
        <scheme val="minor"/>
      </rPr>
      <t>防御+</t>
    </r>
    <r>
      <rPr>
        <sz val="11"/>
        <color theme="1"/>
        <rFont val="宋体"/>
        <family val="3"/>
        <charset val="134"/>
        <scheme val="minor"/>
      </rPr>
      <t>22</t>
    </r>
  </si>
  <si>
    <t>极坚极固，色若天边红霞，故得此映云之名。</t>
  </si>
  <si>
    <r>
      <rPr>
        <sz val="11"/>
        <color theme="1"/>
        <rFont val="宋体"/>
        <family val="3"/>
        <charset val="134"/>
        <scheme val="minor"/>
      </rPr>
      <t>防御+20;气血上限+550</t>
    </r>
    <r>
      <rPr>
        <sz val="11"/>
        <color theme="1"/>
        <rFont val="宋体"/>
        <family val="3"/>
        <charset val="134"/>
        <scheme val="minor"/>
      </rPr>
      <t>;</t>
    </r>
  </si>
  <si>
    <t>兽皮玉带，用料极尽奢华，所佩者多是京中达官显贵。</t>
  </si>
  <si>
    <r>
      <rPr>
        <sz val="11"/>
        <color theme="1"/>
        <rFont val="宋体"/>
        <family val="3"/>
        <charset val="134"/>
        <scheme val="minor"/>
      </rPr>
      <t>气血上限+</t>
    </r>
    <r>
      <rPr>
        <sz val="11"/>
        <color theme="1"/>
        <rFont val="宋体"/>
        <family val="3"/>
        <charset val="134"/>
        <scheme val="minor"/>
      </rPr>
      <t>100</t>
    </r>
  </si>
  <si>
    <t>戒上宝石如玉似金，深邃莫名，久久凝望，几有吞噬日月之感。</t>
  </si>
  <si>
    <r>
      <rPr>
        <sz val="11"/>
        <color theme="1"/>
        <rFont val="宋体"/>
        <family val="3"/>
        <charset val="134"/>
        <scheme val="minor"/>
      </rPr>
      <t>气血上限+1</t>
    </r>
    <r>
      <rPr>
        <sz val="11"/>
        <color theme="1"/>
        <rFont val="宋体"/>
        <family val="3"/>
        <charset val="134"/>
        <scheme val="minor"/>
      </rPr>
      <t>2</t>
    </r>
    <r>
      <rPr>
        <sz val="11"/>
        <color theme="1"/>
        <rFont val="宋体"/>
        <family val="3"/>
        <charset val="134"/>
        <scheme val="minor"/>
      </rPr>
      <t>0</t>
    </r>
  </si>
  <si>
    <t>浮屠罪业，尽归己身。</t>
  </si>
  <si>
    <r>
      <rPr>
        <sz val="11"/>
        <color theme="1"/>
        <rFont val="宋体"/>
        <family val="3"/>
        <charset val="134"/>
        <scheme val="minor"/>
      </rPr>
      <t>气血上限+</t>
    </r>
    <r>
      <rPr>
        <sz val="11"/>
        <color theme="1"/>
        <rFont val="宋体"/>
        <family val="3"/>
        <charset val="134"/>
        <scheme val="minor"/>
      </rPr>
      <t>90</t>
    </r>
  </si>
  <si>
    <t>攻击力+50;命中+125</t>
  </si>
  <si>
    <t>有约不来过夜半，闲敲棋子落灯花。</t>
  </si>
  <si>
    <t>攻击力+51;命中+125</t>
  </si>
  <si>
    <t>最伤人者，莫过相思。</t>
  </si>
  <si>
    <t>攻击力+52;吸血+4</t>
  </si>
  <si>
    <t>传言此刀极锋极锐，出鞘时刀气纵横，可斩飞鸟，故得此名。</t>
  </si>
  <si>
    <t>攻击力+53;命中+125</t>
  </si>
  <si>
    <t>攻击力+55;命中+125</t>
  </si>
  <si>
    <t>别愁深夜雨，孤影逐天衢。</t>
  </si>
  <si>
    <t>韦陀降魔</t>
  </si>
  <si>
    <t>攻击力+54;命中+125</t>
  </si>
  <si>
    <t>待从头，收拾旧山河，朝天阙。</t>
  </si>
  <si>
    <t>万里悲风，独照松月。</t>
  </si>
  <si>
    <t>攻击力+52;命中+125</t>
  </si>
  <si>
    <t>幽兰生前庭，含熏待清风。</t>
  </si>
  <si>
    <t>鲛皮密缝，水族不伤。</t>
  </si>
  <si>
    <t>刃斩百魂，方生怨戾。</t>
  </si>
  <si>
    <t>防御力+35;气血上限+400;</t>
  </si>
  <si>
    <t>夜半风雪紧，狐裘疑啸月。</t>
  </si>
  <si>
    <t>防御力+30;气血回复+7</t>
  </si>
  <si>
    <t>功忘自据菩提座，照尽谁传般若灯。</t>
  </si>
  <si>
    <t>防御力+33;速度+125</t>
  </si>
  <si>
    <t>夸父但追红日走，咫尺山河不共天。</t>
  </si>
  <si>
    <t>体力回复+2;气血回复+2;内劲增长+3</t>
  </si>
  <si>
    <t>俯仰皆逆旅，八方人间。</t>
  </si>
  <si>
    <t>防御力+26;闪避+20</t>
  </si>
  <si>
    <t>黄粱一梦从今觉，愿息尘机礼法王。</t>
  </si>
  <si>
    <t>攻击力+28;气血上限+200</t>
  </si>
  <si>
    <t>明王振翅，镇狱伏邪。</t>
  </si>
  <si>
    <t>气血上限+300</t>
  </si>
  <si>
    <r>
      <rPr>
        <sz val="11"/>
        <color theme="1"/>
        <rFont val="宋体"/>
        <family val="3"/>
        <charset val="134"/>
        <scheme val="minor"/>
      </rPr>
      <t>item/104</t>
    </r>
    <r>
      <rPr>
        <sz val="11"/>
        <color theme="1"/>
        <rFont val="宋体"/>
        <family val="3"/>
        <charset val="134"/>
        <scheme val="minor"/>
      </rPr>
      <t>0</t>
    </r>
    <r>
      <rPr>
        <sz val="11"/>
        <color theme="1"/>
        <rFont val="宋体"/>
        <family val="3"/>
        <charset val="134"/>
        <scheme val="minor"/>
      </rPr>
      <t>05</t>
    </r>
  </si>
  <si>
    <t>白袍戟</t>
  </si>
  <si>
    <t>昔日白袍神将仅凭十八骑亲卫日闯三关，夜夺八寨，独守隋东关，逼死辽东王。后将此戟立于辽东，并指戟为誓：白袍戟断，辽东国亡。</t>
  </si>
  <si>
    <r>
      <rPr>
        <sz val="11"/>
        <color theme="1"/>
        <rFont val="宋体"/>
        <family val="3"/>
        <charset val="134"/>
        <scheme val="minor"/>
      </rPr>
      <t>item/1041</t>
    </r>
    <r>
      <rPr>
        <sz val="11"/>
        <color theme="1"/>
        <rFont val="宋体"/>
        <family val="3"/>
        <charset val="134"/>
        <scheme val="minor"/>
      </rPr>
      <t>05</t>
    </r>
  </si>
  <si>
    <t>定海</t>
  </si>
  <si>
    <t>传说中的锦帆贼用来定船的铁锚。</t>
  </si>
  <si>
    <r>
      <rPr>
        <sz val="11"/>
        <color theme="1"/>
        <rFont val="宋体"/>
        <family val="3"/>
        <charset val="134"/>
        <scheme val="minor"/>
      </rPr>
      <t>item/11</t>
    </r>
    <r>
      <rPr>
        <sz val="11"/>
        <color theme="1"/>
        <rFont val="宋体"/>
        <family val="3"/>
        <charset val="134"/>
        <scheme val="minor"/>
      </rPr>
      <t>1</t>
    </r>
    <r>
      <rPr>
        <sz val="11"/>
        <color theme="1"/>
        <rFont val="宋体"/>
        <family val="3"/>
        <charset val="134"/>
        <scheme val="minor"/>
      </rPr>
      <t>005</t>
    </r>
  </si>
  <si>
    <t>孔雀轮</t>
  </si>
  <si>
    <t>传闻来自吐蕃的番僧为前朝皇帝的特务机构设计制造的杀人灭口的利器，取人首级如同探囊取物。</t>
  </si>
  <si>
    <r>
      <rPr>
        <sz val="11"/>
        <color theme="1"/>
        <rFont val="宋体"/>
        <family val="3"/>
        <charset val="134"/>
        <scheme val="minor"/>
      </rPr>
      <t>item/11</t>
    </r>
    <r>
      <rPr>
        <sz val="11"/>
        <color theme="1"/>
        <rFont val="宋体"/>
        <family val="3"/>
        <charset val="134"/>
        <scheme val="minor"/>
      </rPr>
      <t>1</t>
    </r>
    <r>
      <rPr>
        <sz val="11"/>
        <color theme="1"/>
        <rFont val="宋体"/>
        <family val="3"/>
        <charset val="134"/>
        <scheme val="minor"/>
      </rPr>
      <t>006</t>
    </r>
  </si>
  <si>
    <t>白蟒</t>
  </si>
  <si>
    <r>
      <rPr>
        <sz val="11"/>
        <color theme="1"/>
        <rFont val="宋体"/>
        <family val="3"/>
        <charset val="134"/>
        <scheme val="minor"/>
      </rPr>
      <t>item/104</t>
    </r>
    <r>
      <rPr>
        <sz val="11"/>
        <color theme="1"/>
        <rFont val="宋体"/>
        <family val="3"/>
        <charset val="134"/>
        <scheme val="minor"/>
      </rPr>
      <t>1</t>
    </r>
    <r>
      <rPr>
        <sz val="11"/>
        <color theme="1"/>
        <rFont val="宋体"/>
        <family val="3"/>
        <charset val="134"/>
        <scheme val="minor"/>
      </rPr>
      <t>07</t>
    </r>
  </si>
  <si>
    <t>百炼飞爪</t>
  </si>
  <si>
    <t>墨家不传机关，为钜子死士的武器。</t>
  </si>
  <si>
    <r>
      <rPr>
        <sz val="11"/>
        <color theme="1"/>
        <rFont val="宋体"/>
        <family val="3"/>
        <charset val="134"/>
        <scheme val="minor"/>
      </rPr>
      <t>item/11</t>
    </r>
    <r>
      <rPr>
        <sz val="11"/>
        <color theme="1"/>
        <rFont val="宋体"/>
        <family val="3"/>
        <charset val="134"/>
        <scheme val="minor"/>
      </rPr>
      <t>1</t>
    </r>
    <r>
      <rPr>
        <sz val="11"/>
        <color theme="1"/>
        <rFont val="宋体"/>
        <family val="3"/>
        <charset val="134"/>
        <scheme val="minor"/>
      </rPr>
      <t>007</t>
    </r>
  </si>
  <si>
    <t>习得乾坤一锅烩配方</t>
    <phoneticPr fontId="45" type="noConversion"/>
  </si>
  <si>
    <t>Learned Colorful Cloud Snail Stir-fry Recipe</t>
    <phoneticPr fontId="45" type="noConversion"/>
  </si>
  <si>
    <t>Learned Grass Snail Soup Recipe</t>
    <phoneticPr fontId="45" type="noConversion"/>
  </si>
  <si>
    <t>乾坤一锅</t>
    <phoneticPr fontId="45" type="noConversion"/>
  </si>
  <si>
    <t>使用【乾坤一锅】</t>
    <phoneticPr fontId="45" type="noConversion"/>
  </si>
  <si>
    <t>Exquisite Stew</t>
    <phoneticPr fontId="45" type="noConversion"/>
  </si>
  <si>
    <t>记载于《四海食记》食谱中的玄妙菜肴，可食补自身，补精益元。</t>
    <phoneticPr fontId="45" type="noConversion"/>
  </si>
  <si>
    <t>item/901105</t>
    <phoneticPr fontId="45" type="noConversion"/>
  </si>
  <si>
    <t>3,120010</t>
    <phoneticPr fontId="45" type="noConversion"/>
  </si>
  <si>
    <t>乾坤一锅炖食补药方</t>
    <phoneticPr fontId="45" type="noConversion"/>
  </si>
  <si>
    <t>记载了某种药材的配制单方，阅读后可习得归元散的制药方法。</t>
    <phoneticPr fontId="45" type="noConversion"/>
  </si>
  <si>
    <t>记载了某种药材的配制单方，阅读后可习得乾坤一锅烩的食补方法。</t>
    <phoneticPr fontId="45" type="noConversion"/>
  </si>
  <si>
    <t>习得归元散配方</t>
    <phoneticPr fontId="45" type="noConversion"/>
  </si>
  <si>
    <t>Records medicinal preparation methods. Studying allows learning the  Exquisite Stew Powder formula.</t>
  </si>
  <si>
    <t>Learned Origin-Returning Powder Formula</t>
    <phoneticPr fontId="45" type="noConversion"/>
  </si>
  <si>
    <t>Learned Exquisite Stew  Powder Formula</t>
    <phoneticPr fontId="45" type="noConversion"/>
  </si>
  <si>
    <t>​​Used [Exquisite Stew].​</t>
    <phoneticPr fontId="45" type="noConversion"/>
  </si>
  <si>
    <t>"In shadowed caves, moss grows unseen. Scraped and washed down with clear spring water, it smoothes qi and focuses the mind."</t>
    <phoneticPr fontId="45" type="noConversion"/>
  </si>
  <si>
    <t>"An esoteric dish recorded in ancient cookbooks, which can also be consumed as medicine."</t>
    <phoneticPr fontId="45" type="noConversion"/>
  </si>
  <si>
    <t>真气:4</t>
    <phoneticPr fontId="45" type="noConversion"/>
  </si>
  <si>
    <t>​​Gains 4 Qi points.​</t>
    <phoneticPr fontId="45" type="noConversion"/>
  </si>
  <si>
    <t>境界≥5</t>
    <phoneticPr fontId="45" type="noConversion"/>
  </si>
  <si>
    <t>获得真气4点</t>
    <phoneticPr fontId="45" type="noConversion"/>
  </si>
  <si>
    <t>3,100023</t>
    <phoneticPr fontId="4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</si>
</sst>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宋体"/>
      <charset val="134"/>
      <scheme val="minor"/>
    </font>
    <font>
      <b/>
      <sz val="11"/>
      <color theme="1"/>
      <name val="宋体"/>
      <family val="3"/>
      <charset val="134"/>
      <scheme val="minor"/>
    </font>
    <font>
      <b/>
      <sz val="11"/>
      <name val="宋体"/>
      <family val="3"/>
      <charset val="134"/>
      <scheme val="minor"/>
    </font>
    <font>
      <sz val="11"/>
      <name val="宋体"/>
      <family val="3"/>
      <charset val="134"/>
      <scheme val="minor"/>
    </font>
    <font>
      <sz val="11"/>
      <color theme="1"/>
      <name val="宋体"/>
      <family val="3"/>
      <charset val="134"/>
    </font>
    <font>
      <sz val="11"/>
      <name val="宋体"/>
      <family val="3"/>
      <charset val="134"/>
    </font>
    <font>
      <sz val="11"/>
      <color rgb="FF2F2F2F"/>
      <name val="宋体"/>
      <family val="3"/>
      <charset val="134"/>
    </font>
    <font>
      <sz val="11"/>
      <color rgb="FF333333"/>
      <name val="宋体"/>
      <family val="3"/>
      <charset val="134"/>
    </font>
    <font>
      <sz val="11"/>
      <color rgb="FF191B1F"/>
      <name val="宋体"/>
      <family val="3"/>
      <charset val="134"/>
    </font>
    <font>
      <sz val="10.5"/>
      <color theme="1"/>
      <name val="宋体"/>
      <family val="3"/>
      <charset val="134"/>
    </font>
    <font>
      <sz val="10.5"/>
      <name val="宋体"/>
      <family val="3"/>
      <charset val="134"/>
    </font>
    <font>
      <sz val="10.5"/>
      <color rgb="FF000000"/>
      <name val="宋体"/>
      <family val="3"/>
      <charset val="134"/>
    </font>
    <font>
      <sz val="11"/>
      <color rgb="FF000000"/>
      <name val="宋体"/>
      <family val="3"/>
      <charset val="134"/>
    </font>
    <font>
      <sz val="11"/>
      <color rgb="FF222222"/>
      <name val="宋体"/>
      <family val="3"/>
      <charset val="134"/>
    </font>
    <font>
      <sz val="10.5"/>
      <color rgb="FF0F0F0F"/>
      <name val="宋体"/>
      <family val="3"/>
      <charset val="134"/>
    </font>
    <font>
      <sz val="11"/>
      <color theme="1"/>
      <name val="等线"/>
      <family val="3"/>
      <charset val="134"/>
    </font>
    <font>
      <sz val="11"/>
      <color rgb="FF006100"/>
      <name val="宋体"/>
      <family val="3"/>
      <charset val="134"/>
      <scheme val="minor"/>
    </font>
    <font>
      <sz val="12"/>
      <color theme="1"/>
      <name val="宋体"/>
      <family val="3"/>
      <charset val="134"/>
      <scheme val="minor"/>
    </font>
    <font>
      <sz val="10.5"/>
      <color theme="1"/>
      <name val="等线"/>
      <family val="3"/>
      <charset val="134"/>
    </font>
    <font>
      <sz val="10.5"/>
      <color theme="1"/>
      <name val="宋体"/>
      <family val="3"/>
      <charset val="134"/>
      <scheme val="minor"/>
    </font>
    <font>
      <sz val="12"/>
      <name val="宋体"/>
      <family val="3"/>
      <charset val="134"/>
      <scheme val="minor"/>
    </font>
    <font>
      <sz val="10.5"/>
      <color theme="1"/>
      <name val="Calibri"/>
      <family val="2"/>
    </font>
    <font>
      <sz val="10.5"/>
      <name val="等线"/>
      <family val="3"/>
      <charset val="134"/>
    </font>
    <font>
      <sz val="12"/>
      <color theme="1"/>
      <name val="Segoe UI"/>
      <family val="2"/>
    </font>
    <font>
      <sz val="12"/>
      <color rgb="FF333333"/>
      <name val="等线"/>
      <family val="3"/>
      <charset val="134"/>
    </font>
    <font>
      <sz val="11"/>
      <color theme="1"/>
      <name val="微软雅黑"/>
      <family val="2"/>
      <charset val="134"/>
    </font>
    <font>
      <sz val="12"/>
      <color indexed="8"/>
      <name val="宋体"/>
      <family val="3"/>
      <charset val="134"/>
    </font>
    <font>
      <sz val="12"/>
      <name val="宋体"/>
      <family val="3"/>
      <charset val="134"/>
    </font>
    <font>
      <sz val="11"/>
      <color indexed="8"/>
      <name val="宋体"/>
      <family val="3"/>
      <charset val="134"/>
    </font>
    <font>
      <sz val="11"/>
      <color rgb="FFFF0000"/>
      <name val="宋体"/>
      <family val="3"/>
      <charset val="134"/>
      <scheme val="minor"/>
    </font>
    <font>
      <sz val="10.5"/>
      <color indexed="8"/>
      <name val="等线"/>
      <family val="3"/>
      <charset val="134"/>
    </font>
    <font>
      <sz val="10.5"/>
      <color indexed="8"/>
      <name val="宋体"/>
      <family val="3"/>
      <charset val="134"/>
    </font>
    <font>
      <sz val="10.5"/>
      <color rgb="FFFF0000"/>
      <name val="宋体"/>
      <family val="3"/>
      <charset val="134"/>
      <scheme val="minor"/>
    </font>
    <font>
      <sz val="12"/>
      <color theme="0"/>
      <name val="宋体"/>
      <family val="3"/>
      <charset val="134"/>
    </font>
    <font>
      <sz val="10.5"/>
      <color rgb="FFFF0000"/>
      <name val="等线"/>
      <family val="3"/>
      <charset val="134"/>
    </font>
    <font>
      <sz val="11"/>
      <color rgb="FFFF0000"/>
      <name val="等线"/>
      <family val="3"/>
      <charset val="134"/>
    </font>
    <font>
      <b/>
      <sz val="11"/>
      <color theme="0"/>
      <name val="宋体"/>
      <family val="3"/>
      <charset val="134"/>
      <scheme val="minor"/>
    </font>
    <font>
      <i/>
      <sz val="12"/>
      <color theme="1"/>
      <name val="Segoe UI"/>
      <family val="2"/>
    </font>
    <font>
      <b/>
      <sz val="11"/>
      <color indexed="8"/>
      <name val="宋体"/>
      <family val="3"/>
      <charset val="134"/>
    </font>
    <font>
      <sz val="10.5"/>
      <color rgb="FF333333"/>
      <name val="宋体"/>
      <family val="3"/>
      <charset val="134"/>
    </font>
    <font>
      <sz val="10.5"/>
      <color rgb="FF000000"/>
      <name val="Helvetica"/>
      <family val="2"/>
    </font>
    <font>
      <sz val="11"/>
      <color theme="1"/>
      <name val="宋体"/>
      <family val="3"/>
      <charset val="134"/>
      <scheme val="minor"/>
    </font>
    <font>
      <b/>
      <sz val="9"/>
      <name val="宋体"/>
      <family val="3"/>
      <charset val="134"/>
    </font>
    <font>
      <sz val="9"/>
      <name val="宋体"/>
      <family val="3"/>
      <charset val="134"/>
    </font>
    <font>
      <b/>
      <sz val="9"/>
      <name val="宋体"/>
      <family val="3"/>
      <charset val="134"/>
      <scheme val="minor"/>
    </font>
    <font>
      <sz val="9"/>
      <name val="宋体"/>
      <family val="3"/>
      <charset val="134"/>
      <scheme val="minor"/>
    </font>
  </fonts>
  <fills count="34">
    <fill>
      <patternFill patternType="none"/>
    </fill>
    <fill>
      <patternFill patternType="gray125"/>
    </fill>
    <fill>
      <patternFill patternType="solid">
        <fgColor theme="0" tint="-0.34998626667073579"/>
        <bgColor indexed="64"/>
      </patternFill>
    </fill>
    <fill>
      <patternFill patternType="solid">
        <fgColor rgb="FF00B0F0"/>
        <bgColor indexed="64"/>
      </patternFill>
    </fill>
    <fill>
      <patternFill patternType="solid">
        <fgColor theme="7" tint="0.3979918820764794"/>
        <bgColor indexed="64"/>
      </patternFill>
    </fill>
    <fill>
      <patternFill patternType="solid">
        <fgColor rgb="FF92D050"/>
        <bgColor indexed="64"/>
      </patternFill>
    </fill>
    <fill>
      <patternFill patternType="solid">
        <fgColor theme="7" tint="0.59999389629810485"/>
        <bgColor indexed="64"/>
      </patternFill>
    </fill>
    <fill>
      <patternFill patternType="solid">
        <fgColor theme="9" tint="0.3979918820764794"/>
        <bgColor indexed="64"/>
      </patternFill>
    </fill>
    <fill>
      <patternFill patternType="solid">
        <fgColor rgb="FFFF0000"/>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theme="0" tint="-0.14813684499649038"/>
        <bgColor indexed="64"/>
      </patternFill>
    </fill>
    <fill>
      <patternFill patternType="solid">
        <fgColor theme="9"/>
        <bgColor indexed="64"/>
      </patternFill>
    </fill>
    <fill>
      <patternFill patternType="solid">
        <fgColor rgb="FFC00000"/>
        <bgColor indexed="64"/>
      </patternFill>
    </fill>
    <fill>
      <patternFill patternType="solid">
        <fgColor theme="6"/>
        <bgColor indexed="64"/>
      </patternFill>
    </fill>
    <fill>
      <patternFill patternType="solid">
        <fgColor theme="1" tint="0.14862514114810632"/>
        <bgColor indexed="64"/>
      </patternFill>
    </fill>
    <fill>
      <patternFill patternType="solid">
        <fgColor theme="4"/>
        <bgColor indexed="64"/>
      </patternFill>
    </fill>
    <fill>
      <patternFill patternType="solid">
        <fgColor theme="8"/>
        <bgColor indexed="64"/>
      </patternFill>
    </fill>
    <fill>
      <patternFill patternType="solid">
        <fgColor theme="9" tint="-0.249977111117893"/>
        <bgColor indexed="64"/>
      </patternFill>
    </fill>
    <fill>
      <patternFill patternType="solid">
        <fgColor theme="5" tint="0.59999389629810485"/>
        <bgColor indexed="64"/>
      </patternFill>
    </fill>
    <fill>
      <patternFill patternType="solid">
        <fgColor rgb="FFE6B8B7"/>
        <bgColor indexed="64"/>
      </patternFill>
    </fill>
    <fill>
      <patternFill patternType="solid">
        <fgColor rgb="FFFFFFFF"/>
        <bgColor indexed="64"/>
      </patternFill>
    </fill>
    <fill>
      <patternFill patternType="solid">
        <fgColor rgb="FF9BBB59"/>
        <bgColor indexed="64"/>
      </patternFill>
    </fill>
    <fill>
      <patternFill patternType="solid">
        <fgColor rgb="FF4F81BD"/>
        <bgColor indexed="64"/>
      </patternFill>
    </fill>
    <fill>
      <patternFill patternType="solid">
        <fgColor rgb="FFE26B0A"/>
        <bgColor indexed="64"/>
      </patternFill>
    </fill>
    <fill>
      <patternFill patternType="solid">
        <fgColor theme="1"/>
        <bgColor indexed="64"/>
      </patternFill>
    </fill>
    <fill>
      <patternFill patternType="solid">
        <fgColor theme="9" tint="0.39854121524704733"/>
        <bgColor indexed="64"/>
      </patternFill>
    </fill>
    <fill>
      <patternFill patternType="solid">
        <fgColor theme="2" tint="-0.249977111117893"/>
        <bgColor indexed="64"/>
      </patternFill>
    </fill>
    <fill>
      <patternFill patternType="solid">
        <fgColor rgb="FFD9D9D9"/>
        <bgColor indexed="64"/>
      </patternFill>
    </fill>
    <fill>
      <patternFill patternType="solid">
        <fgColor rgb="FFC4BD97"/>
        <bgColor indexed="64"/>
      </patternFill>
    </fill>
    <fill>
      <patternFill patternType="solid">
        <fgColor rgb="FFF79646"/>
        <bgColor indexed="64"/>
      </patternFill>
    </fill>
    <fill>
      <patternFill patternType="solid">
        <fgColor theme="3" tint="0.39954832605975527"/>
        <bgColor indexed="64"/>
      </patternFill>
    </fill>
    <fill>
      <patternFill patternType="solid">
        <fgColor rgb="FFC6EFCE"/>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style="thin">
        <color auto="1"/>
      </bottom>
      <diagonal/>
    </border>
    <border>
      <left/>
      <right style="thin">
        <color auto="1"/>
      </right>
      <top/>
      <bottom/>
      <diagonal/>
    </border>
  </borders>
  <cellStyleXfs count="2">
    <xf numFmtId="0" fontId="0" fillId="0" borderId="0"/>
    <xf numFmtId="0" fontId="16" fillId="33" borderId="0" applyNumberFormat="0" applyBorder="0" applyAlignment="0" applyProtection="0">
      <alignment vertical="center"/>
    </xf>
  </cellStyleXfs>
  <cellXfs count="511">
    <xf numFmtId="0" fontId="0" fillId="0" borderId="0" xfId="0"/>
    <xf numFmtId="0" fontId="1" fillId="0" borderId="0" xfId="0" applyFon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6" borderId="0" xfId="0" applyFill="1" applyAlignment="1">
      <alignment vertical="center"/>
    </xf>
    <xf numFmtId="0" fontId="0" fillId="7" borderId="0" xfId="0" applyFill="1"/>
    <xf numFmtId="0" fontId="0" fillId="8" borderId="0" xfId="0" applyFill="1"/>
    <xf numFmtId="0" fontId="0" fillId="0" borderId="0" xfId="0" applyAlignment="1">
      <alignment wrapText="1"/>
    </xf>
    <xf numFmtId="0" fontId="1" fillId="0" borderId="1" xfId="0" applyFont="1" applyBorder="1" applyAlignment="1">
      <alignment vertical="center" wrapText="1"/>
    </xf>
    <xf numFmtId="0" fontId="2" fillId="0" borderId="1" xfId="0" applyFont="1" applyBorder="1" applyAlignment="1">
      <alignment vertical="center" wrapText="1"/>
    </xf>
    <xf numFmtId="0" fontId="0" fillId="2" borderId="1" xfId="0" applyFill="1" applyBorder="1" applyAlignment="1">
      <alignment vertical="center" wrapText="1"/>
    </xf>
    <xf numFmtId="0" fontId="3" fillId="2" borderId="1" xfId="0" applyFont="1" applyFill="1" applyBorder="1" applyAlignment="1">
      <alignment vertical="center" wrapText="1"/>
    </xf>
    <xf numFmtId="0" fontId="0" fillId="0" borderId="1" xfId="0"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vertical="center"/>
    </xf>
    <xf numFmtId="0" fontId="0" fillId="3" borderId="1" xfId="0" applyFill="1" applyBorder="1" applyAlignment="1">
      <alignment vertical="center" wrapText="1"/>
    </xf>
    <xf numFmtId="0" fontId="3" fillId="3" borderId="1" xfId="0" applyFont="1" applyFill="1" applyBorder="1" applyAlignment="1">
      <alignment vertical="center" wrapText="1"/>
    </xf>
    <xf numFmtId="0" fontId="0" fillId="3" borderId="1" xfId="0" applyFill="1" applyBorder="1"/>
    <xf numFmtId="0" fontId="3" fillId="0" borderId="1" xfId="0" applyFont="1" applyBorder="1"/>
    <xf numFmtId="0" fontId="1" fillId="0" borderId="1" xfId="0" applyFont="1" applyBorder="1" applyAlignment="1">
      <alignment vertical="center"/>
    </xf>
    <xf numFmtId="0" fontId="0" fillId="2" borderId="1" xfId="0" applyFill="1" applyBorder="1" applyAlignment="1">
      <alignment vertical="center"/>
    </xf>
    <xf numFmtId="0" fontId="0" fillId="2" borderId="1" xfId="0" applyFill="1" applyBorder="1"/>
    <xf numFmtId="0" fontId="0" fillId="0" borderId="1" xfId="0" applyBorder="1"/>
    <xf numFmtId="0" fontId="1" fillId="0" borderId="0" xfId="0" applyFont="1" applyAlignment="1">
      <alignment vertical="center" wrapText="1"/>
    </xf>
    <xf numFmtId="0" fontId="4" fillId="2" borderId="2" xfId="0" applyFont="1" applyFill="1" applyBorder="1" applyAlignment="1">
      <alignment horizontal="justify" vertical="center"/>
    </xf>
    <xf numFmtId="0" fontId="0" fillId="2" borderId="0" xfId="0" applyFill="1" applyAlignment="1">
      <alignment vertical="center" wrapText="1"/>
    </xf>
    <xf numFmtId="0" fontId="3" fillId="0" borderId="2" xfId="0" applyFont="1" applyBorder="1" applyAlignment="1">
      <alignment horizontal="left" vertical="center" wrapText="1"/>
    </xf>
    <xf numFmtId="0" fontId="0" fillId="0" borderId="0" xfId="0" applyAlignment="1">
      <alignment vertical="center" wrapText="1"/>
    </xf>
    <xf numFmtId="0" fontId="5" fillId="0" borderId="2" xfId="0" applyFont="1" applyBorder="1" applyAlignment="1">
      <alignment vertical="center"/>
    </xf>
    <xf numFmtId="0" fontId="3" fillId="3" borderId="2" xfId="0" applyFont="1" applyFill="1" applyBorder="1" applyAlignment="1">
      <alignment horizontal="left" vertical="center" wrapText="1"/>
    </xf>
    <xf numFmtId="0" fontId="5" fillId="3" borderId="2" xfId="0" applyFont="1" applyFill="1" applyBorder="1" applyAlignment="1">
      <alignment vertical="center"/>
    </xf>
    <xf numFmtId="0" fontId="6" fillId="3" borderId="2" xfId="0" applyFont="1" applyFill="1" applyBorder="1" applyAlignment="1">
      <alignment vertical="center"/>
    </xf>
    <xf numFmtId="0" fontId="5" fillId="3" borderId="2" xfId="0" applyFont="1" applyFill="1" applyBorder="1" applyAlignment="1">
      <alignment horizontal="left" vertical="center" wrapText="1"/>
    </xf>
    <xf numFmtId="0" fontId="7" fillId="0" borderId="2" xfId="0" applyFont="1" applyBorder="1" applyAlignment="1">
      <alignment vertical="center"/>
    </xf>
    <xf numFmtId="0" fontId="8" fillId="0" borderId="2" xfId="0" applyFont="1" applyBorder="1" applyAlignment="1">
      <alignment vertical="center"/>
    </xf>
    <xf numFmtId="0" fontId="0" fillId="4" borderId="1" xfId="0" applyFill="1" applyBorder="1" applyAlignment="1">
      <alignment vertical="center" wrapText="1"/>
    </xf>
    <xf numFmtId="0" fontId="3" fillId="4" borderId="1" xfId="0" applyFont="1" applyFill="1" applyBorder="1"/>
    <xf numFmtId="0" fontId="3" fillId="4" borderId="1" xfId="0" applyFont="1" applyFill="1" applyBorder="1" applyAlignment="1">
      <alignment vertical="center" wrapText="1"/>
    </xf>
    <xf numFmtId="0" fontId="0" fillId="5" borderId="1" xfId="0" applyFill="1" applyBorder="1" applyAlignment="1">
      <alignment vertical="center" wrapText="1"/>
    </xf>
    <xf numFmtId="0" fontId="3" fillId="5" borderId="1" xfId="0" applyFont="1" applyFill="1" applyBorder="1"/>
    <xf numFmtId="0" fontId="0" fillId="5" borderId="1" xfId="0" applyFill="1" applyBorder="1"/>
    <xf numFmtId="0" fontId="3" fillId="2" borderId="1" xfId="0" applyFont="1" applyFill="1" applyBorder="1" applyAlignment="1">
      <alignment vertical="center"/>
    </xf>
    <xf numFmtId="0" fontId="0" fillId="6" borderId="1" xfId="0" applyFill="1" applyBorder="1" applyAlignment="1">
      <alignment vertical="center" wrapText="1"/>
    </xf>
    <xf numFmtId="0" fontId="3" fillId="6" borderId="1" xfId="0" applyFont="1" applyFill="1" applyBorder="1" applyAlignment="1">
      <alignment vertical="center" wrapText="1"/>
    </xf>
    <xf numFmtId="0" fontId="3" fillId="6" borderId="1" xfId="0" applyFont="1" applyFill="1" applyBorder="1" applyAlignment="1">
      <alignment vertical="center"/>
    </xf>
    <xf numFmtId="0" fontId="3" fillId="6" borderId="1" xfId="0" applyFont="1" applyFill="1" applyBorder="1"/>
    <xf numFmtId="0" fontId="0" fillId="4" borderId="1" xfId="0" applyFill="1" applyBorder="1"/>
    <xf numFmtId="0" fontId="0" fillId="0" borderId="1" xfId="1" applyFont="1" applyFill="1" applyBorder="1" applyAlignment="1">
      <alignment vertical="center" wrapText="1"/>
    </xf>
    <xf numFmtId="0" fontId="0" fillId="6" borderId="1" xfId="0" applyFill="1" applyBorder="1"/>
    <xf numFmtId="0" fontId="6" fillId="0" borderId="2" xfId="0" applyFont="1" applyBorder="1" applyAlignment="1">
      <alignment vertical="center"/>
    </xf>
    <xf numFmtId="0" fontId="9" fillId="3" borderId="2" xfId="0" applyFont="1" applyFill="1" applyBorder="1" applyAlignment="1">
      <alignment horizontal="justify" vertical="center"/>
    </xf>
    <xf numFmtId="0" fontId="10" fillId="3" borderId="2" xfId="0" applyFont="1" applyFill="1" applyBorder="1" applyAlignment="1">
      <alignment vertical="center" wrapText="1"/>
    </xf>
    <xf numFmtId="0" fontId="0" fillId="3" borderId="2" xfId="0" applyFill="1" applyBorder="1" applyAlignment="1">
      <alignment vertical="center" wrapText="1"/>
    </xf>
    <xf numFmtId="0" fontId="8" fillId="3" borderId="2" xfId="0" applyFont="1" applyFill="1" applyBorder="1" applyAlignment="1">
      <alignment vertical="center" wrapText="1"/>
    </xf>
    <xf numFmtId="0" fontId="3" fillId="4" borderId="2" xfId="0" applyFont="1" applyFill="1" applyBorder="1" applyAlignment="1">
      <alignment horizontal="left" vertical="center" wrapText="1"/>
    </xf>
    <xf numFmtId="0" fontId="7" fillId="4" borderId="2" xfId="0" applyFont="1" applyFill="1" applyBorder="1" applyAlignment="1">
      <alignment vertical="center"/>
    </xf>
    <xf numFmtId="0" fontId="3" fillId="5" borderId="2" xfId="0" applyFont="1" applyFill="1" applyBorder="1" applyAlignment="1">
      <alignment horizontal="left" vertical="center"/>
    </xf>
    <xf numFmtId="0" fontId="8" fillId="5" borderId="2" xfId="0" applyFont="1" applyFill="1" applyBorder="1" applyAlignment="1">
      <alignment vertical="center"/>
    </xf>
    <xf numFmtId="0" fontId="11" fillId="2" borderId="2" xfId="0" applyFont="1" applyFill="1" applyBorder="1" applyAlignment="1">
      <alignment horizontal="left" vertical="center" wrapText="1"/>
    </xf>
    <xf numFmtId="0" fontId="12" fillId="0" borderId="2" xfId="0" applyFont="1" applyBorder="1" applyAlignment="1">
      <alignment horizontal="left" vertical="center" wrapText="1"/>
    </xf>
    <xf numFmtId="0" fontId="0" fillId="0" borderId="2" xfId="0" applyBorder="1" applyAlignment="1">
      <alignment vertical="center"/>
    </xf>
    <xf numFmtId="0" fontId="13" fillId="0" borderId="2" xfId="0" applyFont="1" applyBorder="1" applyAlignment="1">
      <alignment vertical="center"/>
    </xf>
    <xf numFmtId="0" fontId="3" fillId="6" borderId="2" xfId="0" applyFont="1" applyFill="1" applyBorder="1" applyAlignment="1">
      <alignment horizontal="left" vertical="center" wrapText="1"/>
    </xf>
    <xf numFmtId="0" fontId="8" fillId="6" borderId="2" xfId="0" applyFont="1" applyFill="1" applyBorder="1" applyAlignment="1">
      <alignment vertical="center"/>
    </xf>
    <xf numFmtId="0" fontId="0" fillId="6" borderId="2" xfId="0" applyFill="1" applyBorder="1" applyAlignment="1">
      <alignment vertical="center"/>
    </xf>
    <xf numFmtId="0" fontId="5" fillId="6" borderId="0" xfId="0" applyFont="1" applyFill="1"/>
    <xf numFmtId="0" fontId="14" fillId="6" borderId="2" xfId="0" applyFont="1" applyFill="1" applyBorder="1" applyAlignment="1">
      <alignment vertical="center"/>
    </xf>
    <xf numFmtId="0" fontId="0" fillId="9" borderId="1" xfId="0" applyFill="1" applyBorder="1" applyAlignment="1">
      <alignment vertical="center" wrapText="1"/>
    </xf>
    <xf numFmtId="0" fontId="3" fillId="9" borderId="1" xfId="0" applyFont="1" applyFill="1" applyBorder="1" applyAlignment="1">
      <alignment vertical="center"/>
    </xf>
    <xf numFmtId="0" fontId="3" fillId="9" borderId="1" xfId="0" applyFont="1" applyFill="1" applyBorder="1"/>
    <xf numFmtId="0" fontId="3" fillId="9" borderId="1" xfId="0" applyFont="1" applyFill="1" applyBorder="1" applyAlignment="1">
      <alignment vertical="center" wrapText="1"/>
    </xf>
    <xf numFmtId="0" fontId="0" fillId="5" borderId="1" xfId="0" applyFill="1" applyBorder="1" applyAlignment="1">
      <alignment wrapText="1"/>
    </xf>
    <xf numFmtId="0" fontId="3" fillId="3" borderId="1" xfId="0" applyFont="1" applyFill="1" applyBorder="1"/>
    <xf numFmtId="0" fontId="0" fillId="7" borderId="1" xfId="0" applyFill="1" applyBorder="1" applyAlignment="1">
      <alignment vertical="center" wrapText="1"/>
    </xf>
    <xf numFmtId="0" fontId="0" fillId="7" borderId="1" xfId="0" applyFill="1" applyBorder="1" applyAlignment="1">
      <alignment vertical="center"/>
    </xf>
    <xf numFmtId="0" fontId="0" fillId="7" borderId="1" xfId="0" applyFill="1" applyBorder="1"/>
    <xf numFmtId="0" fontId="0" fillId="8" borderId="1" xfId="0" applyFill="1" applyBorder="1" applyAlignment="1">
      <alignment vertical="center" wrapText="1"/>
    </xf>
    <xf numFmtId="0" fontId="0" fillId="8" borderId="1" xfId="0" applyFill="1" applyBorder="1"/>
    <xf numFmtId="0" fontId="15" fillId="4" borderId="1" xfId="0" applyFont="1" applyFill="1" applyBorder="1" applyAlignment="1">
      <alignment vertical="center"/>
    </xf>
    <xf numFmtId="0" fontId="0" fillId="6" borderId="1" xfId="0" applyFill="1" applyBorder="1" applyAlignment="1">
      <alignment vertical="center"/>
    </xf>
    <xf numFmtId="0" fontId="0" fillId="9" borderId="1" xfId="0" applyFill="1" applyBorder="1"/>
    <xf numFmtId="0" fontId="0" fillId="5" borderId="1" xfId="0" applyFill="1" applyBorder="1" applyAlignment="1">
      <alignment vertical="center"/>
    </xf>
    <xf numFmtId="0" fontId="5" fillId="6" borderId="2" xfId="0" applyFont="1" applyFill="1" applyBorder="1" applyAlignment="1">
      <alignment vertical="center"/>
    </xf>
    <xf numFmtId="0" fontId="3" fillId="10"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0" fillId="5" borderId="1" xfId="0" applyFill="1" applyBorder="1" applyAlignment="1">
      <alignment horizontal="left" vertical="center" wrapText="1"/>
    </xf>
    <xf numFmtId="0" fontId="3" fillId="3" borderId="1" xfId="0" applyFont="1" applyFill="1" applyBorder="1" applyAlignment="1">
      <alignment horizontal="left" vertical="center"/>
    </xf>
    <xf numFmtId="0" fontId="0" fillId="7" borderId="1" xfId="0" applyFill="1" applyBorder="1" applyAlignment="1">
      <alignment horizontal="left" vertical="center" wrapText="1"/>
    </xf>
    <xf numFmtId="0" fontId="11" fillId="5" borderId="1" xfId="0" applyFont="1" applyFill="1" applyBorder="1" applyAlignment="1">
      <alignment horizontal="left" vertical="center" wrapText="1"/>
    </xf>
    <xf numFmtId="0" fontId="0" fillId="8" borderId="1" xfId="0" applyFill="1" applyBorder="1" applyAlignment="1">
      <alignment horizontal="left" vertical="center" wrapText="1"/>
    </xf>
    <xf numFmtId="0" fontId="15" fillId="4" borderId="1" xfId="0" applyFont="1" applyFill="1" applyBorder="1" applyAlignment="1">
      <alignment horizontal="left" vertical="center"/>
    </xf>
    <xf numFmtId="0" fontId="0" fillId="4" borderId="1" xfId="0" applyFill="1" applyBorder="1" applyAlignment="1">
      <alignment horizontal="left" vertical="center" wrapText="1"/>
    </xf>
    <xf numFmtId="0" fontId="0" fillId="4" borderId="1" xfId="0" applyFill="1" applyBorder="1" applyAlignment="1">
      <alignment horizontal="left" vertical="center"/>
    </xf>
    <xf numFmtId="0" fontId="0" fillId="10" borderId="0" xfId="0" applyFill="1"/>
    <xf numFmtId="0" fontId="0" fillId="5" borderId="0" xfId="0" applyFill="1" applyAlignment="1">
      <alignment vertical="center"/>
    </xf>
    <xf numFmtId="0" fontId="0" fillId="9" borderId="0" xfId="0" applyFill="1"/>
    <xf numFmtId="0" fontId="1" fillId="9" borderId="1" xfId="0" applyFont="1" applyFill="1" applyBorder="1" applyAlignment="1">
      <alignment vertical="center" wrapText="1"/>
    </xf>
    <xf numFmtId="0" fontId="2" fillId="9" borderId="1" xfId="0" applyFont="1" applyFill="1" applyBorder="1" applyAlignment="1">
      <alignment vertical="center" wrapText="1"/>
    </xf>
    <xf numFmtId="0" fontId="3" fillId="5" borderId="1" xfId="0" applyFont="1" applyFill="1" applyBorder="1" applyAlignment="1">
      <alignment vertical="center" wrapText="1"/>
    </xf>
    <xf numFmtId="0" fontId="0" fillId="10" borderId="1" xfId="0" applyFill="1" applyBorder="1" applyAlignment="1">
      <alignment vertical="center" wrapText="1"/>
    </xf>
    <xf numFmtId="0" fontId="3" fillId="10" borderId="1" xfId="0" applyFont="1" applyFill="1" applyBorder="1" applyAlignment="1">
      <alignment vertical="center" wrapText="1"/>
    </xf>
    <xf numFmtId="0" fontId="0" fillId="10" borderId="1" xfId="0" applyFill="1" applyBorder="1"/>
    <xf numFmtId="0" fontId="3" fillId="5" borderId="1" xfId="0" applyFont="1" applyFill="1" applyBorder="1" applyAlignment="1">
      <alignment vertical="center"/>
    </xf>
    <xf numFmtId="0" fontId="3" fillId="10" borderId="1" xfId="0" applyFont="1" applyFill="1" applyBorder="1" applyAlignment="1">
      <alignment vertical="center"/>
    </xf>
    <xf numFmtId="0" fontId="1" fillId="9" borderId="1" xfId="0" applyFont="1" applyFill="1" applyBorder="1" applyAlignment="1">
      <alignment vertical="center"/>
    </xf>
    <xf numFmtId="0" fontId="0" fillId="9" borderId="1" xfId="0" applyFill="1" applyBorder="1" applyAlignment="1">
      <alignment vertical="center"/>
    </xf>
    <xf numFmtId="0" fontId="0" fillId="9" borderId="1" xfId="0" applyFill="1" applyBorder="1" applyAlignment="1">
      <alignment horizontal="left" vertical="center" wrapText="1"/>
    </xf>
    <xf numFmtId="0" fontId="0" fillId="9" borderId="0" xfId="0" applyFill="1" applyAlignment="1">
      <alignment vertical="center" wrapText="1"/>
    </xf>
    <xf numFmtId="0" fontId="3" fillId="5" borderId="1" xfId="0" applyFont="1" applyFill="1" applyBorder="1" applyAlignment="1">
      <alignment horizontal="left" vertical="center" wrapText="1"/>
    </xf>
    <xf numFmtId="0" fontId="0" fillId="5" borderId="0" xfId="0" applyFill="1" applyAlignment="1">
      <alignment vertical="center" wrapText="1"/>
    </xf>
    <xf numFmtId="0" fontId="0" fillId="10" borderId="0" xfId="0" applyFill="1" applyAlignment="1">
      <alignment vertical="center" wrapText="1"/>
    </xf>
    <xf numFmtId="0" fontId="3" fillId="8" borderId="1" xfId="0" applyFont="1" applyFill="1" applyBorder="1" applyAlignment="1">
      <alignment vertical="center"/>
    </xf>
    <xf numFmtId="0" fontId="0" fillId="11" borderId="1" xfId="0" applyFill="1" applyBorder="1" applyAlignment="1">
      <alignment vertical="center" wrapText="1"/>
    </xf>
    <xf numFmtId="0" fontId="0" fillId="12" borderId="1" xfId="0" applyFill="1" applyBorder="1" applyAlignment="1">
      <alignment vertical="center"/>
    </xf>
    <xf numFmtId="0" fontId="0" fillId="12" borderId="1" xfId="0" applyFill="1" applyBorder="1" applyAlignment="1">
      <alignment vertical="center" wrapText="1"/>
    </xf>
    <xf numFmtId="0" fontId="0" fillId="0" borderId="1" xfId="0" applyBorder="1" applyAlignment="1">
      <alignment vertical="center"/>
    </xf>
    <xf numFmtId="0" fontId="0" fillId="8" borderId="1" xfId="0" applyFill="1" applyBorder="1" applyAlignment="1">
      <alignment vertical="center"/>
    </xf>
    <xf numFmtId="0" fontId="11" fillId="0" borderId="0" xfId="0" applyFont="1"/>
    <xf numFmtId="0" fontId="3" fillId="11" borderId="1" xfId="0" applyFont="1" applyFill="1" applyBorder="1" applyAlignment="1">
      <alignment vertical="center" wrapText="1"/>
    </xf>
    <xf numFmtId="0" fontId="3" fillId="12" borderId="1" xfId="0" applyFont="1" applyFill="1" applyBorder="1" applyAlignment="1">
      <alignment vertical="center"/>
    </xf>
    <xf numFmtId="0" fontId="3" fillId="11" borderId="1" xfId="0" applyFont="1" applyFill="1" applyBorder="1"/>
    <xf numFmtId="0" fontId="3" fillId="12" borderId="1" xfId="0" applyFont="1" applyFill="1" applyBorder="1"/>
    <xf numFmtId="0" fontId="3" fillId="12" borderId="1" xfId="0" applyFont="1" applyFill="1" applyBorder="1" applyAlignment="1">
      <alignment vertical="center" wrapText="1"/>
    </xf>
    <xf numFmtId="0" fontId="16" fillId="5" borderId="1" xfId="1" applyFill="1" applyBorder="1" applyAlignment="1">
      <alignment vertical="center" wrapText="1"/>
    </xf>
    <xf numFmtId="0" fontId="0" fillId="13" borderId="1" xfId="0" applyFill="1" applyBorder="1" applyAlignment="1">
      <alignment vertical="center" wrapText="1"/>
    </xf>
    <xf numFmtId="0" fontId="3" fillId="13" borderId="1" xfId="0" applyFont="1" applyFill="1" applyBorder="1" applyAlignment="1">
      <alignment vertical="center"/>
    </xf>
    <xf numFmtId="0" fontId="3" fillId="14" borderId="1" xfId="0" applyFont="1" applyFill="1" applyBorder="1" applyAlignment="1">
      <alignment vertical="center"/>
    </xf>
    <xf numFmtId="0" fontId="0" fillId="13" borderId="1" xfId="0" applyFill="1" applyBorder="1"/>
    <xf numFmtId="0" fontId="0" fillId="15" borderId="1" xfId="0" applyFill="1" applyBorder="1"/>
    <xf numFmtId="0" fontId="12" fillId="0" borderId="3" xfId="0" applyFont="1" applyBorder="1" applyAlignment="1">
      <alignment vertical="center"/>
    </xf>
    <xf numFmtId="0" fontId="3" fillId="9" borderId="1" xfId="0" applyFont="1" applyFill="1" applyBorder="1" applyAlignment="1">
      <alignment horizontal="left" vertical="center" wrapText="1"/>
    </xf>
    <xf numFmtId="0" fontId="0" fillId="13" borderId="1" xfId="0" applyFill="1" applyBorder="1" applyAlignment="1">
      <alignment vertical="center"/>
    </xf>
    <xf numFmtId="0" fontId="0" fillId="14" borderId="1" xfId="0" applyFill="1" applyBorder="1" applyAlignment="1">
      <alignment vertical="center"/>
    </xf>
    <xf numFmtId="0" fontId="12" fillId="0" borderId="4" xfId="0" applyFont="1" applyBorder="1" applyAlignment="1">
      <alignment vertical="center"/>
    </xf>
    <xf numFmtId="0" fontId="12" fillId="0" borderId="4" xfId="0" applyFont="1" applyBorder="1" applyAlignment="1">
      <alignment vertical="center" wrapText="1"/>
    </xf>
    <xf numFmtId="0" fontId="12" fillId="0" borderId="4" xfId="0" applyFont="1" applyBorder="1"/>
    <xf numFmtId="0" fontId="0" fillId="9" borderId="1" xfId="0" applyFill="1" applyBorder="1" applyAlignment="1">
      <alignment wrapText="1"/>
    </xf>
    <xf numFmtId="0" fontId="15" fillId="9" borderId="1" xfId="0" applyFont="1" applyFill="1" applyBorder="1" applyAlignment="1">
      <alignment vertical="center"/>
    </xf>
    <xf numFmtId="0" fontId="3" fillId="9" borderId="1" xfId="0" applyFont="1" applyFill="1" applyBorder="1" applyAlignment="1">
      <alignment horizontal="left" vertical="center"/>
    </xf>
    <xf numFmtId="0" fontId="11" fillId="9" borderId="1" xfId="0" applyFont="1" applyFill="1" applyBorder="1" applyAlignment="1">
      <alignment horizontal="left" vertical="center" wrapText="1"/>
    </xf>
    <xf numFmtId="0" fontId="15" fillId="9" borderId="1" xfId="0" applyFont="1" applyFill="1" applyBorder="1" applyAlignment="1">
      <alignment horizontal="left" vertical="center"/>
    </xf>
    <xf numFmtId="0" fontId="0" fillId="9" borderId="1" xfId="0" applyFill="1" applyBorder="1" applyAlignment="1">
      <alignment horizontal="left" vertical="center"/>
    </xf>
    <xf numFmtId="0" fontId="17" fillId="5" borderId="0" xfId="0" applyFont="1" applyFill="1"/>
    <xf numFmtId="0" fontId="17" fillId="0" borderId="1" xfId="0" applyFont="1" applyBorder="1" applyAlignment="1">
      <alignment horizontal="left"/>
    </xf>
    <xf numFmtId="0" fontId="17" fillId="0" borderId="0" xfId="0" applyFont="1"/>
    <xf numFmtId="49" fontId="17" fillId="0" borderId="0" xfId="0" applyNumberFormat="1" applyFont="1"/>
    <xf numFmtId="0" fontId="17" fillId="9" borderId="1" xfId="0" applyFont="1" applyFill="1" applyBorder="1" applyAlignment="1">
      <alignment horizontal="left"/>
    </xf>
    <xf numFmtId="0" fontId="17" fillId="9" borderId="1" xfId="0" applyFont="1" applyFill="1" applyBorder="1"/>
    <xf numFmtId="0" fontId="17" fillId="9" borderId="1" xfId="0" applyFont="1" applyFill="1" applyBorder="1" applyAlignment="1">
      <alignment horizontal="center" vertical="center" wrapText="1"/>
    </xf>
    <xf numFmtId="0" fontId="0" fillId="15" borderId="0" xfId="0" applyFill="1"/>
    <xf numFmtId="3" fontId="17" fillId="9" borderId="1" xfId="0" applyNumberFormat="1" applyFont="1" applyFill="1" applyBorder="1"/>
    <xf numFmtId="0" fontId="17" fillId="5" borderId="1" xfId="0" applyFont="1" applyFill="1" applyBorder="1" applyAlignment="1">
      <alignment horizontal="left"/>
    </xf>
    <xf numFmtId="0" fontId="17" fillId="5" borderId="1" xfId="0" applyFont="1" applyFill="1" applyBorder="1"/>
    <xf numFmtId="0" fontId="17" fillId="5" borderId="1" xfId="0" applyFont="1" applyFill="1" applyBorder="1" applyAlignment="1">
      <alignment horizontal="center" vertical="center" wrapText="1"/>
    </xf>
    <xf numFmtId="0" fontId="0" fillId="5" borderId="1" xfId="0" applyFill="1" applyBorder="1" applyAlignment="1">
      <alignment horizontal="left"/>
    </xf>
    <xf numFmtId="3" fontId="17" fillId="5" borderId="1" xfId="0" applyNumberFormat="1" applyFont="1" applyFill="1" applyBorder="1"/>
    <xf numFmtId="0" fontId="17" fillId="5" borderId="1" xfId="0" applyFont="1" applyFill="1" applyBorder="1" applyAlignment="1">
      <alignment horizontal="justify" vertical="center"/>
    </xf>
    <xf numFmtId="0" fontId="17" fillId="9" borderId="1" xfId="0" applyFont="1" applyFill="1" applyBorder="1" applyAlignment="1">
      <alignment horizontal="justify" vertical="center"/>
    </xf>
    <xf numFmtId="49" fontId="0" fillId="15" borderId="0" xfId="0" applyNumberFormat="1" applyFill="1"/>
    <xf numFmtId="49" fontId="17" fillId="9" borderId="1" xfId="0" applyNumberFormat="1" applyFont="1" applyFill="1" applyBorder="1"/>
    <xf numFmtId="49" fontId="17" fillId="5" borderId="1" xfId="0" applyNumberFormat="1" applyFont="1" applyFill="1" applyBorder="1"/>
    <xf numFmtId="0" fontId="17" fillId="0" borderId="1" xfId="0" applyFont="1" applyBorder="1"/>
    <xf numFmtId="0" fontId="17" fillId="9" borderId="1" xfId="0" applyFont="1" applyFill="1" applyBorder="1" applyAlignment="1">
      <alignment horizontal="left" vertical="center" wrapText="1"/>
    </xf>
    <xf numFmtId="0" fontId="17" fillId="5" borderId="1" xfId="0" applyFont="1" applyFill="1" applyBorder="1" applyAlignment="1">
      <alignment horizontal="left" vertical="center" wrapText="1"/>
    </xf>
    <xf numFmtId="0" fontId="9" fillId="5" borderId="1" xfId="0" applyFont="1" applyFill="1" applyBorder="1" applyAlignment="1">
      <alignment horizontal="justify" vertical="center"/>
    </xf>
    <xf numFmtId="0" fontId="17" fillId="5" borderId="1" xfId="0" applyFont="1" applyFill="1" applyBorder="1" applyAlignment="1">
      <alignment horizontal="left" vertical="top" wrapText="1"/>
    </xf>
    <xf numFmtId="0" fontId="18" fillId="5" borderId="1" xfId="0" applyFont="1" applyFill="1" applyBorder="1" applyAlignment="1">
      <alignment horizontal="justify" vertical="center"/>
    </xf>
    <xf numFmtId="0" fontId="18" fillId="9" borderId="1" xfId="0" applyFont="1" applyFill="1" applyBorder="1" applyAlignment="1">
      <alignment horizontal="center" vertical="center" wrapText="1"/>
    </xf>
    <xf numFmtId="0" fontId="19" fillId="5" borderId="1" xfId="0" applyFont="1" applyFill="1" applyBorder="1" applyAlignment="1">
      <alignment horizontal="justify" vertical="center"/>
    </xf>
    <xf numFmtId="49" fontId="17" fillId="5" borderId="1" xfId="0" applyNumberFormat="1" applyFont="1" applyFill="1" applyBorder="1" applyAlignment="1">
      <alignment horizontal="left"/>
    </xf>
    <xf numFmtId="0" fontId="17" fillId="5" borderId="1" xfId="0" applyFont="1" applyFill="1" applyBorder="1" applyAlignment="1">
      <alignment horizontal="center" vertical="top" wrapText="1"/>
    </xf>
    <xf numFmtId="0" fontId="18" fillId="9" borderId="1" xfId="0" applyFont="1" applyFill="1" applyBorder="1" applyAlignment="1">
      <alignment horizontal="justify" vertical="center"/>
    </xf>
    <xf numFmtId="0" fontId="17" fillId="5" borderId="1" xfId="0" applyFont="1" applyFill="1" applyBorder="1" applyAlignment="1">
      <alignment vertical="center"/>
    </xf>
    <xf numFmtId="0" fontId="17" fillId="5" borderId="1" xfId="0" applyFont="1" applyFill="1" applyBorder="1" applyAlignment="1">
      <alignment horizontal="center"/>
    </xf>
    <xf numFmtId="20" fontId="17" fillId="5" borderId="1" xfId="0" applyNumberFormat="1" applyFont="1" applyFill="1" applyBorder="1"/>
    <xf numFmtId="0" fontId="20" fillId="5" borderId="1" xfId="0" applyFont="1" applyFill="1" applyBorder="1" applyAlignment="1">
      <alignment horizontal="left" wrapText="1"/>
    </xf>
    <xf numFmtId="0" fontId="0" fillId="9" borderId="1" xfId="0" applyFill="1" applyBorder="1" applyAlignment="1">
      <alignment horizontal="left"/>
    </xf>
    <xf numFmtId="0" fontId="19" fillId="9" borderId="1" xfId="0" applyFont="1" applyFill="1" applyBorder="1" applyAlignment="1">
      <alignment horizontal="left"/>
    </xf>
    <xf numFmtId="0" fontId="21" fillId="9" borderId="1" xfId="0" applyFont="1" applyFill="1" applyBorder="1" applyAlignment="1">
      <alignment horizontal="left" vertical="center"/>
    </xf>
    <xf numFmtId="0" fontId="18" fillId="9" borderId="1" xfId="0" applyFont="1" applyFill="1" applyBorder="1" applyAlignment="1">
      <alignment horizontal="left" vertical="center"/>
    </xf>
    <xf numFmtId="49" fontId="0" fillId="9" borderId="1" xfId="0" applyNumberFormat="1" applyFill="1" applyBorder="1" applyAlignment="1">
      <alignment horizontal="left"/>
    </xf>
    <xf numFmtId="0" fontId="18" fillId="9" borderId="1" xfId="0" applyFont="1" applyFill="1" applyBorder="1" applyAlignment="1">
      <alignment horizontal="left"/>
    </xf>
    <xf numFmtId="0" fontId="20" fillId="9" borderId="1" xfId="0" applyFont="1" applyFill="1" applyBorder="1" applyAlignment="1">
      <alignment horizontal="justify" vertical="center"/>
    </xf>
    <xf numFmtId="49" fontId="0" fillId="5" borderId="1" xfId="0" applyNumberFormat="1" applyFill="1" applyBorder="1" applyAlignment="1">
      <alignment vertical="center" wrapText="1"/>
    </xf>
    <xf numFmtId="0" fontId="17" fillId="5" borderId="1" xfId="0" applyFont="1" applyFill="1" applyBorder="1" applyAlignment="1">
      <alignment vertical="center" wrapText="1"/>
    </xf>
    <xf numFmtId="0" fontId="18" fillId="9" borderId="1" xfId="0" applyFont="1" applyFill="1" applyBorder="1" applyAlignment="1">
      <alignment horizontal="left" vertical="center" wrapText="1"/>
    </xf>
    <xf numFmtId="0" fontId="22" fillId="9" borderId="1" xfId="0" applyFont="1" applyFill="1" applyBorder="1" applyAlignment="1">
      <alignment horizontal="left" vertical="center"/>
    </xf>
    <xf numFmtId="0" fontId="0" fillId="16" borderId="0" xfId="0" applyFill="1"/>
    <xf numFmtId="0" fontId="0" fillId="0" borderId="1" xfId="0" applyBorder="1" applyAlignment="1">
      <alignment horizontal="left" vertical="center" wrapText="1"/>
    </xf>
    <xf numFmtId="0" fontId="0" fillId="2" borderId="1" xfId="0" applyFill="1" applyBorder="1" applyAlignment="1">
      <alignment horizontal="left" vertical="center" wrapText="1"/>
    </xf>
    <xf numFmtId="0" fontId="0" fillId="5" borderId="1" xfId="0" applyFill="1" applyBorder="1" applyAlignment="1">
      <alignment horizontal="left" vertical="center"/>
    </xf>
    <xf numFmtId="0" fontId="0" fillId="0" borderId="1" xfId="0" applyBorder="1" applyAlignment="1">
      <alignment horizontal="left"/>
    </xf>
    <xf numFmtId="0" fontId="1" fillId="0" borderId="1" xfId="0" applyFont="1" applyBorder="1" applyAlignment="1">
      <alignment horizontal="center" vertical="center"/>
    </xf>
    <xf numFmtId="0" fontId="0" fillId="0" borderId="0" xfId="0" applyAlignment="1">
      <alignment horizontal="center" vertical="center" wrapText="1"/>
    </xf>
    <xf numFmtId="0" fontId="0" fillId="17" borderId="1" xfId="0" applyFill="1" applyBorder="1" applyAlignment="1">
      <alignment horizontal="left" vertical="center" wrapText="1"/>
    </xf>
    <xf numFmtId="0" fontId="0" fillId="5" borderId="1" xfId="0" applyFill="1" applyBorder="1" applyAlignment="1">
      <alignment horizontal="center" vertical="center" wrapText="1"/>
    </xf>
    <xf numFmtId="0" fontId="0" fillId="0" borderId="0" xfId="0" applyAlignment="1">
      <alignment horizontal="center" vertical="center"/>
    </xf>
    <xf numFmtId="0" fontId="0" fillId="17" borderId="1" xfId="0" applyFill="1" applyBorder="1" applyAlignment="1">
      <alignment horizontal="left"/>
    </xf>
    <xf numFmtId="0" fontId="0" fillId="17" borderId="1" xfId="0" applyFill="1" applyBorder="1" applyAlignment="1">
      <alignment horizontal="left" vertical="center"/>
    </xf>
    <xf numFmtId="0" fontId="0" fillId="16" borderId="1" xfId="0" applyFill="1" applyBorder="1"/>
    <xf numFmtId="0" fontId="0" fillId="16" borderId="1" xfId="0" applyFill="1" applyBorder="1" applyAlignment="1">
      <alignment horizontal="left"/>
    </xf>
    <xf numFmtId="0" fontId="0" fillId="0" borderId="1" xfId="0" applyBorder="1" applyAlignment="1">
      <alignment horizontal="left" vertical="center"/>
    </xf>
    <xf numFmtId="0" fontId="0" fillId="16" borderId="1" xfId="0" applyFill="1" applyBorder="1" applyAlignment="1">
      <alignment horizontal="left" vertical="center" wrapText="1"/>
    </xf>
    <xf numFmtId="0" fontId="23" fillId="0" borderId="0" xfId="0" applyFont="1"/>
    <xf numFmtId="0" fontId="0" fillId="17" borderId="1" xfId="0" applyFill="1" applyBorder="1" applyAlignment="1">
      <alignment vertical="center" wrapText="1"/>
    </xf>
    <xf numFmtId="0" fontId="0" fillId="17" borderId="1" xfId="0" applyFill="1" applyBorder="1" applyAlignment="1">
      <alignment horizontal="center" vertical="center" wrapText="1"/>
    </xf>
    <xf numFmtId="0" fontId="0" fillId="10" borderId="1" xfId="0" applyFill="1" applyBorder="1" applyAlignment="1">
      <alignment horizontal="left"/>
    </xf>
    <xf numFmtId="0" fontId="0" fillId="10" borderId="1" xfId="0" applyFill="1" applyBorder="1" applyAlignment="1">
      <alignment horizontal="left" vertical="center" wrapText="1"/>
    </xf>
    <xf numFmtId="0" fontId="0" fillId="10" borderId="1" xfId="0" applyFill="1" applyBorder="1" applyAlignment="1">
      <alignment horizontal="left" vertical="center"/>
    </xf>
    <xf numFmtId="0" fontId="3" fillId="2"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24" fillId="5" borderId="1" xfId="0" applyFont="1" applyFill="1" applyBorder="1" applyAlignment="1">
      <alignment horizontal="left" vertical="center"/>
    </xf>
    <xf numFmtId="0" fontId="25" fillId="0" borderId="0" xfId="0" applyFont="1" applyAlignment="1">
      <alignment horizontal="left" vertical="center"/>
    </xf>
    <xf numFmtId="0" fontId="11" fillId="5" borderId="1" xfId="0" applyFont="1" applyFill="1" applyBorder="1" applyAlignment="1">
      <alignment horizontal="left"/>
    </xf>
    <xf numFmtId="0" fontId="9" fillId="5" borderId="1" xfId="0" applyFont="1" applyFill="1" applyBorder="1" applyAlignment="1">
      <alignment horizontal="left"/>
    </xf>
    <xf numFmtId="0" fontId="24" fillId="17" borderId="1" xfId="0" applyFont="1" applyFill="1" applyBorder="1" applyAlignment="1">
      <alignment horizontal="left" vertical="center"/>
    </xf>
    <xf numFmtId="0" fontId="25" fillId="0" borderId="1" xfId="0" applyFont="1" applyBorder="1" applyAlignment="1">
      <alignment vertical="center"/>
    </xf>
    <xf numFmtId="0" fontId="0" fillId="0" borderId="5" xfId="0" applyBorder="1"/>
    <xf numFmtId="0" fontId="0" fillId="0" borderId="2" xfId="0" applyBorder="1" applyAlignment="1">
      <alignment vertical="center" wrapText="1"/>
    </xf>
    <xf numFmtId="0" fontId="0" fillId="5" borderId="1" xfId="0" applyFill="1" applyBorder="1" applyAlignment="1">
      <alignment horizontal="right" vertical="center" wrapText="1"/>
    </xf>
    <xf numFmtId="0" fontId="0" fillId="5" borderId="2" xfId="0" applyFill="1" applyBorder="1" applyAlignment="1">
      <alignment vertical="center" wrapText="1"/>
    </xf>
    <xf numFmtId="0" fontId="0" fillId="10" borderId="1" xfId="0" applyFill="1" applyBorder="1" applyAlignment="1">
      <alignment wrapText="1"/>
    </xf>
    <xf numFmtId="0" fontId="0" fillId="0" borderId="1" xfId="0" applyBorder="1" applyAlignment="1">
      <alignment wrapText="1"/>
    </xf>
    <xf numFmtId="0" fontId="0" fillId="10" borderId="1" xfId="0" applyFill="1" applyBorder="1" applyAlignment="1">
      <alignment horizontal="right" vertical="center" wrapText="1"/>
    </xf>
    <xf numFmtId="0" fontId="15" fillId="10" borderId="1" xfId="0" applyFont="1" applyFill="1" applyBorder="1" applyAlignment="1">
      <alignment horizontal="left" vertical="center" wrapText="1"/>
    </xf>
    <xf numFmtId="0" fontId="15" fillId="5" borderId="1" xfId="0" applyFont="1" applyFill="1" applyBorder="1" applyAlignment="1">
      <alignment horizontal="left" vertical="center" wrapText="1"/>
    </xf>
    <xf numFmtId="0" fontId="15" fillId="18" borderId="1" xfId="0" applyFont="1" applyFill="1" applyBorder="1" applyAlignment="1">
      <alignment horizontal="left" vertical="center" wrapText="1"/>
    </xf>
    <xf numFmtId="0" fontId="0" fillId="10" borderId="1" xfId="0" applyFill="1" applyBorder="1" applyAlignment="1">
      <alignment vertical="center"/>
    </xf>
    <xf numFmtId="0" fontId="3" fillId="0" borderId="0" xfId="0" applyFont="1"/>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0" fontId="3" fillId="5" borderId="1" xfId="0" applyFont="1" applyFill="1" applyBorder="1" applyAlignment="1">
      <alignment horizontal="center" vertical="center" wrapText="1"/>
    </xf>
    <xf numFmtId="0" fontId="0" fillId="5" borderId="1" xfId="0" applyFill="1" applyBorder="1" applyAlignment="1">
      <alignment horizontal="center" vertical="center"/>
    </xf>
    <xf numFmtId="0" fontId="3" fillId="5" borderId="1" xfId="0" applyFont="1" applyFill="1" applyBorder="1" applyAlignment="1">
      <alignment horizontal="center" vertical="center"/>
    </xf>
    <xf numFmtId="0" fontId="3" fillId="5" borderId="5" xfId="0" applyFont="1" applyFill="1" applyBorder="1" applyAlignment="1">
      <alignment horizontal="center" vertical="center"/>
    </xf>
    <xf numFmtId="0" fontId="0" fillId="5" borderId="5" xfId="0" applyFill="1" applyBorder="1" applyAlignment="1">
      <alignment horizontal="center" vertical="center"/>
    </xf>
    <xf numFmtId="0" fontId="0" fillId="5" borderId="5" xfId="0" applyFill="1" applyBorder="1" applyAlignment="1">
      <alignment horizontal="left"/>
    </xf>
    <xf numFmtId="0" fontId="0" fillId="5" borderId="5" xfId="0" applyFill="1" applyBorder="1"/>
    <xf numFmtId="0" fontId="0" fillId="2" borderId="1" xfId="0" applyFill="1" applyBorder="1" applyAlignment="1">
      <alignment horizontal="center" vertical="center"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left"/>
    </xf>
    <xf numFmtId="0" fontId="0" fillId="5" borderId="5" xfId="0" applyFill="1" applyBorder="1" applyAlignment="1">
      <alignment horizontal="center" vertical="center" wrapText="1"/>
    </xf>
    <xf numFmtId="0" fontId="0" fillId="2" borderId="5" xfId="0" applyFill="1" applyBorder="1" applyAlignment="1">
      <alignment horizontal="center" vertical="center" wrapText="1"/>
    </xf>
    <xf numFmtId="0" fontId="0" fillId="2" borderId="5" xfId="0" applyFill="1" applyBorder="1" applyAlignment="1">
      <alignment horizontal="center" vertical="center"/>
    </xf>
    <xf numFmtId="0" fontId="3" fillId="5" borderId="5" xfId="0" applyFont="1" applyFill="1" applyBorder="1" applyAlignment="1">
      <alignment horizontal="center" vertical="center" wrapText="1"/>
    </xf>
    <xf numFmtId="0" fontId="0" fillId="10" borderId="1" xfId="0" applyFill="1" applyBorder="1" applyAlignment="1">
      <alignment horizontal="center" vertical="center"/>
    </xf>
    <xf numFmtId="0" fontId="3" fillId="10" borderId="1" xfId="0" applyFont="1" applyFill="1" applyBorder="1" applyAlignment="1">
      <alignment horizontal="center" vertical="center"/>
    </xf>
    <xf numFmtId="0" fontId="9" fillId="5" borderId="1" xfId="0" applyFont="1" applyFill="1" applyBorder="1" applyAlignment="1">
      <alignment horizontal="center" vertical="center" wrapText="1"/>
    </xf>
    <xf numFmtId="0" fontId="15" fillId="5" borderId="1" xfId="0" applyFont="1" applyFill="1" applyBorder="1" applyAlignment="1">
      <alignment horizontal="left" vertical="center"/>
    </xf>
    <xf numFmtId="0" fontId="15" fillId="5" borderId="5" xfId="0" applyFont="1" applyFill="1" applyBorder="1" applyAlignment="1">
      <alignment horizontal="left" vertical="center"/>
    </xf>
    <xf numFmtId="0" fontId="15" fillId="2" borderId="1" xfId="0" applyFont="1" applyFill="1" applyBorder="1" applyAlignment="1">
      <alignment horizontal="left" vertical="center"/>
    </xf>
    <xf numFmtId="0" fontId="0" fillId="5" borderId="6" xfId="0" applyFill="1" applyBorder="1"/>
    <xf numFmtId="0" fontId="11" fillId="5" borderId="1" xfId="0" applyFont="1" applyFill="1" applyBorder="1" applyAlignment="1">
      <alignment horizontal="justify"/>
    </xf>
    <xf numFmtId="0" fontId="17" fillId="10" borderId="0" xfId="0" applyFont="1" applyFill="1"/>
    <xf numFmtId="0" fontId="17" fillId="19" borderId="0" xfId="0" applyFont="1" applyFill="1"/>
    <xf numFmtId="0" fontId="17" fillId="11" borderId="0" xfId="0" applyFont="1" applyFill="1"/>
    <xf numFmtId="0" fontId="17" fillId="20" borderId="0" xfId="0" applyFont="1" applyFill="1"/>
    <xf numFmtId="0" fontId="26" fillId="21" borderId="0" xfId="0" applyFont="1" applyFill="1"/>
    <xf numFmtId="0" fontId="17" fillId="0" borderId="0" xfId="0" applyFont="1" applyAlignment="1">
      <alignment horizontal="left"/>
    </xf>
    <xf numFmtId="0" fontId="26" fillId="22" borderId="1" xfId="0" applyFont="1" applyFill="1" applyBorder="1" applyAlignment="1">
      <alignment horizontal="left"/>
    </xf>
    <xf numFmtId="0" fontId="26" fillId="22" borderId="1" xfId="0" applyFont="1" applyFill="1" applyBorder="1"/>
    <xf numFmtId="0" fontId="26" fillId="22" borderId="1" xfId="0" applyFont="1" applyFill="1" applyBorder="1" applyAlignment="1">
      <alignment horizontal="center" vertical="center"/>
    </xf>
    <xf numFmtId="0" fontId="26" fillId="5" borderId="1" xfId="0" applyFont="1" applyFill="1" applyBorder="1" applyAlignment="1">
      <alignment horizontal="left"/>
    </xf>
    <xf numFmtId="0" fontId="26" fillId="5" borderId="1" xfId="0" applyFont="1" applyFill="1" applyBorder="1"/>
    <xf numFmtId="0" fontId="26" fillId="5" borderId="1" xfId="0" applyFont="1" applyFill="1" applyBorder="1" applyAlignment="1">
      <alignment horizontal="center" vertical="center"/>
    </xf>
    <xf numFmtId="0" fontId="27" fillId="5" borderId="1" xfId="0" applyFont="1" applyFill="1" applyBorder="1" applyAlignment="1">
      <alignment horizontal="left"/>
    </xf>
    <xf numFmtId="0" fontId="27" fillId="10" borderId="1" xfId="0" applyFont="1" applyFill="1" applyBorder="1" applyAlignment="1">
      <alignment horizontal="left"/>
    </xf>
    <xf numFmtId="0" fontId="26" fillId="10" borderId="1" xfId="0" applyFont="1" applyFill="1" applyBorder="1"/>
    <xf numFmtId="0" fontId="26" fillId="10" borderId="1" xfId="0" applyFont="1" applyFill="1" applyBorder="1" applyAlignment="1">
      <alignment horizontal="center" vertical="center"/>
    </xf>
    <xf numFmtId="0" fontId="28" fillId="23" borderId="0" xfId="0" applyFont="1" applyFill="1"/>
    <xf numFmtId="49" fontId="28" fillId="23" borderId="0" xfId="0" applyNumberFormat="1" applyFont="1" applyFill="1"/>
    <xf numFmtId="0" fontId="26" fillId="22" borderId="0" xfId="0" applyFont="1" applyFill="1"/>
    <xf numFmtId="0" fontId="26" fillId="0" borderId="1" xfId="0" applyFont="1" applyBorder="1" applyAlignment="1">
      <alignment vertical="center"/>
    </xf>
    <xf numFmtId="0" fontId="28" fillId="5" borderId="1" xfId="0" applyFont="1" applyFill="1" applyBorder="1" applyAlignment="1">
      <alignment horizontal="left"/>
    </xf>
    <xf numFmtId="49" fontId="26" fillId="5" borderId="1" xfId="0" applyNumberFormat="1" applyFont="1" applyFill="1" applyBorder="1"/>
    <xf numFmtId="0" fontId="26" fillId="5" borderId="1" xfId="0" applyFont="1" applyFill="1" applyBorder="1" applyAlignment="1">
      <alignment vertical="center"/>
    </xf>
    <xf numFmtId="0" fontId="26" fillId="0" borderId="1" xfId="0" applyFont="1" applyBorder="1"/>
    <xf numFmtId="3" fontId="26" fillId="5" borderId="1" xfId="0" applyNumberFormat="1" applyFont="1" applyFill="1" applyBorder="1"/>
    <xf numFmtId="0" fontId="26" fillId="10" borderId="1" xfId="0" applyFont="1" applyFill="1" applyBorder="1" applyAlignment="1">
      <alignment horizontal="left"/>
    </xf>
    <xf numFmtId="3" fontId="26" fillId="10" borderId="1" xfId="0" applyNumberFormat="1" applyFont="1" applyFill="1" applyBorder="1"/>
    <xf numFmtId="49" fontId="26" fillId="10" borderId="1" xfId="0" applyNumberFormat="1" applyFont="1" applyFill="1" applyBorder="1"/>
    <xf numFmtId="0" fontId="28" fillId="0" borderId="0" xfId="0" applyFont="1" applyAlignment="1">
      <alignment horizontal="center" vertical="center" wrapText="1"/>
    </xf>
    <xf numFmtId="0" fontId="28" fillId="24" borderId="1" xfId="0" applyFont="1" applyFill="1" applyBorder="1" applyAlignment="1">
      <alignment horizontal="left" vertical="center" wrapText="1"/>
    </xf>
    <xf numFmtId="0" fontId="26" fillId="0" borderId="0" xfId="0" applyFont="1"/>
    <xf numFmtId="0" fontId="28" fillId="10" borderId="1" xfId="0" applyFont="1" applyFill="1" applyBorder="1" applyAlignment="1">
      <alignment horizontal="left" vertical="center" wrapText="1"/>
    </xf>
    <xf numFmtId="0" fontId="26" fillId="5" borderId="0" xfId="0" applyFont="1" applyFill="1"/>
    <xf numFmtId="0" fontId="26" fillId="5" borderId="1" xfId="0" applyFont="1" applyFill="1" applyBorder="1" applyAlignment="1">
      <alignment horizontal="justify" vertical="center"/>
    </xf>
    <xf numFmtId="0" fontId="28" fillId="5" borderId="1" xfId="0" applyFont="1" applyFill="1" applyBorder="1" applyAlignment="1">
      <alignment horizontal="left" vertical="center" wrapText="1"/>
    </xf>
    <xf numFmtId="0" fontId="28" fillId="5" borderId="1" xfId="0" applyFont="1" applyFill="1" applyBorder="1"/>
    <xf numFmtId="0" fontId="26" fillId="8" borderId="1" xfId="0" applyFont="1" applyFill="1" applyBorder="1" applyAlignment="1">
      <alignment horizontal="center" vertical="center"/>
    </xf>
    <xf numFmtId="49" fontId="26" fillId="5" borderId="1" xfId="0" applyNumberFormat="1" applyFont="1" applyFill="1" applyBorder="1" applyAlignment="1">
      <alignment horizontal="left"/>
    </xf>
    <xf numFmtId="0" fontId="26" fillId="10" borderId="0" xfId="0" applyFont="1" applyFill="1"/>
    <xf numFmtId="0" fontId="26" fillId="5" borderId="7" xfId="0" applyFont="1" applyFill="1" applyBorder="1"/>
    <xf numFmtId="0" fontId="26" fillId="25" borderId="1" xfId="0" applyFont="1" applyFill="1" applyBorder="1" applyAlignment="1">
      <alignment horizontal="left"/>
    </xf>
    <xf numFmtId="0" fontId="26" fillId="25" borderId="1" xfId="0" applyFont="1" applyFill="1" applyBorder="1"/>
    <xf numFmtId="0" fontId="26" fillId="25" borderId="1" xfId="0" applyFont="1" applyFill="1" applyBorder="1" applyAlignment="1">
      <alignment horizontal="center" vertical="center"/>
    </xf>
    <xf numFmtId="20" fontId="26" fillId="5" borderId="1" xfId="0" applyNumberFormat="1" applyFont="1" applyFill="1" applyBorder="1"/>
    <xf numFmtId="20" fontId="26" fillId="5" borderId="1" xfId="0" applyNumberFormat="1" applyFont="1" applyFill="1" applyBorder="1" applyAlignment="1">
      <alignment horizontal="left"/>
    </xf>
    <xf numFmtId="20" fontId="26" fillId="25" borderId="1" xfId="0" applyNumberFormat="1" applyFont="1" applyFill="1" applyBorder="1"/>
    <xf numFmtId="49" fontId="26" fillId="25" borderId="1" xfId="0" applyNumberFormat="1" applyFont="1" applyFill="1" applyBorder="1"/>
    <xf numFmtId="0" fontId="26" fillId="5" borderId="1" xfId="0" applyFont="1" applyFill="1" applyBorder="1" applyAlignment="1">
      <alignment horizontal="center"/>
    </xf>
    <xf numFmtId="0" fontId="28" fillId="25" borderId="1" xfId="0" applyFont="1" applyFill="1" applyBorder="1" applyAlignment="1">
      <alignment horizontal="left" vertical="center" wrapText="1"/>
    </xf>
    <xf numFmtId="0" fontId="26" fillId="25" borderId="0" xfId="0" applyFont="1" applyFill="1"/>
    <xf numFmtId="0" fontId="28" fillId="25" borderId="1" xfId="0" applyFont="1" applyFill="1" applyBorder="1"/>
    <xf numFmtId="0" fontId="26" fillId="0" borderId="1" xfId="0" applyFont="1" applyBorder="1" applyAlignment="1">
      <alignment horizontal="center" vertical="center"/>
    </xf>
    <xf numFmtId="0" fontId="26" fillId="11" borderId="1" xfId="0" applyFont="1" applyFill="1" applyBorder="1" applyAlignment="1">
      <alignment horizontal="left"/>
    </xf>
    <xf numFmtId="0" fontId="28" fillId="11" borderId="1" xfId="0" applyFont="1" applyFill="1" applyBorder="1"/>
    <xf numFmtId="0" fontId="26" fillId="11" borderId="1" xfId="0" applyFont="1" applyFill="1" applyBorder="1"/>
    <xf numFmtId="0" fontId="26" fillId="11" borderId="1" xfId="0" applyFont="1" applyFill="1" applyBorder="1" applyAlignment="1">
      <alignment horizontal="center" vertical="center"/>
    </xf>
    <xf numFmtId="0" fontId="29" fillId="9" borderId="1" xfId="0" applyFont="1" applyFill="1" applyBorder="1" applyAlignment="1">
      <alignment horizontal="left"/>
    </xf>
    <xf numFmtId="49" fontId="28" fillId="25" borderId="1" xfId="0" applyNumberFormat="1" applyFont="1" applyFill="1" applyBorder="1" applyAlignment="1">
      <alignment vertical="center"/>
    </xf>
    <xf numFmtId="0" fontId="26" fillId="0" borderId="1" xfId="0" applyFont="1" applyBorder="1" applyAlignment="1">
      <alignment horizontal="left"/>
    </xf>
    <xf numFmtId="49" fontId="26" fillId="0" borderId="1" xfId="0" applyNumberFormat="1" applyFont="1" applyBorder="1"/>
    <xf numFmtId="20" fontId="26" fillId="11" borderId="1" xfId="0" applyNumberFormat="1" applyFont="1" applyFill="1" applyBorder="1"/>
    <xf numFmtId="49" fontId="28" fillId="11" borderId="1" xfId="0" applyNumberFormat="1" applyFont="1" applyFill="1" applyBorder="1" applyAlignment="1">
      <alignment vertical="center"/>
    </xf>
    <xf numFmtId="0" fontId="28" fillId="0" borderId="1" xfId="0" applyFont="1" applyBorder="1" applyAlignment="1">
      <alignment horizontal="left" vertical="center" wrapText="1"/>
    </xf>
    <xf numFmtId="0" fontId="28" fillId="11" borderId="1" xfId="0" applyFont="1" applyFill="1" applyBorder="1" applyAlignment="1">
      <alignment horizontal="left" vertical="center" wrapText="1"/>
    </xf>
    <xf numFmtId="0" fontId="26" fillId="11" borderId="0" xfId="0" applyFont="1" applyFill="1"/>
    <xf numFmtId="0" fontId="26" fillId="21" borderId="1" xfId="0" applyFont="1" applyFill="1" applyBorder="1" applyAlignment="1">
      <alignment horizontal="left" vertical="center" wrapText="1"/>
    </xf>
    <xf numFmtId="0" fontId="28" fillId="21" borderId="1" xfId="0" applyFont="1" applyFill="1" applyBorder="1"/>
    <xf numFmtId="0" fontId="26" fillId="21" borderId="1" xfId="0" applyFont="1" applyFill="1" applyBorder="1"/>
    <xf numFmtId="0" fontId="26" fillId="21" borderId="1" xfId="0" applyFont="1" applyFill="1" applyBorder="1" applyAlignment="1">
      <alignment horizontal="left"/>
    </xf>
    <xf numFmtId="0" fontId="28" fillId="21" borderId="1" xfId="0" applyFont="1" applyFill="1" applyBorder="1" applyAlignment="1">
      <alignment vertical="center" wrapText="1"/>
    </xf>
    <xf numFmtId="49" fontId="26" fillId="21" borderId="1" xfId="0" applyNumberFormat="1" applyFont="1" applyFill="1" applyBorder="1"/>
    <xf numFmtId="0" fontId="29" fillId="0" borderId="6" xfId="0" applyFont="1" applyBorder="1" applyAlignment="1">
      <alignment horizontal="left"/>
    </xf>
    <xf numFmtId="49" fontId="29" fillId="0" borderId="6" xfId="0" applyNumberFormat="1" applyFont="1" applyBorder="1" applyAlignment="1">
      <alignment horizontal="left"/>
    </xf>
    <xf numFmtId="0" fontId="26" fillId="5" borderId="1" xfId="0" applyFont="1" applyFill="1" applyBorder="1" applyAlignment="1">
      <alignment horizontal="left" vertical="center"/>
    </xf>
    <xf numFmtId="0" fontId="30" fillId="5" borderId="1" xfId="0" applyFont="1" applyFill="1" applyBorder="1" applyAlignment="1">
      <alignment horizontal="justify" vertical="center"/>
    </xf>
    <xf numFmtId="0" fontId="26" fillId="10" borderId="1" xfId="0" applyFont="1" applyFill="1" applyBorder="1" applyAlignment="1">
      <alignment horizontal="left" vertical="center"/>
    </xf>
    <xf numFmtId="0" fontId="30" fillId="10" borderId="1" xfId="0" applyFont="1" applyFill="1" applyBorder="1" applyAlignment="1">
      <alignment horizontal="justify" vertical="center"/>
    </xf>
    <xf numFmtId="0" fontId="31" fillId="5" borderId="1" xfId="0" applyFont="1" applyFill="1" applyBorder="1" applyAlignment="1">
      <alignment horizontal="justify" vertical="center"/>
    </xf>
    <xf numFmtId="0" fontId="26" fillId="5" borderId="1" xfId="0" applyFont="1" applyFill="1" applyBorder="1" applyAlignment="1">
      <alignment horizontal="left" vertical="top"/>
    </xf>
    <xf numFmtId="0" fontId="26" fillId="5" borderId="1" xfId="0" applyFont="1" applyFill="1" applyBorder="1" applyAlignment="1">
      <alignment horizontal="center" vertical="top"/>
    </xf>
    <xf numFmtId="0" fontId="28" fillId="25" borderId="1" xfId="0" applyFont="1" applyFill="1" applyBorder="1" applyAlignment="1">
      <alignment horizontal="left"/>
    </xf>
    <xf numFmtId="0" fontId="26" fillId="25" borderId="1" xfId="0" applyFont="1" applyFill="1" applyBorder="1" applyAlignment="1">
      <alignment vertical="center"/>
    </xf>
    <xf numFmtId="0" fontId="26" fillId="11" borderId="1" xfId="0" applyFont="1" applyFill="1" applyBorder="1" applyAlignment="1">
      <alignment vertical="center"/>
    </xf>
    <xf numFmtId="0" fontId="32" fillId="9" borderId="1" xfId="0" applyFont="1" applyFill="1" applyBorder="1" applyAlignment="1">
      <alignment horizontal="left"/>
    </xf>
    <xf numFmtId="0" fontId="29" fillId="0" borderId="1" xfId="0" applyFont="1" applyBorder="1" applyAlignment="1">
      <alignment vertical="center"/>
    </xf>
    <xf numFmtId="0" fontId="28" fillId="0" borderId="1" xfId="0" applyFont="1" applyBorder="1" applyAlignment="1">
      <alignment horizontal="left"/>
    </xf>
    <xf numFmtId="0" fontId="33" fillId="11" borderId="1" xfId="0" applyFont="1" applyFill="1" applyBorder="1" applyAlignment="1">
      <alignment vertical="center"/>
    </xf>
    <xf numFmtId="0" fontId="26" fillId="25" borderId="1" xfId="0" applyFont="1" applyFill="1" applyBorder="1" applyAlignment="1">
      <alignment vertical="center" wrapText="1"/>
    </xf>
    <xf numFmtId="0" fontId="29" fillId="9" borderId="0" xfId="0" applyFont="1" applyFill="1"/>
    <xf numFmtId="0" fontId="34" fillId="9" borderId="1" xfId="0" applyFont="1" applyFill="1" applyBorder="1" applyAlignment="1">
      <alignment horizontal="left" vertical="center"/>
    </xf>
    <xf numFmtId="0" fontId="31" fillId="21" borderId="1" xfId="0" applyFont="1" applyFill="1" applyBorder="1" applyAlignment="1">
      <alignment vertical="center"/>
    </xf>
    <xf numFmtId="0" fontId="28" fillId="21" borderId="1" xfId="0" applyFont="1" applyFill="1" applyBorder="1" applyAlignment="1">
      <alignment vertical="center"/>
    </xf>
    <xf numFmtId="0" fontId="28" fillId="21" borderId="1" xfId="0" applyFont="1" applyFill="1" applyBorder="1" applyAlignment="1">
      <alignment horizontal="left" vertical="center"/>
    </xf>
    <xf numFmtId="0" fontId="26" fillId="21" borderId="1" xfId="0" applyFont="1" applyFill="1" applyBorder="1" applyAlignment="1">
      <alignment vertical="center"/>
    </xf>
    <xf numFmtId="0" fontId="29" fillId="0" borderId="1" xfId="0" applyFont="1" applyBorder="1" applyAlignment="1">
      <alignment horizontal="left"/>
    </xf>
    <xf numFmtId="0" fontId="35" fillId="0" borderId="0" xfId="0" applyFont="1"/>
    <xf numFmtId="0" fontId="34" fillId="0" borderId="6" xfId="0" applyFont="1" applyBorder="1" applyAlignment="1">
      <alignment horizontal="left" vertical="center"/>
    </xf>
    <xf numFmtId="0" fontId="29" fillId="0" borderId="0" xfId="0" applyFont="1"/>
    <xf numFmtId="0" fontId="0" fillId="5" borderId="0" xfId="0" applyFill="1" applyAlignment="1">
      <alignment horizontal="center" vertical="center"/>
    </xf>
    <xf numFmtId="49" fontId="0" fillId="5" borderId="1" xfId="0" applyNumberFormat="1" applyFill="1" applyBorder="1" applyAlignment="1">
      <alignment horizontal="left" vertical="center"/>
    </xf>
    <xf numFmtId="0" fontId="3" fillId="10" borderId="1" xfId="0" applyFont="1" applyFill="1" applyBorder="1"/>
    <xf numFmtId="0" fontId="3" fillId="8" borderId="1" xfId="0" applyFont="1" applyFill="1" applyBorder="1"/>
    <xf numFmtId="0" fontId="3" fillId="8" borderId="1" xfId="0" applyFont="1" applyFill="1" applyBorder="1" applyAlignment="1">
      <alignment vertical="center" wrapText="1"/>
    </xf>
    <xf numFmtId="0" fontId="1" fillId="0" borderId="1" xfId="0" applyFont="1" applyBorder="1" applyAlignment="1">
      <alignment horizontal="left" vertical="center"/>
    </xf>
    <xf numFmtId="0" fontId="3" fillId="5" borderId="1" xfId="0" applyFont="1" applyFill="1" applyBorder="1" applyAlignment="1">
      <alignment horizontal="left" vertical="center"/>
    </xf>
    <xf numFmtId="0" fontId="0" fillId="0" borderId="0" xfId="0" applyAlignment="1">
      <alignment horizontal="left"/>
    </xf>
    <xf numFmtId="0" fontId="1" fillId="9" borderId="1" xfId="0" applyFont="1" applyFill="1" applyBorder="1" applyAlignment="1">
      <alignment horizontal="left" vertical="center"/>
    </xf>
    <xf numFmtId="0" fontId="0" fillId="5" borderId="6" xfId="0" applyFill="1" applyBorder="1" applyAlignment="1">
      <alignment horizontal="left" vertical="center"/>
    </xf>
    <xf numFmtId="0" fontId="0" fillId="5" borderId="0" xfId="0" applyFill="1" applyAlignment="1">
      <alignment horizontal="left" vertical="center"/>
    </xf>
    <xf numFmtId="0" fontId="0" fillId="17" borderId="5" xfId="0" applyFill="1" applyBorder="1" applyAlignment="1">
      <alignment horizontal="left" vertical="center"/>
    </xf>
    <xf numFmtId="0" fontId="0" fillId="17" borderId="5" xfId="0" applyFill="1" applyBorder="1" applyAlignment="1">
      <alignment horizontal="left" vertical="center" wrapText="1"/>
    </xf>
    <xf numFmtId="0" fontId="9" fillId="5" borderId="1" xfId="0" applyFont="1" applyFill="1" applyBorder="1" applyAlignment="1">
      <alignment horizontal="left" vertical="center"/>
    </xf>
    <xf numFmtId="0" fontId="3" fillId="5" borderId="1" xfId="0" applyFont="1" applyFill="1" applyBorder="1" applyAlignment="1">
      <alignment horizontal="left"/>
    </xf>
    <xf numFmtId="0" fontId="1" fillId="0" borderId="0" xfId="0" applyFont="1" applyAlignment="1">
      <alignment horizontal="center" vertical="center"/>
    </xf>
    <xf numFmtId="0" fontId="36" fillId="26" borderId="5" xfId="0" applyFont="1" applyFill="1" applyBorder="1" applyAlignment="1">
      <alignment horizontal="center" vertical="center"/>
    </xf>
    <xf numFmtId="0" fontId="36" fillId="26" borderId="6" xfId="0" applyFont="1" applyFill="1" applyBorder="1" applyAlignment="1">
      <alignment horizontal="center" vertical="center"/>
    </xf>
    <xf numFmtId="0" fontId="36" fillId="26" borderId="0" xfId="0" applyFont="1" applyFill="1" applyAlignment="1">
      <alignment horizontal="center" vertical="center"/>
    </xf>
    <xf numFmtId="0" fontId="23" fillId="0" borderId="0" xfId="0" applyFont="1" applyAlignment="1">
      <alignment horizontal="left" wrapText="1"/>
    </xf>
    <xf numFmtId="0" fontId="0" fillId="27" borderId="1" xfId="0" applyFill="1" applyBorder="1" applyAlignment="1">
      <alignment horizontal="left"/>
    </xf>
    <xf numFmtId="0" fontId="36" fillId="26" borderId="1" xfId="0" applyFont="1" applyFill="1" applyBorder="1" applyAlignment="1">
      <alignment horizontal="center" vertical="center"/>
    </xf>
    <xf numFmtId="0" fontId="23" fillId="0" borderId="0" xfId="0" applyFont="1" applyAlignment="1">
      <alignment wrapText="1"/>
    </xf>
    <xf numFmtId="0" fontId="36" fillId="26" borderId="1" xfId="0" applyFont="1" applyFill="1" applyBorder="1" applyAlignment="1">
      <alignment horizontal="center" vertical="center" wrapText="1"/>
    </xf>
    <xf numFmtId="0" fontId="37" fillId="0" borderId="0" xfId="0" applyFont="1"/>
    <xf numFmtId="0" fontId="0" fillId="5" borderId="1" xfId="0" applyFill="1" applyBorder="1" applyAlignment="1">
      <alignment horizontal="left" wrapText="1"/>
    </xf>
    <xf numFmtId="0" fontId="0" fillId="10" borderId="1" xfId="0" applyFill="1" applyBorder="1" applyAlignment="1">
      <alignment horizontal="left" wrapText="1"/>
    </xf>
    <xf numFmtId="0" fontId="0" fillId="27" borderId="1" xfId="0" applyFill="1" applyBorder="1" applyAlignment="1">
      <alignment horizontal="left" wrapText="1"/>
    </xf>
    <xf numFmtId="0" fontId="0" fillId="0" borderId="1" xfId="0" applyBorder="1" applyAlignment="1">
      <alignment horizontal="left" wrapText="1"/>
    </xf>
    <xf numFmtId="0" fontId="37" fillId="0" borderId="0" xfId="0" applyFont="1" applyAlignment="1">
      <alignment horizontal="left" wrapText="1"/>
    </xf>
    <xf numFmtId="0" fontId="3" fillId="27" borderId="1" xfId="0" applyFont="1" applyFill="1" applyBorder="1" applyAlignment="1">
      <alignment horizontal="left"/>
    </xf>
    <xf numFmtId="0" fontId="3" fillId="0" borderId="1" xfId="0" applyFont="1" applyBorder="1" applyAlignment="1">
      <alignment horizontal="left"/>
    </xf>
    <xf numFmtId="0" fontId="0" fillId="0" borderId="0" xfId="0" applyAlignment="1">
      <alignment vertical="center"/>
    </xf>
    <xf numFmtId="0" fontId="3" fillId="0" borderId="0" xfId="0" applyFont="1" applyAlignment="1">
      <alignment vertical="center"/>
    </xf>
    <xf numFmtId="0" fontId="28" fillId="0" borderId="0" xfId="0" applyFont="1"/>
    <xf numFmtId="0" fontId="0" fillId="11" borderId="1" xfId="0" applyFill="1" applyBorder="1" applyAlignment="1">
      <alignment vertical="center"/>
    </xf>
    <xf numFmtId="0" fontId="3" fillId="11" borderId="1" xfId="0" applyFont="1" applyFill="1" applyBorder="1" applyAlignment="1">
      <alignment vertical="center"/>
    </xf>
    <xf numFmtId="0" fontId="0" fillId="28" borderId="1" xfId="0" applyFill="1" applyBorder="1" applyAlignment="1">
      <alignment vertical="center"/>
    </xf>
    <xf numFmtId="0" fontId="3" fillId="28" borderId="1" xfId="0" applyFont="1" applyFill="1" applyBorder="1" applyAlignment="1">
      <alignment vertical="center"/>
    </xf>
    <xf numFmtId="0" fontId="0" fillId="3" borderId="1" xfId="0" applyFill="1" applyBorder="1" applyAlignment="1">
      <alignment vertical="center"/>
    </xf>
    <xf numFmtId="0" fontId="3" fillId="3" borderId="1" xfId="0" applyFont="1" applyFill="1" applyBorder="1" applyAlignment="1">
      <alignment vertical="center"/>
    </xf>
    <xf numFmtId="0" fontId="0" fillId="11" borderId="1" xfId="0" applyFill="1" applyBorder="1"/>
    <xf numFmtId="0" fontId="0" fillId="12" borderId="1" xfId="0" applyFill="1" applyBorder="1"/>
    <xf numFmtId="0" fontId="0" fillId="28" borderId="1" xfId="0" applyFill="1" applyBorder="1"/>
    <xf numFmtId="0" fontId="0" fillId="3" borderId="1" xfId="0" applyFill="1" applyBorder="1" applyAlignment="1">
      <alignment horizontal="left"/>
    </xf>
    <xf numFmtId="0" fontId="38" fillId="0" borderId="1" xfId="0" applyFont="1" applyBorder="1" applyAlignment="1">
      <alignment vertical="center" wrapText="1"/>
    </xf>
    <xf numFmtId="0" fontId="28" fillId="0" borderId="1" xfId="0" applyFont="1" applyBorder="1" applyAlignment="1">
      <alignment vertical="center"/>
    </xf>
    <xf numFmtId="0" fontId="28" fillId="8" borderId="1" xfId="0" applyFont="1" applyFill="1" applyBorder="1" applyAlignment="1">
      <alignment vertical="center"/>
    </xf>
    <xf numFmtId="0" fontId="28" fillId="5" borderId="1" xfId="0" applyFont="1" applyFill="1" applyBorder="1" applyAlignment="1">
      <alignment vertical="center"/>
    </xf>
    <xf numFmtId="0" fontId="28" fillId="11" borderId="1" xfId="0" applyFont="1" applyFill="1" applyBorder="1" applyAlignment="1">
      <alignment vertical="center"/>
    </xf>
    <xf numFmtId="0" fontId="28" fillId="29" borderId="1" xfId="0" applyFont="1" applyFill="1" applyBorder="1" applyAlignment="1">
      <alignment vertical="center"/>
    </xf>
    <xf numFmtId="0" fontId="28" fillId="30" borderId="1" xfId="0" applyFont="1" applyFill="1" applyBorder="1" applyAlignment="1">
      <alignment vertical="center"/>
    </xf>
    <xf numFmtId="0" fontId="28" fillId="3" borderId="1" xfId="0" applyFont="1" applyFill="1" applyBorder="1" applyAlignment="1">
      <alignment vertical="center"/>
    </xf>
    <xf numFmtId="0" fontId="28" fillId="3" borderId="1" xfId="0" applyFont="1" applyFill="1" applyBorder="1"/>
    <xf numFmtId="0" fontId="0" fillId="17" borderId="1" xfId="0" applyFill="1" applyBorder="1" applyAlignment="1">
      <alignment vertical="center"/>
    </xf>
    <xf numFmtId="0" fontId="3" fillId="17" borderId="1" xfId="0" applyFont="1" applyFill="1" applyBorder="1"/>
    <xf numFmtId="0" fontId="0" fillId="17" borderId="1" xfId="0" applyFill="1" applyBorder="1"/>
    <xf numFmtId="0" fontId="28" fillId="24" borderId="1" xfId="0" applyFont="1" applyFill="1" applyBorder="1" applyAlignment="1">
      <alignment vertical="center"/>
    </xf>
    <xf numFmtId="0" fontId="0" fillId="13" borderId="1" xfId="0" applyFill="1" applyBorder="1" applyAlignment="1">
      <alignment horizontal="left"/>
    </xf>
    <xf numFmtId="0" fontId="3" fillId="0" borderId="1" xfId="0" applyFont="1" applyBorder="1" applyAlignment="1">
      <alignment horizontal="left" vertical="center"/>
    </xf>
    <xf numFmtId="0" fontId="28" fillId="31" borderId="1" xfId="0" applyFont="1" applyFill="1" applyBorder="1"/>
    <xf numFmtId="0" fontId="0" fillId="0" borderId="1" xfId="0" applyBorder="1" applyAlignment="1">
      <alignment horizontal="right" vertical="center"/>
    </xf>
    <xf numFmtId="0" fontId="0" fillId="8" borderId="1" xfId="0" applyFill="1" applyBorder="1" applyAlignment="1">
      <alignment horizontal="right" vertical="center"/>
    </xf>
    <xf numFmtId="0" fontId="0" fillId="32" borderId="1" xfId="0" applyFill="1" applyBorder="1" applyAlignment="1">
      <alignment horizontal="right" vertical="center"/>
    </xf>
    <xf numFmtId="0" fontId="3" fillId="32" borderId="1" xfId="0" applyFont="1" applyFill="1" applyBorder="1" applyAlignment="1">
      <alignment vertical="center"/>
    </xf>
    <xf numFmtId="0" fontId="0" fillId="32" borderId="1" xfId="0" applyFill="1" applyBorder="1" applyAlignment="1">
      <alignment vertical="center"/>
    </xf>
    <xf numFmtId="0" fontId="0" fillId="32" borderId="1" xfId="0" applyFill="1" applyBorder="1" applyAlignment="1">
      <alignment horizontal="left" vertical="center"/>
    </xf>
    <xf numFmtId="0" fontId="13" fillId="0" borderId="1" xfId="0" applyFont="1" applyBorder="1" applyAlignment="1">
      <alignment vertical="center"/>
    </xf>
    <xf numFmtId="0" fontId="0" fillId="32" borderId="1" xfId="0" applyFill="1" applyBorder="1" applyAlignment="1">
      <alignment horizontal="left" vertical="center" wrapText="1"/>
    </xf>
    <xf numFmtId="0" fontId="28" fillId="32" borderId="1" xfId="0" applyFont="1" applyFill="1" applyBorder="1" applyAlignment="1">
      <alignment vertical="center"/>
    </xf>
    <xf numFmtId="0" fontId="5" fillId="8" borderId="1" xfId="0" applyFont="1" applyFill="1" applyBorder="1" applyAlignment="1">
      <alignment vertical="center"/>
    </xf>
    <xf numFmtId="0" fontId="39" fillId="0" borderId="0" xfId="0" applyFont="1"/>
    <xf numFmtId="0" fontId="0" fillId="8" borderId="1" xfId="0" applyFill="1" applyBorder="1" applyAlignment="1">
      <alignment horizontal="left"/>
    </xf>
    <xf numFmtId="0" fontId="40" fillId="0" borderId="0" xfId="0" applyFont="1"/>
    <xf numFmtId="0" fontId="5" fillId="8" borderId="1" xfId="0" applyFont="1" applyFill="1" applyBorder="1" applyAlignment="1">
      <alignment horizontal="left" vertical="center"/>
    </xf>
    <xf numFmtId="0" fontId="5" fillId="5" borderId="1" xfId="0" applyFont="1" applyFill="1" applyBorder="1" applyAlignment="1">
      <alignment horizontal="left" vertical="center"/>
    </xf>
    <xf numFmtId="0" fontId="28" fillId="8" borderId="1" xfId="0" applyFont="1" applyFill="1" applyBorder="1"/>
    <xf numFmtId="0" fontId="28" fillId="0" borderId="1" xfId="0" applyFont="1" applyBorder="1" applyAlignment="1">
      <alignment vertical="center" wrapText="1"/>
    </xf>
    <xf numFmtId="0" fontId="28" fillId="8" borderId="1" xfId="0" applyFont="1" applyFill="1" applyBorder="1" applyAlignment="1">
      <alignment vertical="center" wrapText="1"/>
    </xf>
    <xf numFmtId="0" fontId="28" fillId="5" borderId="1" xfId="0" applyFont="1" applyFill="1" applyBorder="1" applyAlignment="1">
      <alignment vertical="center" wrapText="1"/>
    </xf>
    <xf numFmtId="0" fontId="28" fillId="11" borderId="1" xfId="0" applyFont="1" applyFill="1" applyBorder="1" applyAlignment="1">
      <alignment vertical="center" wrapText="1"/>
    </xf>
    <xf numFmtId="0" fontId="28" fillId="29" borderId="1" xfId="0" applyFont="1" applyFill="1" applyBorder="1" applyAlignment="1">
      <alignment vertical="center" wrapText="1"/>
    </xf>
    <xf numFmtId="0" fontId="3" fillId="32" borderId="1" xfId="0" applyFont="1" applyFill="1" applyBorder="1"/>
    <xf numFmtId="0" fontId="0" fillId="32" borderId="1" xfId="0" applyFill="1" applyBorder="1"/>
    <xf numFmtId="0" fontId="0" fillId="14" borderId="1" xfId="0" applyFill="1" applyBorder="1"/>
    <xf numFmtId="0" fontId="0" fillId="14" borderId="1" xfId="0" applyFill="1" applyBorder="1" applyAlignment="1">
      <alignment vertical="center" wrapText="1"/>
    </xf>
    <xf numFmtId="0" fontId="0" fillId="13" borderId="1" xfId="0" applyFill="1" applyBorder="1" applyAlignment="1">
      <alignment horizontal="left" vertical="center"/>
    </xf>
    <xf numFmtId="0" fontId="0" fillId="14" borderId="1" xfId="0" applyFill="1" applyBorder="1" applyAlignment="1">
      <alignment horizontal="left"/>
    </xf>
    <xf numFmtId="0" fontId="28" fillId="14" borderId="1" xfId="0" applyFont="1" applyFill="1" applyBorder="1"/>
    <xf numFmtId="0" fontId="12" fillId="0" borderId="1" xfId="0" applyFont="1" applyBorder="1" applyAlignment="1">
      <alignment vertical="center"/>
    </xf>
    <xf numFmtId="0" fontId="12" fillId="0" borderId="7" xfId="0" applyFont="1" applyBorder="1" applyAlignment="1">
      <alignment vertical="center"/>
    </xf>
    <xf numFmtId="0" fontId="12" fillId="0" borderId="7" xfId="0" applyFont="1" applyBorder="1"/>
    <xf numFmtId="0" fontId="12" fillId="0" borderId="7" xfId="0" applyFont="1" applyBorder="1" applyAlignment="1">
      <alignment horizontal="left" vertical="center" wrapText="1"/>
    </xf>
    <xf numFmtId="0" fontId="12" fillId="0" borderId="4" xfId="0" applyFont="1" applyBorder="1" applyAlignment="1">
      <alignment horizontal="left" vertical="center" wrapText="1"/>
    </xf>
    <xf numFmtId="0" fontId="28" fillId="23" borderId="1" xfId="0" applyFont="1" applyFill="1" applyBorder="1"/>
    <xf numFmtId="0" fontId="28" fillId="0" borderId="7" xfId="0" applyFont="1" applyBorder="1"/>
    <xf numFmtId="0" fontId="28" fillId="0" borderId="4" xfId="0" applyFont="1" applyBorder="1"/>
    <xf numFmtId="0" fontId="0" fillId="10" borderId="4" xfId="0" applyFill="1" applyBorder="1" applyAlignment="1">
      <alignment vertical="center"/>
    </xf>
    <xf numFmtId="0" fontId="12" fillId="10" borderId="4" xfId="0" applyFont="1" applyFill="1" applyBorder="1"/>
    <xf numFmtId="0" fontId="12" fillId="10" borderId="1" xfId="0" applyFont="1" applyFill="1" applyBorder="1"/>
    <xf numFmtId="0" fontId="5" fillId="10" borderId="4" xfId="0" applyFont="1" applyFill="1" applyBorder="1"/>
    <xf numFmtId="0" fontId="5" fillId="10" borderId="4" xfId="0" applyFont="1" applyFill="1" applyBorder="1" applyAlignment="1">
      <alignment vertical="center"/>
    </xf>
    <xf numFmtId="0" fontId="12" fillId="10" borderId="1" xfId="0" applyFont="1" applyFill="1" applyBorder="1" applyAlignment="1">
      <alignment vertical="center"/>
    </xf>
    <xf numFmtId="0" fontId="12" fillId="0" borderId="6" xfId="0" applyFont="1" applyBorder="1" applyAlignment="1">
      <alignment vertical="center"/>
    </xf>
    <xf numFmtId="0" fontId="3" fillId="0" borderId="5" xfId="0" applyFont="1" applyBorder="1" applyAlignment="1">
      <alignment vertical="center"/>
    </xf>
    <xf numFmtId="0" fontId="0" fillId="0" borderId="5" xfId="0" applyBorder="1" applyAlignment="1">
      <alignment vertical="center"/>
    </xf>
    <xf numFmtId="0" fontId="12" fillId="0" borderId="8" xfId="0" applyFont="1" applyBorder="1"/>
    <xf numFmtId="0" fontId="12" fillId="0" borderId="1" xfId="0" applyFont="1" applyBorder="1"/>
    <xf numFmtId="0" fontId="12" fillId="10" borderId="4" xfId="0" applyFont="1" applyFill="1" applyBorder="1" applyAlignment="1">
      <alignment horizontal="left" vertical="center" wrapText="1"/>
    </xf>
    <xf numFmtId="0" fontId="12" fillId="10" borderId="1" xfId="0" applyFont="1" applyFill="1" applyBorder="1" applyAlignment="1">
      <alignment horizontal="left" vertical="center" wrapText="1"/>
    </xf>
    <xf numFmtId="0" fontId="12" fillId="10" borderId="4" xfId="0" applyFont="1" applyFill="1" applyBorder="1" applyAlignment="1">
      <alignment vertical="center"/>
    </xf>
    <xf numFmtId="0" fontId="12" fillId="0" borderId="8" xfId="0" applyFont="1" applyBorder="1" applyAlignment="1">
      <alignment horizontal="left" vertical="center" wrapText="1"/>
    </xf>
    <xf numFmtId="0" fontId="12" fillId="0" borderId="1" xfId="0" applyFont="1" applyBorder="1" applyAlignment="1">
      <alignment horizontal="left" vertical="center" wrapText="1"/>
    </xf>
    <xf numFmtId="0" fontId="28" fillId="10" borderId="1" xfId="0" applyFont="1" applyFill="1" applyBorder="1" applyAlignment="1">
      <alignment vertical="center"/>
    </xf>
    <xf numFmtId="0" fontId="28" fillId="10" borderId="4" xfId="0" applyFont="1" applyFill="1" applyBorder="1"/>
    <xf numFmtId="0" fontId="28" fillId="0" borderId="5" xfId="0" applyFont="1" applyBorder="1" applyAlignment="1">
      <alignment vertical="center"/>
    </xf>
    <xf numFmtId="0" fontId="28" fillId="0" borderId="1" xfId="0" applyFont="1" applyBorder="1"/>
    <xf numFmtId="0" fontId="3" fillId="8" borderId="1" xfId="0" applyFont="1" applyFill="1" applyBorder="1" applyAlignment="1">
      <alignment horizontal="left" vertical="center"/>
    </xf>
    <xf numFmtId="0" fontId="5" fillId="11" borderId="1" xfId="0" applyFont="1" applyFill="1" applyBorder="1" applyAlignment="1">
      <alignment vertical="center"/>
    </xf>
    <xf numFmtId="0" fontId="5" fillId="5" borderId="1" xfId="0" applyFont="1" applyFill="1" applyBorder="1" applyAlignment="1">
      <alignment vertical="center"/>
    </xf>
    <xf numFmtId="0" fontId="3" fillId="28" borderId="1" xfId="0" applyFont="1" applyFill="1" applyBorder="1" applyAlignment="1">
      <alignment horizontal="left" vertical="center"/>
    </xf>
    <xf numFmtId="0" fontId="0" fillId="3" borderId="1" xfId="0" applyFill="1" applyBorder="1" applyAlignment="1">
      <alignment horizontal="left" vertical="center"/>
    </xf>
    <xf numFmtId="0" fontId="3" fillId="11" borderId="1" xfId="0" applyFont="1" applyFill="1" applyBorder="1" applyAlignment="1">
      <alignment horizontal="left" vertical="center"/>
    </xf>
    <xf numFmtId="0" fontId="40" fillId="8" borderId="0" xfId="0" applyFont="1" applyFill="1"/>
    <xf numFmtId="0" fontId="0" fillId="8" borderId="1" xfId="0" applyFill="1" applyBorder="1" applyAlignment="1">
      <alignment horizontal="left" vertical="center"/>
    </xf>
    <xf numFmtId="0" fontId="5" fillId="5" borderId="1" xfId="0" applyFont="1" applyFill="1" applyBorder="1"/>
    <xf numFmtId="0" fontId="10" fillId="17" borderId="1" xfId="0" applyFont="1" applyFill="1" applyBorder="1" applyAlignment="1">
      <alignment vertical="center"/>
    </xf>
    <xf numFmtId="0" fontId="10" fillId="11" borderId="1" xfId="0" applyFont="1" applyFill="1" applyBorder="1" applyAlignment="1">
      <alignment vertical="center"/>
    </xf>
    <xf numFmtId="0" fontId="5" fillId="9" borderId="1" xfId="0" applyFont="1" applyFill="1" applyBorder="1" applyAlignment="1">
      <alignment horizontal="left" vertical="center"/>
    </xf>
    <xf numFmtId="0" fontId="5" fillId="0" borderId="1" xfId="0" applyFont="1" applyBorder="1" applyAlignment="1">
      <alignment horizontal="left" vertical="center"/>
    </xf>
    <xf numFmtId="0" fontId="6" fillId="8" borderId="1" xfId="0" applyFont="1" applyFill="1" applyBorder="1" applyAlignment="1">
      <alignment vertical="center"/>
    </xf>
    <xf numFmtId="0" fontId="6" fillId="5" borderId="1" xfId="0" applyFont="1" applyFill="1" applyBorder="1" applyAlignment="1">
      <alignment vertical="center"/>
    </xf>
    <xf numFmtId="0" fontId="8" fillId="11" borderId="1" xfId="0" applyFont="1" applyFill="1" applyBorder="1" applyAlignment="1">
      <alignment vertical="center"/>
    </xf>
    <xf numFmtId="0" fontId="5" fillId="11" borderId="1" xfId="0" applyFont="1" applyFill="1" applyBorder="1" applyAlignment="1">
      <alignment horizontal="left" vertical="center"/>
    </xf>
    <xf numFmtId="0" fontId="5" fillId="11" borderId="1" xfId="0" applyFont="1" applyFill="1" applyBorder="1"/>
    <xf numFmtId="0" fontId="5" fillId="0" borderId="1" xfId="0" applyFont="1" applyBorder="1"/>
    <xf numFmtId="0" fontId="3" fillId="0" borderId="1" xfId="0" applyFont="1" applyBorder="1" applyAlignment="1">
      <alignment horizontal="left" vertical="center" wrapText="1"/>
    </xf>
    <xf numFmtId="0" fontId="3" fillId="8" borderId="1" xfId="0" applyFont="1" applyFill="1" applyBorder="1" applyAlignment="1">
      <alignment horizontal="left" vertical="center" wrapText="1"/>
    </xf>
    <xf numFmtId="0" fontId="40" fillId="0" borderId="1" xfId="0" applyFont="1" applyBorder="1"/>
    <xf numFmtId="0" fontId="3" fillId="11" borderId="1" xfId="0" applyFont="1" applyFill="1" applyBorder="1" applyAlignment="1">
      <alignment horizontal="left" vertical="center" wrapText="1"/>
    </xf>
    <xf numFmtId="0" fontId="5" fillId="12" borderId="1" xfId="0" applyFont="1" applyFill="1" applyBorder="1"/>
    <xf numFmtId="0" fontId="11" fillId="0" borderId="1" xfId="0" applyFont="1" applyBorder="1"/>
    <xf numFmtId="0" fontId="3" fillId="12" borderId="1" xfId="0" applyFont="1" applyFill="1" applyBorder="1" applyAlignment="1">
      <alignment horizontal="left" vertical="center" wrapText="1"/>
    </xf>
    <xf numFmtId="0" fontId="5" fillId="12" borderId="1" xfId="0" applyFont="1" applyFill="1" applyBorder="1" applyAlignment="1">
      <alignment vertical="center"/>
    </xf>
    <xf numFmtId="0" fontId="8" fillId="5" borderId="1" xfId="0" applyFont="1" applyFill="1" applyBorder="1" applyAlignment="1">
      <alignment vertical="center"/>
    </xf>
    <xf numFmtId="0" fontId="3" fillId="32" borderId="1" xfId="0" applyFont="1" applyFill="1" applyBorder="1" applyAlignment="1">
      <alignment horizontal="left" vertical="center" wrapText="1"/>
    </xf>
    <xf numFmtId="0" fontId="3" fillId="32" borderId="1" xfId="0" applyFont="1" applyFill="1" applyBorder="1" applyAlignment="1">
      <alignment horizontal="left" vertical="center"/>
    </xf>
    <xf numFmtId="0" fontId="7" fillId="12" borderId="1" xfId="0" applyFont="1" applyFill="1" applyBorder="1" applyAlignment="1">
      <alignment vertical="center"/>
    </xf>
    <xf numFmtId="0" fontId="0" fillId="5" borderId="1" xfId="0" quotePrefix="1" applyFill="1" applyBorder="1" applyAlignment="1">
      <alignment vertical="center"/>
    </xf>
    <xf numFmtId="0" fontId="41" fillId="10" borderId="1" xfId="0" applyFont="1" applyFill="1" applyBorder="1"/>
    <xf numFmtId="0" fontId="41" fillId="0" borderId="1" xfId="0" applyFont="1" applyBorder="1" applyAlignment="1">
      <alignment horizontal="left"/>
    </xf>
    <xf numFmtId="0" fontId="41" fillId="0" borderId="1" xfId="0" applyFont="1" applyBorder="1" applyAlignment="1">
      <alignment horizontal="left" wrapText="1"/>
    </xf>
    <xf numFmtId="49" fontId="41" fillId="5" borderId="1" xfId="0" applyNumberFormat="1" applyFont="1" applyFill="1" applyBorder="1" applyAlignment="1">
      <alignment horizontal="left" vertical="center"/>
    </xf>
    <xf numFmtId="0" fontId="41" fillId="5" borderId="1" xfId="0" applyFont="1" applyFill="1" applyBorder="1" applyAlignment="1">
      <alignment vertical="center"/>
    </xf>
    <xf numFmtId="49" fontId="41" fillId="10" borderId="1" xfId="0" applyNumberFormat="1" applyFont="1" applyFill="1" applyBorder="1"/>
  </cellXfs>
  <cellStyles count="2">
    <cellStyle name="常规" xfId="0" builtinId="0"/>
    <cellStyle name="好" xfId="1" builtinId="26"/>
  </cellStyles>
  <dxfs count="716">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border>
        <left style="thin">
          <color rgb="FF9C0006"/>
        </left>
        <right style="thin">
          <color rgb="FF9C0006"/>
        </right>
        <top style="thin">
          <color rgb="FF9C0006"/>
        </top>
        <bottom style="thin">
          <color rgb="FF9C0006"/>
        </bottom>
      </border>
    </dxf>
    <dxf>
      <font>
        <color rgb="FF006100"/>
      </font>
      <fill>
        <patternFill patternType="solid">
          <bgColor rgb="FFC6EFCE"/>
        </patternFill>
      </fill>
    </dxf>
    <dxf>
      <font>
        <color rgb="FF9C0006"/>
      </font>
      <fill>
        <patternFill patternType="solid">
          <bgColor rgb="FFFFC7CE"/>
        </patternFill>
      </fill>
    </dxf>
    <dxf>
      <border>
        <left style="thin">
          <color rgb="FF9C0006"/>
        </left>
        <right style="thin">
          <color rgb="FF9C0006"/>
        </right>
        <top style="thin">
          <color rgb="FF9C0006"/>
        </top>
        <bottom style="thin">
          <color rgb="FF9C0006"/>
        </bottom>
      </border>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border>
        <left style="thin">
          <color rgb="FF9C0006"/>
        </left>
        <right style="thin">
          <color rgb="FF9C0006"/>
        </right>
        <top style="thin">
          <color rgb="FF9C0006"/>
        </top>
        <bottom style="thin">
          <color rgb="FF9C0006"/>
        </bottom>
      </border>
    </dxf>
    <dxf>
      <font>
        <color rgb="FF006100"/>
      </font>
      <fill>
        <patternFill patternType="solid">
          <bgColor rgb="FFC6EFCE"/>
        </patternFill>
      </fill>
    </dxf>
    <dxf>
      <font>
        <color rgb="FF9C0006"/>
      </font>
      <fill>
        <patternFill patternType="solid">
          <bgColor rgb="FFFFC7CE"/>
        </patternFill>
      </fill>
    </dxf>
    <dxf>
      <border>
        <left style="thin">
          <color rgb="FF9C0006"/>
        </left>
        <right style="thin">
          <color rgb="FF9C0006"/>
        </right>
        <top style="thin">
          <color rgb="FF9C0006"/>
        </top>
        <bottom style="thin">
          <color rgb="FF9C0006"/>
        </bottom>
      </border>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border>
        <left style="thin">
          <color rgb="FF9C0006"/>
        </left>
        <right style="thin">
          <color rgb="FF9C0006"/>
        </right>
        <top style="thin">
          <color rgb="FF9C0006"/>
        </top>
        <bottom style="thin">
          <color rgb="FF9C0006"/>
        </bottom>
      </border>
    </dxf>
    <dxf>
      <font>
        <color rgb="FF9C0006"/>
      </font>
      <fill>
        <patternFill patternType="solid">
          <bgColor rgb="FFFFC7CE"/>
        </patternFill>
      </fill>
    </dxf>
    <dxf>
      <border>
        <left style="thin">
          <color rgb="FF9C0006"/>
        </left>
        <right style="thin">
          <color rgb="FF9C0006"/>
        </right>
        <top style="thin">
          <color rgb="FF9C0006"/>
        </top>
        <bottom style="thin">
          <color rgb="FF9C0006"/>
        </bottom>
      </border>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border>
        <left style="thin">
          <color rgb="FF9C0006"/>
        </left>
        <right style="thin">
          <color rgb="FF9C0006"/>
        </right>
        <top style="thin">
          <color rgb="FF9C0006"/>
        </top>
        <bottom style="thin">
          <color rgb="FF9C0006"/>
        </bottom>
      </border>
    </dxf>
    <dxf>
      <font>
        <color rgb="FF006100"/>
      </font>
      <fill>
        <patternFill patternType="solid">
          <bgColor rgb="FFC6EFCE"/>
        </patternFill>
      </fill>
    </dxf>
    <dxf>
      <font>
        <color rgb="FF9C0006"/>
      </font>
      <fill>
        <patternFill patternType="solid">
          <bgColor rgb="FFFFC7CE"/>
        </patternFill>
      </fill>
    </dxf>
    <dxf>
      <border>
        <left style="thin">
          <color rgb="FF9C0006"/>
        </left>
        <right style="thin">
          <color rgb="FF9C0006"/>
        </right>
        <top style="thin">
          <color rgb="FF9C0006"/>
        </top>
        <bottom style="thin">
          <color rgb="FF9C0006"/>
        </bottom>
      </border>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border>
        <left style="thin">
          <color rgb="FF9C0006"/>
        </left>
        <right style="thin">
          <color rgb="FF9C0006"/>
        </right>
        <top style="thin">
          <color rgb="FF9C0006"/>
        </top>
        <bottom style="thin">
          <color rgb="FF9C0006"/>
        </bottom>
      </border>
    </dxf>
    <dxf>
      <font>
        <color rgb="FF9C0006"/>
      </font>
      <fill>
        <patternFill patternType="solid">
          <bgColor rgb="FFFFC7CE"/>
        </patternFill>
      </fill>
    </dxf>
    <dxf>
      <border>
        <left style="thin">
          <color rgb="FF9C0006"/>
        </left>
        <right style="thin">
          <color rgb="FF9C0006"/>
        </right>
        <top style="thin">
          <color rgb="FF9C0006"/>
        </top>
        <bottom style="thin">
          <color rgb="FF9C0006"/>
        </bottom>
      </border>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www.wps.cn/officeDocument/2023/relationships/customStorage" Target="customStorage/customStorag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G613"/>
  <sheetViews>
    <sheetView workbookViewId="0">
      <pane xSplit="6" ySplit="1" topLeftCell="G2" activePane="bottomRight" state="frozenSplit"/>
      <selection pane="topRight"/>
      <selection pane="bottomLeft"/>
      <selection pane="bottomRight" activeCell="C18" sqref="C18"/>
    </sheetView>
  </sheetViews>
  <sheetFormatPr defaultColWidth="9" defaultRowHeight="13.5" x14ac:dyDescent="0.15"/>
  <cols>
    <col min="1" max="1" width="9.625" customWidth="1"/>
    <col min="2" max="2" width="16.875" customWidth="1"/>
    <col min="3" max="3" width="52.875" customWidth="1"/>
    <col min="4" max="4" width="6.25" customWidth="1"/>
    <col min="5" max="5" width="5.5" customWidth="1"/>
    <col min="6" max="6" width="9.625" customWidth="1"/>
    <col min="7" max="7" width="45.5" customWidth="1"/>
    <col min="8" max="8" width="5.5" customWidth="1"/>
    <col min="9" max="9" width="7.625" customWidth="1"/>
    <col min="10" max="10" width="11.125" customWidth="1"/>
    <col min="11" max="11" width="6.125" customWidth="1"/>
    <col min="12" max="12" width="14.875" customWidth="1"/>
    <col min="13" max="13" width="13.125" customWidth="1"/>
    <col min="14" max="14" width="28.625" customWidth="1"/>
    <col min="15" max="17" width="6.125" customWidth="1"/>
    <col min="18" max="18" width="7.875" customWidth="1"/>
    <col min="19" max="20" width="6.125" customWidth="1"/>
    <col min="21" max="21" width="16.625" customWidth="1"/>
    <col min="22" max="22" width="12.5" customWidth="1"/>
    <col min="23" max="24" width="6.125" customWidth="1"/>
    <col min="25" max="25" width="6.75" customWidth="1"/>
    <col min="26" max="26" width="59.625" style="10" customWidth="1"/>
    <col min="27" max="27" width="40.25" style="10" customWidth="1"/>
    <col min="28" max="28" width="12.375" customWidth="1"/>
    <col min="30" max="30" width="13.375" customWidth="1"/>
    <col min="33" max="33" width="9" style="390"/>
  </cols>
  <sheetData>
    <row r="1" spans="1:33" s="1" customFormat="1" ht="30" customHeight="1" x14ac:dyDescent="0.15">
      <c r="A1" s="11" t="s">
        <v>0</v>
      </c>
      <c r="B1" s="12" t="s">
        <v>1</v>
      </c>
      <c r="C1" s="12" t="s">
        <v>2</v>
      </c>
      <c r="D1" s="11" t="s">
        <v>3</v>
      </c>
      <c r="E1" s="11" t="s">
        <v>4</v>
      </c>
      <c r="F1" s="11" t="s">
        <v>5</v>
      </c>
      <c r="G1" s="11" t="s">
        <v>6</v>
      </c>
      <c r="H1" s="11"/>
      <c r="I1" s="11" t="s">
        <v>7</v>
      </c>
      <c r="J1" s="11" t="s">
        <v>8</v>
      </c>
      <c r="K1" s="11" t="s">
        <v>9</v>
      </c>
      <c r="L1" s="11" t="s">
        <v>10</v>
      </c>
      <c r="M1" s="11" t="s">
        <v>11</v>
      </c>
      <c r="N1" s="11" t="s">
        <v>12</v>
      </c>
      <c r="O1" s="11" t="s">
        <v>13</v>
      </c>
      <c r="P1" s="11" t="s">
        <v>14</v>
      </c>
      <c r="Q1" s="11" t="s">
        <v>15</v>
      </c>
      <c r="R1" s="22" t="s">
        <v>16</v>
      </c>
      <c r="S1" s="22" t="s">
        <v>17</v>
      </c>
      <c r="T1" s="11" t="s">
        <v>18</v>
      </c>
      <c r="U1" s="11" t="s">
        <v>19</v>
      </c>
      <c r="V1" s="11" t="s">
        <v>20</v>
      </c>
      <c r="W1" s="11" t="s">
        <v>21</v>
      </c>
      <c r="X1" s="11" t="s">
        <v>22</v>
      </c>
      <c r="Y1" s="11" t="s">
        <v>23</v>
      </c>
      <c r="Z1" s="11" t="s">
        <v>24</v>
      </c>
      <c r="AA1" s="11" t="s">
        <v>25</v>
      </c>
      <c r="AB1" s="11" t="s">
        <v>26</v>
      </c>
      <c r="AC1" s="11" t="s">
        <v>27</v>
      </c>
      <c r="AD1" s="197" t="s">
        <v>28</v>
      </c>
      <c r="AE1" s="197" t="s">
        <v>29</v>
      </c>
      <c r="AF1" s="1" t="s">
        <v>30</v>
      </c>
      <c r="AG1" s="401"/>
    </row>
    <row r="2" spans="1:33" ht="17.25" x14ac:dyDescent="0.3">
      <c r="A2" s="118">
        <v>101001</v>
      </c>
      <c r="B2" s="17" t="s">
        <v>31</v>
      </c>
      <c r="C2" s="17" t="s">
        <v>32</v>
      </c>
      <c r="D2" s="118" t="s">
        <v>33</v>
      </c>
      <c r="E2" s="118">
        <v>1</v>
      </c>
      <c r="F2" s="118" t="s">
        <v>34</v>
      </c>
      <c r="G2" s="118"/>
      <c r="H2" s="118" t="s">
        <v>35</v>
      </c>
      <c r="I2" s="118">
        <v>1</v>
      </c>
      <c r="J2" s="118">
        <v>1</v>
      </c>
      <c r="K2" s="118">
        <v>1</v>
      </c>
      <c r="L2" s="118">
        <v>3</v>
      </c>
      <c r="M2" s="118" t="s">
        <v>36</v>
      </c>
      <c r="N2" s="118" t="s">
        <v>37</v>
      </c>
      <c r="O2" s="118">
        <v>50</v>
      </c>
      <c r="P2" s="118">
        <v>0.7</v>
      </c>
      <c r="Q2" s="118">
        <v>0</v>
      </c>
      <c r="R2" s="25">
        <v>1</v>
      </c>
      <c r="S2" s="25" t="b">
        <v>1</v>
      </c>
      <c r="T2" s="118">
        <v>13</v>
      </c>
      <c r="U2" s="118">
        <v>195</v>
      </c>
      <c r="V2" s="118">
        <v>260</v>
      </c>
      <c r="W2" s="118">
        <v>0</v>
      </c>
      <c r="X2" s="118">
        <v>1</v>
      </c>
      <c r="Y2" s="118" t="s">
        <v>38</v>
      </c>
      <c r="Z2" s="415" t="s">
        <v>39</v>
      </c>
      <c r="AA2" s="206" t="s">
        <v>40</v>
      </c>
      <c r="AB2" s="25" t="s">
        <v>41</v>
      </c>
      <c r="AC2" s="118">
        <v>100000</v>
      </c>
      <c r="AD2" s="197">
        <v>1</v>
      </c>
      <c r="AE2" s="197">
        <v>1</v>
      </c>
      <c r="AF2">
        <v>0</v>
      </c>
      <c r="AG2" s="402">
        <v>1</v>
      </c>
    </row>
    <row r="3" spans="1:33" ht="17.25" x14ac:dyDescent="0.3">
      <c r="A3" s="118">
        <v>101002</v>
      </c>
      <c r="B3" s="17" t="s">
        <v>42</v>
      </c>
      <c r="C3" s="17" t="s">
        <v>43</v>
      </c>
      <c r="D3" s="118" t="s">
        <v>33</v>
      </c>
      <c r="E3" s="118">
        <v>1</v>
      </c>
      <c r="F3" s="118" t="s">
        <v>34</v>
      </c>
      <c r="G3" s="118"/>
      <c r="H3" s="118" t="s">
        <v>35</v>
      </c>
      <c r="I3" s="118">
        <v>1</v>
      </c>
      <c r="J3" s="118">
        <v>1</v>
      </c>
      <c r="K3" s="118">
        <v>1</v>
      </c>
      <c r="L3" s="118">
        <v>3</v>
      </c>
      <c r="M3" s="118" t="s">
        <v>44</v>
      </c>
      <c r="N3" s="118" t="s">
        <v>45</v>
      </c>
      <c r="O3" s="118">
        <v>50</v>
      </c>
      <c r="P3" s="118">
        <v>0.7</v>
      </c>
      <c r="Q3" s="118">
        <v>0</v>
      </c>
      <c r="R3" s="25">
        <v>1</v>
      </c>
      <c r="S3" s="25" t="b">
        <v>1</v>
      </c>
      <c r="T3" s="118">
        <v>26</v>
      </c>
      <c r="U3" s="118">
        <v>390</v>
      </c>
      <c r="V3" s="118">
        <v>520</v>
      </c>
      <c r="W3" s="118">
        <v>0</v>
      </c>
      <c r="X3" s="118">
        <v>2</v>
      </c>
      <c r="Y3" s="118" t="s">
        <v>38</v>
      </c>
      <c r="Z3" s="415" t="s">
        <v>46</v>
      </c>
      <c r="AA3" s="206" t="s">
        <v>47</v>
      </c>
      <c r="AB3" s="25" t="s">
        <v>48</v>
      </c>
      <c r="AC3" s="118">
        <v>300000</v>
      </c>
      <c r="AD3" s="197">
        <v>1</v>
      </c>
      <c r="AE3" s="197">
        <v>1</v>
      </c>
      <c r="AF3">
        <v>0</v>
      </c>
      <c r="AG3" s="402">
        <v>2</v>
      </c>
    </row>
    <row r="4" spans="1:33" ht="17.25" x14ac:dyDescent="0.3">
      <c r="A4" s="119">
        <v>101302</v>
      </c>
      <c r="B4" s="114" t="s">
        <v>49</v>
      </c>
      <c r="C4" s="114" t="s">
        <v>50</v>
      </c>
      <c r="D4" s="119" t="s">
        <v>33</v>
      </c>
      <c r="E4" s="119">
        <v>1</v>
      </c>
      <c r="F4" s="119" t="s">
        <v>34</v>
      </c>
      <c r="G4" s="119"/>
      <c r="H4" s="119" t="s">
        <v>51</v>
      </c>
      <c r="I4" s="119">
        <v>1</v>
      </c>
      <c r="J4" s="118">
        <v>3</v>
      </c>
      <c r="K4" s="119">
        <v>0</v>
      </c>
      <c r="L4" s="119">
        <v>3</v>
      </c>
      <c r="M4" s="119" t="s">
        <v>52</v>
      </c>
      <c r="N4" s="118" t="s">
        <v>45</v>
      </c>
      <c r="O4" s="119">
        <v>50</v>
      </c>
      <c r="P4" s="119">
        <v>0.7</v>
      </c>
      <c r="Q4" s="119">
        <v>0</v>
      </c>
      <c r="R4" s="80">
        <v>1</v>
      </c>
      <c r="S4" s="80" t="b">
        <v>1</v>
      </c>
      <c r="T4" s="119">
        <v>26</v>
      </c>
      <c r="U4" s="118">
        <v>390</v>
      </c>
      <c r="V4" s="118">
        <v>520</v>
      </c>
      <c r="W4" s="119">
        <v>0</v>
      </c>
      <c r="X4" s="119">
        <v>2</v>
      </c>
      <c r="Y4" s="119" t="s">
        <v>38</v>
      </c>
      <c r="Z4" s="473" t="s">
        <v>46</v>
      </c>
      <c r="AA4" s="206" t="s">
        <v>53</v>
      </c>
      <c r="AB4" s="80" t="s">
        <v>48</v>
      </c>
      <c r="AC4" s="119">
        <v>300000</v>
      </c>
      <c r="AD4" s="92">
        <v>1</v>
      </c>
      <c r="AE4" s="92">
        <v>1</v>
      </c>
      <c r="AF4">
        <v>0</v>
      </c>
      <c r="AG4" s="403">
        <v>2</v>
      </c>
    </row>
    <row r="5" spans="1:33" ht="17.25" x14ac:dyDescent="0.3">
      <c r="A5" s="118">
        <v>101003</v>
      </c>
      <c r="B5" s="17" t="s">
        <v>54</v>
      </c>
      <c r="C5" s="17" t="s">
        <v>55</v>
      </c>
      <c r="D5" s="118" t="s">
        <v>33</v>
      </c>
      <c r="E5" s="118">
        <v>1</v>
      </c>
      <c r="F5" s="118" t="s">
        <v>34</v>
      </c>
      <c r="G5" s="118"/>
      <c r="H5" s="118" t="s">
        <v>35</v>
      </c>
      <c r="I5" s="118">
        <v>1</v>
      </c>
      <c r="J5" s="118">
        <v>1</v>
      </c>
      <c r="K5" s="118">
        <v>1</v>
      </c>
      <c r="L5" s="118">
        <v>3</v>
      </c>
      <c r="M5" s="118" t="s">
        <v>56</v>
      </c>
      <c r="N5" s="118" t="s">
        <v>57</v>
      </c>
      <c r="O5" s="118">
        <v>50</v>
      </c>
      <c r="P5" s="118">
        <v>0.7</v>
      </c>
      <c r="Q5" s="118">
        <v>0</v>
      </c>
      <c r="R5" s="25">
        <v>1</v>
      </c>
      <c r="S5" s="25" t="b">
        <v>1</v>
      </c>
      <c r="T5" s="118">
        <v>39</v>
      </c>
      <c r="U5" s="118">
        <v>585</v>
      </c>
      <c r="V5" s="118">
        <v>780</v>
      </c>
      <c r="W5" s="118">
        <v>0</v>
      </c>
      <c r="X5" s="118">
        <v>3</v>
      </c>
      <c r="Y5" s="118" t="s">
        <v>38</v>
      </c>
      <c r="Z5" s="415" t="s">
        <v>58</v>
      </c>
      <c r="AA5" s="206" t="s">
        <v>59</v>
      </c>
      <c r="AB5" s="25" t="s">
        <v>60</v>
      </c>
      <c r="AC5" s="118">
        <v>300000</v>
      </c>
      <c r="AD5" s="197">
        <v>1</v>
      </c>
      <c r="AE5" s="197">
        <v>1</v>
      </c>
      <c r="AF5">
        <v>0</v>
      </c>
      <c r="AG5" s="402">
        <v>3</v>
      </c>
    </row>
    <row r="6" spans="1:33" ht="17.25" x14ac:dyDescent="0.3">
      <c r="A6" s="118">
        <v>101004</v>
      </c>
      <c r="B6" s="17" t="s">
        <v>61</v>
      </c>
      <c r="C6" s="17" t="s">
        <v>62</v>
      </c>
      <c r="D6" s="118" t="s">
        <v>33</v>
      </c>
      <c r="E6" s="118">
        <v>1</v>
      </c>
      <c r="F6" s="118" t="s">
        <v>34</v>
      </c>
      <c r="G6" s="118"/>
      <c r="H6" s="118" t="s">
        <v>35</v>
      </c>
      <c r="I6" s="118">
        <v>1</v>
      </c>
      <c r="J6" s="118">
        <v>1</v>
      </c>
      <c r="K6" s="118">
        <v>1</v>
      </c>
      <c r="L6" s="118">
        <v>3</v>
      </c>
      <c r="M6" s="118" t="s">
        <v>63</v>
      </c>
      <c r="N6" s="118" t="s">
        <v>64</v>
      </c>
      <c r="O6" s="118">
        <v>50</v>
      </c>
      <c r="P6" s="118">
        <v>0.7</v>
      </c>
      <c r="Q6" s="118">
        <v>0</v>
      </c>
      <c r="R6" s="25">
        <v>1</v>
      </c>
      <c r="S6" s="25" t="b">
        <v>1</v>
      </c>
      <c r="T6" s="118">
        <v>52</v>
      </c>
      <c r="U6" s="118">
        <v>780</v>
      </c>
      <c r="V6" s="118">
        <v>1040</v>
      </c>
      <c r="W6" s="118">
        <v>0</v>
      </c>
      <c r="X6" s="118">
        <v>4</v>
      </c>
      <c r="Y6" s="118" t="s">
        <v>38</v>
      </c>
      <c r="Z6" s="415" t="s">
        <v>65</v>
      </c>
      <c r="AA6" s="206" t="s">
        <v>66</v>
      </c>
      <c r="AB6" s="25" t="s">
        <v>67</v>
      </c>
      <c r="AC6" s="118">
        <v>300000</v>
      </c>
      <c r="AD6" s="197">
        <v>1</v>
      </c>
      <c r="AE6" s="197">
        <v>1</v>
      </c>
      <c r="AF6">
        <v>0</v>
      </c>
      <c r="AG6" s="402">
        <v>4</v>
      </c>
    </row>
    <row r="7" spans="1:33" ht="17.25" x14ac:dyDescent="0.3">
      <c r="A7" s="118">
        <v>101005</v>
      </c>
      <c r="B7" s="17" t="s">
        <v>68</v>
      </c>
      <c r="C7" s="17" t="s">
        <v>69</v>
      </c>
      <c r="D7" s="118" t="s">
        <v>33</v>
      </c>
      <c r="E7" s="118">
        <v>1</v>
      </c>
      <c r="F7" s="118" t="s">
        <v>34</v>
      </c>
      <c r="G7" s="118"/>
      <c r="H7" s="118" t="s">
        <v>35</v>
      </c>
      <c r="I7" s="118">
        <v>1</v>
      </c>
      <c r="J7" s="118">
        <v>1</v>
      </c>
      <c r="K7" s="118">
        <v>1</v>
      </c>
      <c r="L7" s="118">
        <v>3</v>
      </c>
      <c r="M7" s="118" t="s">
        <v>70</v>
      </c>
      <c r="N7" s="118" t="s">
        <v>71</v>
      </c>
      <c r="O7" s="118">
        <v>50</v>
      </c>
      <c r="P7" s="118">
        <v>0.7</v>
      </c>
      <c r="Q7" s="118">
        <v>0</v>
      </c>
      <c r="R7" s="25">
        <v>1</v>
      </c>
      <c r="S7" s="25" t="b">
        <v>1</v>
      </c>
      <c r="T7" s="118">
        <v>65</v>
      </c>
      <c r="U7" s="118">
        <v>975</v>
      </c>
      <c r="V7" s="118">
        <v>1300</v>
      </c>
      <c r="W7" s="118">
        <v>0</v>
      </c>
      <c r="X7" s="118">
        <v>5</v>
      </c>
      <c r="Y7" s="118" t="s">
        <v>38</v>
      </c>
      <c r="Z7" s="415" t="s">
        <v>72</v>
      </c>
      <c r="AA7" s="206" t="s">
        <v>73</v>
      </c>
      <c r="AB7" s="118" t="s">
        <v>74</v>
      </c>
      <c r="AC7" s="118">
        <v>100000</v>
      </c>
      <c r="AD7" s="197">
        <v>1</v>
      </c>
      <c r="AE7" s="197">
        <v>1</v>
      </c>
      <c r="AF7">
        <v>0</v>
      </c>
      <c r="AG7" s="402">
        <v>5</v>
      </c>
    </row>
    <row r="8" spans="1:33" ht="17.25" x14ac:dyDescent="0.3">
      <c r="A8" s="118">
        <v>101006</v>
      </c>
      <c r="B8" s="17" t="s">
        <v>75</v>
      </c>
      <c r="C8" s="17" t="s">
        <v>76</v>
      </c>
      <c r="D8" s="118" t="s">
        <v>33</v>
      </c>
      <c r="E8" s="118">
        <v>1</v>
      </c>
      <c r="F8" s="118" t="s">
        <v>34</v>
      </c>
      <c r="G8" s="118"/>
      <c r="H8" s="118" t="s">
        <v>35</v>
      </c>
      <c r="I8" s="118">
        <v>1</v>
      </c>
      <c r="J8" s="118">
        <v>1</v>
      </c>
      <c r="K8" s="118">
        <v>1</v>
      </c>
      <c r="L8" s="118">
        <v>3</v>
      </c>
      <c r="M8" s="118" t="s">
        <v>70</v>
      </c>
      <c r="N8" s="118" t="s">
        <v>77</v>
      </c>
      <c r="O8" s="118">
        <v>50</v>
      </c>
      <c r="P8" s="118">
        <v>0.7</v>
      </c>
      <c r="Q8" s="118">
        <v>0</v>
      </c>
      <c r="R8" s="25">
        <v>1</v>
      </c>
      <c r="S8" s="25" t="b">
        <v>1</v>
      </c>
      <c r="T8" s="118">
        <v>78</v>
      </c>
      <c r="U8" s="118">
        <v>1170</v>
      </c>
      <c r="V8" s="118">
        <v>1560</v>
      </c>
      <c r="W8" s="118">
        <v>0</v>
      </c>
      <c r="X8" s="118">
        <v>6</v>
      </c>
      <c r="Y8" s="118" t="s">
        <v>38</v>
      </c>
      <c r="Z8" s="415" t="s">
        <v>78</v>
      </c>
      <c r="AA8" s="206" t="s">
        <v>79</v>
      </c>
      <c r="AB8" s="118" t="s">
        <v>80</v>
      </c>
      <c r="AC8" s="118">
        <v>100000</v>
      </c>
      <c r="AD8" s="197">
        <v>1</v>
      </c>
      <c r="AE8" s="197">
        <v>1</v>
      </c>
      <c r="AF8">
        <v>0</v>
      </c>
      <c r="AG8" s="402">
        <v>6</v>
      </c>
    </row>
    <row r="9" spans="1:33" ht="17.25" x14ac:dyDescent="0.3">
      <c r="A9" s="118">
        <v>101007</v>
      </c>
      <c r="B9" s="21" t="s">
        <v>81</v>
      </c>
      <c r="C9" s="21" t="s">
        <v>82</v>
      </c>
      <c r="D9" s="118" t="s">
        <v>33</v>
      </c>
      <c r="E9" s="118">
        <v>1</v>
      </c>
      <c r="F9" s="118" t="s">
        <v>34</v>
      </c>
      <c r="G9" s="118"/>
      <c r="H9" s="118" t="s">
        <v>35</v>
      </c>
      <c r="I9" s="118">
        <v>1</v>
      </c>
      <c r="J9" s="118">
        <v>1</v>
      </c>
      <c r="K9" s="118">
        <v>1</v>
      </c>
      <c r="L9" s="118">
        <v>3</v>
      </c>
      <c r="M9" s="118" t="s">
        <v>70</v>
      </c>
      <c r="N9" s="118" t="s">
        <v>83</v>
      </c>
      <c r="O9" s="118">
        <v>50</v>
      </c>
      <c r="P9" s="118">
        <v>0.7</v>
      </c>
      <c r="Q9" s="118">
        <v>0</v>
      </c>
      <c r="R9" s="25">
        <v>1</v>
      </c>
      <c r="S9" s="25" t="b">
        <v>1</v>
      </c>
      <c r="T9" s="118">
        <v>91</v>
      </c>
      <c r="U9" s="118">
        <v>1365</v>
      </c>
      <c r="V9" s="118">
        <v>1820</v>
      </c>
      <c r="W9" s="118">
        <v>0</v>
      </c>
      <c r="X9" s="118">
        <v>7</v>
      </c>
      <c r="Y9" s="118" t="s">
        <v>38</v>
      </c>
      <c r="Z9" s="415" t="s">
        <v>84</v>
      </c>
      <c r="AA9" s="206" t="s">
        <v>85</v>
      </c>
      <c r="AB9" s="118" t="s">
        <v>86</v>
      </c>
      <c r="AC9" s="118">
        <v>100000</v>
      </c>
      <c r="AD9" s="197">
        <v>1</v>
      </c>
      <c r="AE9" s="197">
        <v>1</v>
      </c>
      <c r="AF9">
        <v>0</v>
      </c>
      <c r="AG9" s="402">
        <v>7</v>
      </c>
    </row>
    <row r="10" spans="1:33" ht="17.25" x14ac:dyDescent="0.3">
      <c r="A10" s="17">
        <v>101008</v>
      </c>
      <c r="B10" s="17" t="s">
        <v>87</v>
      </c>
      <c r="C10" s="17" t="s">
        <v>88</v>
      </c>
      <c r="D10" s="118" t="s">
        <v>33</v>
      </c>
      <c r="E10" s="118">
        <v>1</v>
      </c>
      <c r="F10" s="118" t="s">
        <v>34</v>
      </c>
      <c r="G10" s="118"/>
      <c r="H10" s="17" t="s">
        <v>35</v>
      </c>
      <c r="I10" s="118">
        <v>1</v>
      </c>
      <c r="J10" s="118">
        <v>1</v>
      </c>
      <c r="K10" s="118">
        <v>1</v>
      </c>
      <c r="L10" s="118">
        <v>3</v>
      </c>
      <c r="M10" s="118" t="s">
        <v>70</v>
      </c>
      <c r="N10" s="118" t="s">
        <v>89</v>
      </c>
      <c r="O10" s="118">
        <v>50</v>
      </c>
      <c r="P10" s="118">
        <v>0.7</v>
      </c>
      <c r="Q10" s="118">
        <v>0</v>
      </c>
      <c r="R10" s="25">
        <v>1</v>
      </c>
      <c r="S10" s="25" t="b">
        <v>1</v>
      </c>
      <c r="T10" s="118">
        <v>104</v>
      </c>
      <c r="U10" s="118">
        <v>1560</v>
      </c>
      <c r="V10" s="118">
        <v>2080</v>
      </c>
      <c r="W10" s="118">
        <v>0</v>
      </c>
      <c r="X10" s="118">
        <v>8</v>
      </c>
      <c r="Y10" s="118" t="s">
        <v>38</v>
      </c>
      <c r="Z10" s="415" t="s">
        <v>90</v>
      </c>
      <c r="AA10" s="206" t="s">
        <v>91</v>
      </c>
      <c r="AB10" s="118" t="s">
        <v>92</v>
      </c>
      <c r="AC10" s="118">
        <v>100000</v>
      </c>
      <c r="AD10" s="191">
        <v>1</v>
      </c>
      <c r="AE10" s="191">
        <v>1</v>
      </c>
      <c r="AF10">
        <v>0</v>
      </c>
      <c r="AG10" s="402">
        <v>8</v>
      </c>
    </row>
    <row r="11" spans="1:33" ht="17.25" x14ac:dyDescent="0.3">
      <c r="A11" s="17">
        <v>101009</v>
      </c>
      <c r="B11" t="s">
        <v>93</v>
      </c>
      <c r="C11" t="s">
        <v>94</v>
      </c>
      <c r="D11" s="118" t="s">
        <v>33</v>
      </c>
      <c r="E11" s="118">
        <v>1</v>
      </c>
      <c r="F11" s="118" t="s">
        <v>34</v>
      </c>
      <c r="G11" s="118"/>
      <c r="H11" s="17" t="s">
        <v>35</v>
      </c>
      <c r="I11" s="118">
        <v>1</v>
      </c>
      <c r="J11" s="118">
        <v>1</v>
      </c>
      <c r="K11" s="118">
        <v>1</v>
      </c>
      <c r="L11" s="118">
        <v>3</v>
      </c>
      <c r="M11" s="118" t="s">
        <v>70</v>
      </c>
      <c r="N11" s="118" t="s">
        <v>95</v>
      </c>
      <c r="O11" s="118">
        <v>50</v>
      </c>
      <c r="P11" s="118">
        <v>0.7</v>
      </c>
      <c r="Q11" s="118">
        <v>0</v>
      </c>
      <c r="R11" s="25">
        <v>1</v>
      </c>
      <c r="S11" s="25" t="b">
        <v>1</v>
      </c>
      <c r="T11" s="118">
        <v>117</v>
      </c>
      <c r="U11" s="118">
        <v>1755</v>
      </c>
      <c r="V11" s="118">
        <v>2340</v>
      </c>
      <c r="W11" s="118">
        <v>0</v>
      </c>
      <c r="X11" s="118">
        <v>9</v>
      </c>
      <c r="Y11" s="118" t="s">
        <v>38</v>
      </c>
      <c r="Z11" t="s">
        <v>96</v>
      </c>
      <c r="AA11" s="206" t="s">
        <v>97</v>
      </c>
      <c r="AB11" s="118" t="s">
        <v>98</v>
      </c>
      <c r="AC11" s="118">
        <v>100000</v>
      </c>
      <c r="AD11" s="191">
        <v>1</v>
      </c>
      <c r="AE11" s="191">
        <v>1</v>
      </c>
      <c r="AF11">
        <v>0</v>
      </c>
      <c r="AG11" s="402">
        <v>9</v>
      </c>
    </row>
    <row r="12" spans="1:33" ht="17.25" x14ac:dyDescent="0.3">
      <c r="A12" s="17">
        <v>101010</v>
      </c>
      <c r="B12" s="17" t="s">
        <v>99</v>
      </c>
      <c r="C12" s="17" t="s">
        <v>100</v>
      </c>
      <c r="D12" s="118" t="s">
        <v>33</v>
      </c>
      <c r="E12" s="118">
        <v>1</v>
      </c>
      <c r="F12" s="118" t="s">
        <v>34</v>
      </c>
      <c r="G12" s="118"/>
      <c r="H12" s="17" t="s">
        <v>35</v>
      </c>
      <c r="I12" s="118">
        <v>1</v>
      </c>
      <c r="J12" s="118">
        <v>1</v>
      </c>
      <c r="K12" s="118">
        <v>1</v>
      </c>
      <c r="L12" s="118">
        <v>3</v>
      </c>
      <c r="M12" s="118" t="s">
        <v>70</v>
      </c>
      <c r="N12" s="118" t="s">
        <v>101</v>
      </c>
      <c r="O12" s="118">
        <v>50</v>
      </c>
      <c r="P12" s="118">
        <v>0.7</v>
      </c>
      <c r="Q12" s="118">
        <v>0</v>
      </c>
      <c r="R12" s="25">
        <v>1</v>
      </c>
      <c r="S12" s="25" t="b">
        <v>1</v>
      </c>
      <c r="T12" s="118">
        <v>130</v>
      </c>
      <c r="U12" s="118">
        <v>1950</v>
      </c>
      <c r="V12" s="118">
        <v>2600</v>
      </c>
      <c r="W12" s="118">
        <v>0</v>
      </c>
      <c r="X12" s="118">
        <v>10</v>
      </c>
      <c r="Y12" s="118" t="s">
        <v>38</v>
      </c>
      <c r="Z12" s="415" t="s">
        <v>102</v>
      </c>
      <c r="AA12" s="206" t="s">
        <v>103</v>
      </c>
      <c r="AB12" s="118" t="s">
        <v>104</v>
      </c>
      <c r="AC12" s="118">
        <v>100000</v>
      </c>
      <c r="AD12" s="191">
        <v>1</v>
      </c>
      <c r="AE12" s="191">
        <v>1</v>
      </c>
      <c r="AF12">
        <v>0</v>
      </c>
      <c r="AG12" s="402">
        <v>10</v>
      </c>
    </row>
    <row r="13" spans="1:33" ht="17.25" x14ac:dyDescent="0.3">
      <c r="A13" s="84">
        <v>101202</v>
      </c>
      <c r="B13" s="105" t="s">
        <v>105</v>
      </c>
      <c r="C13" s="105" t="s">
        <v>106</v>
      </c>
      <c r="D13" s="84" t="s">
        <v>33</v>
      </c>
      <c r="E13" s="84">
        <v>1</v>
      </c>
      <c r="F13" s="84" t="s">
        <v>34</v>
      </c>
      <c r="G13" s="84"/>
      <c r="H13" s="84" t="s">
        <v>107</v>
      </c>
      <c r="I13" s="84">
        <v>4</v>
      </c>
      <c r="J13" s="118">
        <v>4</v>
      </c>
      <c r="K13" s="84">
        <v>0</v>
      </c>
      <c r="L13" s="84">
        <v>3</v>
      </c>
      <c r="M13" s="84">
        <v>4</v>
      </c>
      <c r="N13" s="118" t="s">
        <v>45</v>
      </c>
      <c r="O13" s="84">
        <v>50</v>
      </c>
      <c r="P13" s="84">
        <v>0.7</v>
      </c>
      <c r="Q13" s="84">
        <v>0</v>
      </c>
      <c r="R13" s="43">
        <v>1</v>
      </c>
      <c r="S13" s="43" t="b">
        <v>1</v>
      </c>
      <c r="T13" s="84">
        <v>26</v>
      </c>
      <c r="U13" s="118">
        <v>390</v>
      </c>
      <c r="V13" s="118">
        <v>520</v>
      </c>
      <c r="W13" s="84">
        <v>0</v>
      </c>
      <c r="X13" s="84">
        <v>2</v>
      </c>
      <c r="Y13" s="84" t="s">
        <v>38</v>
      </c>
      <c r="Z13" s="362" t="s">
        <v>108</v>
      </c>
      <c r="AA13" s="206" t="s">
        <v>109</v>
      </c>
      <c r="AB13" s="43" t="s">
        <v>48</v>
      </c>
      <c r="AC13" s="84">
        <v>100000</v>
      </c>
      <c r="AD13" s="197">
        <v>1</v>
      </c>
      <c r="AE13" s="197">
        <v>1</v>
      </c>
      <c r="AF13">
        <v>0</v>
      </c>
      <c r="AG13" s="404">
        <v>2</v>
      </c>
    </row>
    <row r="14" spans="1:33" ht="17.25" x14ac:dyDescent="0.3">
      <c r="A14" s="391">
        <v>101203</v>
      </c>
      <c r="B14" s="392" t="s">
        <v>110</v>
      </c>
      <c r="C14" s="392" t="s">
        <v>111</v>
      </c>
      <c r="D14" s="391" t="s">
        <v>33</v>
      </c>
      <c r="E14" s="391">
        <v>1</v>
      </c>
      <c r="F14" s="391" t="s">
        <v>34</v>
      </c>
      <c r="G14" s="391"/>
      <c r="H14" s="391" t="s">
        <v>112</v>
      </c>
      <c r="I14" s="391">
        <v>4</v>
      </c>
      <c r="J14" s="118">
        <v>4</v>
      </c>
      <c r="K14" s="391">
        <v>0</v>
      </c>
      <c r="L14" s="391">
        <v>3</v>
      </c>
      <c r="M14" s="391">
        <v>4</v>
      </c>
      <c r="N14" s="118" t="s">
        <v>57</v>
      </c>
      <c r="O14" s="391">
        <v>50</v>
      </c>
      <c r="P14" s="391">
        <v>0.7</v>
      </c>
      <c r="Q14" s="391">
        <v>0</v>
      </c>
      <c r="R14" s="397">
        <v>1</v>
      </c>
      <c r="S14" s="397" t="b">
        <v>1</v>
      </c>
      <c r="T14" s="391">
        <v>39</v>
      </c>
      <c r="U14" s="118">
        <v>585</v>
      </c>
      <c r="V14" s="118">
        <v>780</v>
      </c>
      <c r="W14" s="391">
        <v>0</v>
      </c>
      <c r="X14" s="391">
        <v>3</v>
      </c>
      <c r="Y14" s="391" t="s">
        <v>38</v>
      </c>
      <c r="Z14" s="474" t="s">
        <v>113</v>
      </c>
      <c r="AA14" s="206" t="s">
        <v>114</v>
      </c>
      <c r="AB14" s="397" t="s">
        <v>60</v>
      </c>
      <c r="AC14" s="391">
        <v>100000</v>
      </c>
      <c r="AD14" s="197">
        <v>1</v>
      </c>
      <c r="AE14" s="197">
        <v>1</v>
      </c>
      <c r="AF14">
        <v>0</v>
      </c>
      <c r="AG14" s="405">
        <v>3</v>
      </c>
    </row>
    <row r="15" spans="1:33" ht="17.25" x14ac:dyDescent="0.3">
      <c r="A15" s="391">
        <v>101204</v>
      </c>
      <c r="B15" s="392" t="s">
        <v>115</v>
      </c>
      <c r="C15" s="392" t="s">
        <v>116</v>
      </c>
      <c r="D15" s="391" t="s">
        <v>33</v>
      </c>
      <c r="E15" s="391">
        <v>1</v>
      </c>
      <c r="F15" s="391" t="s">
        <v>34</v>
      </c>
      <c r="G15" s="391"/>
      <c r="H15" s="391" t="s">
        <v>112</v>
      </c>
      <c r="I15" s="391">
        <v>5</v>
      </c>
      <c r="J15" s="118">
        <v>5</v>
      </c>
      <c r="K15" s="391">
        <v>0</v>
      </c>
      <c r="L15" s="391">
        <v>3</v>
      </c>
      <c r="M15" s="391">
        <v>5</v>
      </c>
      <c r="N15" s="118" t="s">
        <v>64</v>
      </c>
      <c r="O15" s="391">
        <v>50</v>
      </c>
      <c r="P15" s="391">
        <v>0.7</v>
      </c>
      <c r="Q15" s="391">
        <v>0</v>
      </c>
      <c r="R15" s="397">
        <v>1</v>
      </c>
      <c r="S15" s="397" t="b">
        <v>1</v>
      </c>
      <c r="T15" s="391">
        <v>52</v>
      </c>
      <c r="U15" s="118">
        <v>780</v>
      </c>
      <c r="V15" s="118">
        <v>1040</v>
      </c>
      <c r="W15" s="391">
        <v>0</v>
      </c>
      <c r="X15" s="391">
        <v>4</v>
      </c>
      <c r="Y15" s="391" t="s">
        <v>38</v>
      </c>
      <c r="Z15" s="123" t="s">
        <v>117</v>
      </c>
      <c r="AA15" s="206" t="s">
        <v>118</v>
      </c>
      <c r="AB15" s="397" t="s">
        <v>119</v>
      </c>
      <c r="AC15" s="391">
        <v>100000</v>
      </c>
      <c r="AD15" s="197">
        <v>1</v>
      </c>
      <c r="AE15" s="197">
        <v>1</v>
      </c>
      <c r="AF15">
        <v>0</v>
      </c>
      <c r="AG15" s="405">
        <v>4</v>
      </c>
    </row>
    <row r="16" spans="1:33" ht="17.25" x14ac:dyDescent="0.3">
      <c r="A16" s="119">
        <v>101307</v>
      </c>
      <c r="B16" s="114" t="s">
        <v>120</v>
      </c>
      <c r="C16" s="114" t="s">
        <v>121</v>
      </c>
      <c r="D16" s="119" t="s">
        <v>33</v>
      </c>
      <c r="E16" s="119">
        <v>1</v>
      </c>
      <c r="F16" s="119" t="s">
        <v>34</v>
      </c>
      <c r="G16" s="119"/>
      <c r="H16" s="119" t="s">
        <v>51</v>
      </c>
      <c r="I16" s="119">
        <v>1</v>
      </c>
      <c r="J16" s="118">
        <v>4</v>
      </c>
      <c r="K16" s="119">
        <v>0</v>
      </c>
      <c r="L16" s="119">
        <v>3</v>
      </c>
      <c r="M16" s="119" t="s">
        <v>52</v>
      </c>
      <c r="N16" s="118" t="s">
        <v>83</v>
      </c>
      <c r="O16" s="119">
        <v>50</v>
      </c>
      <c r="P16" s="119">
        <v>0.7</v>
      </c>
      <c r="Q16" s="119">
        <v>0</v>
      </c>
      <c r="R16" s="80">
        <v>1</v>
      </c>
      <c r="S16" s="80" t="b">
        <v>1</v>
      </c>
      <c r="T16" s="119">
        <v>91</v>
      </c>
      <c r="U16" s="118">
        <v>1365</v>
      </c>
      <c r="V16" s="118">
        <v>1820</v>
      </c>
      <c r="W16" s="119">
        <v>0</v>
      </c>
      <c r="X16" s="119">
        <v>7</v>
      </c>
      <c r="Y16" s="119" t="s">
        <v>38</v>
      </c>
      <c r="Z16" s="473" t="s">
        <v>84</v>
      </c>
      <c r="AA16" s="206" t="s">
        <v>122</v>
      </c>
      <c r="AB16" s="119" t="s">
        <v>86</v>
      </c>
      <c r="AC16" s="119">
        <v>100000</v>
      </c>
      <c r="AD16" s="197">
        <v>1</v>
      </c>
      <c r="AE16" s="197">
        <v>1</v>
      </c>
      <c r="AF16">
        <v>0</v>
      </c>
      <c r="AG16" s="403">
        <v>7</v>
      </c>
    </row>
    <row r="17" spans="1:33" ht="17.25" x14ac:dyDescent="0.3">
      <c r="A17" s="119">
        <v>101208</v>
      </c>
      <c r="B17" s="114" t="s">
        <v>123</v>
      </c>
      <c r="C17" s="114" t="s">
        <v>124</v>
      </c>
      <c r="D17" s="119" t="s">
        <v>33</v>
      </c>
      <c r="E17" s="119">
        <v>1</v>
      </c>
      <c r="F17" s="119" t="s">
        <v>34</v>
      </c>
      <c r="G17" s="119"/>
      <c r="H17" s="119" t="s">
        <v>51</v>
      </c>
      <c r="I17" s="119">
        <v>1</v>
      </c>
      <c r="J17" s="118">
        <v>4</v>
      </c>
      <c r="K17" s="119">
        <v>0</v>
      </c>
      <c r="L17" s="119">
        <v>3</v>
      </c>
      <c r="M17" s="119" t="s">
        <v>52</v>
      </c>
      <c r="N17" s="118" t="s">
        <v>89</v>
      </c>
      <c r="O17" s="119">
        <v>50</v>
      </c>
      <c r="P17" s="119">
        <v>0.7</v>
      </c>
      <c r="Q17" s="119">
        <v>0</v>
      </c>
      <c r="R17" s="80">
        <v>1</v>
      </c>
      <c r="S17" s="80" t="b">
        <v>1</v>
      </c>
      <c r="T17" s="119">
        <v>104</v>
      </c>
      <c r="U17" s="118">
        <v>1560</v>
      </c>
      <c r="V17" s="118">
        <v>2080</v>
      </c>
      <c r="W17" s="119">
        <v>0</v>
      </c>
      <c r="X17" s="119">
        <v>8</v>
      </c>
      <c r="Y17" s="119" t="s">
        <v>38</v>
      </c>
      <c r="Z17" s="473" t="s">
        <v>90</v>
      </c>
      <c r="AA17" s="206" t="s">
        <v>125</v>
      </c>
      <c r="AB17" s="119" t="s">
        <v>92</v>
      </c>
      <c r="AC17" s="119">
        <v>100000</v>
      </c>
      <c r="AD17" s="197">
        <v>1</v>
      </c>
      <c r="AE17" s="197">
        <v>1</v>
      </c>
      <c r="AF17">
        <v>0</v>
      </c>
      <c r="AG17" s="403">
        <v>8</v>
      </c>
    </row>
    <row r="18" spans="1:33" ht="17.25" x14ac:dyDescent="0.3">
      <c r="A18" s="119">
        <v>101209</v>
      </c>
      <c r="B18" s="9" t="s">
        <v>126</v>
      </c>
      <c r="C18" s="9" t="s">
        <v>127</v>
      </c>
      <c r="D18" s="119" t="s">
        <v>33</v>
      </c>
      <c r="E18" s="119">
        <v>1</v>
      </c>
      <c r="F18" s="119" t="s">
        <v>34</v>
      </c>
      <c r="G18" s="119"/>
      <c r="H18" s="119" t="s">
        <v>51</v>
      </c>
      <c r="I18" s="119">
        <v>1</v>
      </c>
      <c r="J18" s="118">
        <v>4</v>
      </c>
      <c r="K18" s="119">
        <v>0</v>
      </c>
      <c r="L18" s="119">
        <v>3</v>
      </c>
      <c r="M18" s="119" t="s">
        <v>52</v>
      </c>
      <c r="N18" s="118" t="s">
        <v>95</v>
      </c>
      <c r="O18" s="119">
        <v>50</v>
      </c>
      <c r="P18" s="119">
        <v>0.7</v>
      </c>
      <c r="Q18" s="119">
        <v>0</v>
      </c>
      <c r="R18" s="80">
        <v>1</v>
      </c>
      <c r="S18" s="80" t="b">
        <v>1</v>
      </c>
      <c r="T18" s="119">
        <v>117</v>
      </c>
      <c r="U18" s="118">
        <v>1755</v>
      </c>
      <c r="V18" s="118">
        <v>2340</v>
      </c>
      <c r="W18" s="119">
        <v>0</v>
      </c>
      <c r="X18" s="119">
        <v>9</v>
      </c>
      <c r="Y18" s="119" t="s">
        <v>38</v>
      </c>
      <c r="Z18" s="473" t="s">
        <v>96</v>
      </c>
      <c r="AA18" s="206" t="s">
        <v>128</v>
      </c>
      <c r="AB18" s="119" t="s">
        <v>98</v>
      </c>
      <c r="AC18" s="119">
        <v>100000</v>
      </c>
      <c r="AD18" s="197">
        <v>1</v>
      </c>
      <c r="AE18" s="197">
        <v>1</v>
      </c>
      <c r="AF18">
        <v>0</v>
      </c>
      <c r="AG18" s="403">
        <v>9</v>
      </c>
    </row>
    <row r="19" spans="1:33" ht="17.25" x14ac:dyDescent="0.3">
      <c r="A19" s="119">
        <v>101210</v>
      </c>
      <c r="B19" s="114" t="s">
        <v>129</v>
      </c>
      <c r="C19" s="114" t="s">
        <v>130</v>
      </c>
      <c r="D19" s="119" t="s">
        <v>33</v>
      </c>
      <c r="E19" s="119">
        <v>1</v>
      </c>
      <c r="F19" s="119" t="s">
        <v>34</v>
      </c>
      <c r="G19" s="119"/>
      <c r="H19" s="119" t="s">
        <v>51</v>
      </c>
      <c r="I19" s="119">
        <v>1</v>
      </c>
      <c r="J19" s="118">
        <v>4</v>
      </c>
      <c r="K19" s="119">
        <v>0</v>
      </c>
      <c r="L19" s="119">
        <v>3</v>
      </c>
      <c r="M19" s="119" t="s">
        <v>52</v>
      </c>
      <c r="N19" s="118" t="s">
        <v>101</v>
      </c>
      <c r="O19" s="119">
        <v>50</v>
      </c>
      <c r="P19" s="119">
        <v>0.7</v>
      </c>
      <c r="Q19" s="119">
        <v>0</v>
      </c>
      <c r="R19" s="80">
        <v>1</v>
      </c>
      <c r="S19" s="80" t="b">
        <v>1</v>
      </c>
      <c r="T19" s="119">
        <v>130</v>
      </c>
      <c r="U19" s="118">
        <v>1950</v>
      </c>
      <c r="V19" s="118">
        <v>2600</v>
      </c>
      <c r="W19" s="119">
        <v>0</v>
      </c>
      <c r="X19" s="119">
        <v>10</v>
      </c>
      <c r="Y19" s="119" t="s">
        <v>38</v>
      </c>
      <c r="Z19" s="473" t="s">
        <v>102</v>
      </c>
      <c r="AA19" s="206" t="s">
        <v>131</v>
      </c>
      <c r="AB19" s="119" t="s">
        <v>104</v>
      </c>
      <c r="AC19" s="119">
        <v>100000</v>
      </c>
      <c r="AD19" s="197">
        <v>1</v>
      </c>
      <c r="AE19" s="197">
        <v>1</v>
      </c>
      <c r="AF19">
        <v>0</v>
      </c>
      <c r="AG19" s="403">
        <v>10</v>
      </c>
    </row>
    <row r="20" spans="1:33" ht="17.25" x14ac:dyDescent="0.3">
      <c r="A20" s="116">
        <v>102000</v>
      </c>
      <c r="B20" s="122" t="s">
        <v>132</v>
      </c>
      <c r="C20" s="122" t="s">
        <v>133</v>
      </c>
      <c r="D20" s="116" t="s">
        <v>33</v>
      </c>
      <c r="E20" s="116">
        <v>2</v>
      </c>
      <c r="F20" s="116" t="s">
        <v>134</v>
      </c>
      <c r="G20" s="116" t="s">
        <v>135</v>
      </c>
      <c r="H20" s="116"/>
      <c r="I20" s="116">
        <v>1</v>
      </c>
      <c r="J20" s="118">
        <v>1</v>
      </c>
      <c r="K20" s="116">
        <v>0</v>
      </c>
      <c r="L20" s="116">
        <v>3</v>
      </c>
      <c r="M20" s="116">
        <v>1</v>
      </c>
      <c r="N20" s="118" t="s">
        <v>37</v>
      </c>
      <c r="O20" s="116">
        <v>50</v>
      </c>
      <c r="P20" s="116">
        <v>0.7</v>
      </c>
      <c r="Q20" s="116">
        <v>0</v>
      </c>
      <c r="R20" s="116">
        <v>1</v>
      </c>
      <c r="S20" s="398" t="b">
        <v>1</v>
      </c>
      <c r="T20" s="116">
        <v>13</v>
      </c>
      <c r="U20" s="118">
        <v>195</v>
      </c>
      <c r="V20" s="118">
        <v>260</v>
      </c>
      <c r="W20" s="116">
        <v>0</v>
      </c>
      <c r="X20" s="116">
        <v>1</v>
      </c>
      <c r="Y20" s="116" t="s">
        <v>38</v>
      </c>
      <c r="Z20" s="116" t="s">
        <v>136</v>
      </c>
      <c r="AA20" s="206" t="s">
        <v>137</v>
      </c>
      <c r="AB20" s="398" t="s">
        <v>138</v>
      </c>
      <c r="AC20" s="116">
        <v>100000</v>
      </c>
      <c r="AD20" s="197">
        <v>1</v>
      </c>
      <c r="AE20" s="197">
        <v>1</v>
      </c>
      <c r="AF20">
        <v>0</v>
      </c>
      <c r="AG20" s="406">
        <v>1</v>
      </c>
    </row>
    <row r="21" spans="1:33" ht="17.25" x14ac:dyDescent="0.3">
      <c r="A21" s="118">
        <v>102001</v>
      </c>
      <c r="B21" s="17" t="s">
        <v>139</v>
      </c>
      <c r="C21" s="17" t="s">
        <v>140</v>
      </c>
      <c r="D21" s="118" t="s">
        <v>33</v>
      </c>
      <c r="E21" s="118">
        <v>2</v>
      </c>
      <c r="F21" s="118" t="s">
        <v>134</v>
      </c>
      <c r="G21" s="118" t="s">
        <v>135</v>
      </c>
      <c r="H21" s="118" t="s">
        <v>35</v>
      </c>
      <c r="I21" s="118">
        <v>1</v>
      </c>
      <c r="J21" s="118">
        <v>1</v>
      </c>
      <c r="K21" s="118">
        <v>1</v>
      </c>
      <c r="L21" s="118">
        <v>3</v>
      </c>
      <c r="M21" s="118" t="s">
        <v>36</v>
      </c>
      <c r="N21" s="118" t="s">
        <v>37</v>
      </c>
      <c r="O21" s="118">
        <v>50</v>
      </c>
      <c r="P21" s="118">
        <v>0.7</v>
      </c>
      <c r="Q21" s="118">
        <v>0</v>
      </c>
      <c r="R21" s="25">
        <v>1</v>
      </c>
      <c r="S21" s="25" t="b">
        <v>1</v>
      </c>
      <c r="T21" s="118">
        <v>13</v>
      </c>
      <c r="U21" s="118">
        <v>195</v>
      </c>
      <c r="V21" s="118">
        <v>260</v>
      </c>
      <c r="W21" s="118">
        <v>0</v>
      </c>
      <c r="X21" s="118">
        <v>1</v>
      </c>
      <c r="Y21" s="118" t="s">
        <v>38</v>
      </c>
      <c r="Z21" s="415" t="s">
        <v>141</v>
      </c>
      <c r="AA21" s="206" t="s">
        <v>142</v>
      </c>
      <c r="AB21" s="25" t="s">
        <v>143</v>
      </c>
      <c r="AC21" s="118">
        <v>100000</v>
      </c>
      <c r="AD21" s="197">
        <v>1</v>
      </c>
      <c r="AE21" s="197">
        <v>1</v>
      </c>
      <c r="AF21">
        <v>0</v>
      </c>
      <c r="AG21" s="402">
        <v>1</v>
      </c>
    </row>
    <row r="22" spans="1:33" ht="17.25" x14ac:dyDescent="0.3">
      <c r="A22" s="118">
        <v>102002</v>
      </c>
      <c r="B22" s="17" t="s">
        <v>144</v>
      </c>
      <c r="C22" s="17" t="s">
        <v>145</v>
      </c>
      <c r="D22" s="118" t="s">
        <v>33</v>
      </c>
      <c r="E22" s="118">
        <v>2</v>
      </c>
      <c r="F22" s="118" t="s">
        <v>134</v>
      </c>
      <c r="G22" s="118" t="s">
        <v>146</v>
      </c>
      <c r="H22" s="118" t="s">
        <v>35</v>
      </c>
      <c r="I22" s="118">
        <v>1</v>
      </c>
      <c r="J22" s="118">
        <v>1</v>
      </c>
      <c r="K22" s="118">
        <v>1</v>
      </c>
      <c r="L22" s="118">
        <v>3</v>
      </c>
      <c r="M22" s="118" t="s">
        <v>44</v>
      </c>
      <c r="N22" s="118" t="s">
        <v>45</v>
      </c>
      <c r="O22" s="118">
        <v>50</v>
      </c>
      <c r="P22" s="118">
        <v>0.7</v>
      </c>
      <c r="Q22" s="118">
        <v>0</v>
      </c>
      <c r="R22" s="25">
        <v>1</v>
      </c>
      <c r="S22" s="25" t="b">
        <v>1</v>
      </c>
      <c r="T22" s="118">
        <v>26</v>
      </c>
      <c r="U22" s="118">
        <v>390</v>
      </c>
      <c r="V22" s="118">
        <v>520</v>
      </c>
      <c r="W22" s="118">
        <v>0</v>
      </c>
      <c r="X22" s="118">
        <v>2</v>
      </c>
      <c r="Y22" s="118" t="s">
        <v>38</v>
      </c>
      <c r="Z22" s="415" t="s">
        <v>147</v>
      </c>
      <c r="AA22" s="206" t="s">
        <v>148</v>
      </c>
      <c r="AB22" s="25" t="s">
        <v>149</v>
      </c>
      <c r="AC22" s="118">
        <v>300000</v>
      </c>
      <c r="AD22" s="197">
        <v>1</v>
      </c>
      <c r="AE22" s="197">
        <v>1</v>
      </c>
      <c r="AF22">
        <v>0</v>
      </c>
      <c r="AG22" s="402">
        <v>2</v>
      </c>
    </row>
    <row r="23" spans="1:33" ht="17.25" x14ac:dyDescent="0.3">
      <c r="A23" s="119">
        <v>102502</v>
      </c>
      <c r="B23" s="114" t="s">
        <v>150</v>
      </c>
      <c r="C23" s="114" t="s">
        <v>151</v>
      </c>
      <c r="D23" s="119" t="s">
        <v>33</v>
      </c>
      <c r="E23" s="119">
        <v>2</v>
      </c>
      <c r="F23" s="119" t="s">
        <v>134</v>
      </c>
      <c r="G23" s="119" t="s">
        <v>146</v>
      </c>
      <c r="H23" s="119" t="s">
        <v>51</v>
      </c>
      <c r="I23" s="119">
        <v>1</v>
      </c>
      <c r="J23" s="118">
        <v>3</v>
      </c>
      <c r="K23" s="119">
        <v>0</v>
      </c>
      <c r="L23" s="119">
        <v>3</v>
      </c>
      <c r="M23" s="119" t="s">
        <v>52</v>
      </c>
      <c r="N23" s="118" t="s">
        <v>45</v>
      </c>
      <c r="O23" s="119">
        <v>50</v>
      </c>
      <c r="P23" s="119">
        <v>0.7</v>
      </c>
      <c r="Q23" s="119">
        <v>0</v>
      </c>
      <c r="R23" s="80">
        <v>1</v>
      </c>
      <c r="S23" s="80" t="b">
        <v>1</v>
      </c>
      <c r="T23" s="119">
        <v>26</v>
      </c>
      <c r="U23" s="118">
        <v>390</v>
      </c>
      <c r="V23" s="118">
        <v>520</v>
      </c>
      <c r="W23" s="119">
        <v>0</v>
      </c>
      <c r="X23" s="119">
        <v>2</v>
      </c>
      <c r="Y23" s="119" t="s">
        <v>38</v>
      </c>
      <c r="Z23" s="473" t="s">
        <v>147</v>
      </c>
      <c r="AA23" s="206" t="s">
        <v>152</v>
      </c>
      <c r="AB23" s="80" t="s">
        <v>149</v>
      </c>
      <c r="AC23" s="119">
        <v>300000</v>
      </c>
      <c r="AD23" s="92">
        <v>1</v>
      </c>
      <c r="AE23" s="92">
        <v>1</v>
      </c>
      <c r="AF23">
        <v>0</v>
      </c>
      <c r="AG23" s="403">
        <v>2</v>
      </c>
    </row>
    <row r="24" spans="1:33" ht="17.25" x14ac:dyDescent="0.3">
      <c r="A24" s="118">
        <v>102003</v>
      </c>
      <c r="B24" s="17" t="s">
        <v>153</v>
      </c>
      <c r="C24" s="17" t="s">
        <v>154</v>
      </c>
      <c r="D24" s="118" t="s">
        <v>33</v>
      </c>
      <c r="E24" s="118">
        <v>2</v>
      </c>
      <c r="F24" s="118" t="s">
        <v>134</v>
      </c>
      <c r="G24" s="118" t="s">
        <v>155</v>
      </c>
      <c r="H24" s="118" t="s">
        <v>35</v>
      </c>
      <c r="I24" s="118">
        <v>1</v>
      </c>
      <c r="J24" s="118">
        <v>1</v>
      </c>
      <c r="K24" s="118">
        <v>1</v>
      </c>
      <c r="L24" s="118">
        <v>3</v>
      </c>
      <c r="M24" s="118" t="s">
        <v>56</v>
      </c>
      <c r="N24" s="118" t="s">
        <v>57</v>
      </c>
      <c r="O24" s="118">
        <v>50</v>
      </c>
      <c r="P24" s="118">
        <v>0.7</v>
      </c>
      <c r="Q24" s="118">
        <v>0</v>
      </c>
      <c r="R24" s="25">
        <v>1</v>
      </c>
      <c r="S24" s="25" t="b">
        <v>1</v>
      </c>
      <c r="T24" s="118">
        <v>39</v>
      </c>
      <c r="U24" s="118">
        <v>585</v>
      </c>
      <c r="V24" s="118">
        <v>780</v>
      </c>
      <c r="W24" s="118">
        <v>0</v>
      </c>
      <c r="X24" s="118">
        <v>3</v>
      </c>
      <c r="Y24" s="118" t="s">
        <v>38</v>
      </c>
      <c r="Z24" s="415" t="s">
        <v>156</v>
      </c>
      <c r="AA24" s="206" t="s">
        <v>157</v>
      </c>
      <c r="AB24" s="25" t="s">
        <v>158</v>
      </c>
      <c r="AC24" s="118">
        <v>300000</v>
      </c>
      <c r="AD24" s="197">
        <v>1</v>
      </c>
      <c r="AE24" s="197">
        <v>1</v>
      </c>
      <c r="AF24">
        <v>0</v>
      </c>
      <c r="AG24" s="402">
        <v>3</v>
      </c>
    </row>
    <row r="25" spans="1:33" ht="17.25" x14ac:dyDescent="0.3">
      <c r="A25" s="118">
        <v>102004</v>
      </c>
      <c r="B25" s="71" t="s">
        <v>159</v>
      </c>
      <c r="C25" s="71" t="s">
        <v>160</v>
      </c>
      <c r="D25" s="118" t="s">
        <v>33</v>
      </c>
      <c r="E25" s="118">
        <v>2</v>
      </c>
      <c r="F25" s="118" t="s">
        <v>134</v>
      </c>
      <c r="G25" s="118" t="s">
        <v>161</v>
      </c>
      <c r="H25" s="118" t="s">
        <v>35</v>
      </c>
      <c r="I25" s="118">
        <v>1</v>
      </c>
      <c r="J25" s="118">
        <v>1</v>
      </c>
      <c r="K25" s="118">
        <v>1</v>
      </c>
      <c r="L25" s="118">
        <v>3</v>
      </c>
      <c r="M25" s="118" t="s">
        <v>63</v>
      </c>
      <c r="N25" s="118" t="s">
        <v>64</v>
      </c>
      <c r="O25" s="118">
        <v>50</v>
      </c>
      <c r="P25" s="118">
        <v>0.7</v>
      </c>
      <c r="Q25" s="118">
        <v>0</v>
      </c>
      <c r="R25" s="25">
        <v>1</v>
      </c>
      <c r="S25" s="25" t="b">
        <v>1</v>
      </c>
      <c r="T25" s="118">
        <v>52</v>
      </c>
      <c r="U25" s="118">
        <v>780</v>
      </c>
      <c r="V25" s="118">
        <v>1040</v>
      </c>
      <c r="W25" s="118">
        <v>0</v>
      </c>
      <c r="X25" s="118">
        <v>4</v>
      </c>
      <c r="Y25" s="118" t="s">
        <v>38</v>
      </c>
      <c r="Z25" s="415" t="s">
        <v>162</v>
      </c>
      <c r="AA25" s="206" t="s">
        <v>163</v>
      </c>
      <c r="AB25" s="25" t="s">
        <v>164</v>
      </c>
      <c r="AC25" s="118">
        <v>300000</v>
      </c>
      <c r="AD25" s="197">
        <v>1</v>
      </c>
      <c r="AE25" s="197">
        <v>1</v>
      </c>
      <c r="AF25">
        <v>0</v>
      </c>
      <c r="AG25" s="402">
        <v>4</v>
      </c>
    </row>
    <row r="26" spans="1:33" ht="17.25" x14ac:dyDescent="0.3">
      <c r="A26" s="118">
        <v>102005</v>
      </c>
      <c r="B26" s="17" t="s">
        <v>165</v>
      </c>
      <c r="C26" s="17" t="s">
        <v>166</v>
      </c>
      <c r="D26" s="118" t="s">
        <v>33</v>
      </c>
      <c r="E26" s="118">
        <v>2</v>
      </c>
      <c r="F26" s="118" t="s">
        <v>134</v>
      </c>
      <c r="G26" s="118" t="s">
        <v>167</v>
      </c>
      <c r="H26" s="118" t="s">
        <v>35</v>
      </c>
      <c r="I26" s="118">
        <v>1</v>
      </c>
      <c r="J26" s="118">
        <v>1</v>
      </c>
      <c r="K26" s="118">
        <v>1</v>
      </c>
      <c r="L26" s="118">
        <v>3</v>
      </c>
      <c r="M26" s="118" t="s">
        <v>70</v>
      </c>
      <c r="N26" s="118" t="s">
        <v>71</v>
      </c>
      <c r="O26" s="118">
        <v>50</v>
      </c>
      <c r="P26" s="118">
        <v>0.7</v>
      </c>
      <c r="Q26" s="118">
        <v>0</v>
      </c>
      <c r="R26" s="25">
        <v>1</v>
      </c>
      <c r="S26" s="25" t="b">
        <v>1</v>
      </c>
      <c r="T26" s="118">
        <v>65</v>
      </c>
      <c r="U26" s="118">
        <v>975</v>
      </c>
      <c r="V26" s="118">
        <v>1300</v>
      </c>
      <c r="W26" s="118">
        <v>0</v>
      </c>
      <c r="X26" s="118">
        <v>5</v>
      </c>
      <c r="Y26" s="118" t="s">
        <v>38</v>
      </c>
      <c r="Z26" s="415" t="s">
        <v>168</v>
      </c>
      <c r="AA26" s="206" t="s">
        <v>169</v>
      </c>
      <c r="AB26" s="118" t="s">
        <v>170</v>
      </c>
      <c r="AC26" s="118">
        <v>100000</v>
      </c>
      <c r="AD26" s="197">
        <v>1</v>
      </c>
      <c r="AE26" s="197">
        <v>1</v>
      </c>
      <c r="AF26">
        <v>0</v>
      </c>
      <c r="AG26" s="402">
        <v>5</v>
      </c>
    </row>
    <row r="27" spans="1:33" ht="17.25" x14ac:dyDescent="0.3">
      <c r="A27" s="118">
        <v>102006</v>
      </c>
      <c r="B27" s="17" t="s">
        <v>171</v>
      </c>
      <c r="C27" s="17" t="s">
        <v>172</v>
      </c>
      <c r="D27" s="118" t="s">
        <v>33</v>
      </c>
      <c r="E27" s="118">
        <v>2</v>
      </c>
      <c r="F27" s="118" t="s">
        <v>134</v>
      </c>
      <c r="G27" s="118" t="s">
        <v>173</v>
      </c>
      <c r="H27" s="118" t="s">
        <v>35</v>
      </c>
      <c r="I27" s="118">
        <v>1</v>
      </c>
      <c r="J27" s="118">
        <v>1</v>
      </c>
      <c r="K27" s="118">
        <v>1</v>
      </c>
      <c r="L27" s="118">
        <v>3</v>
      </c>
      <c r="M27" s="118" t="s">
        <v>70</v>
      </c>
      <c r="N27" s="118" t="s">
        <v>77</v>
      </c>
      <c r="O27" s="118">
        <v>50</v>
      </c>
      <c r="P27" s="118">
        <v>0.7</v>
      </c>
      <c r="Q27" s="118">
        <v>0</v>
      </c>
      <c r="R27" s="25">
        <v>1</v>
      </c>
      <c r="S27" s="25" t="b">
        <v>1</v>
      </c>
      <c r="T27" s="118">
        <v>78</v>
      </c>
      <c r="U27" s="118">
        <v>1170</v>
      </c>
      <c r="V27" s="118">
        <v>1560</v>
      </c>
      <c r="W27" s="118">
        <v>0</v>
      </c>
      <c r="X27" s="118">
        <v>6</v>
      </c>
      <c r="Y27" s="118" t="s">
        <v>38</v>
      </c>
      <c r="Z27" s="415" t="s">
        <v>174</v>
      </c>
      <c r="AA27" s="206" t="s">
        <v>175</v>
      </c>
      <c r="AB27" s="118" t="s">
        <v>176</v>
      </c>
      <c r="AC27" s="118">
        <v>200000</v>
      </c>
      <c r="AD27" s="197">
        <v>1</v>
      </c>
      <c r="AE27" s="197">
        <v>1</v>
      </c>
      <c r="AF27">
        <v>0</v>
      </c>
      <c r="AG27" s="402">
        <v>6</v>
      </c>
    </row>
    <row r="28" spans="1:33" ht="17.25" x14ac:dyDescent="0.3">
      <c r="A28" s="118">
        <v>102007</v>
      </c>
      <c r="B28" s="21" t="s">
        <v>177</v>
      </c>
      <c r="C28" s="21" t="s">
        <v>178</v>
      </c>
      <c r="D28" s="118" t="s">
        <v>33</v>
      </c>
      <c r="E28" s="118">
        <v>2</v>
      </c>
      <c r="F28" s="118" t="s">
        <v>134</v>
      </c>
      <c r="G28" s="118" t="s">
        <v>179</v>
      </c>
      <c r="H28" s="118" t="s">
        <v>35</v>
      </c>
      <c r="I28" s="118">
        <v>1</v>
      </c>
      <c r="J28" s="118">
        <v>1</v>
      </c>
      <c r="K28" s="118">
        <v>1</v>
      </c>
      <c r="L28" s="118">
        <v>3</v>
      </c>
      <c r="M28" s="118" t="s">
        <v>70</v>
      </c>
      <c r="N28" s="118" t="s">
        <v>83</v>
      </c>
      <c r="O28" s="118">
        <v>50</v>
      </c>
      <c r="P28" s="118">
        <v>0.7</v>
      </c>
      <c r="Q28" s="118">
        <v>0</v>
      </c>
      <c r="R28" s="25">
        <v>1</v>
      </c>
      <c r="S28" s="25" t="b">
        <v>1</v>
      </c>
      <c r="T28" s="118">
        <v>91</v>
      </c>
      <c r="U28" s="118">
        <v>1365</v>
      </c>
      <c r="V28" s="118">
        <v>1820</v>
      </c>
      <c r="W28" s="118">
        <v>0</v>
      </c>
      <c r="X28" s="118">
        <v>7</v>
      </c>
      <c r="Y28" s="118" t="s">
        <v>38</v>
      </c>
      <c r="Z28" s="415" t="s">
        <v>180</v>
      </c>
      <c r="AA28" s="206" t="s">
        <v>181</v>
      </c>
      <c r="AB28" s="118" t="s">
        <v>182</v>
      </c>
      <c r="AC28" s="118">
        <v>100000</v>
      </c>
      <c r="AD28" s="197">
        <v>1</v>
      </c>
      <c r="AE28" s="197">
        <v>1</v>
      </c>
      <c r="AF28">
        <v>0</v>
      </c>
      <c r="AG28" s="402">
        <v>7</v>
      </c>
    </row>
    <row r="29" spans="1:33" ht="17.25" x14ac:dyDescent="0.3">
      <c r="A29" s="114">
        <v>102507</v>
      </c>
      <c r="B29" s="359" t="s">
        <v>183</v>
      </c>
      <c r="C29" s="359" t="s">
        <v>184</v>
      </c>
      <c r="D29" s="119" t="s">
        <v>33</v>
      </c>
      <c r="E29" s="119">
        <v>2</v>
      </c>
      <c r="F29" s="119" t="s">
        <v>134</v>
      </c>
      <c r="G29" s="359" t="s">
        <v>179</v>
      </c>
      <c r="H29" s="119" t="s">
        <v>51</v>
      </c>
      <c r="I29" s="119">
        <v>1</v>
      </c>
      <c r="J29" s="118">
        <v>4</v>
      </c>
      <c r="K29" s="119">
        <v>0</v>
      </c>
      <c r="L29" s="119">
        <v>3</v>
      </c>
      <c r="M29" s="119" t="s">
        <v>52</v>
      </c>
      <c r="N29" s="118" t="s">
        <v>83</v>
      </c>
      <c r="O29" s="119">
        <v>50</v>
      </c>
      <c r="P29" s="119">
        <v>0.7</v>
      </c>
      <c r="Q29" s="119">
        <v>0</v>
      </c>
      <c r="R29" s="80">
        <v>1</v>
      </c>
      <c r="S29" s="80" t="b">
        <v>1</v>
      </c>
      <c r="T29" s="119">
        <v>91</v>
      </c>
      <c r="U29" s="118">
        <v>1365</v>
      </c>
      <c r="V29" s="118">
        <v>1820</v>
      </c>
      <c r="W29" s="119">
        <v>0</v>
      </c>
      <c r="X29" s="119">
        <v>7</v>
      </c>
      <c r="Y29" s="119" t="s">
        <v>38</v>
      </c>
      <c r="Z29" s="473" t="s">
        <v>180</v>
      </c>
      <c r="AA29" s="206" t="s">
        <v>185</v>
      </c>
      <c r="AB29" s="119" t="s">
        <v>182</v>
      </c>
      <c r="AC29" s="119">
        <v>100000</v>
      </c>
      <c r="AD29" s="197">
        <v>1</v>
      </c>
      <c r="AE29" s="197">
        <v>1</v>
      </c>
      <c r="AF29">
        <v>0</v>
      </c>
      <c r="AG29" s="403">
        <v>7</v>
      </c>
    </row>
    <row r="30" spans="1:33" ht="17.25" x14ac:dyDescent="0.3">
      <c r="A30" s="17">
        <v>102008</v>
      </c>
      <c r="B30" s="17" t="s">
        <v>186</v>
      </c>
      <c r="C30" s="17" t="s">
        <v>187</v>
      </c>
      <c r="D30" s="118" t="s">
        <v>33</v>
      </c>
      <c r="E30" s="118">
        <v>2</v>
      </c>
      <c r="F30" s="118" t="s">
        <v>134</v>
      </c>
      <c r="G30" s="21" t="s">
        <v>188</v>
      </c>
      <c r="H30" s="118" t="s">
        <v>35</v>
      </c>
      <c r="I30" s="118">
        <v>1</v>
      </c>
      <c r="J30" s="118">
        <v>1</v>
      </c>
      <c r="K30" s="118">
        <v>1</v>
      </c>
      <c r="L30" s="118">
        <v>3</v>
      </c>
      <c r="M30" s="118" t="s">
        <v>70</v>
      </c>
      <c r="N30" s="118" t="s">
        <v>89</v>
      </c>
      <c r="O30" s="118">
        <v>50</v>
      </c>
      <c r="P30" s="118">
        <v>0.7</v>
      </c>
      <c r="Q30" s="118">
        <v>0</v>
      </c>
      <c r="R30" s="25">
        <v>1</v>
      </c>
      <c r="S30" s="25" t="b">
        <v>1</v>
      </c>
      <c r="T30" s="118">
        <v>104</v>
      </c>
      <c r="U30" s="118">
        <v>1560</v>
      </c>
      <c r="V30" s="118">
        <v>2080</v>
      </c>
      <c r="W30" s="118">
        <v>0</v>
      </c>
      <c r="X30" s="118">
        <v>8</v>
      </c>
      <c r="Y30" s="118" t="s">
        <v>38</v>
      </c>
      <c r="Z30" s="415" t="s">
        <v>189</v>
      </c>
      <c r="AA30" s="206" t="s">
        <v>190</v>
      </c>
      <c r="AB30" s="118" t="s">
        <v>191</v>
      </c>
      <c r="AC30" s="118">
        <v>100000</v>
      </c>
      <c r="AD30" s="191">
        <v>1</v>
      </c>
      <c r="AE30" s="191">
        <v>1</v>
      </c>
      <c r="AF30">
        <v>0</v>
      </c>
      <c r="AG30" s="402">
        <v>8</v>
      </c>
    </row>
    <row r="31" spans="1:33" ht="17.25" x14ac:dyDescent="0.3">
      <c r="A31" s="17">
        <v>102009</v>
      </c>
      <c r="B31" s="17" t="s">
        <v>192</v>
      </c>
      <c r="C31" s="17" t="s">
        <v>193</v>
      </c>
      <c r="D31" s="118" t="s">
        <v>33</v>
      </c>
      <c r="E31" s="118">
        <v>2</v>
      </c>
      <c r="F31" s="118" t="s">
        <v>134</v>
      </c>
      <c r="G31" s="21" t="s">
        <v>194</v>
      </c>
      <c r="H31" s="118" t="s">
        <v>35</v>
      </c>
      <c r="I31" s="118">
        <v>1</v>
      </c>
      <c r="J31" s="118">
        <v>1</v>
      </c>
      <c r="K31" s="118">
        <v>1</v>
      </c>
      <c r="L31" s="118">
        <v>3</v>
      </c>
      <c r="M31" s="118" t="s">
        <v>70</v>
      </c>
      <c r="N31" s="118" t="s">
        <v>95</v>
      </c>
      <c r="O31" s="118">
        <v>50</v>
      </c>
      <c r="P31" s="118">
        <v>0.7</v>
      </c>
      <c r="Q31" s="118">
        <v>0</v>
      </c>
      <c r="R31" s="25">
        <v>1</v>
      </c>
      <c r="S31" s="25" t="b">
        <v>1</v>
      </c>
      <c r="T31" s="118">
        <v>117</v>
      </c>
      <c r="U31" s="118">
        <v>1755</v>
      </c>
      <c r="V31" s="118">
        <v>2340</v>
      </c>
      <c r="W31" s="118">
        <v>0</v>
      </c>
      <c r="X31" s="118">
        <v>9</v>
      </c>
      <c r="Y31" s="118" t="s">
        <v>38</v>
      </c>
      <c r="Z31" s="415" t="s">
        <v>195</v>
      </c>
      <c r="AA31" s="206" t="s">
        <v>196</v>
      </c>
      <c r="AB31" s="118" t="s">
        <v>197</v>
      </c>
      <c r="AC31" s="118">
        <v>100000</v>
      </c>
      <c r="AD31" s="191">
        <v>1</v>
      </c>
      <c r="AE31" s="191">
        <v>1</v>
      </c>
      <c r="AF31">
        <v>0</v>
      </c>
      <c r="AG31" s="402">
        <v>9</v>
      </c>
    </row>
    <row r="32" spans="1:33" ht="17.25" x14ac:dyDescent="0.3">
      <c r="A32" s="17">
        <v>102010</v>
      </c>
      <c r="B32" s="17" t="s">
        <v>198</v>
      </c>
      <c r="C32" s="17" t="s">
        <v>199</v>
      </c>
      <c r="D32" s="118" t="s">
        <v>33</v>
      </c>
      <c r="E32" s="118">
        <v>2</v>
      </c>
      <c r="F32" s="118" t="s">
        <v>134</v>
      </c>
      <c r="G32" s="21" t="s">
        <v>200</v>
      </c>
      <c r="H32" s="118" t="s">
        <v>35</v>
      </c>
      <c r="I32" s="118">
        <v>1</v>
      </c>
      <c r="J32" s="118">
        <v>1</v>
      </c>
      <c r="K32" s="118">
        <v>1</v>
      </c>
      <c r="L32" s="118">
        <v>3</v>
      </c>
      <c r="M32" s="118" t="s">
        <v>70</v>
      </c>
      <c r="N32" s="118" t="s">
        <v>101</v>
      </c>
      <c r="O32" s="118">
        <v>50</v>
      </c>
      <c r="P32" s="118">
        <v>0.7</v>
      </c>
      <c r="Q32" s="118">
        <v>0</v>
      </c>
      <c r="R32" s="25">
        <v>1</v>
      </c>
      <c r="S32" s="25" t="b">
        <v>1</v>
      </c>
      <c r="T32" s="118">
        <v>130</v>
      </c>
      <c r="U32" s="118">
        <v>1950</v>
      </c>
      <c r="V32" s="118">
        <v>2600</v>
      </c>
      <c r="W32" s="118">
        <v>0</v>
      </c>
      <c r="X32" s="118">
        <v>10</v>
      </c>
      <c r="Y32" s="118" t="s">
        <v>38</v>
      </c>
      <c r="Z32" s="415" t="s">
        <v>201</v>
      </c>
      <c r="AA32" s="206" t="s">
        <v>202</v>
      </c>
      <c r="AB32" s="118" t="s">
        <v>203</v>
      </c>
      <c r="AC32" s="118">
        <v>100000</v>
      </c>
      <c r="AD32" s="191">
        <v>1</v>
      </c>
      <c r="AE32" s="191">
        <v>1</v>
      </c>
      <c r="AF32">
        <v>0</v>
      </c>
      <c r="AG32" s="402">
        <v>10</v>
      </c>
    </row>
    <row r="33" spans="1:33" ht="17.25" x14ac:dyDescent="0.3">
      <c r="A33" s="119">
        <v>102208</v>
      </c>
      <c r="B33" s="114" t="s">
        <v>204</v>
      </c>
      <c r="C33" s="114" t="s">
        <v>205</v>
      </c>
      <c r="D33" s="119" t="s">
        <v>33</v>
      </c>
      <c r="E33" s="119">
        <v>2</v>
      </c>
      <c r="F33" s="119" t="s">
        <v>134</v>
      </c>
      <c r="G33" s="119" t="s">
        <v>188</v>
      </c>
      <c r="H33" s="119" t="s">
        <v>51</v>
      </c>
      <c r="I33" s="119">
        <v>1</v>
      </c>
      <c r="J33" s="118">
        <v>4</v>
      </c>
      <c r="K33" s="119">
        <v>0</v>
      </c>
      <c r="L33" s="119">
        <v>3</v>
      </c>
      <c r="M33" s="119" t="s">
        <v>52</v>
      </c>
      <c r="N33" s="118" t="s">
        <v>89</v>
      </c>
      <c r="O33" s="119">
        <v>50</v>
      </c>
      <c r="P33" s="119">
        <v>0.7</v>
      </c>
      <c r="Q33" s="119">
        <v>0</v>
      </c>
      <c r="R33" s="80">
        <v>1</v>
      </c>
      <c r="S33" s="80" t="b">
        <v>1</v>
      </c>
      <c r="T33" s="119">
        <v>104</v>
      </c>
      <c r="U33" s="118">
        <v>1560</v>
      </c>
      <c r="V33" s="118">
        <v>2080</v>
      </c>
      <c r="W33" s="119">
        <v>0</v>
      </c>
      <c r="X33" s="119">
        <v>8</v>
      </c>
      <c r="Y33" s="119" t="s">
        <v>38</v>
      </c>
      <c r="Z33" s="473" t="s">
        <v>189</v>
      </c>
      <c r="AA33" s="206" t="s">
        <v>206</v>
      </c>
      <c r="AB33" s="80" t="s">
        <v>191</v>
      </c>
      <c r="AC33" s="119">
        <v>100000</v>
      </c>
      <c r="AD33" s="92">
        <v>1</v>
      </c>
      <c r="AE33" s="92">
        <v>1</v>
      </c>
      <c r="AF33">
        <v>0</v>
      </c>
      <c r="AG33" s="403">
        <v>8</v>
      </c>
    </row>
    <row r="34" spans="1:33" ht="17.25" x14ac:dyDescent="0.3">
      <c r="A34" s="119">
        <v>102309</v>
      </c>
      <c r="B34" s="114" t="s">
        <v>207</v>
      </c>
      <c r="C34" s="114" t="s">
        <v>208</v>
      </c>
      <c r="D34" s="119" t="s">
        <v>33</v>
      </c>
      <c r="E34" s="119">
        <v>2</v>
      </c>
      <c r="F34" s="119" t="s">
        <v>134</v>
      </c>
      <c r="G34" s="119" t="s">
        <v>194</v>
      </c>
      <c r="H34" s="119" t="s">
        <v>51</v>
      </c>
      <c r="I34" s="119">
        <v>1</v>
      </c>
      <c r="J34" s="118">
        <v>4</v>
      </c>
      <c r="K34" s="119">
        <v>0</v>
      </c>
      <c r="L34" s="119">
        <v>3</v>
      </c>
      <c r="M34" s="119" t="s">
        <v>52</v>
      </c>
      <c r="N34" s="118" t="s">
        <v>95</v>
      </c>
      <c r="O34" s="119">
        <v>50</v>
      </c>
      <c r="P34" s="119">
        <v>0.7</v>
      </c>
      <c r="Q34" s="119">
        <v>0</v>
      </c>
      <c r="R34" s="80">
        <v>1</v>
      </c>
      <c r="S34" s="80" t="b">
        <v>1</v>
      </c>
      <c r="T34" s="119">
        <v>117</v>
      </c>
      <c r="U34" s="118">
        <v>1755</v>
      </c>
      <c r="V34" s="118">
        <v>2340</v>
      </c>
      <c r="W34" s="119">
        <v>0</v>
      </c>
      <c r="X34" s="119">
        <v>9</v>
      </c>
      <c r="Y34" s="119" t="s">
        <v>38</v>
      </c>
      <c r="Z34" s="473" t="s">
        <v>195</v>
      </c>
      <c r="AA34" s="206" t="s">
        <v>209</v>
      </c>
      <c r="AB34" s="80" t="s">
        <v>197</v>
      </c>
      <c r="AC34" s="119">
        <v>100000</v>
      </c>
      <c r="AD34" s="92">
        <v>1</v>
      </c>
      <c r="AE34" s="92">
        <v>1</v>
      </c>
      <c r="AF34">
        <v>0</v>
      </c>
      <c r="AG34" s="403">
        <v>9</v>
      </c>
    </row>
    <row r="35" spans="1:33" ht="17.25" x14ac:dyDescent="0.3">
      <c r="A35" s="119">
        <v>102210</v>
      </c>
      <c r="B35" s="114" t="s">
        <v>210</v>
      </c>
      <c r="C35" s="114" t="s">
        <v>211</v>
      </c>
      <c r="D35" s="119" t="s">
        <v>33</v>
      </c>
      <c r="E35" s="119">
        <v>2</v>
      </c>
      <c r="F35" s="119" t="s">
        <v>134</v>
      </c>
      <c r="G35" s="119" t="s">
        <v>200</v>
      </c>
      <c r="H35" s="119" t="s">
        <v>51</v>
      </c>
      <c r="I35" s="119">
        <v>1</v>
      </c>
      <c r="J35" s="118">
        <v>4</v>
      </c>
      <c r="K35" s="119">
        <v>0</v>
      </c>
      <c r="L35" s="119">
        <v>3</v>
      </c>
      <c r="M35" s="119" t="s">
        <v>52</v>
      </c>
      <c r="N35" s="118" t="s">
        <v>101</v>
      </c>
      <c r="O35" s="119">
        <v>50</v>
      </c>
      <c r="P35" s="119">
        <v>0.7</v>
      </c>
      <c r="Q35" s="119">
        <v>0</v>
      </c>
      <c r="R35" s="80">
        <v>1</v>
      </c>
      <c r="S35" s="80" t="b">
        <v>1</v>
      </c>
      <c r="T35" s="119">
        <v>130</v>
      </c>
      <c r="U35" s="118">
        <v>1950</v>
      </c>
      <c r="V35" s="118">
        <v>2600</v>
      </c>
      <c r="W35" s="119">
        <v>0</v>
      </c>
      <c r="X35" s="119">
        <v>10</v>
      </c>
      <c r="Y35" s="119" t="s">
        <v>38</v>
      </c>
      <c r="Z35" s="473" t="s">
        <v>201</v>
      </c>
      <c r="AA35" s="206" t="s">
        <v>212</v>
      </c>
      <c r="AB35" s="80" t="s">
        <v>203</v>
      </c>
      <c r="AC35" s="119">
        <v>100000</v>
      </c>
      <c r="AD35" s="92">
        <v>1</v>
      </c>
      <c r="AE35" s="92">
        <v>1</v>
      </c>
      <c r="AF35">
        <v>0</v>
      </c>
      <c r="AG35" s="403">
        <v>10</v>
      </c>
    </row>
    <row r="36" spans="1:33" ht="17.25" x14ac:dyDescent="0.3">
      <c r="A36" s="118">
        <v>102101</v>
      </c>
      <c r="B36" s="17" t="s">
        <v>213</v>
      </c>
      <c r="C36" s="17" t="s">
        <v>214</v>
      </c>
      <c r="D36" s="118" t="s">
        <v>33</v>
      </c>
      <c r="E36" s="118">
        <v>2</v>
      </c>
      <c r="F36" s="118" t="s">
        <v>134</v>
      </c>
      <c r="G36" s="118" t="s">
        <v>215</v>
      </c>
      <c r="H36" s="118" t="s">
        <v>35</v>
      </c>
      <c r="I36" s="118">
        <v>1</v>
      </c>
      <c r="J36" s="118">
        <v>1</v>
      </c>
      <c r="K36" s="118">
        <v>1</v>
      </c>
      <c r="L36" s="118">
        <v>3</v>
      </c>
      <c r="M36" s="118" t="s">
        <v>36</v>
      </c>
      <c r="N36" s="118" t="s">
        <v>37</v>
      </c>
      <c r="O36" s="118">
        <v>50</v>
      </c>
      <c r="P36" s="118">
        <v>0.7</v>
      </c>
      <c r="Q36" s="118">
        <v>0</v>
      </c>
      <c r="R36" s="25">
        <v>1</v>
      </c>
      <c r="S36" s="25" t="b">
        <v>1</v>
      </c>
      <c r="T36" s="118">
        <v>13</v>
      </c>
      <c r="U36" s="118">
        <v>195</v>
      </c>
      <c r="V36" s="118">
        <v>260</v>
      </c>
      <c r="W36" s="118">
        <v>0</v>
      </c>
      <c r="X36" s="118">
        <v>1</v>
      </c>
      <c r="Y36" s="118" t="s">
        <v>38</v>
      </c>
      <c r="Z36" s="415" t="s">
        <v>216</v>
      </c>
      <c r="AA36" s="206" t="s">
        <v>217</v>
      </c>
      <c r="AB36" s="25" t="s">
        <v>218</v>
      </c>
      <c r="AC36" s="118">
        <v>100000</v>
      </c>
      <c r="AD36" s="197">
        <v>1</v>
      </c>
      <c r="AE36" s="197">
        <v>1</v>
      </c>
      <c r="AF36">
        <v>0</v>
      </c>
      <c r="AG36" s="402">
        <v>1</v>
      </c>
    </row>
    <row r="37" spans="1:33" ht="17.25" x14ac:dyDescent="0.3">
      <c r="A37" s="119">
        <v>102201</v>
      </c>
      <c r="B37" s="114" t="s">
        <v>219</v>
      </c>
      <c r="C37" s="114" t="s">
        <v>220</v>
      </c>
      <c r="D37" s="119" t="s">
        <v>33</v>
      </c>
      <c r="E37" s="119">
        <v>2</v>
      </c>
      <c r="F37" s="119" t="s">
        <v>134</v>
      </c>
      <c r="G37" s="119" t="s">
        <v>215</v>
      </c>
      <c r="H37" s="119" t="s">
        <v>51</v>
      </c>
      <c r="I37" s="119">
        <v>1</v>
      </c>
      <c r="J37" s="118">
        <v>3</v>
      </c>
      <c r="K37" s="119">
        <v>0</v>
      </c>
      <c r="L37" s="119">
        <v>3</v>
      </c>
      <c r="M37" s="119" t="s">
        <v>52</v>
      </c>
      <c r="N37" s="118" t="s">
        <v>37</v>
      </c>
      <c r="O37" s="119">
        <v>50</v>
      </c>
      <c r="P37" s="119">
        <v>0.7</v>
      </c>
      <c r="Q37" s="119">
        <v>0</v>
      </c>
      <c r="R37" s="80">
        <v>1</v>
      </c>
      <c r="S37" s="80" t="b">
        <v>1</v>
      </c>
      <c r="T37" s="119">
        <v>13</v>
      </c>
      <c r="U37" s="118">
        <v>195</v>
      </c>
      <c r="V37" s="118">
        <v>260</v>
      </c>
      <c r="W37" s="119">
        <v>0</v>
      </c>
      <c r="X37" s="119">
        <v>1</v>
      </c>
      <c r="Y37" s="119" t="s">
        <v>38</v>
      </c>
      <c r="Z37" s="473" t="s">
        <v>216</v>
      </c>
      <c r="AA37" s="206" t="s">
        <v>221</v>
      </c>
      <c r="AB37" s="80" t="s">
        <v>218</v>
      </c>
      <c r="AC37" s="119">
        <v>100000</v>
      </c>
      <c r="AD37" s="92">
        <v>1</v>
      </c>
      <c r="AE37" s="92">
        <v>1</v>
      </c>
      <c r="AF37">
        <v>0</v>
      </c>
      <c r="AG37" s="403">
        <v>1</v>
      </c>
    </row>
    <row r="38" spans="1:33" ht="17.25" x14ac:dyDescent="0.3">
      <c r="A38" s="118">
        <v>102102</v>
      </c>
      <c r="B38" s="17" t="s">
        <v>222</v>
      </c>
      <c r="C38" s="17" t="s">
        <v>223</v>
      </c>
      <c r="D38" s="118" t="s">
        <v>33</v>
      </c>
      <c r="E38" s="118">
        <v>2</v>
      </c>
      <c r="F38" s="118" t="s">
        <v>134</v>
      </c>
      <c r="G38" s="118" t="s">
        <v>224</v>
      </c>
      <c r="H38" s="118" t="s">
        <v>35</v>
      </c>
      <c r="I38" s="118">
        <v>1</v>
      </c>
      <c r="J38" s="118">
        <v>1</v>
      </c>
      <c r="K38" s="118">
        <v>1</v>
      </c>
      <c r="L38" s="118">
        <v>3</v>
      </c>
      <c r="M38" s="118" t="s">
        <v>44</v>
      </c>
      <c r="N38" s="118" t="s">
        <v>45</v>
      </c>
      <c r="O38" s="118">
        <v>50</v>
      </c>
      <c r="P38" s="118">
        <v>0.7</v>
      </c>
      <c r="Q38" s="118">
        <v>0</v>
      </c>
      <c r="R38" s="25">
        <v>1</v>
      </c>
      <c r="S38" s="25" t="b">
        <v>1</v>
      </c>
      <c r="T38" s="118">
        <v>26</v>
      </c>
      <c r="U38" s="118">
        <v>390</v>
      </c>
      <c r="V38" s="118">
        <v>520</v>
      </c>
      <c r="W38" s="118">
        <v>0</v>
      </c>
      <c r="X38" s="118">
        <v>2</v>
      </c>
      <c r="Y38" s="118" t="s">
        <v>38</v>
      </c>
      <c r="Z38" s="415" t="s">
        <v>225</v>
      </c>
      <c r="AA38" s="206" t="s">
        <v>226</v>
      </c>
      <c r="AB38" s="25" t="s">
        <v>227</v>
      </c>
      <c r="AC38" s="118">
        <v>200000</v>
      </c>
      <c r="AD38" s="197">
        <v>1</v>
      </c>
      <c r="AE38" s="197">
        <v>1</v>
      </c>
      <c r="AF38">
        <v>0</v>
      </c>
      <c r="AG38" s="402">
        <v>2</v>
      </c>
    </row>
    <row r="39" spans="1:33" ht="17.25" x14ac:dyDescent="0.3">
      <c r="A39" s="118">
        <v>102103</v>
      </c>
      <c r="B39" s="17" t="s">
        <v>228</v>
      </c>
      <c r="C39" s="17" t="s">
        <v>229</v>
      </c>
      <c r="D39" s="118" t="s">
        <v>33</v>
      </c>
      <c r="E39" s="118">
        <v>2</v>
      </c>
      <c r="F39" s="118" t="s">
        <v>134</v>
      </c>
      <c r="G39" s="118" t="s">
        <v>230</v>
      </c>
      <c r="H39" s="118" t="s">
        <v>35</v>
      </c>
      <c r="I39" s="118">
        <v>1</v>
      </c>
      <c r="J39" s="118">
        <v>1</v>
      </c>
      <c r="K39" s="118">
        <v>1</v>
      </c>
      <c r="L39" s="118">
        <v>3</v>
      </c>
      <c r="M39" s="118" t="s">
        <v>56</v>
      </c>
      <c r="N39" s="118" t="s">
        <v>57</v>
      </c>
      <c r="O39" s="118">
        <v>50</v>
      </c>
      <c r="P39" s="118">
        <v>0.7</v>
      </c>
      <c r="Q39" s="118">
        <v>0</v>
      </c>
      <c r="R39" s="25">
        <v>1</v>
      </c>
      <c r="S39" s="25" t="b">
        <v>1</v>
      </c>
      <c r="T39" s="118">
        <v>39</v>
      </c>
      <c r="U39" s="118">
        <v>585</v>
      </c>
      <c r="V39" s="118">
        <v>780</v>
      </c>
      <c r="W39" s="118">
        <v>0</v>
      </c>
      <c r="X39" s="118">
        <v>3</v>
      </c>
      <c r="Y39" s="118" t="s">
        <v>38</v>
      </c>
      <c r="Z39" s="415" t="s">
        <v>231</v>
      </c>
      <c r="AA39" s="206" t="s">
        <v>232</v>
      </c>
      <c r="AB39" s="25" t="s">
        <v>233</v>
      </c>
      <c r="AC39" s="118">
        <v>300000</v>
      </c>
      <c r="AD39" s="197">
        <v>1</v>
      </c>
      <c r="AE39" s="197">
        <v>1</v>
      </c>
      <c r="AF39">
        <v>0</v>
      </c>
      <c r="AG39" s="402">
        <v>3</v>
      </c>
    </row>
    <row r="40" spans="1:33" ht="17.25" x14ac:dyDescent="0.3">
      <c r="A40" s="118">
        <v>102104</v>
      </c>
      <c r="B40" s="71" t="s">
        <v>234</v>
      </c>
      <c r="C40" s="71" t="s">
        <v>235</v>
      </c>
      <c r="D40" s="118" t="s">
        <v>33</v>
      </c>
      <c r="E40" s="118">
        <v>2</v>
      </c>
      <c r="F40" s="118" t="s">
        <v>134</v>
      </c>
      <c r="G40" s="118" t="s">
        <v>236</v>
      </c>
      <c r="H40" s="118" t="s">
        <v>35</v>
      </c>
      <c r="I40" s="118">
        <v>1</v>
      </c>
      <c r="J40" s="118">
        <v>1</v>
      </c>
      <c r="K40" s="118">
        <v>1</v>
      </c>
      <c r="L40" s="118">
        <v>3</v>
      </c>
      <c r="M40" s="118" t="s">
        <v>63</v>
      </c>
      <c r="N40" s="118" t="s">
        <v>64</v>
      </c>
      <c r="O40" s="118">
        <v>50</v>
      </c>
      <c r="P40" s="118">
        <v>0.7</v>
      </c>
      <c r="Q40" s="118">
        <v>0</v>
      </c>
      <c r="R40" s="25">
        <v>1</v>
      </c>
      <c r="S40" s="25" t="b">
        <v>1</v>
      </c>
      <c r="T40" s="118">
        <v>52</v>
      </c>
      <c r="U40" s="118">
        <v>780</v>
      </c>
      <c r="V40" s="118">
        <v>1040</v>
      </c>
      <c r="W40" s="118">
        <v>0</v>
      </c>
      <c r="X40" s="118">
        <v>4</v>
      </c>
      <c r="Y40" s="118" t="s">
        <v>38</v>
      </c>
      <c r="Z40" s="415" t="s">
        <v>237</v>
      </c>
      <c r="AA40" s="206" t="s">
        <v>238</v>
      </c>
      <c r="AB40" s="25" t="s">
        <v>239</v>
      </c>
      <c r="AC40" s="118">
        <v>300000</v>
      </c>
      <c r="AD40" s="197">
        <v>1</v>
      </c>
      <c r="AE40" s="197">
        <v>1</v>
      </c>
      <c r="AF40">
        <v>0</v>
      </c>
      <c r="AG40" s="402">
        <v>4</v>
      </c>
    </row>
    <row r="41" spans="1:33" ht="17.25" x14ac:dyDescent="0.3">
      <c r="A41" s="118">
        <v>102105</v>
      </c>
      <c r="B41" s="17" t="s">
        <v>240</v>
      </c>
      <c r="C41" s="17" t="s">
        <v>241</v>
      </c>
      <c r="D41" s="118" t="s">
        <v>33</v>
      </c>
      <c r="E41" s="118">
        <v>2</v>
      </c>
      <c r="F41" s="118" t="s">
        <v>134</v>
      </c>
      <c r="G41" s="118" t="s">
        <v>242</v>
      </c>
      <c r="H41" s="118" t="s">
        <v>35</v>
      </c>
      <c r="I41" s="118">
        <v>1</v>
      </c>
      <c r="J41" s="118">
        <v>1</v>
      </c>
      <c r="K41" s="118">
        <v>1</v>
      </c>
      <c r="L41" s="118">
        <v>3</v>
      </c>
      <c r="M41" s="118" t="s">
        <v>70</v>
      </c>
      <c r="N41" s="118" t="s">
        <v>71</v>
      </c>
      <c r="O41" s="118">
        <v>50</v>
      </c>
      <c r="P41" s="118">
        <v>0.7</v>
      </c>
      <c r="Q41" s="118">
        <v>0</v>
      </c>
      <c r="R41" s="25">
        <v>1</v>
      </c>
      <c r="S41" s="25" t="b">
        <v>1</v>
      </c>
      <c r="T41" s="118">
        <v>65</v>
      </c>
      <c r="U41" s="118">
        <v>975</v>
      </c>
      <c r="V41" s="118">
        <v>1300</v>
      </c>
      <c r="W41" s="118">
        <v>0</v>
      </c>
      <c r="X41" s="118">
        <v>5</v>
      </c>
      <c r="Y41" s="118" t="s">
        <v>38</v>
      </c>
      <c r="Z41" s="415" t="s">
        <v>243</v>
      </c>
      <c r="AA41" s="206" t="s">
        <v>244</v>
      </c>
      <c r="AB41" s="118" t="s">
        <v>245</v>
      </c>
      <c r="AC41" s="118">
        <v>300000</v>
      </c>
      <c r="AD41" s="197">
        <v>1</v>
      </c>
      <c r="AE41" s="197">
        <v>1</v>
      </c>
      <c r="AF41">
        <v>0</v>
      </c>
      <c r="AG41" s="402">
        <v>5</v>
      </c>
    </row>
    <row r="42" spans="1:33" ht="17.25" x14ac:dyDescent="0.3">
      <c r="A42" s="118">
        <v>102106</v>
      </c>
      <c r="B42" s="17" t="s">
        <v>246</v>
      </c>
      <c r="C42" s="17" t="s">
        <v>247</v>
      </c>
      <c r="D42" s="118" t="s">
        <v>33</v>
      </c>
      <c r="E42" s="118">
        <v>2</v>
      </c>
      <c r="F42" s="118" t="s">
        <v>134</v>
      </c>
      <c r="G42" s="118" t="s">
        <v>248</v>
      </c>
      <c r="H42" s="118" t="s">
        <v>35</v>
      </c>
      <c r="I42" s="118">
        <v>1</v>
      </c>
      <c r="J42" s="118">
        <v>1</v>
      </c>
      <c r="K42" s="118">
        <v>1</v>
      </c>
      <c r="L42" s="118">
        <v>3</v>
      </c>
      <c r="M42" s="118" t="s">
        <v>70</v>
      </c>
      <c r="N42" s="118" t="s">
        <v>77</v>
      </c>
      <c r="O42" s="118">
        <v>50</v>
      </c>
      <c r="P42" s="118">
        <v>0.7</v>
      </c>
      <c r="Q42" s="118">
        <v>0</v>
      </c>
      <c r="R42" s="25">
        <v>1</v>
      </c>
      <c r="S42" s="25" t="b">
        <v>1</v>
      </c>
      <c r="T42" s="118">
        <v>78</v>
      </c>
      <c r="U42" s="118">
        <v>1170</v>
      </c>
      <c r="V42" s="118">
        <v>1560</v>
      </c>
      <c r="W42" s="118">
        <v>0</v>
      </c>
      <c r="X42" s="118">
        <v>6</v>
      </c>
      <c r="Y42" s="118" t="s">
        <v>38</v>
      </c>
      <c r="Z42" s="415" t="s">
        <v>249</v>
      </c>
      <c r="AA42" s="206" t="s">
        <v>250</v>
      </c>
      <c r="AB42" s="118" t="s">
        <v>251</v>
      </c>
      <c r="AC42" s="118">
        <v>200000</v>
      </c>
      <c r="AD42" s="197">
        <v>1</v>
      </c>
      <c r="AE42" s="197">
        <v>1</v>
      </c>
      <c r="AF42">
        <v>0</v>
      </c>
      <c r="AG42" s="402">
        <v>6</v>
      </c>
    </row>
    <row r="43" spans="1:33" ht="17.25" x14ac:dyDescent="0.3">
      <c r="A43" s="118">
        <v>102107</v>
      </c>
      <c r="B43" s="21" t="s">
        <v>252</v>
      </c>
      <c r="C43" s="21" t="s">
        <v>253</v>
      </c>
      <c r="D43" s="118" t="s">
        <v>33</v>
      </c>
      <c r="E43" s="118">
        <v>2</v>
      </c>
      <c r="F43" s="118" t="s">
        <v>134</v>
      </c>
      <c r="G43" s="118" t="s">
        <v>254</v>
      </c>
      <c r="H43" s="118" t="s">
        <v>35</v>
      </c>
      <c r="I43" s="118">
        <v>1</v>
      </c>
      <c r="J43" s="118">
        <v>1</v>
      </c>
      <c r="K43" s="118">
        <v>1</v>
      </c>
      <c r="L43" s="118">
        <v>3</v>
      </c>
      <c r="M43" s="118" t="s">
        <v>70</v>
      </c>
      <c r="N43" s="118" t="s">
        <v>83</v>
      </c>
      <c r="O43" s="118">
        <v>50</v>
      </c>
      <c r="P43" s="118">
        <v>0.7</v>
      </c>
      <c r="Q43" s="118">
        <v>0</v>
      </c>
      <c r="R43" s="25">
        <v>1</v>
      </c>
      <c r="S43" s="25" t="b">
        <v>1</v>
      </c>
      <c r="T43" s="118">
        <v>91</v>
      </c>
      <c r="U43" s="118">
        <v>1365</v>
      </c>
      <c r="V43" s="118">
        <v>1820</v>
      </c>
      <c r="W43" s="118">
        <v>0</v>
      </c>
      <c r="X43" s="118">
        <v>7</v>
      </c>
      <c r="Y43" s="118" t="s">
        <v>38</v>
      </c>
      <c r="Z43" s="415" t="s">
        <v>255</v>
      </c>
      <c r="AA43" s="206" t="s">
        <v>256</v>
      </c>
      <c r="AB43" s="118" t="s">
        <v>257</v>
      </c>
      <c r="AC43" s="118">
        <v>100000</v>
      </c>
      <c r="AD43" s="197">
        <v>1</v>
      </c>
      <c r="AE43" s="197">
        <v>1</v>
      </c>
      <c r="AF43">
        <v>0</v>
      </c>
      <c r="AG43" s="402">
        <v>7</v>
      </c>
    </row>
    <row r="44" spans="1:33" ht="17.25" x14ac:dyDescent="0.3">
      <c r="A44" s="17">
        <v>102108</v>
      </c>
      <c r="B44" s="17" t="s">
        <v>258</v>
      </c>
      <c r="C44" s="17" t="s">
        <v>259</v>
      </c>
      <c r="D44" s="118" t="s">
        <v>33</v>
      </c>
      <c r="E44" s="118">
        <v>2</v>
      </c>
      <c r="F44" s="118" t="s">
        <v>134</v>
      </c>
      <c r="G44" s="118" t="s">
        <v>260</v>
      </c>
      <c r="H44" s="118" t="s">
        <v>35</v>
      </c>
      <c r="I44" s="118">
        <v>1</v>
      </c>
      <c r="J44" s="118">
        <v>1</v>
      </c>
      <c r="K44" s="118">
        <v>1</v>
      </c>
      <c r="L44" s="118">
        <v>3</v>
      </c>
      <c r="M44" s="118" t="s">
        <v>70</v>
      </c>
      <c r="N44" s="118" t="s">
        <v>89</v>
      </c>
      <c r="O44" s="118">
        <v>50</v>
      </c>
      <c r="P44" s="118">
        <v>0.7</v>
      </c>
      <c r="Q44" s="118">
        <v>0</v>
      </c>
      <c r="R44" s="25">
        <v>1</v>
      </c>
      <c r="S44" s="25" t="b">
        <v>1</v>
      </c>
      <c r="T44" s="118">
        <v>104</v>
      </c>
      <c r="U44" s="118">
        <v>1560</v>
      </c>
      <c r="V44" s="118">
        <v>2080</v>
      </c>
      <c r="W44" s="118">
        <v>0</v>
      </c>
      <c r="X44" s="118">
        <v>8</v>
      </c>
      <c r="Y44" s="118" t="s">
        <v>38</v>
      </c>
      <c r="Z44" s="415" t="s">
        <v>261</v>
      </c>
      <c r="AA44" s="206" t="s">
        <v>262</v>
      </c>
      <c r="AB44" s="118" t="s">
        <v>263</v>
      </c>
      <c r="AC44" s="118">
        <v>100000</v>
      </c>
      <c r="AD44" s="191">
        <v>1</v>
      </c>
      <c r="AE44" s="191">
        <v>1</v>
      </c>
      <c r="AF44">
        <v>0</v>
      </c>
      <c r="AG44" s="402">
        <v>8</v>
      </c>
    </row>
    <row r="45" spans="1:33" ht="17.25" x14ac:dyDescent="0.3">
      <c r="A45" s="17">
        <v>102109</v>
      </c>
      <c r="B45" s="17" t="s">
        <v>264</v>
      </c>
      <c r="C45" s="17" t="s">
        <v>265</v>
      </c>
      <c r="D45" s="118" t="s">
        <v>33</v>
      </c>
      <c r="E45" s="118">
        <v>2</v>
      </c>
      <c r="F45" s="118" t="s">
        <v>134</v>
      </c>
      <c r="G45" s="118" t="s">
        <v>266</v>
      </c>
      <c r="H45" s="118" t="s">
        <v>35</v>
      </c>
      <c r="I45" s="118">
        <v>1</v>
      </c>
      <c r="J45" s="118">
        <v>1</v>
      </c>
      <c r="K45" s="118">
        <v>1</v>
      </c>
      <c r="L45" s="118">
        <v>3</v>
      </c>
      <c r="M45" s="118" t="s">
        <v>70</v>
      </c>
      <c r="N45" s="118" t="s">
        <v>95</v>
      </c>
      <c r="O45" s="118">
        <v>50</v>
      </c>
      <c r="P45" s="118">
        <v>0.7</v>
      </c>
      <c r="Q45" s="118">
        <v>0</v>
      </c>
      <c r="R45" s="25">
        <v>1</v>
      </c>
      <c r="S45" s="25" t="b">
        <v>1</v>
      </c>
      <c r="T45" s="118">
        <v>117</v>
      </c>
      <c r="U45" s="118">
        <v>1755</v>
      </c>
      <c r="V45" s="118">
        <v>2340</v>
      </c>
      <c r="W45" s="118">
        <v>0</v>
      </c>
      <c r="X45" s="118">
        <v>9</v>
      </c>
      <c r="Y45" s="118" t="s">
        <v>38</v>
      </c>
      <c r="Z45" s="415" t="s">
        <v>267</v>
      </c>
      <c r="AA45" s="206" t="s">
        <v>268</v>
      </c>
      <c r="AB45" s="118" t="s">
        <v>269</v>
      </c>
      <c r="AC45" s="118">
        <v>100000</v>
      </c>
      <c r="AD45" s="191">
        <v>1</v>
      </c>
      <c r="AE45" s="191">
        <v>1</v>
      </c>
      <c r="AF45">
        <v>0</v>
      </c>
      <c r="AG45" s="402">
        <v>9</v>
      </c>
    </row>
    <row r="46" spans="1:33" ht="17.25" x14ac:dyDescent="0.3">
      <c r="A46" s="17">
        <v>102110</v>
      </c>
      <c r="B46" s="17" t="s">
        <v>270</v>
      </c>
      <c r="C46" s="17" t="s">
        <v>271</v>
      </c>
      <c r="D46" s="118" t="s">
        <v>33</v>
      </c>
      <c r="E46" s="118">
        <v>2</v>
      </c>
      <c r="F46" s="118" t="s">
        <v>134</v>
      </c>
      <c r="G46" s="118" t="s">
        <v>272</v>
      </c>
      <c r="H46" s="118" t="s">
        <v>35</v>
      </c>
      <c r="I46" s="118">
        <v>1</v>
      </c>
      <c r="J46" s="118">
        <v>1</v>
      </c>
      <c r="K46" s="118">
        <v>1</v>
      </c>
      <c r="L46" s="118">
        <v>3</v>
      </c>
      <c r="M46" s="118" t="s">
        <v>70</v>
      </c>
      <c r="N46" s="118" t="s">
        <v>101</v>
      </c>
      <c r="O46" s="118">
        <v>50</v>
      </c>
      <c r="P46" s="118">
        <v>0.7</v>
      </c>
      <c r="Q46" s="118">
        <v>0</v>
      </c>
      <c r="R46" s="25">
        <v>1</v>
      </c>
      <c r="S46" s="25" t="b">
        <v>1</v>
      </c>
      <c r="T46" s="118">
        <v>130</v>
      </c>
      <c r="U46" s="118">
        <v>1950</v>
      </c>
      <c r="V46" s="118">
        <v>2600</v>
      </c>
      <c r="W46" s="118">
        <v>0</v>
      </c>
      <c r="X46" s="118">
        <v>10</v>
      </c>
      <c r="Y46" s="118" t="s">
        <v>38</v>
      </c>
      <c r="Z46" s="415" t="s">
        <v>273</v>
      </c>
      <c r="AA46" s="206" t="s">
        <v>274</v>
      </c>
      <c r="AB46" s="118" t="s">
        <v>275</v>
      </c>
      <c r="AC46" s="118">
        <v>100000</v>
      </c>
      <c r="AD46" s="191">
        <v>1</v>
      </c>
      <c r="AE46" s="191">
        <v>1</v>
      </c>
      <c r="AF46">
        <v>0</v>
      </c>
      <c r="AG46" s="402">
        <v>10</v>
      </c>
    </row>
    <row r="47" spans="1:33" ht="17.25" x14ac:dyDescent="0.3">
      <c r="A47" s="84">
        <v>102213</v>
      </c>
      <c r="B47" s="105" t="s">
        <v>276</v>
      </c>
      <c r="C47" s="105" t="s">
        <v>277</v>
      </c>
      <c r="D47" s="84" t="s">
        <v>33</v>
      </c>
      <c r="E47" s="84">
        <v>2</v>
      </c>
      <c r="F47" s="84" t="s">
        <v>134</v>
      </c>
      <c r="G47" s="118" t="s">
        <v>155</v>
      </c>
      <c r="H47" s="84" t="s">
        <v>107</v>
      </c>
      <c r="I47" s="84">
        <v>6</v>
      </c>
      <c r="J47" s="118">
        <v>6</v>
      </c>
      <c r="K47" s="84">
        <v>0</v>
      </c>
      <c r="L47" s="84">
        <v>3</v>
      </c>
      <c r="M47" s="84">
        <v>6</v>
      </c>
      <c r="N47" s="118" t="s">
        <v>57</v>
      </c>
      <c r="O47" s="84">
        <v>50</v>
      </c>
      <c r="P47" s="84">
        <v>0.7</v>
      </c>
      <c r="Q47" s="84">
        <v>0</v>
      </c>
      <c r="R47" s="84">
        <v>1</v>
      </c>
      <c r="S47" s="43" t="b">
        <v>1</v>
      </c>
      <c r="T47" s="84">
        <v>39</v>
      </c>
      <c r="U47" s="118">
        <v>585</v>
      </c>
      <c r="V47" s="118">
        <v>780</v>
      </c>
      <c r="W47" s="84">
        <v>0</v>
      </c>
      <c r="X47" s="84">
        <v>3</v>
      </c>
      <c r="Y47" s="84" t="s">
        <v>38</v>
      </c>
      <c r="Z47" s="362" t="s">
        <v>278</v>
      </c>
      <c r="AA47" s="206" t="s">
        <v>279</v>
      </c>
      <c r="AB47" s="43" t="s">
        <v>158</v>
      </c>
      <c r="AC47" s="84">
        <v>200000</v>
      </c>
      <c r="AD47" s="197">
        <v>1</v>
      </c>
      <c r="AE47" s="197">
        <v>1</v>
      </c>
      <c r="AF47">
        <v>0</v>
      </c>
      <c r="AG47" s="404">
        <v>3</v>
      </c>
    </row>
    <row r="48" spans="1:33" ht="17.25" x14ac:dyDescent="0.3">
      <c r="A48" s="84">
        <v>102114</v>
      </c>
      <c r="B48" s="105" t="s">
        <v>280</v>
      </c>
      <c r="C48" s="105" t="s">
        <v>281</v>
      </c>
      <c r="D48" s="84" t="s">
        <v>33</v>
      </c>
      <c r="E48" s="84">
        <v>2</v>
      </c>
      <c r="F48" s="84" t="s">
        <v>134</v>
      </c>
      <c r="G48" s="118" t="s">
        <v>230</v>
      </c>
      <c r="H48" s="84" t="s">
        <v>107</v>
      </c>
      <c r="I48" s="84">
        <v>4</v>
      </c>
      <c r="J48" s="118">
        <v>4</v>
      </c>
      <c r="K48" s="84">
        <v>0</v>
      </c>
      <c r="L48" s="84">
        <v>3</v>
      </c>
      <c r="M48" s="84">
        <v>4</v>
      </c>
      <c r="N48" s="118" t="s">
        <v>64</v>
      </c>
      <c r="O48" s="84">
        <v>50</v>
      </c>
      <c r="P48" s="84">
        <v>0.7</v>
      </c>
      <c r="Q48" s="84">
        <v>0</v>
      </c>
      <c r="R48" s="84">
        <v>1</v>
      </c>
      <c r="S48" s="43" t="b">
        <v>1</v>
      </c>
      <c r="T48" s="84">
        <v>52</v>
      </c>
      <c r="U48" s="118">
        <v>780</v>
      </c>
      <c r="V48" s="118">
        <v>1040</v>
      </c>
      <c r="W48" s="84">
        <v>0</v>
      </c>
      <c r="X48" s="84">
        <v>4</v>
      </c>
      <c r="Y48" s="84" t="s">
        <v>38</v>
      </c>
      <c r="Z48" s="475" t="s">
        <v>282</v>
      </c>
      <c r="AA48" s="206" t="s">
        <v>283</v>
      </c>
      <c r="AB48" s="43" t="s">
        <v>284</v>
      </c>
      <c r="AC48" s="84">
        <v>300000</v>
      </c>
      <c r="AD48" s="197">
        <v>1</v>
      </c>
      <c r="AE48" s="197">
        <v>1</v>
      </c>
      <c r="AF48">
        <v>0</v>
      </c>
      <c r="AG48" s="404">
        <v>4</v>
      </c>
    </row>
    <row r="49" spans="1:33" ht="17.25" x14ac:dyDescent="0.3">
      <c r="A49" s="84">
        <v>102202</v>
      </c>
      <c r="B49" s="105" t="s">
        <v>285</v>
      </c>
      <c r="C49" s="105" t="s">
        <v>286</v>
      </c>
      <c r="D49" s="84" t="s">
        <v>33</v>
      </c>
      <c r="E49" s="84">
        <v>2</v>
      </c>
      <c r="F49" s="84" t="s">
        <v>134</v>
      </c>
      <c r="G49" s="118" t="s">
        <v>135</v>
      </c>
      <c r="H49" s="84" t="s">
        <v>107</v>
      </c>
      <c r="I49" s="84">
        <v>4</v>
      </c>
      <c r="J49" s="118">
        <v>4</v>
      </c>
      <c r="K49" s="84">
        <v>0</v>
      </c>
      <c r="L49" s="84">
        <v>3</v>
      </c>
      <c r="M49" s="84">
        <v>4</v>
      </c>
      <c r="N49" s="118" t="s">
        <v>45</v>
      </c>
      <c r="O49" s="84">
        <v>50</v>
      </c>
      <c r="P49" s="84">
        <v>0.7</v>
      </c>
      <c r="Q49" s="84">
        <v>0</v>
      </c>
      <c r="R49" s="84">
        <v>1</v>
      </c>
      <c r="S49" s="43" t="b">
        <v>1</v>
      </c>
      <c r="T49" s="84">
        <v>26</v>
      </c>
      <c r="U49" s="118">
        <v>390</v>
      </c>
      <c r="V49" s="118">
        <v>520</v>
      </c>
      <c r="W49" s="84">
        <v>0</v>
      </c>
      <c r="X49" s="84">
        <v>2</v>
      </c>
      <c r="Y49" s="84" t="s">
        <v>38</v>
      </c>
      <c r="Z49" s="362" t="s">
        <v>108</v>
      </c>
      <c r="AA49" s="206" t="s">
        <v>287</v>
      </c>
      <c r="AB49" s="43" t="s">
        <v>143</v>
      </c>
      <c r="AC49" s="84">
        <v>100000</v>
      </c>
      <c r="AD49" s="197">
        <v>1</v>
      </c>
      <c r="AE49" s="197">
        <v>1</v>
      </c>
      <c r="AF49">
        <v>0</v>
      </c>
      <c r="AG49" s="404">
        <v>2</v>
      </c>
    </row>
    <row r="50" spans="1:33" ht="17.25" x14ac:dyDescent="0.3">
      <c r="A50" s="393">
        <v>102203</v>
      </c>
      <c r="B50" s="394" t="s">
        <v>288</v>
      </c>
      <c r="C50" s="394" t="s">
        <v>289</v>
      </c>
      <c r="D50" s="393" t="s">
        <v>33</v>
      </c>
      <c r="E50" s="393">
        <v>2</v>
      </c>
      <c r="F50" s="393" t="s">
        <v>134</v>
      </c>
      <c r="G50" s="393" t="s">
        <v>167</v>
      </c>
      <c r="H50" s="393"/>
      <c r="I50" s="393">
        <v>4</v>
      </c>
      <c r="J50" s="118">
        <v>4</v>
      </c>
      <c r="K50" s="393">
        <v>0</v>
      </c>
      <c r="L50" s="393">
        <v>3</v>
      </c>
      <c r="M50" s="393">
        <v>4</v>
      </c>
      <c r="N50" s="118" t="s">
        <v>57</v>
      </c>
      <c r="O50" s="393">
        <v>50</v>
      </c>
      <c r="P50" s="393">
        <v>0.7</v>
      </c>
      <c r="Q50" s="393">
        <v>0</v>
      </c>
      <c r="R50" s="399">
        <v>1</v>
      </c>
      <c r="S50" s="399" t="b">
        <v>1</v>
      </c>
      <c r="T50" s="393">
        <v>39</v>
      </c>
      <c r="U50" s="118">
        <v>585</v>
      </c>
      <c r="V50" s="118">
        <v>780</v>
      </c>
      <c r="W50" s="393">
        <v>0</v>
      </c>
      <c r="X50" s="393">
        <v>3</v>
      </c>
      <c r="Y50" s="393" t="s">
        <v>38</v>
      </c>
      <c r="Z50" s="476" t="s">
        <v>290</v>
      </c>
      <c r="AA50" s="206" t="s">
        <v>291</v>
      </c>
      <c r="AB50" s="399" t="s">
        <v>292</v>
      </c>
      <c r="AC50" s="393">
        <v>100000</v>
      </c>
      <c r="AD50" s="197">
        <v>1</v>
      </c>
      <c r="AE50" s="197">
        <v>1</v>
      </c>
      <c r="AF50">
        <v>0</v>
      </c>
      <c r="AG50" s="407">
        <v>3</v>
      </c>
    </row>
    <row r="51" spans="1:33" ht="17.25" x14ac:dyDescent="0.3">
      <c r="A51" s="84">
        <v>102204</v>
      </c>
      <c r="B51" s="105" t="s">
        <v>293</v>
      </c>
      <c r="C51" s="105" t="s">
        <v>294</v>
      </c>
      <c r="D51" s="84" t="s">
        <v>33</v>
      </c>
      <c r="E51" s="84">
        <v>2</v>
      </c>
      <c r="F51" s="84" t="s">
        <v>134</v>
      </c>
      <c r="G51" s="118" t="s">
        <v>230</v>
      </c>
      <c r="H51" s="84" t="s">
        <v>295</v>
      </c>
      <c r="I51" s="84">
        <v>5</v>
      </c>
      <c r="J51" s="118">
        <v>5</v>
      </c>
      <c r="K51" s="84">
        <v>0</v>
      </c>
      <c r="L51" s="84">
        <v>3</v>
      </c>
      <c r="M51" s="84">
        <v>5</v>
      </c>
      <c r="N51" s="118" t="s">
        <v>64</v>
      </c>
      <c r="O51" s="84">
        <v>50</v>
      </c>
      <c r="P51" s="84">
        <v>0.7</v>
      </c>
      <c r="Q51" s="84">
        <v>0</v>
      </c>
      <c r="R51" s="84">
        <v>1</v>
      </c>
      <c r="S51" s="43" t="b">
        <v>1</v>
      </c>
      <c r="T51" s="84">
        <v>52</v>
      </c>
      <c r="U51" s="118">
        <v>780</v>
      </c>
      <c r="V51" s="118">
        <v>1040</v>
      </c>
      <c r="W51" s="84">
        <v>0</v>
      </c>
      <c r="X51" s="84">
        <v>4</v>
      </c>
      <c r="Y51" s="84" t="s">
        <v>38</v>
      </c>
      <c r="Z51" s="362" t="s">
        <v>296</v>
      </c>
      <c r="AA51" s="206" t="s">
        <v>297</v>
      </c>
      <c r="AB51" s="43" t="s">
        <v>239</v>
      </c>
      <c r="AC51" s="84">
        <v>300000</v>
      </c>
      <c r="AD51" s="197">
        <v>1</v>
      </c>
      <c r="AE51" s="197">
        <v>1</v>
      </c>
      <c r="AF51">
        <v>0</v>
      </c>
      <c r="AG51" s="404">
        <v>4</v>
      </c>
    </row>
    <row r="52" spans="1:33" ht="17.25" x14ac:dyDescent="0.3">
      <c r="A52" s="105">
        <v>102205</v>
      </c>
      <c r="B52" s="105" t="s">
        <v>298</v>
      </c>
      <c r="C52" s="105" t="s">
        <v>299</v>
      </c>
      <c r="D52" s="84" t="s">
        <v>33</v>
      </c>
      <c r="E52" s="43">
        <v>2</v>
      </c>
      <c r="F52" s="43" t="s">
        <v>134</v>
      </c>
      <c r="G52" s="118" t="s">
        <v>167</v>
      </c>
      <c r="H52" s="84" t="s">
        <v>107</v>
      </c>
      <c r="I52" s="43">
        <v>1</v>
      </c>
      <c r="J52" s="118">
        <v>1</v>
      </c>
      <c r="K52" s="43">
        <v>0</v>
      </c>
      <c r="L52" s="43">
        <v>3</v>
      </c>
      <c r="M52" s="43">
        <v>5</v>
      </c>
      <c r="N52" s="118" t="s">
        <v>71</v>
      </c>
      <c r="O52" s="84">
        <v>50</v>
      </c>
      <c r="P52" s="84">
        <v>0.7</v>
      </c>
      <c r="Q52" s="84">
        <v>0</v>
      </c>
      <c r="R52" s="43">
        <v>1</v>
      </c>
      <c r="S52" s="43" t="b">
        <v>1</v>
      </c>
      <c r="T52" s="84">
        <v>65</v>
      </c>
      <c r="U52" s="118">
        <v>975</v>
      </c>
      <c r="V52" s="118">
        <v>1300</v>
      </c>
      <c r="W52" s="84">
        <v>0</v>
      </c>
      <c r="X52" s="43">
        <v>5</v>
      </c>
      <c r="Y52" s="43" t="s">
        <v>38</v>
      </c>
      <c r="Z52" s="362" t="s">
        <v>300</v>
      </c>
      <c r="AA52" s="206" t="s">
        <v>301</v>
      </c>
      <c r="AB52" s="157" t="s">
        <v>170</v>
      </c>
      <c r="AC52" s="43">
        <v>100000</v>
      </c>
      <c r="AD52" s="197">
        <v>1</v>
      </c>
      <c r="AE52" s="197">
        <v>1</v>
      </c>
      <c r="AF52">
        <v>0</v>
      </c>
      <c r="AG52" s="293">
        <v>5</v>
      </c>
    </row>
    <row r="53" spans="1:33" ht="17.25" x14ac:dyDescent="0.3">
      <c r="A53" s="105">
        <v>102206</v>
      </c>
      <c r="B53" s="105" t="s">
        <v>302</v>
      </c>
      <c r="C53" s="105" t="s">
        <v>303</v>
      </c>
      <c r="D53" s="84" t="s">
        <v>33</v>
      </c>
      <c r="E53" s="43">
        <v>2</v>
      </c>
      <c r="F53" s="43" t="s">
        <v>134</v>
      </c>
      <c r="G53" s="118" t="s">
        <v>179</v>
      </c>
      <c r="H53" s="84" t="s">
        <v>107</v>
      </c>
      <c r="I53" s="43">
        <v>1</v>
      </c>
      <c r="J53" s="118">
        <v>1</v>
      </c>
      <c r="K53" s="43">
        <v>0</v>
      </c>
      <c r="L53" s="43">
        <v>3</v>
      </c>
      <c r="M53" s="43">
        <v>5</v>
      </c>
      <c r="N53" s="118" t="s">
        <v>77</v>
      </c>
      <c r="O53" s="84">
        <v>50</v>
      </c>
      <c r="P53" s="84">
        <v>0.7</v>
      </c>
      <c r="Q53" s="84">
        <v>0</v>
      </c>
      <c r="R53" s="43">
        <v>1</v>
      </c>
      <c r="S53" s="43" t="b">
        <v>1</v>
      </c>
      <c r="T53" s="84">
        <v>78</v>
      </c>
      <c r="U53" s="118">
        <v>1170</v>
      </c>
      <c r="V53" s="118">
        <v>1560</v>
      </c>
      <c r="W53" s="84">
        <v>0</v>
      </c>
      <c r="X53" s="43">
        <v>6</v>
      </c>
      <c r="Y53" s="43" t="s">
        <v>38</v>
      </c>
      <c r="Z53" s="362" t="s">
        <v>304</v>
      </c>
      <c r="AA53" s="206" t="s">
        <v>305</v>
      </c>
      <c r="AB53" s="193" t="s">
        <v>306</v>
      </c>
      <c r="AC53" s="43">
        <v>100000</v>
      </c>
      <c r="AD53" s="197">
        <v>1</v>
      </c>
      <c r="AE53" s="197">
        <v>1</v>
      </c>
      <c r="AF53">
        <v>0</v>
      </c>
      <c r="AG53" s="293">
        <v>6</v>
      </c>
    </row>
    <row r="54" spans="1:33" ht="17.25" x14ac:dyDescent="0.3">
      <c r="A54" s="395">
        <v>102207</v>
      </c>
      <c r="B54" s="20" t="s">
        <v>307</v>
      </c>
      <c r="C54" s="20" t="s">
        <v>308</v>
      </c>
      <c r="D54" s="395" t="s">
        <v>33</v>
      </c>
      <c r="E54" s="20">
        <v>2</v>
      </c>
      <c r="F54" s="395" t="s">
        <v>134</v>
      </c>
      <c r="G54" s="118" t="s">
        <v>179</v>
      </c>
      <c r="H54" s="20" t="s">
        <v>309</v>
      </c>
      <c r="I54" s="395">
        <v>1</v>
      </c>
      <c r="J54" s="118">
        <v>1</v>
      </c>
      <c r="K54" s="20">
        <v>0</v>
      </c>
      <c r="L54" s="395">
        <v>3</v>
      </c>
      <c r="M54" s="20">
        <v>7</v>
      </c>
      <c r="N54" s="118" t="s">
        <v>83</v>
      </c>
      <c r="O54" s="395">
        <v>50</v>
      </c>
      <c r="P54" s="395">
        <v>0.7</v>
      </c>
      <c r="Q54" s="395">
        <v>0</v>
      </c>
      <c r="R54" s="395">
        <v>1</v>
      </c>
      <c r="S54" s="20" t="b">
        <v>1</v>
      </c>
      <c r="T54" s="395">
        <v>91</v>
      </c>
      <c r="U54" s="118">
        <v>1365</v>
      </c>
      <c r="V54" s="118">
        <v>1820</v>
      </c>
      <c r="W54" s="395">
        <v>0</v>
      </c>
      <c r="X54" s="395">
        <v>7</v>
      </c>
      <c r="Y54" s="395" t="s">
        <v>38</v>
      </c>
      <c r="Z54" s="477" t="s">
        <v>310</v>
      </c>
      <c r="AA54" s="206" t="s">
        <v>311</v>
      </c>
      <c r="AB54" s="395" t="s">
        <v>312</v>
      </c>
      <c r="AC54" s="395">
        <v>200000</v>
      </c>
      <c r="AD54" s="197">
        <v>1</v>
      </c>
      <c r="AE54" s="197">
        <v>1</v>
      </c>
      <c r="AF54">
        <v>0</v>
      </c>
      <c r="AG54" s="408">
        <v>7</v>
      </c>
    </row>
    <row r="55" spans="1:33" ht="17.25" x14ac:dyDescent="0.3">
      <c r="A55" s="114">
        <v>102607</v>
      </c>
      <c r="B55" s="359" t="s">
        <v>313</v>
      </c>
      <c r="C55" s="359" t="s">
        <v>314</v>
      </c>
      <c r="D55" s="119" t="s">
        <v>33</v>
      </c>
      <c r="E55" s="119">
        <v>2</v>
      </c>
      <c r="F55" s="119" t="s">
        <v>134</v>
      </c>
      <c r="G55" s="118" t="s">
        <v>254</v>
      </c>
      <c r="H55" s="119" t="s">
        <v>51</v>
      </c>
      <c r="I55" s="119">
        <v>1</v>
      </c>
      <c r="J55" s="118">
        <v>4</v>
      </c>
      <c r="K55" s="119">
        <v>0</v>
      </c>
      <c r="L55" s="119">
        <v>3</v>
      </c>
      <c r="M55" s="119" t="s">
        <v>52</v>
      </c>
      <c r="N55" s="118" t="s">
        <v>83</v>
      </c>
      <c r="O55" s="119">
        <v>50</v>
      </c>
      <c r="P55" s="119">
        <v>0.7</v>
      </c>
      <c r="Q55" s="119">
        <v>0</v>
      </c>
      <c r="R55" s="80">
        <v>1</v>
      </c>
      <c r="S55" s="80" t="b">
        <v>1</v>
      </c>
      <c r="T55" s="119">
        <v>91</v>
      </c>
      <c r="U55" s="118">
        <v>1365</v>
      </c>
      <c r="V55" s="118">
        <v>1820</v>
      </c>
      <c r="W55" s="119">
        <v>0</v>
      </c>
      <c r="X55" s="119">
        <v>7</v>
      </c>
      <c r="Y55" s="119" t="s">
        <v>38</v>
      </c>
      <c r="Z55" s="473" t="s">
        <v>255</v>
      </c>
      <c r="AA55" s="206" t="s">
        <v>315</v>
      </c>
      <c r="AB55" s="119" t="s">
        <v>257</v>
      </c>
      <c r="AC55" s="119">
        <v>100000</v>
      </c>
      <c r="AD55" s="197">
        <v>1</v>
      </c>
      <c r="AE55" s="197">
        <v>1</v>
      </c>
      <c r="AF55">
        <v>0</v>
      </c>
      <c r="AG55" s="403">
        <v>7</v>
      </c>
    </row>
    <row r="56" spans="1:33" ht="17.25" x14ac:dyDescent="0.3">
      <c r="A56" s="119">
        <v>102308</v>
      </c>
      <c r="B56" s="114" t="s">
        <v>316</v>
      </c>
      <c r="C56" s="114" t="s">
        <v>317</v>
      </c>
      <c r="D56" s="119" t="s">
        <v>33</v>
      </c>
      <c r="E56" s="119">
        <v>2</v>
      </c>
      <c r="F56" s="119" t="s">
        <v>134</v>
      </c>
      <c r="G56" s="119" t="s">
        <v>260</v>
      </c>
      <c r="H56" s="119" t="s">
        <v>51</v>
      </c>
      <c r="I56" s="119">
        <v>1</v>
      </c>
      <c r="J56" s="118">
        <v>4</v>
      </c>
      <c r="K56" s="119">
        <v>0</v>
      </c>
      <c r="L56" s="119">
        <v>3</v>
      </c>
      <c r="M56" s="119" t="s">
        <v>52</v>
      </c>
      <c r="N56" s="118" t="s">
        <v>89</v>
      </c>
      <c r="O56" s="119">
        <v>50</v>
      </c>
      <c r="P56" s="119">
        <v>0.7</v>
      </c>
      <c r="Q56" s="119">
        <v>0</v>
      </c>
      <c r="R56" s="119">
        <v>1</v>
      </c>
      <c r="S56" s="80" t="b">
        <v>1</v>
      </c>
      <c r="T56" s="119">
        <v>104</v>
      </c>
      <c r="U56" s="118">
        <v>1560</v>
      </c>
      <c r="V56" s="118">
        <v>2080</v>
      </c>
      <c r="W56" s="119">
        <v>0</v>
      </c>
      <c r="X56" s="119">
        <v>8</v>
      </c>
      <c r="Y56" s="119" t="s">
        <v>38</v>
      </c>
      <c r="Z56" s="473" t="s">
        <v>261</v>
      </c>
      <c r="AA56" s="206" t="s">
        <v>318</v>
      </c>
      <c r="AB56" s="80" t="s">
        <v>263</v>
      </c>
      <c r="AC56" s="119">
        <v>100000</v>
      </c>
      <c r="AD56" s="92">
        <v>1</v>
      </c>
      <c r="AE56" s="92">
        <v>1</v>
      </c>
      <c r="AF56">
        <v>0</v>
      </c>
      <c r="AG56" s="403">
        <v>8</v>
      </c>
    </row>
    <row r="57" spans="1:33" ht="17.25" x14ac:dyDescent="0.3">
      <c r="A57" s="119">
        <v>102409</v>
      </c>
      <c r="B57" s="114" t="s">
        <v>319</v>
      </c>
      <c r="C57" s="114" t="s">
        <v>320</v>
      </c>
      <c r="D57" s="119" t="s">
        <v>33</v>
      </c>
      <c r="E57" s="119">
        <v>2</v>
      </c>
      <c r="F57" s="119" t="s">
        <v>134</v>
      </c>
      <c r="G57" s="119" t="s">
        <v>266</v>
      </c>
      <c r="H57" s="119" t="s">
        <v>51</v>
      </c>
      <c r="I57" s="119">
        <v>1</v>
      </c>
      <c r="J57" s="118">
        <v>4</v>
      </c>
      <c r="K57" s="119">
        <v>0</v>
      </c>
      <c r="L57" s="119">
        <v>3</v>
      </c>
      <c r="M57" s="119" t="s">
        <v>52</v>
      </c>
      <c r="N57" s="118" t="s">
        <v>95</v>
      </c>
      <c r="O57" s="119">
        <v>50</v>
      </c>
      <c r="P57" s="119">
        <v>0.7</v>
      </c>
      <c r="Q57" s="119">
        <v>0</v>
      </c>
      <c r="R57" s="119">
        <v>1</v>
      </c>
      <c r="S57" s="80" t="b">
        <v>1</v>
      </c>
      <c r="T57" s="119">
        <v>117</v>
      </c>
      <c r="U57" s="118">
        <v>1755</v>
      </c>
      <c r="V57" s="118">
        <v>2340</v>
      </c>
      <c r="W57" s="119">
        <v>0</v>
      </c>
      <c r="X57" s="119">
        <v>9</v>
      </c>
      <c r="Y57" s="119" t="s">
        <v>38</v>
      </c>
      <c r="Z57" s="473" t="s">
        <v>267</v>
      </c>
      <c r="AA57" s="206" t="s">
        <v>321</v>
      </c>
      <c r="AB57" s="80" t="s">
        <v>269</v>
      </c>
      <c r="AC57" s="119">
        <v>100000</v>
      </c>
      <c r="AD57" s="92">
        <v>1</v>
      </c>
      <c r="AE57" s="92">
        <v>1</v>
      </c>
      <c r="AF57">
        <v>0</v>
      </c>
      <c r="AG57" s="403">
        <v>9</v>
      </c>
    </row>
    <row r="58" spans="1:33" ht="17.25" x14ac:dyDescent="0.3">
      <c r="A58" s="119">
        <v>102310</v>
      </c>
      <c r="B58" s="114" t="s">
        <v>322</v>
      </c>
      <c r="C58" s="114" t="s">
        <v>323</v>
      </c>
      <c r="D58" s="119" t="s">
        <v>33</v>
      </c>
      <c r="E58" s="119">
        <v>2</v>
      </c>
      <c r="F58" s="119" t="s">
        <v>134</v>
      </c>
      <c r="G58" s="119" t="s">
        <v>272</v>
      </c>
      <c r="H58" s="119" t="s">
        <v>51</v>
      </c>
      <c r="I58" s="119">
        <v>1</v>
      </c>
      <c r="J58" s="118">
        <v>4</v>
      </c>
      <c r="K58" s="119">
        <v>0</v>
      </c>
      <c r="L58" s="119">
        <v>3</v>
      </c>
      <c r="M58" s="119" t="s">
        <v>52</v>
      </c>
      <c r="N58" s="118" t="s">
        <v>101</v>
      </c>
      <c r="O58" s="119">
        <v>50</v>
      </c>
      <c r="P58" s="119">
        <v>0.7</v>
      </c>
      <c r="Q58" s="119">
        <v>0</v>
      </c>
      <c r="R58" s="119">
        <v>1</v>
      </c>
      <c r="S58" s="80" t="b">
        <v>1</v>
      </c>
      <c r="T58" s="119">
        <v>130</v>
      </c>
      <c r="U58" s="118">
        <v>1950</v>
      </c>
      <c r="V58" s="118">
        <v>2600</v>
      </c>
      <c r="W58" s="119">
        <v>0</v>
      </c>
      <c r="X58" s="119">
        <v>10</v>
      </c>
      <c r="Y58" s="119" t="s">
        <v>38</v>
      </c>
      <c r="Z58" s="473" t="s">
        <v>273</v>
      </c>
      <c r="AA58" s="206" t="s">
        <v>324</v>
      </c>
      <c r="AB58" s="80" t="s">
        <v>275</v>
      </c>
      <c r="AC58" s="119">
        <v>100000</v>
      </c>
      <c r="AD58" s="92">
        <v>1</v>
      </c>
      <c r="AE58" s="92">
        <v>1</v>
      </c>
      <c r="AF58">
        <v>0</v>
      </c>
      <c r="AG58" s="403">
        <v>10</v>
      </c>
    </row>
    <row r="59" spans="1:33" ht="17.25" x14ac:dyDescent="0.3">
      <c r="A59" s="396">
        <v>102209</v>
      </c>
      <c r="B59" s="396" t="s">
        <v>325</v>
      </c>
      <c r="C59" s="396" t="s">
        <v>326</v>
      </c>
      <c r="D59" s="395" t="s">
        <v>33</v>
      </c>
      <c r="E59" s="20">
        <v>2</v>
      </c>
      <c r="F59" s="20" t="s">
        <v>134</v>
      </c>
      <c r="G59" s="20" t="s">
        <v>167</v>
      </c>
      <c r="H59" s="20" t="s">
        <v>309</v>
      </c>
      <c r="I59" s="20">
        <v>1</v>
      </c>
      <c r="J59" s="118">
        <v>1</v>
      </c>
      <c r="K59" s="20">
        <v>0</v>
      </c>
      <c r="L59" s="20">
        <v>3</v>
      </c>
      <c r="M59" s="20">
        <v>7</v>
      </c>
      <c r="N59" s="118" t="s">
        <v>95</v>
      </c>
      <c r="O59" s="395">
        <v>50</v>
      </c>
      <c r="P59" s="395">
        <v>0.7</v>
      </c>
      <c r="Q59" s="395">
        <v>0</v>
      </c>
      <c r="R59" s="20">
        <v>1</v>
      </c>
      <c r="S59" s="20" t="b">
        <v>1</v>
      </c>
      <c r="T59" s="395">
        <v>117</v>
      </c>
      <c r="U59" s="118">
        <v>1755</v>
      </c>
      <c r="V59" s="118">
        <v>2340</v>
      </c>
      <c r="W59" s="395">
        <v>0</v>
      </c>
      <c r="X59" s="118">
        <v>9</v>
      </c>
      <c r="Y59" s="20" t="s">
        <v>38</v>
      </c>
      <c r="Z59" s="477" t="s">
        <v>327</v>
      </c>
      <c r="AA59" s="206" t="s">
        <v>328</v>
      </c>
      <c r="AB59" s="400" t="s">
        <v>329</v>
      </c>
      <c r="AC59" s="20">
        <v>100000</v>
      </c>
      <c r="AD59" s="197">
        <v>1</v>
      </c>
      <c r="AE59" s="197">
        <v>1</v>
      </c>
      <c r="AF59">
        <v>0</v>
      </c>
      <c r="AG59" s="409">
        <v>9</v>
      </c>
    </row>
    <row r="60" spans="1:33" ht="17.25" x14ac:dyDescent="0.3">
      <c r="A60" s="84">
        <v>102302</v>
      </c>
      <c r="B60" s="105" t="s">
        <v>330</v>
      </c>
      <c r="C60" s="105" t="s">
        <v>331</v>
      </c>
      <c r="D60" s="84" t="s">
        <v>33</v>
      </c>
      <c r="E60" s="84">
        <v>2</v>
      </c>
      <c r="F60" s="84" t="s">
        <v>134</v>
      </c>
      <c r="G60" s="118" t="s">
        <v>215</v>
      </c>
      <c r="H60" s="84" t="s">
        <v>107</v>
      </c>
      <c r="I60" s="84">
        <v>4</v>
      </c>
      <c r="J60" s="118">
        <v>4</v>
      </c>
      <c r="K60" s="84">
        <v>0</v>
      </c>
      <c r="L60" s="84">
        <v>3</v>
      </c>
      <c r="M60" s="84">
        <v>4</v>
      </c>
      <c r="N60" s="118" t="s">
        <v>45</v>
      </c>
      <c r="O60" s="84">
        <v>50</v>
      </c>
      <c r="P60" s="84">
        <v>0.7</v>
      </c>
      <c r="Q60" s="84">
        <v>0</v>
      </c>
      <c r="R60" s="84">
        <v>1</v>
      </c>
      <c r="S60" s="43" t="b">
        <v>1</v>
      </c>
      <c r="T60" s="84">
        <v>26</v>
      </c>
      <c r="U60" s="118">
        <v>390</v>
      </c>
      <c r="V60" s="118">
        <v>520</v>
      </c>
      <c r="W60" s="84">
        <v>0</v>
      </c>
      <c r="X60" s="84">
        <v>2</v>
      </c>
      <c r="Y60" s="84" t="s">
        <v>38</v>
      </c>
      <c r="Z60" s="362" t="s">
        <v>108</v>
      </c>
      <c r="AA60" s="206" t="s">
        <v>332</v>
      </c>
      <c r="AB60" s="43" t="s">
        <v>218</v>
      </c>
      <c r="AC60" s="84">
        <v>100000</v>
      </c>
      <c r="AD60" s="197">
        <v>1</v>
      </c>
      <c r="AE60" s="197">
        <v>1</v>
      </c>
      <c r="AF60">
        <v>0</v>
      </c>
      <c r="AG60" s="404">
        <v>2</v>
      </c>
    </row>
    <row r="61" spans="1:33" ht="17.25" x14ac:dyDescent="0.3">
      <c r="A61" s="391">
        <v>102303</v>
      </c>
      <c r="B61" s="392" t="s">
        <v>333</v>
      </c>
      <c r="C61" s="392" t="s">
        <v>334</v>
      </c>
      <c r="D61" s="391" t="s">
        <v>33</v>
      </c>
      <c r="E61" s="391">
        <v>2</v>
      </c>
      <c r="F61" s="391" t="s">
        <v>134</v>
      </c>
      <c r="G61" s="118" t="s">
        <v>224</v>
      </c>
      <c r="H61" s="391" t="s">
        <v>112</v>
      </c>
      <c r="I61" s="391">
        <v>4</v>
      </c>
      <c r="J61" s="118">
        <v>4</v>
      </c>
      <c r="K61" s="391">
        <v>0</v>
      </c>
      <c r="L61" s="391">
        <v>3</v>
      </c>
      <c r="M61" s="391">
        <v>4</v>
      </c>
      <c r="N61" s="118" t="s">
        <v>57</v>
      </c>
      <c r="O61" s="391">
        <v>50</v>
      </c>
      <c r="P61" s="391">
        <v>0.7</v>
      </c>
      <c r="Q61" s="391">
        <v>0</v>
      </c>
      <c r="R61" s="391">
        <v>1</v>
      </c>
      <c r="S61" s="397" t="b">
        <v>1</v>
      </c>
      <c r="T61" s="391">
        <v>39</v>
      </c>
      <c r="U61" s="118">
        <v>585</v>
      </c>
      <c r="V61" s="118">
        <v>780</v>
      </c>
      <c r="W61" s="391">
        <v>0</v>
      </c>
      <c r="X61" s="391">
        <v>3</v>
      </c>
      <c r="Y61" s="391" t="s">
        <v>38</v>
      </c>
      <c r="Z61" s="478" t="s">
        <v>335</v>
      </c>
      <c r="AA61" s="206" t="s">
        <v>336</v>
      </c>
      <c r="AB61" s="397" t="s">
        <v>233</v>
      </c>
      <c r="AC61" s="391">
        <v>100000</v>
      </c>
      <c r="AD61" s="197">
        <v>1</v>
      </c>
      <c r="AE61" s="197">
        <v>1</v>
      </c>
      <c r="AF61">
        <v>0</v>
      </c>
      <c r="AG61" s="405">
        <v>3</v>
      </c>
    </row>
    <row r="62" spans="1:33" ht="17.25" x14ac:dyDescent="0.3">
      <c r="A62" s="393">
        <v>102304</v>
      </c>
      <c r="B62" s="394" t="s">
        <v>288</v>
      </c>
      <c r="C62" s="394" t="s">
        <v>289</v>
      </c>
      <c r="D62" s="393" t="s">
        <v>33</v>
      </c>
      <c r="E62" s="393">
        <v>2</v>
      </c>
      <c r="F62" s="393" t="s">
        <v>134</v>
      </c>
      <c r="G62" s="393" t="s">
        <v>248</v>
      </c>
      <c r="H62" s="393"/>
      <c r="I62" s="393">
        <v>5</v>
      </c>
      <c r="J62" s="118">
        <v>5</v>
      </c>
      <c r="K62" s="393">
        <v>0</v>
      </c>
      <c r="L62" s="393">
        <v>3</v>
      </c>
      <c r="M62" s="393">
        <v>5</v>
      </c>
      <c r="N62" s="118" t="s">
        <v>64</v>
      </c>
      <c r="O62" s="393">
        <v>50</v>
      </c>
      <c r="P62" s="393">
        <v>0.7</v>
      </c>
      <c r="Q62" s="393">
        <v>0</v>
      </c>
      <c r="R62" s="393">
        <v>1</v>
      </c>
      <c r="S62" s="399" t="b">
        <v>1</v>
      </c>
      <c r="T62" s="393">
        <v>52</v>
      </c>
      <c r="U62" s="118">
        <v>780</v>
      </c>
      <c r="V62" s="118">
        <v>1040</v>
      </c>
      <c r="W62" s="393">
        <v>0</v>
      </c>
      <c r="X62" s="393">
        <v>4</v>
      </c>
      <c r="Y62" s="393" t="s">
        <v>38</v>
      </c>
      <c r="Z62" s="394" t="s">
        <v>337</v>
      </c>
      <c r="AA62" s="206" t="s">
        <v>338</v>
      </c>
      <c r="AB62" s="399" t="s">
        <v>339</v>
      </c>
      <c r="AC62" s="393">
        <v>100000</v>
      </c>
      <c r="AD62" s="197">
        <v>1</v>
      </c>
      <c r="AE62" s="197">
        <v>1</v>
      </c>
      <c r="AF62">
        <v>0</v>
      </c>
      <c r="AG62" s="407">
        <v>4</v>
      </c>
    </row>
    <row r="63" spans="1:33" ht="17.25" x14ac:dyDescent="0.3">
      <c r="A63" s="105">
        <v>102305</v>
      </c>
      <c r="B63" s="105" t="s">
        <v>340</v>
      </c>
      <c r="C63" s="105" t="s">
        <v>341</v>
      </c>
      <c r="D63" s="84" t="s">
        <v>33</v>
      </c>
      <c r="E63" s="43">
        <v>2</v>
      </c>
      <c r="F63" s="43" t="s">
        <v>134</v>
      </c>
      <c r="G63" s="118" t="s">
        <v>173</v>
      </c>
      <c r="H63" s="84" t="s">
        <v>107</v>
      </c>
      <c r="I63" s="43">
        <v>1</v>
      </c>
      <c r="J63" s="118">
        <v>1</v>
      </c>
      <c r="K63" s="43">
        <v>0</v>
      </c>
      <c r="L63" s="43">
        <v>3</v>
      </c>
      <c r="M63" s="43">
        <v>5</v>
      </c>
      <c r="N63" s="118" t="s">
        <v>71</v>
      </c>
      <c r="O63" s="84">
        <v>50</v>
      </c>
      <c r="P63" s="84">
        <v>0.7</v>
      </c>
      <c r="Q63" s="84">
        <v>0</v>
      </c>
      <c r="R63" s="43">
        <v>1</v>
      </c>
      <c r="S63" s="43" t="b">
        <v>1</v>
      </c>
      <c r="T63" s="84">
        <v>65</v>
      </c>
      <c r="U63" s="118">
        <v>975</v>
      </c>
      <c r="V63" s="118">
        <v>1300</v>
      </c>
      <c r="W63" s="84">
        <v>0</v>
      </c>
      <c r="X63" s="43">
        <v>5</v>
      </c>
      <c r="Y63" s="43" t="s">
        <v>38</v>
      </c>
      <c r="Z63" s="362" t="s">
        <v>342</v>
      </c>
      <c r="AA63" s="206" t="s">
        <v>343</v>
      </c>
      <c r="AB63" s="157" t="s">
        <v>176</v>
      </c>
      <c r="AC63" s="43">
        <v>100000</v>
      </c>
      <c r="AD63" s="197">
        <v>1</v>
      </c>
      <c r="AE63" s="197">
        <v>1</v>
      </c>
      <c r="AF63">
        <v>0</v>
      </c>
      <c r="AG63" s="293">
        <v>5</v>
      </c>
    </row>
    <row r="64" spans="1:33" ht="17.25" x14ac:dyDescent="0.3">
      <c r="A64" s="84">
        <v>102314</v>
      </c>
      <c r="B64" s="105" t="s">
        <v>280</v>
      </c>
      <c r="C64" s="105" t="s">
        <v>281</v>
      </c>
      <c r="D64" s="84" t="s">
        <v>33</v>
      </c>
      <c r="E64" s="84">
        <v>2</v>
      </c>
      <c r="F64" s="84" t="s">
        <v>134</v>
      </c>
      <c r="G64" s="118" t="s">
        <v>230</v>
      </c>
      <c r="H64" s="84" t="s">
        <v>295</v>
      </c>
      <c r="I64" s="84">
        <v>4</v>
      </c>
      <c r="J64" s="118">
        <v>4</v>
      </c>
      <c r="K64" s="84">
        <v>0</v>
      </c>
      <c r="L64" s="84">
        <v>3</v>
      </c>
      <c r="M64" s="84">
        <v>4</v>
      </c>
      <c r="N64" s="118" t="s">
        <v>64</v>
      </c>
      <c r="O64" s="84">
        <v>50</v>
      </c>
      <c r="P64" s="84">
        <v>0.7</v>
      </c>
      <c r="Q64" s="84">
        <v>0</v>
      </c>
      <c r="R64" s="84">
        <v>1</v>
      </c>
      <c r="S64" s="43" t="b">
        <v>1</v>
      </c>
      <c r="T64" s="84">
        <v>52</v>
      </c>
      <c r="U64" s="118">
        <v>780</v>
      </c>
      <c r="V64" s="118">
        <v>1040</v>
      </c>
      <c r="W64" s="84">
        <v>0</v>
      </c>
      <c r="X64" s="84">
        <v>4</v>
      </c>
      <c r="Y64" s="84" t="s">
        <v>38</v>
      </c>
      <c r="Z64" s="475" t="s">
        <v>344</v>
      </c>
      <c r="AA64" s="206" t="s">
        <v>345</v>
      </c>
      <c r="AB64" s="43" t="s">
        <v>284</v>
      </c>
      <c r="AC64" s="84">
        <v>100000</v>
      </c>
      <c r="AD64" s="197">
        <v>1</v>
      </c>
      <c r="AE64" s="197">
        <v>1</v>
      </c>
      <c r="AF64">
        <v>0</v>
      </c>
      <c r="AG64" s="404">
        <v>4</v>
      </c>
    </row>
    <row r="65" spans="1:33" ht="17.25" x14ac:dyDescent="0.3">
      <c r="A65" s="393">
        <v>102402</v>
      </c>
      <c r="B65" s="394" t="s">
        <v>288</v>
      </c>
      <c r="C65" s="394" t="s">
        <v>289</v>
      </c>
      <c r="D65" s="393" t="s">
        <v>33</v>
      </c>
      <c r="E65" s="393">
        <v>2</v>
      </c>
      <c r="F65" s="393" t="s">
        <v>134</v>
      </c>
      <c r="G65" s="393" t="s">
        <v>242</v>
      </c>
      <c r="H65" s="393"/>
      <c r="I65" s="393">
        <v>4</v>
      </c>
      <c r="J65" s="118">
        <v>4</v>
      </c>
      <c r="K65" s="393">
        <v>0</v>
      </c>
      <c r="L65" s="393">
        <v>3</v>
      </c>
      <c r="M65" s="393">
        <v>4</v>
      </c>
      <c r="N65" s="118" t="s">
        <v>45</v>
      </c>
      <c r="O65" s="393">
        <v>50</v>
      </c>
      <c r="P65" s="393">
        <v>0.7</v>
      </c>
      <c r="Q65" s="393">
        <v>0</v>
      </c>
      <c r="R65" s="393">
        <v>1</v>
      </c>
      <c r="S65" s="399" t="b">
        <v>1</v>
      </c>
      <c r="T65" s="393">
        <v>26</v>
      </c>
      <c r="U65" s="118">
        <v>390</v>
      </c>
      <c r="V65" s="118">
        <v>520</v>
      </c>
      <c r="W65" s="393">
        <v>0</v>
      </c>
      <c r="X65" s="393">
        <v>2</v>
      </c>
      <c r="Y65" s="393" t="s">
        <v>38</v>
      </c>
      <c r="Z65" s="476" t="s">
        <v>346</v>
      </c>
      <c r="AA65" s="206" t="s">
        <v>347</v>
      </c>
      <c r="AB65" s="399" t="s">
        <v>348</v>
      </c>
      <c r="AC65" s="393">
        <v>100000</v>
      </c>
      <c r="AD65" s="197">
        <v>1</v>
      </c>
      <c r="AE65" s="197">
        <v>1</v>
      </c>
      <c r="AF65">
        <v>0</v>
      </c>
      <c r="AG65" s="407">
        <v>2</v>
      </c>
    </row>
    <row r="66" spans="1:33" ht="17.25" x14ac:dyDescent="0.3">
      <c r="A66" s="84">
        <v>102404</v>
      </c>
      <c r="B66" s="105" t="s">
        <v>349</v>
      </c>
      <c r="C66" s="105" t="s">
        <v>350</v>
      </c>
      <c r="D66" s="84" t="s">
        <v>33</v>
      </c>
      <c r="E66" s="84">
        <v>2</v>
      </c>
      <c r="F66" s="84" t="s">
        <v>134</v>
      </c>
      <c r="G66" s="118" t="s">
        <v>161</v>
      </c>
      <c r="H66" s="84" t="s">
        <v>107</v>
      </c>
      <c r="I66" s="84">
        <v>4</v>
      </c>
      <c r="J66" s="118">
        <v>4</v>
      </c>
      <c r="K66" s="84">
        <v>0</v>
      </c>
      <c r="L66" s="84">
        <v>3</v>
      </c>
      <c r="M66" s="84">
        <v>4</v>
      </c>
      <c r="N66" s="118" t="s">
        <v>45</v>
      </c>
      <c r="O66" s="84">
        <v>50</v>
      </c>
      <c r="P66" s="84">
        <v>0.7</v>
      </c>
      <c r="Q66" s="84">
        <v>0</v>
      </c>
      <c r="R66" s="84">
        <v>1</v>
      </c>
      <c r="S66" s="43" t="b">
        <v>1</v>
      </c>
      <c r="T66" s="84">
        <v>-2</v>
      </c>
      <c r="U66" s="118">
        <v>-30</v>
      </c>
      <c r="V66" s="118">
        <v>-40</v>
      </c>
      <c r="W66" s="84">
        <v>0</v>
      </c>
      <c r="X66" s="84">
        <v>2</v>
      </c>
      <c r="Y66" s="84" t="s">
        <v>38</v>
      </c>
      <c r="Z66" s="362" t="s">
        <v>351</v>
      </c>
      <c r="AA66" s="206" t="s">
        <v>352</v>
      </c>
      <c r="AB66" s="43" t="s">
        <v>164</v>
      </c>
      <c r="AC66" s="84">
        <v>100000</v>
      </c>
      <c r="AD66" s="197">
        <v>1</v>
      </c>
      <c r="AE66" s="197">
        <v>1</v>
      </c>
      <c r="AF66">
        <v>0</v>
      </c>
      <c r="AG66" s="404">
        <v>2</v>
      </c>
    </row>
    <row r="67" spans="1:33" ht="17.25" x14ac:dyDescent="0.3">
      <c r="A67" s="105">
        <v>102405</v>
      </c>
      <c r="B67" s="105" t="s">
        <v>353</v>
      </c>
      <c r="C67" s="105" t="s">
        <v>354</v>
      </c>
      <c r="D67" s="84" t="s">
        <v>33</v>
      </c>
      <c r="E67" s="43">
        <v>2</v>
      </c>
      <c r="F67" s="43" t="s">
        <v>134</v>
      </c>
      <c r="G67" s="118" t="s">
        <v>179</v>
      </c>
      <c r="H67" s="84" t="s">
        <v>107</v>
      </c>
      <c r="I67" s="43">
        <v>1</v>
      </c>
      <c r="J67" s="118">
        <v>1</v>
      </c>
      <c r="K67" s="43">
        <v>0</v>
      </c>
      <c r="L67" s="43">
        <v>3</v>
      </c>
      <c r="M67" s="43">
        <v>5</v>
      </c>
      <c r="N67" s="118" t="s">
        <v>71</v>
      </c>
      <c r="O67" s="84">
        <v>50</v>
      </c>
      <c r="P67" s="84">
        <v>0.7</v>
      </c>
      <c r="Q67" s="84">
        <v>0</v>
      </c>
      <c r="R67" s="43">
        <v>1</v>
      </c>
      <c r="S67" s="43" t="b">
        <v>1</v>
      </c>
      <c r="T67" s="84">
        <v>65</v>
      </c>
      <c r="U67" s="118">
        <v>975</v>
      </c>
      <c r="V67" s="118">
        <v>1300</v>
      </c>
      <c r="W67" s="84">
        <v>0</v>
      </c>
      <c r="X67" s="43">
        <v>5</v>
      </c>
      <c r="Y67" s="43" t="s">
        <v>38</v>
      </c>
      <c r="Z67" s="362" t="s">
        <v>355</v>
      </c>
      <c r="AA67" s="206" t="s">
        <v>356</v>
      </c>
      <c r="AB67" s="193" t="s">
        <v>306</v>
      </c>
      <c r="AC67" s="43">
        <v>100000</v>
      </c>
      <c r="AD67" s="197">
        <v>1</v>
      </c>
      <c r="AE67" s="197">
        <v>1</v>
      </c>
      <c r="AF67">
        <v>0</v>
      </c>
      <c r="AG67" s="293">
        <v>5</v>
      </c>
    </row>
    <row r="68" spans="1:33" ht="17.25" x14ac:dyDescent="0.3">
      <c r="A68" s="105">
        <v>102504</v>
      </c>
      <c r="B68" s="105" t="s">
        <v>357</v>
      </c>
      <c r="C68" s="105" t="s">
        <v>358</v>
      </c>
      <c r="D68" s="84" t="s">
        <v>33</v>
      </c>
      <c r="E68" s="43">
        <v>2</v>
      </c>
      <c r="F68" s="43" t="s">
        <v>134</v>
      </c>
      <c r="G68" s="118" t="s">
        <v>179</v>
      </c>
      <c r="H68" s="84" t="s">
        <v>107</v>
      </c>
      <c r="I68" s="43">
        <v>1</v>
      </c>
      <c r="J68" s="118">
        <v>1</v>
      </c>
      <c r="K68" s="43">
        <v>0</v>
      </c>
      <c r="L68" s="43">
        <v>3</v>
      </c>
      <c r="M68" s="43">
        <v>5</v>
      </c>
      <c r="N68" s="118" t="s">
        <v>64</v>
      </c>
      <c r="O68" s="84">
        <v>50</v>
      </c>
      <c r="P68" s="84">
        <v>0.7</v>
      </c>
      <c r="Q68" s="84">
        <v>0</v>
      </c>
      <c r="R68" s="43">
        <v>1</v>
      </c>
      <c r="S68" s="43" t="b">
        <v>1</v>
      </c>
      <c r="T68" s="84">
        <v>52</v>
      </c>
      <c r="U68" s="118">
        <v>780</v>
      </c>
      <c r="V68" s="118">
        <v>1040</v>
      </c>
      <c r="W68" s="84">
        <v>0</v>
      </c>
      <c r="X68" s="43">
        <v>4</v>
      </c>
      <c r="Y68" s="43" t="s">
        <v>38</v>
      </c>
      <c r="Z68" s="362" t="s">
        <v>359</v>
      </c>
      <c r="AA68" s="206" t="s">
        <v>360</v>
      </c>
      <c r="AB68" s="193" t="s">
        <v>306</v>
      </c>
      <c r="AC68" s="43">
        <v>100000</v>
      </c>
      <c r="AD68" s="197">
        <v>1</v>
      </c>
      <c r="AE68" s="197">
        <v>1</v>
      </c>
      <c r="AF68">
        <v>0</v>
      </c>
      <c r="AG68" s="293">
        <v>4</v>
      </c>
    </row>
    <row r="69" spans="1:33" ht="17.25" x14ac:dyDescent="0.3">
      <c r="A69" s="118">
        <v>103001</v>
      </c>
      <c r="B69" s="17" t="s">
        <v>361</v>
      </c>
      <c r="C69" s="17" t="s">
        <v>362</v>
      </c>
      <c r="D69" s="118" t="s">
        <v>33</v>
      </c>
      <c r="E69" s="118">
        <v>3</v>
      </c>
      <c r="F69" s="118" t="s">
        <v>363</v>
      </c>
      <c r="G69" s="118" t="s">
        <v>364</v>
      </c>
      <c r="H69" s="118" t="s">
        <v>35</v>
      </c>
      <c r="I69" s="118">
        <v>1</v>
      </c>
      <c r="J69" s="118">
        <v>1</v>
      </c>
      <c r="K69" s="118">
        <v>1</v>
      </c>
      <c r="L69" s="118">
        <v>3</v>
      </c>
      <c r="M69" s="118" t="s">
        <v>36</v>
      </c>
      <c r="N69" s="118" t="s">
        <v>37</v>
      </c>
      <c r="O69" s="118">
        <v>99</v>
      </c>
      <c r="P69" s="118">
        <v>0.9</v>
      </c>
      <c r="Q69" s="118">
        <v>0</v>
      </c>
      <c r="R69" s="118">
        <v>1</v>
      </c>
      <c r="S69" s="25" t="b">
        <v>1</v>
      </c>
      <c r="T69" s="118">
        <v>13</v>
      </c>
      <c r="U69" s="118">
        <v>195</v>
      </c>
      <c r="V69" s="118">
        <v>260</v>
      </c>
      <c r="W69" s="118">
        <v>0</v>
      </c>
      <c r="X69" s="118">
        <v>1</v>
      </c>
      <c r="Y69" s="118" t="s">
        <v>38</v>
      </c>
      <c r="Z69" s="17" t="s">
        <v>365</v>
      </c>
      <c r="AA69" s="206" t="s">
        <v>366</v>
      </c>
      <c r="AB69" s="25" t="s">
        <v>367</v>
      </c>
      <c r="AC69" s="118">
        <v>200000</v>
      </c>
      <c r="AD69" s="197">
        <v>1</v>
      </c>
      <c r="AE69" s="197">
        <v>1</v>
      </c>
      <c r="AF69">
        <v>0</v>
      </c>
      <c r="AG69" s="402">
        <v>1</v>
      </c>
    </row>
    <row r="70" spans="1:33" ht="17.25" x14ac:dyDescent="0.3">
      <c r="A70" s="118">
        <v>103002</v>
      </c>
      <c r="B70" s="17" t="s">
        <v>368</v>
      </c>
      <c r="C70" s="17" t="s">
        <v>369</v>
      </c>
      <c r="D70" s="118" t="s">
        <v>33</v>
      </c>
      <c r="E70" s="118">
        <v>3</v>
      </c>
      <c r="F70" s="118" t="s">
        <v>363</v>
      </c>
      <c r="G70" s="118" t="s">
        <v>370</v>
      </c>
      <c r="H70" s="118" t="s">
        <v>35</v>
      </c>
      <c r="I70" s="118">
        <v>1</v>
      </c>
      <c r="J70" s="118">
        <v>1</v>
      </c>
      <c r="K70" s="118">
        <v>1</v>
      </c>
      <c r="L70" s="118">
        <v>3</v>
      </c>
      <c r="M70" s="118" t="s">
        <v>44</v>
      </c>
      <c r="N70" s="118" t="s">
        <v>45</v>
      </c>
      <c r="O70" s="118">
        <v>99</v>
      </c>
      <c r="P70" s="118">
        <v>0.9</v>
      </c>
      <c r="Q70" s="118">
        <v>0</v>
      </c>
      <c r="R70" s="118">
        <v>1</v>
      </c>
      <c r="S70" s="25" t="b">
        <v>1</v>
      </c>
      <c r="T70" s="118">
        <v>26</v>
      </c>
      <c r="U70" s="118">
        <v>390</v>
      </c>
      <c r="V70" s="118">
        <v>520</v>
      </c>
      <c r="W70" s="118">
        <v>0</v>
      </c>
      <c r="X70" s="118">
        <v>2</v>
      </c>
      <c r="Y70" s="118" t="s">
        <v>38</v>
      </c>
      <c r="Z70" s="17" t="s">
        <v>371</v>
      </c>
      <c r="AA70" s="206" t="s">
        <v>372</v>
      </c>
      <c r="AB70" s="25" t="s">
        <v>373</v>
      </c>
      <c r="AC70" s="118">
        <v>100000</v>
      </c>
      <c r="AD70" s="197">
        <v>1</v>
      </c>
      <c r="AE70" s="197">
        <v>1</v>
      </c>
      <c r="AF70">
        <v>0</v>
      </c>
      <c r="AG70" s="402">
        <v>2</v>
      </c>
    </row>
    <row r="71" spans="1:33" ht="17.25" x14ac:dyDescent="0.3">
      <c r="A71" s="118">
        <v>103003</v>
      </c>
      <c r="B71" s="21" t="s">
        <v>374</v>
      </c>
      <c r="C71" s="21" t="s">
        <v>375</v>
      </c>
      <c r="D71" s="118" t="s">
        <v>33</v>
      </c>
      <c r="E71" s="118">
        <v>3</v>
      </c>
      <c r="F71" s="118" t="s">
        <v>363</v>
      </c>
      <c r="G71" s="118" t="s">
        <v>376</v>
      </c>
      <c r="H71" s="118" t="s">
        <v>35</v>
      </c>
      <c r="I71" s="118">
        <v>1</v>
      </c>
      <c r="J71" s="118">
        <v>1</v>
      </c>
      <c r="K71" s="118">
        <v>1</v>
      </c>
      <c r="L71" s="118">
        <v>3</v>
      </c>
      <c r="M71" s="118" t="s">
        <v>56</v>
      </c>
      <c r="N71" s="118" t="s">
        <v>57</v>
      </c>
      <c r="O71" s="118">
        <v>99</v>
      </c>
      <c r="P71" s="118">
        <v>0.9</v>
      </c>
      <c r="Q71" s="118">
        <v>0</v>
      </c>
      <c r="R71" s="118">
        <v>1</v>
      </c>
      <c r="S71" s="25" t="b">
        <v>1</v>
      </c>
      <c r="T71" s="118">
        <v>39</v>
      </c>
      <c r="U71" s="118">
        <v>585</v>
      </c>
      <c r="V71" s="118">
        <v>780</v>
      </c>
      <c r="W71" s="118">
        <v>0</v>
      </c>
      <c r="X71" s="118">
        <v>3</v>
      </c>
      <c r="Y71" s="118" t="s">
        <v>38</v>
      </c>
      <c r="Z71" s="17" t="s">
        <v>377</v>
      </c>
      <c r="AA71" s="206" t="s">
        <v>378</v>
      </c>
      <c r="AB71" s="25" t="s">
        <v>379</v>
      </c>
      <c r="AC71" s="118">
        <v>300000</v>
      </c>
      <c r="AD71" s="197">
        <v>1</v>
      </c>
      <c r="AE71" s="197">
        <v>1</v>
      </c>
      <c r="AF71">
        <v>0</v>
      </c>
      <c r="AG71" s="402">
        <v>3</v>
      </c>
    </row>
    <row r="72" spans="1:33" ht="17.25" x14ac:dyDescent="0.3">
      <c r="A72" s="118">
        <v>103004</v>
      </c>
      <c r="B72" s="72" t="s">
        <v>380</v>
      </c>
      <c r="C72" s="72" t="s">
        <v>381</v>
      </c>
      <c r="D72" s="118" t="s">
        <v>33</v>
      </c>
      <c r="E72" s="118">
        <v>3</v>
      </c>
      <c r="F72" s="118" t="s">
        <v>363</v>
      </c>
      <c r="G72" s="118" t="s">
        <v>382</v>
      </c>
      <c r="H72" s="118" t="s">
        <v>35</v>
      </c>
      <c r="I72" s="118">
        <v>1</v>
      </c>
      <c r="J72" s="118">
        <v>1</v>
      </c>
      <c r="K72" s="118">
        <v>1</v>
      </c>
      <c r="L72" s="118">
        <v>3</v>
      </c>
      <c r="M72" s="118" t="s">
        <v>63</v>
      </c>
      <c r="N72" s="118" t="s">
        <v>64</v>
      </c>
      <c r="O72" s="118">
        <v>99</v>
      </c>
      <c r="P72" s="118">
        <v>0.9</v>
      </c>
      <c r="Q72" s="118">
        <v>0</v>
      </c>
      <c r="R72" s="118">
        <v>1</v>
      </c>
      <c r="S72" s="25" t="b">
        <v>1</v>
      </c>
      <c r="T72" s="118">
        <v>52</v>
      </c>
      <c r="U72" s="118">
        <v>780</v>
      </c>
      <c r="V72" s="118">
        <v>1040</v>
      </c>
      <c r="W72" s="118">
        <v>0</v>
      </c>
      <c r="X72" s="118">
        <v>4</v>
      </c>
      <c r="Y72" s="118" t="s">
        <v>38</v>
      </c>
      <c r="Z72" s="17" t="s">
        <v>383</v>
      </c>
      <c r="AA72" s="206" t="s">
        <v>384</v>
      </c>
      <c r="AB72" s="25" t="s">
        <v>385</v>
      </c>
      <c r="AC72" s="118">
        <v>300000</v>
      </c>
      <c r="AD72" s="197">
        <v>1</v>
      </c>
      <c r="AE72" s="197">
        <v>1</v>
      </c>
      <c r="AF72">
        <v>0</v>
      </c>
      <c r="AG72" s="402">
        <v>4</v>
      </c>
    </row>
    <row r="73" spans="1:33" ht="17.25" x14ac:dyDescent="0.3">
      <c r="A73" s="118">
        <v>103005</v>
      </c>
      <c r="B73" s="21" t="s">
        <v>386</v>
      </c>
      <c r="C73" s="21" t="s">
        <v>387</v>
      </c>
      <c r="D73" s="118" t="s">
        <v>33</v>
      </c>
      <c r="E73" s="118">
        <v>3</v>
      </c>
      <c r="F73" s="118" t="s">
        <v>363</v>
      </c>
      <c r="G73" s="118" t="s">
        <v>388</v>
      </c>
      <c r="H73" s="118" t="s">
        <v>35</v>
      </c>
      <c r="I73" s="118">
        <v>1</v>
      </c>
      <c r="J73" s="118">
        <v>1</v>
      </c>
      <c r="K73" s="118">
        <v>1</v>
      </c>
      <c r="L73" s="118">
        <v>3</v>
      </c>
      <c r="M73" s="118" t="s">
        <v>70</v>
      </c>
      <c r="N73" s="118" t="s">
        <v>71</v>
      </c>
      <c r="O73" s="118">
        <v>99</v>
      </c>
      <c r="P73" s="118">
        <v>0.9</v>
      </c>
      <c r="Q73" s="118">
        <v>0</v>
      </c>
      <c r="R73" s="118">
        <v>1</v>
      </c>
      <c r="S73" s="25" t="b">
        <v>1</v>
      </c>
      <c r="T73" s="118">
        <v>65</v>
      </c>
      <c r="U73" s="118">
        <v>975</v>
      </c>
      <c r="V73" s="118">
        <v>1300</v>
      </c>
      <c r="W73" s="118">
        <v>0</v>
      </c>
      <c r="X73" s="118">
        <v>5</v>
      </c>
      <c r="Y73" s="118" t="s">
        <v>38</v>
      </c>
      <c r="Z73" s="17" t="s">
        <v>389</v>
      </c>
      <c r="AA73" s="206" t="s">
        <v>390</v>
      </c>
      <c r="AB73" s="118" t="s">
        <v>391</v>
      </c>
      <c r="AC73" s="118">
        <v>300000</v>
      </c>
      <c r="AD73" s="197">
        <v>1</v>
      </c>
      <c r="AE73" s="197">
        <v>1</v>
      </c>
      <c r="AF73">
        <v>0</v>
      </c>
      <c r="AG73" s="402">
        <v>5</v>
      </c>
    </row>
    <row r="74" spans="1:33" ht="17.25" x14ac:dyDescent="0.3">
      <c r="A74" s="118">
        <v>103006</v>
      </c>
      <c r="B74" s="17" t="s">
        <v>392</v>
      </c>
      <c r="C74" s="17" t="s">
        <v>393</v>
      </c>
      <c r="D74" s="118" t="s">
        <v>33</v>
      </c>
      <c r="E74" s="118">
        <v>3</v>
      </c>
      <c r="F74" s="118" t="s">
        <v>363</v>
      </c>
      <c r="G74" s="118" t="s">
        <v>394</v>
      </c>
      <c r="H74" s="118" t="s">
        <v>35</v>
      </c>
      <c r="I74" s="118">
        <v>1</v>
      </c>
      <c r="J74" s="118">
        <v>1</v>
      </c>
      <c r="K74" s="118">
        <v>1</v>
      </c>
      <c r="L74" s="118">
        <v>3</v>
      </c>
      <c r="M74" s="118" t="s">
        <v>70</v>
      </c>
      <c r="N74" s="118" t="s">
        <v>77</v>
      </c>
      <c r="O74" s="118">
        <v>99</v>
      </c>
      <c r="P74" s="118">
        <v>0.9</v>
      </c>
      <c r="Q74" s="118">
        <v>0</v>
      </c>
      <c r="R74" s="118">
        <v>1</v>
      </c>
      <c r="S74" s="25" t="b">
        <v>1</v>
      </c>
      <c r="T74" s="118">
        <v>78</v>
      </c>
      <c r="U74" s="118">
        <v>1170</v>
      </c>
      <c r="V74" s="118">
        <v>1560</v>
      </c>
      <c r="W74" s="118">
        <v>0</v>
      </c>
      <c r="X74" s="118">
        <v>6</v>
      </c>
      <c r="Y74" s="118" t="s">
        <v>38</v>
      </c>
      <c r="Z74" s="17" t="s">
        <v>395</v>
      </c>
      <c r="AA74" s="206" t="s">
        <v>396</v>
      </c>
      <c r="AB74" s="118" t="s">
        <v>397</v>
      </c>
      <c r="AC74" s="118">
        <v>200000</v>
      </c>
      <c r="AD74" s="197">
        <v>1</v>
      </c>
      <c r="AE74" s="197">
        <v>1</v>
      </c>
      <c r="AF74">
        <v>0</v>
      </c>
      <c r="AG74" s="402">
        <v>6</v>
      </c>
    </row>
    <row r="75" spans="1:33" ht="17.25" x14ac:dyDescent="0.3">
      <c r="A75" s="118">
        <v>103007</v>
      </c>
      <c r="B75" s="21" t="s">
        <v>398</v>
      </c>
      <c r="C75" s="21" t="s">
        <v>399</v>
      </c>
      <c r="D75" s="118" t="s">
        <v>33</v>
      </c>
      <c r="E75" s="118">
        <v>3</v>
      </c>
      <c r="F75" s="118" t="s">
        <v>363</v>
      </c>
      <c r="G75" s="118" t="s">
        <v>400</v>
      </c>
      <c r="H75" s="118" t="s">
        <v>35</v>
      </c>
      <c r="I75" s="118">
        <v>1</v>
      </c>
      <c r="J75" s="118">
        <v>1</v>
      </c>
      <c r="K75" s="118">
        <v>1</v>
      </c>
      <c r="L75" s="118">
        <v>3</v>
      </c>
      <c r="M75" s="118" t="s">
        <v>70</v>
      </c>
      <c r="N75" s="118" t="s">
        <v>83</v>
      </c>
      <c r="O75" s="118">
        <v>99</v>
      </c>
      <c r="P75" s="118">
        <v>0.9</v>
      </c>
      <c r="Q75" s="118">
        <v>0</v>
      </c>
      <c r="R75" s="118">
        <v>1</v>
      </c>
      <c r="S75" s="25" t="b">
        <v>1</v>
      </c>
      <c r="T75" s="118">
        <v>91</v>
      </c>
      <c r="U75" s="118">
        <v>1365</v>
      </c>
      <c r="V75" s="118">
        <v>1820</v>
      </c>
      <c r="W75" s="118">
        <v>0</v>
      </c>
      <c r="X75" s="118">
        <v>7</v>
      </c>
      <c r="Y75" s="118" t="s">
        <v>38</v>
      </c>
      <c r="Z75" s="17" t="s">
        <v>401</v>
      </c>
      <c r="AA75" s="206" t="s">
        <v>402</v>
      </c>
      <c r="AB75" s="118" t="s">
        <v>403</v>
      </c>
      <c r="AC75" s="118">
        <v>100000</v>
      </c>
      <c r="AD75" s="197">
        <v>1</v>
      </c>
      <c r="AE75" s="197">
        <v>1</v>
      </c>
      <c r="AF75">
        <v>0</v>
      </c>
      <c r="AG75" s="402">
        <v>7</v>
      </c>
    </row>
    <row r="76" spans="1:33" ht="17.25" x14ac:dyDescent="0.3">
      <c r="A76" s="114">
        <v>103207</v>
      </c>
      <c r="B76" s="359" t="s">
        <v>404</v>
      </c>
      <c r="C76" s="359" t="s">
        <v>405</v>
      </c>
      <c r="D76" s="119" t="s">
        <v>33</v>
      </c>
      <c r="E76" s="119">
        <v>3</v>
      </c>
      <c r="F76" s="119" t="s">
        <v>363</v>
      </c>
      <c r="G76" s="118" t="s">
        <v>400</v>
      </c>
      <c r="H76" s="119" t="s">
        <v>51</v>
      </c>
      <c r="I76" s="119">
        <v>1</v>
      </c>
      <c r="J76" s="118">
        <v>4</v>
      </c>
      <c r="K76" s="119">
        <v>0</v>
      </c>
      <c r="L76" s="119">
        <v>3</v>
      </c>
      <c r="M76" s="119" t="s">
        <v>52</v>
      </c>
      <c r="N76" s="118" t="s">
        <v>83</v>
      </c>
      <c r="O76" s="119">
        <v>99</v>
      </c>
      <c r="P76" s="119">
        <v>0.9</v>
      </c>
      <c r="Q76" s="119">
        <v>0</v>
      </c>
      <c r="R76" s="119">
        <v>1</v>
      </c>
      <c r="S76" s="80" t="b">
        <v>1</v>
      </c>
      <c r="T76" s="119">
        <v>91</v>
      </c>
      <c r="U76" s="118">
        <v>1365</v>
      </c>
      <c r="V76" s="118">
        <v>1820</v>
      </c>
      <c r="W76" s="119">
        <v>0</v>
      </c>
      <c r="X76" s="119">
        <v>7</v>
      </c>
      <c r="Y76" s="119" t="s">
        <v>38</v>
      </c>
      <c r="Z76" s="114" t="s">
        <v>401</v>
      </c>
      <c r="AA76" s="206" t="s">
        <v>406</v>
      </c>
      <c r="AB76" s="119" t="s">
        <v>403</v>
      </c>
      <c r="AC76" s="119">
        <v>100000</v>
      </c>
      <c r="AD76" s="197">
        <v>1</v>
      </c>
      <c r="AE76" s="197">
        <v>1</v>
      </c>
      <c r="AF76">
        <v>0</v>
      </c>
      <c r="AG76" s="403">
        <v>7</v>
      </c>
    </row>
    <row r="77" spans="1:33" ht="17.25" x14ac:dyDescent="0.3">
      <c r="A77" s="17">
        <v>103008</v>
      </c>
      <c r="B77" s="17" t="s">
        <v>407</v>
      </c>
      <c r="C77" s="17" t="s">
        <v>408</v>
      </c>
      <c r="D77" s="118" t="s">
        <v>33</v>
      </c>
      <c r="E77" s="118">
        <v>3</v>
      </c>
      <c r="F77" s="118" t="s">
        <v>363</v>
      </c>
      <c r="G77" s="118" t="s">
        <v>409</v>
      </c>
      <c r="H77" s="118" t="s">
        <v>35</v>
      </c>
      <c r="I77" s="118">
        <v>1</v>
      </c>
      <c r="J77" s="118">
        <v>1</v>
      </c>
      <c r="K77" s="118">
        <v>1</v>
      </c>
      <c r="L77" s="118">
        <v>3</v>
      </c>
      <c r="M77" s="118" t="s">
        <v>70</v>
      </c>
      <c r="N77" s="118" t="s">
        <v>89</v>
      </c>
      <c r="O77" s="118">
        <v>99</v>
      </c>
      <c r="P77" s="118">
        <v>0.9</v>
      </c>
      <c r="Q77" s="118">
        <v>0</v>
      </c>
      <c r="R77" s="118">
        <v>1</v>
      </c>
      <c r="S77" s="25" t="b">
        <v>1</v>
      </c>
      <c r="T77" s="118">
        <v>104</v>
      </c>
      <c r="U77" s="118">
        <v>1560</v>
      </c>
      <c r="V77" s="118">
        <v>2080</v>
      </c>
      <c r="W77" s="118">
        <v>0</v>
      </c>
      <c r="X77" s="118">
        <v>8</v>
      </c>
      <c r="Y77" s="118" t="s">
        <v>38</v>
      </c>
      <c r="Z77" s="415" t="s">
        <v>410</v>
      </c>
      <c r="AA77" s="206" t="s">
        <v>411</v>
      </c>
      <c r="AB77" s="118" t="s">
        <v>412</v>
      </c>
      <c r="AC77" s="118">
        <v>100000</v>
      </c>
      <c r="AD77" s="191">
        <v>1</v>
      </c>
      <c r="AE77" s="191">
        <v>1</v>
      </c>
      <c r="AF77">
        <v>0</v>
      </c>
      <c r="AG77" s="402">
        <v>8</v>
      </c>
    </row>
    <row r="78" spans="1:33" ht="17.25" x14ac:dyDescent="0.3">
      <c r="A78" s="17">
        <v>103009</v>
      </c>
      <c r="B78" s="17" t="s">
        <v>413</v>
      </c>
      <c r="C78" s="17" t="s">
        <v>414</v>
      </c>
      <c r="D78" s="118" t="s">
        <v>33</v>
      </c>
      <c r="E78" s="118">
        <v>3</v>
      </c>
      <c r="F78" s="118" t="s">
        <v>363</v>
      </c>
      <c r="G78" s="118" t="s">
        <v>415</v>
      </c>
      <c r="H78" s="118" t="s">
        <v>35</v>
      </c>
      <c r="I78" s="118">
        <v>1</v>
      </c>
      <c r="J78" s="118">
        <v>1</v>
      </c>
      <c r="K78" s="118">
        <v>1</v>
      </c>
      <c r="L78" s="118">
        <v>3</v>
      </c>
      <c r="M78" s="118" t="s">
        <v>70</v>
      </c>
      <c r="N78" s="118" t="s">
        <v>95</v>
      </c>
      <c r="O78" s="118">
        <v>99</v>
      </c>
      <c r="P78" s="118">
        <v>0.9</v>
      </c>
      <c r="Q78" s="118">
        <v>0</v>
      </c>
      <c r="R78" s="118">
        <v>1</v>
      </c>
      <c r="S78" s="25" t="b">
        <v>1</v>
      </c>
      <c r="T78" s="118">
        <v>117</v>
      </c>
      <c r="U78" s="118">
        <v>1755</v>
      </c>
      <c r="V78" s="118">
        <v>2340</v>
      </c>
      <c r="W78" s="118">
        <v>0</v>
      </c>
      <c r="X78" s="118">
        <v>9</v>
      </c>
      <c r="Y78" s="118" t="s">
        <v>38</v>
      </c>
      <c r="Z78" s="415" t="s">
        <v>416</v>
      </c>
      <c r="AA78" s="206" t="s">
        <v>417</v>
      </c>
      <c r="AB78" s="118" t="s">
        <v>418</v>
      </c>
      <c r="AC78" s="118">
        <v>100000</v>
      </c>
      <c r="AD78" s="191">
        <v>1</v>
      </c>
      <c r="AE78" s="191">
        <v>1</v>
      </c>
      <c r="AF78">
        <v>0</v>
      </c>
      <c r="AG78" s="402">
        <v>9</v>
      </c>
    </row>
    <row r="79" spans="1:33" ht="17.25" x14ac:dyDescent="0.3">
      <c r="A79" s="17">
        <v>103010</v>
      </c>
      <c r="B79" s="17" t="s">
        <v>419</v>
      </c>
      <c r="C79" s="17" t="s">
        <v>420</v>
      </c>
      <c r="D79" s="118" t="s">
        <v>33</v>
      </c>
      <c r="E79" s="118">
        <v>3</v>
      </c>
      <c r="F79" s="118" t="s">
        <v>363</v>
      </c>
      <c r="G79" s="118" t="s">
        <v>421</v>
      </c>
      <c r="H79" s="118" t="s">
        <v>35</v>
      </c>
      <c r="I79" s="118">
        <v>1</v>
      </c>
      <c r="J79" s="118">
        <v>1</v>
      </c>
      <c r="K79" s="118">
        <v>1</v>
      </c>
      <c r="L79" s="118">
        <v>3</v>
      </c>
      <c r="M79" s="118" t="s">
        <v>70</v>
      </c>
      <c r="N79" s="118" t="s">
        <v>101</v>
      </c>
      <c r="O79" s="118">
        <v>99</v>
      </c>
      <c r="P79" s="118">
        <v>0.9</v>
      </c>
      <c r="Q79" s="118">
        <v>0</v>
      </c>
      <c r="R79" s="118">
        <v>1</v>
      </c>
      <c r="S79" s="25" t="b">
        <v>1</v>
      </c>
      <c r="T79" s="118">
        <v>130</v>
      </c>
      <c r="U79" s="118">
        <v>1950</v>
      </c>
      <c r="V79" s="118">
        <v>2600</v>
      </c>
      <c r="W79" s="118">
        <v>0</v>
      </c>
      <c r="X79" s="118">
        <v>10</v>
      </c>
      <c r="Y79" s="118" t="s">
        <v>38</v>
      </c>
      <c r="Z79" s="415" t="s">
        <v>422</v>
      </c>
      <c r="AA79" s="206" t="s">
        <v>423</v>
      </c>
      <c r="AB79" s="118" t="s">
        <v>424</v>
      </c>
      <c r="AC79" s="118">
        <v>100000</v>
      </c>
      <c r="AD79" s="191">
        <v>1</v>
      </c>
      <c r="AE79" s="191">
        <v>1</v>
      </c>
      <c r="AF79">
        <v>0</v>
      </c>
      <c r="AG79" s="402">
        <v>10</v>
      </c>
    </row>
    <row r="80" spans="1:33" ht="17.25" x14ac:dyDescent="0.3">
      <c r="A80" s="119">
        <v>103208</v>
      </c>
      <c r="B80" s="114" t="s">
        <v>425</v>
      </c>
      <c r="C80" s="114" t="s">
        <v>426</v>
      </c>
      <c r="D80" s="119" t="s">
        <v>33</v>
      </c>
      <c r="E80" s="119">
        <v>3</v>
      </c>
      <c r="F80" s="119" t="s">
        <v>363</v>
      </c>
      <c r="G80" s="119" t="s">
        <v>409</v>
      </c>
      <c r="H80" s="119" t="s">
        <v>51</v>
      </c>
      <c r="I80" s="119">
        <v>1</v>
      </c>
      <c r="J80" s="118">
        <v>4</v>
      </c>
      <c r="K80" s="119">
        <v>0</v>
      </c>
      <c r="L80" s="119">
        <v>3</v>
      </c>
      <c r="M80" s="119" t="s">
        <v>52</v>
      </c>
      <c r="N80" s="118" t="s">
        <v>89</v>
      </c>
      <c r="O80" s="119">
        <v>99</v>
      </c>
      <c r="P80" s="119">
        <v>0.9</v>
      </c>
      <c r="Q80" s="119">
        <v>0</v>
      </c>
      <c r="R80" s="119">
        <v>1</v>
      </c>
      <c r="S80" s="80" t="b">
        <v>1</v>
      </c>
      <c r="T80" s="119">
        <v>104</v>
      </c>
      <c r="U80" s="118">
        <v>1560</v>
      </c>
      <c r="V80" s="118">
        <v>2080</v>
      </c>
      <c r="W80" s="119">
        <v>0</v>
      </c>
      <c r="X80" s="119">
        <v>8</v>
      </c>
      <c r="Y80" s="119" t="s">
        <v>38</v>
      </c>
      <c r="Z80" s="473" t="s">
        <v>410</v>
      </c>
      <c r="AA80" s="206" t="s">
        <v>427</v>
      </c>
      <c r="AB80" s="80" t="s">
        <v>412</v>
      </c>
      <c r="AC80" s="119">
        <v>100000</v>
      </c>
      <c r="AD80" s="92">
        <v>1</v>
      </c>
      <c r="AE80" s="92">
        <v>1</v>
      </c>
      <c r="AF80">
        <v>0</v>
      </c>
      <c r="AG80" s="403">
        <v>8</v>
      </c>
    </row>
    <row r="81" spans="1:33" ht="17.25" x14ac:dyDescent="0.3">
      <c r="A81" s="119">
        <v>103209</v>
      </c>
      <c r="B81" s="114" t="s">
        <v>428</v>
      </c>
      <c r="C81" s="114" t="s">
        <v>429</v>
      </c>
      <c r="D81" s="119" t="s">
        <v>33</v>
      </c>
      <c r="E81" s="119">
        <v>3</v>
      </c>
      <c r="F81" s="119" t="s">
        <v>363</v>
      </c>
      <c r="G81" s="119" t="s">
        <v>415</v>
      </c>
      <c r="H81" s="119" t="s">
        <v>51</v>
      </c>
      <c r="I81" s="119">
        <v>1</v>
      </c>
      <c r="J81" s="118">
        <v>4</v>
      </c>
      <c r="K81" s="119">
        <v>0</v>
      </c>
      <c r="L81" s="119">
        <v>3</v>
      </c>
      <c r="M81" s="119" t="s">
        <v>52</v>
      </c>
      <c r="N81" s="118" t="s">
        <v>95</v>
      </c>
      <c r="O81" s="119">
        <v>99</v>
      </c>
      <c r="P81" s="119">
        <v>0.9</v>
      </c>
      <c r="Q81" s="119">
        <v>0</v>
      </c>
      <c r="R81" s="119">
        <v>1</v>
      </c>
      <c r="S81" s="80" t="b">
        <v>1</v>
      </c>
      <c r="T81" s="119">
        <v>117</v>
      </c>
      <c r="U81" s="118">
        <v>1755</v>
      </c>
      <c r="V81" s="118">
        <v>2340</v>
      </c>
      <c r="W81" s="119">
        <v>0</v>
      </c>
      <c r="X81" s="119">
        <v>9</v>
      </c>
      <c r="Y81" s="119" t="s">
        <v>38</v>
      </c>
      <c r="Z81" s="473" t="s">
        <v>416</v>
      </c>
      <c r="AA81" s="206" t="s">
        <v>430</v>
      </c>
      <c r="AB81" s="80" t="s">
        <v>418</v>
      </c>
      <c r="AC81" s="119">
        <v>100000</v>
      </c>
      <c r="AD81" s="92">
        <v>1</v>
      </c>
      <c r="AE81" s="92">
        <v>1</v>
      </c>
      <c r="AF81">
        <v>0</v>
      </c>
      <c r="AG81" s="403">
        <v>9</v>
      </c>
    </row>
    <row r="82" spans="1:33" ht="17.25" x14ac:dyDescent="0.3">
      <c r="A82" s="119">
        <v>103210</v>
      </c>
      <c r="B82" s="114" t="s">
        <v>431</v>
      </c>
      <c r="C82" s="114" t="s">
        <v>432</v>
      </c>
      <c r="D82" s="119" t="s">
        <v>33</v>
      </c>
      <c r="E82" s="119">
        <v>3</v>
      </c>
      <c r="F82" s="119" t="s">
        <v>363</v>
      </c>
      <c r="G82" s="119" t="s">
        <v>421</v>
      </c>
      <c r="H82" s="119" t="s">
        <v>51</v>
      </c>
      <c r="I82" s="119">
        <v>1</v>
      </c>
      <c r="J82" s="118">
        <v>4</v>
      </c>
      <c r="K82" s="119">
        <v>0</v>
      </c>
      <c r="L82" s="119">
        <v>3</v>
      </c>
      <c r="M82" s="119" t="s">
        <v>52</v>
      </c>
      <c r="N82" s="118" t="s">
        <v>101</v>
      </c>
      <c r="O82" s="119">
        <v>99</v>
      </c>
      <c r="P82" s="119">
        <v>0.9</v>
      </c>
      <c r="Q82" s="119">
        <v>0</v>
      </c>
      <c r="R82" s="119">
        <v>1</v>
      </c>
      <c r="S82" s="80" t="b">
        <v>1</v>
      </c>
      <c r="T82" s="119">
        <v>130</v>
      </c>
      <c r="U82" s="118">
        <v>1950</v>
      </c>
      <c r="V82" s="118">
        <v>2600</v>
      </c>
      <c r="W82" s="119">
        <v>0</v>
      </c>
      <c r="X82" s="119">
        <v>10</v>
      </c>
      <c r="Y82" s="119" t="s">
        <v>38</v>
      </c>
      <c r="Z82" s="473" t="s">
        <v>422</v>
      </c>
      <c r="AA82" s="206" t="s">
        <v>433</v>
      </c>
      <c r="AB82" s="80" t="s">
        <v>424</v>
      </c>
      <c r="AC82" s="119">
        <v>100000</v>
      </c>
      <c r="AD82" s="92">
        <v>1</v>
      </c>
      <c r="AE82" s="92">
        <v>1</v>
      </c>
      <c r="AF82">
        <v>0</v>
      </c>
      <c r="AG82" s="403">
        <v>10</v>
      </c>
    </row>
    <row r="83" spans="1:33" ht="17.25" x14ac:dyDescent="0.3">
      <c r="A83" s="84">
        <v>103202</v>
      </c>
      <c r="B83" s="105" t="s">
        <v>434</v>
      </c>
      <c r="C83" s="105" t="s">
        <v>435</v>
      </c>
      <c r="D83" s="84" t="s">
        <v>33</v>
      </c>
      <c r="E83" s="84">
        <v>3</v>
      </c>
      <c r="F83" s="84" t="s">
        <v>363</v>
      </c>
      <c r="G83" s="118" t="s">
        <v>394</v>
      </c>
      <c r="H83" s="84" t="s">
        <v>107</v>
      </c>
      <c r="I83" s="84">
        <v>4</v>
      </c>
      <c r="J83" s="118">
        <v>4</v>
      </c>
      <c r="K83" s="84">
        <v>0</v>
      </c>
      <c r="L83" s="84">
        <v>3</v>
      </c>
      <c r="M83" s="84">
        <v>4</v>
      </c>
      <c r="N83" s="118" t="s">
        <v>45</v>
      </c>
      <c r="O83" s="84">
        <v>99</v>
      </c>
      <c r="P83" s="84">
        <v>0.9</v>
      </c>
      <c r="Q83" s="84">
        <v>0</v>
      </c>
      <c r="R83" s="84">
        <v>1</v>
      </c>
      <c r="S83" s="43" t="b">
        <v>1</v>
      </c>
      <c r="T83" s="84">
        <v>26</v>
      </c>
      <c r="U83" s="118">
        <v>390</v>
      </c>
      <c r="V83" s="118">
        <v>520</v>
      </c>
      <c r="W83" s="84">
        <v>0</v>
      </c>
      <c r="X83" s="84">
        <v>2</v>
      </c>
      <c r="Y83" s="84" t="s">
        <v>38</v>
      </c>
      <c r="Z83" s="362" t="s">
        <v>108</v>
      </c>
      <c r="AA83" s="206" t="s">
        <v>436</v>
      </c>
      <c r="AB83" s="43" t="s">
        <v>397</v>
      </c>
      <c r="AC83" s="84">
        <v>100000</v>
      </c>
      <c r="AD83" s="197">
        <v>1</v>
      </c>
      <c r="AE83" s="197">
        <v>1</v>
      </c>
      <c r="AF83">
        <v>0</v>
      </c>
      <c r="AG83" s="404">
        <v>2</v>
      </c>
    </row>
    <row r="84" spans="1:33" ht="17.25" x14ac:dyDescent="0.3">
      <c r="A84" s="391">
        <v>103203</v>
      </c>
      <c r="B84" s="392" t="s">
        <v>437</v>
      </c>
      <c r="C84" s="392" t="s">
        <v>438</v>
      </c>
      <c r="D84" s="391" t="s">
        <v>33</v>
      </c>
      <c r="E84" s="391">
        <v>3</v>
      </c>
      <c r="F84" s="391" t="s">
        <v>363</v>
      </c>
      <c r="G84" s="118" t="s">
        <v>364</v>
      </c>
      <c r="H84" s="391" t="s">
        <v>112</v>
      </c>
      <c r="I84" s="391">
        <v>4</v>
      </c>
      <c r="J84" s="118">
        <v>4</v>
      </c>
      <c r="K84" s="391">
        <v>0</v>
      </c>
      <c r="L84" s="391">
        <v>3</v>
      </c>
      <c r="M84" s="391">
        <v>4</v>
      </c>
      <c r="N84" s="118" t="s">
        <v>57</v>
      </c>
      <c r="O84" s="391">
        <v>99</v>
      </c>
      <c r="P84" s="391">
        <v>0.9</v>
      </c>
      <c r="Q84" s="391">
        <v>0</v>
      </c>
      <c r="R84" s="391">
        <v>1</v>
      </c>
      <c r="S84" s="397" t="b">
        <v>1</v>
      </c>
      <c r="T84" s="391">
        <v>39</v>
      </c>
      <c r="U84" s="118">
        <v>585</v>
      </c>
      <c r="V84" s="118">
        <v>780</v>
      </c>
      <c r="W84" s="391">
        <v>0</v>
      </c>
      <c r="X84" s="391">
        <v>3</v>
      </c>
      <c r="Y84" s="391" t="s">
        <v>38</v>
      </c>
      <c r="Z84" s="391" t="s">
        <v>439</v>
      </c>
      <c r="AA84" s="206" t="s">
        <v>440</v>
      </c>
      <c r="AB84" s="397" t="s">
        <v>367</v>
      </c>
      <c r="AC84" s="391">
        <v>100000</v>
      </c>
      <c r="AD84" s="197">
        <v>1</v>
      </c>
      <c r="AE84" s="197">
        <v>1</v>
      </c>
      <c r="AF84">
        <v>0</v>
      </c>
      <c r="AG84" s="405">
        <v>3</v>
      </c>
    </row>
    <row r="85" spans="1:33" ht="17.25" x14ac:dyDescent="0.3">
      <c r="A85" s="391">
        <v>103204</v>
      </c>
      <c r="B85" s="123" t="s">
        <v>441</v>
      </c>
      <c r="C85" s="123" t="s">
        <v>442</v>
      </c>
      <c r="D85" s="391" t="s">
        <v>33</v>
      </c>
      <c r="E85" s="391">
        <v>3</v>
      </c>
      <c r="F85" s="391" t="s">
        <v>363</v>
      </c>
      <c r="G85" s="118" t="s">
        <v>382</v>
      </c>
      <c r="H85" s="391" t="s">
        <v>112</v>
      </c>
      <c r="I85" s="391">
        <v>5</v>
      </c>
      <c r="J85" s="118">
        <v>5</v>
      </c>
      <c r="K85" s="391">
        <v>0</v>
      </c>
      <c r="L85" s="391">
        <v>3</v>
      </c>
      <c r="M85" s="391">
        <v>5</v>
      </c>
      <c r="N85" s="118" t="s">
        <v>64</v>
      </c>
      <c r="O85" s="391">
        <v>99</v>
      </c>
      <c r="P85" s="391">
        <v>0.9</v>
      </c>
      <c r="Q85" s="391">
        <v>0</v>
      </c>
      <c r="R85" s="391">
        <v>1</v>
      </c>
      <c r="S85" s="397" t="b">
        <v>1</v>
      </c>
      <c r="T85" s="391">
        <v>52</v>
      </c>
      <c r="U85" s="118">
        <v>780</v>
      </c>
      <c r="V85" s="118">
        <v>1040</v>
      </c>
      <c r="W85" s="391">
        <v>0</v>
      </c>
      <c r="X85" s="391">
        <v>4</v>
      </c>
      <c r="Y85" s="391" t="s">
        <v>38</v>
      </c>
      <c r="Z85" s="391" t="s">
        <v>443</v>
      </c>
      <c r="AA85" s="206" t="s">
        <v>444</v>
      </c>
      <c r="AB85" s="397" t="s">
        <v>385</v>
      </c>
      <c r="AC85" s="391">
        <v>100000</v>
      </c>
      <c r="AD85" s="197">
        <v>1</v>
      </c>
      <c r="AE85" s="197">
        <v>1</v>
      </c>
      <c r="AF85">
        <v>0</v>
      </c>
      <c r="AG85" s="405">
        <v>4</v>
      </c>
    </row>
    <row r="86" spans="1:33" ht="17.25" x14ac:dyDescent="0.3">
      <c r="A86" s="118">
        <v>104001</v>
      </c>
      <c r="B86" s="17" t="s">
        <v>445</v>
      </c>
      <c r="C86" s="17" t="s">
        <v>446</v>
      </c>
      <c r="D86" s="118" t="s">
        <v>33</v>
      </c>
      <c r="E86" s="118">
        <v>4</v>
      </c>
      <c r="F86" s="118" t="s">
        <v>447</v>
      </c>
      <c r="G86" s="118" t="s">
        <v>448</v>
      </c>
      <c r="H86" s="118" t="s">
        <v>35</v>
      </c>
      <c r="I86" s="118">
        <v>1</v>
      </c>
      <c r="J86" s="118">
        <v>1</v>
      </c>
      <c r="K86" s="118">
        <v>1</v>
      </c>
      <c r="L86" s="118">
        <v>3</v>
      </c>
      <c r="M86" s="118" t="s">
        <v>36</v>
      </c>
      <c r="N86" s="118" t="s">
        <v>37</v>
      </c>
      <c r="O86" s="118">
        <v>50</v>
      </c>
      <c r="P86" s="118">
        <v>0.6</v>
      </c>
      <c r="Q86" s="118">
        <v>0</v>
      </c>
      <c r="R86" s="118">
        <v>1</v>
      </c>
      <c r="S86" s="25" t="b">
        <v>1</v>
      </c>
      <c r="T86" s="118">
        <v>13</v>
      </c>
      <c r="U86" s="118">
        <v>195</v>
      </c>
      <c r="V86" s="118">
        <v>260</v>
      </c>
      <c r="W86" s="118">
        <v>0</v>
      </c>
      <c r="X86" s="118">
        <v>1</v>
      </c>
      <c r="Y86" s="118" t="s">
        <v>38</v>
      </c>
      <c r="Z86" s="415" t="s">
        <v>449</v>
      </c>
      <c r="AA86" s="206" t="s">
        <v>450</v>
      </c>
      <c r="AB86" s="25" t="s">
        <v>451</v>
      </c>
      <c r="AC86" s="118">
        <v>100000</v>
      </c>
      <c r="AD86" s="197">
        <v>1</v>
      </c>
      <c r="AE86" s="197">
        <v>1</v>
      </c>
      <c r="AF86">
        <v>0</v>
      </c>
      <c r="AG86" s="402">
        <v>1</v>
      </c>
    </row>
    <row r="87" spans="1:33" ht="17.25" x14ac:dyDescent="0.3">
      <c r="A87" s="119">
        <v>104201</v>
      </c>
      <c r="B87" s="114" t="s">
        <v>452</v>
      </c>
      <c r="C87" s="114" t="s">
        <v>453</v>
      </c>
      <c r="D87" s="119" t="s">
        <v>33</v>
      </c>
      <c r="E87" s="119">
        <v>4</v>
      </c>
      <c r="F87" s="119" t="s">
        <v>447</v>
      </c>
      <c r="G87" s="119" t="s">
        <v>448</v>
      </c>
      <c r="H87" s="119" t="s">
        <v>51</v>
      </c>
      <c r="I87" s="119">
        <v>1</v>
      </c>
      <c r="J87" s="118">
        <v>3</v>
      </c>
      <c r="K87" s="119">
        <v>0</v>
      </c>
      <c r="L87" s="119">
        <v>3</v>
      </c>
      <c r="M87" s="119" t="s">
        <v>52</v>
      </c>
      <c r="N87" s="118" t="s">
        <v>37</v>
      </c>
      <c r="O87" s="119">
        <v>50</v>
      </c>
      <c r="P87" s="119">
        <v>0.6</v>
      </c>
      <c r="Q87" s="119">
        <v>0</v>
      </c>
      <c r="R87" s="119">
        <v>1</v>
      </c>
      <c r="S87" s="80" t="b">
        <v>1</v>
      </c>
      <c r="T87" s="119">
        <v>13</v>
      </c>
      <c r="U87" s="118">
        <v>195</v>
      </c>
      <c r="V87" s="118">
        <v>260</v>
      </c>
      <c r="W87" s="119">
        <v>0</v>
      </c>
      <c r="X87" s="119">
        <v>1</v>
      </c>
      <c r="Y87" s="119" t="s">
        <v>38</v>
      </c>
      <c r="Z87" s="473" t="s">
        <v>449</v>
      </c>
      <c r="AA87" s="206" t="s">
        <v>454</v>
      </c>
      <c r="AB87" s="80" t="s">
        <v>451</v>
      </c>
      <c r="AC87" s="119">
        <v>100000</v>
      </c>
      <c r="AD87" s="92">
        <v>1</v>
      </c>
      <c r="AE87" s="92">
        <v>1</v>
      </c>
      <c r="AF87">
        <v>0</v>
      </c>
      <c r="AG87" s="403">
        <v>1</v>
      </c>
    </row>
    <row r="88" spans="1:33" ht="17.25" x14ac:dyDescent="0.3">
      <c r="A88" s="118">
        <v>104002</v>
      </c>
      <c r="B88" s="17" t="s">
        <v>455</v>
      </c>
      <c r="C88" s="17" t="s">
        <v>456</v>
      </c>
      <c r="D88" s="118" t="s">
        <v>33</v>
      </c>
      <c r="E88" s="118">
        <v>4</v>
      </c>
      <c r="F88" s="118" t="s">
        <v>447</v>
      </c>
      <c r="G88" s="118" t="s">
        <v>457</v>
      </c>
      <c r="H88" s="118" t="s">
        <v>35</v>
      </c>
      <c r="I88" s="118">
        <v>1</v>
      </c>
      <c r="J88" s="118">
        <v>1</v>
      </c>
      <c r="K88" s="118">
        <v>1</v>
      </c>
      <c r="L88" s="118">
        <v>3</v>
      </c>
      <c r="M88" s="118" t="s">
        <v>44</v>
      </c>
      <c r="N88" s="118" t="s">
        <v>45</v>
      </c>
      <c r="O88" s="118">
        <v>50</v>
      </c>
      <c r="P88" s="118">
        <v>0.6</v>
      </c>
      <c r="Q88" s="118">
        <v>0</v>
      </c>
      <c r="R88" s="118">
        <v>1</v>
      </c>
      <c r="S88" s="25" t="b">
        <v>1</v>
      </c>
      <c r="T88" s="118">
        <v>26</v>
      </c>
      <c r="U88" s="118">
        <v>390</v>
      </c>
      <c r="V88" s="118">
        <v>520</v>
      </c>
      <c r="W88" s="118">
        <v>0</v>
      </c>
      <c r="X88" s="118">
        <v>2</v>
      </c>
      <c r="Y88" s="118" t="s">
        <v>38</v>
      </c>
      <c r="Z88" s="415" t="s">
        <v>458</v>
      </c>
      <c r="AA88" s="206" t="s">
        <v>459</v>
      </c>
      <c r="AB88" s="25" t="s">
        <v>460</v>
      </c>
      <c r="AC88" s="118">
        <v>100000</v>
      </c>
      <c r="AD88" s="197">
        <v>1</v>
      </c>
      <c r="AE88" s="197">
        <v>1</v>
      </c>
      <c r="AF88">
        <v>0</v>
      </c>
      <c r="AG88" s="402">
        <v>2</v>
      </c>
    </row>
    <row r="89" spans="1:33" ht="17.25" x14ac:dyDescent="0.3">
      <c r="A89" s="118">
        <v>104003</v>
      </c>
      <c r="B89" s="17" t="s">
        <v>461</v>
      </c>
      <c r="C89" s="17" t="s">
        <v>462</v>
      </c>
      <c r="D89" s="118" t="s">
        <v>33</v>
      </c>
      <c r="E89" s="118">
        <v>4</v>
      </c>
      <c r="F89" s="118" t="s">
        <v>447</v>
      </c>
      <c r="G89" s="118" t="s">
        <v>463</v>
      </c>
      <c r="H89" s="118" t="s">
        <v>35</v>
      </c>
      <c r="I89" s="118">
        <v>1</v>
      </c>
      <c r="J89" s="118">
        <v>1</v>
      </c>
      <c r="K89" s="118">
        <v>1</v>
      </c>
      <c r="L89" s="118">
        <v>3</v>
      </c>
      <c r="M89" s="118" t="s">
        <v>56</v>
      </c>
      <c r="N89" s="118" t="s">
        <v>57</v>
      </c>
      <c r="O89" s="118">
        <v>50</v>
      </c>
      <c r="P89" s="118">
        <v>0.6</v>
      </c>
      <c r="Q89" s="118">
        <v>0</v>
      </c>
      <c r="R89" s="118">
        <v>1</v>
      </c>
      <c r="S89" s="25" t="b">
        <v>1</v>
      </c>
      <c r="T89" s="118">
        <v>39</v>
      </c>
      <c r="U89" s="118">
        <v>585</v>
      </c>
      <c r="V89" s="118">
        <v>780</v>
      </c>
      <c r="W89" s="118">
        <v>0</v>
      </c>
      <c r="X89" s="118">
        <v>3</v>
      </c>
      <c r="Y89" s="118" t="s">
        <v>38</v>
      </c>
      <c r="Z89" s="415" t="s">
        <v>464</v>
      </c>
      <c r="AA89" s="206" t="s">
        <v>465</v>
      </c>
      <c r="AB89" s="25" t="s">
        <v>466</v>
      </c>
      <c r="AC89" s="118">
        <v>300000</v>
      </c>
      <c r="AD89" s="197">
        <v>1</v>
      </c>
      <c r="AE89" s="197">
        <v>1</v>
      </c>
      <c r="AF89">
        <v>0</v>
      </c>
      <c r="AG89" s="402">
        <v>3</v>
      </c>
    </row>
    <row r="90" spans="1:33" ht="17.25" x14ac:dyDescent="0.3">
      <c r="A90" s="118">
        <v>104004</v>
      </c>
      <c r="B90" s="71" t="s">
        <v>467</v>
      </c>
      <c r="C90" s="71" t="s">
        <v>468</v>
      </c>
      <c r="D90" s="118" t="s">
        <v>33</v>
      </c>
      <c r="E90" s="118">
        <v>4</v>
      </c>
      <c r="F90" s="118" t="s">
        <v>447</v>
      </c>
      <c r="G90" s="118" t="s">
        <v>469</v>
      </c>
      <c r="H90" s="118" t="s">
        <v>35</v>
      </c>
      <c r="I90" s="118">
        <v>1</v>
      </c>
      <c r="J90" s="118">
        <v>1</v>
      </c>
      <c r="K90" s="118">
        <v>1</v>
      </c>
      <c r="L90" s="118">
        <v>3</v>
      </c>
      <c r="M90" s="118" t="s">
        <v>63</v>
      </c>
      <c r="N90" s="118" t="s">
        <v>64</v>
      </c>
      <c r="O90" s="118">
        <v>50</v>
      </c>
      <c r="P90" s="118">
        <v>0.6</v>
      </c>
      <c r="Q90" s="118">
        <v>0</v>
      </c>
      <c r="R90" s="118">
        <v>1</v>
      </c>
      <c r="S90" s="25" t="b">
        <v>1</v>
      </c>
      <c r="T90" s="118">
        <v>52</v>
      </c>
      <c r="U90" s="118">
        <v>780</v>
      </c>
      <c r="V90" s="118">
        <v>1040</v>
      </c>
      <c r="W90" s="118">
        <v>0</v>
      </c>
      <c r="X90" s="118">
        <v>4</v>
      </c>
      <c r="Y90" s="118" t="s">
        <v>38</v>
      </c>
      <c r="Z90" s="415" t="s">
        <v>470</v>
      </c>
      <c r="AA90" s="206" t="s">
        <v>471</v>
      </c>
      <c r="AB90" s="25" t="s">
        <v>472</v>
      </c>
      <c r="AC90" s="118">
        <v>300000</v>
      </c>
      <c r="AD90" s="197">
        <v>1</v>
      </c>
      <c r="AE90" s="197">
        <v>1</v>
      </c>
      <c r="AF90">
        <v>0</v>
      </c>
      <c r="AG90" s="402">
        <v>4</v>
      </c>
    </row>
    <row r="91" spans="1:33" ht="17.25" x14ac:dyDescent="0.3">
      <c r="A91" s="118">
        <v>104005</v>
      </c>
      <c r="B91" s="21" t="s">
        <v>473</v>
      </c>
      <c r="C91" s="21" t="s">
        <v>474</v>
      </c>
      <c r="D91" s="118" t="s">
        <v>33</v>
      </c>
      <c r="E91" s="118">
        <v>4</v>
      </c>
      <c r="F91" s="118" t="s">
        <v>447</v>
      </c>
      <c r="G91" s="118" t="s">
        <v>475</v>
      </c>
      <c r="H91" s="118" t="s">
        <v>35</v>
      </c>
      <c r="I91" s="118">
        <v>1</v>
      </c>
      <c r="J91" s="118">
        <v>1</v>
      </c>
      <c r="K91" s="118">
        <v>1</v>
      </c>
      <c r="L91" s="118">
        <v>3</v>
      </c>
      <c r="M91" s="118" t="s">
        <v>70</v>
      </c>
      <c r="N91" s="118" t="s">
        <v>71</v>
      </c>
      <c r="O91" s="118">
        <v>50</v>
      </c>
      <c r="P91" s="118">
        <v>0.6</v>
      </c>
      <c r="Q91" s="118">
        <v>0</v>
      </c>
      <c r="R91" s="118">
        <v>1</v>
      </c>
      <c r="S91" s="25" t="b">
        <v>1</v>
      </c>
      <c r="T91" s="118">
        <v>65</v>
      </c>
      <c r="U91" s="118">
        <v>975</v>
      </c>
      <c r="V91" s="118">
        <v>1300</v>
      </c>
      <c r="W91" s="118">
        <v>0</v>
      </c>
      <c r="X91" s="118">
        <v>5</v>
      </c>
      <c r="Y91" s="118" t="s">
        <v>38</v>
      </c>
      <c r="Z91" s="415" t="s">
        <v>476</v>
      </c>
      <c r="AA91" s="206" t="s">
        <v>477</v>
      </c>
      <c r="AB91" s="118" t="s">
        <v>478</v>
      </c>
      <c r="AC91" s="118">
        <v>300000</v>
      </c>
      <c r="AD91" s="197">
        <v>1</v>
      </c>
      <c r="AE91" s="197">
        <v>1</v>
      </c>
      <c r="AF91">
        <v>0</v>
      </c>
      <c r="AG91" s="402">
        <v>5</v>
      </c>
    </row>
    <row r="92" spans="1:33" ht="17.25" x14ac:dyDescent="0.3">
      <c r="A92" s="118">
        <v>104006</v>
      </c>
      <c r="B92" s="17" t="s">
        <v>479</v>
      </c>
      <c r="C92" s="17" t="s">
        <v>480</v>
      </c>
      <c r="D92" s="118" t="s">
        <v>33</v>
      </c>
      <c r="E92" s="118">
        <v>4</v>
      </c>
      <c r="F92" s="118" t="s">
        <v>447</v>
      </c>
      <c r="G92" s="118" t="s">
        <v>481</v>
      </c>
      <c r="H92" s="118" t="s">
        <v>35</v>
      </c>
      <c r="I92" s="118">
        <v>1</v>
      </c>
      <c r="J92" s="118">
        <v>1</v>
      </c>
      <c r="K92" s="118">
        <v>1</v>
      </c>
      <c r="L92" s="118">
        <v>3</v>
      </c>
      <c r="M92" s="118" t="s">
        <v>70</v>
      </c>
      <c r="N92" s="118" t="s">
        <v>77</v>
      </c>
      <c r="O92" s="118">
        <v>50</v>
      </c>
      <c r="P92" s="118">
        <v>0.6</v>
      </c>
      <c r="Q92" s="118">
        <v>0</v>
      </c>
      <c r="R92" s="118">
        <v>1</v>
      </c>
      <c r="S92" s="25" t="b">
        <v>1</v>
      </c>
      <c r="T92" s="118">
        <v>78</v>
      </c>
      <c r="U92" s="118">
        <v>1170</v>
      </c>
      <c r="V92" s="118">
        <v>1560</v>
      </c>
      <c r="W92" s="118">
        <v>0</v>
      </c>
      <c r="X92" s="118">
        <v>6</v>
      </c>
      <c r="Y92" s="118" t="s">
        <v>38</v>
      </c>
      <c r="Z92" s="415" t="s">
        <v>482</v>
      </c>
      <c r="AA92" s="206" t="s">
        <v>483</v>
      </c>
      <c r="AB92" s="118" t="s">
        <v>484</v>
      </c>
      <c r="AC92" s="118">
        <v>200000</v>
      </c>
      <c r="AD92" s="197">
        <v>1</v>
      </c>
      <c r="AE92" s="197">
        <v>1</v>
      </c>
      <c r="AF92">
        <v>0</v>
      </c>
      <c r="AG92" s="402">
        <v>6</v>
      </c>
    </row>
    <row r="93" spans="1:33" ht="17.25" x14ac:dyDescent="0.3">
      <c r="A93" s="118">
        <v>104007</v>
      </c>
      <c r="B93" s="21" t="s">
        <v>485</v>
      </c>
      <c r="C93" s="21" t="s">
        <v>486</v>
      </c>
      <c r="D93" s="118" t="s">
        <v>33</v>
      </c>
      <c r="E93" s="118">
        <v>4</v>
      </c>
      <c r="F93" s="118" t="s">
        <v>447</v>
      </c>
      <c r="G93" s="118" t="s">
        <v>487</v>
      </c>
      <c r="H93" s="118" t="s">
        <v>35</v>
      </c>
      <c r="I93" s="118">
        <v>1</v>
      </c>
      <c r="J93" s="118">
        <v>1</v>
      </c>
      <c r="K93" s="118">
        <v>1</v>
      </c>
      <c r="L93" s="118">
        <v>3</v>
      </c>
      <c r="M93" s="118" t="s">
        <v>70</v>
      </c>
      <c r="N93" s="118" t="s">
        <v>83</v>
      </c>
      <c r="O93" s="118">
        <v>50</v>
      </c>
      <c r="P93" s="118">
        <v>0.6</v>
      </c>
      <c r="Q93" s="118">
        <v>0</v>
      </c>
      <c r="R93" s="118">
        <v>1</v>
      </c>
      <c r="S93" s="25" t="b">
        <v>1</v>
      </c>
      <c r="T93" s="118">
        <v>91</v>
      </c>
      <c r="U93" s="118">
        <v>1365</v>
      </c>
      <c r="V93" s="118">
        <v>1820</v>
      </c>
      <c r="W93" s="118">
        <v>0</v>
      </c>
      <c r="X93" s="118">
        <v>7</v>
      </c>
      <c r="Y93" s="118" t="s">
        <v>38</v>
      </c>
      <c r="Z93" s="415" t="s">
        <v>488</v>
      </c>
      <c r="AA93" s="206" t="s">
        <v>489</v>
      </c>
      <c r="AB93" s="118" t="s">
        <v>490</v>
      </c>
      <c r="AC93" s="118">
        <v>100000</v>
      </c>
      <c r="AD93" s="197">
        <v>1</v>
      </c>
      <c r="AE93" s="197">
        <v>1</v>
      </c>
      <c r="AF93">
        <v>0</v>
      </c>
      <c r="AG93" s="402">
        <v>7</v>
      </c>
    </row>
    <row r="94" spans="1:33" ht="17.25" x14ac:dyDescent="0.3">
      <c r="A94" s="17">
        <v>104008</v>
      </c>
      <c r="B94" s="17" t="s">
        <v>491</v>
      </c>
      <c r="C94" s="17" t="s">
        <v>492</v>
      </c>
      <c r="D94" s="118" t="s">
        <v>33</v>
      </c>
      <c r="E94" s="118">
        <v>4</v>
      </c>
      <c r="F94" s="118" t="s">
        <v>447</v>
      </c>
      <c r="G94" s="118" t="s">
        <v>493</v>
      </c>
      <c r="H94" s="17" t="s">
        <v>35</v>
      </c>
      <c r="I94" s="118">
        <v>1</v>
      </c>
      <c r="J94" s="118">
        <v>1</v>
      </c>
      <c r="K94" s="118">
        <v>1</v>
      </c>
      <c r="L94" s="118">
        <v>3</v>
      </c>
      <c r="M94" s="118" t="s">
        <v>70</v>
      </c>
      <c r="N94" s="118" t="s">
        <v>89</v>
      </c>
      <c r="O94" s="118">
        <v>50</v>
      </c>
      <c r="P94" s="118">
        <v>0.6</v>
      </c>
      <c r="Q94" s="118">
        <v>0</v>
      </c>
      <c r="R94" s="118">
        <v>1</v>
      </c>
      <c r="S94" s="25" t="b">
        <v>1</v>
      </c>
      <c r="T94" s="118">
        <v>104</v>
      </c>
      <c r="U94" s="118">
        <v>1560</v>
      </c>
      <c r="V94" s="118">
        <v>2080</v>
      </c>
      <c r="W94" s="118">
        <v>0</v>
      </c>
      <c r="X94" s="118">
        <v>8</v>
      </c>
      <c r="Y94" s="118" t="s">
        <v>38</v>
      </c>
      <c r="Z94" s="415" t="s">
        <v>494</v>
      </c>
      <c r="AA94" s="206" t="s">
        <v>495</v>
      </c>
      <c r="AB94" s="118" t="s">
        <v>496</v>
      </c>
      <c r="AC94" s="118">
        <v>100000</v>
      </c>
      <c r="AD94" s="191">
        <v>1</v>
      </c>
      <c r="AE94" s="191">
        <v>1</v>
      </c>
      <c r="AF94">
        <v>0</v>
      </c>
      <c r="AG94" s="402">
        <v>8</v>
      </c>
    </row>
    <row r="95" spans="1:33" ht="17.25" x14ac:dyDescent="0.3">
      <c r="A95" s="17">
        <v>104009</v>
      </c>
      <c r="B95" s="17" t="s">
        <v>497</v>
      </c>
      <c r="C95" s="17" t="s">
        <v>498</v>
      </c>
      <c r="D95" s="118" t="s">
        <v>33</v>
      </c>
      <c r="E95" s="118">
        <v>4</v>
      </c>
      <c r="F95" s="118" t="s">
        <v>447</v>
      </c>
      <c r="G95" s="118" t="s">
        <v>499</v>
      </c>
      <c r="H95" s="17" t="s">
        <v>35</v>
      </c>
      <c r="I95" s="118">
        <v>1</v>
      </c>
      <c r="J95" s="118">
        <v>1</v>
      </c>
      <c r="K95" s="118">
        <v>1</v>
      </c>
      <c r="L95" s="118">
        <v>3</v>
      </c>
      <c r="M95" s="118" t="s">
        <v>70</v>
      </c>
      <c r="N95" s="118" t="s">
        <v>95</v>
      </c>
      <c r="O95" s="118">
        <v>50</v>
      </c>
      <c r="P95" s="118">
        <v>0.6</v>
      </c>
      <c r="Q95" s="118">
        <v>0</v>
      </c>
      <c r="R95" s="118">
        <v>1</v>
      </c>
      <c r="S95" s="25" t="b">
        <v>1</v>
      </c>
      <c r="T95" s="118">
        <v>117</v>
      </c>
      <c r="U95" s="118">
        <v>1755</v>
      </c>
      <c r="V95" s="118">
        <v>2340</v>
      </c>
      <c r="W95" s="118">
        <v>0</v>
      </c>
      <c r="X95" s="118">
        <v>9</v>
      </c>
      <c r="Y95" s="118" t="s">
        <v>38</v>
      </c>
      <c r="Z95" s="429" t="s">
        <v>500</v>
      </c>
      <c r="AA95" s="206" t="s">
        <v>501</v>
      </c>
      <c r="AB95" s="118" t="s">
        <v>502</v>
      </c>
      <c r="AC95" s="118">
        <v>100000</v>
      </c>
      <c r="AD95" s="191">
        <v>1</v>
      </c>
      <c r="AE95" s="191">
        <v>1</v>
      </c>
      <c r="AF95">
        <v>0</v>
      </c>
      <c r="AG95" s="402">
        <v>9</v>
      </c>
    </row>
    <row r="96" spans="1:33" ht="17.25" x14ac:dyDescent="0.3">
      <c r="A96" s="17">
        <v>104010</v>
      </c>
      <c r="B96" s="17" t="s">
        <v>503</v>
      </c>
      <c r="C96" s="17" t="s">
        <v>504</v>
      </c>
      <c r="D96" s="118" t="s">
        <v>33</v>
      </c>
      <c r="E96" s="118">
        <v>4</v>
      </c>
      <c r="F96" s="118" t="s">
        <v>447</v>
      </c>
      <c r="G96" s="118" t="s">
        <v>505</v>
      </c>
      <c r="H96" s="17" t="s">
        <v>35</v>
      </c>
      <c r="I96" s="118">
        <v>1</v>
      </c>
      <c r="J96" s="118">
        <v>1</v>
      </c>
      <c r="K96" s="118">
        <v>1</v>
      </c>
      <c r="L96" s="118">
        <v>3</v>
      </c>
      <c r="M96" s="118" t="s">
        <v>70</v>
      </c>
      <c r="N96" s="118" t="s">
        <v>101</v>
      </c>
      <c r="O96" s="118">
        <v>50</v>
      </c>
      <c r="P96" s="118">
        <v>0.6</v>
      </c>
      <c r="Q96" s="118">
        <v>0</v>
      </c>
      <c r="R96" s="118">
        <v>1</v>
      </c>
      <c r="S96" s="25" t="b">
        <v>1</v>
      </c>
      <c r="T96" s="118">
        <v>130</v>
      </c>
      <c r="U96" s="118">
        <v>1950</v>
      </c>
      <c r="V96" s="118">
        <v>2600</v>
      </c>
      <c r="W96" s="118">
        <v>0</v>
      </c>
      <c r="X96" s="118">
        <v>10</v>
      </c>
      <c r="Y96" s="118" t="s">
        <v>38</v>
      </c>
      <c r="Z96" s="415" t="s">
        <v>506</v>
      </c>
      <c r="AA96" s="206" t="s">
        <v>507</v>
      </c>
      <c r="AB96" s="118" t="s">
        <v>508</v>
      </c>
      <c r="AC96" s="118">
        <v>100000</v>
      </c>
      <c r="AD96" s="191">
        <v>1</v>
      </c>
      <c r="AE96" s="191">
        <v>1</v>
      </c>
      <c r="AF96">
        <v>0</v>
      </c>
      <c r="AG96" s="402">
        <v>10</v>
      </c>
    </row>
    <row r="97" spans="1:33" ht="17.25" x14ac:dyDescent="0.3">
      <c r="A97" s="119">
        <v>104208</v>
      </c>
      <c r="B97" s="114" t="s">
        <v>509</v>
      </c>
      <c r="C97" s="114" t="s">
        <v>510</v>
      </c>
      <c r="D97" s="119" t="s">
        <v>33</v>
      </c>
      <c r="E97" s="119">
        <v>4</v>
      </c>
      <c r="F97" s="119" t="s">
        <v>447</v>
      </c>
      <c r="G97" s="119" t="s">
        <v>493</v>
      </c>
      <c r="H97" s="119" t="s">
        <v>51</v>
      </c>
      <c r="I97" s="119">
        <v>1</v>
      </c>
      <c r="J97" s="118">
        <v>4</v>
      </c>
      <c r="K97" s="119">
        <v>0</v>
      </c>
      <c r="L97" s="119">
        <v>3</v>
      </c>
      <c r="M97" s="119" t="s">
        <v>52</v>
      </c>
      <c r="N97" s="118" t="s">
        <v>89</v>
      </c>
      <c r="O97" s="119">
        <v>50</v>
      </c>
      <c r="P97" s="119">
        <v>0.6</v>
      </c>
      <c r="Q97" s="119">
        <v>0</v>
      </c>
      <c r="R97" s="119">
        <v>1</v>
      </c>
      <c r="S97" s="80" t="b">
        <v>1</v>
      </c>
      <c r="T97" s="119">
        <v>104</v>
      </c>
      <c r="U97" s="118">
        <v>1560</v>
      </c>
      <c r="V97" s="118">
        <v>2080</v>
      </c>
      <c r="W97" s="119">
        <v>0</v>
      </c>
      <c r="X97" s="119">
        <v>8</v>
      </c>
      <c r="Y97" s="119" t="s">
        <v>38</v>
      </c>
      <c r="Z97" s="473" t="s">
        <v>494</v>
      </c>
      <c r="AA97" s="206" t="s">
        <v>511</v>
      </c>
      <c r="AB97" s="119" t="s">
        <v>496</v>
      </c>
      <c r="AC97" s="119">
        <v>100000</v>
      </c>
      <c r="AD97" s="92">
        <v>1</v>
      </c>
      <c r="AE97" s="92">
        <v>1</v>
      </c>
      <c r="AF97">
        <v>0</v>
      </c>
      <c r="AG97" s="403">
        <v>8</v>
      </c>
    </row>
    <row r="98" spans="1:33" ht="17.25" x14ac:dyDescent="0.3">
      <c r="A98" s="119">
        <v>104209</v>
      </c>
      <c r="B98" s="114" t="s">
        <v>512</v>
      </c>
      <c r="C98" s="114" t="s">
        <v>513</v>
      </c>
      <c r="D98" s="119" t="s">
        <v>33</v>
      </c>
      <c r="E98" s="119">
        <v>4</v>
      </c>
      <c r="F98" s="119" t="s">
        <v>447</v>
      </c>
      <c r="G98" s="119" t="s">
        <v>499</v>
      </c>
      <c r="H98" s="119" t="s">
        <v>51</v>
      </c>
      <c r="I98" s="119">
        <v>1</v>
      </c>
      <c r="J98" s="118">
        <v>4</v>
      </c>
      <c r="K98" s="119">
        <v>0</v>
      </c>
      <c r="L98" s="119">
        <v>3</v>
      </c>
      <c r="M98" s="119" t="s">
        <v>52</v>
      </c>
      <c r="N98" s="118" t="s">
        <v>95</v>
      </c>
      <c r="O98" s="119">
        <v>50</v>
      </c>
      <c r="P98" s="119">
        <v>0.6</v>
      </c>
      <c r="Q98" s="119">
        <v>0</v>
      </c>
      <c r="R98" s="119">
        <v>1</v>
      </c>
      <c r="S98" s="80" t="b">
        <v>1</v>
      </c>
      <c r="T98" s="119">
        <v>117</v>
      </c>
      <c r="U98" s="118">
        <v>1755</v>
      </c>
      <c r="V98" s="118">
        <v>2340</v>
      </c>
      <c r="W98" s="119">
        <v>0</v>
      </c>
      <c r="X98" s="119">
        <v>9</v>
      </c>
      <c r="Y98" s="119" t="s">
        <v>38</v>
      </c>
      <c r="Z98" s="479" t="s">
        <v>500</v>
      </c>
      <c r="AA98" s="206" t="s">
        <v>514</v>
      </c>
      <c r="AB98" s="119" t="s">
        <v>502</v>
      </c>
      <c r="AC98" s="119">
        <v>100000</v>
      </c>
      <c r="AD98" s="92">
        <v>1</v>
      </c>
      <c r="AE98" s="92">
        <v>1</v>
      </c>
      <c r="AF98">
        <v>0</v>
      </c>
      <c r="AG98" s="403">
        <v>9</v>
      </c>
    </row>
    <row r="99" spans="1:33" ht="17.25" x14ac:dyDescent="0.3">
      <c r="A99" s="119">
        <v>104210</v>
      </c>
      <c r="B99" s="114" t="s">
        <v>515</v>
      </c>
      <c r="C99" s="114" t="s">
        <v>516</v>
      </c>
      <c r="D99" s="119" t="s">
        <v>33</v>
      </c>
      <c r="E99" s="119">
        <v>4</v>
      </c>
      <c r="F99" s="119" t="s">
        <v>447</v>
      </c>
      <c r="G99" s="119" t="s">
        <v>505</v>
      </c>
      <c r="H99" s="119" t="s">
        <v>51</v>
      </c>
      <c r="I99" s="119">
        <v>1</v>
      </c>
      <c r="J99" s="118">
        <v>4</v>
      </c>
      <c r="K99" s="119">
        <v>0</v>
      </c>
      <c r="L99" s="119">
        <v>3</v>
      </c>
      <c r="M99" s="119" t="s">
        <v>52</v>
      </c>
      <c r="N99" s="118" t="s">
        <v>101</v>
      </c>
      <c r="O99" s="119">
        <v>50</v>
      </c>
      <c r="P99" s="119">
        <v>0.6</v>
      </c>
      <c r="Q99" s="119">
        <v>0</v>
      </c>
      <c r="R99" s="119">
        <v>1</v>
      </c>
      <c r="S99" s="80" t="b">
        <v>1</v>
      </c>
      <c r="T99" s="119">
        <v>130</v>
      </c>
      <c r="U99" s="118">
        <v>1950</v>
      </c>
      <c r="V99" s="118">
        <v>2600</v>
      </c>
      <c r="W99" s="119">
        <v>0</v>
      </c>
      <c r="X99" s="119">
        <v>10</v>
      </c>
      <c r="Y99" s="119" t="s">
        <v>38</v>
      </c>
      <c r="Z99" s="473" t="s">
        <v>506</v>
      </c>
      <c r="AA99" s="206" t="s">
        <v>517</v>
      </c>
      <c r="AB99" s="119" t="s">
        <v>508</v>
      </c>
      <c r="AC99" s="119">
        <v>100000</v>
      </c>
      <c r="AD99" s="92">
        <v>1</v>
      </c>
      <c r="AE99" s="92">
        <v>1</v>
      </c>
      <c r="AF99">
        <v>0</v>
      </c>
      <c r="AG99" s="403">
        <v>10</v>
      </c>
    </row>
    <row r="100" spans="1:33" ht="17.25" x14ac:dyDescent="0.3">
      <c r="A100" s="118">
        <v>104101</v>
      </c>
      <c r="B100" s="17" t="s">
        <v>518</v>
      </c>
      <c r="C100" s="17" t="s">
        <v>519</v>
      </c>
      <c r="D100" s="118" t="s">
        <v>33</v>
      </c>
      <c r="E100" s="118">
        <v>4</v>
      </c>
      <c r="F100" s="118" t="s">
        <v>447</v>
      </c>
      <c r="G100" s="118" t="s">
        <v>520</v>
      </c>
      <c r="H100" s="118" t="s">
        <v>35</v>
      </c>
      <c r="I100" s="118">
        <v>1</v>
      </c>
      <c r="J100" s="118">
        <v>1</v>
      </c>
      <c r="K100" s="118">
        <v>1</v>
      </c>
      <c r="L100" s="118">
        <v>3</v>
      </c>
      <c r="M100" s="118" t="s">
        <v>36</v>
      </c>
      <c r="N100" s="118" t="s">
        <v>37</v>
      </c>
      <c r="O100" s="118">
        <v>50</v>
      </c>
      <c r="P100" s="118">
        <v>0.6</v>
      </c>
      <c r="Q100" s="118">
        <v>0</v>
      </c>
      <c r="R100" s="118">
        <v>1</v>
      </c>
      <c r="S100" s="25" t="b">
        <v>1</v>
      </c>
      <c r="T100" s="118">
        <v>13</v>
      </c>
      <c r="U100" s="118">
        <v>195</v>
      </c>
      <c r="V100" s="118">
        <v>260</v>
      </c>
      <c r="W100" s="118">
        <v>0</v>
      </c>
      <c r="X100" s="118">
        <v>1</v>
      </c>
      <c r="Y100" s="118" t="s">
        <v>38</v>
      </c>
      <c r="Z100" s="204" t="s">
        <v>521</v>
      </c>
      <c r="AA100" s="206" t="s">
        <v>522</v>
      </c>
      <c r="AB100" s="25" t="s">
        <v>523</v>
      </c>
      <c r="AC100" s="118">
        <v>100000</v>
      </c>
      <c r="AD100" s="197">
        <v>1</v>
      </c>
      <c r="AE100" s="197">
        <v>1</v>
      </c>
      <c r="AF100">
        <v>0</v>
      </c>
      <c r="AG100" s="402">
        <v>1</v>
      </c>
    </row>
    <row r="101" spans="1:33" ht="17.25" x14ac:dyDescent="0.3">
      <c r="A101" s="118">
        <v>104102</v>
      </c>
      <c r="B101" s="17" t="s">
        <v>524</v>
      </c>
      <c r="C101" s="17" t="s">
        <v>525</v>
      </c>
      <c r="D101" s="118" t="s">
        <v>33</v>
      </c>
      <c r="E101" s="118">
        <v>4</v>
      </c>
      <c r="F101" s="118" t="s">
        <v>447</v>
      </c>
      <c r="G101" s="118" t="s">
        <v>526</v>
      </c>
      <c r="H101" s="118" t="s">
        <v>35</v>
      </c>
      <c r="I101" s="118">
        <v>1</v>
      </c>
      <c r="J101" s="118">
        <v>1</v>
      </c>
      <c r="K101" s="118">
        <v>1</v>
      </c>
      <c r="L101" s="118">
        <v>3</v>
      </c>
      <c r="M101" s="118" t="s">
        <v>44</v>
      </c>
      <c r="N101" s="118" t="s">
        <v>45</v>
      </c>
      <c r="O101" s="118">
        <v>50</v>
      </c>
      <c r="P101" s="118">
        <v>0.6</v>
      </c>
      <c r="Q101" s="118">
        <v>0</v>
      </c>
      <c r="R101" s="118">
        <v>1</v>
      </c>
      <c r="S101" s="25" t="b">
        <v>1</v>
      </c>
      <c r="T101" s="118">
        <v>26</v>
      </c>
      <c r="U101" s="118">
        <v>390</v>
      </c>
      <c r="V101" s="118">
        <v>520</v>
      </c>
      <c r="W101" s="118">
        <v>0</v>
      </c>
      <c r="X101" s="118">
        <v>2</v>
      </c>
      <c r="Y101" s="118" t="s">
        <v>38</v>
      </c>
      <c r="Z101" s="204" t="s">
        <v>527</v>
      </c>
      <c r="AA101" s="206" t="s">
        <v>528</v>
      </c>
      <c r="AB101" s="25" t="s">
        <v>529</v>
      </c>
      <c r="AC101" s="118">
        <v>100000</v>
      </c>
      <c r="AD101" s="197">
        <v>1</v>
      </c>
      <c r="AE101" s="197">
        <v>1</v>
      </c>
      <c r="AF101">
        <v>0</v>
      </c>
      <c r="AG101" s="402">
        <v>2</v>
      </c>
    </row>
    <row r="102" spans="1:33" ht="17.25" x14ac:dyDescent="0.3">
      <c r="A102" s="118">
        <v>104103</v>
      </c>
      <c r="B102" s="21" t="s">
        <v>530</v>
      </c>
      <c r="C102" s="21" t="s">
        <v>531</v>
      </c>
      <c r="D102" s="118" t="s">
        <v>33</v>
      </c>
      <c r="E102" s="118">
        <v>4</v>
      </c>
      <c r="F102" s="118" t="s">
        <v>447</v>
      </c>
      <c r="G102" s="118" t="s">
        <v>532</v>
      </c>
      <c r="H102" s="118" t="s">
        <v>35</v>
      </c>
      <c r="I102" s="118">
        <v>1</v>
      </c>
      <c r="J102" s="118">
        <v>1</v>
      </c>
      <c r="K102" s="118">
        <v>1</v>
      </c>
      <c r="L102" s="118">
        <v>3</v>
      </c>
      <c r="M102" s="118" t="s">
        <v>56</v>
      </c>
      <c r="N102" s="118" t="s">
        <v>57</v>
      </c>
      <c r="O102" s="118">
        <v>50</v>
      </c>
      <c r="P102" s="118">
        <v>0.6</v>
      </c>
      <c r="Q102" s="118">
        <v>0</v>
      </c>
      <c r="R102" s="118">
        <v>1</v>
      </c>
      <c r="S102" s="25" t="b">
        <v>1</v>
      </c>
      <c r="T102" s="118">
        <v>39</v>
      </c>
      <c r="U102" s="118">
        <v>585</v>
      </c>
      <c r="V102" s="118">
        <v>780</v>
      </c>
      <c r="W102" s="118">
        <v>0</v>
      </c>
      <c r="X102" s="118">
        <v>3</v>
      </c>
      <c r="Y102" s="118" t="s">
        <v>38</v>
      </c>
      <c r="Z102" s="204" t="s">
        <v>533</v>
      </c>
      <c r="AA102" s="206" t="s">
        <v>534</v>
      </c>
      <c r="AB102" s="25" t="s">
        <v>535</v>
      </c>
      <c r="AC102" s="118">
        <v>300000</v>
      </c>
      <c r="AD102" s="197">
        <v>1</v>
      </c>
      <c r="AE102" s="197">
        <v>1</v>
      </c>
      <c r="AF102">
        <v>0</v>
      </c>
      <c r="AG102" s="402">
        <v>3</v>
      </c>
    </row>
    <row r="103" spans="1:33" ht="17.25" x14ac:dyDescent="0.3">
      <c r="A103" s="119">
        <v>104503</v>
      </c>
      <c r="B103" s="359" t="s">
        <v>536</v>
      </c>
      <c r="C103" s="359" t="s">
        <v>537</v>
      </c>
      <c r="D103" s="119" t="s">
        <v>33</v>
      </c>
      <c r="E103" s="119">
        <v>4</v>
      </c>
      <c r="F103" s="119" t="s">
        <v>447</v>
      </c>
      <c r="G103" s="119" t="s">
        <v>532</v>
      </c>
      <c r="H103" s="119" t="s">
        <v>51</v>
      </c>
      <c r="I103" s="119">
        <v>1</v>
      </c>
      <c r="J103" s="118">
        <v>3</v>
      </c>
      <c r="K103" s="119">
        <v>0</v>
      </c>
      <c r="L103" s="119">
        <v>3</v>
      </c>
      <c r="M103" s="119" t="s">
        <v>52</v>
      </c>
      <c r="N103" s="118" t="s">
        <v>57</v>
      </c>
      <c r="O103" s="119">
        <v>50</v>
      </c>
      <c r="P103" s="119">
        <v>0.6</v>
      </c>
      <c r="Q103" s="119">
        <v>0</v>
      </c>
      <c r="R103" s="119">
        <v>1</v>
      </c>
      <c r="S103" s="80" t="b">
        <v>1</v>
      </c>
      <c r="T103" s="119">
        <v>39</v>
      </c>
      <c r="U103" s="118">
        <v>585</v>
      </c>
      <c r="V103" s="118">
        <v>780</v>
      </c>
      <c r="W103" s="119">
        <v>0</v>
      </c>
      <c r="X103" s="119">
        <v>3</v>
      </c>
      <c r="Y103" s="119" t="s">
        <v>38</v>
      </c>
      <c r="Z103" s="480" t="s">
        <v>533</v>
      </c>
      <c r="AA103" s="206" t="s">
        <v>538</v>
      </c>
      <c r="AB103" s="80" t="s">
        <v>535</v>
      </c>
      <c r="AC103" s="119">
        <v>300000</v>
      </c>
      <c r="AD103" s="92">
        <v>1</v>
      </c>
      <c r="AE103" s="92">
        <v>1</v>
      </c>
      <c r="AF103">
        <v>0</v>
      </c>
      <c r="AG103" s="403">
        <v>3</v>
      </c>
    </row>
    <row r="104" spans="1:33" ht="17.25" x14ac:dyDescent="0.3">
      <c r="A104" s="118">
        <v>104104</v>
      </c>
      <c r="B104" s="72" t="s">
        <v>539</v>
      </c>
      <c r="C104" s="72" t="s">
        <v>540</v>
      </c>
      <c r="D104" s="118" t="s">
        <v>33</v>
      </c>
      <c r="E104" s="118">
        <v>4</v>
      </c>
      <c r="F104" s="118" t="s">
        <v>447</v>
      </c>
      <c r="G104" s="118" t="s">
        <v>541</v>
      </c>
      <c r="H104" s="118" t="s">
        <v>35</v>
      </c>
      <c r="I104" s="118">
        <v>1</v>
      </c>
      <c r="J104" s="118">
        <v>1</v>
      </c>
      <c r="K104" s="118">
        <v>1</v>
      </c>
      <c r="L104" s="118">
        <v>3</v>
      </c>
      <c r="M104" s="118" t="s">
        <v>63</v>
      </c>
      <c r="N104" s="118" t="s">
        <v>64</v>
      </c>
      <c r="O104" s="118">
        <v>50</v>
      </c>
      <c r="P104" s="118">
        <v>0.6</v>
      </c>
      <c r="Q104" s="118">
        <v>0</v>
      </c>
      <c r="R104" s="118">
        <v>1</v>
      </c>
      <c r="S104" s="25" t="b">
        <v>1</v>
      </c>
      <c r="T104" s="118">
        <v>52</v>
      </c>
      <c r="U104" s="118">
        <v>780</v>
      </c>
      <c r="V104" s="118">
        <v>1040</v>
      </c>
      <c r="W104" s="118">
        <v>0</v>
      </c>
      <c r="X104" s="118">
        <v>4</v>
      </c>
      <c r="Y104" s="118" t="s">
        <v>38</v>
      </c>
      <c r="Z104" s="204" t="s">
        <v>542</v>
      </c>
      <c r="AA104" s="206" t="s">
        <v>543</v>
      </c>
      <c r="AB104" s="25" t="s">
        <v>544</v>
      </c>
      <c r="AC104" s="118">
        <v>300000</v>
      </c>
      <c r="AD104" s="197">
        <v>1</v>
      </c>
      <c r="AE104" s="197">
        <v>1</v>
      </c>
      <c r="AF104">
        <v>0</v>
      </c>
      <c r="AG104" s="402">
        <v>4</v>
      </c>
    </row>
    <row r="105" spans="1:33" ht="17.25" x14ac:dyDescent="0.3">
      <c r="A105" s="118">
        <v>104105</v>
      </c>
      <c r="B105" s="21" t="s">
        <v>545</v>
      </c>
      <c r="C105" s="21" t="s">
        <v>546</v>
      </c>
      <c r="D105" s="118" t="s">
        <v>33</v>
      </c>
      <c r="E105" s="118">
        <v>4</v>
      </c>
      <c r="F105" s="118" t="s">
        <v>447</v>
      </c>
      <c r="G105" s="118" t="s">
        <v>547</v>
      </c>
      <c r="H105" s="118" t="s">
        <v>35</v>
      </c>
      <c r="I105" s="118">
        <v>1</v>
      </c>
      <c r="J105" s="118">
        <v>1</v>
      </c>
      <c r="K105" s="118">
        <v>1</v>
      </c>
      <c r="L105" s="118">
        <v>3</v>
      </c>
      <c r="M105" s="118" t="s">
        <v>70</v>
      </c>
      <c r="N105" s="118" t="s">
        <v>71</v>
      </c>
      <c r="O105" s="118">
        <v>50</v>
      </c>
      <c r="P105" s="118">
        <v>0.6</v>
      </c>
      <c r="Q105" s="118">
        <v>0</v>
      </c>
      <c r="R105" s="118">
        <v>1</v>
      </c>
      <c r="S105" s="25" t="b">
        <v>1</v>
      </c>
      <c r="T105" s="118">
        <v>65</v>
      </c>
      <c r="U105" s="118">
        <v>975</v>
      </c>
      <c r="V105" s="118">
        <v>1300</v>
      </c>
      <c r="W105" s="118">
        <v>0</v>
      </c>
      <c r="X105" s="118">
        <v>5</v>
      </c>
      <c r="Y105" s="118" t="s">
        <v>38</v>
      </c>
      <c r="Z105" s="17" t="s">
        <v>548</v>
      </c>
      <c r="AA105" s="206" t="s">
        <v>549</v>
      </c>
      <c r="AB105" s="118" t="s">
        <v>550</v>
      </c>
      <c r="AC105" s="118">
        <v>100000</v>
      </c>
      <c r="AD105" s="197">
        <v>1</v>
      </c>
      <c r="AE105" s="197">
        <v>1</v>
      </c>
      <c r="AF105">
        <v>0</v>
      </c>
      <c r="AG105" s="402">
        <v>5</v>
      </c>
    </row>
    <row r="106" spans="1:33" ht="17.25" x14ac:dyDescent="0.3">
      <c r="A106" s="118">
        <v>104106</v>
      </c>
      <c r="B106" s="17" t="s">
        <v>551</v>
      </c>
      <c r="C106" s="17" t="s">
        <v>552</v>
      </c>
      <c r="D106" s="118" t="s">
        <v>33</v>
      </c>
      <c r="E106" s="118">
        <v>4</v>
      </c>
      <c r="F106" s="118" t="s">
        <v>447</v>
      </c>
      <c r="G106" s="118" t="s">
        <v>553</v>
      </c>
      <c r="H106" s="118" t="s">
        <v>35</v>
      </c>
      <c r="I106" s="118">
        <v>1</v>
      </c>
      <c r="J106" s="118">
        <v>1</v>
      </c>
      <c r="K106" s="118">
        <v>1</v>
      </c>
      <c r="L106" s="118">
        <v>3</v>
      </c>
      <c r="M106" s="118" t="s">
        <v>70</v>
      </c>
      <c r="N106" s="118" t="s">
        <v>77</v>
      </c>
      <c r="O106" s="118">
        <v>50</v>
      </c>
      <c r="P106" s="118">
        <v>0.6</v>
      </c>
      <c r="Q106" s="118">
        <v>0</v>
      </c>
      <c r="R106" s="118">
        <v>1</v>
      </c>
      <c r="S106" s="25" t="b">
        <v>1</v>
      </c>
      <c r="T106" s="118">
        <v>78</v>
      </c>
      <c r="U106" s="118">
        <v>1170</v>
      </c>
      <c r="V106" s="118">
        <v>1560</v>
      </c>
      <c r="W106" s="118">
        <v>0</v>
      </c>
      <c r="X106" s="118">
        <v>6</v>
      </c>
      <c r="Y106" s="118" t="s">
        <v>38</v>
      </c>
      <c r="Z106" s="17" t="s">
        <v>554</v>
      </c>
      <c r="AA106" s="206" t="s">
        <v>555</v>
      </c>
      <c r="AB106" s="118" t="s">
        <v>556</v>
      </c>
      <c r="AC106" s="118">
        <v>200000</v>
      </c>
      <c r="AD106" s="197">
        <v>1</v>
      </c>
      <c r="AE106" s="197">
        <v>1</v>
      </c>
      <c r="AF106">
        <v>0</v>
      </c>
      <c r="AG106" s="402">
        <v>6</v>
      </c>
    </row>
    <row r="107" spans="1:33" ht="17.25" x14ac:dyDescent="0.3">
      <c r="A107" s="118">
        <v>104107</v>
      </c>
      <c r="B107" s="21" t="s">
        <v>557</v>
      </c>
      <c r="C107" s="21" t="s">
        <v>558</v>
      </c>
      <c r="D107" s="118" t="s">
        <v>33</v>
      </c>
      <c r="E107" s="118">
        <v>4</v>
      </c>
      <c r="F107" s="118" t="s">
        <v>447</v>
      </c>
      <c r="G107" s="118" t="s">
        <v>559</v>
      </c>
      <c r="H107" s="118" t="s">
        <v>35</v>
      </c>
      <c r="I107" s="118">
        <v>1</v>
      </c>
      <c r="J107" s="118">
        <v>1</v>
      </c>
      <c r="K107" s="118">
        <v>1</v>
      </c>
      <c r="L107" s="118">
        <v>3</v>
      </c>
      <c r="M107" s="118" t="s">
        <v>70</v>
      </c>
      <c r="N107" s="118" t="s">
        <v>83</v>
      </c>
      <c r="O107" s="118">
        <v>50</v>
      </c>
      <c r="P107" s="118">
        <v>0.6</v>
      </c>
      <c r="Q107" s="118">
        <v>0</v>
      </c>
      <c r="R107" s="118">
        <v>1</v>
      </c>
      <c r="S107" s="25" t="b">
        <v>1</v>
      </c>
      <c r="T107" s="118">
        <v>91</v>
      </c>
      <c r="U107" s="118">
        <v>1365</v>
      </c>
      <c r="V107" s="118">
        <v>1820</v>
      </c>
      <c r="W107" s="118">
        <v>0</v>
      </c>
      <c r="X107" s="118">
        <v>7</v>
      </c>
      <c r="Y107" s="118" t="s">
        <v>38</v>
      </c>
      <c r="Z107" s="17" t="s">
        <v>560</v>
      </c>
      <c r="AA107" s="206" t="s">
        <v>561</v>
      </c>
      <c r="AB107" s="118" t="s">
        <v>562</v>
      </c>
      <c r="AC107" s="118">
        <v>100000</v>
      </c>
      <c r="AD107" s="197">
        <v>1</v>
      </c>
      <c r="AE107" s="197">
        <v>1</v>
      </c>
      <c r="AF107">
        <v>0</v>
      </c>
      <c r="AG107" s="402">
        <v>7</v>
      </c>
    </row>
    <row r="108" spans="1:33" ht="17.25" x14ac:dyDescent="0.3">
      <c r="A108" s="114">
        <v>104207</v>
      </c>
      <c r="B108" s="359" t="s">
        <v>563</v>
      </c>
      <c r="C108" s="359" t="s">
        <v>564</v>
      </c>
      <c r="D108" s="119" t="s">
        <v>33</v>
      </c>
      <c r="E108" s="119">
        <v>4</v>
      </c>
      <c r="F108" s="119" t="s">
        <v>447</v>
      </c>
      <c r="G108" s="118" t="s">
        <v>487</v>
      </c>
      <c r="H108" s="119" t="s">
        <v>51</v>
      </c>
      <c r="I108" s="119">
        <v>1</v>
      </c>
      <c r="J108" s="118">
        <v>4</v>
      </c>
      <c r="K108" s="119">
        <v>0</v>
      </c>
      <c r="L108" s="119">
        <v>3</v>
      </c>
      <c r="M108" s="119" t="s">
        <v>52</v>
      </c>
      <c r="N108" s="118" t="s">
        <v>83</v>
      </c>
      <c r="O108" s="119">
        <v>50</v>
      </c>
      <c r="P108" s="119">
        <v>0.6</v>
      </c>
      <c r="Q108" s="119">
        <v>0</v>
      </c>
      <c r="R108" s="119">
        <v>1</v>
      </c>
      <c r="S108" s="80" t="b">
        <v>1</v>
      </c>
      <c r="T108" s="119">
        <v>91</v>
      </c>
      <c r="U108" s="118">
        <v>1365</v>
      </c>
      <c r="V108" s="118">
        <v>1820</v>
      </c>
      <c r="W108" s="119">
        <v>0</v>
      </c>
      <c r="X108" s="119">
        <v>7</v>
      </c>
      <c r="Y108" s="119" t="s">
        <v>38</v>
      </c>
      <c r="Z108" s="473" t="s">
        <v>488</v>
      </c>
      <c r="AA108" s="206" t="s">
        <v>565</v>
      </c>
      <c r="AB108" s="119" t="s">
        <v>490</v>
      </c>
      <c r="AC108" s="119">
        <v>100000</v>
      </c>
      <c r="AD108" s="197">
        <v>1</v>
      </c>
      <c r="AE108" s="197">
        <v>1</v>
      </c>
      <c r="AF108">
        <v>0</v>
      </c>
      <c r="AG108" s="403">
        <v>7</v>
      </c>
    </row>
    <row r="109" spans="1:33" ht="17.25" x14ac:dyDescent="0.3">
      <c r="A109" s="114">
        <v>104307</v>
      </c>
      <c r="B109" s="359" t="s">
        <v>566</v>
      </c>
      <c r="C109" s="359" t="s">
        <v>567</v>
      </c>
      <c r="D109" s="119" t="s">
        <v>33</v>
      </c>
      <c r="E109" s="119">
        <v>4</v>
      </c>
      <c r="F109" s="119" t="s">
        <v>447</v>
      </c>
      <c r="G109" s="118" t="s">
        <v>559</v>
      </c>
      <c r="H109" s="119" t="s">
        <v>51</v>
      </c>
      <c r="I109" s="119">
        <v>1</v>
      </c>
      <c r="J109" s="118">
        <v>4</v>
      </c>
      <c r="K109" s="119">
        <v>0</v>
      </c>
      <c r="L109" s="119">
        <v>3</v>
      </c>
      <c r="M109" s="119" t="s">
        <v>52</v>
      </c>
      <c r="N109" s="118" t="s">
        <v>83</v>
      </c>
      <c r="O109" s="119">
        <v>50</v>
      </c>
      <c r="P109" s="119">
        <v>0.6</v>
      </c>
      <c r="Q109" s="119">
        <v>0</v>
      </c>
      <c r="R109" s="119">
        <v>1</v>
      </c>
      <c r="S109" s="80" t="b">
        <v>1</v>
      </c>
      <c r="T109" s="119">
        <v>91</v>
      </c>
      <c r="U109" s="118">
        <v>1365</v>
      </c>
      <c r="V109" s="118">
        <v>1820</v>
      </c>
      <c r="W109" s="119">
        <v>0</v>
      </c>
      <c r="X109" s="119">
        <v>7</v>
      </c>
      <c r="Y109" s="119" t="s">
        <v>38</v>
      </c>
      <c r="Z109" s="114" t="s">
        <v>560</v>
      </c>
      <c r="AA109" s="206" t="s">
        <v>568</v>
      </c>
      <c r="AB109" s="119" t="s">
        <v>562</v>
      </c>
      <c r="AC109" s="119">
        <v>100000</v>
      </c>
      <c r="AD109" s="197">
        <v>1</v>
      </c>
      <c r="AE109" s="197">
        <v>1</v>
      </c>
      <c r="AF109">
        <v>0</v>
      </c>
      <c r="AG109" s="403">
        <v>7</v>
      </c>
    </row>
    <row r="110" spans="1:33" ht="17.25" x14ac:dyDescent="0.3">
      <c r="A110" s="17">
        <v>104108</v>
      </c>
      <c r="B110" s="17" t="s">
        <v>569</v>
      </c>
      <c r="C110" s="17" t="s">
        <v>570</v>
      </c>
      <c r="D110" s="118" t="s">
        <v>33</v>
      </c>
      <c r="E110" s="118">
        <v>4</v>
      </c>
      <c r="F110" s="118" t="s">
        <v>447</v>
      </c>
      <c r="G110" s="118" t="s">
        <v>571</v>
      </c>
      <c r="H110" s="17" t="s">
        <v>35</v>
      </c>
      <c r="I110" s="118">
        <v>1</v>
      </c>
      <c r="J110" s="118">
        <v>1</v>
      </c>
      <c r="K110" s="118">
        <v>1</v>
      </c>
      <c r="L110" s="118">
        <v>3</v>
      </c>
      <c r="M110" s="118" t="s">
        <v>70</v>
      </c>
      <c r="N110" s="118" t="s">
        <v>89</v>
      </c>
      <c r="O110" s="118">
        <v>50</v>
      </c>
      <c r="P110" s="118">
        <v>0.6</v>
      </c>
      <c r="Q110" s="118">
        <v>0</v>
      </c>
      <c r="R110" s="118">
        <v>1</v>
      </c>
      <c r="S110" s="25" t="b">
        <v>1</v>
      </c>
      <c r="T110" s="118">
        <v>104</v>
      </c>
      <c r="U110" s="118">
        <v>1560</v>
      </c>
      <c r="V110" s="118">
        <v>2080</v>
      </c>
      <c r="W110" s="118">
        <v>0</v>
      </c>
      <c r="X110" s="118">
        <v>8</v>
      </c>
      <c r="Y110" s="118" t="s">
        <v>38</v>
      </c>
      <c r="Z110" s="415" t="s">
        <v>572</v>
      </c>
      <c r="AA110" s="206" t="s">
        <v>573</v>
      </c>
      <c r="AB110" s="118" t="s">
        <v>574</v>
      </c>
      <c r="AC110" s="118">
        <v>100000</v>
      </c>
      <c r="AD110" s="191">
        <v>1</v>
      </c>
      <c r="AE110" s="191">
        <v>1</v>
      </c>
      <c r="AF110">
        <v>0</v>
      </c>
      <c r="AG110" s="402">
        <v>8</v>
      </c>
    </row>
    <row r="111" spans="1:33" ht="17.25" x14ac:dyDescent="0.3">
      <c r="A111" s="17">
        <v>104109</v>
      </c>
      <c r="B111" s="17" t="s">
        <v>575</v>
      </c>
      <c r="C111" s="17" t="s">
        <v>576</v>
      </c>
      <c r="D111" s="118" t="s">
        <v>33</v>
      </c>
      <c r="E111" s="118">
        <v>4</v>
      </c>
      <c r="F111" s="118" t="s">
        <v>447</v>
      </c>
      <c r="G111" s="118" t="s">
        <v>577</v>
      </c>
      <c r="H111" s="17" t="s">
        <v>35</v>
      </c>
      <c r="I111" s="118">
        <v>1</v>
      </c>
      <c r="J111" s="118">
        <v>1</v>
      </c>
      <c r="K111" s="118">
        <v>1</v>
      </c>
      <c r="L111" s="118">
        <v>3</v>
      </c>
      <c r="M111" s="118" t="s">
        <v>70</v>
      </c>
      <c r="N111" s="118" t="s">
        <v>95</v>
      </c>
      <c r="O111" s="118">
        <v>50</v>
      </c>
      <c r="P111" s="118">
        <v>0.6</v>
      </c>
      <c r="Q111" s="118">
        <v>0</v>
      </c>
      <c r="R111" s="118">
        <v>1</v>
      </c>
      <c r="S111" s="25" t="b">
        <v>1</v>
      </c>
      <c r="T111" s="118">
        <v>117</v>
      </c>
      <c r="U111" s="118">
        <v>1755</v>
      </c>
      <c r="V111" s="118">
        <v>2340</v>
      </c>
      <c r="W111" s="118">
        <v>0</v>
      </c>
      <c r="X111" s="118">
        <v>9</v>
      </c>
      <c r="Y111" s="118" t="s">
        <v>38</v>
      </c>
      <c r="Z111" s="415" t="s">
        <v>578</v>
      </c>
      <c r="AA111" s="206" t="s">
        <v>579</v>
      </c>
      <c r="AB111" s="118" t="s">
        <v>580</v>
      </c>
      <c r="AC111" s="118">
        <v>100000</v>
      </c>
      <c r="AD111" s="191">
        <v>1</v>
      </c>
      <c r="AE111" s="191">
        <v>1</v>
      </c>
      <c r="AF111">
        <v>0</v>
      </c>
      <c r="AG111" s="402">
        <v>9</v>
      </c>
    </row>
    <row r="112" spans="1:33" ht="17.25" x14ac:dyDescent="0.3">
      <c r="A112" s="17">
        <v>104110</v>
      </c>
      <c r="B112" s="17" t="s">
        <v>581</v>
      </c>
      <c r="C112" s="17" t="s">
        <v>582</v>
      </c>
      <c r="D112" s="118" t="s">
        <v>33</v>
      </c>
      <c r="E112" s="118">
        <v>4</v>
      </c>
      <c r="F112" s="118" t="s">
        <v>447</v>
      </c>
      <c r="G112" s="118" t="s">
        <v>583</v>
      </c>
      <c r="H112" s="17" t="s">
        <v>35</v>
      </c>
      <c r="I112" s="118">
        <v>1</v>
      </c>
      <c r="J112" s="118">
        <v>1</v>
      </c>
      <c r="K112" s="118">
        <v>1</v>
      </c>
      <c r="L112" s="118">
        <v>3</v>
      </c>
      <c r="M112" s="118" t="s">
        <v>70</v>
      </c>
      <c r="N112" s="118" t="s">
        <v>101</v>
      </c>
      <c r="O112" s="118">
        <v>50</v>
      </c>
      <c r="P112" s="118">
        <v>0.6</v>
      </c>
      <c r="Q112" s="118">
        <v>0</v>
      </c>
      <c r="R112" s="118">
        <v>1</v>
      </c>
      <c r="S112" s="25" t="b">
        <v>1</v>
      </c>
      <c r="T112" s="118">
        <v>130</v>
      </c>
      <c r="U112" s="118">
        <v>1950</v>
      </c>
      <c r="V112" s="118">
        <v>2600</v>
      </c>
      <c r="W112" s="118">
        <v>0</v>
      </c>
      <c r="X112" s="118">
        <v>10</v>
      </c>
      <c r="Y112" s="118" t="s">
        <v>38</v>
      </c>
      <c r="Z112" s="415" t="s">
        <v>584</v>
      </c>
      <c r="AA112" s="206" t="s">
        <v>585</v>
      </c>
      <c r="AB112" s="118" t="s">
        <v>586</v>
      </c>
      <c r="AC112" s="118">
        <v>100000</v>
      </c>
      <c r="AD112" s="191">
        <v>1</v>
      </c>
      <c r="AE112" s="191">
        <v>1</v>
      </c>
      <c r="AF112">
        <v>0</v>
      </c>
      <c r="AG112" s="402">
        <v>10</v>
      </c>
    </row>
    <row r="113" spans="1:33" ht="17.25" x14ac:dyDescent="0.3">
      <c r="A113" s="119">
        <v>104308</v>
      </c>
      <c r="B113" s="114" t="s">
        <v>587</v>
      </c>
      <c r="C113" s="114" t="s">
        <v>588</v>
      </c>
      <c r="D113" s="119" t="s">
        <v>33</v>
      </c>
      <c r="E113" s="119">
        <v>4</v>
      </c>
      <c r="F113" s="119" t="s">
        <v>447</v>
      </c>
      <c r="G113" s="119" t="s">
        <v>571</v>
      </c>
      <c r="H113" s="119" t="s">
        <v>51</v>
      </c>
      <c r="I113" s="119">
        <v>1</v>
      </c>
      <c r="J113" s="118">
        <v>4</v>
      </c>
      <c r="K113" s="119">
        <v>0</v>
      </c>
      <c r="L113" s="119">
        <v>3</v>
      </c>
      <c r="M113" s="119" t="s">
        <v>52</v>
      </c>
      <c r="N113" s="118" t="s">
        <v>89</v>
      </c>
      <c r="O113" s="119">
        <v>50</v>
      </c>
      <c r="P113" s="119">
        <v>0.6</v>
      </c>
      <c r="Q113" s="119">
        <v>0</v>
      </c>
      <c r="R113" s="119">
        <v>1</v>
      </c>
      <c r="S113" s="80" t="b">
        <v>1</v>
      </c>
      <c r="T113" s="119">
        <v>104</v>
      </c>
      <c r="U113" s="118">
        <v>1560</v>
      </c>
      <c r="V113" s="118">
        <v>2080</v>
      </c>
      <c r="W113" s="119">
        <v>0</v>
      </c>
      <c r="X113" s="119">
        <v>8</v>
      </c>
      <c r="Y113" s="119" t="s">
        <v>38</v>
      </c>
      <c r="Z113" s="473" t="s">
        <v>572</v>
      </c>
      <c r="AA113" s="206" t="s">
        <v>589</v>
      </c>
      <c r="AB113" s="119" t="s">
        <v>574</v>
      </c>
      <c r="AC113" s="119">
        <v>100000</v>
      </c>
      <c r="AD113" s="92">
        <v>1</v>
      </c>
      <c r="AE113" s="92">
        <v>1</v>
      </c>
      <c r="AF113">
        <v>0</v>
      </c>
      <c r="AG113" s="403">
        <v>8</v>
      </c>
    </row>
    <row r="114" spans="1:33" ht="17.25" x14ac:dyDescent="0.3">
      <c r="A114" s="119">
        <v>104309</v>
      </c>
      <c r="B114" s="114" t="s">
        <v>590</v>
      </c>
      <c r="C114" s="114" t="s">
        <v>591</v>
      </c>
      <c r="D114" s="119" t="s">
        <v>33</v>
      </c>
      <c r="E114" s="119">
        <v>4</v>
      </c>
      <c r="F114" s="119" t="s">
        <v>447</v>
      </c>
      <c r="G114" s="119" t="s">
        <v>577</v>
      </c>
      <c r="H114" s="119" t="s">
        <v>51</v>
      </c>
      <c r="I114" s="119">
        <v>1</v>
      </c>
      <c r="J114" s="118">
        <v>4</v>
      </c>
      <c r="K114" s="119">
        <v>0</v>
      </c>
      <c r="L114" s="119">
        <v>3</v>
      </c>
      <c r="M114" s="119" t="s">
        <v>52</v>
      </c>
      <c r="N114" s="118" t="s">
        <v>95</v>
      </c>
      <c r="O114" s="119">
        <v>50</v>
      </c>
      <c r="P114" s="119">
        <v>0.6</v>
      </c>
      <c r="Q114" s="119">
        <v>0</v>
      </c>
      <c r="R114" s="119">
        <v>1</v>
      </c>
      <c r="S114" s="80" t="b">
        <v>1</v>
      </c>
      <c r="T114" s="119">
        <v>117</v>
      </c>
      <c r="U114" s="118">
        <v>1755</v>
      </c>
      <c r="V114" s="118">
        <v>2340</v>
      </c>
      <c r="W114" s="119">
        <v>0</v>
      </c>
      <c r="X114" s="119">
        <v>9</v>
      </c>
      <c r="Y114" s="119" t="s">
        <v>38</v>
      </c>
      <c r="Z114" s="473" t="s">
        <v>578</v>
      </c>
      <c r="AA114" s="206" t="s">
        <v>592</v>
      </c>
      <c r="AB114" s="119" t="s">
        <v>580</v>
      </c>
      <c r="AC114" s="119">
        <v>100000</v>
      </c>
      <c r="AD114" s="92">
        <v>1</v>
      </c>
      <c r="AE114" s="92">
        <v>1</v>
      </c>
      <c r="AF114">
        <v>0</v>
      </c>
      <c r="AG114" s="403">
        <v>9</v>
      </c>
    </row>
    <row r="115" spans="1:33" ht="17.25" x14ac:dyDescent="0.3">
      <c r="A115" s="119">
        <v>104310</v>
      </c>
      <c r="B115" s="114" t="s">
        <v>593</v>
      </c>
      <c r="C115" s="114" t="s">
        <v>594</v>
      </c>
      <c r="D115" s="119" t="s">
        <v>33</v>
      </c>
      <c r="E115" s="119">
        <v>4</v>
      </c>
      <c r="F115" s="119" t="s">
        <v>447</v>
      </c>
      <c r="G115" s="119" t="s">
        <v>583</v>
      </c>
      <c r="H115" s="119" t="s">
        <v>51</v>
      </c>
      <c r="I115" s="119">
        <v>1</v>
      </c>
      <c r="J115" s="118">
        <v>4</v>
      </c>
      <c r="K115" s="119">
        <v>0</v>
      </c>
      <c r="L115" s="119">
        <v>3</v>
      </c>
      <c r="M115" s="119" t="s">
        <v>52</v>
      </c>
      <c r="N115" s="118" t="s">
        <v>101</v>
      </c>
      <c r="O115" s="119">
        <v>50</v>
      </c>
      <c r="P115" s="119">
        <v>0.6</v>
      </c>
      <c r="Q115" s="119">
        <v>0</v>
      </c>
      <c r="R115" s="119">
        <v>1</v>
      </c>
      <c r="S115" s="80" t="b">
        <v>1</v>
      </c>
      <c r="T115" s="119">
        <v>130</v>
      </c>
      <c r="U115" s="118">
        <v>1950</v>
      </c>
      <c r="V115" s="118">
        <v>2600</v>
      </c>
      <c r="W115" s="119">
        <v>0</v>
      </c>
      <c r="X115" s="119">
        <v>10</v>
      </c>
      <c r="Y115" s="119" t="s">
        <v>38</v>
      </c>
      <c r="Z115" s="473" t="s">
        <v>584</v>
      </c>
      <c r="AA115" s="206" t="s">
        <v>595</v>
      </c>
      <c r="AB115" s="119" t="s">
        <v>586</v>
      </c>
      <c r="AC115" s="119">
        <v>100000</v>
      </c>
      <c r="AD115" s="92">
        <v>1</v>
      </c>
      <c r="AE115" s="92">
        <v>1</v>
      </c>
      <c r="AF115">
        <v>0</v>
      </c>
      <c r="AG115" s="403">
        <v>10</v>
      </c>
    </row>
    <row r="116" spans="1:33" ht="17.25" x14ac:dyDescent="0.3">
      <c r="A116" s="84">
        <v>104202</v>
      </c>
      <c r="B116" s="105" t="s">
        <v>596</v>
      </c>
      <c r="C116" s="105" t="s">
        <v>597</v>
      </c>
      <c r="D116" s="84" t="s">
        <v>33</v>
      </c>
      <c r="E116" s="84">
        <v>4</v>
      </c>
      <c r="F116" s="84" t="s">
        <v>447</v>
      </c>
      <c r="G116" s="118" t="s">
        <v>469</v>
      </c>
      <c r="H116" s="84" t="s">
        <v>107</v>
      </c>
      <c r="I116" s="84">
        <v>4</v>
      </c>
      <c r="J116" s="118">
        <v>4</v>
      </c>
      <c r="K116" s="84">
        <v>0</v>
      </c>
      <c r="L116" s="84">
        <v>3</v>
      </c>
      <c r="M116" s="84">
        <v>4</v>
      </c>
      <c r="N116" s="118" t="s">
        <v>45</v>
      </c>
      <c r="O116" s="84">
        <v>50</v>
      </c>
      <c r="P116" s="84">
        <v>0.6</v>
      </c>
      <c r="Q116" s="84">
        <v>0</v>
      </c>
      <c r="R116" s="84">
        <v>1</v>
      </c>
      <c r="S116" s="43" t="b">
        <v>1</v>
      </c>
      <c r="T116" s="84">
        <v>26</v>
      </c>
      <c r="U116" s="118">
        <v>390</v>
      </c>
      <c r="V116" s="118">
        <v>520</v>
      </c>
      <c r="W116" s="84">
        <v>0</v>
      </c>
      <c r="X116" s="84">
        <v>2</v>
      </c>
      <c r="Y116" s="84" t="s">
        <v>38</v>
      </c>
      <c r="Z116" s="362" t="s">
        <v>108</v>
      </c>
      <c r="AA116" s="206" t="s">
        <v>598</v>
      </c>
      <c r="AB116" s="43" t="s">
        <v>472</v>
      </c>
      <c r="AC116" s="84">
        <v>100000</v>
      </c>
      <c r="AD116" s="197">
        <v>1</v>
      </c>
      <c r="AE116" s="197">
        <v>1</v>
      </c>
      <c r="AF116">
        <v>0</v>
      </c>
      <c r="AG116" s="404">
        <v>2</v>
      </c>
    </row>
    <row r="117" spans="1:33" ht="17.25" x14ac:dyDescent="0.3">
      <c r="A117" s="391">
        <v>104203</v>
      </c>
      <c r="B117" s="392" t="s">
        <v>599</v>
      </c>
      <c r="C117" s="392" t="s">
        <v>600</v>
      </c>
      <c r="D117" s="391" t="s">
        <v>33</v>
      </c>
      <c r="E117" s="391">
        <v>4</v>
      </c>
      <c r="F117" s="391" t="s">
        <v>447</v>
      </c>
      <c r="G117" s="118" t="s">
        <v>526</v>
      </c>
      <c r="H117" s="391" t="s">
        <v>112</v>
      </c>
      <c r="I117" s="391">
        <v>4</v>
      </c>
      <c r="J117" s="118">
        <v>4</v>
      </c>
      <c r="K117" s="391">
        <v>0</v>
      </c>
      <c r="L117" s="391">
        <v>3</v>
      </c>
      <c r="M117" s="391">
        <v>4</v>
      </c>
      <c r="N117" s="118" t="s">
        <v>57</v>
      </c>
      <c r="O117" s="391">
        <v>50</v>
      </c>
      <c r="P117" s="391">
        <v>0.6</v>
      </c>
      <c r="Q117" s="391">
        <v>0</v>
      </c>
      <c r="R117" s="391">
        <v>1</v>
      </c>
      <c r="S117" s="397" t="b">
        <v>1</v>
      </c>
      <c r="T117" s="391">
        <v>39</v>
      </c>
      <c r="U117" s="118">
        <v>585</v>
      </c>
      <c r="V117" s="118">
        <v>780</v>
      </c>
      <c r="W117" s="391">
        <v>0</v>
      </c>
      <c r="X117" s="391">
        <v>3</v>
      </c>
      <c r="Y117" s="391" t="s">
        <v>38</v>
      </c>
      <c r="Z117" s="478" t="s">
        <v>601</v>
      </c>
      <c r="AA117" s="206" t="s">
        <v>602</v>
      </c>
      <c r="AB117" s="397" t="s">
        <v>529</v>
      </c>
      <c r="AC117" s="391">
        <v>100000</v>
      </c>
      <c r="AD117" s="197">
        <v>1</v>
      </c>
      <c r="AE117" s="197">
        <v>1</v>
      </c>
      <c r="AF117">
        <v>0</v>
      </c>
      <c r="AG117" s="405">
        <v>3</v>
      </c>
    </row>
    <row r="118" spans="1:33" ht="17.25" x14ac:dyDescent="0.3">
      <c r="A118" s="84">
        <v>104204</v>
      </c>
      <c r="B118" s="105" t="s">
        <v>603</v>
      </c>
      <c r="C118" s="105" t="s">
        <v>604</v>
      </c>
      <c r="D118" s="84" t="s">
        <v>33</v>
      </c>
      <c r="E118" s="84">
        <v>4</v>
      </c>
      <c r="F118" s="84" t="s">
        <v>447</v>
      </c>
      <c r="G118" s="84" t="s">
        <v>547</v>
      </c>
      <c r="H118" s="84" t="s">
        <v>107</v>
      </c>
      <c r="I118" s="84">
        <v>5</v>
      </c>
      <c r="J118" s="118">
        <v>5</v>
      </c>
      <c r="K118" s="84">
        <v>0</v>
      </c>
      <c r="L118" s="84">
        <v>3</v>
      </c>
      <c r="M118" s="84">
        <v>5</v>
      </c>
      <c r="N118" s="118" t="s">
        <v>64</v>
      </c>
      <c r="O118" s="84">
        <v>50</v>
      </c>
      <c r="P118" s="84">
        <v>0.6</v>
      </c>
      <c r="Q118" s="84">
        <v>0</v>
      </c>
      <c r="R118" s="84">
        <v>1</v>
      </c>
      <c r="S118" s="43" t="b">
        <v>1</v>
      </c>
      <c r="T118" s="84">
        <v>52</v>
      </c>
      <c r="U118" s="118">
        <v>780</v>
      </c>
      <c r="V118" s="118">
        <v>1040</v>
      </c>
      <c r="W118" s="84">
        <v>0</v>
      </c>
      <c r="X118" s="84">
        <v>4</v>
      </c>
      <c r="Y118" s="84" t="s">
        <v>38</v>
      </c>
      <c r="Z118" s="481" t="s">
        <v>605</v>
      </c>
      <c r="AA118" s="206" t="s">
        <v>606</v>
      </c>
      <c r="AB118" s="43" t="s">
        <v>607</v>
      </c>
      <c r="AC118" s="84">
        <v>100000</v>
      </c>
      <c r="AD118" s="197">
        <v>1</v>
      </c>
      <c r="AE118" s="197">
        <v>1</v>
      </c>
      <c r="AF118">
        <v>0</v>
      </c>
      <c r="AG118" s="404">
        <v>4</v>
      </c>
    </row>
    <row r="119" spans="1:33" ht="17.25" x14ac:dyDescent="0.3">
      <c r="A119" s="410">
        <v>104404</v>
      </c>
      <c r="B119" s="411" t="s">
        <v>608</v>
      </c>
      <c r="C119" s="411" t="s">
        <v>609</v>
      </c>
      <c r="D119" s="410" t="s">
        <v>33</v>
      </c>
      <c r="E119" s="410">
        <v>4</v>
      </c>
      <c r="F119" s="410" t="s">
        <v>447</v>
      </c>
      <c r="G119" s="410" t="s">
        <v>610</v>
      </c>
      <c r="H119" s="410" t="s">
        <v>611</v>
      </c>
      <c r="I119" s="410">
        <v>5</v>
      </c>
      <c r="J119" s="118">
        <v>5</v>
      </c>
      <c r="K119" s="410">
        <v>0</v>
      </c>
      <c r="L119" s="410">
        <v>3</v>
      </c>
      <c r="M119" s="410">
        <v>5</v>
      </c>
      <c r="N119" s="118" t="s">
        <v>612</v>
      </c>
      <c r="O119" s="410">
        <v>50</v>
      </c>
      <c r="P119" s="410">
        <v>0.6</v>
      </c>
      <c r="Q119" s="410">
        <v>0</v>
      </c>
      <c r="R119" s="410">
        <v>1</v>
      </c>
      <c r="S119" s="412" t="b">
        <v>1</v>
      </c>
      <c r="T119" s="410">
        <v>52</v>
      </c>
      <c r="U119" s="118">
        <v>780</v>
      </c>
      <c r="V119" s="118">
        <v>1040</v>
      </c>
      <c r="W119" s="410">
        <v>0</v>
      </c>
      <c r="X119" s="410">
        <v>4</v>
      </c>
      <c r="Y119" s="410" t="s">
        <v>38</v>
      </c>
      <c r="Z119" s="482" t="s">
        <v>613</v>
      </c>
      <c r="AA119" s="206" t="s">
        <v>614</v>
      </c>
      <c r="AB119" s="412" t="s">
        <v>615</v>
      </c>
      <c r="AC119" s="410">
        <v>100000</v>
      </c>
      <c r="AD119" s="197">
        <v>1</v>
      </c>
      <c r="AE119" s="197">
        <v>1</v>
      </c>
      <c r="AF119">
        <v>0</v>
      </c>
      <c r="AG119" s="413">
        <v>4</v>
      </c>
    </row>
    <row r="120" spans="1:33" ht="17.25" x14ac:dyDescent="0.3">
      <c r="A120" s="84">
        <v>104302</v>
      </c>
      <c r="B120" s="105" t="s">
        <v>616</v>
      </c>
      <c r="C120" s="105" t="s">
        <v>617</v>
      </c>
      <c r="D120" s="84" t="s">
        <v>33</v>
      </c>
      <c r="E120" s="84">
        <v>4</v>
      </c>
      <c r="F120" s="84" t="s">
        <v>447</v>
      </c>
      <c r="G120" s="84" t="s">
        <v>618</v>
      </c>
      <c r="H120" s="84" t="s">
        <v>107</v>
      </c>
      <c r="I120" s="84">
        <v>4</v>
      </c>
      <c r="J120" s="118">
        <v>4</v>
      </c>
      <c r="K120" s="84">
        <v>0</v>
      </c>
      <c r="L120" s="84">
        <v>3</v>
      </c>
      <c r="M120" s="84">
        <v>4</v>
      </c>
      <c r="N120" s="118" t="s">
        <v>45</v>
      </c>
      <c r="O120" s="84">
        <v>50</v>
      </c>
      <c r="P120" s="84">
        <v>0.6</v>
      </c>
      <c r="Q120" s="84">
        <v>0</v>
      </c>
      <c r="R120" s="84">
        <v>1</v>
      </c>
      <c r="S120" s="43" t="b">
        <v>1</v>
      </c>
      <c r="T120" s="84">
        <v>26</v>
      </c>
      <c r="U120" s="118">
        <v>390</v>
      </c>
      <c r="V120" s="118">
        <v>520</v>
      </c>
      <c r="W120" s="84">
        <v>0</v>
      </c>
      <c r="X120" s="84">
        <v>2</v>
      </c>
      <c r="Y120" s="84" t="s">
        <v>38</v>
      </c>
      <c r="Z120" s="362" t="s">
        <v>108</v>
      </c>
      <c r="AA120" s="206" t="s">
        <v>619</v>
      </c>
      <c r="AB120" s="43" t="s">
        <v>620</v>
      </c>
      <c r="AC120" s="84">
        <v>100000</v>
      </c>
      <c r="AD120" s="197">
        <v>1</v>
      </c>
      <c r="AE120" s="197">
        <v>1</v>
      </c>
      <c r="AF120">
        <v>0</v>
      </c>
      <c r="AG120" s="404">
        <v>2</v>
      </c>
    </row>
    <row r="121" spans="1:33" ht="17.25" x14ac:dyDescent="0.3">
      <c r="A121" s="391">
        <v>104303</v>
      </c>
      <c r="B121" s="392" t="s">
        <v>621</v>
      </c>
      <c r="C121" s="392" t="s">
        <v>622</v>
      </c>
      <c r="D121" s="391" t="s">
        <v>33</v>
      </c>
      <c r="E121" s="391">
        <v>4</v>
      </c>
      <c r="F121" s="391" t="s">
        <v>447</v>
      </c>
      <c r="G121" s="118" t="s">
        <v>463</v>
      </c>
      <c r="H121" s="391" t="s">
        <v>112</v>
      </c>
      <c r="I121" s="391">
        <v>4</v>
      </c>
      <c r="J121" s="118">
        <v>4</v>
      </c>
      <c r="K121" s="391">
        <v>0</v>
      </c>
      <c r="L121" s="391">
        <v>3</v>
      </c>
      <c r="M121" s="391">
        <v>4</v>
      </c>
      <c r="N121" s="118" t="s">
        <v>45</v>
      </c>
      <c r="O121" s="391">
        <v>50</v>
      </c>
      <c r="P121" s="391">
        <v>0.6</v>
      </c>
      <c r="Q121" s="391">
        <v>0</v>
      </c>
      <c r="R121" s="391">
        <v>1</v>
      </c>
      <c r="S121" s="397" t="b">
        <v>1</v>
      </c>
      <c r="T121" s="391">
        <v>26</v>
      </c>
      <c r="U121" s="118">
        <v>390</v>
      </c>
      <c r="V121" s="118">
        <v>520</v>
      </c>
      <c r="W121" s="391">
        <v>0</v>
      </c>
      <c r="X121" s="391">
        <v>2</v>
      </c>
      <c r="Y121" s="391" t="s">
        <v>38</v>
      </c>
      <c r="Z121" s="483" t="s">
        <v>623</v>
      </c>
      <c r="AA121" s="206" t="s">
        <v>624</v>
      </c>
      <c r="AB121" s="397" t="s">
        <v>466</v>
      </c>
      <c r="AC121" s="391">
        <v>100000</v>
      </c>
      <c r="AD121" s="197">
        <v>1</v>
      </c>
      <c r="AE121" s="197">
        <v>1</v>
      </c>
      <c r="AF121">
        <v>0</v>
      </c>
      <c r="AG121" s="405">
        <v>2</v>
      </c>
    </row>
    <row r="122" spans="1:33" ht="17.25" x14ac:dyDescent="0.3">
      <c r="A122" s="391">
        <v>104304</v>
      </c>
      <c r="B122" s="123" t="s">
        <v>625</v>
      </c>
      <c r="C122" s="123" t="s">
        <v>626</v>
      </c>
      <c r="D122" s="391" t="s">
        <v>33</v>
      </c>
      <c r="E122" s="391">
        <v>4</v>
      </c>
      <c r="F122" s="391" t="s">
        <v>447</v>
      </c>
      <c r="G122" s="118" t="s">
        <v>526</v>
      </c>
      <c r="H122" s="391" t="s">
        <v>112</v>
      </c>
      <c r="I122" s="391">
        <v>5</v>
      </c>
      <c r="J122" s="118">
        <v>5</v>
      </c>
      <c r="K122" s="391">
        <v>0</v>
      </c>
      <c r="L122" s="391">
        <v>3</v>
      </c>
      <c r="M122" s="391">
        <v>5</v>
      </c>
      <c r="N122" s="118" t="s">
        <v>64</v>
      </c>
      <c r="O122" s="391">
        <v>50</v>
      </c>
      <c r="P122" s="391">
        <v>0.6</v>
      </c>
      <c r="Q122" s="391">
        <v>0</v>
      </c>
      <c r="R122" s="391">
        <v>1</v>
      </c>
      <c r="S122" s="397" t="b">
        <v>1</v>
      </c>
      <c r="T122" s="391">
        <v>52</v>
      </c>
      <c r="U122" s="118">
        <v>780</v>
      </c>
      <c r="V122" s="118">
        <v>1040</v>
      </c>
      <c r="W122" s="391">
        <v>0</v>
      </c>
      <c r="X122" s="391">
        <v>4</v>
      </c>
      <c r="Y122" s="391" t="s">
        <v>38</v>
      </c>
      <c r="Z122" s="483" t="s">
        <v>627</v>
      </c>
      <c r="AA122" s="206" t="s">
        <v>628</v>
      </c>
      <c r="AB122" s="397" t="s">
        <v>529</v>
      </c>
      <c r="AC122" s="391">
        <v>100000</v>
      </c>
      <c r="AD122" s="197">
        <v>1</v>
      </c>
      <c r="AE122" s="197">
        <v>1</v>
      </c>
      <c r="AF122">
        <v>0</v>
      </c>
      <c r="AG122" s="405">
        <v>4</v>
      </c>
    </row>
    <row r="123" spans="1:33" ht="17.25" x14ac:dyDescent="0.3">
      <c r="A123" s="118">
        <v>105001</v>
      </c>
      <c r="B123" s="17" t="s">
        <v>629</v>
      </c>
      <c r="C123" s="17" t="s">
        <v>630</v>
      </c>
      <c r="D123" s="118" t="s">
        <v>33</v>
      </c>
      <c r="E123" s="118">
        <v>5</v>
      </c>
      <c r="F123" s="118" t="s">
        <v>631</v>
      </c>
      <c r="G123" s="118" t="s">
        <v>632</v>
      </c>
      <c r="H123" s="118" t="s">
        <v>35</v>
      </c>
      <c r="I123" s="118">
        <v>1</v>
      </c>
      <c r="J123" s="118">
        <v>1</v>
      </c>
      <c r="K123" s="118">
        <v>1</v>
      </c>
      <c r="L123" s="118">
        <v>3</v>
      </c>
      <c r="M123" s="118" t="s">
        <v>36</v>
      </c>
      <c r="N123" s="118" t="s">
        <v>37</v>
      </c>
      <c r="O123" s="118">
        <v>1</v>
      </c>
      <c r="P123" s="118">
        <v>0.9</v>
      </c>
      <c r="Q123" s="118">
        <v>0</v>
      </c>
      <c r="R123" s="118">
        <v>1</v>
      </c>
      <c r="S123" s="25" t="b">
        <v>1</v>
      </c>
      <c r="T123" s="118">
        <v>13</v>
      </c>
      <c r="U123" s="118">
        <v>195</v>
      </c>
      <c r="V123" s="118">
        <v>260</v>
      </c>
      <c r="W123" s="118">
        <v>0</v>
      </c>
      <c r="X123" s="118">
        <v>1</v>
      </c>
      <c r="Y123" s="118" t="s">
        <v>38</v>
      </c>
      <c r="Z123" s="17" t="s">
        <v>633</v>
      </c>
      <c r="AA123" s="206" t="s">
        <v>634</v>
      </c>
      <c r="AB123" s="25" t="s">
        <v>635</v>
      </c>
      <c r="AC123" s="118">
        <v>200000</v>
      </c>
      <c r="AD123" s="197">
        <v>1</v>
      </c>
      <c r="AE123" s="197">
        <v>1</v>
      </c>
      <c r="AF123">
        <v>0</v>
      </c>
      <c r="AG123" s="402">
        <v>1</v>
      </c>
    </row>
    <row r="124" spans="1:33" ht="17.25" x14ac:dyDescent="0.3">
      <c r="A124" s="119">
        <v>105201</v>
      </c>
      <c r="B124" s="114" t="s">
        <v>636</v>
      </c>
      <c r="C124" s="114" t="s">
        <v>637</v>
      </c>
      <c r="D124" s="119" t="s">
        <v>33</v>
      </c>
      <c r="E124" s="119">
        <v>5</v>
      </c>
      <c r="F124" s="119" t="s">
        <v>631</v>
      </c>
      <c r="G124" s="119" t="s">
        <v>632</v>
      </c>
      <c r="H124" s="119" t="s">
        <v>51</v>
      </c>
      <c r="I124" s="119">
        <v>1</v>
      </c>
      <c r="J124" s="118">
        <v>3</v>
      </c>
      <c r="K124" s="119">
        <v>0</v>
      </c>
      <c r="L124" s="119">
        <v>3</v>
      </c>
      <c r="M124" s="119" t="s">
        <v>52</v>
      </c>
      <c r="N124" s="118" t="s">
        <v>37</v>
      </c>
      <c r="O124" s="119">
        <v>1</v>
      </c>
      <c r="P124" s="119">
        <v>0.9</v>
      </c>
      <c r="Q124" s="119">
        <v>0</v>
      </c>
      <c r="R124" s="119">
        <v>1</v>
      </c>
      <c r="S124" s="80" t="b">
        <v>1</v>
      </c>
      <c r="T124" s="119">
        <v>13</v>
      </c>
      <c r="U124" s="118">
        <v>195</v>
      </c>
      <c r="V124" s="118">
        <v>260</v>
      </c>
      <c r="W124" s="119">
        <v>0</v>
      </c>
      <c r="X124" s="119">
        <v>1</v>
      </c>
      <c r="Y124" s="119" t="s">
        <v>38</v>
      </c>
      <c r="Z124" s="114" t="s">
        <v>633</v>
      </c>
      <c r="AA124" s="206" t="s">
        <v>638</v>
      </c>
      <c r="AB124" s="80" t="s">
        <v>635</v>
      </c>
      <c r="AC124" s="119">
        <v>200000</v>
      </c>
      <c r="AD124" s="92">
        <v>1</v>
      </c>
      <c r="AE124" s="92">
        <v>1</v>
      </c>
      <c r="AF124">
        <v>0</v>
      </c>
      <c r="AG124" s="403">
        <v>1</v>
      </c>
    </row>
    <row r="125" spans="1:33" ht="17.25" x14ac:dyDescent="0.3">
      <c r="A125" s="118">
        <v>105002</v>
      </c>
      <c r="B125" s="17" t="s">
        <v>639</v>
      </c>
      <c r="C125" s="17" t="s">
        <v>640</v>
      </c>
      <c r="D125" s="118" t="s">
        <v>33</v>
      </c>
      <c r="E125" s="118">
        <v>5</v>
      </c>
      <c r="F125" s="118" t="s">
        <v>631</v>
      </c>
      <c r="G125" s="118" t="s">
        <v>641</v>
      </c>
      <c r="H125" s="118" t="s">
        <v>35</v>
      </c>
      <c r="I125" s="118">
        <v>1</v>
      </c>
      <c r="J125" s="118">
        <v>1</v>
      </c>
      <c r="K125" s="118">
        <v>1</v>
      </c>
      <c r="L125" s="118">
        <v>3</v>
      </c>
      <c r="M125" s="118" t="s">
        <v>44</v>
      </c>
      <c r="N125" s="118" t="s">
        <v>45</v>
      </c>
      <c r="O125" s="118">
        <v>1</v>
      </c>
      <c r="P125" s="118">
        <v>0.9</v>
      </c>
      <c r="Q125" s="118">
        <v>0</v>
      </c>
      <c r="R125" s="118">
        <v>1</v>
      </c>
      <c r="S125" s="25" t="b">
        <v>1</v>
      </c>
      <c r="T125" s="118">
        <v>26</v>
      </c>
      <c r="U125" s="118">
        <v>390</v>
      </c>
      <c r="V125" s="118">
        <v>520</v>
      </c>
      <c r="W125" s="118">
        <v>0</v>
      </c>
      <c r="X125" s="118">
        <v>2</v>
      </c>
      <c r="Y125" s="118" t="s">
        <v>38</v>
      </c>
      <c r="Z125" s="17" t="s">
        <v>642</v>
      </c>
      <c r="AA125" s="206" t="s">
        <v>643</v>
      </c>
      <c r="AB125" s="25" t="s">
        <v>644</v>
      </c>
      <c r="AC125" s="118">
        <v>100000</v>
      </c>
      <c r="AD125" s="197">
        <v>1</v>
      </c>
      <c r="AE125" s="197">
        <v>1</v>
      </c>
      <c r="AF125">
        <v>0</v>
      </c>
      <c r="AG125" s="402">
        <v>2</v>
      </c>
    </row>
    <row r="126" spans="1:33" ht="17.25" x14ac:dyDescent="0.3">
      <c r="A126" s="119">
        <v>105302</v>
      </c>
      <c r="B126" s="114" t="s">
        <v>645</v>
      </c>
      <c r="C126" s="114" t="s">
        <v>646</v>
      </c>
      <c r="D126" s="119" t="s">
        <v>33</v>
      </c>
      <c r="E126" s="119">
        <v>5</v>
      </c>
      <c r="F126" s="119" t="s">
        <v>631</v>
      </c>
      <c r="G126" s="119" t="s">
        <v>641</v>
      </c>
      <c r="H126" s="119" t="s">
        <v>51</v>
      </c>
      <c r="I126" s="119">
        <v>1</v>
      </c>
      <c r="J126" s="118">
        <v>3</v>
      </c>
      <c r="K126" s="119">
        <v>0</v>
      </c>
      <c r="L126" s="119">
        <v>3</v>
      </c>
      <c r="M126" s="119" t="s">
        <v>52</v>
      </c>
      <c r="N126" s="118" t="s">
        <v>45</v>
      </c>
      <c r="O126" s="119">
        <v>1</v>
      </c>
      <c r="P126" s="119">
        <v>0.9</v>
      </c>
      <c r="Q126" s="119">
        <v>0</v>
      </c>
      <c r="R126" s="119">
        <v>1</v>
      </c>
      <c r="S126" s="80" t="b">
        <v>1</v>
      </c>
      <c r="T126" s="119">
        <v>26</v>
      </c>
      <c r="U126" s="118">
        <v>390</v>
      </c>
      <c r="V126" s="118">
        <v>520</v>
      </c>
      <c r="W126" s="119">
        <v>0</v>
      </c>
      <c r="X126" s="119">
        <v>2</v>
      </c>
      <c r="Y126" s="119" t="s">
        <v>38</v>
      </c>
      <c r="Z126" s="114" t="s">
        <v>642</v>
      </c>
      <c r="AA126" s="206" t="s">
        <v>647</v>
      </c>
      <c r="AB126" s="80" t="s">
        <v>644</v>
      </c>
      <c r="AC126" s="119">
        <v>100000</v>
      </c>
      <c r="AD126" s="92">
        <v>1</v>
      </c>
      <c r="AE126" s="92">
        <v>1</v>
      </c>
      <c r="AF126">
        <v>0</v>
      </c>
      <c r="AG126" s="403">
        <v>2</v>
      </c>
    </row>
    <row r="127" spans="1:33" ht="17.25" x14ac:dyDescent="0.3">
      <c r="A127" s="118">
        <v>105003</v>
      </c>
      <c r="B127" s="21" t="s">
        <v>648</v>
      </c>
      <c r="C127" s="21" t="s">
        <v>649</v>
      </c>
      <c r="D127" s="118" t="s">
        <v>33</v>
      </c>
      <c r="E127" s="118">
        <v>5</v>
      </c>
      <c r="F127" s="118" t="s">
        <v>631</v>
      </c>
      <c r="G127" s="118" t="s">
        <v>650</v>
      </c>
      <c r="H127" s="118" t="s">
        <v>35</v>
      </c>
      <c r="I127" s="118">
        <v>1</v>
      </c>
      <c r="J127" s="118">
        <v>1</v>
      </c>
      <c r="K127" s="118">
        <v>1</v>
      </c>
      <c r="L127" s="118">
        <v>3</v>
      </c>
      <c r="M127" s="118" t="s">
        <v>56</v>
      </c>
      <c r="N127" s="118" t="s">
        <v>57</v>
      </c>
      <c r="O127" s="118">
        <v>1</v>
      </c>
      <c r="P127" s="118">
        <v>0.9</v>
      </c>
      <c r="Q127" s="118">
        <v>0</v>
      </c>
      <c r="R127" s="118">
        <v>1</v>
      </c>
      <c r="S127" s="25" t="b">
        <v>1</v>
      </c>
      <c r="T127" s="118">
        <v>39</v>
      </c>
      <c r="U127" s="118">
        <v>585</v>
      </c>
      <c r="V127" s="118">
        <v>780</v>
      </c>
      <c r="W127" s="118">
        <v>0</v>
      </c>
      <c r="X127" s="118">
        <v>3</v>
      </c>
      <c r="Y127" s="118" t="s">
        <v>38</v>
      </c>
      <c r="Z127" s="17" t="s">
        <v>651</v>
      </c>
      <c r="AA127" s="206" t="s">
        <v>652</v>
      </c>
      <c r="AB127" s="25" t="s">
        <v>653</v>
      </c>
      <c r="AC127" s="118">
        <v>300000</v>
      </c>
      <c r="AD127" s="197">
        <v>1</v>
      </c>
      <c r="AE127" s="197">
        <v>1</v>
      </c>
      <c r="AF127">
        <v>0</v>
      </c>
      <c r="AG127" s="402">
        <v>3</v>
      </c>
    </row>
    <row r="128" spans="1:33" ht="17.25" x14ac:dyDescent="0.3">
      <c r="A128" s="118">
        <v>105004</v>
      </c>
      <c r="B128" s="72" t="s">
        <v>654</v>
      </c>
      <c r="C128" s="72" t="s">
        <v>655</v>
      </c>
      <c r="D128" s="118" t="s">
        <v>33</v>
      </c>
      <c r="E128" s="118">
        <v>5</v>
      </c>
      <c r="F128" s="118" t="s">
        <v>631</v>
      </c>
      <c r="G128" s="118" t="s">
        <v>656</v>
      </c>
      <c r="H128" s="118" t="s">
        <v>35</v>
      </c>
      <c r="I128" s="118">
        <v>1</v>
      </c>
      <c r="J128" s="118">
        <v>1</v>
      </c>
      <c r="K128" s="118">
        <v>1</v>
      </c>
      <c r="L128" s="118">
        <v>3</v>
      </c>
      <c r="M128" s="118" t="s">
        <v>63</v>
      </c>
      <c r="N128" s="118" t="s">
        <v>64</v>
      </c>
      <c r="O128" s="118">
        <v>1</v>
      </c>
      <c r="P128" s="118">
        <v>0.9</v>
      </c>
      <c r="Q128" s="118">
        <v>0</v>
      </c>
      <c r="R128" s="118">
        <v>1</v>
      </c>
      <c r="S128" s="25" t="b">
        <v>1</v>
      </c>
      <c r="T128" s="118">
        <v>52</v>
      </c>
      <c r="U128" s="118">
        <v>780</v>
      </c>
      <c r="V128" s="118">
        <v>1040</v>
      </c>
      <c r="W128" s="118">
        <v>0</v>
      </c>
      <c r="X128" s="118">
        <v>4</v>
      </c>
      <c r="Y128" s="118" t="s">
        <v>38</v>
      </c>
      <c r="Z128" s="17" t="s">
        <v>657</v>
      </c>
      <c r="AA128" s="206" t="s">
        <v>658</v>
      </c>
      <c r="AB128" s="25" t="s">
        <v>659</v>
      </c>
      <c r="AC128" s="118">
        <v>300000</v>
      </c>
      <c r="AD128" s="197">
        <v>1</v>
      </c>
      <c r="AE128" s="197">
        <v>1</v>
      </c>
      <c r="AF128">
        <v>0</v>
      </c>
      <c r="AG128" s="402">
        <v>4</v>
      </c>
    </row>
    <row r="129" spans="1:33" ht="17.25" x14ac:dyDescent="0.3">
      <c r="A129" s="118">
        <v>105005</v>
      </c>
      <c r="B129" s="21" t="s">
        <v>660</v>
      </c>
      <c r="C129" s="21" t="s">
        <v>661</v>
      </c>
      <c r="D129" s="118" t="s">
        <v>33</v>
      </c>
      <c r="E129" s="118">
        <v>5</v>
      </c>
      <c r="F129" s="118" t="s">
        <v>631</v>
      </c>
      <c r="G129" s="118" t="s">
        <v>662</v>
      </c>
      <c r="H129" s="118" t="s">
        <v>35</v>
      </c>
      <c r="I129" s="118">
        <v>1</v>
      </c>
      <c r="J129" s="118">
        <v>1</v>
      </c>
      <c r="K129" s="118">
        <v>1</v>
      </c>
      <c r="L129" s="118">
        <v>3</v>
      </c>
      <c r="M129" s="118" t="s">
        <v>70</v>
      </c>
      <c r="N129" s="118" t="s">
        <v>71</v>
      </c>
      <c r="O129" s="118">
        <v>1</v>
      </c>
      <c r="P129" s="118">
        <v>0.9</v>
      </c>
      <c r="Q129" s="118">
        <v>0</v>
      </c>
      <c r="R129" s="118">
        <v>1</v>
      </c>
      <c r="S129" s="25" t="b">
        <v>1</v>
      </c>
      <c r="T129" s="118">
        <v>65</v>
      </c>
      <c r="U129" s="118">
        <v>975</v>
      </c>
      <c r="V129" s="118">
        <v>1300</v>
      </c>
      <c r="W129" s="118">
        <v>0</v>
      </c>
      <c r="X129" s="118">
        <v>5</v>
      </c>
      <c r="Y129" s="118" t="s">
        <v>38</v>
      </c>
      <c r="Z129" s="17" t="s">
        <v>663</v>
      </c>
      <c r="AA129" s="206" t="s">
        <v>664</v>
      </c>
      <c r="AB129" s="118" t="s">
        <v>665</v>
      </c>
      <c r="AC129" s="118">
        <v>300000</v>
      </c>
      <c r="AD129" s="197">
        <v>1</v>
      </c>
      <c r="AE129" s="197">
        <v>1</v>
      </c>
      <c r="AF129">
        <v>0</v>
      </c>
      <c r="AG129" s="402">
        <v>5</v>
      </c>
    </row>
    <row r="130" spans="1:33" ht="17.25" x14ac:dyDescent="0.3">
      <c r="A130" s="118">
        <v>105006</v>
      </c>
      <c r="B130" s="21" t="s">
        <v>666</v>
      </c>
      <c r="C130" s="21" t="s">
        <v>667</v>
      </c>
      <c r="D130" s="118" t="s">
        <v>33</v>
      </c>
      <c r="E130" s="118">
        <v>5</v>
      </c>
      <c r="F130" s="118" t="s">
        <v>631</v>
      </c>
      <c r="G130" s="118" t="s">
        <v>668</v>
      </c>
      <c r="H130" s="118" t="s">
        <v>35</v>
      </c>
      <c r="I130" s="118">
        <v>1</v>
      </c>
      <c r="J130" s="118">
        <v>1</v>
      </c>
      <c r="K130" s="118">
        <v>1</v>
      </c>
      <c r="L130" s="118">
        <v>3</v>
      </c>
      <c r="M130" s="118" t="s">
        <v>70</v>
      </c>
      <c r="N130" s="118" t="s">
        <v>77</v>
      </c>
      <c r="O130" s="118">
        <v>1</v>
      </c>
      <c r="P130" s="118">
        <v>0.9</v>
      </c>
      <c r="Q130" s="118">
        <v>0</v>
      </c>
      <c r="R130" s="118">
        <v>1</v>
      </c>
      <c r="S130" s="25" t="b">
        <v>1</v>
      </c>
      <c r="T130" s="118">
        <v>78</v>
      </c>
      <c r="U130" s="118">
        <v>1170</v>
      </c>
      <c r="V130" s="118">
        <v>1560</v>
      </c>
      <c r="W130" s="118">
        <v>0</v>
      </c>
      <c r="X130" s="118">
        <v>6</v>
      </c>
      <c r="Y130" s="118" t="s">
        <v>38</v>
      </c>
      <c r="Z130" s="17" t="s">
        <v>669</v>
      </c>
      <c r="AA130" s="206" t="s">
        <v>670</v>
      </c>
      <c r="AB130" s="118" t="s">
        <v>671</v>
      </c>
      <c r="AC130" s="118">
        <v>200000</v>
      </c>
      <c r="AD130" s="197">
        <v>1</v>
      </c>
      <c r="AE130" s="197">
        <v>1</v>
      </c>
      <c r="AF130">
        <v>0</v>
      </c>
      <c r="AG130" s="402">
        <v>6</v>
      </c>
    </row>
    <row r="131" spans="1:33" ht="17.25" x14ac:dyDescent="0.3">
      <c r="A131" s="118">
        <v>105007</v>
      </c>
      <c r="B131" s="21" t="s">
        <v>672</v>
      </c>
      <c r="C131" s="21" t="s">
        <v>673</v>
      </c>
      <c r="D131" s="118" t="s">
        <v>33</v>
      </c>
      <c r="E131" s="118">
        <v>5</v>
      </c>
      <c r="F131" s="118" t="s">
        <v>631</v>
      </c>
      <c r="G131" s="118" t="s">
        <v>674</v>
      </c>
      <c r="H131" s="118" t="s">
        <v>35</v>
      </c>
      <c r="I131" s="118">
        <v>1</v>
      </c>
      <c r="J131" s="118">
        <v>1</v>
      </c>
      <c r="K131" s="118">
        <v>1</v>
      </c>
      <c r="L131" s="118">
        <v>3</v>
      </c>
      <c r="M131" s="118" t="s">
        <v>70</v>
      </c>
      <c r="N131" s="118" t="s">
        <v>83</v>
      </c>
      <c r="O131" s="118">
        <v>1</v>
      </c>
      <c r="P131" s="118">
        <v>0.9</v>
      </c>
      <c r="Q131" s="118">
        <v>0</v>
      </c>
      <c r="R131" s="118">
        <v>1</v>
      </c>
      <c r="S131" s="25" t="b">
        <v>1</v>
      </c>
      <c r="T131" s="118">
        <v>91</v>
      </c>
      <c r="U131" s="118">
        <v>1365</v>
      </c>
      <c r="V131" s="118">
        <v>1820</v>
      </c>
      <c r="W131" s="118">
        <v>0</v>
      </c>
      <c r="X131" s="118">
        <v>7</v>
      </c>
      <c r="Y131" s="118" t="s">
        <v>38</v>
      </c>
      <c r="Z131" s="17" t="s">
        <v>675</v>
      </c>
      <c r="AA131" s="206" t="s">
        <v>676</v>
      </c>
      <c r="AB131" s="118" t="s">
        <v>677</v>
      </c>
      <c r="AC131" s="118">
        <v>100000</v>
      </c>
      <c r="AD131" s="197">
        <v>1</v>
      </c>
      <c r="AE131" s="197">
        <v>1</v>
      </c>
      <c r="AF131">
        <v>0</v>
      </c>
      <c r="AG131" s="402">
        <v>7</v>
      </c>
    </row>
    <row r="132" spans="1:33" ht="17.25" x14ac:dyDescent="0.3">
      <c r="A132" s="114">
        <v>105307</v>
      </c>
      <c r="B132" s="359" t="s">
        <v>678</v>
      </c>
      <c r="C132" s="359" t="s">
        <v>679</v>
      </c>
      <c r="D132" s="119" t="s">
        <v>33</v>
      </c>
      <c r="E132" s="119">
        <v>5</v>
      </c>
      <c r="F132" s="119" t="s">
        <v>631</v>
      </c>
      <c r="G132" s="119" t="s">
        <v>674</v>
      </c>
      <c r="H132" s="119" t="s">
        <v>51</v>
      </c>
      <c r="I132" s="119">
        <v>1</v>
      </c>
      <c r="J132" s="118">
        <v>4</v>
      </c>
      <c r="K132" s="119">
        <v>0</v>
      </c>
      <c r="L132" s="119">
        <v>3</v>
      </c>
      <c r="M132" s="119" t="s">
        <v>52</v>
      </c>
      <c r="N132" s="118" t="s">
        <v>83</v>
      </c>
      <c r="O132" s="119">
        <v>1</v>
      </c>
      <c r="P132" s="119">
        <v>0.9</v>
      </c>
      <c r="Q132" s="119">
        <v>0</v>
      </c>
      <c r="R132" s="119">
        <v>1</v>
      </c>
      <c r="S132" s="80" t="b">
        <v>1</v>
      </c>
      <c r="T132" s="119">
        <v>91</v>
      </c>
      <c r="U132" s="118">
        <v>1365</v>
      </c>
      <c r="V132" s="118">
        <v>1820</v>
      </c>
      <c r="W132" s="119">
        <v>0</v>
      </c>
      <c r="X132" s="119">
        <v>7</v>
      </c>
      <c r="Y132" s="119" t="s">
        <v>38</v>
      </c>
      <c r="Z132" s="114" t="s">
        <v>675</v>
      </c>
      <c r="AA132" s="206" t="s">
        <v>680</v>
      </c>
      <c r="AB132" s="119" t="s">
        <v>677</v>
      </c>
      <c r="AC132" s="119">
        <v>100000</v>
      </c>
      <c r="AD132" s="197">
        <v>1</v>
      </c>
      <c r="AE132" s="197">
        <v>1</v>
      </c>
      <c r="AF132">
        <v>0</v>
      </c>
      <c r="AG132" s="403">
        <v>7</v>
      </c>
    </row>
    <row r="133" spans="1:33" ht="17.25" x14ac:dyDescent="0.3">
      <c r="A133" s="17">
        <v>105008</v>
      </c>
      <c r="B133" s="17" t="s">
        <v>681</v>
      </c>
      <c r="C133" s="17" t="s">
        <v>682</v>
      </c>
      <c r="D133" s="118" t="s">
        <v>33</v>
      </c>
      <c r="E133" s="118">
        <v>5</v>
      </c>
      <c r="F133" s="118" t="s">
        <v>631</v>
      </c>
      <c r="G133" s="118" t="s">
        <v>683</v>
      </c>
      <c r="H133" s="17" t="s">
        <v>35</v>
      </c>
      <c r="I133" s="118">
        <v>1</v>
      </c>
      <c r="J133" s="118">
        <v>1</v>
      </c>
      <c r="K133" s="118">
        <v>1</v>
      </c>
      <c r="L133" s="118">
        <v>3</v>
      </c>
      <c r="M133" s="118" t="s">
        <v>70</v>
      </c>
      <c r="N133" s="118" t="s">
        <v>89</v>
      </c>
      <c r="O133" s="118">
        <v>1</v>
      </c>
      <c r="P133" s="118">
        <v>0.9</v>
      </c>
      <c r="Q133" s="118">
        <v>0</v>
      </c>
      <c r="R133" s="118">
        <v>1</v>
      </c>
      <c r="S133" s="25" t="b">
        <v>1</v>
      </c>
      <c r="T133" s="118">
        <v>104</v>
      </c>
      <c r="U133" s="118">
        <v>1560</v>
      </c>
      <c r="V133" s="118">
        <v>2080</v>
      </c>
      <c r="W133" s="118">
        <v>0</v>
      </c>
      <c r="X133" s="118">
        <v>8</v>
      </c>
      <c r="Y133" s="118" t="s">
        <v>38</v>
      </c>
      <c r="Z133" s="415" t="s">
        <v>684</v>
      </c>
      <c r="AA133" s="206" t="s">
        <v>685</v>
      </c>
      <c r="AB133" s="118" t="s">
        <v>686</v>
      </c>
      <c r="AC133" s="118">
        <v>100000</v>
      </c>
      <c r="AD133" s="191">
        <v>1</v>
      </c>
      <c r="AE133" s="191">
        <v>1</v>
      </c>
      <c r="AF133">
        <v>0</v>
      </c>
      <c r="AG133" s="402">
        <v>8</v>
      </c>
    </row>
    <row r="134" spans="1:33" ht="17.25" x14ac:dyDescent="0.3">
      <c r="A134" s="17">
        <v>105009</v>
      </c>
      <c r="B134" s="17" t="s">
        <v>687</v>
      </c>
      <c r="C134" s="17" t="s">
        <v>688</v>
      </c>
      <c r="D134" s="118" t="s">
        <v>33</v>
      </c>
      <c r="E134" s="118">
        <v>5</v>
      </c>
      <c r="F134" s="118" t="s">
        <v>631</v>
      </c>
      <c r="G134" s="118" t="s">
        <v>689</v>
      </c>
      <c r="H134" s="17" t="s">
        <v>35</v>
      </c>
      <c r="I134" s="118">
        <v>1</v>
      </c>
      <c r="J134" s="118">
        <v>1</v>
      </c>
      <c r="K134" s="118">
        <v>1</v>
      </c>
      <c r="L134" s="118">
        <v>3</v>
      </c>
      <c r="M134" s="118" t="s">
        <v>70</v>
      </c>
      <c r="N134" s="118" t="s">
        <v>95</v>
      </c>
      <c r="O134" s="118">
        <v>1</v>
      </c>
      <c r="P134" s="118">
        <v>0.9</v>
      </c>
      <c r="Q134" s="118">
        <v>0</v>
      </c>
      <c r="R134" s="118">
        <v>1</v>
      </c>
      <c r="S134" s="25" t="b">
        <v>1</v>
      </c>
      <c r="T134" s="118">
        <v>117</v>
      </c>
      <c r="U134" s="118">
        <v>1755</v>
      </c>
      <c r="V134" s="118">
        <v>2340</v>
      </c>
      <c r="W134" s="118">
        <v>0</v>
      </c>
      <c r="X134" s="118">
        <v>9</v>
      </c>
      <c r="Y134" s="118" t="s">
        <v>38</v>
      </c>
      <c r="Z134" s="415" t="s">
        <v>690</v>
      </c>
      <c r="AA134" s="206" t="s">
        <v>691</v>
      </c>
      <c r="AB134" s="118" t="s">
        <v>692</v>
      </c>
      <c r="AC134" s="118">
        <v>100000</v>
      </c>
      <c r="AD134" s="191">
        <v>1</v>
      </c>
      <c r="AE134" s="191">
        <v>1</v>
      </c>
      <c r="AF134">
        <v>0</v>
      </c>
      <c r="AG134" s="402">
        <v>9</v>
      </c>
    </row>
    <row r="135" spans="1:33" ht="17.25" x14ac:dyDescent="0.3">
      <c r="A135" s="17">
        <v>105010</v>
      </c>
      <c r="B135" s="17" t="s">
        <v>693</v>
      </c>
      <c r="C135" s="17" t="s">
        <v>694</v>
      </c>
      <c r="D135" s="118" t="s">
        <v>33</v>
      </c>
      <c r="E135" s="118">
        <v>5</v>
      </c>
      <c r="F135" s="118" t="s">
        <v>631</v>
      </c>
      <c r="G135" s="118" t="s">
        <v>695</v>
      </c>
      <c r="H135" s="17" t="s">
        <v>35</v>
      </c>
      <c r="I135" s="118">
        <v>1</v>
      </c>
      <c r="J135" s="118">
        <v>1</v>
      </c>
      <c r="K135" s="118">
        <v>1</v>
      </c>
      <c r="L135" s="118">
        <v>3</v>
      </c>
      <c r="M135" s="118" t="s">
        <v>70</v>
      </c>
      <c r="N135" s="118" t="s">
        <v>101</v>
      </c>
      <c r="O135" s="118">
        <v>1</v>
      </c>
      <c r="P135" s="118">
        <v>0.9</v>
      </c>
      <c r="Q135" s="118">
        <v>0</v>
      </c>
      <c r="R135" s="118">
        <v>1</v>
      </c>
      <c r="S135" s="25" t="b">
        <v>1</v>
      </c>
      <c r="T135" s="118">
        <v>130</v>
      </c>
      <c r="U135" s="118">
        <v>1950</v>
      </c>
      <c r="V135" s="118">
        <v>2600</v>
      </c>
      <c r="W135" s="118">
        <v>0</v>
      </c>
      <c r="X135" s="118">
        <v>10</v>
      </c>
      <c r="Y135" s="118" t="s">
        <v>38</v>
      </c>
      <c r="Z135" s="415" t="s">
        <v>696</v>
      </c>
      <c r="AA135" s="206" t="s">
        <v>697</v>
      </c>
      <c r="AB135" s="118" t="s">
        <v>698</v>
      </c>
      <c r="AC135" s="118">
        <v>100000</v>
      </c>
      <c r="AD135" s="191">
        <v>1</v>
      </c>
      <c r="AE135" s="191">
        <v>1</v>
      </c>
      <c r="AF135">
        <v>0</v>
      </c>
      <c r="AG135" s="402">
        <v>10</v>
      </c>
    </row>
    <row r="136" spans="1:33" ht="17.25" x14ac:dyDescent="0.3">
      <c r="A136" s="119">
        <v>105208</v>
      </c>
      <c r="B136" s="114" t="s">
        <v>699</v>
      </c>
      <c r="C136" s="114" t="s">
        <v>700</v>
      </c>
      <c r="D136" s="119" t="s">
        <v>33</v>
      </c>
      <c r="E136" s="119">
        <v>5</v>
      </c>
      <c r="F136" s="119" t="s">
        <v>631</v>
      </c>
      <c r="G136" s="119" t="s">
        <v>683</v>
      </c>
      <c r="H136" s="119" t="s">
        <v>51</v>
      </c>
      <c r="I136" s="119">
        <v>1</v>
      </c>
      <c r="J136" s="118">
        <v>4</v>
      </c>
      <c r="K136" s="119">
        <v>0</v>
      </c>
      <c r="L136" s="119">
        <v>3</v>
      </c>
      <c r="M136" s="119" t="s">
        <v>52</v>
      </c>
      <c r="N136" s="118" t="s">
        <v>89</v>
      </c>
      <c r="O136" s="119">
        <v>1</v>
      </c>
      <c r="P136" s="119">
        <v>0.9</v>
      </c>
      <c r="Q136" s="119">
        <v>0</v>
      </c>
      <c r="R136" s="119">
        <v>1</v>
      </c>
      <c r="S136" s="80" t="b">
        <v>1</v>
      </c>
      <c r="T136" s="119">
        <v>104</v>
      </c>
      <c r="U136" s="118">
        <v>1560</v>
      </c>
      <c r="V136" s="118">
        <v>2080</v>
      </c>
      <c r="W136" s="119">
        <v>0</v>
      </c>
      <c r="X136" s="119">
        <v>8</v>
      </c>
      <c r="Y136" s="119" t="s">
        <v>38</v>
      </c>
      <c r="Z136" s="473" t="s">
        <v>684</v>
      </c>
      <c r="AA136" s="206" t="s">
        <v>701</v>
      </c>
      <c r="AB136" s="80" t="s">
        <v>686</v>
      </c>
      <c r="AC136" s="119">
        <v>100000</v>
      </c>
      <c r="AD136" s="92">
        <v>1</v>
      </c>
      <c r="AE136" s="92">
        <v>1</v>
      </c>
      <c r="AF136">
        <v>0</v>
      </c>
      <c r="AG136" s="403">
        <v>8</v>
      </c>
    </row>
    <row r="137" spans="1:33" ht="17.25" x14ac:dyDescent="0.3">
      <c r="A137" s="119">
        <v>105209</v>
      </c>
      <c r="B137" s="114" t="s">
        <v>702</v>
      </c>
      <c r="C137" s="114" t="s">
        <v>703</v>
      </c>
      <c r="D137" s="119" t="s">
        <v>33</v>
      </c>
      <c r="E137" s="119">
        <v>5</v>
      </c>
      <c r="F137" s="119" t="s">
        <v>631</v>
      </c>
      <c r="G137" s="119" t="s">
        <v>689</v>
      </c>
      <c r="H137" s="119" t="s">
        <v>51</v>
      </c>
      <c r="I137" s="119">
        <v>1</v>
      </c>
      <c r="J137" s="118">
        <v>4</v>
      </c>
      <c r="K137" s="119">
        <v>0</v>
      </c>
      <c r="L137" s="119">
        <v>3</v>
      </c>
      <c r="M137" s="119" t="s">
        <v>52</v>
      </c>
      <c r="N137" s="118" t="s">
        <v>95</v>
      </c>
      <c r="O137" s="119">
        <v>1</v>
      </c>
      <c r="P137" s="119">
        <v>0.9</v>
      </c>
      <c r="Q137" s="119">
        <v>0</v>
      </c>
      <c r="R137" s="119">
        <v>1</v>
      </c>
      <c r="S137" s="80" t="b">
        <v>1</v>
      </c>
      <c r="T137" s="119">
        <v>117</v>
      </c>
      <c r="U137" s="118">
        <v>1755</v>
      </c>
      <c r="V137" s="118">
        <v>2340</v>
      </c>
      <c r="W137" s="119">
        <v>0</v>
      </c>
      <c r="X137" s="119">
        <v>9</v>
      </c>
      <c r="Y137" s="119" t="s">
        <v>38</v>
      </c>
      <c r="Z137" s="473" t="s">
        <v>690</v>
      </c>
      <c r="AA137" s="206" t="s">
        <v>704</v>
      </c>
      <c r="AB137" s="80" t="s">
        <v>692</v>
      </c>
      <c r="AC137" s="119">
        <v>100000</v>
      </c>
      <c r="AD137" s="92">
        <v>1</v>
      </c>
      <c r="AE137" s="92">
        <v>1</v>
      </c>
      <c r="AF137">
        <v>0</v>
      </c>
      <c r="AG137" s="403">
        <v>9</v>
      </c>
    </row>
    <row r="138" spans="1:33" ht="17.25" x14ac:dyDescent="0.3">
      <c r="A138" s="119">
        <v>105210</v>
      </c>
      <c r="B138" s="114" t="s">
        <v>705</v>
      </c>
      <c r="C138" s="114" t="s">
        <v>706</v>
      </c>
      <c r="D138" s="119" t="s">
        <v>33</v>
      </c>
      <c r="E138" s="119">
        <v>5</v>
      </c>
      <c r="F138" s="119" t="s">
        <v>631</v>
      </c>
      <c r="G138" s="119" t="s">
        <v>695</v>
      </c>
      <c r="H138" s="119" t="s">
        <v>51</v>
      </c>
      <c r="I138" s="119">
        <v>1</v>
      </c>
      <c r="J138" s="118">
        <v>4</v>
      </c>
      <c r="K138" s="119">
        <v>0</v>
      </c>
      <c r="L138" s="119">
        <v>3</v>
      </c>
      <c r="M138" s="119" t="s">
        <v>52</v>
      </c>
      <c r="N138" s="118" t="s">
        <v>101</v>
      </c>
      <c r="O138" s="119">
        <v>1</v>
      </c>
      <c r="P138" s="119">
        <v>0.9</v>
      </c>
      <c r="Q138" s="119">
        <v>0</v>
      </c>
      <c r="R138" s="119">
        <v>1</v>
      </c>
      <c r="S138" s="80" t="b">
        <v>1</v>
      </c>
      <c r="T138" s="119">
        <v>130</v>
      </c>
      <c r="U138" s="118">
        <v>1950</v>
      </c>
      <c r="V138" s="118">
        <v>2600</v>
      </c>
      <c r="W138" s="119">
        <v>0</v>
      </c>
      <c r="X138" s="119">
        <v>10</v>
      </c>
      <c r="Y138" s="119" t="s">
        <v>38</v>
      </c>
      <c r="Z138" s="473" t="s">
        <v>696</v>
      </c>
      <c r="AA138" s="206" t="s">
        <v>707</v>
      </c>
      <c r="AB138" s="80" t="s">
        <v>698</v>
      </c>
      <c r="AC138" s="119">
        <v>100000</v>
      </c>
      <c r="AD138" s="92">
        <v>1</v>
      </c>
      <c r="AE138" s="92">
        <v>1</v>
      </c>
      <c r="AF138">
        <v>0</v>
      </c>
      <c r="AG138" s="403">
        <v>10</v>
      </c>
    </row>
    <row r="139" spans="1:33" ht="17.25" x14ac:dyDescent="0.3">
      <c r="A139" s="84">
        <v>105202</v>
      </c>
      <c r="B139" s="105" t="s">
        <v>708</v>
      </c>
      <c r="C139" s="105" t="s">
        <v>709</v>
      </c>
      <c r="D139" s="84" t="s">
        <v>33</v>
      </c>
      <c r="E139" s="84">
        <v>5</v>
      </c>
      <c r="F139" s="84" t="s">
        <v>631</v>
      </c>
      <c r="G139" s="84" t="s">
        <v>632</v>
      </c>
      <c r="H139" s="84" t="s">
        <v>107</v>
      </c>
      <c r="I139" s="84">
        <v>4</v>
      </c>
      <c r="J139" s="118">
        <v>4</v>
      </c>
      <c r="K139" s="84">
        <v>0</v>
      </c>
      <c r="L139" s="84">
        <v>3</v>
      </c>
      <c r="M139" s="84">
        <v>4</v>
      </c>
      <c r="N139" s="118" t="s">
        <v>45</v>
      </c>
      <c r="O139" s="84">
        <v>1</v>
      </c>
      <c r="P139" s="84">
        <v>0.9</v>
      </c>
      <c r="Q139" s="84">
        <v>0</v>
      </c>
      <c r="R139" s="84">
        <v>1</v>
      </c>
      <c r="S139" s="43" t="b">
        <v>1</v>
      </c>
      <c r="T139" s="84">
        <v>26</v>
      </c>
      <c r="U139" s="118">
        <v>390</v>
      </c>
      <c r="V139" s="118">
        <v>520</v>
      </c>
      <c r="W139" s="84">
        <v>0</v>
      </c>
      <c r="X139" s="84">
        <v>2</v>
      </c>
      <c r="Y139" s="84" t="s">
        <v>38</v>
      </c>
      <c r="Z139" s="362" t="s">
        <v>108</v>
      </c>
      <c r="AA139" s="206" t="s">
        <v>710</v>
      </c>
      <c r="AB139" s="43" t="s">
        <v>711</v>
      </c>
      <c r="AC139" s="84">
        <v>100000</v>
      </c>
      <c r="AD139" s="197">
        <v>1</v>
      </c>
      <c r="AE139" s="197">
        <v>1</v>
      </c>
      <c r="AF139">
        <v>0</v>
      </c>
      <c r="AG139" s="404">
        <v>2</v>
      </c>
    </row>
    <row r="140" spans="1:33" ht="17.25" x14ac:dyDescent="0.3">
      <c r="A140" s="391">
        <v>105203</v>
      </c>
      <c r="B140" s="392" t="s">
        <v>712</v>
      </c>
      <c r="C140" s="392" t="s">
        <v>713</v>
      </c>
      <c r="D140" s="391" t="s">
        <v>33</v>
      </c>
      <c r="E140" s="391">
        <v>5</v>
      </c>
      <c r="F140" s="391" t="s">
        <v>631</v>
      </c>
      <c r="G140" s="118" t="s">
        <v>641</v>
      </c>
      <c r="H140" s="391" t="s">
        <v>112</v>
      </c>
      <c r="I140" s="391">
        <v>4</v>
      </c>
      <c r="J140" s="118">
        <v>4</v>
      </c>
      <c r="K140" s="391">
        <v>0</v>
      </c>
      <c r="L140" s="391">
        <v>3</v>
      </c>
      <c r="M140" s="391">
        <v>4</v>
      </c>
      <c r="N140" s="118" t="s">
        <v>57</v>
      </c>
      <c r="O140" s="391">
        <v>1</v>
      </c>
      <c r="P140" s="391">
        <v>0.9</v>
      </c>
      <c r="Q140" s="391">
        <v>0</v>
      </c>
      <c r="R140" s="391">
        <v>1</v>
      </c>
      <c r="S140" s="397" t="b">
        <v>1</v>
      </c>
      <c r="T140" s="391">
        <v>39</v>
      </c>
      <c r="U140" s="118">
        <v>585</v>
      </c>
      <c r="V140" s="118">
        <v>780</v>
      </c>
      <c r="W140" s="391">
        <v>0</v>
      </c>
      <c r="X140" s="391">
        <v>3</v>
      </c>
      <c r="Y140" s="391" t="s">
        <v>38</v>
      </c>
      <c r="Z140" s="391" t="s">
        <v>714</v>
      </c>
      <c r="AA140" s="206" t="s">
        <v>715</v>
      </c>
      <c r="AB140" s="397" t="s">
        <v>644</v>
      </c>
      <c r="AC140" s="391">
        <v>100000</v>
      </c>
      <c r="AD140" s="197">
        <v>1</v>
      </c>
      <c r="AE140" s="197">
        <v>1</v>
      </c>
      <c r="AF140">
        <v>0</v>
      </c>
      <c r="AG140" s="405">
        <v>3</v>
      </c>
    </row>
    <row r="141" spans="1:33" ht="17.25" x14ac:dyDescent="0.3">
      <c r="A141" s="393">
        <v>105204</v>
      </c>
      <c r="B141" s="394" t="s">
        <v>288</v>
      </c>
      <c r="C141" s="394" t="s">
        <v>289</v>
      </c>
      <c r="D141" s="393" t="s">
        <v>33</v>
      </c>
      <c r="E141" s="393">
        <v>5</v>
      </c>
      <c r="F141" s="393" t="s">
        <v>631</v>
      </c>
      <c r="G141" s="393" t="s">
        <v>650</v>
      </c>
      <c r="H141" s="393"/>
      <c r="I141" s="393">
        <v>5</v>
      </c>
      <c r="J141" s="118">
        <v>5</v>
      </c>
      <c r="K141" s="393">
        <v>0</v>
      </c>
      <c r="L141" s="393">
        <v>3</v>
      </c>
      <c r="M141" s="393">
        <v>5</v>
      </c>
      <c r="N141" s="118" t="s">
        <v>64</v>
      </c>
      <c r="O141" s="393">
        <v>1</v>
      </c>
      <c r="P141" s="393">
        <v>0.9</v>
      </c>
      <c r="Q141" s="393">
        <v>0</v>
      </c>
      <c r="R141" s="393">
        <v>1</v>
      </c>
      <c r="S141" s="399" t="b">
        <v>1</v>
      </c>
      <c r="T141" s="393">
        <v>52</v>
      </c>
      <c r="U141" s="118">
        <v>780</v>
      </c>
      <c r="V141" s="118">
        <v>1040</v>
      </c>
      <c r="W141" s="393">
        <v>0</v>
      </c>
      <c r="X141" s="393">
        <v>4</v>
      </c>
      <c r="Y141" s="393" t="s">
        <v>38</v>
      </c>
      <c r="Z141" s="476" t="s">
        <v>716</v>
      </c>
      <c r="AA141" s="206" t="s">
        <v>717</v>
      </c>
      <c r="AB141" s="399" t="s">
        <v>718</v>
      </c>
      <c r="AC141" s="393">
        <v>100000</v>
      </c>
      <c r="AD141" s="197">
        <v>1</v>
      </c>
      <c r="AE141" s="197">
        <v>1</v>
      </c>
      <c r="AF141">
        <v>0</v>
      </c>
      <c r="AG141" s="407">
        <v>4</v>
      </c>
    </row>
    <row r="142" spans="1:33" ht="17.25" x14ac:dyDescent="0.3">
      <c r="A142" s="128">
        <v>105206</v>
      </c>
      <c r="B142" s="128" t="s">
        <v>719</v>
      </c>
      <c r="C142" s="128" t="s">
        <v>720</v>
      </c>
      <c r="D142" s="130" t="s">
        <v>33</v>
      </c>
      <c r="E142" s="130">
        <v>5</v>
      </c>
      <c r="F142" s="130" t="s">
        <v>631</v>
      </c>
      <c r="G142" s="130" t="s">
        <v>721</v>
      </c>
      <c r="H142" s="130" t="s">
        <v>611</v>
      </c>
      <c r="I142" s="130">
        <v>1</v>
      </c>
      <c r="J142" s="118">
        <v>1</v>
      </c>
      <c r="K142" s="130">
        <v>0</v>
      </c>
      <c r="L142" s="130">
        <v>14</v>
      </c>
      <c r="M142" s="130">
        <v>5</v>
      </c>
      <c r="N142" s="118" t="s">
        <v>77</v>
      </c>
      <c r="O142" s="134">
        <v>1</v>
      </c>
      <c r="P142" s="134">
        <v>0.9</v>
      </c>
      <c r="Q142" s="134">
        <v>0</v>
      </c>
      <c r="R142" s="130">
        <v>1</v>
      </c>
      <c r="S142" s="130" t="b">
        <v>1</v>
      </c>
      <c r="T142" s="134">
        <v>78</v>
      </c>
      <c r="U142" s="118">
        <v>1170</v>
      </c>
      <c r="V142" s="118">
        <v>1560</v>
      </c>
      <c r="W142" s="134">
        <v>0</v>
      </c>
      <c r="X142" s="130">
        <v>6</v>
      </c>
      <c r="Y142" s="130" t="s">
        <v>38</v>
      </c>
      <c r="Z142" s="442" t="s">
        <v>722</v>
      </c>
      <c r="AA142" s="206" t="s">
        <v>723</v>
      </c>
      <c r="AB142" s="414" t="s">
        <v>724</v>
      </c>
      <c r="AC142" s="130">
        <v>100000</v>
      </c>
      <c r="AD142" s="197">
        <v>1</v>
      </c>
      <c r="AE142" s="197">
        <v>1</v>
      </c>
      <c r="AF142">
        <v>0</v>
      </c>
      <c r="AG142" s="416">
        <v>6</v>
      </c>
    </row>
    <row r="143" spans="1:33" ht="17.25" x14ac:dyDescent="0.3">
      <c r="A143" s="118">
        <v>106001</v>
      </c>
      <c r="B143" s="17" t="s">
        <v>725</v>
      </c>
      <c r="C143" s="17" t="s">
        <v>726</v>
      </c>
      <c r="D143" s="118" t="s">
        <v>33</v>
      </c>
      <c r="E143" s="118">
        <v>6</v>
      </c>
      <c r="F143" s="118" t="s">
        <v>727</v>
      </c>
      <c r="G143" s="118" t="s">
        <v>728</v>
      </c>
      <c r="H143" s="118" t="s">
        <v>35</v>
      </c>
      <c r="I143" s="118">
        <v>1</v>
      </c>
      <c r="J143" s="118">
        <v>1</v>
      </c>
      <c r="K143" s="118">
        <v>1</v>
      </c>
      <c r="L143" s="118">
        <v>3</v>
      </c>
      <c r="M143" s="118" t="s">
        <v>36</v>
      </c>
      <c r="N143" s="118" t="s">
        <v>37</v>
      </c>
      <c r="O143" s="118">
        <v>50</v>
      </c>
      <c r="P143" s="118">
        <v>0.7</v>
      </c>
      <c r="Q143" s="118">
        <v>0</v>
      </c>
      <c r="R143" s="118">
        <v>1</v>
      </c>
      <c r="S143" s="25" t="b">
        <v>1</v>
      </c>
      <c r="T143" s="118">
        <v>13</v>
      </c>
      <c r="U143" s="118">
        <v>195</v>
      </c>
      <c r="V143" s="118">
        <v>260</v>
      </c>
      <c r="W143" s="118">
        <v>0</v>
      </c>
      <c r="X143" s="118">
        <v>1</v>
      </c>
      <c r="Y143" s="118" t="s">
        <v>38</v>
      </c>
      <c r="Z143" s="484" t="s">
        <v>729</v>
      </c>
      <c r="AA143" s="206" t="s">
        <v>730</v>
      </c>
      <c r="AB143" s="25" t="s">
        <v>731</v>
      </c>
      <c r="AC143" s="118">
        <v>200000</v>
      </c>
      <c r="AD143" s="197">
        <v>1</v>
      </c>
      <c r="AE143" s="197">
        <v>1</v>
      </c>
      <c r="AF143">
        <v>0</v>
      </c>
      <c r="AG143" s="402">
        <v>1</v>
      </c>
    </row>
    <row r="144" spans="1:33" ht="17.25" x14ac:dyDescent="0.3">
      <c r="A144" s="118">
        <v>106002</v>
      </c>
      <c r="B144" s="17" t="s">
        <v>732</v>
      </c>
      <c r="C144" s="17" t="s">
        <v>733</v>
      </c>
      <c r="D144" s="118" t="s">
        <v>33</v>
      </c>
      <c r="E144" s="118">
        <v>6</v>
      </c>
      <c r="F144" s="118" t="s">
        <v>727</v>
      </c>
      <c r="G144" s="118" t="s">
        <v>734</v>
      </c>
      <c r="H144" s="118" t="s">
        <v>35</v>
      </c>
      <c r="I144" s="118">
        <v>1</v>
      </c>
      <c r="J144" s="118">
        <v>1</v>
      </c>
      <c r="K144" s="118">
        <v>1</v>
      </c>
      <c r="L144" s="118">
        <v>3</v>
      </c>
      <c r="M144" s="118" t="s">
        <v>44</v>
      </c>
      <c r="N144" s="118" t="s">
        <v>45</v>
      </c>
      <c r="O144" s="118">
        <v>50</v>
      </c>
      <c r="P144" s="118">
        <v>0.7</v>
      </c>
      <c r="Q144" s="118">
        <v>0</v>
      </c>
      <c r="R144" s="118">
        <v>1</v>
      </c>
      <c r="S144" s="25" t="b">
        <v>1</v>
      </c>
      <c r="T144" s="118">
        <v>26</v>
      </c>
      <c r="U144" s="118">
        <v>390</v>
      </c>
      <c r="V144" s="118">
        <v>520</v>
      </c>
      <c r="W144" s="118">
        <v>0</v>
      </c>
      <c r="X144" s="118">
        <v>2</v>
      </c>
      <c r="Y144" s="118" t="s">
        <v>38</v>
      </c>
      <c r="Z144" s="484" t="s">
        <v>735</v>
      </c>
      <c r="AA144" s="206" t="s">
        <v>736</v>
      </c>
      <c r="AB144" s="25" t="s">
        <v>737</v>
      </c>
      <c r="AC144" s="118">
        <v>100000</v>
      </c>
      <c r="AD144" s="197">
        <v>1</v>
      </c>
      <c r="AE144" s="197">
        <v>1</v>
      </c>
      <c r="AF144">
        <v>0</v>
      </c>
      <c r="AG144" s="402">
        <v>2</v>
      </c>
    </row>
    <row r="145" spans="1:33" ht="17.25" x14ac:dyDescent="0.3">
      <c r="A145" s="118">
        <v>106003</v>
      </c>
      <c r="B145" s="17" t="s">
        <v>738</v>
      </c>
      <c r="C145" s="17" t="s">
        <v>739</v>
      </c>
      <c r="D145" s="118" t="s">
        <v>33</v>
      </c>
      <c r="E145" s="118">
        <v>6</v>
      </c>
      <c r="F145" s="118" t="s">
        <v>727</v>
      </c>
      <c r="G145" s="118" t="s">
        <v>740</v>
      </c>
      <c r="H145" s="118" t="s">
        <v>35</v>
      </c>
      <c r="I145" s="118">
        <v>1</v>
      </c>
      <c r="J145" s="118">
        <v>1</v>
      </c>
      <c r="K145" s="118">
        <v>1</v>
      </c>
      <c r="L145" s="118">
        <v>3</v>
      </c>
      <c r="M145" s="118" t="s">
        <v>56</v>
      </c>
      <c r="N145" s="118" t="s">
        <v>57</v>
      </c>
      <c r="O145" s="118">
        <v>50</v>
      </c>
      <c r="P145" s="118">
        <v>0.7</v>
      </c>
      <c r="Q145" s="118">
        <v>0</v>
      </c>
      <c r="R145" s="118">
        <v>1</v>
      </c>
      <c r="S145" s="25" t="b">
        <v>1</v>
      </c>
      <c r="T145" s="118">
        <v>39</v>
      </c>
      <c r="U145" s="118">
        <v>585</v>
      </c>
      <c r="V145" s="118">
        <v>780</v>
      </c>
      <c r="W145" s="118">
        <v>0</v>
      </c>
      <c r="X145" s="118">
        <v>3</v>
      </c>
      <c r="Y145" s="118" t="s">
        <v>38</v>
      </c>
      <c r="Z145" s="484" t="s">
        <v>741</v>
      </c>
      <c r="AA145" s="206" t="s">
        <v>742</v>
      </c>
      <c r="AB145" s="25" t="s">
        <v>743</v>
      </c>
      <c r="AC145" s="118">
        <v>300000</v>
      </c>
      <c r="AD145" s="197">
        <v>1</v>
      </c>
      <c r="AE145" s="197">
        <v>1</v>
      </c>
      <c r="AF145">
        <v>0</v>
      </c>
      <c r="AG145" s="402">
        <v>3</v>
      </c>
    </row>
    <row r="146" spans="1:33" ht="17.25" x14ac:dyDescent="0.3">
      <c r="A146" s="118">
        <v>106004</v>
      </c>
      <c r="B146" s="71" t="s">
        <v>744</v>
      </c>
      <c r="C146" s="71" t="s">
        <v>745</v>
      </c>
      <c r="D146" s="118" t="s">
        <v>33</v>
      </c>
      <c r="E146" s="118">
        <v>6</v>
      </c>
      <c r="F146" s="118" t="s">
        <v>727</v>
      </c>
      <c r="G146" s="118" t="s">
        <v>746</v>
      </c>
      <c r="H146" s="118" t="s">
        <v>35</v>
      </c>
      <c r="I146" s="118">
        <v>1</v>
      </c>
      <c r="J146" s="118">
        <v>1</v>
      </c>
      <c r="K146" s="118">
        <v>1</v>
      </c>
      <c r="L146" s="118">
        <v>3</v>
      </c>
      <c r="M146" s="118" t="s">
        <v>63</v>
      </c>
      <c r="N146" s="118" t="s">
        <v>64</v>
      </c>
      <c r="O146" s="118">
        <v>50</v>
      </c>
      <c r="P146" s="118">
        <v>0.7</v>
      </c>
      <c r="Q146" s="118">
        <v>0</v>
      </c>
      <c r="R146" s="118">
        <v>1</v>
      </c>
      <c r="S146" s="25" t="b">
        <v>1</v>
      </c>
      <c r="T146" s="118">
        <v>52</v>
      </c>
      <c r="U146" s="118">
        <v>780</v>
      </c>
      <c r="V146" s="118">
        <v>1040</v>
      </c>
      <c r="W146" s="118">
        <v>0</v>
      </c>
      <c r="X146" s="118">
        <v>4</v>
      </c>
      <c r="Y146" s="118" t="s">
        <v>38</v>
      </c>
      <c r="Z146" s="484" t="s">
        <v>747</v>
      </c>
      <c r="AA146" s="206" t="s">
        <v>748</v>
      </c>
      <c r="AB146" s="25" t="s">
        <v>749</v>
      </c>
      <c r="AC146" s="118">
        <v>300000</v>
      </c>
      <c r="AD146" s="197">
        <v>1</v>
      </c>
      <c r="AE146" s="197">
        <v>1</v>
      </c>
      <c r="AF146">
        <v>0</v>
      </c>
      <c r="AG146" s="402">
        <v>4</v>
      </c>
    </row>
    <row r="147" spans="1:33" ht="17.25" x14ac:dyDescent="0.3">
      <c r="A147" s="118">
        <v>106005</v>
      </c>
      <c r="B147" s="17" t="s">
        <v>750</v>
      </c>
      <c r="C147" s="17" t="s">
        <v>751</v>
      </c>
      <c r="D147" s="118" t="s">
        <v>33</v>
      </c>
      <c r="E147" s="118">
        <v>6</v>
      </c>
      <c r="F147" s="118" t="s">
        <v>727</v>
      </c>
      <c r="G147" s="118" t="s">
        <v>752</v>
      </c>
      <c r="H147" s="118" t="s">
        <v>35</v>
      </c>
      <c r="I147" s="118">
        <v>1</v>
      </c>
      <c r="J147" s="118">
        <v>1</v>
      </c>
      <c r="K147" s="118">
        <v>1</v>
      </c>
      <c r="L147" s="118">
        <v>3</v>
      </c>
      <c r="M147" s="118" t="s">
        <v>70</v>
      </c>
      <c r="N147" s="118" t="s">
        <v>71</v>
      </c>
      <c r="O147" s="118">
        <v>50</v>
      </c>
      <c r="P147" s="118">
        <v>0.7</v>
      </c>
      <c r="Q147" s="118">
        <v>0</v>
      </c>
      <c r="R147" s="118">
        <v>1</v>
      </c>
      <c r="S147" s="25" t="b">
        <v>1</v>
      </c>
      <c r="T147" s="118">
        <v>65</v>
      </c>
      <c r="U147" s="118">
        <v>975</v>
      </c>
      <c r="V147" s="118">
        <v>1300</v>
      </c>
      <c r="W147" s="118">
        <v>0</v>
      </c>
      <c r="X147" s="118">
        <v>5</v>
      </c>
      <c r="Y147" s="118" t="s">
        <v>38</v>
      </c>
      <c r="Z147" s="484" t="s">
        <v>753</v>
      </c>
      <c r="AA147" s="206" t="s">
        <v>754</v>
      </c>
      <c r="AB147" s="118" t="s">
        <v>755</v>
      </c>
      <c r="AC147" s="118">
        <v>300000</v>
      </c>
      <c r="AD147" s="197">
        <v>1</v>
      </c>
      <c r="AE147" s="197">
        <v>1</v>
      </c>
      <c r="AF147">
        <v>0</v>
      </c>
      <c r="AG147" s="402">
        <v>5</v>
      </c>
    </row>
    <row r="148" spans="1:33" ht="17.25" x14ac:dyDescent="0.3">
      <c r="A148" s="118">
        <v>106006</v>
      </c>
      <c r="B148" s="17" t="s">
        <v>756</v>
      </c>
      <c r="C148" s="17" t="s">
        <v>757</v>
      </c>
      <c r="D148" s="118" t="s">
        <v>33</v>
      </c>
      <c r="E148" s="118">
        <v>6</v>
      </c>
      <c r="F148" s="118" t="s">
        <v>727</v>
      </c>
      <c r="G148" s="118" t="s">
        <v>758</v>
      </c>
      <c r="H148" s="118" t="s">
        <v>35</v>
      </c>
      <c r="I148" s="118">
        <v>1</v>
      </c>
      <c r="J148" s="118">
        <v>1</v>
      </c>
      <c r="K148" s="118">
        <v>1</v>
      </c>
      <c r="L148" s="118">
        <v>3</v>
      </c>
      <c r="M148" s="118" t="s">
        <v>70</v>
      </c>
      <c r="N148" s="118" t="s">
        <v>77</v>
      </c>
      <c r="O148" s="118">
        <v>50</v>
      </c>
      <c r="P148" s="118">
        <v>0.7</v>
      </c>
      <c r="Q148" s="118">
        <v>0</v>
      </c>
      <c r="R148" s="118">
        <v>1</v>
      </c>
      <c r="S148" s="25" t="b">
        <v>1</v>
      </c>
      <c r="T148" s="118">
        <v>78</v>
      </c>
      <c r="U148" s="118">
        <v>1170</v>
      </c>
      <c r="V148" s="118">
        <v>1560</v>
      </c>
      <c r="W148" s="118">
        <v>0</v>
      </c>
      <c r="X148" s="118">
        <v>6</v>
      </c>
      <c r="Y148" s="118" t="s">
        <v>38</v>
      </c>
      <c r="Z148" s="485" t="s">
        <v>759</v>
      </c>
      <c r="AA148" s="206" t="s">
        <v>760</v>
      </c>
      <c r="AB148" s="118" t="s">
        <v>761</v>
      </c>
      <c r="AC148" s="118">
        <v>300000</v>
      </c>
      <c r="AD148" s="197">
        <v>1</v>
      </c>
      <c r="AE148" s="197">
        <v>1</v>
      </c>
      <c r="AF148">
        <v>0</v>
      </c>
      <c r="AG148" s="402">
        <v>6</v>
      </c>
    </row>
    <row r="149" spans="1:33" ht="17.25" x14ac:dyDescent="0.3">
      <c r="A149" s="118">
        <v>106007</v>
      </c>
      <c r="B149" s="21" t="s">
        <v>762</v>
      </c>
      <c r="C149" s="21" t="s">
        <v>763</v>
      </c>
      <c r="D149" s="118" t="s">
        <v>33</v>
      </c>
      <c r="E149" s="118">
        <v>6</v>
      </c>
      <c r="F149" s="118" t="s">
        <v>727</v>
      </c>
      <c r="G149" s="118" t="s">
        <v>764</v>
      </c>
      <c r="H149" s="118" t="s">
        <v>35</v>
      </c>
      <c r="I149" s="118">
        <v>1</v>
      </c>
      <c r="J149" s="118">
        <v>1</v>
      </c>
      <c r="K149" s="118">
        <v>1</v>
      </c>
      <c r="L149" s="118">
        <v>3</v>
      </c>
      <c r="M149" s="118" t="s">
        <v>70</v>
      </c>
      <c r="N149" s="118" t="s">
        <v>83</v>
      </c>
      <c r="O149" s="118">
        <v>50</v>
      </c>
      <c r="P149" s="118">
        <v>0.7</v>
      </c>
      <c r="Q149" s="118">
        <v>0</v>
      </c>
      <c r="R149" s="118">
        <v>1</v>
      </c>
      <c r="S149" s="25" t="b">
        <v>1</v>
      </c>
      <c r="T149" s="118">
        <v>91</v>
      </c>
      <c r="U149" s="118">
        <v>1365</v>
      </c>
      <c r="V149" s="118">
        <v>1820</v>
      </c>
      <c r="W149" s="118">
        <v>0</v>
      </c>
      <c r="X149" s="118">
        <v>7</v>
      </c>
      <c r="Y149" s="118" t="s">
        <v>38</v>
      </c>
      <c r="Z149" s="485" t="s">
        <v>765</v>
      </c>
      <c r="AA149" s="206" t="s">
        <v>766</v>
      </c>
      <c r="AB149" s="118" t="s">
        <v>767</v>
      </c>
      <c r="AC149" s="118">
        <v>100000</v>
      </c>
      <c r="AD149" s="197">
        <v>1</v>
      </c>
      <c r="AE149" s="197">
        <v>1</v>
      </c>
      <c r="AF149">
        <v>0</v>
      </c>
      <c r="AG149" s="402">
        <v>7</v>
      </c>
    </row>
    <row r="150" spans="1:33" ht="17.25" x14ac:dyDescent="0.3">
      <c r="A150" s="114">
        <v>106207</v>
      </c>
      <c r="B150" s="359" t="s">
        <v>768</v>
      </c>
      <c r="C150" s="359" t="s">
        <v>769</v>
      </c>
      <c r="D150" s="119" t="s">
        <v>33</v>
      </c>
      <c r="E150" s="119">
        <v>6</v>
      </c>
      <c r="F150" s="119" t="s">
        <v>727</v>
      </c>
      <c r="G150" s="118" t="s">
        <v>764</v>
      </c>
      <c r="H150" s="119" t="s">
        <v>51</v>
      </c>
      <c r="I150" s="119">
        <v>1</v>
      </c>
      <c r="J150" s="118">
        <v>4</v>
      </c>
      <c r="K150" s="119">
        <v>0</v>
      </c>
      <c r="L150" s="119">
        <v>3</v>
      </c>
      <c r="M150" s="119" t="s">
        <v>52</v>
      </c>
      <c r="N150" s="118" t="s">
        <v>83</v>
      </c>
      <c r="O150" s="119">
        <v>50</v>
      </c>
      <c r="P150" s="119">
        <v>0.7</v>
      </c>
      <c r="Q150" s="119">
        <v>0</v>
      </c>
      <c r="R150" s="119">
        <v>1</v>
      </c>
      <c r="S150" s="80" t="b">
        <v>1</v>
      </c>
      <c r="T150" s="119">
        <v>91</v>
      </c>
      <c r="U150" s="118">
        <v>1365</v>
      </c>
      <c r="V150" s="118">
        <v>1820</v>
      </c>
      <c r="W150" s="119">
        <v>0</v>
      </c>
      <c r="X150" s="119">
        <v>7</v>
      </c>
      <c r="Y150" s="119" t="s">
        <v>38</v>
      </c>
      <c r="Z150" s="430" t="s">
        <v>765</v>
      </c>
      <c r="AA150" s="206" t="s">
        <v>770</v>
      </c>
      <c r="AB150" s="119" t="s">
        <v>767</v>
      </c>
      <c r="AC150" s="119">
        <v>100000</v>
      </c>
      <c r="AD150" s="197">
        <v>1</v>
      </c>
      <c r="AE150" s="197">
        <v>1</v>
      </c>
      <c r="AF150">
        <v>0</v>
      </c>
      <c r="AG150" s="403">
        <v>7</v>
      </c>
    </row>
    <row r="151" spans="1:33" ht="17.25" x14ac:dyDescent="0.3">
      <c r="A151" s="17">
        <v>106008</v>
      </c>
      <c r="B151" s="17" t="s">
        <v>771</v>
      </c>
      <c r="C151" s="17" t="s">
        <v>772</v>
      </c>
      <c r="D151" s="118" t="s">
        <v>33</v>
      </c>
      <c r="E151" s="118">
        <v>6</v>
      </c>
      <c r="F151" s="118" t="s">
        <v>727</v>
      </c>
      <c r="G151" s="118" t="s">
        <v>773</v>
      </c>
      <c r="H151" s="17" t="s">
        <v>35</v>
      </c>
      <c r="I151" s="118">
        <v>1</v>
      </c>
      <c r="J151" s="118">
        <v>1</v>
      </c>
      <c r="K151" s="118">
        <v>1</v>
      </c>
      <c r="L151" s="118">
        <v>3</v>
      </c>
      <c r="M151" s="118" t="s">
        <v>70</v>
      </c>
      <c r="N151" s="118" t="s">
        <v>89</v>
      </c>
      <c r="O151" s="118">
        <v>50</v>
      </c>
      <c r="P151" s="118">
        <v>0.7</v>
      </c>
      <c r="Q151" s="118">
        <v>0</v>
      </c>
      <c r="R151" s="118">
        <v>1</v>
      </c>
      <c r="S151" s="25" t="b">
        <v>1</v>
      </c>
      <c r="T151" s="118">
        <v>104</v>
      </c>
      <c r="U151" s="118">
        <v>1560</v>
      </c>
      <c r="V151" s="118">
        <v>2080</v>
      </c>
      <c r="W151" s="118">
        <v>0</v>
      </c>
      <c r="X151" s="118">
        <v>8</v>
      </c>
      <c r="Y151" s="118" t="s">
        <v>38</v>
      </c>
      <c r="Z151" s="415" t="s">
        <v>774</v>
      </c>
      <c r="AA151" s="206" t="s">
        <v>775</v>
      </c>
      <c r="AB151" s="118" t="s">
        <v>776</v>
      </c>
      <c r="AC151" s="118">
        <v>100000</v>
      </c>
      <c r="AD151" s="191">
        <v>1</v>
      </c>
      <c r="AE151" s="191">
        <v>1</v>
      </c>
      <c r="AF151">
        <v>0</v>
      </c>
      <c r="AG151" s="402">
        <v>8</v>
      </c>
    </row>
    <row r="152" spans="1:33" ht="17.25" x14ac:dyDescent="0.3">
      <c r="A152" s="17">
        <v>106009</v>
      </c>
      <c r="B152" s="17" t="s">
        <v>777</v>
      </c>
      <c r="C152" s="17" t="s">
        <v>778</v>
      </c>
      <c r="D152" s="118" t="s">
        <v>33</v>
      </c>
      <c r="E152" s="118">
        <v>6</v>
      </c>
      <c r="F152" s="118" t="s">
        <v>727</v>
      </c>
      <c r="G152" s="118" t="s">
        <v>779</v>
      </c>
      <c r="H152" s="17" t="s">
        <v>35</v>
      </c>
      <c r="I152" s="118">
        <v>1</v>
      </c>
      <c r="J152" s="118">
        <v>1</v>
      </c>
      <c r="K152" s="118">
        <v>1</v>
      </c>
      <c r="L152" s="118">
        <v>3</v>
      </c>
      <c r="M152" s="118" t="s">
        <v>70</v>
      </c>
      <c r="N152" s="118" t="s">
        <v>95</v>
      </c>
      <c r="O152" s="118">
        <v>50</v>
      </c>
      <c r="P152" s="118">
        <v>0.7</v>
      </c>
      <c r="Q152" s="118">
        <v>0</v>
      </c>
      <c r="R152" s="118">
        <v>1</v>
      </c>
      <c r="S152" s="25" t="b">
        <v>1</v>
      </c>
      <c r="T152" s="118">
        <v>117</v>
      </c>
      <c r="U152" s="118">
        <v>1755</v>
      </c>
      <c r="V152" s="118">
        <v>2340</v>
      </c>
      <c r="W152" s="118">
        <v>0</v>
      </c>
      <c r="X152" s="118">
        <v>9</v>
      </c>
      <c r="Y152" s="118" t="s">
        <v>38</v>
      </c>
      <c r="Z152" s="415" t="s">
        <v>780</v>
      </c>
      <c r="AA152" s="206" t="s">
        <v>781</v>
      </c>
      <c r="AB152" s="118" t="s">
        <v>782</v>
      </c>
      <c r="AC152" s="118">
        <v>100000</v>
      </c>
      <c r="AD152" s="191">
        <v>1</v>
      </c>
      <c r="AE152" s="191">
        <v>1</v>
      </c>
      <c r="AF152">
        <v>0</v>
      </c>
      <c r="AG152" s="402">
        <v>9</v>
      </c>
    </row>
    <row r="153" spans="1:33" ht="17.25" x14ac:dyDescent="0.3">
      <c r="A153" s="17">
        <v>106010</v>
      </c>
      <c r="B153" s="17" t="s">
        <v>783</v>
      </c>
      <c r="C153" s="17" t="s">
        <v>784</v>
      </c>
      <c r="D153" s="118" t="s">
        <v>33</v>
      </c>
      <c r="E153" s="118">
        <v>6</v>
      </c>
      <c r="F153" s="118" t="s">
        <v>727</v>
      </c>
      <c r="G153" s="118" t="s">
        <v>785</v>
      </c>
      <c r="H153" s="17" t="s">
        <v>35</v>
      </c>
      <c r="I153" s="118">
        <v>1</v>
      </c>
      <c r="J153" s="118">
        <v>1</v>
      </c>
      <c r="K153" s="118">
        <v>1</v>
      </c>
      <c r="L153" s="118">
        <v>3</v>
      </c>
      <c r="M153" s="118" t="s">
        <v>70</v>
      </c>
      <c r="N153" s="118" t="s">
        <v>101</v>
      </c>
      <c r="O153" s="118">
        <v>50</v>
      </c>
      <c r="P153" s="118">
        <v>0.7</v>
      </c>
      <c r="Q153" s="118">
        <v>0</v>
      </c>
      <c r="R153" s="118">
        <v>1</v>
      </c>
      <c r="S153" s="25" t="b">
        <v>1</v>
      </c>
      <c r="T153" s="118">
        <v>130</v>
      </c>
      <c r="U153" s="118">
        <v>1950</v>
      </c>
      <c r="V153" s="118">
        <v>2600</v>
      </c>
      <c r="W153" s="118">
        <v>0</v>
      </c>
      <c r="X153" s="118">
        <v>10</v>
      </c>
      <c r="Y153" s="118" t="s">
        <v>38</v>
      </c>
      <c r="Z153" s="415" t="s">
        <v>786</v>
      </c>
      <c r="AA153" s="206" t="s">
        <v>787</v>
      </c>
      <c r="AB153" s="118" t="s">
        <v>788</v>
      </c>
      <c r="AC153" s="118">
        <v>100000</v>
      </c>
      <c r="AD153" s="191">
        <v>1</v>
      </c>
      <c r="AE153" s="191">
        <v>1</v>
      </c>
      <c r="AF153">
        <v>0</v>
      </c>
      <c r="AG153" s="402">
        <v>10</v>
      </c>
    </row>
    <row r="154" spans="1:33" ht="17.25" x14ac:dyDescent="0.3">
      <c r="A154" s="119">
        <v>106208</v>
      </c>
      <c r="B154" s="114" t="s">
        <v>789</v>
      </c>
      <c r="C154" s="114" t="s">
        <v>790</v>
      </c>
      <c r="D154" s="119" t="s">
        <v>33</v>
      </c>
      <c r="E154" s="119">
        <v>6</v>
      </c>
      <c r="F154" s="119" t="s">
        <v>727</v>
      </c>
      <c r="G154" s="119" t="s">
        <v>773</v>
      </c>
      <c r="H154" s="119" t="s">
        <v>51</v>
      </c>
      <c r="I154" s="119">
        <v>1</v>
      </c>
      <c r="J154" s="118">
        <v>4</v>
      </c>
      <c r="K154" s="119">
        <v>0</v>
      </c>
      <c r="L154" s="119">
        <v>3</v>
      </c>
      <c r="M154" s="119" t="s">
        <v>52</v>
      </c>
      <c r="N154" s="118" t="s">
        <v>89</v>
      </c>
      <c r="O154" s="119">
        <v>50</v>
      </c>
      <c r="P154" s="119">
        <v>0.7</v>
      </c>
      <c r="Q154" s="119">
        <v>0</v>
      </c>
      <c r="R154" s="119">
        <v>1</v>
      </c>
      <c r="S154" s="80" t="b">
        <v>1</v>
      </c>
      <c r="T154" s="119">
        <v>104</v>
      </c>
      <c r="U154" s="118">
        <v>1560</v>
      </c>
      <c r="V154" s="118">
        <v>2080</v>
      </c>
      <c r="W154" s="119">
        <v>0</v>
      </c>
      <c r="X154" s="119">
        <v>8</v>
      </c>
      <c r="Y154" s="119" t="s">
        <v>38</v>
      </c>
      <c r="Z154" s="473" t="s">
        <v>774</v>
      </c>
      <c r="AA154" s="206" t="s">
        <v>791</v>
      </c>
      <c r="AB154" s="80" t="s">
        <v>776</v>
      </c>
      <c r="AC154" s="119">
        <v>100000</v>
      </c>
      <c r="AD154" s="92">
        <v>1</v>
      </c>
      <c r="AE154" s="92">
        <v>1</v>
      </c>
      <c r="AF154">
        <v>0</v>
      </c>
      <c r="AG154" s="403">
        <v>8</v>
      </c>
    </row>
    <row r="155" spans="1:33" ht="17.25" x14ac:dyDescent="0.3">
      <c r="A155" s="119">
        <v>106209</v>
      </c>
      <c r="B155" s="114" t="s">
        <v>792</v>
      </c>
      <c r="C155" s="114" t="s">
        <v>793</v>
      </c>
      <c r="D155" s="119" t="s">
        <v>33</v>
      </c>
      <c r="E155" s="119">
        <v>6</v>
      </c>
      <c r="F155" s="119" t="s">
        <v>727</v>
      </c>
      <c r="G155" s="119" t="s">
        <v>779</v>
      </c>
      <c r="H155" s="119" t="s">
        <v>51</v>
      </c>
      <c r="I155" s="119">
        <v>1</v>
      </c>
      <c r="J155" s="118">
        <v>4</v>
      </c>
      <c r="K155" s="119">
        <v>0</v>
      </c>
      <c r="L155" s="119">
        <v>3</v>
      </c>
      <c r="M155" s="119" t="s">
        <v>52</v>
      </c>
      <c r="N155" s="118" t="s">
        <v>95</v>
      </c>
      <c r="O155" s="119">
        <v>50</v>
      </c>
      <c r="P155" s="119">
        <v>0.7</v>
      </c>
      <c r="Q155" s="119">
        <v>0</v>
      </c>
      <c r="R155" s="119">
        <v>1</v>
      </c>
      <c r="S155" s="80" t="b">
        <v>1</v>
      </c>
      <c r="T155" s="119">
        <v>117</v>
      </c>
      <c r="U155" s="118">
        <v>1755</v>
      </c>
      <c r="V155" s="118">
        <v>2340</v>
      </c>
      <c r="W155" s="119">
        <v>0</v>
      </c>
      <c r="X155" s="119">
        <v>9</v>
      </c>
      <c r="Y155" s="119" t="s">
        <v>38</v>
      </c>
      <c r="Z155" s="473" t="s">
        <v>780</v>
      </c>
      <c r="AA155" s="206" t="s">
        <v>794</v>
      </c>
      <c r="AB155" s="80" t="s">
        <v>782</v>
      </c>
      <c r="AC155" s="119">
        <v>100000</v>
      </c>
      <c r="AD155" s="92">
        <v>1</v>
      </c>
      <c r="AE155" s="92">
        <v>1</v>
      </c>
      <c r="AF155">
        <v>0</v>
      </c>
      <c r="AG155" s="403">
        <v>9</v>
      </c>
    </row>
    <row r="156" spans="1:33" ht="17.25" x14ac:dyDescent="0.3">
      <c r="A156" s="119">
        <v>106210</v>
      </c>
      <c r="B156" s="114" t="s">
        <v>795</v>
      </c>
      <c r="C156" s="114" t="s">
        <v>796</v>
      </c>
      <c r="D156" s="119" t="s">
        <v>33</v>
      </c>
      <c r="E156" s="119">
        <v>6</v>
      </c>
      <c r="F156" s="119" t="s">
        <v>727</v>
      </c>
      <c r="G156" s="119" t="s">
        <v>785</v>
      </c>
      <c r="H156" s="119" t="s">
        <v>51</v>
      </c>
      <c r="I156" s="119">
        <v>1</v>
      </c>
      <c r="J156" s="118">
        <v>4</v>
      </c>
      <c r="K156" s="119">
        <v>0</v>
      </c>
      <c r="L156" s="119">
        <v>3</v>
      </c>
      <c r="M156" s="119" t="s">
        <v>52</v>
      </c>
      <c r="N156" s="118" t="s">
        <v>101</v>
      </c>
      <c r="O156" s="119">
        <v>50</v>
      </c>
      <c r="P156" s="119">
        <v>0.7</v>
      </c>
      <c r="Q156" s="119">
        <v>0</v>
      </c>
      <c r="R156" s="119">
        <v>1</v>
      </c>
      <c r="S156" s="80" t="b">
        <v>1</v>
      </c>
      <c r="T156" s="119">
        <v>130</v>
      </c>
      <c r="U156" s="118">
        <v>1950</v>
      </c>
      <c r="V156" s="118">
        <v>2600</v>
      </c>
      <c r="W156" s="119">
        <v>0</v>
      </c>
      <c r="X156" s="119">
        <v>10</v>
      </c>
      <c r="Y156" s="119" t="s">
        <v>38</v>
      </c>
      <c r="Z156" s="473" t="s">
        <v>786</v>
      </c>
      <c r="AA156" s="206" t="s">
        <v>797</v>
      </c>
      <c r="AB156" s="80" t="s">
        <v>788</v>
      </c>
      <c r="AC156" s="119">
        <v>100000</v>
      </c>
      <c r="AD156" s="92">
        <v>1</v>
      </c>
      <c r="AE156" s="92">
        <v>1</v>
      </c>
      <c r="AF156">
        <v>0</v>
      </c>
      <c r="AG156" s="403">
        <v>10</v>
      </c>
    </row>
    <row r="157" spans="1:33" ht="17.25" x14ac:dyDescent="0.3">
      <c r="A157" s="84">
        <v>106202</v>
      </c>
      <c r="B157" s="105" t="s">
        <v>798</v>
      </c>
      <c r="C157" s="105" t="s">
        <v>799</v>
      </c>
      <c r="D157" s="84" t="s">
        <v>33</v>
      </c>
      <c r="E157" s="84">
        <v>6</v>
      </c>
      <c r="F157" s="84" t="s">
        <v>727</v>
      </c>
      <c r="G157" s="118" t="s">
        <v>728</v>
      </c>
      <c r="H157" s="84" t="s">
        <v>107</v>
      </c>
      <c r="I157" s="84">
        <v>4</v>
      </c>
      <c r="J157" s="118">
        <v>4</v>
      </c>
      <c r="K157" s="84">
        <v>0</v>
      </c>
      <c r="L157" s="84">
        <v>3</v>
      </c>
      <c r="M157" s="84">
        <v>4</v>
      </c>
      <c r="N157" s="118" t="s">
        <v>45</v>
      </c>
      <c r="O157" s="84">
        <v>50</v>
      </c>
      <c r="P157" s="84">
        <v>0.7</v>
      </c>
      <c r="Q157" s="84">
        <v>0</v>
      </c>
      <c r="R157" s="84">
        <v>1</v>
      </c>
      <c r="S157" s="43" t="b">
        <v>1</v>
      </c>
      <c r="T157" s="84">
        <v>26</v>
      </c>
      <c r="U157" s="118">
        <v>390</v>
      </c>
      <c r="V157" s="118">
        <v>520</v>
      </c>
      <c r="W157" s="84">
        <v>0</v>
      </c>
      <c r="X157" s="84">
        <v>2</v>
      </c>
      <c r="Y157" s="84" t="s">
        <v>38</v>
      </c>
      <c r="Z157" s="362" t="s">
        <v>108</v>
      </c>
      <c r="AA157" s="206" t="s">
        <v>800</v>
      </c>
      <c r="AB157" s="43" t="s">
        <v>731</v>
      </c>
      <c r="AC157" s="84">
        <v>100000</v>
      </c>
      <c r="AD157" s="197">
        <v>1</v>
      </c>
      <c r="AE157" s="197">
        <v>1</v>
      </c>
      <c r="AF157">
        <v>0</v>
      </c>
      <c r="AG157" s="404">
        <v>2</v>
      </c>
    </row>
    <row r="158" spans="1:33" ht="17.25" x14ac:dyDescent="0.3">
      <c r="A158" s="391">
        <v>106203</v>
      </c>
      <c r="B158" s="392" t="s">
        <v>801</v>
      </c>
      <c r="C158" s="392" t="s">
        <v>802</v>
      </c>
      <c r="D158" s="391" t="s">
        <v>33</v>
      </c>
      <c r="E158" s="391">
        <v>6</v>
      </c>
      <c r="F158" s="391" t="s">
        <v>727</v>
      </c>
      <c r="G158" s="118" t="s">
        <v>752</v>
      </c>
      <c r="H158" s="391" t="s">
        <v>112</v>
      </c>
      <c r="I158" s="391">
        <v>4</v>
      </c>
      <c r="J158" s="118">
        <v>4</v>
      </c>
      <c r="K158" s="391">
        <v>0</v>
      </c>
      <c r="L158" s="391">
        <v>3</v>
      </c>
      <c r="M158" s="391">
        <v>4</v>
      </c>
      <c r="N158" s="118" t="s">
        <v>57</v>
      </c>
      <c r="O158" s="391">
        <v>50</v>
      </c>
      <c r="P158" s="391">
        <v>0.7</v>
      </c>
      <c r="Q158" s="391">
        <v>0</v>
      </c>
      <c r="R158" s="391">
        <v>1</v>
      </c>
      <c r="S158" s="397" t="b">
        <v>1</v>
      </c>
      <c r="T158" s="391">
        <v>39</v>
      </c>
      <c r="U158" s="118">
        <v>585</v>
      </c>
      <c r="V158" s="118">
        <v>780</v>
      </c>
      <c r="W158" s="391">
        <v>0</v>
      </c>
      <c r="X158" s="391">
        <v>3</v>
      </c>
      <c r="Y158" s="391" t="s">
        <v>38</v>
      </c>
      <c r="Z158" s="478" t="s">
        <v>803</v>
      </c>
      <c r="AA158" s="206" t="s">
        <v>804</v>
      </c>
      <c r="AB158" s="397" t="s">
        <v>755</v>
      </c>
      <c r="AC158" s="391">
        <v>100000</v>
      </c>
      <c r="AD158" s="197">
        <v>1</v>
      </c>
      <c r="AE158" s="197">
        <v>1</v>
      </c>
      <c r="AF158">
        <v>0</v>
      </c>
      <c r="AG158" s="405">
        <v>3</v>
      </c>
    </row>
    <row r="159" spans="1:33" ht="17.25" x14ac:dyDescent="0.3">
      <c r="A159" s="391">
        <v>106204</v>
      </c>
      <c r="B159" s="392" t="s">
        <v>805</v>
      </c>
      <c r="C159" s="392" t="s">
        <v>806</v>
      </c>
      <c r="D159" s="391" t="s">
        <v>33</v>
      </c>
      <c r="E159" s="391">
        <v>6</v>
      </c>
      <c r="F159" s="391" t="s">
        <v>727</v>
      </c>
      <c r="G159" s="118" t="s">
        <v>764</v>
      </c>
      <c r="H159" s="391" t="s">
        <v>112</v>
      </c>
      <c r="I159" s="391">
        <v>5</v>
      </c>
      <c r="J159" s="118">
        <v>5</v>
      </c>
      <c r="K159" s="391">
        <v>0</v>
      </c>
      <c r="L159" s="391">
        <v>3</v>
      </c>
      <c r="M159" s="391">
        <v>5</v>
      </c>
      <c r="N159" s="118" t="s">
        <v>64</v>
      </c>
      <c r="O159" s="391">
        <v>50</v>
      </c>
      <c r="P159" s="391">
        <v>0.7</v>
      </c>
      <c r="Q159" s="391">
        <v>0</v>
      </c>
      <c r="R159" s="391">
        <v>1</v>
      </c>
      <c r="S159" s="397" t="b">
        <v>1</v>
      </c>
      <c r="T159" s="391">
        <v>52</v>
      </c>
      <c r="U159" s="118">
        <v>780</v>
      </c>
      <c r="V159" s="118">
        <v>1040</v>
      </c>
      <c r="W159" s="391">
        <v>0</v>
      </c>
      <c r="X159" s="391">
        <v>4</v>
      </c>
      <c r="Y159" s="391" t="s">
        <v>38</v>
      </c>
      <c r="Z159" s="478" t="s">
        <v>807</v>
      </c>
      <c r="AA159" s="206" t="s">
        <v>808</v>
      </c>
      <c r="AB159" s="397" t="s">
        <v>809</v>
      </c>
      <c r="AC159" s="391">
        <v>100000</v>
      </c>
      <c r="AD159" s="197">
        <v>1</v>
      </c>
      <c r="AE159" s="197">
        <v>1</v>
      </c>
      <c r="AF159">
        <v>0</v>
      </c>
      <c r="AG159" s="405">
        <v>4</v>
      </c>
    </row>
    <row r="160" spans="1:33" ht="17.25" x14ac:dyDescent="0.3">
      <c r="A160" s="118">
        <v>109001</v>
      </c>
      <c r="B160" s="17" t="s">
        <v>810</v>
      </c>
      <c r="C160" s="17" t="s">
        <v>811</v>
      </c>
      <c r="D160" s="118" t="s">
        <v>33</v>
      </c>
      <c r="E160" s="118">
        <v>9</v>
      </c>
      <c r="F160" s="118" t="s">
        <v>812</v>
      </c>
      <c r="G160" s="118"/>
      <c r="H160" s="118" t="s">
        <v>35</v>
      </c>
      <c r="I160" s="118">
        <v>1</v>
      </c>
      <c r="J160" s="118">
        <v>1</v>
      </c>
      <c r="K160" s="118">
        <v>1</v>
      </c>
      <c r="L160" s="118">
        <v>3</v>
      </c>
      <c r="M160" s="118" t="s">
        <v>36</v>
      </c>
      <c r="N160" s="118" t="s">
        <v>37</v>
      </c>
      <c r="O160" s="118">
        <v>99</v>
      </c>
      <c r="P160" s="118">
        <v>0.8</v>
      </c>
      <c r="Q160" s="118">
        <v>0</v>
      </c>
      <c r="R160" s="118">
        <v>1</v>
      </c>
      <c r="S160" s="25" t="b">
        <v>1</v>
      </c>
      <c r="T160" s="118">
        <v>13</v>
      </c>
      <c r="U160" s="118">
        <v>195</v>
      </c>
      <c r="V160" s="118">
        <v>260</v>
      </c>
      <c r="W160" s="118">
        <v>0</v>
      </c>
      <c r="X160" s="118">
        <v>1</v>
      </c>
      <c r="Y160" s="118" t="s">
        <v>38</v>
      </c>
      <c r="Z160" s="17" t="s">
        <v>813</v>
      </c>
      <c r="AA160" s="206" t="s">
        <v>814</v>
      </c>
      <c r="AB160" s="25" t="s">
        <v>815</v>
      </c>
      <c r="AC160" s="118">
        <v>200000</v>
      </c>
      <c r="AD160" s="197">
        <v>1</v>
      </c>
      <c r="AE160" s="197">
        <v>1</v>
      </c>
      <c r="AF160">
        <v>0</v>
      </c>
      <c r="AG160" s="402">
        <v>1</v>
      </c>
    </row>
    <row r="161" spans="1:33" ht="17.25" x14ac:dyDescent="0.3">
      <c r="A161" s="118">
        <v>109002</v>
      </c>
      <c r="B161" s="17" t="s">
        <v>816</v>
      </c>
      <c r="C161" s="17" t="s">
        <v>817</v>
      </c>
      <c r="D161" s="118" t="s">
        <v>33</v>
      </c>
      <c r="E161" s="118">
        <v>9</v>
      </c>
      <c r="F161" s="118" t="s">
        <v>812</v>
      </c>
      <c r="G161" s="118"/>
      <c r="H161" s="118" t="s">
        <v>35</v>
      </c>
      <c r="I161" s="118">
        <v>1</v>
      </c>
      <c r="J161" s="118">
        <v>1</v>
      </c>
      <c r="K161" s="118">
        <v>1</v>
      </c>
      <c r="L161" s="118">
        <v>3</v>
      </c>
      <c r="M161" s="118" t="s">
        <v>44</v>
      </c>
      <c r="N161" s="118" t="s">
        <v>45</v>
      </c>
      <c r="O161" s="118">
        <v>99</v>
      </c>
      <c r="P161" s="118">
        <v>0.8</v>
      </c>
      <c r="Q161" s="118">
        <v>0</v>
      </c>
      <c r="R161" s="118">
        <v>1</v>
      </c>
      <c r="S161" s="25" t="b">
        <v>1</v>
      </c>
      <c r="T161" s="118">
        <v>26</v>
      </c>
      <c r="U161" s="118">
        <v>390</v>
      </c>
      <c r="V161" s="118">
        <v>520</v>
      </c>
      <c r="W161" s="118">
        <v>0</v>
      </c>
      <c r="X161" s="118">
        <v>2</v>
      </c>
      <c r="Y161" s="118" t="s">
        <v>38</v>
      </c>
      <c r="Z161" s="17" t="s">
        <v>818</v>
      </c>
      <c r="AA161" s="206" t="s">
        <v>819</v>
      </c>
      <c r="AB161" s="25" t="s">
        <v>820</v>
      </c>
      <c r="AC161" s="118">
        <v>100000</v>
      </c>
      <c r="AD161" s="197">
        <v>1</v>
      </c>
      <c r="AE161" s="197">
        <v>1</v>
      </c>
      <c r="AF161">
        <v>0</v>
      </c>
      <c r="AG161" s="402">
        <v>2</v>
      </c>
    </row>
    <row r="162" spans="1:33" ht="17.25" x14ac:dyDescent="0.3">
      <c r="A162" s="118">
        <v>109003</v>
      </c>
      <c r="B162" s="17" t="s">
        <v>821</v>
      </c>
      <c r="C162" s="17" t="s">
        <v>822</v>
      </c>
      <c r="D162" s="118" t="s">
        <v>33</v>
      </c>
      <c r="E162" s="118">
        <v>9</v>
      </c>
      <c r="F162" s="118" t="s">
        <v>812</v>
      </c>
      <c r="G162" s="118"/>
      <c r="H162" s="118" t="s">
        <v>35</v>
      </c>
      <c r="I162" s="118">
        <v>1</v>
      </c>
      <c r="J162" s="118">
        <v>1</v>
      </c>
      <c r="K162" s="118">
        <v>1</v>
      </c>
      <c r="L162" s="118">
        <v>3</v>
      </c>
      <c r="M162" s="118" t="s">
        <v>56</v>
      </c>
      <c r="N162" s="118" t="s">
        <v>57</v>
      </c>
      <c r="O162" s="118">
        <v>99</v>
      </c>
      <c r="P162" s="118">
        <v>0.8</v>
      </c>
      <c r="Q162" s="118">
        <v>0</v>
      </c>
      <c r="R162" s="118">
        <v>1</v>
      </c>
      <c r="S162" s="25" t="b">
        <v>1</v>
      </c>
      <c r="T162" s="118">
        <v>39</v>
      </c>
      <c r="U162" s="118">
        <v>585</v>
      </c>
      <c r="V162" s="118">
        <v>780</v>
      </c>
      <c r="W162" s="118">
        <v>0</v>
      </c>
      <c r="X162" s="118">
        <v>3</v>
      </c>
      <c r="Y162" s="118" t="s">
        <v>38</v>
      </c>
      <c r="Z162" s="17" t="s">
        <v>823</v>
      </c>
      <c r="AA162" s="206" t="s">
        <v>824</v>
      </c>
      <c r="AB162" s="25" t="s">
        <v>825</v>
      </c>
      <c r="AC162" s="118">
        <v>300000</v>
      </c>
      <c r="AD162" s="197">
        <v>1</v>
      </c>
      <c r="AE162" s="197">
        <v>1</v>
      </c>
      <c r="AF162">
        <v>0</v>
      </c>
      <c r="AG162" s="402">
        <v>3</v>
      </c>
    </row>
    <row r="163" spans="1:33" ht="17.25" x14ac:dyDescent="0.3">
      <c r="A163" s="118">
        <v>109004</v>
      </c>
      <c r="B163" s="71" t="s">
        <v>826</v>
      </c>
      <c r="C163" s="71" t="s">
        <v>827</v>
      </c>
      <c r="D163" s="118" t="s">
        <v>33</v>
      </c>
      <c r="E163" s="118">
        <v>9</v>
      </c>
      <c r="F163" s="118" t="s">
        <v>812</v>
      </c>
      <c r="G163" s="118"/>
      <c r="H163" s="118" t="s">
        <v>35</v>
      </c>
      <c r="I163" s="118">
        <v>1</v>
      </c>
      <c r="J163" s="118">
        <v>1</v>
      </c>
      <c r="K163" s="118">
        <v>1</v>
      </c>
      <c r="L163" s="118">
        <v>3</v>
      </c>
      <c r="M163" s="118" t="s">
        <v>63</v>
      </c>
      <c r="N163" s="118" t="s">
        <v>64</v>
      </c>
      <c r="O163" s="118">
        <v>99</v>
      </c>
      <c r="P163" s="118">
        <v>0.8</v>
      </c>
      <c r="Q163" s="118">
        <v>0</v>
      </c>
      <c r="R163" s="118">
        <v>1</v>
      </c>
      <c r="S163" s="25" t="b">
        <v>1</v>
      </c>
      <c r="T163" s="118">
        <v>52</v>
      </c>
      <c r="U163" s="118">
        <v>780</v>
      </c>
      <c r="V163" s="118">
        <v>1040</v>
      </c>
      <c r="W163" s="118">
        <v>0</v>
      </c>
      <c r="X163" s="118">
        <v>4</v>
      </c>
      <c r="Y163" s="118" t="s">
        <v>38</v>
      </c>
      <c r="Z163" s="17" t="s">
        <v>828</v>
      </c>
      <c r="AA163" s="206" t="s">
        <v>829</v>
      </c>
      <c r="AB163" s="25" t="s">
        <v>830</v>
      </c>
      <c r="AC163" s="118">
        <v>200000</v>
      </c>
      <c r="AD163" s="197">
        <v>1</v>
      </c>
      <c r="AE163" s="197">
        <v>1</v>
      </c>
      <c r="AF163">
        <v>0</v>
      </c>
      <c r="AG163" s="402">
        <v>4</v>
      </c>
    </row>
    <row r="164" spans="1:33" ht="17.25" x14ac:dyDescent="0.3">
      <c r="A164" s="118">
        <v>109005</v>
      </c>
      <c r="B164" s="17" t="s">
        <v>831</v>
      </c>
      <c r="C164" s="17" t="s">
        <v>832</v>
      </c>
      <c r="D164" s="118" t="s">
        <v>33</v>
      </c>
      <c r="E164" s="118">
        <v>9</v>
      </c>
      <c r="F164" s="118" t="s">
        <v>812</v>
      </c>
      <c r="G164" s="118"/>
      <c r="H164" s="118" t="s">
        <v>35</v>
      </c>
      <c r="I164" s="118">
        <v>1</v>
      </c>
      <c r="J164" s="118">
        <v>1</v>
      </c>
      <c r="K164" s="118">
        <v>1</v>
      </c>
      <c r="L164" s="118">
        <v>3</v>
      </c>
      <c r="M164" s="118" t="s">
        <v>70</v>
      </c>
      <c r="N164" s="118" t="s">
        <v>71</v>
      </c>
      <c r="O164" s="118">
        <v>99</v>
      </c>
      <c r="P164" s="118">
        <v>0.8</v>
      </c>
      <c r="Q164" s="118">
        <v>0</v>
      </c>
      <c r="R164" s="118">
        <v>1</v>
      </c>
      <c r="S164" s="25" t="b">
        <v>1</v>
      </c>
      <c r="T164" s="118">
        <v>65</v>
      </c>
      <c r="U164" s="118">
        <v>975</v>
      </c>
      <c r="V164" s="118">
        <v>1300</v>
      </c>
      <c r="W164" s="118">
        <v>0</v>
      </c>
      <c r="X164" s="118">
        <v>5</v>
      </c>
      <c r="Y164" s="118" t="s">
        <v>38</v>
      </c>
      <c r="Z164" s="17" t="s">
        <v>833</v>
      </c>
      <c r="AA164" s="206" t="s">
        <v>834</v>
      </c>
      <c r="AB164" s="118" t="s">
        <v>835</v>
      </c>
      <c r="AC164" s="118">
        <v>300000</v>
      </c>
      <c r="AD164" s="197">
        <v>1</v>
      </c>
      <c r="AE164" s="197">
        <v>1</v>
      </c>
      <c r="AF164">
        <v>0</v>
      </c>
      <c r="AG164" s="402">
        <v>5</v>
      </c>
    </row>
    <row r="165" spans="1:33" ht="17.25" x14ac:dyDescent="0.3">
      <c r="A165" s="118">
        <v>109006</v>
      </c>
      <c r="B165" s="17" t="s">
        <v>836</v>
      </c>
      <c r="C165" s="17" t="s">
        <v>837</v>
      </c>
      <c r="D165" s="118" t="s">
        <v>33</v>
      </c>
      <c r="E165" s="118">
        <v>9</v>
      </c>
      <c r="F165" s="118" t="s">
        <v>812</v>
      </c>
      <c r="G165" s="118"/>
      <c r="H165" s="118" t="s">
        <v>35</v>
      </c>
      <c r="I165" s="118">
        <v>1</v>
      </c>
      <c r="J165" s="118">
        <v>1</v>
      </c>
      <c r="K165" s="118">
        <v>1</v>
      </c>
      <c r="L165" s="118">
        <v>3</v>
      </c>
      <c r="M165" s="118" t="s">
        <v>70</v>
      </c>
      <c r="N165" s="118" t="s">
        <v>77</v>
      </c>
      <c r="O165" s="118">
        <v>99</v>
      </c>
      <c r="P165" s="118">
        <v>0.8</v>
      </c>
      <c r="Q165" s="118">
        <v>0</v>
      </c>
      <c r="R165" s="118">
        <v>1</v>
      </c>
      <c r="S165" s="25" t="b">
        <v>1</v>
      </c>
      <c r="T165" s="118">
        <v>78</v>
      </c>
      <c r="U165" s="118">
        <v>1170</v>
      </c>
      <c r="V165" s="118">
        <v>1560</v>
      </c>
      <c r="W165" s="118">
        <v>0</v>
      </c>
      <c r="X165" s="118">
        <v>6</v>
      </c>
      <c r="Y165" s="118" t="s">
        <v>38</v>
      </c>
      <c r="Z165" s="17" t="s">
        <v>838</v>
      </c>
      <c r="AA165" s="206" t="s">
        <v>839</v>
      </c>
      <c r="AB165" s="118" t="s">
        <v>840</v>
      </c>
      <c r="AC165" s="118">
        <v>300000</v>
      </c>
      <c r="AD165" s="197">
        <v>1</v>
      </c>
      <c r="AE165" s="197">
        <v>1</v>
      </c>
      <c r="AF165">
        <v>0</v>
      </c>
      <c r="AG165" s="402">
        <v>6</v>
      </c>
    </row>
    <row r="166" spans="1:33" ht="17.25" x14ac:dyDescent="0.3">
      <c r="A166" s="118">
        <v>109007</v>
      </c>
      <c r="B166" s="21" t="s">
        <v>841</v>
      </c>
      <c r="C166" s="21" t="s">
        <v>842</v>
      </c>
      <c r="D166" s="118" t="s">
        <v>33</v>
      </c>
      <c r="E166" s="118">
        <v>9</v>
      </c>
      <c r="F166" s="118" t="s">
        <v>812</v>
      </c>
      <c r="G166" s="118"/>
      <c r="H166" s="118" t="s">
        <v>35</v>
      </c>
      <c r="I166" s="118">
        <v>1</v>
      </c>
      <c r="J166" s="118">
        <v>1</v>
      </c>
      <c r="K166" s="118">
        <v>1</v>
      </c>
      <c r="L166" s="118">
        <v>3</v>
      </c>
      <c r="M166" s="118" t="s">
        <v>70</v>
      </c>
      <c r="N166" s="118" t="s">
        <v>83</v>
      </c>
      <c r="O166" s="118">
        <v>99</v>
      </c>
      <c r="P166" s="118">
        <v>0.8</v>
      </c>
      <c r="Q166" s="118">
        <v>0</v>
      </c>
      <c r="R166" s="118">
        <v>1</v>
      </c>
      <c r="S166" s="25" t="b">
        <v>1</v>
      </c>
      <c r="T166" s="118">
        <v>91</v>
      </c>
      <c r="U166" s="118">
        <v>1365</v>
      </c>
      <c r="V166" s="118">
        <v>1820</v>
      </c>
      <c r="W166" s="118">
        <v>0</v>
      </c>
      <c r="X166" s="118">
        <v>7</v>
      </c>
      <c r="Y166" s="118" t="s">
        <v>38</v>
      </c>
      <c r="Z166" s="17" t="s">
        <v>843</v>
      </c>
      <c r="AA166" s="206" t="s">
        <v>844</v>
      </c>
      <c r="AB166" s="118" t="s">
        <v>845</v>
      </c>
      <c r="AC166" s="118">
        <v>100000</v>
      </c>
      <c r="AD166" s="197">
        <v>1</v>
      </c>
      <c r="AE166" s="197">
        <v>1</v>
      </c>
      <c r="AF166">
        <v>0</v>
      </c>
      <c r="AG166" s="402">
        <v>7</v>
      </c>
    </row>
    <row r="167" spans="1:33" ht="17.25" x14ac:dyDescent="0.3">
      <c r="A167" s="114">
        <v>109207</v>
      </c>
      <c r="B167" s="359" t="s">
        <v>846</v>
      </c>
      <c r="C167" s="359" t="s">
        <v>847</v>
      </c>
      <c r="D167" s="119" t="s">
        <v>33</v>
      </c>
      <c r="E167" s="119">
        <v>9</v>
      </c>
      <c r="F167" s="119" t="s">
        <v>812</v>
      </c>
      <c r="G167" s="118"/>
      <c r="H167" s="119" t="s">
        <v>51</v>
      </c>
      <c r="I167" s="119">
        <v>1</v>
      </c>
      <c r="J167" s="118">
        <v>4</v>
      </c>
      <c r="K167" s="119">
        <v>0</v>
      </c>
      <c r="L167" s="119">
        <v>3</v>
      </c>
      <c r="M167" s="119" t="s">
        <v>52</v>
      </c>
      <c r="N167" s="118" t="s">
        <v>83</v>
      </c>
      <c r="O167" s="119">
        <v>99</v>
      </c>
      <c r="P167" s="119">
        <v>0.8</v>
      </c>
      <c r="Q167" s="119">
        <v>0</v>
      </c>
      <c r="R167" s="119">
        <v>1</v>
      </c>
      <c r="S167" s="80" t="b">
        <v>1</v>
      </c>
      <c r="T167" s="119">
        <v>91</v>
      </c>
      <c r="U167" s="118">
        <v>1365</v>
      </c>
      <c r="V167" s="118">
        <v>1820</v>
      </c>
      <c r="W167" s="119">
        <v>0</v>
      </c>
      <c r="X167" s="119">
        <v>7</v>
      </c>
      <c r="Y167" s="119" t="s">
        <v>38</v>
      </c>
      <c r="Z167" s="114" t="s">
        <v>843</v>
      </c>
      <c r="AA167" s="206" t="s">
        <v>848</v>
      </c>
      <c r="AB167" s="119" t="s">
        <v>845</v>
      </c>
      <c r="AC167" s="119">
        <v>100000</v>
      </c>
      <c r="AD167" s="197">
        <v>1</v>
      </c>
      <c r="AE167" s="197">
        <v>1</v>
      </c>
      <c r="AF167">
        <v>0</v>
      </c>
      <c r="AG167" s="403">
        <v>7</v>
      </c>
    </row>
    <row r="168" spans="1:33" ht="17.25" x14ac:dyDescent="0.3">
      <c r="A168" s="17">
        <v>109008</v>
      </c>
      <c r="B168" s="17" t="s">
        <v>849</v>
      </c>
      <c r="C168" s="17" t="s">
        <v>850</v>
      </c>
      <c r="D168" s="118" t="s">
        <v>33</v>
      </c>
      <c r="E168" s="118">
        <v>9</v>
      </c>
      <c r="F168" s="118" t="s">
        <v>812</v>
      </c>
      <c r="G168" s="118"/>
      <c r="H168" s="17" t="s">
        <v>35</v>
      </c>
      <c r="I168" s="118">
        <v>1</v>
      </c>
      <c r="J168" s="118">
        <v>1</v>
      </c>
      <c r="K168" s="118">
        <v>1</v>
      </c>
      <c r="L168" s="118">
        <v>3</v>
      </c>
      <c r="M168" s="118" t="s">
        <v>70</v>
      </c>
      <c r="N168" s="118" t="s">
        <v>89</v>
      </c>
      <c r="O168" s="118">
        <v>99</v>
      </c>
      <c r="P168" s="118">
        <v>0.8</v>
      </c>
      <c r="Q168" s="118">
        <v>0</v>
      </c>
      <c r="R168" s="118">
        <v>1</v>
      </c>
      <c r="S168" s="25" t="b">
        <v>1</v>
      </c>
      <c r="T168" s="118">
        <v>104</v>
      </c>
      <c r="U168" s="118">
        <v>1560</v>
      </c>
      <c r="V168" s="118">
        <v>2080</v>
      </c>
      <c r="W168" s="118">
        <v>0</v>
      </c>
      <c r="X168" s="118">
        <v>8</v>
      </c>
      <c r="Y168" s="118" t="s">
        <v>38</v>
      </c>
      <c r="Z168" s="415" t="s">
        <v>851</v>
      </c>
      <c r="AA168" s="206" t="s">
        <v>852</v>
      </c>
      <c r="AB168" s="118" t="s">
        <v>853</v>
      </c>
      <c r="AC168" s="118">
        <v>100000</v>
      </c>
      <c r="AD168" s="191">
        <v>1</v>
      </c>
      <c r="AE168" s="191">
        <v>1</v>
      </c>
      <c r="AF168">
        <v>0</v>
      </c>
      <c r="AG168" s="402">
        <v>8</v>
      </c>
    </row>
    <row r="169" spans="1:33" ht="17.25" x14ac:dyDescent="0.3">
      <c r="A169" s="17">
        <v>109009</v>
      </c>
      <c r="B169" s="17" t="s">
        <v>854</v>
      </c>
      <c r="C169" s="17" t="s">
        <v>855</v>
      </c>
      <c r="D169" s="118" t="s">
        <v>33</v>
      </c>
      <c r="E169" s="118">
        <v>9</v>
      </c>
      <c r="F169" s="118" t="s">
        <v>812</v>
      </c>
      <c r="G169" s="118"/>
      <c r="H169" s="17" t="s">
        <v>35</v>
      </c>
      <c r="I169" s="118">
        <v>1</v>
      </c>
      <c r="J169" s="118">
        <v>1</v>
      </c>
      <c r="K169" s="118">
        <v>1</v>
      </c>
      <c r="L169" s="118">
        <v>3</v>
      </c>
      <c r="M169" s="118" t="s">
        <v>70</v>
      </c>
      <c r="N169" s="118" t="s">
        <v>95</v>
      </c>
      <c r="O169" s="118">
        <v>99</v>
      </c>
      <c r="P169" s="118">
        <v>0.8</v>
      </c>
      <c r="Q169" s="118">
        <v>0</v>
      </c>
      <c r="R169" s="118">
        <v>1</v>
      </c>
      <c r="S169" s="25" t="b">
        <v>1</v>
      </c>
      <c r="T169" s="118">
        <v>117</v>
      </c>
      <c r="U169" s="118">
        <v>1755</v>
      </c>
      <c r="V169" s="118">
        <v>2340</v>
      </c>
      <c r="W169" s="118">
        <v>0</v>
      </c>
      <c r="X169" s="118">
        <v>9</v>
      </c>
      <c r="Y169" s="118" t="s">
        <v>38</v>
      </c>
      <c r="Z169" s="415" t="s">
        <v>856</v>
      </c>
      <c r="AA169" s="206" t="s">
        <v>857</v>
      </c>
      <c r="AB169" s="118" t="s">
        <v>858</v>
      </c>
      <c r="AC169" s="118">
        <v>100000</v>
      </c>
      <c r="AD169" s="191">
        <v>1</v>
      </c>
      <c r="AE169" s="191">
        <v>1</v>
      </c>
      <c r="AF169">
        <v>0</v>
      </c>
      <c r="AG169" s="402">
        <v>9</v>
      </c>
    </row>
    <row r="170" spans="1:33" ht="17.25" x14ac:dyDescent="0.3">
      <c r="A170" s="17">
        <v>109010</v>
      </c>
      <c r="B170" s="17" t="s">
        <v>859</v>
      </c>
      <c r="C170" s="17" t="s">
        <v>860</v>
      </c>
      <c r="D170" s="118" t="s">
        <v>33</v>
      </c>
      <c r="E170" s="118">
        <v>9</v>
      </c>
      <c r="F170" s="118" t="s">
        <v>812</v>
      </c>
      <c r="G170" s="118"/>
      <c r="H170" s="17" t="s">
        <v>35</v>
      </c>
      <c r="I170" s="118">
        <v>1</v>
      </c>
      <c r="J170" s="118">
        <v>1</v>
      </c>
      <c r="K170" s="118">
        <v>1</v>
      </c>
      <c r="L170" s="118">
        <v>3</v>
      </c>
      <c r="M170" s="118" t="s">
        <v>70</v>
      </c>
      <c r="N170" s="118" t="s">
        <v>101</v>
      </c>
      <c r="O170" s="118">
        <v>99</v>
      </c>
      <c r="P170" s="118">
        <v>0.8</v>
      </c>
      <c r="Q170" s="118">
        <v>0</v>
      </c>
      <c r="R170" s="118">
        <v>1</v>
      </c>
      <c r="S170" s="25" t="b">
        <v>1</v>
      </c>
      <c r="T170" s="118">
        <v>130</v>
      </c>
      <c r="U170" s="118">
        <v>1950</v>
      </c>
      <c r="V170" s="118">
        <v>2600</v>
      </c>
      <c r="W170" s="118">
        <v>0</v>
      </c>
      <c r="X170" s="118">
        <v>10</v>
      </c>
      <c r="Y170" s="118" t="s">
        <v>38</v>
      </c>
      <c r="Z170" s="415" t="s">
        <v>861</v>
      </c>
      <c r="AA170" s="206" t="s">
        <v>862</v>
      </c>
      <c r="AB170" s="118" t="s">
        <v>863</v>
      </c>
      <c r="AC170" s="118">
        <v>100000</v>
      </c>
      <c r="AD170" s="191">
        <v>1</v>
      </c>
      <c r="AE170" s="191">
        <v>1</v>
      </c>
      <c r="AF170">
        <v>0</v>
      </c>
      <c r="AG170" s="402">
        <v>10</v>
      </c>
    </row>
    <row r="171" spans="1:33" ht="17.25" x14ac:dyDescent="0.3">
      <c r="A171" s="119">
        <v>109208</v>
      </c>
      <c r="B171" s="114" t="s">
        <v>864</v>
      </c>
      <c r="C171" s="114" t="s">
        <v>865</v>
      </c>
      <c r="D171" s="119" t="s">
        <v>33</v>
      </c>
      <c r="E171" s="119">
        <v>9</v>
      </c>
      <c r="F171" s="119" t="s">
        <v>812</v>
      </c>
      <c r="G171" s="119"/>
      <c r="H171" s="119" t="s">
        <v>51</v>
      </c>
      <c r="I171" s="119">
        <v>1</v>
      </c>
      <c r="J171" s="118">
        <v>4</v>
      </c>
      <c r="K171" s="119">
        <v>0</v>
      </c>
      <c r="L171" s="119">
        <v>3</v>
      </c>
      <c r="M171" s="119" t="s">
        <v>52</v>
      </c>
      <c r="N171" s="118" t="s">
        <v>89</v>
      </c>
      <c r="O171" s="119">
        <v>99</v>
      </c>
      <c r="P171" s="119">
        <v>0.8</v>
      </c>
      <c r="Q171" s="119">
        <v>0</v>
      </c>
      <c r="R171" s="119">
        <v>1</v>
      </c>
      <c r="S171" s="80" t="b">
        <v>1</v>
      </c>
      <c r="T171" s="119">
        <v>104</v>
      </c>
      <c r="U171" s="118">
        <v>1560</v>
      </c>
      <c r="V171" s="118">
        <v>2080</v>
      </c>
      <c r="W171" s="119">
        <v>0</v>
      </c>
      <c r="X171" s="119">
        <v>8</v>
      </c>
      <c r="Y171" s="119" t="s">
        <v>38</v>
      </c>
      <c r="Z171" s="486" t="s">
        <v>851</v>
      </c>
      <c r="AA171" s="206" t="s">
        <v>866</v>
      </c>
      <c r="AB171" s="80" t="s">
        <v>853</v>
      </c>
      <c r="AC171" s="119">
        <v>100000</v>
      </c>
      <c r="AD171" s="92">
        <v>1</v>
      </c>
      <c r="AE171" s="92">
        <v>1</v>
      </c>
      <c r="AF171">
        <v>0</v>
      </c>
      <c r="AG171" s="403">
        <v>8</v>
      </c>
    </row>
    <row r="172" spans="1:33" ht="17.25" x14ac:dyDescent="0.3">
      <c r="A172" s="119">
        <v>109209</v>
      </c>
      <c r="B172" s="114" t="s">
        <v>867</v>
      </c>
      <c r="C172" s="114" t="s">
        <v>868</v>
      </c>
      <c r="D172" s="119" t="s">
        <v>33</v>
      </c>
      <c r="E172" s="119">
        <v>9</v>
      </c>
      <c r="F172" s="119" t="s">
        <v>812</v>
      </c>
      <c r="G172" s="119"/>
      <c r="H172" s="119" t="s">
        <v>51</v>
      </c>
      <c r="I172" s="119">
        <v>1</v>
      </c>
      <c r="J172" s="118">
        <v>4</v>
      </c>
      <c r="K172" s="119">
        <v>0</v>
      </c>
      <c r="L172" s="119">
        <v>3</v>
      </c>
      <c r="M172" s="119" t="s">
        <v>52</v>
      </c>
      <c r="N172" s="118" t="s">
        <v>95</v>
      </c>
      <c r="O172" s="119">
        <v>99</v>
      </c>
      <c r="P172" s="119">
        <v>0.8</v>
      </c>
      <c r="Q172" s="119">
        <v>0</v>
      </c>
      <c r="R172" s="119">
        <v>1</v>
      </c>
      <c r="S172" s="80" t="b">
        <v>1</v>
      </c>
      <c r="T172" s="119">
        <v>117</v>
      </c>
      <c r="U172" s="118">
        <v>1755</v>
      </c>
      <c r="V172" s="118">
        <v>2340</v>
      </c>
      <c r="W172" s="119">
        <v>0</v>
      </c>
      <c r="X172" s="119">
        <v>8</v>
      </c>
      <c r="Y172" s="119" t="s">
        <v>38</v>
      </c>
      <c r="Z172" s="486" t="s">
        <v>856</v>
      </c>
      <c r="AA172" s="206" t="s">
        <v>869</v>
      </c>
      <c r="AB172" s="80" t="s">
        <v>858</v>
      </c>
      <c r="AC172" s="119">
        <v>100000</v>
      </c>
      <c r="AD172" s="92">
        <v>1</v>
      </c>
      <c r="AE172" s="92">
        <v>1</v>
      </c>
      <c r="AF172">
        <v>0</v>
      </c>
      <c r="AG172" s="403">
        <v>9</v>
      </c>
    </row>
    <row r="173" spans="1:33" ht="17.25" x14ac:dyDescent="0.3">
      <c r="A173" s="119">
        <v>109210</v>
      </c>
      <c r="B173" s="114" t="s">
        <v>870</v>
      </c>
      <c r="C173" s="114" t="s">
        <v>871</v>
      </c>
      <c r="D173" s="119" t="s">
        <v>33</v>
      </c>
      <c r="E173" s="119">
        <v>9</v>
      </c>
      <c r="F173" s="119" t="s">
        <v>812</v>
      </c>
      <c r="G173" s="119"/>
      <c r="H173" s="119" t="s">
        <v>51</v>
      </c>
      <c r="I173" s="119">
        <v>1</v>
      </c>
      <c r="J173" s="118">
        <v>4</v>
      </c>
      <c r="K173" s="119">
        <v>0</v>
      </c>
      <c r="L173" s="119">
        <v>3</v>
      </c>
      <c r="M173" s="119" t="s">
        <v>52</v>
      </c>
      <c r="N173" s="118" t="s">
        <v>101</v>
      </c>
      <c r="O173" s="119">
        <v>99</v>
      </c>
      <c r="P173" s="119">
        <v>0.8</v>
      </c>
      <c r="Q173" s="119">
        <v>0</v>
      </c>
      <c r="R173" s="119">
        <v>1</v>
      </c>
      <c r="S173" s="80" t="b">
        <v>1</v>
      </c>
      <c r="T173" s="119">
        <v>130</v>
      </c>
      <c r="U173" s="118">
        <v>1950</v>
      </c>
      <c r="V173" s="118">
        <v>2600</v>
      </c>
      <c r="W173" s="119">
        <v>0</v>
      </c>
      <c r="X173" s="119">
        <v>10</v>
      </c>
      <c r="Y173" s="119" t="s">
        <v>38</v>
      </c>
      <c r="Z173" s="486" t="s">
        <v>861</v>
      </c>
      <c r="AA173" s="206" t="s">
        <v>872</v>
      </c>
      <c r="AB173" s="80" t="s">
        <v>863</v>
      </c>
      <c r="AC173" s="119">
        <v>100000</v>
      </c>
      <c r="AD173" s="92">
        <v>1</v>
      </c>
      <c r="AE173" s="92">
        <v>1</v>
      </c>
      <c r="AF173">
        <v>0</v>
      </c>
      <c r="AG173" s="403">
        <v>10</v>
      </c>
    </row>
    <row r="174" spans="1:33" ht="17.25" x14ac:dyDescent="0.3">
      <c r="A174" s="84">
        <v>109202</v>
      </c>
      <c r="B174" s="105" t="s">
        <v>873</v>
      </c>
      <c r="C174" s="105" t="s">
        <v>874</v>
      </c>
      <c r="D174" s="84" t="s">
        <v>33</v>
      </c>
      <c r="E174" s="84">
        <v>9</v>
      </c>
      <c r="F174" s="84" t="s">
        <v>812</v>
      </c>
      <c r="G174" s="118"/>
      <c r="H174" s="84" t="s">
        <v>107</v>
      </c>
      <c r="I174" s="84">
        <v>4</v>
      </c>
      <c r="J174" s="118">
        <v>4</v>
      </c>
      <c r="K174" s="84">
        <v>0</v>
      </c>
      <c r="L174" s="84">
        <v>3</v>
      </c>
      <c r="M174" s="84">
        <v>4</v>
      </c>
      <c r="N174" s="118" t="s">
        <v>45</v>
      </c>
      <c r="O174" s="84">
        <v>99</v>
      </c>
      <c r="P174" s="84">
        <v>0.8</v>
      </c>
      <c r="Q174" s="84">
        <v>0</v>
      </c>
      <c r="R174" s="84">
        <v>1</v>
      </c>
      <c r="S174" s="43" t="b">
        <v>1</v>
      </c>
      <c r="T174" s="84">
        <v>26</v>
      </c>
      <c r="U174" s="118">
        <v>390</v>
      </c>
      <c r="V174" s="118">
        <v>520</v>
      </c>
      <c r="W174" s="84">
        <v>0</v>
      </c>
      <c r="X174" s="84">
        <v>2</v>
      </c>
      <c r="Y174" s="84" t="s">
        <v>38</v>
      </c>
      <c r="Z174" s="487" t="s">
        <v>108</v>
      </c>
      <c r="AA174" s="206" t="s">
        <v>875</v>
      </c>
      <c r="AB174" s="43" t="s">
        <v>820</v>
      </c>
      <c r="AC174" s="84">
        <v>100000</v>
      </c>
      <c r="AD174" s="197">
        <v>1</v>
      </c>
      <c r="AE174" s="197">
        <v>1</v>
      </c>
      <c r="AF174">
        <v>0</v>
      </c>
      <c r="AG174" s="404">
        <v>2</v>
      </c>
    </row>
    <row r="175" spans="1:33" ht="17.25" x14ac:dyDescent="0.3">
      <c r="A175" s="391">
        <v>109203</v>
      </c>
      <c r="B175" s="392" t="s">
        <v>876</v>
      </c>
      <c r="C175" s="392" t="s">
        <v>877</v>
      </c>
      <c r="D175" s="391" t="s">
        <v>33</v>
      </c>
      <c r="E175" s="391">
        <v>9</v>
      </c>
      <c r="F175" s="391" t="s">
        <v>812</v>
      </c>
      <c r="G175" s="118"/>
      <c r="H175" s="391" t="s">
        <v>112</v>
      </c>
      <c r="I175" s="391">
        <v>4</v>
      </c>
      <c r="J175" s="118">
        <v>4</v>
      </c>
      <c r="K175" s="391">
        <v>0</v>
      </c>
      <c r="L175" s="391">
        <v>3</v>
      </c>
      <c r="M175" s="391">
        <v>4</v>
      </c>
      <c r="N175" s="118" t="s">
        <v>57</v>
      </c>
      <c r="O175" s="391">
        <v>99</v>
      </c>
      <c r="P175" s="391">
        <v>0.8</v>
      </c>
      <c r="Q175" s="391">
        <v>0</v>
      </c>
      <c r="R175" s="391">
        <v>1</v>
      </c>
      <c r="S175" s="397" t="b">
        <v>1</v>
      </c>
      <c r="T175" s="391">
        <v>39</v>
      </c>
      <c r="U175" s="118">
        <v>585</v>
      </c>
      <c r="V175" s="118">
        <v>780</v>
      </c>
      <c r="W175" s="391">
        <v>0</v>
      </c>
      <c r="X175" s="391">
        <v>3</v>
      </c>
      <c r="Y175" s="391" t="s">
        <v>38</v>
      </c>
      <c r="Z175" s="488" t="s">
        <v>878</v>
      </c>
      <c r="AA175" s="206" t="s">
        <v>879</v>
      </c>
      <c r="AB175" s="397" t="s">
        <v>825</v>
      </c>
      <c r="AC175" s="391">
        <v>100000</v>
      </c>
      <c r="AD175" s="197">
        <v>1</v>
      </c>
      <c r="AE175" s="197">
        <v>1</v>
      </c>
      <c r="AF175">
        <v>0</v>
      </c>
      <c r="AG175" s="405">
        <v>3</v>
      </c>
    </row>
    <row r="176" spans="1:33" s="388" customFormat="1" ht="17.25" x14ac:dyDescent="0.3">
      <c r="A176" s="391">
        <v>109204</v>
      </c>
      <c r="B176" s="392" t="s">
        <v>880</v>
      </c>
      <c r="C176" s="392" t="s">
        <v>881</v>
      </c>
      <c r="D176" s="391" t="s">
        <v>33</v>
      </c>
      <c r="E176" s="391">
        <v>9</v>
      </c>
      <c r="F176" s="391" t="s">
        <v>812</v>
      </c>
      <c r="G176" s="118"/>
      <c r="H176" s="391" t="s">
        <v>112</v>
      </c>
      <c r="I176" s="391">
        <v>5</v>
      </c>
      <c r="J176" s="118">
        <v>5</v>
      </c>
      <c r="K176" s="391">
        <v>0</v>
      </c>
      <c r="L176" s="391">
        <v>3</v>
      </c>
      <c r="M176" s="391">
        <v>5</v>
      </c>
      <c r="N176" s="118" t="s">
        <v>64</v>
      </c>
      <c r="O176" s="391">
        <v>99</v>
      </c>
      <c r="P176" s="391">
        <v>0.8</v>
      </c>
      <c r="Q176" s="391">
        <v>0</v>
      </c>
      <c r="R176" s="391">
        <v>1</v>
      </c>
      <c r="S176" s="397" t="b">
        <v>1</v>
      </c>
      <c r="T176" s="391">
        <v>52</v>
      </c>
      <c r="U176" s="118">
        <v>780</v>
      </c>
      <c r="V176" s="118">
        <v>1040</v>
      </c>
      <c r="W176" s="391">
        <v>0</v>
      </c>
      <c r="X176" s="391">
        <v>4</v>
      </c>
      <c r="Y176" s="391" t="s">
        <v>38</v>
      </c>
      <c r="Z176" s="478" t="s">
        <v>882</v>
      </c>
      <c r="AA176" s="206" t="s">
        <v>883</v>
      </c>
      <c r="AB176" s="397" t="s">
        <v>884</v>
      </c>
      <c r="AC176" s="391">
        <v>100000</v>
      </c>
      <c r="AD176" s="197">
        <v>1</v>
      </c>
      <c r="AE176" s="197">
        <v>1</v>
      </c>
      <c r="AF176">
        <v>0</v>
      </c>
      <c r="AG176" s="405">
        <v>4</v>
      </c>
    </row>
    <row r="177" spans="1:33" ht="17.25" x14ac:dyDescent="0.3">
      <c r="A177" s="118">
        <v>110001</v>
      </c>
      <c r="B177" s="17" t="s">
        <v>885</v>
      </c>
      <c r="C177" s="17" t="s">
        <v>886</v>
      </c>
      <c r="D177" s="118" t="s">
        <v>33</v>
      </c>
      <c r="E177" s="118">
        <v>10</v>
      </c>
      <c r="F177" s="118" t="s">
        <v>887</v>
      </c>
      <c r="G177" s="118" t="s">
        <v>888</v>
      </c>
      <c r="H177" s="118" t="s">
        <v>35</v>
      </c>
      <c r="I177" s="118">
        <v>1</v>
      </c>
      <c r="J177" s="118">
        <v>1</v>
      </c>
      <c r="K177" s="118">
        <v>1</v>
      </c>
      <c r="L177" s="118">
        <v>3</v>
      </c>
      <c r="M177" s="118" t="s">
        <v>36</v>
      </c>
      <c r="N177" s="118" t="s">
        <v>37</v>
      </c>
      <c r="O177" s="118">
        <v>90</v>
      </c>
      <c r="P177" s="118">
        <v>0.9</v>
      </c>
      <c r="Q177" s="118">
        <v>0</v>
      </c>
      <c r="R177" s="118">
        <v>1</v>
      </c>
      <c r="S177" s="25" t="b">
        <v>1</v>
      </c>
      <c r="T177" s="118">
        <v>13</v>
      </c>
      <c r="U177" s="118">
        <v>195</v>
      </c>
      <c r="V177" s="118">
        <v>260</v>
      </c>
      <c r="W177" s="118">
        <v>0</v>
      </c>
      <c r="X177" s="118">
        <v>1</v>
      </c>
      <c r="Y177" s="118" t="s">
        <v>38</v>
      </c>
      <c r="Z177" s="17" t="s">
        <v>889</v>
      </c>
      <c r="AA177" s="206" t="s">
        <v>890</v>
      </c>
      <c r="AB177" s="25" t="s">
        <v>891</v>
      </c>
      <c r="AC177" s="118">
        <v>200000</v>
      </c>
      <c r="AD177" s="197">
        <v>1</v>
      </c>
      <c r="AE177" s="197">
        <v>1</v>
      </c>
      <c r="AF177">
        <v>0</v>
      </c>
      <c r="AG177" s="402">
        <v>1</v>
      </c>
    </row>
    <row r="178" spans="1:33" ht="17.25" x14ac:dyDescent="0.3">
      <c r="A178" s="118">
        <v>110002</v>
      </c>
      <c r="B178" s="17" t="s">
        <v>892</v>
      </c>
      <c r="C178" s="17" t="s">
        <v>893</v>
      </c>
      <c r="D178" s="118" t="s">
        <v>33</v>
      </c>
      <c r="E178" s="118">
        <v>10</v>
      </c>
      <c r="F178" s="118" t="s">
        <v>887</v>
      </c>
      <c r="G178" s="118" t="s">
        <v>894</v>
      </c>
      <c r="H178" s="118" t="s">
        <v>35</v>
      </c>
      <c r="I178" s="118">
        <v>1</v>
      </c>
      <c r="J178" s="118">
        <v>1</v>
      </c>
      <c r="K178" s="118">
        <v>1</v>
      </c>
      <c r="L178" s="118">
        <v>3</v>
      </c>
      <c r="M178" s="118" t="s">
        <v>44</v>
      </c>
      <c r="N178" s="118" t="s">
        <v>45</v>
      </c>
      <c r="O178" s="118">
        <v>90</v>
      </c>
      <c r="P178" s="118">
        <v>0.9</v>
      </c>
      <c r="Q178" s="118">
        <v>0</v>
      </c>
      <c r="R178" s="118">
        <v>1</v>
      </c>
      <c r="S178" s="25" t="b">
        <v>1</v>
      </c>
      <c r="T178" s="118">
        <v>26</v>
      </c>
      <c r="U178" s="118">
        <v>390</v>
      </c>
      <c r="V178" s="118">
        <v>520</v>
      </c>
      <c r="W178" s="118">
        <v>0</v>
      </c>
      <c r="X178" s="118">
        <v>2</v>
      </c>
      <c r="Y178" s="118" t="s">
        <v>38</v>
      </c>
      <c r="Z178" s="17" t="s">
        <v>895</v>
      </c>
      <c r="AA178" s="206" t="s">
        <v>896</v>
      </c>
      <c r="AB178" s="25" t="s">
        <v>897</v>
      </c>
      <c r="AC178" s="118">
        <v>100000</v>
      </c>
      <c r="AD178" s="197">
        <v>1</v>
      </c>
      <c r="AE178" s="197">
        <v>1</v>
      </c>
      <c r="AF178">
        <v>0</v>
      </c>
      <c r="AG178" s="402">
        <v>2</v>
      </c>
    </row>
    <row r="179" spans="1:33" ht="17.25" x14ac:dyDescent="0.3">
      <c r="A179" s="118">
        <v>110003</v>
      </c>
      <c r="B179" s="17" t="s">
        <v>898</v>
      </c>
      <c r="C179" s="17" t="s">
        <v>899</v>
      </c>
      <c r="D179" s="118" t="s">
        <v>33</v>
      </c>
      <c r="E179" s="118">
        <v>10</v>
      </c>
      <c r="F179" s="118" t="s">
        <v>887</v>
      </c>
      <c r="G179" s="118" t="s">
        <v>900</v>
      </c>
      <c r="H179" s="118" t="s">
        <v>35</v>
      </c>
      <c r="I179" s="118">
        <v>1</v>
      </c>
      <c r="J179" s="118">
        <v>1</v>
      </c>
      <c r="K179" s="118">
        <v>1</v>
      </c>
      <c r="L179" s="118">
        <v>3</v>
      </c>
      <c r="M179" s="118" t="s">
        <v>56</v>
      </c>
      <c r="N179" s="118" t="s">
        <v>57</v>
      </c>
      <c r="O179" s="118">
        <v>90</v>
      </c>
      <c r="P179" s="118">
        <v>0.9</v>
      </c>
      <c r="Q179" s="118">
        <v>0</v>
      </c>
      <c r="R179" s="118">
        <v>1</v>
      </c>
      <c r="S179" s="25" t="b">
        <v>1</v>
      </c>
      <c r="T179" s="118">
        <v>39</v>
      </c>
      <c r="U179" s="118">
        <v>585</v>
      </c>
      <c r="V179" s="118">
        <v>780</v>
      </c>
      <c r="W179" s="118">
        <v>0</v>
      </c>
      <c r="X179" s="118">
        <v>3</v>
      </c>
      <c r="Y179" s="118" t="s">
        <v>38</v>
      </c>
      <c r="Z179" s="17" t="s">
        <v>901</v>
      </c>
      <c r="AA179" s="206" t="s">
        <v>902</v>
      </c>
      <c r="AB179" s="25" t="s">
        <v>903</v>
      </c>
      <c r="AC179" s="118">
        <v>100000</v>
      </c>
      <c r="AD179" s="197">
        <v>1</v>
      </c>
      <c r="AE179" s="197">
        <v>1</v>
      </c>
      <c r="AF179">
        <v>0</v>
      </c>
      <c r="AG179" s="402">
        <v>3</v>
      </c>
    </row>
    <row r="180" spans="1:33" ht="17.25" x14ac:dyDescent="0.3">
      <c r="A180" s="118">
        <v>110004</v>
      </c>
      <c r="B180" s="71" t="s">
        <v>904</v>
      </c>
      <c r="C180" s="71" t="s">
        <v>905</v>
      </c>
      <c r="D180" s="118" t="s">
        <v>33</v>
      </c>
      <c r="E180" s="118">
        <v>10</v>
      </c>
      <c r="F180" s="118" t="s">
        <v>887</v>
      </c>
      <c r="G180" s="118" t="s">
        <v>906</v>
      </c>
      <c r="H180" s="118" t="s">
        <v>35</v>
      </c>
      <c r="I180" s="118">
        <v>1</v>
      </c>
      <c r="J180" s="118">
        <v>1</v>
      </c>
      <c r="K180" s="118">
        <v>1</v>
      </c>
      <c r="L180" s="118">
        <v>3</v>
      </c>
      <c r="M180" s="118" t="s">
        <v>63</v>
      </c>
      <c r="N180" s="118" t="s">
        <v>64</v>
      </c>
      <c r="O180" s="118">
        <v>90</v>
      </c>
      <c r="P180" s="118">
        <v>0.9</v>
      </c>
      <c r="Q180" s="118">
        <v>0</v>
      </c>
      <c r="R180" s="118">
        <v>1</v>
      </c>
      <c r="S180" s="25" t="b">
        <v>1</v>
      </c>
      <c r="T180" s="118">
        <v>52</v>
      </c>
      <c r="U180" s="118">
        <v>780</v>
      </c>
      <c r="V180" s="118">
        <v>1040</v>
      </c>
      <c r="W180" s="118">
        <v>0</v>
      </c>
      <c r="X180" s="118">
        <v>4</v>
      </c>
      <c r="Y180" s="118" t="s">
        <v>38</v>
      </c>
      <c r="Z180" s="17" t="s">
        <v>907</v>
      </c>
      <c r="AA180" s="206" t="s">
        <v>908</v>
      </c>
      <c r="AB180" s="25" t="s">
        <v>909</v>
      </c>
      <c r="AC180" s="118">
        <v>100000</v>
      </c>
      <c r="AD180" s="197">
        <v>1</v>
      </c>
      <c r="AE180" s="197">
        <v>1</v>
      </c>
      <c r="AF180">
        <v>0</v>
      </c>
      <c r="AG180" s="402">
        <v>4</v>
      </c>
    </row>
    <row r="181" spans="1:33" ht="17.25" x14ac:dyDescent="0.3">
      <c r="A181" s="118">
        <v>110005</v>
      </c>
      <c r="B181" s="17" t="s">
        <v>910</v>
      </c>
      <c r="C181" s="17" t="s">
        <v>911</v>
      </c>
      <c r="D181" s="118" t="s">
        <v>33</v>
      </c>
      <c r="E181" s="118">
        <v>10</v>
      </c>
      <c r="F181" s="118" t="s">
        <v>887</v>
      </c>
      <c r="G181" s="118" t="s">
        <v>912</v>
      </c>
      <c r="H181" s="118" t="s">
        <v>35</v>
      </c>
      <c r="I181" s="118">
        <v>1</v>
      </c>
      <c r="J181" s="118">
        <v>1</v>
      </c>
      <c r="K181" s="118">
        <v>1</v>
      </c>
      <c r="L181" s="118">
        <v>3</v>
      </c>
      <c r="M181" s="118" t="s">
        <v>70</v>
      </c>
      <c r="N181" s="118" t="s">
        <v>71</v>
      </c>
      <c r="O181" s="118">
        <v>90</v>
      </c>
      <c r="P181" s="118">
        <v>0.9</v>
      </c>
      <c r="Q181" s="118">
        <v>0</v>
      </c>
      <c r="R181" s="118">
        <v>1</v>
      </c>
      <c r="S181" s="25" t="b">
        <v>1</v>
      </c>
      <c r="T181" s="118">
        <v>65</v>
      </c>
      <c r="U181" s="118">
        <v>975</v>
      </c>
      <c r="V181" s="118">
        <v>1300</v>
      </c>
      <c r="W181" s="118">
        <v>0</v>
      </c>
      <c r="X181" s="118">
        <v>5</v>
      </c>
      <c r="Y181" s="118" t="s">
        <v>38</v>
      </c>
      <c r="Z181" s="17" t="s">
        <v>913</v>
      </c>
      <c r="AA181" s="206" t="s">
        <v>914</v>
      </c>
      <c r="AB181" s="118" t="s">
        <v>915</v>
      </c>
      <c r="AC181" s="118">
        <v>300000</v>
      </c>
      <c r="AD181" s="197">
        <v>1</v>
      </c>
      <c r="AE181" s="197">
        <v>1</v>
      </c>
      <c r="AF181">
        <v>0</v>
      </c>
      <c r="AG181" s="402">
        <v>5</v>
      </c>
    </row>
    <row r="182" spans="1:33" ht="17.25" x14ac:dyDescent="0.3">
      <c r="A182" s="118">
        <v>110006</v>
      </c>
      <c r="B182" s="17" t="s">
        <v>916</v>
      </c>
      <c r="C182" s="17" t="s">
        <v>917</v>
      </c>
      <c r="D182" s="118" t="s">
        <v>33</v>
      </c>
      <c r="E182" s="118">
        <v>10</v>
      </c>
      <c r="F182" s="118" t="s">
        <v>887</v>
      </c>
      <c r="G182" s="118" t="s">
        <v>918</v>
      </c>
      <c r="H182" s="118" t="s">
        <v>35</v>
      </c>
      <c r="I182" s="118">
        <v>1</v>
      </c>
      <c r="J182" s="118">
        <v>1</v>
      </c>
      <c r="K182" s="118">
        <v>1</v>
      </c>
      <c r="L182" s="118">
        <v>3</v>
      </c>
      <c r="M182" s="118" t="s">
        <v>70</v>
      </c>
      <c r="N182" s="118" t="s">
        <v>77</v>
      </c>
      <c r="O182" s="118">
        <v>90</v>
      </c>
      <c r="P182" s="118">
        <v>0.9</v>
      </c>
      <c r="Q182" s="118">
        <v>0</v>
      </c>
      <c r="R182" s="118">
        <v>1</v>
      </c>
      <c r="S182" s="25" t="b">
        <v>1</v>
      </c>
      <c r="T182" s="118">
        <v>78</v>
      </c>
      <c r="U182" s="118">
        <v>1170</v>
      </c>
      <c r="V182" s="118">
        <v>1560</v>
      </c>
      <c r="W182" s="118">
        <v>0</v>
      </c>
      <c r="X182" s="118">
        <v>6</v>
      </c>
      <c r="Y182" s="118" t="s">
        <v>38</v>
      </c>
      <c r="Z182" s="17" t="s">
        <v>919</v>
      </c>
      <c r="AA182" s="206" t="s">
        <v>920</v>
      </c>
      <c r="AB182" s="118" t="s">
        <v>921</v>
      </c>
      <c r="AC182" s="118">
        <v>300000</v>
      </c>
      <c r="AD182" s="197">
        <v>1</v>
      </c>
      <c r="AE182" s="197">
        <v>1</v>
      </c>
      <c r="AF182">
        <v>0</v>
      </c>
      <c r="AG182" s="402">
        <v>6</v>
      </c>
    </row>
    <row r="183" spans="1:33" ht="17.25" x14ac:dyDescent="0.3">
      <c r="A183" s="118">
        <v>110007</v>
      </c>
      <c r="B183" s="21" t="s">
        <v>922</v>
      </c>
      <c r="C183" s="21" t="s">
        <v>923</v>
      </c>
      <c r="D183" s="118" t="s">
        <v>33</v>
      </c>
      <c r="E183" s="118">
        <v>10</v>
      </c>
      <c r="F183" s="118" t="s">
        <v>887</v>
      </c>
      <c r="G183" s="118" t="s">
        <v>924</v>
      </c>
      <c r="H183" s="118" t="s">
        <v>35</v>
      </c>
      <c r="I183" s="118">
        <v>1</v>
      </c>
      <c r="J183" s="118">
        <v>1</v>
      </c>
      <c r="K183" s="118">
        <v>1</v>
      </c>
      <c r="L183" s="118">
        <v>3</v>
      </c>
      <c r="M183" s="118" t="s">
        <v>70</v>
      </c>
      <c r="N183" s="118" t="s">
        <v>83</v>
      </c>
      <c r="O183" s="118">
        <v>90</v>
      </c>
      <c r="P183" s="118">
        <v>0.9</v>
      </c>
      <c r="Q183" s="118">
        <v>0</v>
      </c>
      <c r="R183" s="118">
        <v>1</v>
      </c>
      <c r="S183" s="25" t="b">
        <v>1</v>
      </c>
      <c r="T183" s="118">
        <v>91</v>
      </c>
      <c r="U183" s="118">
        <v>1365</v>
      </c>
      <c r="V183" s="118">
        <v>1820</v>
      </c>
      <c r="W183" s="118">
        <v>0</v>
      </c>
      <c r="X183" s="118">
        <v>7</v>
      </c>
      <c r="Y183" s="118" t="s">
        <v>38</v>
      </c>
      <c r="Z183" s="17" t="s">
        <v>925</v>
      </c>
      <c r="AA183" s="206" t="s">
        <v>926</v>
      </c>
      <c r="AB183" s="118" t="s">
        <v>927</v>
      </c>
      <c r="AC183" s="118">
        <v>100000</v>
      </c>
      <c r="AD183" s="197">
        <v>1</v>
      </c>
      <c r="AE183" s="197">
        <v>1</v>
      </c>
      <c r="AF183">
        <v>0</v>
      </c>
      <c r="AG183" s="402">
        <v>7</v>
      </c>
    </row>
    <row r="184" spans="1:33" ht="17.25" x14ac:dyDescent="0.3">
      <c r="A184" s="114">
        <v>110207</v>
      </c>
      <c r="B184" s="359" t="s">
        <v>928</v>
      </c>
      <c r="C184" s="359" t="s">
        <v>929</v>
      </c>
      <c r="D184" s="119" t="s">
        <v>33</v>
      </c>
      <c r="E184" s="119">
        <v>10</v>
      </c>
      <c r="F184" s="119" t="s">
        <v>887</v>
      </c>
      <c r="G184" s="118" t="s">
        <v>924</v>
      </c>
      <c r="H184" s="119" t="s">
        <v>51</v>
      </c>
      <c r="I184" s="119">
        <v>1</v>
      </c>
      <c r="J184" s="118">
        <v>4</v>
      </c>
      <c r="K184" s="119">
        <v>0</v>
      </c>
      <c r="L184" s="119">
        <v>3</v>
      </c>
      <c r="M184" s="119" t="s">
        <v>70</v>
      </c>
      <c r="N184" s="118" t="s">
        <v>83</v>
      </c>
      <c r="O184" s="119">
        <v>90</v>
      </c>
      <c r="P184" s="119">
        <v>0.9</v>
      </c>
      <c r="Q184" s="119">
        <v>0</v>
      </c>
      <c r="R184" s="119">
        <v>1</v>
      </c>
      <c r="S184" s="80" t="b">
        <v>1</v>
      </c>
      <c r="T184" s="119">
        <v>91</v>
      </c>
      <c r="U184" s="118">
        <v>1365</v>
      </c>
      <c r="V184" s="118">
        <v>1820</v>
      </c>
      <c r="W184" s="119">
        <v>0</v>
      </c>
      <c r="X184" s="119">
        <v>7</v>
      </c>
      <c r="Y184" s="119" t="s">
        <v>38</v>
      </c>
      <c r="Z184" s="114" t="s">
        <v>925</v>
      </c>
      <c r="AA184" s="206" t="s">
        <v>930</v>
      </c>
      <c r="AB184" s="119" t="s">
        <v>927</v>
      </c>
      <c r="AC184" s="119">
        <v>100000</v>
      </c>
      <c r="AD184" s="197">
        <v>1</v>
      </c>
      <c r="AE184" s="197">
        <v>1</v>
      </c>
      <c r="AF184">
        <v>0</v>
      </c>
      <c r="AG184" s="403">
        <v>7</v>
      </c>
    </row>
    <row r="185" spans="1:33" ht="17.25" x14ac:dyDescent="0.3">
      <c r="A185" s="17">
        <v>110008</v>
      </c>
      <c r="B185" s="17" t="s">
        <v>931</v>
      </c>
      <c r="C185" s="17" t="s">
        <v>932</v>
      </c>
      <c r="D185" s="118" t="s">
        <v>33</v>
      </c>
      <c r="E185" s="118">
        <v>10</v>
      </c>
      <c r="F185" s="118" t="s">
        <v>887</v>
      </c>
      <c r="G185" s="118" t="s">
        <v>933</v>
      </c>
      <c r="H185" s="17" t="s">
        <v>35</v>
      </c>
      <c r="I185" s="118">
        <v>1</v>
      </c>
      <c r="J185" s="118">
        <v>1</v>
      </c>
      <c r="K185" s="118">
        <v>1</v>
      </c>
      <c r="L185" s="118">
        <v>3</v>
      </c>
      <c r="M185" s="118" t="s">
        <v>70</v>
      </c>
      <c r="N185" s="118" t="s">
        <v>89</v>
      </c>
      <c r="O185" s="118">
        <v>90</v>
      </c>
      <c r="P185" s="118">
        <v>0.9</v>
      </c>
      <c r="Q185" s="118">
        <v>0</v>
      </c>
      <c r="R185" s="118">
        <v>1</v>
      </c>
      <c r="S185" s="25" t="b">
        <v>1</v>
      </c>
      <c r="T185" s="118">
        <v>104</v>
      </c>
      <c r="U185" s="118">
        <v>1560</v>
      </c>
      <c r="V185" s="118">
        <v>2080</v>
      </c>
      <c r="W185" s="118">
        <v>0</v>
      </c>
      <c r="X185" s="118">
        <v>8</v>
      </c>
      <c r="Y185" s="118" t="s">
        <v>38</v>
      </c>
      <c r="Z185" s="415" t="s">
        <v>934</v>
      </c>
      <c r="AA185" s="206" t="s">
        <v>935</v>
      </c>
      <c r="AB185" s="415" t="s">
        <v>936</v>
      </c>
      <c r="AC185" s="118">
        <v>100000</v>
      </c>
      <c r="AD185" s="191">
        <v>1</v>
      </c>
      <c r="AE185" s="191">
        <v>1</v>
      </c>
      <c r="AF185">
        <v>0</v>
      </c>
      <c r="AG185" s="402">
        <v>8</v>
      </c>
    </row>
    <row r="186" spans="1:33" ht="17.25" x14ac:dyDescent="0.3">
      <c r="A186" s="17">
        <v>110009</v>
      </c>
      <c r="B186" s="17" t="s">
        <v>937</v>
      </c>
      <c r="C186" s="17" t="s">
        <v>938</v>
      </c>
      <c r="D186" s="118" t="s">
        <v>33</v>
      </c>
      <c r="E186" s="118">
        <v>10</v>
      </c>
      <c r="F186" s="118" t="s">
        <v>887</v>
      </c>
      <c r="G186" s="118" t="s">
        <v>939</v>
      </c>
      <c r="H186" s="17" t="s">
        <v>35</v>
      </c>
      <c r="I186" s="118">
        <v>1</v>
      </c>
      <c r="J186" s="118">
        <v>1</v>
      </c>
      <c r="K186" s="118">
        <v>1</v>
      </c>
      <c r="L186" s="118">
        <v>3</v>
      </c>
      <c r="M186" s="118" t="s">
        <v>70</v>
      </c>
      <c r="N186" s="118" t="s">
        <v>95</v>
      </c>
      <c r="O186" s="118">
        <v>90</v>
      </c>
      <c r="P186" s="118">
        <v>0.9</v>
      </c>
      <c r="Q186" s="118">
        <v>0</v>
      </c>
      <c r="R186" s="118">
        <v>1</v>
      </c>
      <c r="S186" s="25" t="b">
        <v>1</v>
      </c>
      <c r="T186" s="118">
        <v>117</v>
      </c>
      <c r="U186" s="118">
        <v>1755</v>
      </c>
      <c r="V186" s="118">
        <v>2340</v>
      </c>
      <c r="W186" s="118">
        <v>0</v>
      </c>
      <c r="X186" s="118">
        <v>9</v>
      </c>
      <c r="Y186" s="118" t="s">
        <v>38</v>
      </c>
      <c r="Z186" s="415" t="s">
        <v>940</v>
      </c>
      <c r="AA186" s="206" t="s">
        <v>941</v>
      </c>
      <c r="AB186" s="415" t="s">
        <v>942</v>
      </c>
      <c r="AC186" s="118">
        <v>100000</v>
      </c>
      <c r="AD186" s="191">
        <v>1</v>
      </c>
      <c r="AE186" s="191">
        <v>1</v>
      </c>
      <c r="AF186">
        <v>0</v>
      </c>
      <c r="AG186" s="402">
        <v>9</v>
      </c>
    </row>
    <row r="187" spans="1:33" ht="17.25" x14ac:dyDescent="0.3">
      <c r="A187" s="17">
        <v>110010</v>
      </c>
      <c r="B187" s="17" t="s">
        <v>943</v>
      </c>
      <c r="C187" s="17" t="s">
        <v>944</v>
      </c>
      <c r="D187" s="118" t="s">
        <v>33</v>
      </c>
      <c r="E187" s="118">
        <v>10</v>
      </c>
      <c r="F187" s="118" t="s">
        <v>887</v>
      </c>
      <c r="G187" s="118" t="s">
        <v>945</v>
      </c>
      <c r="H187" s="17" t="s">
        <v>35</v>
      </c>
      <c r="I187" s="118">
        <v>1</v>
      </c>
      <c r="J187" s="118">
        <v>1</v>
      </c>
      <c r="K187" s="118">
        <v>1</v>
      </c>
      <c r="L187" s="118">
        <v>3</v>
      </c>
      <c r="M187" s="118" t="s">
        <v>70</v>
      </c>
      <c r="N187" s="118" t="s">
        <v>101</v>
      </c>
      <c r="O187" s="118">
        <v>90</v>
      </c>
      <c r="P187" s="118">
        <v>0.9</v>
      </c>
      <c r="Q187" s="118">
        <v>0</v>
      </c>
      <c r="R187" s="118">
        <v>1</v>
      </c>
      <c r="S187" s="25" t="b">
        <v>1</v>
      </c>
      <c r="T187" s="118">
        <v>130</v>
      </c>
      <c r="U187" s="118">
        <v>1950</v>
      </c>
      <c r="V187" s="118">
        <v>2600</v>
      </c>
      <c r="W187" s="118">
        <v>0</v>
      </c>
      <c r="X187" s="118">
        <v>10</v>
      </c>
      <c r="Y187" s="118" t="s">
        <v>38</v>
      </c>
      <c r="Z187" s="415" t="s">
        <v>946</v>
      </c>
      <c r="AA187" s="206" t="s">
        <v>947</v>
      </c>
      <c r="AB187" s="415" t="s">
        <v>948</v>
      </c>
      <c r="AC187" s="118">
        <v>100000</v>
      </c>
      <c r="AD187" s="191">
        <v>1</v>
      </c>
      <c r="AE187" s="191">
        <v>1</v>
      </c>
      <c r="AF187">
        <v>0</v>
      </c>
      <c r="AG187" s="402">
        <v>10</v>
      </c>
    </row>
    <row r="188" spans="1:33" ht="17.25" x14ac:dyDescent="0.3">
      <c r="A188" s="119">
        <v>110208</v>
      </c>
      <c r="B188" s="114" t="s">
        <v>949</v>
      </c>
      <c r="C188" s="114" t="s">
        <v>950</v>
      </c>
      <c r="D188" s="119" t="s">
        <v>33</v>
      </c>
      <c r="E188" s="119">
        <v>10</v>
      </c>
      <c r="F188" s="119" t="s">
        <v>887</v>
      </c>
      <c r="G188" s="119" t="s">
        <v>933</v>
      </c>
      <c r="H188" s="119" t="s">
        <v>51</v>
      </c>
      <c r="I188" s="119">
        <v>1</v>
      </c>
      <c r="J188" s="118">
        <v>4</v>
      </c>
      <c r="K188" s="119">
        <v>0</v>
      </c>
      <c r="L188" s="119">
        <v>3</v>
      </c>
      <c r="M188" s="119" t="s">
        <v>52</v>
      </c>
      <c r="N188" s="118" t="s">
        <v>89</v>
      </c>
      <c r="O188" s="119">
        <v>90</v>
      </c>
      <c r="P188" s="119">
        <v>0.9</v>
      </c>
      <c r="Q188" s="119">
        <v>0</v>
      </c>
      <c r="R188" s="119">
        <v>1</v>
      </c>
      <c r="S188" s="80" t="b">
        <v>1</v>
      </c>
      <c r="T188" s="119">
        <v>104</v>
      </c>
      <c r="U188" s="118">
        <v>1560</v>
      </c>
      <c r="V188" s="118">
        <v>2080</v>
      </c>
      <c r="W188" s="119">
        <v>0</v>
      </c>
      <c r="X188" s="119">
        <v>8</v>
      </c>
      <c r="Y188" s="119" t="s">
        <v>38</v>
      </c>
      <c r="Z188" s="473" t="s">
        <v>934</v>
      </c>
      <c r="AA188" s="206" t="s">
        <v>951</v>
      </c>
      <c r="AB188" s="119" t="s">
        <v>936</v>
      </c>
      <c r="AC188" s="119">
        <v>100000</v>
      </c>
      <c r="AD188" s="92">
        <v>1</v>
      </c>
      <c r="AE188" s="92">
        <v>1</v>
      </c>
      <c r="AF188">
        <v>0</v>
      </c>
      <c r="AG188" s="403">
        <v>8</v>
      </c>
    </row>
    <row r="189" spans="1:33" ht="17.25" x14ac:dyDescent="0.3">
      <c r="A189" s="119">
        <v>110209</v>
      </c>
      <c r="B189" s="114" t="s">
        <v>952</v>
      </c>
      <c r="C189" s="114" t="s">
        <v>953</v>
      </c>
      <c r="D189" s="119" t="s">
        <v>33</v>
      </c>
      <c r="E189" s="119">
        <v>10</v>
      </c>
      <c r="F189" s="119" t="s">
        <v>887</v>
      </c>
      <c r="G189" s="119" t="s">
        <v>939</v>
      </c>
      <c r="H189" s="119" t="s">
        <v>51</v>
      </c>
      <c r="I189" s="119">
        <v>1</v>
      </c>
      <c r="J189" s="118">
        <v>4</v>
      </c>
      <c r="K189" s="119">
        <v>0</v>
      </c>
      <c r="L189" s="119">
        <v>3</v>
      </c>
      <c r="M189" s="119" t="s">
        <v>52</v>
      </c>
      <c r="N189" s="118" t="s">
        <v>95</v>
      </c>
      <c r="O189" s="119">
        <v>90</v>
      </c>
      <c r="P189" s="119">
        <v>0.9</v>
      </c>
      <c r="Q189" s="119">
        <v>0</v>
      </c>
      <c r="R189" s="119">
        <v>1</v>
      </c>
      <c r="S189" s="80" t="b">
        <v>1</v>
      </c>
      <c r="T189" s="119">
        <v>117</v>
      </c>
      <c r="U189" s="118">
        <v>1755</v>
      </c>
      <c r="V189" s="118">
        <v>2340</v>
      </c>
      <c r="W189" s="119">
        <v>0</v>
      </c>
      <c r="X189" s="119">
        <v>9</v>
      </c>
      <c r="Y189" s="119" t="s">
        <v>38</v>
      </c>
      <c r="Z189" s="473" t="s">
        <v>940</v>
      </c>
      <c r="AA189" s="206" t="s">
        <v>954</v>
      </c>
      <c r="AB189" s="119" t="s">
        <v>942</v>
      </c>
      <c r="AC189" s="119">
        <v>100000</v>
      </c>
      <c r="AD189" s="92">
        <v>1</v>
      </c>
      <c r="AE189" s="92">
        <v>1</v>
      </c>
      <c r="AF189">
        <v>0</v>
      </c>
      <c r="AG189" s="403">
        <v>9</v>
      </c>
    </row>
    <row r="190" spans="1:33" ht="17.25" x14ac:dyDescent="0.3">
      <c r="A190" s="119">
        <v>110210</v>
      </c>
      <c r="B190" s="114" t="s">
        <v>955</v>
      </c>
      <c r="C190" s="114" t="s">
        <v>956</v>
      </c>
      <c r="D190" s="119" t="s">
        <v>33</v>
      </c>
      <c r="E190" s="119">
        <v>10</v>
      </c>
      <c r="F190" s="119" t="s">
        <v>887</v>
      </c>
      <c r="G190" s="119" t="s">
        <v>945</v>
      </c>
      <c r="H190" s="119" t="s">
        <v>51</v>
      </c>
      <c r="I190" s="119">
        <v>1</v>
      </c>
      <c r="J190" s="118">
        <v>4</v>
      </c>
      <c r="K190" s="119">
        <v>0</v>
      </c>
      <c r="L190" s="119">
        <v>3</v>
      </c>
      <c r="M190" s="119" t="s">
        <v>52</v>
      </c>
      <c r="N190" s="118" t="s">
        <v>101</v>
      </c>
      <c r="O190" s="119">
        <v>90</v>
      </c>
      <c r="P190" s="119">
        <v>0.9</v>
      </c>
      <c r="Q190" s="119">
        <v>0</v>
      </c>
      <c r="R190" s="119">
        <v>1</v>
      </c>
      <c r="S190" s="80" t="b">
        <v>1</v>
      </c>
      <c r="T190" s="119">
        <v>130</v>
      </c>
      <c r="U190" s="118">
        <v>1950</v>
      </c>
      <c r="V190" s="118">
        <v>2600</v>
      </c>
      <c r="W190" s="119">
        <v>0</v>
      </c>
      <c r="X190" s="119">
        <v>10</v>
      </c>
      <c r="Y190" s="119" t="s">
        <v>38</v>
      </c>
      <c r="Z190" s="473" t="s">
        <v>946</v>
      </c>
      <c r="AA190" s="206" t="s">
        <v>957</v>
      </c>
      <c r="AB190" s="119" t="s">
        <v>948</v>
      </c>
      <c r="AC190" s="119">
        <v>100000</v>
      </c>
      <c r="AD190" s="92">
        <v>1</v>
      </c>
      <c r="AE190" s="92">
        <v>1</v>
      </c>
      <c r="AF190">
        <v>0</v>
      </c>
      <c r="AG190" s="403">
        <v>10</v>
      </c>
    </row>
    <row r="191" spans="1:33" ht="17.25" x14ac:dyDescent="0.3">
      <c r="A191" s="84">
        <v>110202</v>
      </c>
      <c r="B191" s="105" t="s">
        <v>958</v>
      </c>
      <c r="C191" s="105" t="s">
        <v>959</v>
      </c>
      <c r="D191" s="84" t="s">
        <v>33</v>
      </c>
      <c r="E191" s="84">
        <v>10</v>
      </c>
      <c r="F191" s="84" t="s">
        <v>887</v>
      </c>
      <c r="G191" s="118" t="s">
        <v>888</v>
      </c>
      <c r="H191" s="84" t="s">
        <v>107</v>
      </c>
      <c r="I191" s="84">
        <v>4</v>
      </c>
      <c r="J191" s="118">
        <v>4</v>
      </c>
      <c r="K191" s="84">
        <v>0</v>
      </c>
      <c r="L191" s="84">
        <v>3</v>
      </c>
      <c r="M191" s="84">
        <v>4</v>
      </c>
      <c r="N191" s="118" t="s">
        <v>45</v>
      </c>
      <c r="O191" s="84">
        <v>90</v>
      </c>
      <c r="P191" s="84">
        <v>0.9</v>
      </c>
      <c r="Q191" s="84">
        <v>0</v>
      </c>
      <c r="R191" s="84">
        <v>1</v>
      </c>
      <c r="S191" s="43" t="b">
        <v>1</v>
      </c>
      <c r="T191" s="84">
        <v>26</v>
      </c>
      <c r="U191" s="118">
        <v>390</v>
      </c>
      <c r="V191" s="118">
        <v>520</v>
      </c>
      <c r="W191" s="84">
        <v>0</v>
      </c>
      <c r="X191" s="84">
        <v>2</v>
      </c>
      <c r="Y191" s="84" t="s">
        <v>38</v>
      </c>
      <c r="Z191" s="362" t="s">
        <v>108</v>
      </c>
      <c r="AA191" s="206" t="s">
        <v>960</v>
      </c>
      <c r="AB191" s="43" t="s">
        <v>891</v>
      </c>
      <c r="AC191" s="84">
        <v>100000</v>
      </c>
      <c r="AD191" s="197">
        <v>1</v>
      </c>
      <c r="AE191" s="197">
        <v>1</v>
      </c>
      <c r="AF191">
        <v>0</v>
      </c>
      <c r="AG191" s="404">
        <v>2</v>
      </c>
    </row>
    <row r="192" spans="1:33" ht="17.25" x14ac:dyDescent="0.3">
      <c r="A192" s="391">
        <v>110203</v>
      </c>
      <c r="B192" s="392" t="s">
        <v>961</v>
      </c>
      <c r="C192" s="392" t="s">
        <v>962</v>
      </c>
      <c r="D192" s="391" t="s">
        <v>33</v>
      </c>
      <c r="E192" s="391">
        <v>10</v>
      </c>
      <c r="F192" s="391" t="s">
        <v>887</v>
      </c>
      <c r="G192" s="118" t="s">
        <v>900</v>
      </c>
      <c r="H192" s="391" t="s">
        <v>112</v>
      </c>
      <c r="I192" s="391">
        <v>4</v>
      </c>
      <c r="J192" s="118">
        <v>4</v>
      </c>
      <c r="K192" s="391">
        <v>0</v>
      </c>
      <c r="L192" s="391">
        <v>3</v>
      </c>
      <c r="M192" s="391">
        <v>4</v>
      </c>
      <c r="N192" s="118" t="s">
        <v>57</v>
      </c>
      <c r="O192" s="391">
        <v>90</v>
      </c>
      <c r="P192" s="391">
        <v>0.9</v>
      </c>
      <c r="Q192" s="391">
        <v>0</v>
      </c>
      <c r="R192" s="391">
        <v>1</v>
      </c>
      <c r="S192" s="397" t="b">
        <v>1</v>
      </c>
      <c r="T192" s="391">
        <v>39</v>
      </c>
      <c r="U192" s="118">
        <v>585</v>
      </c>
      <c r="V192" s="118">
        <v>780</v>
      </c>
      <c r="W192" s="391">
        <v>0</v>
      </c>
      <c r="X192" s="391">
        <v>3</v>
      </c>
      <c r="Y192" s="391" t="s">
        <v>38</v>
      </c>
      <c r="Z192" s="478" t="s">
        <v>963</v>
      </c>
      <c r="AA192" s="206" t="s">
        <v>964</v>
      </c>
      <c r="AB192" s="397" t="s">
        <v>903</v>
      </c>
      <c r="AC192" s="391">
        <v>100000</v>
      </c>
      <c r="AD192" s="197">
        <v>1</v>
      </c>
      <c r="AE192" s="197">
        <v>1</v>
      </c>
      <c r="AF192">
        <v>0</v>
      </c>
      <c r="AG192" s="405">
        <v>3</v>
      </c>
    </row>
    <row r="193" spans="1:33" ht="17.25" x14ac:dyDescent="0.3">
      <c r="A193" s="391">
        <v>110204</v>
      </c>
      <c r="B193" s="392" t="s">
        <v>965</v>
      </c>
      <c r="C193" s="392" t="s">
        <v>966</v>
      </c>
      <c r="D193" s="391" t="s">
        <v>33</v>
      </c>
      <c r="E193" s="391">
        <v>10</v>
      </c>
      <c r="F193" s="391" t="s">
        <v>887</v>
      </c>
      <c r="G193" s="118" t="s">
        <v>912</v>
      </c>
      <c r="H193" s="391" t="s">
        <v>112</v>
      </c>
      <c r="I193" s="391">
        <v>5</v>
      </c>
      <c r="J193" s="118">
        <v>5</v>
      </c>
      <c r="K193" s="391">
        <v>0</v>
      </c>
      <c r="L193" s="391">
        <v>3</v>
      </c>
      <c r="M193" s="391">
        <v>5</v>
      </c>
      <c r="N193" s="118" t="s">
        <v>64</v>
      </c>
      <c r="O193" s="391">
        <v>90</v>
      </c>
      <c r="P193" s="391">
        <v>0.9</v>
      </c>
      <c r="Q193" s="391">
        <v>0</v>
      </c>
      <c r="R193" s="391">
        <v>1</v>
      </c>
      <c r="S193" s="397" t="b">
        <v>1</v>
      </c>
      <c r="T193" s="391">
        <v>52</v>
      </c>
      <c r="U193" s="118">
        <v>780</v>
      </c>
      <c r="V193" s="118">
        <v>1040</v>
      </c>
      <c r="W193" s="391">
        <v>0</v>
      </c>
      <c r="X193" s="391">
        <v>4</v>
      </c>
      <c r="Y193" s="391" t="s">
        <v>38</v>
      </c>
      <c r="Z193" s="478" t="s">
        <v>967</v>
      </c>
      <c r="AA193" s="206" t="s">
        <v>968</v>
      </c>
      <c r="AB193" s="397" t="s">
        <v>915</v>
      </c>
      <c r="AC193" s="391">
        <v>100000</v>
      </c>
      <c r="AD193" s="197">
        <v>1</v>
      </c>
      <c r="AE193" s="197">
        <v>1</v>
      </c>
      <c r="AF193">
        <v>0</v>
      </c>
      <c r="AG193" s="405">
        <v>4</v>
      </c>
    </row>
    <row r="194" spans="1:33" ht="17.25" x14ac:dyDescent="0.3">
      <c r="A194" s="417">
        <v>111001</v>
      </c>
      <c r="B194" s="17" t="s">
        <v>969</v>
      </c>
      <c r="C194" s="17" t="s">
        <v>970</v>
      </c>
      <c r="D194" s="118" t="s">
        <v>33</v>
      </c>
      <c r="E194" s="118">
        <v>11</v>
      </c>
      <c r="F194" s="118" t="s">
        <v>971</v>
      </c>
      <c r="G194" s="118" t="s">
        <v>972</v>
      </c>
      <c r="H194" s="118" t="s">
        <v>35</v>
      </c>
      <c r="I194" s="118">
        <v>1</v>
      </c>
      <c r="J194" s="118">
        <v>1</v>
      </c>
      <c r="K194" s="118">
        <v>1</v>
      </c>
      <c r="L194" s="118">
        <v>3</v>
      </c>
      <c r="M194" s="118" t="s">
        <v>36</v>
      </c>
      <c r="N194" s="118" t="s">
        <v>37</v>
      </c>
      <c r="O194" s="118">
        <v>99</v>
      </c>
      <c r="P194" s="118">
        <v>0.9</v>
      </c>
      <c r="Q194" s="118">
        <v>0</v>
      </c>
      <c r="R194" s="118">
        <v>1</v>
      </c>
      <c r="S194" s="25" t="b">
        <v>1</v>
      </c>
      <c r="T194" s="118">
        <v>13</v>
      </c>
      <c r="U194" s="118">
        <v>195</v>
      </c>
      <c r="V194" s="118">
        <v>260</v>
      </c>
      <c r="W194" s="118">
        <v>0</v>
      </c>
      <c r="X194" s="118">
        <v>1</v>
      </c>
      <c r="Y194" s="118" t="s">
        <v>38</v>
      </c>
      <c r="Z194" s="17" t="s">
        <v>973</v>
      </c>
      <c r="AA194" s="206" t="s">
        <v>974</v>
      </c>
      <c r="AB194" s="25" t="s">
        <v>975</v>
      </c>
      <c r="AC194" s="118">
        <v>200000</v>
      </c>
      <c r="AD194" s="197">
        <v>1</v>
      </c>
      <c r="AE194" s="197">
        <v>1</v>
      </c>
      <c r="AF194">
        <v>0</v>
      </c>
      <c r="AG194" s="402">
        <v>1</v>
      </c>
    </row>
    <row r="195" spans="1:33" ht="17.25" x14ac:dyDescent="0.3">
      <c r="A195" s="118">
        <v>111002</v>
      </c>
      <c r="B195" s="17" t="s">
        <v>976</v>
      </c>
      <c r="C195" s="17" t="s">
        <v>977</v>
      </c>
      <c r="D195" s="118" t="s">
        <v>33</v>
      </c>
      <c r="E195" s="118">
        <v>11</v>
      </c>
      <c r="F195" s="118" t="s">
        <v>971</v>
      </c>
      <c r="G195" s="118" t="s">
        <v>978</v>
      </c>
      <c r="H195" s="118" t="s">
        <v>35</v>
      </c>
      <c r="I195" s="118">
        <v>1</v>
      </c>
      <c r="J195" s="118">
        <v>1</v>
      </c>
      <c r="K195" s="118">
        <v>1</v>
      </c>
      <c r="L195" s="118">
        <v>3</v>
      </c>
      <c r="M195" s="118" t="s">
        <v>44</v>
      </c>
      <c r="N195" s="118" t="s">
        <v>45</v>
      </c>
      <c r="O195" s="118">
        <v>99</v>
      </c>
      <c r="P195" s="118">
        <v>0.9</v>
      </c>
      <c r="Q195" s="118">
        <v>0</v>
      </c>
      <c r="R195" s="118">
        <v>1</v>
      </c>
      <c r="S195" s="25" t="b">
        <v>1</v>
      </c>
      <c r="T195" s="118">
        <v>26</v>
      </c>
      <c r="U195" s="118">
        <v>390</v>
      </c>
      <c r="V195" s="118">
        <v>520</v>
      </c>
      <c r="W195" s="118">
        <v>0</v>
      </c>
      <c r="X195" s="118">
        <v>2</v>
      </c>
      <c r="Y195" s="118" t="s">
        <v>38</v>
      </c>
      <c r="Z195" s="17" t="s">
        <v>979</v>
      </c>
      <c r="AA195" s="206" t="s">
        <v>980</v>
      </c>
      <c r="AB195" s="25" t="s">
        <v>981</v>
      </c>
      <c r="AC195" s="118">
        <v>100000</v>
      </c>
      <c r="AD195" s="197">
        <v>1</v>
      </c>
      <c r="AE195" s="197">
        <v>1</v>
      </c>
      <c r="AF195">
        <v>0</v>
      </c>
      <c r="AG195" s="402">
        <v>2</v>
      </c>
    </row>
    <row r="196" spans="1:33" ht="17.25" x14ac:dyDescent="0.3">
      <c r="A196" s="118">
        <v>111003</v>
      </c>
      <c r="B196" s="17" t="s">
        <v>982</v>
      </c>
      <c r="C196" s="17" t="s">
        <v>983</v>
      </c>
      <c r="D196" s="118" t="s">
        <v>33</v>
      </c>
      <c r="E196" s="118">
        <v>11</v>
      </c>
      <c r="F196" s="118" t="s">
        <v>971</v>
      </c>
      <c r="G196" s="118" t="s">
        <v>984</v>
      </c>
      <c r="H196" s="118" t="s">
        <v>35</v>
      </c>
      <c r="I196" s="118">
        <v>1</v>
      </c>
      <c r="J196" s="118">
        <v>1</v>
      </c>
      <c r="K196" s="118">
        <v>1</v>
      </c>
      <c r="L196" s="118">
        <v>3</v>
      </c>
      <c r="M196" s="118" t="s">
        <v>56</v>
      </c>
      <c r="N196" s="118" t="s">
        <v>57</v>
      </c>
      <c r="O196" s="118">
        <v>99</v>
      </c>
      <c r="P196" s="118">
        <v>0.9</v>
      </c>
      <c r="Q196" s="118">
        <v>0</v>
      </c>
      <c r="R196" s="118">
        <v>1</v>
      </c>
      <c r="S196" s="25" t="b">
        <v>1</v>
      </c>
      <c r="T196" s="118">
        <v>39</v>
      </c>
      <c r="U196" s="118">
        <v>585</v>
      </c>
      <c r="V196" s="118">
        <v>780</v>
      </c>
      <c r="W196" s="118">
        <v>0</v>
      </c>
      <c r="X196" s="118">
        <v>3</v>
      </c>
      <c r="Y196" s="118" t="s">
        <v>38</v>
      </c>
      <c r="Z196" s="17" t="s">
        <v>985</v>
      </c>
      <c r="AA196" s="206" t="s">
        <v>986</v>
      </c>
      <c r="AB196" s="25" t="s">
        <v>987</v>
      </c>
      <c r="AC196" s="118">
        <v>200000</v>
      </c>
      <c r="AD196" s="197">
        <v>1</v>
      </c>
      <c r="AE196" s="197">
        <v>1</v>
      </c>
      <c r="AF196">
        <v>0</v>
      </c>
      <c r="AG196" s="402">
        <v>3</v>
      </c>
    </row>
    <row r="197" spans="1:33" ht="17.25" x14ac:dyDescent="0.3">
      <c r="A197" s="118">
        <v>111004</v>
      </c>
      <c r="B197" s="71" t="s">
        <v>988</v>
      </c>
      <c r="C197" s="71" t="s">
        <v>989</v>
      </c>
      <c r="D197" s="118" t="s">
        <v>33</v>
      </c>
      <c r="E197" s="118">
        <v>11</v>
      </c>
      <c r="F197" s="118" t="s">
        <v>971</v>
      </c>
      <c r="G197" s="118" t="s">
        <v>990</v>
      </c>
      <c r="H197" s="118" t="s">
        <v>35</v>
      </c>
      <c r="I197" s="118">
        <v>1</v>
      </c>
      <c r="J197" s="118">
        <v>1</v>
      </c>
      <c r="K197" s="118">
        <v>1</v>
      </c>
      <c r="L197" s="118">
        <v>3</v>
      </c>
      <c r="M197" s="118" t="s">
        <v>63</v>
      </c>
      <c r="N197" s="118" t="s">
        <v>64</v>
      </c>
      <c r="O197" s="118">
        <v>99</v>
      </c>
      <c r="P197" s="118">
        <v>0.9</v>
      </c>
      <c r="Q197" s="118">
        <v>0</v>
      </c>
      <c r="R197" s="118">
        <v>1</v>
      </c>
      <c r="S197" s="25" t="b">
        <v>1</v>
      </c>
      <c r="T197" s="118">
        <v>52</v>
      </c>
      <c r="U197" s="118">
        <v>780</v>
      </c>
      <c r="V197" s="118">
        <v>1040</v>
      </c>
      <c r="W197" s="118">
        <v>0</v>
      </c>
      <c r="X197" s="118">
        <v>4</v>
      </c>
      <c r="Y197" s="118" t="s">
        <v>38</v>
      </c>
      <c r="Z197" s="17" t="s">
        <v>991</v>
      </c>
      <c r="AA197" s="206" t="s">
        <v>992</v>
      </c>
      <c r="AB197" s="25" t="s">
        <v>993</v>
      </c>
      <c r="AC197" s="118">
        <v>100000</v>
      </c>
      <c r="AD197" s="197">
        <v>1</v>
      </c>
      <c r="AE197" s="197">
        <v>1</v>
      </c>
      <c r="AF197">
        <v>0</v>
      </c>
      <c r="AG197" s="402">
        <v>4</v>
      </c>
    </row>
    <row r="198" spans="1:33" ht="17.25" x14ac:dyDescent="0.3">
      <c r="A198" s="118">
        <v>111005</v>
      </c>
      <c r="B198" s="17" t="s">
        <v>994</v>
      </c>
      <c r="C198" s="17" t="s">
        <v>995</v>
      </c>
      <c r="D198" s="118" t="s">
        <v>33</v>
      </c>
      <c r="E198" s="118">
        <v>11</v>
      </c>
      <c r="F198" s="118" t="s">
        <v>971</v>
      </c>
      <c r="G198" s="118" t="s">
        <v>996</v>
      </c>
      <c r="H198" s="118" t="s">
        <v>35</v>
      </c>
      <c r="I198" s="118">
        <v>1</v>
      </c>
      <c r="J198" s="118">
        <v>1</v>
      </c>
      <c r="K198" s="118">
        <v>1</v>
      </c>
      <c r="L198" s="118">
        <v>3</v>
      </c>
      <c r="M198" s="118" t="s">
        <v>70</v>
      </c>
      <c r="N198" s="118" t="s">
        <v>71</v>
      </c>
      <c r="O198" s="118">
        <v>99</v>
      </c>
      <c r="P198" s="118">
        <v>0.9</v>
      </c>
      <c r="Q198" s="118">
        <v>0</v>
      </c>
      <c r="R198" s="118">
        <v>1</v>
      </c>
      <c r="S198" s="25" t="b">
        <v>1</v>
      </c>
      <c r="T198" s="118">
        <v>65</v>
      </c>
      <c r="U198" s="118">
        <v>975</v>
      </c>
      <c r="V198" s="118">
        <v>1300</v>
      </c>
      <c r="W198" s="118">
        <v>0</v>
      </c>
      <c r="X198" s="118">
        <v>5</v>
      </c>
      <c r="Y198" s="118" t="s">
        <v>38</v>
      </c>
      <c r="Z198" s="118" t="s">
        <v>997</v>
      </c>
      <c r="AA198" s="206" t="s">
        <v>998</v>
      </c>
      <c r="AB198" s="118" t="s">
        <v>999</v>
      </c>
      <c r="AC198" s="118">
        <v>100000</v>
      </c>
      <c r="AD198" s="197">
        <v>1</v>
      </c>
      <c r="AE198" s="197">
        <v>1</v>
      </c>
      <c r="AF198">
        <v>0</v>
      </c>
      <c r="AG198" s="402">
        <v>5</v>
      </c>
    </row>
    <row r="199" spans="1:33" ht="17.25" x14ac:dyDescent="0.3">
      <c r="A199" s="118">
        <v>111006</v>
      </c>
      <c r="B199" s="17" t="s">
        <v>1000</v>
      </c>
      <c r="C199" s="17" t="s">
        <v>1001</v>
      </c>
      <c r="D199" s="118" t="s">
        <v>33</v>
      </c>
      <c r="E199" s="118">
        <v>11</v>
      </c>
      <c r="F199" s="118" t="s">
        <v>971</v>
      </c>
      <c r="G199" s="118" t="s">
        <v>1002</v>
      </c>
      <c r="H199" s="118" t="s">
        <v>35</v>
      </c>
      <c r="I199" s="118">
        <v>1</v>
      </c>
      <c r="J199" s="118">
        <v>1</v>
      </c>
      <c r="K199" s="118">
        <v>1</v>
      </c>
      <c r="L199" s="118">
        <v>3</v>
      </c>
      <c r="M199" s="118" t="s">
        <v>70</v>
      </c>
      <c r="N199" s="118" t="s">
        <v>77</v>
      </c>
      <c r="O199" s="118">
        <v>99</v>
      </c>
      <c r="P199" s="118">
        <v>0.9</v>
      </c>
      <c r="Q199" s="118">
        <v>0</v>
      </c>
      <c r="R199" s="118">
        <v>1</v>
      </c>
      <c r="S199" s="25" t="b">
        <v>1</v>
      </c>
      <c r="T199" s="118">
        <v>78</v>
      </c>
      <c r="U199" s="118">
        <v>1170</v>
      </c>
      <c r="V199" s="118">
        <v>1560</v>
      </c>
      <c r="W199" s="118">
        <v>0</v>
      </c>
      <c r="X199" s="118">
        <v>6</v>
      </c>
      <c r="Y199" s="118" t="s">
        <v>38</v>
      </c>
      <c r="Z199" s="118" t="s">
        <v>1003</v>
      </c>
      <c r="AA199" s="206" t="s">
        <v>1004</v>
      </c>
      <c r="AB199" s="118" t="s">
        <v>1005</v>
      </c>
      <c r="AC199" s="118">
        <v>100000</v>
      </c>
      <c r="AD199" s="197">
        <v>1</v>
      </c>
      <c r="AE199" s="197">
        <v>1</v>
      </c>
      <c r="AF199">
        <v>0</v>
      </c>
      <c r="AG199" s="402">
        <v>6</v>
      </c>
    </row>
    <row r="200" spans="1:33" s="389" customFormat="1" ht="17.25" x14ac:dyDescent="0.3">
      <c r="A200" s="118">
        <v>111007</v>
      </c>
      <c r="B200" s="17" t="s">
        <v>1006</v>
      </c>
      <c r="C200" s="17" t="s">
        <v>1007</v>
      </c>
      <c r="D200" s="118" t="s">
        <v>33</v>
      </c>
      <c r="E200" s="118">
        <v>11</v>
      </c>
      <c r="F200" s="118" t="s">
        <v>971</v>
      </c>
      <c r="G200" s="118" t="s">
        <v>1008</v>
      </c>
      <c r="H200" s="118" t="s">
        <v>35</v>
      </c>
      <c r="I200" s="118">
        <v>1</v>
      </c>
      <c r="J200" s="118">
        <v>1</v>
      </c>
      <c r="K200" s="118">
        <v>1</v>
      </c>
      <c r="L200" s="118">
        <v>3</v>
      </c>
      <c r="M200" s="118" t="s">
        <v>70</v>
      </c>
      <c r="N200" s="118" t="s">
        <v>83</v>
      </c>
      <c r="O200" s="118">
        <v>99</v>
      </c>
      <c r="P200" s="118">
        <v>0.9</v>
      </c>
      <c r="Q200" s="118">
        <v>0</v>
      </c>
      <c r="R200" s="118">
        <v>1</v>
      </c>
      <c r="S200" s="25" t="b">
        <v>1</v>
      </c>
      <c r="T200" s="118">
        <v>91</v>
      </c>
      <c r="U200" s="118">
        <v>1365</v>
      </c>
      <c r="V200" s="118">
        <v>1820</v>
      </c>
      <c r="W200" s="118">
        <v>0</v>
      </c>
      <c r="X200" s="118">
        <v>7</v>
      </c>
      <c r="Y200" s="118" t="s">
        <v>38</v>
      </c>
      <c r="Z200" s="118" t="s">
        <v>1009</v>
      </c>
      <c r="AA200" s="206" t="s">
        <v>1010</v>
      </c>
      <c r="AB200" s="118" t="s">
        <v>1011</v>
      </c>
      <c r="AC200" s="118">
        <v>100000</v>
      </c>
      <c r="AD200" s="197">
        <v>1</v>
      </c>
      <c r="AE200" s="197">
        <v>1</v>
      </c>
      <c r="AF200">
        <v>0</v>
      </c>
      <c r="AG200" s="402">
        <v>7</v>
      </c>
    </row>
    <row r="201" spans="1:33" ht="17.25" x14ac:dyDescent="0.3">
      <c r="A201" s="118">
        <v>111008</v>
      </c>
      <c r="B201" s="17" t="s">
        <v>1012</v>
      </c>
      <c r="C201" s="17" t="s">
        <v>1013</v>
      </c>
      <c r="D201" s="118" t="s">
        <v>33</v>
      </c>
      <c r="E201" s="118">
        <v>11</v>
      </c>
      <c r="F201" s="118" t="s">
        <v>971</v>
      </c>
      <c r="G201" s="118" t="s">
        <v>1014</v>
      </c>
      <c r="H201" s="17" t="s">
        <v>35</v>
      </c>
      <c r="I201" s="118">
        <v>1</v>
      </c>
      <c r="J201" s="118">
        <v>1</v>
      </c>
      <c r="K201" s="118">
        <v>1</v>
      </c>
      <c r="L201" s="118">
        <v>3</v>
      </c>
      <c r="M201" s="118" t="s">
        <v>70</v>
      </c>
      <c r="N201" s="118" t="s">
        <v>89</v>
      </c>
      <c r="O201" s="118">
        <v>99</v>
      </c>
      <c r="P201" s="118">
        <v>0.9</v>
      </c>
      <c r="Q201" s="118">
        <v>0</v>
      </c>
      <c r="R201" s="118">
        <v>0</v>
      </c>
      <c r="S201" s="25" t="b">
        <v>1</v>
      </c>
      <c r="T201" s="118">
        <v>65</v>
      </c>
      <c r="U201" s="118">
        <v>975</v>
      </c>
      <c r="V201" s="118">
        <v>1300</v>
      </c>
      <c r="W201" s="118">
        <v>0</v>
      </c>
      <c r="X201" s="118">
        <v>8</v>
      </c>
      <c r="Y201" s="118" t="s">
        <v>38</v>
      </c>
      <c r="Z201" s="118" t="s">
        <v>1015</v>
      </c>
      <c r="AA201" s="206" t="s">
        <v>1016</v>
      </c>
      <c r="AB201" s="118" t="s">
        <v>1017</v>
      </c>
      <c r="AC201" s="118">
        <v>100000</v>
      </c>
      <c r="AD201" s="191">
        <v>1</v>
      </c>
      <c r="AE201" s="191">
        <v>1</v>
      </c>
      <c r="AF201">
        <v>0</v>
      </c>
      <c r="AG201" s="402">
        <v>5</v>
      </c>
    </row>
    <row r="202" spans="1:33" ht="17.25" x14ac:dyDescent="0.3">
      <c r="A202" s="118">
        <v>111009</v>
      </c>
      <c r="B202" s="17" t="s">
        <v>1018</v>
      </c>
      <c r="C202" s="17" t="s">
        <v>1019</v>
      </c>
      <c r="D202" s="118" t="s">
        <v>33</v>
      </c>
      <c r="E202" s="118">
        <v>11</v>
      </c>
      <c r="F202" s="118" t="s">
        <v>971</v>
      </c>
      <c r="G202" s="118" t="s">
        <v>1020</v>
      </c>
      <c r="H202" s="17" t="s">
        <v>35</v>
      </c>
      <c r="I202" s="118">
        <v>1</v>
      </c>
      <c r="J202" s="118">
        <v>1</v>
      </c>
      <c r="K202" s="118">
        <v>1</v>
      </c>
      <c r="L202" s="118">
        <v>3</v>
      </c>
      <c r="M202" s="118" t="s">
        <v>70</v>
      </c>
      <c r="N202" s="118" t="s">
        <v>95</v>
      </c>
      <c r="O202" s="118">
        <v>99</v>
      </c>
      <c r="P202" s="118">
        <v>0.9</v>
      </c>
      <c r="Q202" s="118">
        <v>0</v>
      </c>
      <c r="R202" s="118">
        <v>0</v>
      </c>
      <c r="S202" s="25" t="b">
        <v>1</v>
      </c>
      <c r="T202" s="118">
        <v>78</v>
      </c>
      <c r="U202" s="118">
        <v>1170</v>
      </c>
      <c r="V202" s="118">
        <v>1560</v>
      </c>
      <c r="W202" s="118">
        <v>0</v>
      </c>
      <c r="X202" s="118">
        <v>9</v>
      </c>
      <c r="Y202" s="118" t="s">
        <v>38</v>
      </c>
      <c r="Z202" s="118" t="s">
        <v>1021</v>
      </c>
      <c r="AA202" s="206" t="s">
        <v>1022</v>
      </c>
      <c r="AB202" s="118" t="s">
        <v>1023</v>
      </c>
      <c r="AC202" s="118">
        <v>100000</v>
      </c>
      <c r="AD202" s="191">
        <v>1</v>
      </c>
      <c r="AE202" s="191">
        <v>1</v>
      </c>
      <c r="AF202">
        <v>0</v>
      </c>
      <c r="AG202" s="402">
        <v>6</v>
      </c>
    </row>
    <row r="203" spans="1:33" s="389" customFormat="1" ht="17.25" x14ac:dyDescent="0.3">
      <c r="A203" s="118">
        <v>111010</v>
      </c>
      <c r="B203" s="17" t="s">
        <v>1024</v>
      </c>
      <c r="C203" s="17" t="s">
        <v>1025</v>
      </c>
      <c r="D203" s="118" t="s">
        <v>33</v>
      </c>
      <c r="E203" s="118">
        <v>11</v>
      </c>
      <c r="F203" s="118" t="s">
        <v>971</v>
      </c>
      <c r="G203" s="118" t="s">
        <v>1026</v>
      </c>
      <c r="H203" s="17" t="s">
        <v>35</v>
      </c>
      <c r="I203" s="118">
        <v>1</v>
      </c>
      <c r="J203" s="118">
        <v>1</v>
      </c>
      <c r="K203" s="118">
        <v>1</v>
      </c>
      <c r="L203" s="118">
        <v>3</v>
      </c>
      <c r="M203" s="118" t="s">
        <v>70</v>
      </c>
      <c r="N203" s="118" t="s">
        <v>101</v>
      </c>
      <c r="O203" s="118">
        <v>99</v>
      </c>
      <c r="P203" s="118">
        <v>0.9</v>
      </c>
      <c r="Q203" s="118">
        <v>0</v>
      </c>
      <c r="R203" s="118">
        <v>0</v>
      </c>
      <c r="S203" s="25" t="b">
        <v>1</v>
      </c>
      <c r="T203" s="118">
        <v>91</v>
      </c>
      <c r="U203" s="118">
        <v>1365</v>
      </c>
      <c r="V203" s="118">
        <v>1820</v>
      </c>
      <c r="W203" s="118">
        <v>0</v>
      </c>
      <c r="X203" s="118">
        <v>10</v>
      </c>
      <c r="Y203" s="118" t="s">
        <v>38</v>
      </c>
      <c r="Z203" s="118" t="s">
        <v>1027</v>
      </c>
      <c r="AA203" s="206" t="s">
        <v>1028</v>
      </c>
      <c r="AB203" s="118" t="s">
        <v>1029</v>
      </c>
      <c r="AC203" s="118">
        <v>100000</v>
      </c>
      <c r="AD203" s="191">
        <v>1</v>
      </c>
      <c r="AE203" s="191">
        <v>1</v>
      </c>
      <c r="AF203">
        <v>0</v>
      </c>
      <c r="AG203" s="402">
        <v>7</v>
      </c>
    </row>
    <row r="204" spans="1:33" ht="17.25" x14ac:dyDescent="0.3">
      <c r="A204" s="119">
        <v>111207</v>
      </c>
      <c r="B204" s="114" t="s">
        <v>1030</v>
      </c>
      <c r="C204" s="114" t="s">
        <v>1031</v>
      </c>
      <c r="D204" s="119" t="s">
        <v>33</v>
      </c>
      <c r="E204" s="119">
        <v>11</v>
      </c>
      <c r="F204" s="119" t="s">
        <v>971</v>
      </c>
      <c r="G204" s="118" t="s">
        <v>1008</v>
      </c>
      <c r="H204" s="119" t="s">
        <v>51</v>
      </c>
      <c r="I204" s="119">
        <v>1</v>
      </c>
      <c r="J204" s="118">
        <v>4</v>
      </c>
      <c r="K204" s="119">
        <v>0</v>
      </c>
      <c r="L204" s="119">
        <v>3</v>
      </c>
      <c r="M204" s="119" t="s">
        <v>52</v>
      </c>
      <c r="N204" s="118" t="s">
        <v>83</v>
      </c>
      <c r="O204" s="119">
        <v>99</v>
      </c>
      <c r="P204" s="119">
        <v>0.9</v>
      </c>
      <c r="Q204" s="119">
        <v>0</v>
      </c>
      <c r="R204" s="119">
        <v>1</v>
      </c>
      <c r="S204" s="80" t="b">
        <v>1</v>
      </c>
      <c r="T204" s="119">
        <v>91</v>
      </c>
      <c r="U204" s="118">
        <v>1365</v>
      </c>
      <c r="V204" s="118">
        <v>1820</v>
      </c>
      <c r="W204" s="119">
        <v>0</v>
      </c>
      <c r="X204" s="119">
        <v>7</v>
      </c>
      <c r="Y204" s="119" t="s">
        <v>38</v>
      </c>
      <c r="Z204" s="119" t="s">
        <v>1009</v>
      </c>
      <c r="AA204" s="206" t="s">
        <v>1032</v>
      </c>
      <c r="AB204" s="119" t="s">
        <v>1011</v>
      </c>
      <c r="AC204" s="119">
        <v>100000</v>
      </c>
      <c r="AD204" s="197">
        <v>1</v>
      </c>
      <c r="AE204" s="197">
        <v>1</v>
      </c>
      <c r="AF204">
        <v>0</v>
      </c>
      <c r="AG204" s="403">
        <v>7</v>
      </c>
    </row>
    <row r="205" spans="1:33" ht="17.25" x14ac:dyDescent="0.3">
      <c r="A205" s="119">
        <v>111208</v>
      </c>
      <c r="B205" s="114" t="s">
        <v>1033</v>
      </c>
      <c r="C205" s="114" t="s">
        <v>1034</v>
      </c>
      <c r="D205" s="119" t="s">
        <v>33</v>
      </c>
      <c r="E205" s="119">
        <v>11</v>
      </c>
      <c r="F205" s="119" t="s">
        <v>971</v>
      </c>
      <c r="G205" s="119" t="s">
        <v>1014</v>
      </c>
      <c r="H205" s="119" t="s">
        <v>51</v>
      </c>
      <c r="I205" s="119">
        <v>1</v>
      </c>
      <c r="J205" s="118">
        <v>4</v>
      </c>
      <c r="K205" s="119">
        <v>0</v>
      </c>
      <c r="L205" s="119">
        <v>3</v>
      </c>
      <c r="M205" s="119" t="s">
        <v>52</v>
      </c>
      <c r="N205" s="118" t="s">
        <v>89</v>
      </c>
      <c r="O205" s="119">
        <v>99</v>
      </c>
      <c r="P205" s="119">
        <v>0.9</v>
      </c>
      <c r="Q205" s="119">
        <v>0</v>
      </c>
      <c r="R205" s="119">
        <v>0</v>
      </c>
      <c r="S205" s="80" t="b">
        <v>1</v>
      </c>
      <c r="T205" s="119">
        <v>104</v>
      </c>
      <c r="U205" s="118">
        <v>1560</v>
      </c>
      <c r="V205" s="118">
        <v>2080</v>
      </c>
      <c r="W205" s="119">
        <v>0</v>
      </c>
      <c r="X205" s="119">
        <v>8</v>
      </c>
      <c r="Y205" s="119" t="s">
        <v>38</v>
      </c>
      <c r="Z205" s="430" t="s">
        <v>1015</v>
      </c>
      <c r="AA205" s="206" t="s">
        <v>1035</v>
      </c>
      <c r="AB205" s="119" t="s">
        <v>1017</v>
      </c>
      <c r="AC205" s="119">
        <v>100000</v>
      </c>
      <c r="AD205" s="424">
        <v>1</v>
      </c>
      <c r="AE205" s="424">
        <v>1</v>
      </c>
      <c r="AF205">
        <v>0</v>
      </c>
      <c r="AG205" s="403">
        <v>8</v>
      </c>
    </row>
    <row r="206" spans="1:33" ht="17.25" x14ac:dyDescent="0.3">
      <c r="A206" s="119">
        <v>111209</v>
      </c>
      <c r="B206" s="114" t="s">
        <v>1036</v>
      </c>
      <c r="C206" s="114" t="s">
        <v>1037</v>
      </c>
      <c r="D206" s="119" t="s">
        <v>33</v>
      </c>
      <c r="E206" s="119">
        <v>11</v>
      </c>
      <c r="F206" s="119" t="s">
        <v>971</v>
      </c>
      <c r="G206" s="119" t="s">
        <v>1020</v>
      </c>
      <c r="H206" s="119" t="s">
        <v>51</v>
      </c>
      <c r="I206" s="119">
        <v>1</v>
      </c>
      <c r="J206" s="118">
        <v>4</v>
      </c>
      <c r="K206" s="119">
        <v>0</v>
      </c>
      <c r="L206" s="119">
        <v>3</v>
      </c>
      <c r="M206" s="119" t="s">
        <v>52</v>
      </c>
      <c r="N206" s="118" t="s">
        <v>95</v>
      </c>
      <c r="O206" s="119">
        <v>99</v>
      </c>
      <c r="P206" s="119">
        <v>0.9</v>
      </c>
      <c r="Q206" s="119">
        <v>0</v>
      </c>
      <c r="R206" s="119">
        <v>0</v>
      </c>
      <c r="S206" s="80" t="b">
        <v>1</v>
      </c>
      <c r="T206" s="119">
        <v>117</v>
      </c>
      <c r="U206" s="118">
        <v>1755</v>
      </c>
      <c r="V206" s="118">
        <v>2340</v>
      </c>
      <c r="W206" s="119">
        <v>0</v>
      </c>
      <c r="X206" s="119">
        <v>9</v>
      </c>
      <c r="Y206" s="119" t="s">
        <v>38</v>
      </c>
      <c r="Z206" s="430" t="s">
        <v>1021</v>
      </c>
      <c r="AA206" s="206" t="s">
        <v>1038</v>
      </c>
      <c r="AB206" s="119" t="s">
        <v>1023</v>
      </c>
      <c r="AC206" s="119">
        <v>100000</v>
      </c>
      <c r="AD206" s="424">
        <v>1</v>
      </c>
      <c r="AE206" s="424">
        <v>1</v>
      </c>
      <c r="AF206">
        <v>0</v>
      </c>
      <c r="AG206" s="403">
        <v>9</v>
      </c>
    </row>
    <row r="207" spans="1:33" ht="17.25" x14ac:dyDescent="0.3">
      <c r="A207" s="119">
        <v>111210</v>
      </c>
      <c r="B207" s="114" t="s">
        <v>1039</v>
      </c>
      <c r="C207" s="114" t="s">
        <v>1040</v>
      </c>
      <c r="D207" s="119" t="s">
        <v>33</v>
      </c>
      <c r="E207" s="119">
        <v>11</v>
      </c>
      <c r="F207" s="119" t="s">
        <v>971</v>
      </c>
      <c r="G207" s="119" t="s">
        <v>1026</v>
      </c>
      <c r="H207" s="119" t="s">
        <v>51</v>
      </c>
      <c r="I207" s="119">
        <v>1</v>
      </c>
      <c r="J207" s="118">
        <v>4</v>
      </c>
      <c r="K207" s="119">
        <v>0</v>
      </c>
      <c r="L207" s="119">
        <v>3</v>
      </c>
      <c r="M207" s="119" t="s">
        <v>52</v>
      </c>
      <c r="N207" s="118" t="s">
        <v>101</v>
      </c>
      <c r="O207" s="119">
        <v>99</v>
      </c>
      <c r="P207" s="119">
        <v>0.9</v>
      </c>
      <c r="Q207" s="119">
        <v>0</v>
      </c>
      <c r="R207" s="119">
        <v>0</v>
      </c>
      <c r="S207" s="80" t="b">
        <v>1</v>
      </c>
      <c r="T207" s="119">
        <v>130</v>
      </c>
      <c r="U207" s="118">
        <v>1950</v>
      </c>
      <c r="V207" s="118">
        <v>2600</v>
      </c>
      <c r="W207" s="119">
        <v>0</v>
      </c>
      <c r="X207" s="119">
        <v>10</v>
      </c>
      <c r="Y207" s="119" t="s">
        <v>38</v>
      </c>
      <c r="Z207" s="430" t="s">
        <v>1027</v>
      </c>
      <c r="AA207" s="206" t="s">
        <v>1041</v>
      </c>
      <c r="AB207" s="119" t="s">
        <v>1029</v>
      </c>
      <c r="AC207" s="119">
        <v>100000</v>
      </c>
      <c r="AD207" s="197">
        <v>1</v>
      </c>
      <c r="AE207" s="197">
        <v>1</v>
      </c>
      <c r="AF207">
        <v>0</v>
      </c>
      <c r="AG207" s="403">
        <v>10</v>
      </c>
    </row>
    <row r="208" spans="1:33" ht="17.25" x14ac:dyDescent="0.3">
      <c r="A208" s="391">
        <v>111202</v>
      </c>
      <c r="B208" s="392" t="s">
        <v>1042</v>
      </c>
      <c r="C208" s="392" t="s">
        <v>1043</v>
      </c>
      <c r="D208" s="391" t="s">
        <v>33</v>
      </c>
      <c r="E208" s="391">
        <v>11</v>
      </c>
      <c r="F208" s="391" t="s">
        <v>971</v>
      </c>
      <c r="G208" s="118" t="s">
        <v>1008</v>
      </c>
      <c r="H208" s="391" t="s">
        <v>112</v>
      </c>
      <c r="I208" s="391">
        <v>4</v>
      </c>
      <c r="J208" s="118">
        <v>4</v>
      </c>
      <c r="K208" s="391">
        <v>0</v>
      </c>
      <c r="L208" s="391">
        <v>3</v>
      </c>
      <c r="M208" s="391">
        <v>4</v>
      </c>
      <c r="N208" s="118" t="s">
        <v>45</v>
      </c>
      <c r="O208" s="391">
        <v>99</v>
      </c>
      <c r="P208" s="391">
        <v>0.9</v>
      </c>
      <c r="Q208" s="391">
        <v>0</v>
      </c>
      <c r="R208" s="391">
        <v>1</v>
      </c>
      <c r="S208" s="397" t="b">
        <v>1</v>
      </c>
      <c r="T208" s="391">
        <v>26</v>
      </c>
      <c r="U208" s="118">
        <v>390</v>
      </c>
      <c r="V208" s="118">
        <v>520</v>
      </c>
      <c r="W208" s="391">
        <v>0</v>
      </c>
      <c r="X208" s="391">
        <v>2</v>
      </c>
      <c r="Y208" s="391" t="s">
        <v>38</v>
      </c>
      <c r="Z208" s="489" t="s">
        <v>1044</v>
      </c>
      <c r="AA208" s="206" t="s">
        <v>1045</v>
      </c>
      <c r="AB208" s="397" t="s">
        <v>987</v>
      </c>
      <c r="AC208" s="391">
        <v>300000</v>
      </c>
      <c r="AD208" s="197">
        <v>1</v>
      </c>
      <c r="AE208" s="197">
        <v>1</v>
      </c>
      <c r="AF208">
        <v>0</v>
      </c>
      <c r="AG208" s="405">
        <v>2</v>
      </c>
    </row>
    <row r="209" spans="1:33" ht="17.25" x14ac:dyDescent="0.3">
      <c r="A209" s="391">
        <v>111203</v>
      </c>
      <c r="B209" s="392" t="s">
        <v>1046</v>
      </c>
      <c r="C209" s="392" t="s">
        <v>1047</v>
      </c>
      <c r="D209" s="391" t="s">
        <v>33</v>
      </c>
      <c r="E209" s="391">
        <v>11</v>
      </c>
      <c r="F209" s="391" t="s">
        <v>971</v>
      </c>
      <c r="G209" s="118" t="s">
        <v>1008</v>
      </c>
      <c r="H209" s="391" t="s">
        <v>112</v>
      </c>
      <c r="I209" s="391">
        <v>4</v>
      </c>
      <c r="J209" s="118">
        <v>4</v>
      </c>
      <c r="K209" s="391">
        <v>0</v>
      </c>
      <c r="L209" s="391">
        <v>3</v>
      </c>
      <c r="M209" s="391">
        <v>4</v>
      </c>
      <c r="N209" s="118" t="s">
        <v>57</v>
      </c>
      <c r="O209" s="391">
        <v>99</v>
      </c>
      <c r="P209" s="391">
        <v>0.9</v>
      </c>
      <c r="Q209" s="391">
        <v>0</v>
      </c>
      <c r="R209" s="391">
        <v>1</v>
      </c>
      <c r="S209" s="397" t="b">
        <v>1</v>
      </c>
      <c r="T209" s="391">
        <v>39</v>
      </c>
      <c r="U209" s="118">
        <v>585</v>
      </c>
      <c r="V209" s="118">
        <v>780</v>
      </c>
      <c r="W209" s="391">
        <v>0</v>
      </c>
      <c r="X209" s="391">
        <v>3</v>
      </c>
      <c r="Y209" s="391" t="s">
        <v>38</v>
      </c>
      <c r="Z209" s="478" t="s">
        <v>1048</v>
      </c>
      <c r="AA209" s="206" t="s">
        <v>1049</v>
      </c>
      <c r="AB209" s="397" t="s">
        <v>999</v>
      </c>
      <c r="AC209" s="391">
        <v>300000</v>
      </c>
      <c r="AD209" s="197">
        <v>1</v>
      </c>
      <c r="AE209" s="197">
        <v>1</v>
      </c>
      <c r="AF209">
        <v>0</v>
      </c>
      <c r="AG209" s="405">
        <v>3</v>
      </c>
    </row>
    <row r="210" spans="1:33" s="388" customFormat="1" ht="17.25" x14ac:dyDescent="0.3">
      <c r="A210" s="391">
        <v>111204</v>
      </c>
      <c r="B210" s="392" t="s">
        <v>1050</v>
      </c>
      <c r="C210" s="392" t="s">
        <v>1051</v>
      </c>
      <c r="D210" s="391" t="s">
        <v>33</v>
      </c>
      <c r="E210" s="391">
        <v>11</v>
      </c>
      <c r="F210" s="391" t="s">
        <v>971</v>
      </c>
      <c r="G210" s="118" t="s">
        <v>1008</v>
      </c>
      <c r="H210" s="391" t="s">
        <v>112</v>
      </c>
      <c r="I210" s="391">
        <v>5</v>
      </c>
      <c r="J210" s="118">
        <v>5</v>
      </c>
      <c r="K210" s="391">
        <v>0</v>
      </c>
      <c r="L210" s="391">
        <v>3</v>
      </c>
      <c r="M210" s="391">
        <v>5</v>
      </c>
      <c r="N210" s="118" t="s">
        <v>64</v>
      </c>
      <c r="O210" s="391">
        <v>99</v>
      </c>
      <c r="P210" s="391">
        <v>0.9</v>
      </c>
      <c r="Q210" s="391">
        <v>0</v>
      </c>
      <c r="R210" s="391">
        <v>1</v>
      </c>
      <c r="S210" s="397" t="b">
        <v>1</v>
      </c>
      <c r="T210" s="391">
        <v>52</v>
      </c>
      <c r="U210" s="118">
        <v>780</v>
      </c>
      <c r="V210" s="118">
        <v>1040</v>
      </c>
      <c r="W210" s="391">
        <v>0</v>
      </c>
      <c r="X210" s="391">
        <v>4</v>
      </c>
      <c r="Y210" s="391" t="s">
        <v>38</v>
      </c>
      <c r="Z210" s="490" t="s">
        <v>1052</v>
      </c>
      <c r="AA210" s="206" t="s">
        <v>1053</v>
      </c>
      <c r="AB210" s="397" t="s">
        <v>1005</v>
      </c>
      <c r="AC210" s="391">
        <v>300000</v>
      </c>
      <c r="AD210" s="197">
        <v>1</v>
      </c>
      <c r="AE210" s="197">
        <v>1</v>
      </c>
      <c r="AF210">
        <v>0</v>
      </c>
      <c r="AG210" s="405">
        <v>4</v>
      </c>
    </row>
    <row r="211" spans="1:33" ht="17.25" x14ac:dyDescent="0.3">
      <c r="A211" s="128">
        <v>111303</v>
      </c>
      <c r="B211" s="128" t="s">
        <v>1054</v>
      </c>
      <c r="C211" s="128" t="s">
        <v>1055</v>
      </c>
      <c r="D211" s="134" t="s">
        <v>33</v>
      </c>
      <c r="E211" s="130">
        <v>11</v>
      </c>
      <c r="F211" s="130" t="s">
        <v>971</v>
      </c>
      <c r="G211" s="118" t="s">
        <v>1056</v>
      </c>
      <c r="H211" s="130" t="s">
        <v>611</v>
      </c>
      <c r="I211" s="130">
        <v>1</v>
      </c>
      <c r="J211" s="118">
        <v>1</v>
      </c>
      <c r="K211" s="130">
        <v>0</v>
      </c>
      <c r="L211" s="130">
        <v>3</v>
      </c>
      <c r="M211" s="130">
        <v>5</v>
      </c>
      <c r="N211" s="118" t="s">
        <v>1057</v>
      </c>
      <c r="O211" s="134">
        <v>99</v>
      </c>
      <c r="P211" s="134">
        <v>0.9</v>
      </c>
      <c r="Q211" s="134">
        <v>0</v>
      </c>
      <c r="R211" s="130">
        <v>1</v>
      </c>
      <c r="S211" s="130" t="b">
        <v>1</v>
      </c>
      <c r="T211" s="134">
        <v>39</v>
      </c>
      <c r="U211" s="118">
        <v>585</v>
      </c>
      <c r="V211" s="118">
        <v>780</v>
      </c>
      <c r="W211" s="134">
        <v>0</v>
      </c>
      <c r="X211" s="130">
        <v>3</v>
      </c>
      <c r="Y211" s="130" t="s">
        <v>38</v>
      </c>
      <c r="Z211" s="442" t="s">
        <v>1058</v>
      </c>
      <c r="AA211" s="206" t="s">
        <v>1059</v>
      </c>
      <c r="AB211" s="414" t="s">
        <v>1060</v>
      </c>
      <c r="AC211" s="130">
        <v>100000</v>
      </c>
      <c r="AD211" s="197">
        <v>1</v>
      </c>
      <c r="AE211" s="197">
        <v>1</v>
      </c>
      <c r="AF211">
        <v>0</v>
      </c>
      <c r="AG211" s="416">
        <v>3</v>
      </c>
    </row>
    <row r="212" spans="1:33" ht="17.25" x14ac:dyDescent="0.3">
      <c r="A212" s="417">
        <v>112001</v>
      </c>
      <c r="B212" s="17" t="s">
        <v>1061</v>
      </c>
      <c r="C212" s="17" t="s">
        <v>1062</v>
      </c>
      <c r="D212" s="118" t="s">
        <v>33</v>
      </c>
      <c r="E212" s="118">
        <v>12</v>
      </c>
      <c r="F212" s="118" t="s">
        <v>1063</v>
      </c>
      <c r="G212" s="118" t="s">
        <v>1064</v>
      </c>
      <c r="H212" s="118" t="s">
        <v>35</v>
      </c>
      <c r="I212" s="118">
        <v>1</v>
      </c>
      <c r="J212" s="118">
        <v>1</v>
      </c>
      <c r="K212" s="118">
        <v>1</v>
      </c>
      <c r="L212" s="118">
        <v>3</v>
      </c>
      <c r="M212" s="118" t="s">
        <v>36</v>
      </c>
      <c r="N212" s="118" t="s">
        <v>37</v>
      </c>
      <c r="O212" s="118">
        <v>99</v>
      </c>
      <c r="P212" s="118">
        <v>0.9</v>
      </c>
      <c r="Q212" s="118">
        <v>0</v>
      </c>
      <c r="R212" s="118">
        <v>1</v>
      </c>
      <c r="S212" s="25" t="b">
        <v>1</v>
      </c>
      <c r="T212" s="118">
        <v>13</v>
      </c>
      <c r="U212" s="118">
        <v>195</v>
      </c>
      <c r="V212" s="118">
        <v>260</v>
      </c>
      <c r="W212" s="118">
        <v>0</v>
      </c>
      <c r="X212" s="118">
        <v>1</v>
      </c>
      <c r="Y212" s="118" t="s">
        <v>38</v>
      </c>
      <c r="Z212" s="415" t="s">
        <v>1065</v>
      </c>
      <c r="AA212" s="206" t="s">
        <v>1066</v>
      </c>
      <c r="AB212" s="25" t="s">
        <v>1067</v>
      </c>
      <c r="AC212" s="118">
        <v>200000</v>
      </c>
      <c r="AD212" s="197">
        <v>1</v>
      </c>
      <c r="AE212" s="197">
        <v>1</v>
      </c>
      <c r="AF212">
        <v>0</v>
      </c>
      <c r="AG212" s="402">
        <v>1</v>
      </c>
    </row>
    <row r="213" spans="1:33" ht="17.25" x14ac:dyDescent="0.3">
      <c r="A213" s="417">
        <v>112002</v>
      </c>
      <c r="B213" s="17" t="s">
        <v>1068</v>
      </c>
      <c r="C213" s="17" t="s">
        <v>1069</v>
      </c>
      <c r="D213" s="118" t="s">
        <v>33</v>
      </c>
      <c r="E213" s="118">
        <v>12</v>
      </c>
      <c r="F213" s="118" t="s">
        <v>1063</v>
      </c>
      <c r="G213" s="118" t="s">
        <v>1070</v>
      </c>
      <c r="H213" s="118" t="s">
        <v>35</v>
      </c>
      <c r="I213" s="118">
        <v>1</v>
      </c>
      <c r="J213" s="118">
        <v>1</v>
      </c>
      <c r="K213" s="118">
        <v>1</v>
      </c>
      <c r="L213" s="118">
        <v>3</v>
      </c>
      <c r="M213" s="118" t="s">
        <v>44</v>
      </c>
      <c r="N213" s="118" t="s">
        <v>45</v>
      </c>
      <c r="O213" s="118">
        <v>99</v>
      </c>
      <c r="P213" s="118">
        <v>0.9</v>
      </c>
      <c r="Q213" s="118">
        <v>0</v>
      </c>
      <c r="R213" s="118">
        <v>1</v>
      </c>
      <c r="S213" s="25" t="b">
        <v>1</v>
      </c>
      <c r="T213" s="118">
        <v>26</v>
      </c>
      <c r="U213" s="118">
        <v>390</v>
      </c>
      <c r="V213" s="118">
        <v>520</v>
      </c>
      <c r="W213" s="118">
        <v>0</v>
      </c>
      <c r="X213" s="118">
        <v>2</v>
      </c>
      <c r="Y213" s="118" t="s">
        <v>38</v>
      </c>
      <c r="Z213" s="415" t="s">
        <v>1071</v>
      </c>
      <c r="AA213" s="206" t="s">
        <v>1072</v>
      </c>
      <c r="AB213" s="25" t="s">
        <v>1073</v>
      </c>
      <c r="AC213" s="118">
        <v>100000</v>
      </c>
      <c r="AD213" s="197">
        <v>1</v>
      </c>
      <c r="AE213" s="197">
        <v>1</v>
      </c>
      <c r="AF213">
        <v>0</v>
      </c>
      <c r="AG213" s="402">
        <v>2</v>
      </c>
    </row>
    <row r="214" spans="1:33" ht="17.25" x14ac:dyDescent="0.3">
      <c r="A214" s="417">
        <v>112003</v>
      </c>
      <c r="B214" s="17" t="s">
        <v>1074</v>
      </c>
      <c r="C214" s="17" t="s">
        <v>1075</v>
      </c>
      <c r="D214" s="118" t="s">
        <v>33</v>
      </c>
      <c r="E214" s="118">
        <v>12</v>
      </c>
      <c r="F214" s="118" t="s">
        <v>1063</v>
      </c>
      <c r="G214" s="118" t="s">
        <v>1076</v>
      </c>
      <c r="H214" s="118" t="s">
        <v>35</v>
      </c>
      <c r="I214" s="118">
        <v>1</v>
      </c>
      <c r="J214" s="118">
        <v>1</v>
      </c>
      <c r="K214" s="118">
        <v>1</v>
      </c>
      <c r="L214" s="118">
        <v>3</v>
      </c>
      <c r="M214" s="118" t="s">
        <v>56</v>
      </c>
      <c r="N214" s="118" t="s">
        <v>57</v>
      </c>
      <c r="O214" s="118">
        <v>99</v>
      </c>
      <c r="P214" s="118">
        <v>0.9</v>
      </c>
      <c r="Q214" s="118">
        <v>0</v>
      </c>
      <c r="R214" s="118">
        <v>1</v>
      </c>
      <c r="S214" s="25" t="b">
        <v>1</v>
      </c>
      <c r="T214" s="118">
        <v>39</v>
      </c>
      <c r="U214" s="118">
        <v>585</v>
      </c>
      <c r="V214" s="118">
        <v>780</v>
      </c>
      <c r="W214" s="118">
        <v>0</v>
      </c>
      <c r="X214" s="118">
        <v>3</v>
      </c>
      <c r="Y214" s="118" t="s">
        <v>38</v>
      </c>
      <c r="Z214" s="415" t="s">
        <v>1077</v>
      </c>
      <c r="AA214" s="206" t="s">
        <v>1078</v>
      </c>
      <c r="AB214" s="25" t="s">
        <v>1079</v>
      </c>
      <c r="AC214" s="118">
        <v>200000</v>
      </c>
      <c r="AD214" s="197">
        <v>1</v>
      </c>
      <c r="AE214" s="197">
        <v>1</v>
      </c>
      <c r="AF214">
        <v>0</v>
      </c>
      <c r="AG214" s="402">
        <v>3</v>
      </c>
    </row>
    <row r="215" spans="1:33" ht="17.25" x14ac:dyDescent="0.3">
      <c r="A215" s="417">
        <v>112004</v>
      </c>
      <c r="B215" s="71" t="s">
        <v>1080</v>
      </c>
      <c r="C215" s="71" t="s">
        <v>1081</v>
      </c>
      <c r="D215" s="118" t="s">
        <v>33</v>
      </c>
      <c r="E215" s="118">
        <v>12</v>
      </c>
      <c r="F215" s="118" t="s">
        <v>1063</v>
      </c>
      <c r="G215" s="118" t="s">
        <v>1082</v>
      </c>
      <c r="H215" s="118" t="s">
        <v>35</v>
      </c>
      <c r="I215" s="118">
        <v>1</v>
      </c>
      <c r="J215" s="118">
        <v>1</v>
      </c>
      <c r="K215" s="118">
        <v>1</v>
      </c>
      <c r="L215" s="118">
        <v>3</v>
      </c>
      <c r="M215" s="118" t="s">
        <v>63</v>
      </c>
      <c r="N215" s="118" t="s">
        <v>64</v>
      </c>
      <c r="O215" s="118">
        <v>99</v>
      </c>
      <c r="P215" s="118">
        <v>0.9</v>
      </c>
      <c r="Q215" s="118">
        <v>0</v>
      </c>
      <c r="R215" s="118">
        <v>1</v>
      </c>
      <c r="S215" s="25" t="b">
        <v>1</v>
      </c>
      <c r="T215" s="118">
        <v>52</v>
      </c>
      <c r="U215" s="118">
        <v>780</v>
      </c>
      <c r="V215" s="118">
        <v>1040</v>
      </c>
      <c r="W215" s="118">
        <v>0</v>
      </c>
      <c r="X215" s="118">
        <v>4</v>
      </c>
      <c r="Y215" s="118" t="s">
        <v>38</v>
      </c>
      <c r="Z215" s="415" t="s">
        <v>1083</v>
      </c>
      <c r="AA215" s="206" t="s">
        <v>1084</v>
      </c>
      <c r="AB215" s="25" t="s">
        <v>1085</v>
      </c>
      <c r="AC215" s="118">
        <v>100000</v>
      </c>
      <c r="AD215" s="197">
        <v>1</v>
      </c>
      <c r="AE215" s="197">
        <v>1</v>
      </c>
      <c r="AF215">
        <v>0</v>
      </c>
      <c r="AG215" s="402">
        <v>4</v>
      </c>
    </row>
    <row r="216" spans="1:33" ht="17.25" x14ac:dyDescent="0.3">
      <c r="A216" s="417">
        <v>112005</v>
      </c>
      <c r="B216" s="17" t="s">
        <v>1086</v>
      </c>
      <c r="C216" s="17" t="s">
        <v>1087</v>
      </c>
      <c r="D216" s="118" t="s">
        <v>33</v>
      </c>
      <c r="E216" s="118">
        <v>12</v>
      </c>
      <c r="F216" s="118" t="s">
        <v>1063</v>
      </c>
      <c r="G216" s="118" t="s">
        <v>1088</v>
      </c>
      <c r="H216" s="118" t="s">
        <v>35</v>
      </c>
      <c r="I216" s="118">
        <v>1</v>
      </c>
      <c r="J216" s="118">
        <v>1</v>
      </c>
      <c r="K216" s="118">
        <v>1</v>
      </c>
      <c r="L216" s="118">
        <v>3</v>
      </c>
      <c r="M216" s="118" t="s">
        <v>70</v>
      </c>
      <c r="N216" s="118" t="s">
        <v>71</v>
      </c>
      <c r="O216" s="118">
        <v>99</v>
      </c>
      <c r="P216" s="118">
        <v>0.9</v>
      </c>
      <c r="Q216" s="118">
        <v>0</v>
      </c>
      <c r="R216" s="118">
        <v>1</v>
      </c>
      <c r="S216" s="25" t="b">
        <v>1</v>
      </c>
      <c r="T216" s="118">
        <v>65</v>
      </c>
      <c r="U216" s="118">
        <v>975</v>
      </c>
      <c r="V216" s="118">
        <v>1300</v>
      </c>
      <c r="W216" s="118">
        <v>0</v>
      </c>
      <c r="X216" s="118">
        <v>5</v>
      </c>
      <c r="Y216" s="118" t="s">
        <v>38</v>
      </c>
      <c r="Z216" s="118" t="s">
        <v>1089</v>
      </c>
      <c r="AA216" s="206" t="s">
        <v>1090</v>
      </c>
      <c r="AB216" s="25" t="s">
        <v>1091</v>
      </c>
      <c r="AC216" s="118">
        <v>100000</v>
      </c>
      <c r="AD216" s="197">
        <v>1</v>
      </c>
      <c r="AE216" s="197">
        <v>1</v>
      </c>
      <c r="AF216">
        <v>0</v>
      </c>
      <c r="AG216" s="402">
        <v>5</v>
      </c>
    </row>
    <row r="217" spans="1:33" s="389" customFormat="1" ht="17.25" x14ac:dyDescent="0.3">
      <c r="A217" s="417">
        <v>112006</v>
      </c>
      <c r="B217" s="17" t="s">
        <v>1092</v>
      </c>
      <c r="C217" s="17" t="s">
        <v>1093</v>
      </c>
      <c r="D217" s="118" t="s">
        <v>33</v>
      </c>
      <c r="E217" s="118">
        <v>12</v>
      </c>
      <c r="F217" s="118" t="s">
        <v>1063</v>
      </c>
      <c r="G217" s="118" t="s">
        <v>1094</v>
      </c>
      <c r="H217" s="118" t="s">
        <v>35</v>
      </c>
      <c r="I217" s="118">
        <v>1</v>
      </c>
      <c r="J217" s="118">
        <v>1</v>
      </c>
      <c r="K217" s="118">
        <v>1</v>
      </c>
      <c r="L217" s="118">
        <v>3</v>
      </c>
      <c r="M217" s="118" t="s">
        <v>70</v>
      </c>
      <c r="N217" s="118" t="s">
        <v>77</v>
      </c>
      <c r="O217" s="118">
        <v>99</v>
      </c>
      <c r="P217" s="118">
        <v>0.9</v>
      </c>
      <c r="Q217" s="118">
        <v>0</v>
      </c>
      <c r="R217" s="118">
        <v>1</v>
      </c>
      <c r="S217" s="25" t="b">
        <v>1</v>
      </c>
      <c r="T217" s="118">
        <v>78</v>
      </c>
      <c r="U217" s="118">
        <v>1170</v>
      </c>
      <c r="V217" s="118">
        <v>1560</v>
      </c>
      <c r="W217" s="118">
        <v>0</v>
      </c>
      <c r="X217" s="118">
        <v>6</v>
      </c>
      <c r="Y217" s="118" t="s">
        <v>38</v>
      </c>
      <c r="Z217" s="118" t="s">
        <v>1095</v>
      </c>
      <c r="AA217" s="206" t="s">
        <v>1096</v>
      </c>
      <c r="AB217" s="25" t="s">
        <v>1097</v>
      </c>
      <c r="AC217" s="118">
        <v>100000</v>
      </c>
      <c r="AD217" s="197">
        <v>1</v>
      </c>
      <c r="AE217" s="197">
        <v>1</v>
      </c>
      <c r="AF217">
        <v>0</v>
      </c>
      <c r="AG217" s="402">
        <v>6</v>
      </c>
    </row>
    <row r="218" spans="1:33" ht="17.25" x14ac:dyDescent="0.3">
      <c r="A218" s="417">
        <v>112007</v>
      </c>
      <c r="B218" s="17" t="s">
        <v>1098</v>
      </c>
      <c r="C218" s="17" t="s">
        <v>1099</v>
      </c>
      <c r="D218" s="118" t="s">
        <v>33</v>
      </c>
      <c r="E218" s="118">
        <v>12</v>
      </c>
      <c r="F218" s="118" t="s">
        <v>1063</v>
      </c>
      <c r="G218" s="118" t="s">
        <v>1100</v>
      </c>
      <c r="H218" s="118" t="s">
        <v>35</v>
      </c>
      <c r="I218" s="118">
        <v>1</v>
      </c>
      <c r="J218" s="118">
        <v>1</v>
      </c>
      <c r="K218" s="118">
        <v>1</v>
      </c>
      <c r="L218" s="118">
        <v>3</v>
      </c>
      <c r="M218" s="118" t="s">
        <v>70</v>
      </c>
      <c r="N218" s="118" t="s">
        <v>83</v>
      </c>
      <c r="O218" s="118">
        <v>99</v>
      </c>
      <c r="P218" s="118">
        <v>0.9</v>
      </c>
      <c r="Q218" s="118">
        <v>0</v>
      </c>
      <c r="R218" s="118">
        <v>1</v>
      </c>
      <c r="S218" s="25" t="b">
        <v>1</v>
      </c>
      <c r="T218" s="118">
        <v>91</v>
      </c>
      <c r="U218" s="118">
        <v>1365</v>
      </c>
      <c r="V218" s="118">
        <v>1820</v>
      </c>
      <c r="W218" s="118">
        <v>0</v>
      </c>
      <c r="X218" s="118">
        <v>7</v>
      </c>
      <c r="Y218" s="118" t="s">
        <v>38</v>
      </c>
      <c r="Z218" s="118" t="s">
        <v>1101</v>
      </c>
      <c r="AA218" s="206" t="s">
        <v>1102</v>
      </c>
      <c r="AB218" s="25" t="s">
        <v>1103</v>
      </c>
      <c r="AC218" s="118">
        <v>100000</v>
      </c>
      <c r="AD218" s="197">
        <v>1</v>
      </c>
      <c r="AE218" s="197">
        <v>1</v>
      </c>
      <c r="AF218">
        <v>0</v>
      </c>
      <c r="AG218" s="402">
        <v>7</v>
      </c>
    </row>
    <row r="219" spans="1:33" ht="17.25" x14ac:dyDescent="0.3">
      <c r="A219" s="119">
        <v>112207</v>
      </c>
      <c r="B219" s="114" t="s">
        <v>1104</v>
      </c>
      <c r="C219" s="114" t="s">
        <v>1105</v>
      </c>
      <c r="D219" s="119" t="s">
        <v>33</v>
      </c>
      <c r="E219" s="119">
        <v>12</v>
      </c>
      <c r="F219" s="119" t="s">
        <v>1063</v>
      </c>
      <c r="G219" s="118" t="s">
        <v>1100</v>
      </c>
      <c r="H219" s="119" t="s">
        <v>51</v>
      </c>
      <c r="I219" s="119">
        <v>1</v>
      </c>
      <c r="J219" s="118">
        <v>4</v>
      </c>
      <c r="K219" s="119">
        <v>0</v>
      </c>
      <c r="L219" s="119">
        <v>3</v>
      </c>
      <c r="M219" s="119" t="s">
        <v>52</v>
      </c>
      <c r="N219" s="118" t="s">
        <v>83</v>
      </c>
      <c r="O219" s="119">
        <v>99</v>
      </c>
      <c r="P219" s="119">
        <v>0.9</v>
      </c>
      <c r="Q219" s="119">
        <v>0</v>
      </c>
      <c r="R219" s="119">
        <v>1</v>
      </c>
      <c r="S219" s="80" t="b">
        <v>1</v>
      </c>
      <c r="T219" s="119">
        <v>91</v>
      </c>
      <c r="U219" s="118">
        <v>1365</v>
      </c>
      <c r="V219" s="118">
        <v>1820</v>
      </c>
      <c r="W219" s="119">
        <v>0</v>
      </c>
      <c r="X219" s="119">
        <v>7</v>
      </c>
      <c r="Y219" s="119" t="s">
        <v>38</v>
      </c>
      <c r="Z219" s="119" t="s">
        <v>1101</v>
      </c>
      <c r="AA219" s="206" t="s">
        <v>1106</v>
      </c>
      <c r="AB219" s="80" t="s">
        <v>1103</v>
      </c>
      <c r="AC219" s="119">
        <v>100000</v>
      </c>
      <c r="AD219" s="197">
        <v>1</v>
      </c>
      <c r="AE219" s="197">
        <v>1</v>
      </c>
      <c r="AF219">
        <v>0</v>
      </c>
      <c r="AG219" s="403">
        <v>7</v>
      </c>
    </row>
    <row r="220" spans="1:33" ht="17.25" x14ac:dyDescent="0.3">
      <c r="A220" s="417">
        <v>112008</v>
      </c>
      <c r="B220" s="17" t="s">
        <v>1107</v>
      </c>
      <c r="C220" s="17" t="s">
        <v>1108</v>
      </c>
      <c r="D220" s="118" t="s">
        <v>33</v>
      </c>
      <c r="E220" s="118">
        <v>12</v>
      </c>
      <c r="F220" s="118" t="s">
        <v>1063</v>
      </c>
      <c r="G220" s="118" t="s">
        <v>1109</v>
      </c>
      <c r="H220" s="17" t="s">
        <v>35</v>
      </c>
      <c r="I220" s="118">
        <v>1</v>
      </c>
      <c r="J220" s="118">
        <v>1</v>
      </c>
      <c r="K220" s="118">
        <v>1</v>
      </c>
      <c r="L220" s="118">
        <v>3</v>
      </c>
      <c r="M220" s="118" t="s">
        <v>70</v>
      </c>
      <c r="N220" s="118" t="s">
        <v>89</v>
      </c>
      <c r="O220" s="118">
        <v>99</v>
      </c>
      <c r="P220" s="118">
        <v>0.9</v>
      </c>
      <c r="Q220" s="118">
        <v>0</v>
      </c>
      <c r="R220" s="118">
        <v>1</v>
      </c>
      <c r="S220" s="415" t="b">
        <v>1</v>
      </c>
      <c r="T220" s="415">
        <v>104</v>
      </c>
      <c r="U220" s="118">
        <v>1560</v>
      </c>
      <c r="V220" s="118">
        <v>2080</v>
      </c>
      <c r="W220" s="415">
        <v>0</v>
      </c>
      <c r="X220" s="415">
        <v>8</v>
      </c>
      <c r="Y220" s="415" t="s">
        <v>38</v>
      </c>
      <c r="Z220" s="415" t="s">
        <v>1110</v>
      </c>
      <c r="AA220" s="206" t="s">
        <v>1111</v>
      </c>
      <c r="AB220" s="415" t="s">
        <v>1112</v>
      </c>
      <c r="AC220" s="415">
        <v>300000</v>
      </c>
      <c r="AD220" s="191">
        <v>1</v>
      </c>
      <c r="AE220" s="191">
        <v>1</v>
      </c>
      <c r="AF220">
        <v>0</v>
      </c>
      <c r="AG220" s="402">
        <v>2</v>
      </c>
    </row>
    <row r="221" spans="1:33" s="388" customFormat="1" ht="17.25" x14ac:dyDescent="0.3">
      <c r="A221" s="417">
        <v>112009</v>
      </c>
      <c r="B221" s="17" t="s">
        <v>1113</v>
      </c>
      <c r="C221" s="17" t="s">
        <v>1114</v>
      </c>
      <c r="D221" s="118" t="s">
        <v>33</v>
      </c>
      <c r="E221" s="118">
        <v>12</v>
      </c>
      <c r="F221" s="118" t="s">
        <v>1063</v>
      </c>
      <c r="G221" s="118" t="s">
        <v>1115</v>
      </c>
      <c r="H221" s="17" t="s">
        <v>35</v>
      </c>
      <c r="I221" s="118">
        <v>1</v>
      </c>
      <c r="J221" s="118">
        <v>1</v>
      </c>
      <c r="K221" s="118">
        <v>1</v>
      </c>
      <c r="L221" s="118">
        <v>3</v>
      </c>
      <c r="M221" s="118" t="s">
        <v>70</v>
      </c>
      <c r="N221" s="118" t="s">
        <v>95</v>
      </c>
      <c r="O221" s="118">
        <v>99</v>
      </c>
      <c r="P221" s="118">
        <v>0.9</v>
      </c>
      <c r="Q221" s="118">
        <v>0</v>
      </c>
      <c r="R221" s="118">
        <v>1</v>
      </c>
      <c r="S221" s="415" t="b">
        <v>1</v>
      </c>
      <c r="T221" s="415">
        <v>117</v>
      </c>
      <c r="U221" s="118">
        <v>1755</v>
      </c>
      <c r="V221" s="118">
        <v>2340</v>
      </c>
      <c r="W221" s="415">
        <v>0</v>
      </c>
      <c r="X221" s="415">
        <v>9</v>
      </c>
      <c r="Y221" s="415" t="s">
        <v>38</v>
      </c>
      <c r="Z221" s="415" t="s">
        <v>1116</v>
      </c>
      <c r="AA221" s="206" t="s">
        <v>1117</v>
      </c>
      <c r="AB221" s="415" t="s">
        <v>1118</v>
      </c>
      <c r="AC221" s="415">
        <v>300000</v>
      </c>
      <c r="AD221" s="191">
        <v>1</v>
      </c>
      <c r="AE221" s="191">
        <v>1</v>
      </c>
      <c r="AF221">
        <v>0</v>
      </c>
      <c r="AG221" s="402">
        <v>3</v>
      </c>
    </row>
    <row r="222" spans="1:33" ht="17.25" x14ac:dyDescent="0.3">
      <c r="A222" s="417">
        <v>112010</v>
      </c>
      <c r="B222" s="17" t="s">
        <v>1119</v>
      </c>
      <c r="C222" s="17" t="s">
        <v>1120</v>
      </c>
      <c r="D222" s="118" t="s">
        <v>33</v>
      </c>
      <c r="E222" s="118">
        <v>12</v>
      </c>
      <c r="F222" s="118" t="s">
        <v>1063</v>
      </c>
      <c r="G222" s="118" t="s">
        <v>1121</v>
      </c>
      <c r="H222" s="17" t="s">
        <v>35</v>
      </c>
      <c r="I222" s="118">
        <v>1</v>
      </c>
      <c r="J222" s="118">
        <v>1</v>
      </c>
      <c r="K222" s="118">
        <v>1</v>
      </c>
      <c r="L222" s="118">
        <v>3</v>
      </c>
      <c r="M222" s="118" t="s">
        <v>70</v>
      </c>
      <c r="N222" s="118" t="s">
        <v>101</v>
      </c>
      <c r="O222" s="118">
        <v>99</v>
      </c>
      <c r="P222" s="118">
        <v>0.9</v>
      </c>
      <c r="Q222" s="118">
        <v>0</v>
      </c>
      <c r="R222" s="118">
        <v>1</v>
      </c>
      <c r="S222" s="415" t="b">
        <v>1</v>
      </c>
      <c r="T222" s="415">
        <v>130</v>
      </c>
      <c r="U222" s="118">
        <v>1950</v>
      </c>
      <c r="V222" s="118">
        <v>2600</v>
      </c>
      <c r="W222" s="415">
        <v>0</v>
      </c>
      <c r="X222" s="415">
        <v>10</v>
      </c>
      <c r="Y222" s="415" t="s">
        <v>38</v>
      </c>
      <c r="Z222" s="415" t="s">
        <v>1122</v>
      </c>
      <c r="AA222" s="206" t="s">
        <v>1123</v>
      </c>
      <c r="AB222" s="415" t="s">
        <v>1124</v>
      </c>
      <c r="AC222" s="415">
        <v>300000</v>
      </c>
      <c r="AD222" s="191">
        <v>1</v>
      </c>
      <c r="AE222" s="191">
        <v>1</v>
      </c>
      <c r="AF222">
        <v>0</v>
      </c>
      <c r="AG222" s="402">
        <v>4</v>
      </c>
    </row>
    <row r="223" spans="1:33" ht="17.25" x14ac:dyDescent="0.3">
      <c r="A223" s="418">
        <v>112208</v>
      </c>
      <c r="B223" s="114" t="s">
        <v>1125</v>
      </c>
      <c r="C223" s="114" t="s">
        <v>1126</v>
      </c>
      <c r="D223" s="119" t="s">
        <v>33</v>
      </c>
      <c r="E223" s="119">
        <v>12</v>
      </c>
      <c r="F223" s="119" t="s">
        <v>1063</v>
      </c>
      <c r="G223" s="119" t="s">
        <v>1109</v>
      </c>
      <c r="H223" s="119" t="s">
        <v>51</v>
      </c>
      <c r="I223" s="119">
        <v>1</v>
      </c>
      <c r="J223" s="118">
        <v>4</v>
      </c>
      <c r="K223" s="119">
        <v>0</v>
      </c>
      <c r="L223" s="119">
        <v>3</v>
      </c>
      <c r="M223" s="119" t="s">
        <v>52</v>
      </c>
      <c r="N223" s="118" t="s">
        <v>89</v>
      </c>
      <c r="O223" s="119">
        <v>99</v>
      </c>
      <c r="P223" s="119">
        <v>0.9</v>
      </c>
      <c r="Q223" s="119">
        <v>0</v>
      </c>
      <c r="R223" s="119">
        <v>1</v>
      </c>
      <c r="S223" s="80" t="b">
        <v>1</v>
      </c>
      <c r="T223" s="119">
        <v>104</v>
      </c>
      <c r="U223" s="118">
        <v>1560</v>
      </c>
      <c r="V223" s="118">
        <v>2080</v>
      </c>
      <c r="W223" s="119">
        <v>0</v>
      </c>
      <c r="X223" s="119">
        <v>8</v>
      </c>
      <c r="Y223" s="119" t="s">
        <v>38</v>
      </c>
      <c r="Z223" s="473" t="s">
        <v>1110</v>
      </c>
      <c r="AA223" s="206" t="s">
        <v>1127</v>
      </c>
      <c r="AB223" s="80" t="s">
        <v>1112</v>
      </c>
      <c r="AC223" s="119">
        <v>300000</v>
      </c>
      <c r="AD223" s="92">
        <v>1</v>
      </c>
      <c r="AE223" s="92">
        <v>1</v>
      </c>
      <c r="AF223">
        <v>0</v>
      </c>
      <c r="AG223" s="403">
        <v>2</v>
      </c>
    </row>
    <row r="224" spans="1:33" ht="17.25" x14ac:dyDescent="0.3">
      <c r="A224" s="418">
        <v>112209</v>
      </c>
      <c r="B224" s="114" t="s">
        <v>1128</v>
      </c>
      <c r="C224" s="114" t="s">
        <v>1129</v>
      </c>
      <c r="D224" s="119" t="s">
        <v>33</v>
      </c>
      <c r="E224" s="119">
        <v>12</v>
      </c>
      <c r="F224" s="119" t="s">
        <v>1063</v>
      </c>
      <c r="G224" s="119" t="s">
        <v>1115</v>
      </c>
      <c r="H224" s="119" t="s">
        <v>51</v>
      </c>
      <c r="I224" s="119">
        <v>1</v>
      </c>
      <c r="J224" s="118">
        <v>4</v>
      </c>
      <c r="K224" s="119">
        <v>0</v>
      </c>
      <c r="L224" s="119">
        <v>3</v>
      </c>
      <c r="M224" s="119" t="s">
        <v>52</v>
      </c>
      <c r="N224" s="118" t="s">
        <v>95</v>
      </c>
      <c r="O224" s="119">
        <v>99</v>
      </c>
      <c r="P224" s="119">
        <v>0.9</v>
      </c>
      <c r="Q224" s="119">
        <v>0</v>
      </c>
      <c r="R224" s="119">
        <v>1</v>
      </c>
      <c r="S224" s="80" t="b">
        <v>1</v>
      </c>
      <c r="T224" s="119">
        <v>117</v>
      </c>
      <c r="U224" s="118">
        <v>1755</v>
      </c>
      <c r="V224" s="118">
        <v>2340</v>
      </c>
      <c r="W224" s="119">
        <v>0</v>
      </c>
      <c r="X224" s="119">
        <v>9</v>
      </c>
      <c r="Y224" s="119" t="s">
        <v>38</v>
      </c>
      <c r="Z224" s="473" t="s">
        <v>1116</v>
      </c>
      <c r="AA224" s="206" t="s">
        <v>1130</v>
      </c>
      <c r="AB224" s="80" t="s">
        <v>1118</v>
      </c>
      <c r="AC224" s="119">
        <v>300000</v>
      </c>
      <c r="AD224" s="92">
        <v>1</v>
      </c>
      <c r="AE224" s="92">
        <v>1</v>
      </c>
      <c r="AF224">
        <v>0</v>
      </c>
      <c r="AG224" s="403">
        <v>3</v>
      </c>
    </row>
    <row r="225" spans="1:33" ht="17.25" x14ac:dyDescent="0.3">
      <c r="A225" s="418">
        <v>112210</v>
      </c>
      <c r="B225" s="114" t="s">
        <v>1131</v>
      </c>
      <c r="C225" s="114" t="s">
        <v>1132</v>
      </c>
      <c r="D225" s="119" t="s">
        <v>33</v>
      </c>
      <c r="E225" s="119">
        <v>12</v>
      </c>
      <c r="F225" s="119" t="s">
        <v>1063</v>
      </c>
      <c r="G225" s="119" t="s">
        <v>1121</v>
      </c>
      <c r="H225" s="119" t="s">
        <v>51</v>
      </c>
      <c r="I225" s="119">
        <v>1</v>
      </c>
      <c r="J225" s="118">
        <v>4</v>
      </c>
      <c r="K225" s="119">
        <v>0</v>
      </c>
      <c r="L225" s="119">
        <v>3</v>
      </c>
      <c r="M225" s="119" t="s">
        <v>52</v>
      </c>
      <c r="N225" s="118" t="s">
        <v>101</v>
      </c>
      <c r="O225" s="119">
        <v>99</v>
      </c>
      <c r="P225" s="119">
        <v>0.9</v>
      </c>
      <c r="Q225" s="119">
        <v>0</v>
      </c>
      <c r="R225" s="119">
        <v>1</v>
      </c>
      <c r="S225" s="80" t="b">
        <v>1</v>
      </c>
      <c r="T225" s="119">
        <v>130</v>
      </c>
      <c r="U225" s="118">
        <v>1950</v>
      </c>
      <c r="V225" s="118">
        <v>2600</v>
      </c>
      <c r="W225" s="119">
        <v>0</v>
      </c>
      <c r="X225" s="119">
        <v>10</v>
      </c>
      <c r="Y225" s="119" t="s">
        <v>38</v>
      </c>
      <c r="Z225" s="473" t="s">
        <v>1122</v>
      </c>
      <c r="AA225" s="206" t="s">
        <v>1133</v>
      </c>
      <c r="AB225" s="80" t="s">
        <v>1124</v>
      </c>
      <c r="AC225" s="119">
        <v>300000</v>
      </c>
      <c r="AD225" s="92">
        <v>1</v>
      </c>
      <c r="AE225" s="92">
        <v>1</v>
      </c>
      <c r="AF225">
        <v>0</v>
      </c>
      <c r="AG225" s="403">
        <v>4</v>
      </c>
    </row>
    <row r="226" spans="1:33" ht="17.25" x14ac:dyDescent="0.3">
      <c r="A226" s="417">
        <v>113001</v>
      </c>
      <c r="B226" s="17" t="s">
        <v>1134</v>
      </c>
      <c r="C226" s="17" t="s">
        <v>1135</v>
      </c>
      <c r="D226" s="118" t="s">
        <v>33</v>
      </c>
      <c r="E226" s="118">
        <v>13</v>
      </c>
      <c r="F226" s="118" t="s">
        <v>1136</v>
      </c>
      <c r="G226" s="118" t="s">
        <v>1137</v>
      </c>
      <c r="H226" s="118" t="s">
        <v>35</v>
      </c>
      <c r="I226" s="118">
        <v>1</v>
      </c>
      <c r="J226" s="118">
        <v>1</v>
      </c>
      <c r="K226" s="118">
        <v>1</v>
      </c>
      <c r="L226" s="118">
        <v>3</v>
      </c>
      <c r="M226" s="118" t="s">
        <v>36</v>
      </c>
      <c r="N226" s="118" t="s">
        <v>37</v>
      </c>
      <c r="O226" s="118">
        <v>99</v>
      </c>
      <c r="P226" s="118">
        <v>0.9</v>
      </c>
      <c r="Q226" s="118">
        <v>0</v>
      </c>
      <c r="R226" s="118">
        <v>1</v>
      </c>
      <c r="S226" s="25" t="b">
        <v>1</v>
      </c>
      <c r="T226" s="118">
        <v>13</v>
      </c>
      <c r="U226" s="118">
        <v>195</v>
      </c>
      <c r="V226" s="118">
        <v>260</v>
      </c>
      <c r="W226" s="118">
        <v>0</v>
      </c>
      <c r="X226" s="118">
        <v>1</v>
      </c>
      <c r="Y226" s="118" t="s">
        <v>38</v>
      </c>
      <c r="Z226" s="415" t="s">
        <v>1138</v>
      </c>
      <c r="AA226" s="206" t="s">
        <v>1139</v>
      </c>
      <c r="AB226" s="25" t="s">
        <v>1140</v>
      </c>
      <c r="AC226" s="118">
        <v>200000</v>
      </c>
      <c r="AD226" s="197">
        <v>1</v>
      </c>
      <c r="AE226" s="197">
        <v>1</v>
      </c>
      <c r="AF226">
        <v>0</v>
      </c>
      <c r="AG226" s="402">
        <v>1</v>
      </c>
    </row>
    <row r="227" spans="1:33" ht="17.25" x14ac:dyDescent="0.3">
      <c r="A227" s="417">
        <v>113002</v>
      </c>
      <c r="B227" s="17" t="s">
        <v>1141</v>
      </c>
      <c r="C227" s="17" t="s">
        <v>1142</v>
      </c>
      <c r="D227" s="118" t="s">
        <v>33</v>
      </c>
      <c r="E227" s="118">
        <v>13</v>
      </c>
      <c r="F227" s="118" t="s">
        <v>1136</v>
      </c>
      <c r="G227" s="118" t="s">
        <v>1143</v>
      </c>
      <c r="H227" s="118" t="s">
        <v>35</v>
      </c>
      <c r="I227" s="118">
        <v>1</v>
      </c>
      <c r="J227" s="118">
        <v>1</v>
      </c>
      <c r="K227" s="118">
        <v>1</v>
      </c>
      <c r="L227" s="118">
        <v>3</v>
      </c>
      <c r="M227" s="118" t="s">
        <v>44</v>
      </c>
      <c r="N227" s="118" t="s">
        <v>45</v>
      </c>
      <c r="O227" s="118">
        <v>99</v>
      </c>
      <c r="P227" s="118">
        <v>0.9</v>
      </c>
      <c r="Q227" s="118">
        <v>0</v>
      </c>
      <c r="R227" s="118">
        <v>1</v>
      </c>
      <c r="S227" s="25" t="b">
        <v>1</v>
      </c>
      <c r="T227" s="118">
        <v>26</v>
      </c>
      <c r="U227" s="118">
        <v>390</v>
      </c>
      <c r="V227" s="118">
        <v>520</v>
      </c>
      <c r="W227" s="118">
        <v>0</v>
      </c>
      <c r="X227" s="118">
        <v>2</v>
      </c>
      <c r="Y227" s="118" t="s">
        <v>38</v>
      </c>
      <c r="Z227" s="415" t="s">
        <v>1144</v>
      </c>
      <c r="AA227" s="206" t="s">
        <v>1145</v>
      </c>
      <c r="AB227" s="25" t="s">
        <v>1146</v>
      </c>
      <c r="AC227" s="118">
        <v>100000</v>
      </c>
      <c r="AD227" s="197">
        <v>1</v>
      </c>
      <c r="AE227" s="197">
        <v>1</v>
      </c>
      <c r="AF227">
        <v>0</v>
      </c>
      <c r="AG227" s="402">
        <v>2</v>
      </c>
    </row>
    <row r="228" spans="1:33" ht="17.25" x14ac:dyDescent="0.3">
      <c r="A228" s="417">
        <v>113003</v>
      </c>
      <c r="B228" s="17" t="s">
        <v>1147</v>
      </c>
      <c r="C228" s="17" t="s">
        <v>1148</v>
      </c>
      <c r="D228" s="118" t="s">
        <v>33</v>
      </c>
      <c r="E228" s="118">
        <v>13</v>
      </c>
      <c r="F228" s="118" t="s">
        <v>1136</v>
      </c>
      <c r="G228" s="118" t="s">
        <v>1149</v>
      </c>
      <c r="H228" s="118" t="s">
        <v>35</v>
      </c>
      <c r="I228" s="118">
        <v>1</v>
      </c>
      <c r="J228" s="118">
        <v>1</v>
      </c>
      <c r="K228" s="118">
        <v>1</v>
      </c>
      <c r="L228" s="118">
        <v>3</v>
      </c>
      <c r="M228" s="118" t="s">
        <v>56</v>
      </c>
      <c r="N228" s="118" t="s">
        <v>57</v>
      </c>
      <c r="O228" s="118">
        <v>99</v>
      </c>
      <c r="P228" s="118">
        <v>0.9</v>
      </c>
      <c r="Q228" s="118">
        <v>0</v>
      </c>
      <c r="R228" s="118">
        <v>1</v>
      </c>
      <c r="S228" s="25" t="b">
        <v>1</v>
      </c>
      <c r="T228" s="118">
        <v>39</v>
      </c>
      <c r="U228" s="118">
        <v>585</v>
      </c>
      <c r="V228" s="118">
        <v>780</v>
      </c>
      <c r="W228" s="118">
        <v>0</v>
      </c>
      <c r="X228" s="118">
        <v>3</v>
      </c>
      <c r="Y228" s="118" t="s">
        <v>38</v>
      </c>
      <c r="Z228" s="415" t="s">
        <v>1150</v>
      </c>
      <c r="AA228" s="206" t="s">
        <v>1151</v>
      </c>
      <c r="AB228" s="25" t="s">
        <v>1152</v>
      </c>
      <c r="AC228" s="118">
        <v>200000</v>
      </c>
      <c r="AD228" s="197">
        <v>1</v>
      </c>
      <c r="AE228" s="197">
        <v>1</v>
      </c>
      <c r="AF228">
        <v>0</v>
      </c>
      <c r="AG228" s="402">
        <v>3</v>
      </c>
    </row>
    <row r="229" spans="1:33" ht="17.25" x14ac:dyDescent="0.3">
      <c r="A229" s="417">
        <v>113004</v>
      </c>
      <c r="B229" s="71" t="s">
        <v>1153</v>
      </c>
      <c r="C229" s="71" t="s">
        <v>1154</v>
      </c>
      <c r="D229" s="118" t="s">
        <v>33</v>
      </c>
      <c r="E229" s="118">
        <v>13</v>
      </c>
      <c r="F229" s="118" t="s">
        <v>1136</v>
      </c>
      <c r="G229" s="118" t="s">
        <v>1155</v>
      </c>
      <c r="H229" s="118" t="s">
        <v>35</v>
      </c>
      <c r="I229" s="118">
        <v>1</v>
      </c>
      <c r="J229" s="118">
        <v>1</v>
      </c>
      <c r="K229" s="118">
        <v>1</v>
      </c>
      <c r="L229" s="118">
        <v>3</v>
      </c>
      <c r="M229" s="118" t="s">
        <v>63</v>
      </c>
      <c r="N229" s="118" t="s">
        <v>64</v>
      </c>
      <c r="O229" s="118">
        <v>99</v>
      </c>
      <c r="P229" s="118">
        <v>0.9</v>
      </c>
      <c r="Q229" s="118">
        <v>0</v>
      </c>
      <c r="R229" s="118">
        <v>1</v>
      </c>
      <c r="S229" s="25" t="b">
        <v>1</v>
      </c>
      <c r="T229" s="118">
        <v>52</v>
      </c>
      <c r="U229" s="118">
        <v>780</v>
      </c>
      <c r="V229" s="118">
        <v>1040</v>
      </c>
      <c r="W229" s="118">
        <v>0</v>
      </c>
      <c r="X229" s="118">
        <v>4</v>
      </c>
      <c r="Y229" s="118" t="s">
        <v>38</v>
      </c>
      <c r="Z229" s="71" t="s">
        <v>1156</v>
      </c>
      <c r="AA229" s="206" t="s">
        <v>1157</v>
      </c>
      <c r="AB229" s="25" t="s">
        <v>1158</v>
      </c>
      <c r="AC229" s="118">
        <v>100000</v>
      </c>
      <c r="AD229" s="197">
        <v>1</v>
      </c>
      <c r="AE229" s="197">
        <v>1</v>
      </c>
      <c r="AF229">
        <v>0</v>
      </c>
      <c r="AG229" s="402">
        <v>4</v>
      </c>
    </row>
    <row r="230" spans="1:33" ht="17.25" x14ac:dyDescent="0.3">
      <c r="A230" s="417">
        <v>113005</v>
      </c>
      <c r="B230" s="17" t="s">
        <v>1159</v>
      </c>
      <c r="C230" s="17" t="s">
        <v>1160</v>
      </c>
      <c r="D230" s="118" t="s">
        <v>33</v>
      </c>
      <c r="E230" s="118">
        <v>13</v>
      </c>
      <c r="F230" s="118" t="s">
        <v>1136</v>
      </c>
      <c r="G230" s="118" t="s">
        <v>1161</v>
      </c>
      <c r="H230" s="118" t="s">
        <v>35</v>
      </c>
      <c r="I230" s="118">
        <v>1</v>
      </c>
      <c r="J230" s="118">
        <v>1</v>
      </c>
      <c r="K230" s="118">
        <v>1</v>
      </c>
      <c r="L230" s="118">
        <v>3</v>
      </c>
      <c r="M230" s="118" t="s">
        <v>70</v>
      </c>
      <c r="N230" s="118" t="s">
        <v>71</v>
      </c>
      <c r="O230" s="118">
        <v>99</v>
      </c>
      <c r="P230" s="118">
        <v>0.9</v>
      </c>
      <c r="Q230" s="118">
        <v>0</v>
      </c>
      <c r="R230" s="118">
        <v>1</v>
      </c>
      <c r="S230" s="25" t="b">
        <v>1</v>
      </c>
      <c r="T230" s="118">
        <v>65</v>
      </c>
      <c r="U230" s="118">
        <v>975</v>
      </c>
      <c r="V230" s="118">
        <v>1300</v>
      </c>
      <c r="W230" s="118">
        <v>0</v>
      </c>
      <c r="X230" s="118">
        <v>5</v>
      </c>
      <c r="Y230" s="118" t="s">
        <v>38</v>
      </c>
      <c r="Z230" s="415" t="s">
        <v>1162</v>
      </c>
      <c r="AA230" s="206" t="s">
        <v>1163</v>
      </c>
      <c r="AB230" s="25" t="s">
        <v>1164</v>
      </c>
      <c r="AC230" s="118">
        <v>100000</v>
      </c>
      <c r="AD230" s="197">
        <v>1</v>
      </c>
      <c r="AE230" s="197">
        <v>1</v>
      </c>
      <c r="AF230">
        <v>0</v>
      </c>
      <c r="AG230" s="402">
        <v>5</v>
      </c>
    </row>
    <row r="231" spans="1:33" s="389" customFormat="1" ht="17.25" x14ac:dyDescent="0.3">
      <c r="A231" s="417">
        <v>113006</v>
      </c>
      <c r="B231" s="17" t="s">
        <v>1165</v>
      </c>
      <c r="C231" s="17" t="s">
        <v>1166</v>
      </c>
      <c r="D231" s="118" t="s">
        <v>33</v>
      </c>
      <c r="E231" s="118">
        <v>13</v>
      </c>
      <c r="F231" s="118" t="s">
        <v>1136</v>
      </c>
      <c r="G231" s="118" t="s">
        <v>1167</v>
      </c>
      <c r="H231" s="118" t="s">
        <v>35</v>
      </c>
      <c r="I231" s="118">
        <v>1</v>
      </c>
      <c r="J231" s="118">
        <v>1</v>
      </c>
      <c r="K231" s="118">
        <v>1</v>
      </c>
      <c r="L231" s="118">
        <v>3</v>
      </c>
      <c r="M231" s="118" t="s">
        <v>70</v>
      </c>
      <c r="N231" s="118" t="s">
        <v>77</v>
      </c>
      <c r="O231" s="118">
        <v>99</v>
      </c>
      <c r="P231" s="118">
        <v>0.9</v>
      </c>
      <c r="Q231" s="118">
        <v>0</v>
      </c>
      <c r="R231" s="118">
        <v>1</v>
      </c>
      <c r="S231" s="25" t="b">
        <v>1</v>
      </c>
      <c r="T231" s="118">
        <v>78</v>
      </c>
      <c r="U231" s="118">
        <v>1170</v>
      </c>
      <c r="V231" s="118">
        <v>1560</v>
      </c>
      <c r="W231" s="118">
        <v>0</v>
      </c>
      <c r="X231" s="118">
        <v>6</v>
      </c>
      <c r="Y231" s="118" t="s">
        <v>38</v>
      </c>
      <c r="Z231" s="415" t="s">
        <v>1168</v>
      </c>
      <c r="AA231" s="206" t="s">
        <v>1169</v>
      </c>
      <c r="AB231" s="25" t="s">
        <v>1170</v>
      </c>
      <c r="AC231" s="118">
        <v>100000</v>
      </c>
      <c r="AD231" s="197">
        <v>1</v>
      </c>
      <c r="AE231" s="197">
        <v>1</v>
      </c>
      <c r="AF231">
        <v>0</v>
      </c>
      <c r="AG231" s="402">
        <v>6</v>
      </c>
    </row>
    <row r="232" spans="1:33" ht="17.25" x14ac:dyDescent="0.3">
      <c r="A232" s="417">
        <v>113007</v>
      </c>
      <c r="B232" s="17" t="s">
        <v>1171</v>
      </c>
      <c r="C232" s="17" t="s">
        <v>1172</v>
      </c>
      <c r="D232" s="118" t="s">
        <v>33</v>
      </c>
      <c r="E232" s="118">
        <v>13</v>
      </c>
      <c r="F232" s="118" t="s">
        <v>1136</v>
      </c>
      <c r="G232" s="118" t="s">
        <v>1173</v>
      </c>
      <c r="H232" s="118" t="s">
        <v>35</v>
      </c>
      <c r="I232" s="118">
        <v>1</v>
      </c>
      <c r="J232" s="118">
        <v>1</v>
      </c>
      <c r="K232" s="118">
        <v>1</v>
      </c>
      <c r="L232" s="118">
        <v>3</v>
      </c>
      <c r="M232" s="118" t="s">
        <v>70</v>
      </c>
      <c r="N232" s="118" t="s">
        <v>83</v>
      </c>
      <c r="O232" s="118">
        <v>99</v>
      </c>
      <c r="P232" s="118">
        <v>0.9</v>
      </c>
      <c r="Q232" s="118">
        <v>0</v>
      </c>
      <c r="R232" s="118">
        <v>1</v>
      </c>
      <c r="S232" s="25" t="b">
        <v>1</v>
      </c>
      <c r="T232" s="118">
        <v>91</v>
      </c>
      <c r="U232" s="118">
        <v>1365</v>
      </c>
      <c r="V232" s="118">
        <v>1820</v>
      </c>
      <c r="W232" s="118">
        <v>0</v>
      </c>
      <c r="X232" s="118">
        <v>7</v>
      </c>
      <c r="Y232" s="118" t="s">
        <v>38</v>
      </c>
      <c r="Z232" s="415" t="s">
        <v>1174</v>
      </c>
      <c r="AA232" s="206" t="s">
        <v>1175</v>
      </c>
      <c r="AB232" s="25" t="s">
        <v>1176</v>
      </c>
      <c r="AC232" s="118">
        <v>100000</v>
      </c>
      <c r="AD232" s="197">
        <v>1</v>
      </c>
      <c r="AE232" s="197">
        <v>1</v>
      </c>
      <c r="AF232">
        <v>0</v>
      </c>
      <c r="AG232" s="402">
        <v>7</v>
      </c>
    </row>
    <row r="233" spans="1:33" ht="17.25" x14ac:dyDescent="0.3">
      <c r="A233" s="419">
        <v>113008</v>
      </c>
      <c r="B233" s="420" t="s">
        <v>1177</v>
      </c>
      <c r="C233" s="420" t="s">
        <v>1178</v>
      </c>
      <c r="D233" s="421" t="s">
        <v>33</v>
      </c>
      <c r="E233" s="422">
        <v>13</v>
      </c>
      <c r="F233" s="422" t="s">
        <v>1136</v>
      </c>
      <c r="G233" s="422" t="s">
        <v>1179</v>
      </c>
      <c r="H233" s="422" t="s">
        <v>35</v>
      </c>
      <c r="I233" s="422">
        <v>1</v>
      </c>
      <c r="J233" s="118">
        <v>1</v>
      </c>
      <c r="K233" s="422">
        <v>1</v>
      </c>
      <c r="L233" s="422">
        <v>3</v>
      </c>
      <c r="M233" s="422" t="s">
        <v>70</v>
      </c>
      <c r="N233" s="118" t="s">
        <v>89</v>
      </c>
      <c r="O233" s="422">
        <v>99</v>
      </c>
      <c r="P233" s="422">
        <v>0.9</v>
      </c>
      <c r="Q233" s="422">
        <v>0</v>
      </c>
      <c r="R233" s="422">
        <v>1</v>
      </c>
      <c r="S233" s="422" t="b">
        <v>1</v>
      </c>
      <c r="T233" s="422">
        <v>104</v>
      </c>
      <c r="U233" s="118">
        <v>1560</v>
      </c>
      <c r="V233" s="118">
        <v>2080</v>
      </c>
      <c r="W233" s="422">
        <v>0</v>
      </c>
      <c r="X233" s="422">
        <v>8</v>
      </c>
      <c r="Y233" s="422" t="s">
        <v>38</v>
      </c>
      <c r="Z233" s="422" t="s">
        <v>1180</v>
      </c>
      <c r="AA233" s="206" t="s">
        <v>1181</v>
      </c>
      <c r="AB233" s="25" t="s">
        <v>1182</v>
      </c>
      <c r="AC233" s="422">
        <v>100000</v>
      </c>
      <c r="AD233" s="424">
        <v>1</v>
      </c>
      <c r="AE233" s="424">
        <v>1</v>
      </c>
      <c r="AF233">
        <v>0</v>
      </c>
      <c r="AG233" s="425">
        <v>8</v>
      </c>
    </row>
    <row r="234" spans="1:33" ht="17.25" x14ac:dyDescent="0.3">
      <c r="A234" s="419">
        <v>113009</v>
      </c>
      <c r="B234" s="420" t="s">
        <v>1183</v>
      </c>
      <c r="C234" s="420" t="s">
        <v>1184</v>
      </c>
      <c r="D234" s="421" t="s">
        <v>33</v>
      </c>
      <c r="E234" s="422">
        <v>13</v>
      </c>
      <c r="F234" s="422" t="s">
        <v>1136</v>
      </c>
      <c r="G234" s="422" t="s">
        <v>1185</v>
      </c>
      <c r="H234" s="422" t="s">
        <v>35</v>
      </c>
      <c r="I234" s="422">
        <v>1</v>
      </c>
      <c r="J234" s="118">
        <v>1</v>
      </c>
      <c r="K234" s="422">
        <v>1</v>
      </c>
      <c r="L234" s="422">
        <v>3</v>
      </c>
      <c r="M234" s="422" t="s">
        <v>70</v>
      </c>
      <c r="N234" s="118" t="s">
        <v>95</v>
      </c>
      <c r="O234" s="422">
        <v>99</v>
      </c>
      <c r="P234" s="422">
        <v>0.9</v>
      </c>
      <c r="Q234" s="422">
        <v>0</v>
      </c>
      <c r="R234" s="422">
        <v>1</v>
      </c>
      <c r="S234" s="422" t="b">
        <v>1</v>
      </c>
      <c r="T234" s="422">
        <v>117</v>
      </c>
      <c r="U234" s="118">
        <v>1755</v>
      </c>
      <c r="V234" s="118">
        <v>2340</v>
      </c>
      <c r="W234" s="422">
        <v>0</v>
      </c>
      <c r="X234" s="422">
        <v>9</v>
      </c>
      <c r="Y234" s="422" t="s">
        <v>38</v>
      </c>
      <c r="Z234" s="422" t="s">
        <v>1186</v>
      </c>
      <c r="AA234" s="206" t="s">
        <v>1187</v>
      </c>
      <c r="AB234" s="25" t="s">
        <v>1188</v>
      </c>
      <c r="AC234" s="422">
        <v>100000</v>
      </c>
      <c r="AD234" s="424">
        <v>1</v>
      </c>
      <c r="AE234" s="424">
        <v>1</v>
      </c>
      <c r="AF234">
        <v>0</v>
      </c>
      <c r="AG234" s="425">
        <v>9</v>
      </c>
    </row>
    <row r="235" spans="1:33" ht="17.25" x14ac:dyDescent="0.3">
      <c r="A235" s="419">
        <v>113010</v>
      </c>
      <c r="B235" s="420" t="s">
        <v>1189</v>
      </c>
      <c r="C235" s="420" t="s">
        <v>1190</v>
      </c>
      <c r="D235" s="421" t="s">
        <v>33</v>
      </c>
      <c r="E235" s="422">
        <v>13</v>
      </c>
      <c r="F235" s="422" t="s">
        <v>1136</v>
      </c>
      <c r="G235" s="422" t="s">
        <v>1191</v>
      </c>
      <c r="H235" s="422" t="s">
        <v>35</v>
      </c>
      <c r="I235" s="422">
        <v>1</v>
      </c>
      <c r="J235" s="118">
        <v>1</v>
      </c>
      <c r="K235" s="422">
        <v>1</v>
      </c>
      <c r="L235" s="422">
        <v>3</v>
      </c>
      <c r="M235" s="422" t="s">
        <v>70</v>
      </c>
      <c r="N235" s="118" t="s">
        <v>101</v>
      </c>
      <c r="O235" s="422">
        <v>99</v>
      </c>
      <c r="P235" s="422">
        <v>0.9</v>
      </c>
      <c r="Q235" s="422">
        <v>0</v>
      </c>
      <c r="R235" s="422">
        <v>1</v>
      </c>
      <c r="S235" s="422" t="b">
        <v>1</v>
      </c>
      <c r="T235" s="422">
        <v>130</v>
      </c>
      <c r="U235" s="118">
        <v>1950</v>
      </c>
      <c r="V235" s="118">
        <v>2600</v>
      </c>
      <c r="W235" s="422">
        <v>0</v>
      </c>
      <c r="X235" s="422">
        <v>10</v>
      </c>
      <c r="Y235" s="422" t="s">
        <v>38</v>
      </c>
      <c r="Z235" s="422" t="s">
        <v>1192</v>
      </c>
      <c r="AA235" s="206" t="s">
        <v>1193</v>
      </c>
      <c r="AB235" s="25" t="s">
        <v>1194</v>
      </c>
      <c r="AC235" s="422">
        <v>100000</v>
      </c>
      <c r="AD235" s="424">
        <v>1</v>
      </c>
      <c r="AE235" s="424">
        <v>1</v>
      </c>
      <c r="AF235">
        <v>0</v>
      </c>
      <c r="AG235" s="425">
        <v>10</v>
      </c>
    </row>
    <row r="236" spans="1:33" ht="17.25" x14ac:dyDescent="0.3">
      <c r="A236" s="119">
        <v>113208</v>
      </c>
      <c r="B236" s="114" t="s">
        <v>1195</v>
      </c>
      <c r="C236" s="114" t="s">
        <v>1196</v>
      </c>
      <c r="D236" s="119" t="s">
        <v>33</v>
      </c>
      <c r="E236" s="119">
        <v>13</v>
      </c>
      <c r="F236" s="119" t="s">
        <v>1136</v>
      </c>
      <c r="G236" s="119" t="s">
        <v>1179</v>
      </c>
      <c r="H236" s="119" t="s">
        <v>51</v>
      </c>
      <c r="I236" s="119">
        <v>1</v>
      </c>
      <c r="J236" s="118">
        <v>4</v>
      </c>
      <c r="K236" s="119">
        <v>0</v>
      </c>
      <c r="L236" s="119">
        <v>3</v>
      </c>
      <c r="M236" s="119" t="s">
        <v>52</v>
      </c>
      <c r="N236" s="118" t="s">
        <v>89</v>
      </c>
      <c r="O236" s="119">
        <v>99</v>
      </c>
      <c r="P236" s="119">
        <v>0.9</v>
      </c>
      <c r="Q236" s="119">
        <v>0</v>
      </c>
      <c r="R236" s="119">
        <v>1</v>
      </c>
      <c r="S236" s="80" t="b">
        <v>1</v>
      </c>
      <c r="T236" s="119">
        <v>104</v>
      </c>
      <c r="U236" s="118">
        <v>1560</v>
      </c>
      <c r="V236" s="118">
        <v>2080</v>
      </c>
      <c r="W236" s="119">
        <v>0</v>
      </c>
      <c r="X236" s="119">
        <v>8</v>
      </c>
      <c r="Y236" s="119" t="s">
        <v>38</v>
      </c>
      <c r="Z236" s="480" t="s">
        <v>1180</v>
      </c>
      <c r="AA236" s="206" t="s">
        <v>1197</v>
      </c>
      <c r="AB236" s="25" t="s">
        <v>1182</v>
      </c>
      <c r="AC236" s="119">
        <v>100000</v>
      </c>
      <c r="AD236" s="424">
        <v>1</v>
      </c>
      <c r="AE236" s="424">
        <v>1</v>
      </c>
      <c r="AF236">
        <v>0</v>
      </c>
      <c r="AG236" s="403">
        <v>8</v>
      </c>
    </row>
    <row r="237" spans="1:33" ht="17.25" x14ac:dyDescent="0.3">
      <c r="A237" s="119">
        <v>113209</v>
      </c>
      <c r="B237" s="114" t="s">
        <v>1198</v>
      </c>
      <c r="C237" s="114" t="s">
        <v>1199</v>
      </c>
      <c r="D237" s="119" t="s">
        <v>33</v>
      </c>
      <c r="E237" s="119">
        <v>13</v>
      </c>
      <c r="F237" s="119" t="s">
        <v>1136</v>
      </c>
      <c r="G237" s="119" t="s">
        <v>1185</v>
      </c>
      <c r="H237" s="119" t="s">
        <v>51</v>
      </c>
      <c r="I237" s="119">
        <v>1</v>
      </c>
      <c r="J237" s="118">
        <v>4</v>
      </c>
      <c r="K237" s="119">
        <v>0</v>
      </c>
      <c r="L237" s="119">
        <v>3</v>
      </c>
      <c r="M237" s="119" t="s">
        <v>52</v>
      </c>
      <c r="N237" s="118" t="s">
        <v>95</v>
      </c>
      <c r="O237" s="119">
        <v>99</v>
      </c>
      <c r="P237" s="119">
        <v>0.9</v>
      </c>
      <c r="Q237" s="119">
        <v>0</v>
      </c>
      <c r="R237" s="119">
        <v>1</v>
      </c>
      <c r="S237" s="80" t="b">
        <v>1</v>
      </c>
      <c r="T237" s="119">
        <v>117</v>
      </c>
      <c r="U237" s="118">
        <v>1755</v>
      </c>
      <c r="V237" s="118">
        <v>2340</v>
      </c>
      <c r="W237" s="119">
        <v>0</v>
      </c>
      <c r="X237" s="119">
        <v>9</v>
      </c>
      <c r="Y237" s="119" t="s">
        <v>38</v>
      </c>
      <c r="Z237" s="480" t="s">
        <v>1186</v>
      </c>
      <c r="AA237" s="206" t="s">
        <v>1200</v>
      </c>
      <c r="AB237" s="25" t="s">
        <v>1188</v>
      </c>
      <c r="AC237" s="119">
        <v>100000</v>
      </c>
      <c r="AD237" s="424">
        <v>1</v>
      </c>
      <c r="AE237" s="424">
        <v>1</v>
      </c>
      <c r="AF237">
        <v>0</v>
      </c>
      <c r="AG237" s="403">
        <v>9</v>
      </c>
    </row>
    <row r="238" spans="1:33" ht="17.25" x14ac:dyDescent="0.3">
      <c r="A238" s="119">
        <v>113210</v>
      </c>
      <c r="B238" s="114" t="s">
        <v>1201</v>
      </c>
      <c r="C238" s="114" t="s">
        <v>1202</v>
      </c>
      <c r="D238" s="119" t="s">
        <v>33</v>
      </c>
      <c r="E238" s="119">
        <v>13</v>
      </c>
      <c r="F238" s="119" t="s">
        <v>1136</v>
      </c>
      <c r="G238" s="119" t="s">
        <v>1191</v>
      </c>
      <c r="H238" s="119" t="s">
        <v>51</v>
      </c>
      <c r="I238" s="119">
        <v>1</v>
      </c>
      <c r="J238" s="118">
        <v>4</v>
      </c>
      <c r="K238" s="119">
        <v>0</v>
      </c>
      <c r="L238" s="119">
        <v>3</v>
      </c>
      <c r="M238" s="119" t="s">
        <v>52</v>
      </c>
      <c r="N238" s="118" t="s">
        <v>101</v>
      </c>
      <c r="O238" s="119">
        <v>99</v>
      </c>
      <c r="P238" s="119">
        <v>0.9</v>
      </c>
      <c r="Q238" s="119">
        <v>0</v>
      </c>
      <c r="R238" s="119">
        <v>1</v>
      </c>
      <c r="S238" s="80" t="b">
        <v>1</v>
      </c>
      <c r="T238" s="119">
        <v>130</v>
      </c>
      <c r="U238" s="118">
        <v>1950</v>
      </c>
      <c r="V238" s="118">
        <v>2600</v>
      </c>
      <c r="W238" s="119">
        <v>0</v>
      </c>
      <c r="X238" s="119">
        <v>10</v>
      </c>
      <c r="Y238" s="119" t="s">
        <v>38</v>
      </c>
      <c r="Z238" s="480" t="s">
        <v>1192</v>
      </c>
      <c r="AA238" s="206" t="s">
        <v>1203</v>
      </c>
      <c r="AB238" s="25" t="s">
        <v>1194</v>
      </c>
      <c r="AC238" s="119">
        <v>100000</v>
      </c>
      <c r="AD238" s="424">
        <v>1</v>
      </c>
      <c r="AE238" s="424">
        <v>1</v>
      </c>
      <c r="AF238">
        <v>0</v>
      </c>
      <c r="AG238" s="403">
        <v>10</v>
      </c>
    </row>
    <row r="239" spans="1:33" ht="17.25" x14ac:dyDescent="0.3">
      <c r="A239" s="84">
        <v>113202</v>
      </c>
      <c r="B239" s="105" t="s">
        <v>1204</v>
      </c>
      <c r="C239" s="105" t="s">
        <v>1205</v>
      </c>
      <c r="D239" s="84" t="s">
        <v>33</v>
      </c>
      <c r="E239" s="84">
        <v>13</v>
      </c>
      <c r="F239" s="84" t="s">
        <v>1136</v>
      </c>
      <c r="G239" s="118" t="s">
        <v>1173</v>
      </c>
      <c r="H239" s="84"/>
      <c r="I239" s="84">
        <v>1</v>
      </c>
      <c r="J239" s="118">
        <v>1</v>
      </c>
      <c r="K239" s="84">
        <v>0</v>
      </c>
      <c r="L239" s="84">
        <v>3</v>
      </c>
      <c r="M239" s="84">
        <v>4</v>
      </c>
      <c r="N239" s="118" t="s">
        <v>45</v>
      </c>
      <c r="O239" s="84">
        <v>99</v>
      </c>
      <c r="P239" s="84">
        <v>0.9</v>
      </c>
      <c r="Q239" s="84">
        <v>0</v>
      </c>
      <c r="R239" s="84">
        <v>1</v>
      </c>
      <c r="S239" s="43" t="b">
        <v>1</v>
      </c>
      <c r="T239" s="84">
        <v>26</v>
      </c>
      <c r="U239" s="118">
        <v>390</v>
      </c>
      <c r="V239" s="118">
        <v>520</v>
      </c>
      <c r="W239" s="84">
        <v>0</v>
      </c>
      <c r="X239" s="84">
        <v>2</v>
      </c>
      <c r="Y239" s="84" t="s">
        <v>38</v>
      </c>
      <c r="Z239" s="193"/>
      <c r="AA239" s="206" t="s">
        <v>1206</v>
      </c>
      <c r="AB239" s="43" t="s">
        <v>1207</v>
      </c>
      <c r="AC239" s="84">
        <v>300000</v>
      </c>
      <c r="AD239" s="197">
        <v>1</v>
      </c>
      <c r="AE239" s="197">
        <v>1</v>
      </c>
      <c r="AF239">
        <v>0</v>
      </c>
      <c r="AG239" s="404">
        <v>2</v>
      </c>
    </row>
    <row r="240" spans="1:33" s="388" customFormat="1" ht="17.25" x14ac:dyDescent="0.3">
      <c r="A240" s="84">
        <v>113203</v>
      </c>
      <c r="B240" s="105" t="s">
        <v>1208</v>
      </c>
      <c r="C240" s="105" t="s">
        <v>1209</v>
      </c>
      <c r="D240" s="84" t="s">
        <v>33</v>
      </c>
      <c r="E240" s="84">
        <v>13</v>
      </c>
      <c r="F240" s="84" t="s">
        <v>1136</v>
      </c>
      <c r="G240" s="118" t="s">
        <v>1173</v>
      </c>
      <c r="H240" s="84"/>
      <c r="I240" s="84">
        <v>1</v>
      </c>
      <c r="J240" s="118">
        <v>1</v>
      </c>
      <c r="K240" s="84">
        <v>0</v>
      </c>
      <c r="L240" s="84">
        <v>3</v>
      </c>
      <c r="M240" s="84">
        <v>4</v>
      </c>
      <c r="N240" s="118" t="s">
        <v>57</v>
      </c>
      <c r="O240" s="84">
        <v>99</v>
      </c>
      <c r="P240" s="84">
        <v>0.9</v>
      </c>
      <c r="Q240" s="84">
        <v>0</v>
      </c>
      <c r="R240" s="84">
        <v>1</v>
      </c>
      <c r="S240" s="43" t="b">
        <v>1</v>
      </c>
      <c r="T240" s="84">
        <v>39</v>
      </c>
      <c r="U240" s="118">
        <v>585</v>
      </c>
      <c r="V240" s="118">
        <v>780</v>
      </c>
      <c r="W240" s="84">
        <v>0</v>
      </c>
      <c r="X240" s="84">
        <v>3</v>
      </c>
      <c r="Y240" s="84" t="s">
        <v>38</v>
      </c>
      <c r="Z240" s="362"/>
      <c r="AA240" s="206" t="s">
        <v>1210</v>
      </c>
      <c r="AB240" s="43" t="s">
        <v>1207</v>
      </c>
      <c r="AC240" s="84">
        <v>300000</v>
      </c>
      <c r="AD240" s="197">
        <v>1</v>
      </c>
      <c r="AE240" s="197">
        <v>1</v>
      </c>
      <c r="AF240">
        <v>0</v>
      </c>
      <c r="AG240" s="404">
        <v>3</v>
      </c>
    </row>
    <row r="241" spans="1:33" ht="17.25" x14ac:dyDescent="0.3">
      <c r="A241" s="84">
        <v>113204</v>
      </c>
      <c r="B241" s="105" t="s">
        <v>1211</v>
      </c>
      <c r="C241" s="105" t="s">
        <v>1212</v>
      </c>
      <c r="D241" s="84" t="s">
        <v>33</v>
      </c>
      <c r="E241" s="84">
        <v>13</v>
      </c>
      <c r="F241" s="84" t="s">
        <v>1136</v>
      </c>
      <c r="G241" s="118" t="s">
        <v>1173</v>
      </c>
      <c r="H241" s="84"/>
      <c r="I241" s="84">
        <v>1</v>
      </c>
      <c r="J241" s="118">
        <v>1</v>
      </c>
      <c r="K241" s="84">
        <v>0</v>
      </c>
      <c r="L241" s="84">
        <v>3</v>
      </c>
      <c r="M241" s="84">
        <v>5</v>
      </c>
      <c r="N241" s="118" t="s">
        <v>64</v>
      </c>
      <c r="O241" s="84">
        <v>99</v>
      </c>
      <c r="P241" s="84">
        <v>0.9</v>
      </c>
      <c r="Q241" s="84">
        <v>0</v>
      </c>
      <c r="R241" s="84">
        <v>1</v>
      </c>
      <c r="S241" s="43" t="b">
        <v>1</v>
      </c>
      <c r="T241" s="84">
        <v>52</v>
      </c>
      <c r="U241" s="118">
        <v>780</v>
      </c>
      <c r="V241" s="118">
        <v>1040</v>
      </c>
      <c r="W241" s="84">
        <v>0</v>
      </c>
      <c r="X241" s="84">
        <v>4</v>
      </c>
      <c r="Y241" s="84" t="s">
        <v>38</v>
      </c>
      <c r="Z241" s="193"/>
      <c r="AA241" s="206" t="s">
        <v>1213</v>
      </c>
      <c r="AB241" s="43" t="s">
        <v>1207</v>
      </c>
      <c r="AC241" s="84">
        <v>300000</v>
      </c>
      <c r="AD241" s="197">
        <v>1</v>
      </c>
      <c r="AE241" s="197">
        <v>1</v>
      </c>
      <c r="AF241">
        <v>0</v>
      </c>
      <c r="AG241" s="404">
        <v>4</v>
      </c>
    </row>
    <row r="242" spans="1:33" ht="17.25" x14ac:dyDescent="0.3">
      <c r="A242" s="105">
        <v>113206</v>
      </c>
      <c r="B242" s="105" t="s">
        <v>1214</v>
      </c>
      <c r="C242" s="105" t="s">
        <v>1215</v>
      </c>
      <c r="D242" s="84" t="s">
        <v>33</v>
      </c>
      <c r="E242" s="43">
        <v>13</v>
      </c>
      <c r="F242" s="43" t="s">
        <v>1136</v>
      </c>
      <c r="G242" s="118" t="s">
        <v>1173</v>
      </c>
      <c r="H242" s="84" t="s">
        <v>107</v>
      </c>
      <c r="I242" s="43">
        <v>1</v>
      </c>
      <c r="J242" s="118">
        <v>1</v>
      </c>
      <c r="K242" s="43">
        <v>0</v>
      </c>
      <c r="L242" s="43">
        <v>3</v>
      </c>
      <c r="M242" s="43">
        <v>6</v>
      </c>
      <c r="N242" s="118" t="s">
        <v>77</v>
      </c>
      <c r="O242" s="84">
        <v>99</v>
      </c>
      <c r="P242" s="43">
        <v>0.9</v>
      </c>
      <c r="Q242" s="84">
        <v>0</v>
      </c>
      <c r="R242" s="43">
        <v>1</v>
      </c>
      <c r="S242" s="43" t="b">
        <v>1</v>
      </c>
      <c r="T242" s="84">
        <v>78</v>
      </c>
      <c r="U242" s="118">
        <v>1170</v>
      </c>
      <c r="V242" s="118">
        <v>1560</v>
      </c>
      <c r="W242" s="84">
        <v>0</v>
      </c>
      <c r="X242" s="43">
        <v>6</v>
      </c>
      <c r="Y242" s="43" t="s">
        <v>38</v>
      </c>
      <c r="Z242" s="193" t="s">
        <v>1216</v>
      </c>
      <c r="AA242" s="206" t="s">
        <v>1217</v>
      </c>
      <c r="AB242" s="157" t="s">
        <v>1207</v>
      </c>
      <c r="AC242" s="43">
        <v>100000</v>
      </c>
      <c r="AD242" s="197">
        <v>1</v>
      </c>
      <c r="AE242" s="197">
        <v>1</v>
      </c>
      <c r="AF242">
        <v>0</v>
      </c>
      <c r="AG242" s="293">
        <v>6</v>
      </c>
    </row>
    <row r="243" spans="1:33" ht="17.25" x14ac:dyDescent="0.3">
      <c r="A243" s="417">
        <v>114001</v>
      </c>
      <c r="B243" s="71" t="s">
        <v>1218</v>
      </c>
      <c r="C243" s="71" t="s">
        <v>1219</v>
      </c>
      <c r="D243" s="118" t="s">
        <v>33</v>
      </c>
      <c r="E243" s="118">
        <v>14</v>
      </c>
      <c r="F243" s="118" t="s">
        <v>1220</v>
      </c>
      <c r="G243" s="118" t="s">
        <v>1221</v>
      </c>
      <c r="H243" s="118" t="s">
        <v>35</v>
      </c>
      <c r="I243" s="118">
        <v>1</v>
      </c>
      <c r="J243" s="118">
        <v>1</v>
      </c>
      <c r="K243" s="118">
        <v>1</v>
      </c>
      <c r="L243" s="118">
        <v>3</v>
      </c>
      <c r="M243" s="118" t="s">
        <v>36</v>
      </c>
      <c r="N243" s="118" t="s">
        <v>37</v>
      </c>
      <c r="O243" s="118">
        <v>99</v>
      </c>
      <c r="P243" s="118">
        <v>0.9</v>
      </c>
      <c r="Q243" s="118">
        <v>0</v>
      </c>
      <c r="R243" s="118">
        <v>1</v>
      </c>
      <c r="S243" s="25" t="b">
        <v>1</v>
      </c>
      <c r="T243" s="118">
        <v>13</v>
      </c>
      <c r="U243" s="118">
        <v>195</v>
      </c>
      <c r="V243" s="118">
        <v>260</v>
      </c>
      <c r="W243" s="118">
        <v>0</v>
      </c>
      <c r="X243" s="118">
        <v>1</v>
      </c>
      <c r="Y243" s="118" t="s">
        <v>38</v>
      </c>
      <c r="Z243" s="118" t="s">
        <v>1222</v>
      </c>
      <c r="AA243" s="206" t="s">
        <v>1223</v>
      </c>
      <c r="AB243" s="25" t="s">
        <v>1224</v>
      </c>
      <c r="AC243" s="118">
        <v>200000</v>
      </c>
      <c r="AD243" s="197">
        <v>1</v>
      </c>
      <c r="AE243" s="197">
        <v>1</v>
      </c>
      <c r="AF243">
        <v>0</v>
      </c>
      <c r="AG243" s="402">
        <v>1</v>
      </c>
    </row>
    <row r="244" spans="1:33" ht="17.25" x14ac:dyDescent="0.3">
      <c r="A244" s="417">
        <v>114002</v>
      </c>
      <c r="B244" s="17" t="s">
        <v>1225</v>
      </c>
      <c r="C244" s="17" t="s">
        <v>1226</v>
      </c>
      <c r="D244" s="118" t="s">
        <v>33</v>
      </c>
      <c r="E244" s="118">
        <v>14</v>
      </c>
      <c r="F244" s="118" t="s">
        <v>1220</v>
      </c>
      <c r="G244" s="118" t="s">
        <v>1227</v>
      </c>
      <c r="H244" s="118" t="s">
        <v>35</v>
      </c>
      <c r="I244" s="118">
        <v>1</v>
      </c>
      <c r="J244" s="118">
        <v>1</v>
      </c>
      <c r="K244" s="118">
        <v>1</v>
      </c>
      <c r="L244" s="118">
        <v>3</v>
      </c>
      <c r="M244" s="118" t="s">
        <v>44</v>
      </c>
      <c r="N244" s="118" t="s">
        <v>45</v>
      </c>
      <c r="O244" s="118">
        <v>99</v>
      </c>
      <c r="P244" s="118">
        <v>0.9</v>
      </c>
      <c r="Q244" s="118">
        <v>0</v>
      </c>
      <c r="R244" s="118">
        <v>1</v>
      </c>
      <c r="S244" s="25" t="b">
        <v>1</v>
      </c>
      <c r="T244" s="118">
        <v>26</v>
      </c>
      <c r="U244" s="118">
        <v>390</v>
      </c>
      <c r="V244" s="118">
        <v>520</v>
      </c>
      <c r="W244" s="118">
        <v>0</v>
      </c>
      <c r="X244" s="118">
        <v>2</v>
      </c>
      <c r="Y244" s="118" t="s">
        <v>38</v>
      </c>
      <c r="Z244" s="118" t="s">
        <v>1228</v>
      </c>
      <c r="AA244" s="206" t="s">
        <v>1229</v>
      </c>
      <c r="AB244" s="25" t="s">
        <v>1230</v>
      </c>
      <c r="AC244" s="118">
        <v>100000</v>
      </c>
      <c r="AD244" s="197">
        <v>1</v>
      </c>
      <c r="AE244" s="197">
        <v>1</v>
      </c>
      <c r="AF244">
        <v>0</v>
      </c>
      <c r="AG244" s="402">
        <v>2</v>
      </c>
    </row>
    <row r="245" spans="1:33" ht="17.25" x14ac:dyDescent="0.3">
      <c r="A245" s="417">
        <v>114003</v>
      </c>
      <c r="B245" s="118" t="s">
        <v>1231</v>
      </c>
      <c r="C245" s="118" t="s">
        <v>1232</v>
      </c>
      <c r="D245" s="118" t="s">
        <v>33</v>
      </c>
      <c r="E245" s="118">
        <v>14</v>
      </c>
      <c r="F245" s="118" t="s">
        <v>1220</v>
      </c>
      <c r="G245" s="118" t="s">
        <v>1233</v>
      </c>
      <c r="H245" s="118" t="s">
        <v>35</v>
      </c>
      <c r="I245" s="118">
        <v>1</v>
      </c>
      <c r="J245" s="118">
        <v>1</v>
      </c>
      <c r="K245" s="118">
        <v>1</v>
      </c>
      <c r="L245" s="118">
        <v>3</v>
      </c>
      <c r="M245" s="118" t="s">
        <v>56</v>
      </c>
      <c r="N245" s="118" t="s">
        <v>57</v>
      </c>
      <c r="O245" s="118">
        <v>99</v>
      </c>
      <c r="P245" s="118">
        <v>0.9</v>
      </c>
      <c r="Q245" s="118">
        <v>0</v>
      </c>
      <c r="R245" s="118">
        <v>1</v>
      </c>
      <c r="S245" s="25" t="b">
        <v>1</v>
      </c>
      <c r="T245" s="118">
        <v>39</v>
      </c>
      <c r="U245" s="118">
        <v>585</v>
      </c>
      <c r="V245" s="118">
        <v>780</v>
      </c>
      <c r="W245" s="118">
        <v>0</v>
      </c>
      <c r="X245" s="118">
        <v>3</v>
      </c>
      <c r="Y245" s="118" t="s">
        <v>38</v>
      </c>
      <c r="Z245" s="118" t="s">
        <v>1234</v>
      </c>
      <c r="AA245" s="206" t="s">
        <v>1235</v>
      </c>
      <c r="AB245" s="25" t="s">
        <v>1236</v>
      </c>
      <c r="AC245" s="118">
        <v>200000</v>
      </c>
      <c r="AD245" s="197">
        <v>1</v>
      </c>
      <c r="AE245" s="197">
        <v>1</v>
      </c>
      <c r="AF245">
        <v>0</v>
      </c>
      <c r="AG245" s="402">
        <v>3</v>
      </c>
    </row>
    <row r="246" spans="1:33" ht="17.25" x14ac:dyDescent="0.3">
      <c r="A246" s="417">
        <v>114004</v>
      </c>
      <c r="B246" s="17" t="s">
        <v>1237</v>
      </c>
      <c r="C246" s="17" t="s">
        <v>1238</v>
      </c>
      <c r="D246" s="118" t="s">
        <v>33</v>
      </c>
      <c r="E246" s="118">
        <v>14</v>
      </c>
      <c r="F246" s="118" t="s">
        <v>1220</v>
      </c>
      <c r="G246" s="118" t="s">
        <v>1239</v>
      </c>
      <c r="H246" s="118" t="s">
        <v>35</v>
      </c>
      <c r="I246" s="118">
        <v>1</v>
      </c>
      <c r="J246" s="118">
        <v>1</v>
      </c>
      <c r="K246" s="118">
        <v>1</v>
      </c>
      <c r="L246" s="118">
        <v>3</v>
      </c>
      <c r="M246" s="118" t="s">
        <v>63</v>
      </c>
      <c r="N246" s="118" t="s">
        <v>64</v>
      </c>
      <c r="O246" s="118">
        <v>99</v>
      </c>
      <c r="P246" s="118">
        <v>0.9</v>
      </c>
      <c r="Q246" s="118">
        <v>0</v>
      </c>
      <c r="R246" s="118">
        <v>1</v>
      </c>
      <c r="S246" s="25" t="b">
        <v>1</v>
      </c>
      <c r="T246" s="118">
        <v>52</v>
      </c>
      <c r="U246" s="118">
        <v>780</v>
      </c>
      <c r="V246" s="118">
        <v>1040</v>
      </c>
      <c r="W246" s="118">
        <v>0</v>
      </c>
      <c r="X246" s="118">
        <v>4</v>
      </c>
      <c r="Y246" s="118" t="s">
        <v>38</v>
      </c>
      <c r="Z246" s="118" t="s">
        <v>1240</v>
      </c>
      <c r="AA246" s="206" t="s">
        <v>1241</v>
      </c>
      <c r="AB246" s="25" t="s">
        <v>1242</v>
      </c>
      <c r="AC246" s="118">
        <v>100000</v>
      </c>
      <c r="AD246" s="197">
        <v>1</v>
      </c>
      <c r="AE246" s="197">
        <v>1</v>
      </c>
      <c r="AF246">
        <v>0</v>
      </c>
      <c r="AG246" s="402">
        <v>4</v>
      </c>
    </row>
    <row r="247" spans="1:33" s="389" customFormat="1" ht="17.25" x14ac:dyDescent="0.3">
      <c r="A247" s="417">
        <v>114005</v>
      </c>
      <c r="B247" s="423" t="s">
        <v>1243</v>
      </c>
      <c r="C247" s="423" t="s">
        <v>1244</v>
      </c>
      <c r="D247" s="118" t="s">
        <v>33</v>
      </c>
      <c r="E247" s="118">
        <v>14</v>
      </c>
      <c r="F247" s="118" t="s">
        <v>1220</v>
      </c>
      <c r="G247" s="118" t="s">
        <v>1245</v>
      </c>
      <c r="H247" s="118" t="s">
        <v>35</v>
      </c>
      <c r="I247" s="118">
        <v>1</v>
      </c>
      <c r="J247" s="118">
        <v>1</v>
      </c>
      <c r="K247" s="118">
        <v>1</v>
      </c>
      <c r="L247" s="118">
        <v>3</v>
      </c>
      <c r="M247" s="118" t="s">
        <v>70</v>
      </c>
      <c r="N247" s="118" t="s">
        <v>71</v>
      </c>
      <c r="O247" s="118">
        <v>99</v>
      </c>
      <c r="P247" s="118">
        <v>0.9</v>
      </c>
      <c r="Q247" s="118">
        <v>0</v>
      </c>
      <c r="R247" s="118">
        <v>1</v>
      </c>
      <c r="S247" s="25" t="b">
        <v>1</v>
      </c>
      <c r="T247" s="118">
        <v>65</v>
      </c>
      <c r="U247" s="118">
        <v>975</v>
      </c>
      <c r="V247" s="118">
        <v>1300</v>
      </c>
      <c r="W247" s="118">
        <v>0</v>
      </c>
      <c r="X247" s="118">
        <v>5</v>
      </c>
      <c r="Y247" s="118" t="s">
        <v>38</v>
      </c>
      <c r="Z247" s="118" t="s">
        <v>1246</v>
      </c>
      <c r="AA247" s="206" t="s">
        <v>1247</v>
      </c>
      <c r="AB247" s="25" t="s">
        <v>1248</v>
      </c>
      <c r="AC247" s="118">
        <v>100000</v>
      </c>
      <c r="AD247" s="197">
        <v>1</v>
      </c>
      <c r="AE247" s="197">
        <v>1</v>
      </c>
      <c r="AF247">
        <v>0</v>
      </c>
      <c r="AG247" s="402">
        <v>5</v>
      </c>
    </row>
    <row r="248" spans="1:33" ht="17.25" x14ac:dyDescent="0.3">
      <c r="A248" s="417">
        <v>114006</v>
      </c>
      <c r="B248" s="17" t="s">
        <v>1249</v>
      </c>
      <c r="C248" s="17" t="s">
        <v>1250</v>
      </c>
      <c r="D248" s="118" t="s">
        <v>33</v>
      </c>
      <c r="E248" s="118">
        <v>14</v>
      </c>
      <c r="F248" s="118" t="s">
        <v>1220</v>
      </c>
      <c r="G248" s="118" t="s">
        <v>1251</v>
      </c>
      <c r="H248" s="118" t="s">
        <v>35</v>
      </c>
      <c r="I248" s="118">
        <v>1</v>
      </c>
      <c r="J248" s="118">
        <v>1</v>
      </c>
      <c r="K248" s="118">
        <v>1</v>
      </c>
      <c r="L248" s="118">
        <v>3</v>
      </c>
      <c r="M248" s="118" t="s">
        <v>70</v>
      </c>
      <c r="N248" s="118" t="s">
        <v>77</v>
      </c>
      <c r="O248" s="118">
        <v>99</v>
      </c>
      <c r="P248" s="118">
        <v>0.9</v>
      </c>
      <c r="Q248" s="118">
        <v>0</v>
      </c>
      <c r="R248" s="118">
        <v>1</v>
      </c>
      <c r="S248" s="25" t="b">
        <v>1</v>
      </c>
      <c r="T248" s="118">
        <v>78</v>
      </c>
      <c r="U248" s="118">
        <v>1170</v>
      </c>
      <c r="V248" s="118">
        <v>1560</v>
      </c>
      <c r="W248" s="118">
        <v>0</v>
      </c>
      <c r="X248" s="118">
        <v>6</v>
      </c>
      <c r="Y248" s="118" t="s">
        <v>38</v>
      </c>
      <c r="Z248" s="118" t="s">
        <v>1252</v>
      </c>
      <c r="AA248" s="206" t="s">
        <v>1253</v>
      </c>
      <c r="AB248" s="25" t="s">
        <v>1254</v>
      </c>
      <c r="AC248" s="118">
        <v>100000</v>
      </c>
      <c r="AD248" s="197">
        <v>1</v>
      </c>
      <c r="AE248" s="197">
        <v>1</v>
      </c>
      <c r="AF248">
        <v>0</v>
      </c>
      <c r="AG248" s="402">
        <v>6</v>
      </c>
    </row>
    <row r="249" spans="1:33" ht="17.25" x14ac:dyDescent="0.3">
      <c r="A249" s="417">
        <v>114007</v>
      </c>
      <c r="B249" s="17" t="s">
        <v>1255</v>
      </c>
      <c r="C249" s="17" t="s">
        <v>1256</v>
      </c>
      <c r="D249" s="118" t="s">
        <v>33</v>
      </c>
      <c r="E249" s="118">
        <v>14</v>
      </c>
      <c r="F249" s="118" t="s">
        <v>1220</v>
      </c>
      <c r="G249" s="118" t="s">
        <v>1257</v>
      </c>
      <c r="H249" s="118" t="s">
        <v>35</v>
      </c>
      <c r="I249" s="118">
        <v>1</v>
      </c>
      <c r="J249" s="118">
        <v>1</v>
      </c>
      <c r="K249" s="118">
        <v>1</v>
      </c>
      <c r="L249" s="118">
        <v>3</v>
      </c>
      <c r="M249" s="118" t="s">
        <v>70</v>
      </c>
      <c r="N249" s="118" t="s">
        <v>83</v>
      </c>
      <c r="O249" s="118">
        <v>99</v>
      </c>
      <c r="P249" s="118">
        <v>0.9</v>
      </c>
      <c r="Q249" s="118">
        <v>0</v>
      </c>
      <c r="R249" s="118">
        <v>1</v>
      </c>
      <c r="S249" s="25" t="b">
        <v>1</v>
      </c>
      <c r="T249" s="118">
        <v>91</v>
      </c>
      <c r="U249" s="118">
        <v>1365</v>
      </c>
      <c r="V249" s="118">
        <v>1820</v>
      </c>
      <c r="W249" s="118">
        <v>0</v>
      </c>
      <c r="X249" s="118">
        <v>7</v>
      </c>
      <c r="Y249" s="118" t="s">
        <v>38</v>
      </c>
      <c r="Z249" s="118" t="s">
        <v>1258</v>
      </c>
      <c r="AA249" s="206" t="s">
        <v>1259</v>
      </c>
      <c r="AB249" s="25" t="s">
        <v>1260</v>
      </c>
      <c r="AC249" s="118">
        <v>100000</v>
      </c>
      <c r="AD249" s="197">
        <v>1</v>
      </c>
      <c r="AE249" s="197">
        <v>1</v>
      </c>
      <c r="AF249">
        <v>0</v>
      </c>
      <c r="AG249" s="402">
        <v>7</v>
      </c>
    </row>
    <row r="250" spans="1:33" s="388" customFormat="1" ht="17.25" x14ac:dyDescent="0.3">
      <c r="A250" s="118">
        <v>114008</v>
      </c>
      <c r="B250" s="17" t="s">
        <v>1261</v>
      </c>
      <c r="C250" s="17" t="s">
        <v>1262</v>
      </c>
      <c r="D250" s="118" t="s">
        <v>33</v>
      </c>
      <c r="E250" s="118">
        <v>14</v>
      </c>
      <c r="F250" s="118" t="s">
        <v>1220</v>
      </c>
      <c r="G250" s="118" t="s">
        <v>1263</v>
      </c>
      <c r="H250" s="17" t="s">
        <v>35</v>
      </c>
      <c r="I250" s="118">
        <v>1</v>
      </c>
      <c r="J250" s="118">
        <v>1</v>
      </c>
      <c r="K250" s="118">
        <v>1</v>
      </c>
      <c r="L250" s="118">
        <v>3</v>
      </c>
      <c r="M250" s="118" t="s">
        <v>70</v>
      </c>
      <c r="N250" s="118" t="s">
        <v>89</v>
      </c>
      <c r="O250" s="118">
        <v>99</v>
      </c>
      <c r="P250" s="118">
        <v>0.9</v>
      </c>
      <c r="Q250" s="118">
        <v>0</v>
      </c>
      <c r="R250" s="118">
        <v>1</v>
      </c>
      <c r="S250" s="25" t="b">
        <v>1</v>
      </c>
      <c r="T250" s="118">
        <v>104</v>
      </c>
      <c r="U250" s="118">
        <v>1560</v>
      </c>
      <c r="V250" s="118">
        <v>2080</v>
      </c>
      <c r="W250" s="118">
        <v>0</v>
      </c>
      <c r="X250" s="118">
        <v>8</v>
      </c>
      <c r="Y250" s="118" t="s">
        <v>38</v>
      </c>
      <c r="Z250" s="485" t="s">
        <v>1264</v>
      </c>
      <c r="AA250" s="206" t="s">
        <v>1265</v>
      </c>
      <c r="AB250" s="25" t="s">
        <v>1266</v>
      </c>
      <c r="AC250" s="118">
        <v>100000</v>
      </c>
      <c r="AD250" s="191">
        <v>1</v>
      </c>
      <c r="AE250" s="191">
        <v>1</v>
      </c>
      <c r="AF250">
        <v>0</v>
      </c>
      <c r="AG250" s="402">
        <v>8</v>
      </c>
    </row>
    <row r="251" spans="1:33" ht="17.25" x14ac:dyDescent="0.3">
      <c r="A251" s="118">
        <v>114009</v>
      </c>
      <c r="B251" s="17" t="s">
        <v>1267</v>
      </c>
      <c r="C251" s="17" t="s">
        <v>1268</v>
      </c>
      <c r="D251" s="118" t="s">
        <v>33</v>
      </c>
      <c r="E251" s="118">
        <v>14</v>
      </c>
      <c r="F251" s="118" t="s">
        <v>1220</v>
      </c>
      <c r="G251" s="118" t="s">
        <v>1269</v>
      </c>
      <c r="H251" s="17" t="s">
        <v>35</v>
      </c>
      <c r="I251" s="118">
        <v>1</v>
      </c>
      <c r="J251" s="118">
        <v>1</v>
      </c>
      <c r="K251" s="118">
        <v>1</v>
      </c>
      <c r="L251" s="118">
        <v>3</v>
      </c>
      <c r="M251" s="118" t="s">
        <v>70</v>
      </c>
      <c r="N251" s="118" t="s">
        <v>95</v>
      </c>
      <c r="O251" s="118">
        <v>99</v>
      </c>
      <c r="P251" s="118">
        <v>0.9</v>
      </c>
      <c r="Q251" s="118">
        <v>0</v>
      </c>
      <c r="R251" s="118">
        <v>1</v>
      </c>
      <c r="S251" s="25" t="b">
        <v>1</v>
      </c>
      <c r="T251" s="118">
        <v>117</v>
      </c>
      <c r="U251" s="118">
        <v>1755</v>
      </c>
      <c r="V251" s="118">
        <v>2340</v>
      </c>
      <c r="W251" s="118">
        <v>0</v>
      </c>
      <c r="X251" s="118">
        <v>9</v>
      </c>
      <c r="Y251" s="118" t="s">
        <v>38</v>
      </c>
      <c r="Z251" s="415" t="s">
        <v>1270</v>
      </c>
      <c r="AA251" s="206" t="s">
        <v>1271</v>
      </c>
      <c r="AB251" s="25" t="s">
        <v>1272</v>
      </c>
      <c r="AC251" s="118">
        <v>100000</v>
      </c>
      <c r="AD251" s="191">
        <v>1</v>
      </c>
      <c r="AE251" s="191">
        <v>1</v>
      </c>
      <c r="AF251">
        <v>0</v>
      </c>
      <c r="AG251" s="402">
        <v>9</v>
      </c>
    </row>
    <row r="252" spans="1:33" ht="17.25" x14ac:dyDescent="0.3">
      <c r="A252" s="118">
        <v>114010</v>
      </c>
      <c r="B252" s="17" t="s">
        <v>1273</v>
      </c>
      <c r="C252" s="17" t="s">
        <v>1274</v>
      </c>
      <c r="D252" s="118" t="s">
        <v>33</v>
      </c>
      <c r="E252" s="118">
        <v>14</v>
      </c>
      <c r="F252" s="118" t="s">
        <v>1220</v>
      </c>
      <c r="G252" s="118" t="s">
        <v>1275</v>
      </c>
      <c r="H252" s="17" t="s">
        <v>35</v>
      </c>
      <c r="I252" s="118">
        <v>1</v>
      </c>
      <c r="J252" s="118">
        <v>1</v>
      </c>
      <c r="K252" s="118">
        <v>1</v>
      </c>
      <c r="L252" s="118">
        <v>3</v>
      </c>
      <c r="M252" s="118" t="s">
        <v>70</v>
      </c>
      <c r="N252" s="118" t="s">
        <v>101</v>
      </c>
      <c r="O252" s="118">
        <v>99</v>
      </c>
      <c r="P252" s="118">
        <v>0.9</v>
      </c>
      <c r="Q252" s="118">
        <v>0</v>
      </c>
      <c r="R252" s="118">
        <v>1</v>
      </c>
      <c r="S252" s="25" t="b">
        <v>1</v>
      </c>
      <c r="T252" s="118">
        <v>130</v>
      </c>
      <c r="U252" s="118">
        <v>1950</v>
      </c>
      <c r="V252" s="118">
        <v>2600</v>
      </c>
      <c r="W252" s="118">
        <v>0</v>
      </c>
      <c r="X252" s="118">
        <v>10</v>
      </c>
      <c r="Y252" s="118" t="s">
        <v>38</v>
      </c>
      <c r="Z252" s="491" t="s">
        <v>1276</v>
      </c>
      <c r="AA252" s="206" t="s">
        <v>1277</v>
      </c>
      <c r="AB252" s="25" t="s">
        <v>1278</v>
      </c>
      <c r="AC252" s="118">
        <v>100000</v>
      </c>
      <c r="AD252" s="191">
        <v>1</v>
      </c>
      <c r="AE252" s="191">
        <v>1</v>
      </c>
      <c r="AF252">
        <v>0</v>
      </c>
      <c r="AG252" s="402">
        <v>10</v>
      </c>
    </row>
    <row r="253" spans="1:33" ht="17.25" x14ac:dyDescent="0.3">
      <c r="A253" s="114">
        <v>114201</v>
      </c>
      <c r="B253" s="114" t="s">
        <v>1279</v>
      </c>
      <c r="C253" s="114" t="s">
        <v>1280</v>
      </c>
      <c r="D253" s="114" t="s">
        <v>33</v>
      </c>
      <c r="E253" s="114">
        <v>14</v>
      </c>
      <c r="F253" s="114" t="s">
        <v>1220</v>
      </c>
      <c r="G253" s="114" t="s">
        <v>1221</v>
      </c>
      <c r="H253" s="114" t="s">
        <v>51</v>
      </c>
      <c r="I253" s="114">
        <v>1</v>
      </c>
      <c r="J253" s="118">
        <v>3</v>
      </c>
      <c r="K253" s="119">
        <v>0</v>
      </c>
      <c r="L253" s="114">
        <v>3</v>
      </c>
      <c r="M253" s="114" t="s">
        <v>52</v>
      </c>
      <c r="N253" s="118" t="s">
        <v>37</v>
      </c>
      <c r="O253" s="114">
        <v>99</v>
      </c>
      <c r="P253" s="114">
        <v>0.9</v>
      </c>
      <c r="Q253" s="114">
        <v>0</v>
      </c>
      <c r="R253" s="114">
        <v>1</v>
      </c>
      <c r="S253" s="114" t="b">
        <v>1</v>
      </c>
      <c r="T253" s="114">
        <v>13</v>
      </c>
      <c r="U253" s="118">
        <v>195</v>
      </c>
      <c r="V253" s="118">
        <v>260</v>
      </c>
      <c r="W253" s="114">
        <v>0</v>
      </c>
      <c r="X253" s="114">
        <v>1</v>
      </c>
      <c r="Y253" s="114" t="s">
        <v>38</v>
      </c>
      <c r="Z253" s="114" t="s">
        <v>1222</v>
      </c>
      <c r="AA253" s="206" t="s">
        <v>1281</v>
      </c>
      <c r="AB253" s="114" t="s">
        <v>1224</v>
      </c>
      <c r="AC253" s="114">
        <v>200000</v>
      </c>
      <c r="AD253" s="197">
        <v>1</v>
      </c>
      <c r="AE253" s="197">
        <v>1</v>
      </c>
      <c r="AF253">
        <v>0</v>
      </c>
      <c r="AG253" s="426">
        <v>1</v>
      </c>
    </row>
    <row r="254" spans="1:33" ht="17.25" x14ac:dyDescent="0.3">
      <c r="A254" s="114">
        <v>114202</v>
      </c>
      <c r="B254" s="114" t="s">
        <v>1282</v>
      </c>
      <c r="C254" s="114" t="s">
        <v>1283</v>
      </c>
      <c r="D254" s="114" t="s">
        <v>33</v>
      </c>
      <c r="E254" s="114">
        <v>14</v>
      </c>
      <c r="F254" s="114" t="s">
        <v>1220</v>
      </c>
      <c r="G254" s="118" t="s">
        <v>1227</v>
      </c>
      <c r="H254" s="114" t="s">
        <v>51</v>
      </c>
      <c r="I254" s="114">
        <v>1</v>
      </c>
      <c r="J254" s="118">
        <v>3</v>
      </c>
      <c r="K254" s="119">
        <v>0</v>
      </c>
      <c r="L254" s="114">
        <v>3</v>
      </c>
      <c r="M254" s="114" t="s">
        <v>52</v>
      </c>
      <c r="N254" s="118" t="s">
        <v>45</v>
      </c>
      <c r="O254" s="114">
        <v>99</v>
      </c>
      <c r="P254" s="114">
        <v>0.9</v>
      </c>
      <c r="Q254" s="114">
        <v>0</v>
      </c>
      <c r="R254" s="114">
        <v>1</v>
      </c>
      <c r="S254" s="114" t="b">
        <v>1</v>
      </c>
      <c r="T254" s="114">
        <v>26</v>
      </c>
      <c r="U254" s="118">
        <v>390</v>
      </c>
      <c r="V254" s="118">
        <v>520</v>
      </c>
      <c r="W254" s="114">
        <v>0</v>
      </c>
      <c r="X254" s="114">
        <v>2</v>
      </c>
      <c r="Y254" s="114" t="s">
        <v>38</v>
      </c>
      <c r="Z254" s="114" t="s">
        <v>1228</v>
      </c>
      <c r="AA254" s="206" t="s">
        <v>1284</v>
      </c>
      <c r="AB254" s="114" t="s">
        <v>1230</v>
      </c>
      <c r="AC254" s="114">
        <v>100000</v>
      </c>
      <c r="AD254" s="197">
        <v>1</v>
      </c>
      <c r="AE254" s="197">
        <v>1</v>
      </c>
      <c r="AF254">
        <v>0</v>
      </c>
      <c r="AG254" s="426">
        <v>2</v>
      </c>
    </row>
    <row r="255" spans="1:33" ht="17.25" x14ac:dyDescent="0.3">
      <c r="A255" s="114">
        <v>114203</v>
      </c>
      <c r="B255" s="114" t="s">
        <v>1285</v>
      </c>
      <c r="C255" s="114" t="s">
        <v>1286</v>
      </c>
      <c r="D255" s="114" t="s">
        <v>33</v>
      </c>
      <c r="E255" s="114">
        <v>14</v>
      </c>
      <c r="F255" s="114" t="s">
        <v>1220</v>
      </c>
      <c r="G255" s="118" t="s">
        <v>1233</v>
      </c>
      <c r="H255" s="114" t="s">
        <v>51</v>
      </c>
      <c r="I255" s="114">
        <v>1</v>
      </c>
      <c r="J255" s="118">
        <v>3</v>
      </c>
      <c r="K255" s="119">
        <v>0</v>
      </c>
      <c r="L255" s="114">
        <v>3</v>
      </c>
      <c r="M255" s="114" t="s">
        <v>52</v>
      </c>
      <c r="N255" s="118" t="s">
        <v>57</v>
      </c>
      <c r="O255" s="114">
        <v>99</v>
      </c>
      <c r="P255" s="114">
        <v>0.9</v>
      </c>
      <c r="Q255" s="114">
        <v>0</v>
      </c>
      <c r="R255" s="114">
        <v>1</v>
      </c>
      <c r="S255" s="114" t="b">
        <v>1</v>
      </c>
      <c r="T255" s="114">
        <v>39</v>
      </c>
      <c r="U255" s="118">
        <v>585</v>
      </c>
      <c r="V255" s="118">
        <v>780</v>
      </c>
      <c r="W255" s="114">
        <v>0</v>
      </c>
      <c r="X255" s="114">
        <v>3</v>
      </c>
      <c r="Y255" s="114" t="s">
        <v>38</v>
      </c>
      <c r="Z255" s="114" t="s">
        <v>1234</v>
      </c>
      <c r="AA255" s="206" t="s">
        <v>1287</v>
      </c>
      <c r="AB255" s="114" t="s">
        <v>1236</v>
      </c>
      <c r="AC255" s="114">
        <v>200000</v>
      </c>
      <c r="AD255" s="197">
        <v>1</v>
      </c>
      <c r="AE255" s="197">
        <v>1</v>
      </c>
      <c r="AF255">
        <v>0</v>
      </c>
      <c r="AG255" s="426">
        <v>3</v>
      </c>
    </row>
    <row r="256" spans="1:33" ht="17.25" x14ac:dyDescent="0.3">
      <c r="A256" s="114">
        <v>114204</v>
      </c>
      <c r="B256" s="114" t="s">
        <v>1288</v>
      </c>
      <c r="C256" s="114" t="s">
        <v>1289</v>
      </c>
      <c r="D256" s="114" t="s">
        <v>33</v>
      </c>
      <c r="E256" s="114">
        <v>14</v>
      </c>
      <c r="F256" s="114" t="s">
        <v>1220</v>
      </c>
      <c r="G256" s="118" t="s">
        <v>1239</v>
      </c>
      <c r="H256" s="114" t="s">
        <v>51</v>
      </c>
      <c r="I256" s="114">
        <v>1</v>
      </c>
      <c r="J256" s="118">
        <v>3</v>
      </c>
      <c r="K256" s="119">
        <v>0</v>
      </c>
      <c r="L256" s="114">
        <v>3</v>
      </c>
      <c r="M256" s="114" t="s">
        <v>52</v>
      </c>
      <c r="N256" s="118" t="s">
        <v>64</v>
      </c>
      <c r="O256" s="114">
        <v>99</v>
      </c>
      <c r="P256" s="114">
        <v>0.9</v>
      </c>
      <c r="Q256" s="114">
        <v>0</v>
      </c>
      <c r="R256" s="114">
        <v>1</v>
      </c>
      <c r="S256" s="114" t="b">
        <v>1</v>
      </c>
      <c r="T256" s="114">
        <v>52</v>
      </c>
      <c r="U256" s="118">
        <v>780</v>
      </c>
      <c r="V256" s="118">
        <v>1040</v>
      </c>
      <c r="W256" s="114">
        <v>0</v>
      </c>
      <c r="X256" s="114">
        <v>4</v>
      </c>
      <c r="Y256" s="114" t="s">
        <v>38</v>
      </c>
      <c r="Z256" s="114" t="s">
        <v>1240</v>
      </c>
      <c r="AA256" s="206" t="s">
        <v>1290</v>
      </c>
      <c r="AB256" s="114" t="s">
        <v>1242</v>
      </c>
      <c r="AC256" s="114">
        <v>100000</v>
      </c>
      <c r="AD256" s="197">
        <v>1</v>
      </c>
      <c r="AE256" s="197">
        <v>1</v>
      </c>
      <c r="AF256">
        <v>0</v>
      </c>
      <c r="AG256" s="426">
        <v>4</v>
      </c>
    </row>
    <row r="257" spans="1:33" ht="17.25" x14ac:dyDescent="0.3">
      <c r="A257" s="114">
        <v>114205</v>
      </c>
      <c r="B257" s="114" t="s">
        <v>1291</v>
      </c>
      <c r="C257" s="114" t="s">
        <v>1292</v>
      </c>
      <c r="D257" s="114" t="s">
        <v>33</v>
      </c>
      <c r="E257" s="114">
        <v>14</v>
      </c>
      <c r="F257" s="114" t="s">
        <v>1220</v>
      </c>
      <c r="G257" s="118" t="s">
        <v>1245</v>
      </c>
      <c r="H257" s="114" t="s">
        <v>51</v>
      </c>
      <c r="I257" s="114">
        <v>1</v>
      </c>
      <c r="J257" s="118">
        <v>3</v>
      </c>
      <c r="K257" s="119">
        <v>0</v>
      </c>
      <c r="L257" s="114">
        <v>3</v>
      </c>
      <c r="M257" s="114" t="s">
        <v>52</v>
      </c>
      <c r="N257" s="118" t="s">
        <v>71</v>
      </c>
      <c r="O257" s="114">
        <v>99</v>
      </c>
      <c r="P257" s="114">
        <v>0.9</v>
      </c>
      <c r="Q257" s="114">
        <v>0</v>
      </c>
      <c r="R257" s="114">
        <v>1</v>
      </c>
      <c r="S257" s="114" t="b">
        <v>1</v>
      </c>
      <c r="T257" s="114">
        <v>65</v>
      </c>
      <c r="U257" s="118">
        <v>975</v>
      </c>
      <c r="V257" s="118">
        <v>1300</v>
      </c>
      <c r="W257" s="114">
        <v>0</v>
      </c>
      <c r="X257" s="114">
        <v>5</v>
      </c>
      <c r="Y257" s="114" t="s">
        <v>38</v>
      </c>
      <c r="Z257" s="114" t="s">
        <v>1246</v>
      </c>
      <c r="AA257" s="206" t="s">
        <v>1293</v>
      </c>
      <c r="AB257" s="114" t="s">
        <v>1248</v>
      </c>
      <c r="AC257" s="114">
        <v>100000</v>
      </c>
      <c r="AD257" s="197">
        <v>1</v>
      </c>
      <c r="AE257" s="197">
        <v>1</v>
      </c>
      <c r="AF257">
        <v>0</v>
      </c>
      <c r="AG257" s="426">
        <v>5</v>
      </c>
    </row>
    <row r="258" spans="1:33" ht="17.25" x14ac:dyDescent="0.3">
      <c r="A258" s="114">
        <v>114206</v>
      </c>
      <c r="B258" s="114" t="s">
        <v>1294</v>
      </c>
      <c r="C258" s="114" t="s">
        <v>1295</v>
      </c>
      <c r="D258" s="114" t="s">
        <v>33</v>
      </c>
      <c r="E258" s="114">
        <v>14</v>
      </c>
      <c r="F258" s="114" t="s">
        <v>1220</v>
      </c>
      <c r="G258" s="118" t="s">
        <v>1251</v>
      </c>
      <c r="H258" s="114" t="s">
        <v>51</v>
      </c>
      <c r="I258" s="114">
        <v>1</v>
      </c>
      <c r="J258" s="118">
        <v>4</v>
      </c>
      <c r="K258" s="119">
        <v>0</v>
      </c>
      <c r="L258" s="114">
        <v>3</v>
      </c>
      <c r="M258" s="114" t="s">
        <v>52</v>
      </c>
      <c r="N258" s="118" t="s">
        <v>77</v>
      </c>
      <c r="O258" s="114">
        <v>99</v>
      </c>
      <c r="P258" s="114">
        <v>0.9</v>
      </c>
      <c r="Q258" s="114">
        <v>0</v>
      </c>
      <c r="R258" s="114">
        <v>1</v>
      </c>
      <c r="S258" s="114" t="b">
        <v>1</v>
      </c>
      <c r="T258" s="114">
        <v>78</v>
      </c>
      <c r="U258" s="118">
        <v>1170</v>
      </c>
      <c r="V258" s="118">
        <v>1560</v>
      </c>
      <c r="W258" s="114">
        <v>0</v>
      </c>
      <c r="X258" s="114">
        <v>6</v>
      </c>
      <c r="Y258" s="114" t="s">
        <v>38</v>
      </c>
      <c r="Z258" s="114" t="s">
        <v>1252</v>
      </c>
      <c r="AA258" s="206" t="s">
        <v>1296</v>
      </c>
      <c r="AB258" s="114" t="s">
        <v>1254</v>
      </c>
      <c r="AC258" s="114">
        <v>100000</v>
      </c>
      <c r="AD258" s="197">
        <v>1</v>
      </c>
      <c r="AE258" s="197">
        <v>1</v>
      </c>
      <c r="AF258">
        <v>0</v>
      </c>
      <c r="AG258" s="426">
        <v>6</v>
      </c>
    </row>
    <row r="259" spans="1:33" ht="17.25" x14ac:dyDescent="0.3">
      <c r="A259" s="114">
        <v>114207</v>
      </c>
      <c r="B259" s="114" t="s">
        <v>1297</v>
      </c>
      <c r="C259" s="114" t="s">
        <v>1298</v>
      </c>
      <c r="D259" s="114" t="s">
        <v>33</v>
      </c>
      <c r="E259" s="114">
        <v>14</v>
      </c>
      <c r="F259" s="114" t="s">
        <v>1220</v>
      </c>
      <c r="G259" s="118" t="s">
        <v>1257</v>
      </c>
      <c r="H259" s="114" t="s">
        <v>51</v>
      </c>
      <c r="I259" s="114">
        <v>1</v>
      </c>
      <c r="J259" s="118">
        <v>4</v>
      </c>
      <c r="K259" s="119">
        <v>0</v>
      </c>
      <c r="L259" s="114">
        <v>3</v>
      </c>
      <c r="M259" s="114" t="s">
        <v>52</v>
      </c>
      <c r="N259" s="118" t="s">
        <v>83</v>
      </c>
      <c r="O259" s="114">
        <v>99</v>
      </c>
      <c r="P259" s="114">
        <v>0.9</v>
      </c>
      <c r="Q259" s="114">
        <v>0</v>
      </c>
      <c r="R259" s="114">
        <v>1</v>
      </c>
      <c r="S259" s="114" t="b">
        <v>1</v>
      </c>
      <c r="T259" s="114">
        <v>91</v>
      </c>
      <c r="U259" s="118">
        <v>1365</v>
      </c>
      <c r="V259" s="118">
        <v>1820</v>
      </c>
      <c r="W259" s="114">
        <v>0</v>
      </c>
      <c r="X259" s="114">
        <v>7</v>
      </c>
      <c r="Y259" s="114" t="s">
        <v>38</v>
      </c>
      <c r="Z259" s="114" t="s">
        <v>1258</v>
      </c>
      <c r="AA259" s="206" t="s">
        <v>1299</v>
      </c>
      <c r="AB259" s="114" t="s">
        <v>1260</v>
      </c>
      <c r="AC259" s="114">
        <v>100000</v>
      </c>
      <c r="AD259" s="197">
        <v>1</v>
      </c>
      <c r="AE259" s="197">
        <v>1</v>
      </c>
      <c r="AF259">
        <v>0</v>
      </c>
      <c r="AG259" s="426">
        <v>7</v>
      </c>
    </row>
    <row r="260" spans="1:33" ht="17.25" x14ac:dyDescent="0.3">
      <c r="A260" s="114">
        <v>114208</v>
      </c>
      <c r="B260" s="114" t="s">
        <v>1300</v>
      </c>
      <c r="C260" s="114" t="s">
        <v>1301</v>
      </c>
      <c r="D260" s="114" t="s">
        <v>33</v>
      </c>
      <c r="E260" s="114">
        <v>14</v>
      </c>
      <c r="F260" s="114" t="s">
        <v>1220</v>
      </c>
      <c r="G260" s="119" t="s">
        <v>1263</v>
      </c>
      <c r="H260" s="114" t="s">
        <v>51</v>
      </c>
      <c r="I260" s="114">
        <v>1</v>
      </c>
      <c r="J260" s="118">
        <v>4</v>
      </c>
      <c r="K260" s="119">
        <v>0</v>
      </c>
      <c r="L260" s="114">
        <v>3</v>
      </c>
      <c r="M260" s="114" t="s">
        <v>52</v>
      </c>
      <c r="N260" s="118" t="s">
        <v>89</v>
      </c>
      <c r="O260" s="114">
        <v>99</v>
      </c>
      <c r="P260" s="114">
        <v>0.9</v>
      </c>
      <c r="Q260" s="114">
        <v>0</v>
      </c>
      <c r="R260" s="114">
        <v>1</v>
      </c>
      <c r="S260" s="114" t="b">
        <v>1</v>
      </c>
      <c r="T260" s="114">
        <v>104</v>
      </c>
      <c r="U260" s="118">
        <v>1560</v>
      </c>
      <c r="V260" s="118">
        <v>2080</v>
      </c>
      <c r="W260" s="114">
        <v>0</v>
      </c>
      <c r="X260" s="119">
        <v>8</v>
      </c>
      <c r="Y260" s="114" t="s">
        <v>38</v>
      </c>
      <c r="Z260" s="114" t="s">
        <v>1264</v>
      </c>
      <c r="AA260" s="206" t="s">
        <v>1302</v>
      </c>
      <c r="AB260" s="114" t="s">
        <v>1266</v>
      </c>
      <c r="AC260" s="114">
        <v>100000</v>
      </c>
      <c r="AD260" s="197">
        <v>1</v>
      </c>
      <c r="AE260" s="197">
        <v>1</v>
      </c>
      <c r="AF260">
        <v>0</v>
      </c>
      <c r="AG260" s="426">
        <v>8</v>
      </c>
    </row>
    <row r="261" spans="1:33" ht="17.25" x14ac:dyDescent="0.3">
      <c r="A261" s="114">
        <v>114209</v>
      </c>
      <c r="B261" s="114" t="s">
        <v>1303</v>
      </c>
      <c r="C261" s="114" t="s">
        <v>1304</v>
      </c>
      <c r="D261" s="114" t="s">
        <v>33</v>
      </c>
      <c r="E261" s="114">
        <v>14</v>
      </c>
      <c r="F261" s="114" t="s">
        <v>1220</v>
      </c>
      <c r="G261" s="119" t="s">
        <v>1269</v>
      </c>
      <c r="H261" s="114" t="s">
        <v>51</v>
      </c>
      <c r="I261" s="114">
        <v>1</v>
      </c>
      <c r="J261" s="118">
        <v>4</v>
      </c>
      <c r="K261" s="119">
        <v>0</v>
      </c>
      <c r="L261" s="114">
        <v>3</v>
      </c>
      <c r="M261" s="114" t="s">
        <v>52</v>
      </c>
      <c r="N261" s="118" t="s">
        <v>95</v>
      </c>
      <c r="O261" s="114">
        <v>99</v>
      </c>
      <c r="P261" s="114">
        <v>0.9</v>
      </c>
      <c r="Q261" s="114">
        <v>0</v>
      </c>
      <c r="R261" s="114">
        <v>1</v>
      </c>
      <c r="S261" s="114" t="b">
        <v>1</v>
      </c>
      <c r="T261" s="114">
        <v>117</v>
      </c>
      <c r="U261" s="118">
        <v>1755</v>
      </c>
      <c r="V261" s="118">
        <v>2340</v>
      </c>
      <c r="W261" s="114">
        <v>0</v>
      </c>
      <c r="X261" s="119">
        <v>8</v>
      </c>
      <c r="Y261" s="114" t="s">
        <v>38</v>
      </c>
      <c r="Z261" s="114" t="s">
        <v>1270</v>
      </c>
      <c r="AA261" s="206" t="s">
        <v>1305</v>
      </c>
      <c r="AB261" s="114" t="s">
        <v>1272</v>
      </c>
      <c r="AC261" s="114">
        <v>100000</v>
      </c>
      <c r="AD261" s="197">
        <v>1</v>
      </c>
      <c r="AE261" s="197">
        <v>1</v>
      </c>
      <c r="AF261">
        <v>0</v>
      </c>
      <c r="AG261" s="426">
        <v>9</v>
      </c>
    </row>
    <row r="262" spans="1:33" ht="17.25" x14ac:dyDescent="0.3">
      <c r="A262" s="114">
        <v>114310</v>
      </c>
      <c r="B262" s="114" t="s">
        <v>1306</v>
      </c>
      <c r="C262" s="114" t="s">
        <v>1307</v>
      </c>
      <c r="D262" s="114" t="s">
        <v>33</v>
      </c>
      <c r="E262" s="114">
        <v>14</v>
      </c>
      <c r="F262" s="114" t="s">
        <v>1220</v>
      </c>
      <c r="G262" s="119" t="s">
        <v>1275</v>
      </c>
      <c r="H262" s="114" t="s">
        <v>51</v>
      </c>
      <c r="I262" s="114">
        <v>1</v>
      </c>
      <c r="J262" s="118">
        <v>4</v>
      </c>
      <c r="K262" s="119">
        <v>0</v>
      </c>
      <c r="L262" s="114">
        <v>3</v>
      </c>
      <c r="M262" s="114" t="s">
        <v>52</v>
      </c>
      <c r="N262" s="118" t="s">
        <v>101</v>
      </c>
      <c r="O262" s="114">
        <v>99</v>
      </c>
      <c r="P262" s="114">
        <v>0.9</v>
      </c>
      <c r="Q262" s="114">
        <v>0</v>
      </c>
      <c r="R262" s="114">
        <v>1</v>
      </c>
      <c r="S262" s="114" t="b">
        <v>1</v>
      </c>
      <c r="T262" s="114">
        <v>130</v>
      </c>
      <c r="U262" s="118">
        <v>1950</v>
      </c>
      <c r="V262" s="118">
        <v>2600</v>
      </c>
      <c r="W262" s="114">
        <v>0</v>
      </c>
      <c r="X262" s="119">
        <v>10</v>
      </c>
      <c r="Y262" s="114" t="s">
        <v>38</v>
      </c>
      <c r="Z262" s="114" t="s">
        <v>1276</v>
      </c>
      <c r="AA262" s="206" t="s">
        <v>1308</v>
      </c>
      <c r="AB262" s="114" t="s">
        <v>1278</v>
      </c>
      <c r="AC262" s="114">
        <v>100000</v>
      </c>
      <c r="AD262" s="197">
        <v>1</v>
      </c>
      <c r="AE262" s="197">
        <v>1</v>
      </c>
      <c r="AF262">
        <v>0</v>
      </c>
      <c r="AG262" s="426">
        <v>10</v>
      </c>
    </row>
    <row r="263" spans="1:33" ht="17.25" x14ac:dyDescent="0.3">
      <c r="A263" s="114">
        <v>114210</v>
      </c>
      <c r="B263" s="114" t="s">
        <v>1309</v>
      </c>
      <c r="C263" s="114" t="s">
        <v>1310</v>
      </c>
      <c r="D263" s="119" t="s">
        <v>33</v>
      </c>
      <c r="E263" s="80">
        <v>14</v>
      </c>
      <c r="F263" s="80" t="s">
        <v>1220</v>
      </c>
      <c r="G263" s="118" t="s">
        <v>1257</v>
      </c>
      <c r="H263" s="119" t="s">
        <v>51</v>
      </c>
      <c r="I263" s="80">
        <v>1</v>
      </c>
      <c r="J263" s="118">
        <v>7</v>
      </c>
      <c r="K263" s="119">
        <v>0</v>
      </c>
      <c r="L263" s="80">
        <v>3</v>
      </c>
      <c r="M263" s="80">
        <v>7</v>
      </c>
      <c r="N263" s="118" t="s">
        <v>89</v>
      </c>
      <c r="O263" s="119">
        <v>99</v>
      </c>
      <c r="P263" s="119">
        <v>0.9</v>
      </c>
      <c r="Q263" s="119">
        <v>0</v>
      </c>
      <c r="R263" s="80">
        <v>1</v>
      </c>
      <c r="S263" s="80" t="b">
        <v>1</v>
      </c>
      <c r="T263" s="119">
        <v>130</v>
      </c>
      <c r="U263" s="118">
        <v>1950</v>
      </c>
      <c r="V263" s="118">
        <v>2600</v>
      </c>
      <c r="W263" s="119">
        <v>0</v>
      </c>
      <c r="X263" s="118">
        <v>8</v>
      </c>
      <c r="Y263" s="80" t="s">
        <v>38</v>
      </c>
      <c r="Z263" s="480" t="s">
        <v>1311</v>
      </c>
      <c r="AA263" s="206" t="s">
        <v>1312</v>
      </c>
      <c r="AB263" s="428" t="s">
        <v>1313</v>
      </c>
      <c r="AC263" s="80">
        <v>100000</v>
      </c>
      <c r="AD263" s="197">
        <v>1</v>
      </c>
      <c r="AE263" s="197">
        <v>1</v>
      </c>
      <c r="AF263">
        <v>0</v>
      </c>
      <c r="AG263" s="432">
        <v>10</v>
      </c>
    </row>
    <row r="264" spans="1:33" ht="14.45" customHeight="1" x14ac:dyDescent="0.3">
      <c r="A264" s="417">
        <v>115001</v>
      </c>
      <c r="B264" s="17" t="s">
        <v>1314</v>
      </c>
      <c r="C264" s="17" t="s">
        <v>1315</v>
      </c>
      <c r="D264" s="118" t="s">
        <v>33</v>
      </c>
      <c r="E264" s="118">
        <v>15</v>
      </c>
      <c r="F264" s="118" t="s">
        <v>1316</v>
      </c>
      <c r="G264" s="118" t="s">
        <v>1317</v>
      </c>
      <c r="H264" s="118" t="s">
        <v>35</v>
      </c>
      <c r="I264" s="118">
        <v>1</v>
      </c>
      <c r="J264" s="118">
        <v>1</v>
      </c>
      <c r="K264" s="118">
        <v>1</v>
      </c>
      <c r="L264" s="118">
        <v>3</v>
      </c>
      <c r="M264" s="118" t="s">
        <v>36</v>
      </c>
      <c r="N264" s="118" t="s">
        <v>37</v>
      </c>
      <c r="O264" s="118">
        <v>1</v>
      </c>
      <c r="P264" s="118">
        <v>0.9</v>
      </c>
      <c r="Q264" s="118">
        <v>0</v>
      </c>
      <c r="R264" s="118">
        <v>1</v>
      </c>
      <c r="S264" s="25" t="b">
        <v>1</v>
      </c>
      <c r="T264" s="118">
        <v>13</v>
      </c>
      <c r="U264" s="118">
        <v>195</v>
      </c>
      <c r="V264" s="118">
        <v>260</v>
      </c>
      <c r="W264" s="118">
        <v>0</v>
      </c>
      <c r="X264" s="118">
        <v>1</v>
      </c>
      <c r="Y264" s="118" t="s">
        <v>38</v>
      </c>
      <c r="Z264" s="118" t="s">
        <v>1318</v>
      </c>
      <c r="AA264" s="206" t="s">
        <v>1319</v>
      </c>
      <c r="AB264" s="25" t="s">
        <v>1320</v>
      </c>
      <c r="AC264" s="118">
        <v>200000</v>
      </c>
      <c r="AD264" s="197">
        <v>1</v>
      </c>
      <c r="AE264" s="197">
        <v>1</v>
      </c>
      <c r="AF264">
        <v>0</v>
      </c>
      <c r="AG264" s="402">
        <v>1</v>
      </c>
    </row>
    <row r="265" spans="1:33" ht="14.45" customHeight="1" x14ac:dyDescent="0.3">
      <c r="A265" s="417">
        <v>115002</v>
      </c>
      <c r="B265" s="17" t="s">
        <v>1321</v>
      </c>
      <c r="C265" s="17" t="s">
        <v>1322</v>
      </c>
      <c r="D265" s="118" t="s">
        <v>33</v>
      </c>
      <c r="E265" s="118">
        <v>15</v>
      </c>
      <c r="F265" s="118" t="s">
        <v>1316</v>
      </c>
      <c r="G265" s="130" t="s">
        <v>1323</v>
      </c>
      <c r="H265" s="118" t="s">
        <v>35</v>
      </c>
      <c r="I265" s="118">
        <v>1</v>
      </c>
      <c r="J265" s="118">
        <v>1</v>
      </c>
      <c r="K265" s="118">
        <v>1</v>
      </c>
      <c r="L265" s="118">
        <v>3</v>
      </c>
      <c r="M265" s="118" t="s">
        <v>44</v>
      </c>
      <c r="N265" s="118" t="s">
        <v>45</v>
      </c>
      <c r="O265" s="118">
        <v>1</v>
      </c>
      <c r="P265" s="118">
        <v>0.9</v>
      </c>
      <c r="Q265" s="118">
        <v>0</v>
      </c>
      <c r="R265" s="118">
        <v>1</v>
      </c>
      <c r="S265" s="25" t="b">
        <v>1</v>
      </c>
      <c r="T265" s="118">
        <v>26</v>
      </c>
      <c r="U265" s="118">
        <v>390</v>
      </c>
      <c r="V265" s="118">
        <v>520</v>
      </c>
      <c r="W265" s="118">
        <v>0</v>
      </c>
      <c r="X265" s="118">
        <v>2</v>
      </c>
      <c r="Y265" s="118" t="s">
        <v>38</v>
      </c>
      <c r="Z265" s="118" t="s">
        <v>1324</v>
      </c>
      <c r="AA265" s="206" t="s">
        <v>1325</v>
      </c>
      <c r="AB265" s="25" t="s">
        <v>1326</v>
      </c>
      <c r="AC265" s="118">
        <v>100000</v>
      </c>
      <c r="AD265" s="197">
        <v>1</v>
      </c>
      <c r="AE265" s="197">
        <v>1</v>
      </c>
      <c r="AF265">
        <v>0</v>
      </c>
      <c r="AG265" s="402">
        <v>2</v>
      </c>
    </row>
    <row r="266" spans="1:33" ht="14.45" customHeight="1" x14ac:dyDescent="0.3">
      <c r="A266" s="417">
        <v>115003</v>
      </c>
      <c r="B266" s="17" t="s">
        <v>1327</v>
      </c>
      <c r="C266" s="17" t="s">
        <v>1328</v>
      </c>
      <c r="D266" s="118" t="s">
        <v>33</v>
      </c>
      <c r="E266" s="118">
        <v>15</v>
      </c>
      <c r="F266" s="118" t="s">
        <v>1316</v>
      </c>
      <c r="G266" s="130" t="s">
        <v>1329</v>
      </c>
      <c r="H266" s="118" t="s">
        <v>35</v>
      </c>
      <c r="I266" s="118">
        <v>1</v>
      </c>
      <c r="J266" s="118">
        <v>1</v>
      </c>
      <c r="K266" s="118">
        <v>1</v>
      </c>
      <c r="L266" s="118">
        <v>3</v>
      </c>
      <c r="M266" s="118" t="s">
        <v>56</v>
      </c>
      <c r="N266" s="118" t="s">
        <v>57</v>
      </c>
      <c r="O266" s="118">
        <v>1</v>
      </c>
      <c r="P266" s="118">
        <v>0.9</v>
      </c>
      <c r="Q266" s="118">
        <v>0</v>
      </c>
      <c r="R266" s="118">
        <v>1</v>
      </c>
      <c r="S266" s="25" t="b">
        <v>1</v>
      </c>
      <c r="T266" s="118">
        <v>39</v>
      </c>
      <c r="U266" s="118">
        <v>585</v>
      </c>
      <c r="V266" s="118">
        <v>780</v>
      </c>
      <c r="W266" s="118">
        <v>0</v>
      </c>
      <c r="X266" s="118">
        <v>3</v>
      </c>
      <c r="Y266" s="118" t="s">
        <v>38</v>
      </c>
      <c r="Z266" s="118" t="s">
        <v>1330</v>
      </c>
      <c r="AA266" s="206" t="s">
        <v>1331</v>
      </c>
      <c r="AB266" s="25" t="s">
        <v>1332</v>
      </c>
      <c r="AC266" s="118">
        <v>200000</v>
      </c>
      <c r="AD266" s="197">
        <v>1</v>
      </c>
      <c r="AE266" s="197">
        <v>1</v>
      </c>
      <c r="AF266">
        <v>0</v>
      </c>
      <c r="AG266" s="402">
        <v>3</v>
      </c>
    </row>
    <row r="267" spans="1:33" ht="14.45" customHeight="1" x14ac:dyDescent="0.3">
      <c r="A267" s="417">
        <v>115004</v>
      </c>
      <c r="B267" s="71" t="s">
        <v>1333</v>
      </c>
      <c r="C267" s="71" t="s">
        <v>1334</v>
      </c>
      <c r="D267" s="118" t="s">
        <v>33</v>
      </c>
      <c r="E267" s="118">
        <v>15</v>
      </c>
      <c r="F267" s="118" t="s">
        <v>1316</v>
      </c>
      <c r="G267" s="130" t="s">
        <v>1335</v>
      </c>
      <c r="H267" s="118" t="s">
        <v>35</v>
      </c>
      <c r="I267" s="118">
        <v>1</v>
      </c>
      <c r="J267" s="118">
        <v>1</v>
      </c>
      <c r="K267" s="118">
        <v>1</v>
      </c>
      <c r="L267" s="118">
        <v>3</v>
      </c>
      <c r="M267" s="118" t="s">
        <v>63</v>
      </c>
      <c r="N267" s="118" t="s">
        <v>64</v>
      </c>
      <c r="O267" s="118">
        <v>1</v>
      </c>
      <c r="P267" s="118">
        <v>0.9</v>
      </c>
      <c r="Q267" s="118">
        <v>0</v>
      </c>
      <c r="R267" s="118">
        <v>1</v>
      </c>
      <c r="S267" s="25" t="b">
        <v>1</v>
      </c>
      <c r="T267" s="118">
        <v>52</v>
      </c>
      <c r="U267" s="118">
        <v>780</v>
      </c>
      <c r="V267" s="118">
        <v>1040</v>
      </c>
      <c r="W267" s="118">
        <v>0</v>
      </c>
      <c r="X267" s="118">
        <v>4</v>
      </c>
      <c r="Y267" s="118" t="s">
        <v>38</v>
      </c>
      <c r="Z267" s="118" t="s">
        <v>1336</v>
      </c>
      <c r="AA267" s="206" t="s">
        <v>1337</v>
      </c>
      <c r="AB267" s="25" t="s">
        <v>1338</v>
      </c>
      <c r="AC267" s="118">
        <v>100000</v>
      </c>
      <c r="AD267" s="197">
        <v>1</v>
      </c>
      <c r="AE267" s="197">
        <v>1</v>
      </c>
      <c r="AF267">
        <v>0</v>
      </c>
      <c r="AG267" s="402">
        <v>4</v>
      </c>
    </row>
    <row r="268" spans="1:33" ht="14.45" customHeight="1" x14ac:dyDescent="0.3">
      <c r="A268" s="417">
        <v>115005</v>
      </c>
      <c r="B268" s="17" t="s">
        <v>1339</v>
      </c>
      <c r="C268" s="17" t="s">
        <v>1340</v>
      </c>
      <c r="D268" s="118" t="s">
        <v>33</v>
      </c>
      <c r="E268" s="118">
        <v>15</v>
      </c>
      <c r="F268" s="118" t="s">
        <v>1316</v>
      </c>
      <c r="G268" s="130" t="s">
        <v>1341</v>
      </c>
      <c r="H268" s="118" t="s">
        <v>35</v>
      </c>
      <c r="I268" s="118">
        <v>1</v>
      </c>
      <c r="J268" s="118">
        <v>1</v>
      </c>
      <c r="K268" s="118">
        <v>1</v>
      </c>
      <c r="L268" s="118">
        <v>3</v>
      </c>
      <c r="M268" s="118" t="s">
        <v>70</v>
      </c>
      <c r="N268" s="118" t="s">
        <v>71</v>
      </c>
      <c r="O268" s="118">
        <v>1</v>
      </c>
      <c r="P268" s="118">
        <v>0.9</v>
      </c>
      <c r="Q268" s="118">
        <v>0</v>
      </c>
      <c r="R268" s="118">
        <v>1</v>
      </c>
      <c r="S268" s="25" t="b">
        <v>1</v>
      </c>
      <c r="T268" s="118">
        <v>65</v>
      </c>
      <c r="U268" s="118">
        <v>975</v>
      </c>
      <c r="V268" s="118">
        <v>1300</v>
      </c>
      <c r="W268" s="118">
        <v>0</v>
      </c>
      <c r="X268" s="118">
        <v>5</v>
      </c>
      <c r="Y268" s="118" t="s">
        <v>38</v>
      </c>
      <c r="Z268" s="118" t="s">
        <v>1342</v>
      </c>
      <c r="AA268" s="206" t="s">
        <v>1343</v>
      </c>
      <c r="AB268" s="25" t="s">
        <v>1344</v>
      </c>
      <c r="AC268" s="118">
        <v>100000</v>
      </c>
      <c r="AD268" s="197">
        <v>1</v>
      </c>
      <c r="AE268" s="197">
        <v>1</v>
      </c>
      <c r="AF268">
        <v>0</v>
      </c>
      <c r="AG268" s="402">
        <v>5</v>
      </c>
    </row>
    <row r="269" spans="1:33" ht="14.45" customHeight="1" x14ac:dyDescent="0.3">
      <c r="A269" s="417">
        <v>115006</v>
      </c>
      <c r="B269" s="17" t="s">
        <v>1345</v>
      </c>
      <c r="C269" s="17" t="s">
        <v>1346</v>
      </c>
      <c r="D269" s="118" t="s">
        <v>33</v>
      </c>
      <c r="E269" s="118">
        <v>15</v>
      </c>
      <c r="F269" s="118" t="s">
        <v>1316</v>
      </c>
      <c r="G269" s="130" t="s">
        <v>1347</v>
      </c>
      <c r="H269" s="118" t="s">
        <v>35</v>
      </c>
      <c r="I269" s="118">
        <v>1</v>
      </c>
      <c r="J269" s="118">
        <v>1</v>
      </c>
      <c r="K269" s="118">
        <v>1</v>
      </c>
      <c r="L269" s="118">
        <v>3</v>
      </c>
      <c r="M269" s="118" t="s">
        <v>70</v>
      </c>
      <c r="N269" s="118" t="s">
        <v>77</v>
      </c>
      <c r="O269" s="118">
        <v>1</v>
      </c>
      <c r="P269" s="118">
        <v>0.9</v>
      </c>
      <c r="Q269" s="118">
        <v>0</v>
      </c>
      <c r="R269" s="118">
        <v>1</v>
      </c>
      <c r="S269" s="25" t="b">
        <v>1</v>
      </c>
      <c r="T269" s="118">
        <v>78</v>
      </c>
      <c r="U269" s="118">
        <v>1170</v>
      </c>
      <c r="V269" s="118">
        <v>1560</v>
      </c>
      <c r="W269" s="118">
        <v>0</v>
      </c>
      <c r="X269" s="118">
        <v>6</v>
      </c>
      <c r="Y269" s="118" t="s">
        <v>38</v>
      </c>
      <c r="Z269" s="118" t="s">
        <v>1348</v>
      </c>
      <c r="AA269" s="206" t="s">
        <v>1349</v>
      </c>
      <c r="AB269" s="25" t="s">
        <v>1350</v>
      </c>
      <c r="AC269" s="118">
        <v>100000</v>
      </c>
      <c r="AD269" s="197">
        <v>1</v>
      </c>
      <c r="AE269" s="197">
        <v>1</v>
      </c>
      <c r="AF269">
        <v>0</v>
      </c>
      <c r="AG269" s="402">
        <v>6</v>
      </c>
    </row>
    <row r="270" spans="1:33" ht="14.45" customHeight="1" x14ac:dyDescent="0.3">
      <c r="A270" s="417">
        <v>115007</v>
      </c>
      <c r="B270" s="17" t="s">
        <v>1351</v>
      </c>
      <c r="C270" s="17" t="s">
        <v>1352</v>
      </c>
      <c r="D270" s="118" t="s">
        <v>33</v>
      </c>
      <c r="E270" s="118">
        <v>15</v>
      </c>
      <c r="F270" s="118" t="s">
        <v>1316</v>
      </c>
      <c r="G270" s="130" t="s">
        <v>1353</v>
      </c>
      <c r="H270" s="118" t="s">
        <v>35</v>
      </c>
      <c r="I270" s="118">
        <v>1</v>
      </c>
      <c r="J270" s="118">
        <v>1</v>
      </c>
      <c r="K270" s="118">
        <v>1</v>
      </c>
      <c r="L270" s="118">
        <v>3</v>
      </c>
      <c r="M270" s="118" t="s">
        <v>70</v>
      </c>
      <c r="N270" s="118" t="s">
        <v>83</v>
      </c>
      <c r="O270" s="118">
        <v>1</v>
      </c>
      <c r="P270" s="118">
        <v>0.9</v>
      </c>
      <c r="Q270" s="118">
        <v>0</v>
      </c>
      <c r="R270" s="118">
        <v>1</v>
      </c>
      <c r="S270" s="25" t="b">
        <v>1</v>
      </c>
      <c r="T270" s="118">
        <v>91</v>
      </c>
      <c r="U270" s="118">
        <v>1365</v>
      </c>
      <c r="V270" s="118">
        <v>1820</v>
      </c>
      <c r="W270" s="118">
        <v>0</v>
      </c>
      <c r="X270" s="118">
        <v>7</v>
      </c>
      <c r="Y270" s="118" t="s">
        <v>38</v>
      </c>
      <c r="Z270" s="118" t="s">
        <v>1354</v>
      </c>
      <c r="AA270" s="206" t="s">
        <v>1355</v>
      </c>
      <c r="AB270" s="25" t="s">
        <v>1356</v>
      </c>
      <c r="AC270" s="118">
        <v>100000</v>
      </c>
      <c r="AD270" s="197">
        <v>1</v>
      </c>
      <c r="AE270" s="197">
        <v>1</v>
      </c>
      <c r="AF270">
        <v>0</v>
      </c>
      <c r="AG270" s="402">
        <v>7</v>
      </c>
    </row>
    <row r="271" spans="1:33" ht="14.45" customHeight="1" x14ac:dyDescent="0.3">
      <c r="A271" s="118">
        <v>115008</v>
      </c>
      <c r="B271" s="427" t="s">
        <v>1357</v>
      </c>
      <c r="C271" s="427" t="s">
        <v>1358</v>
      </c>
      <c r="D271" s="118" t="s">
        <v>33</v>
      </c>
      <c r="E271" s="118">
        <v>15</v>
      </c>
      <c r="F271" s="118" t="s">
        <v>1316</v>
      </c>
      <c r="G271" s="25" t="s">
        <v>1359</v>
      </c>
      <c r="H271" s="17" t="s">
        <v>35</v>
      </c>
      <c r="I271" s="118">
        <v>1</v>
      </c>
      <c r="J271" s="118">
        <v>1</v>
      </c>
      <c r="K271" s="118">
        <v>1</v>
      </c>
      <c r="L271" s="118">
        <v>3</v>
      </c>
      <c r="M271" s="118" t="s">
        <v>70</v>
      </c>
      <c r="N271" s="118" t="s">
        <v>89</v>
      </c>
      <c r="O271" s="118">
        <v>1</v>
      </c>
      <c r="P271" s="118">
        <v>0.9</v>
      </c>
      <c r="Q271" s="118">
        <v>0</v>
      </c>
      <c r="R271" s="118">
        <v>1</v>
      </c>
      <c r="S271" s="25" t="b">
        <v>1</v>
      </c>
      <c r="T271" s="118">
        <v>104</v>
      </c>
      <c r="U271" s="118">
        <v>1560</v>
      </c>
      <c r="V271" s="118">
        <v>2080</v>
      </c>
      <c r="W271" s="118">
        <v>0</v>
      </c>
      <c r="X271" s="118">
        <v>8</v>
      </c>
      <c r="Y271" s="118" t="s">
        <v>38</v>
      </c>
      <c r="Z271" s="429" t="s">
        <v>1360</v>
      </c>
      <c r="AA271" s="206" t="s">
        <v>1361</v>
      </c>
      <c r="AB271" s="429" t="s">
        <v>1362</v>
      </c>
      <c r="AC271" s="118">
        <v>100000</v>
      </c>
      <c r="AD271" s="191">
        <v>1</v>
      </c>
      <c r="AE271" s="191">
        <v>1</v>
      </c>
      <c r="AF271">
        <v>0</v>
      </c>
      <c r="AG271" s="402">
        <v>8</v>
      </c>
    </row>
    <row r="272" spans="1:33" ht="14.45" customHeight="1" x14ac:dyDescent="0.3">
      <c r="A272" s="118">
        <v>115009</v>
      </c>
      <c r="B272" s="17" t="s">
        <v>1363</v>
      </c>
      <c r="C272" s="17" t="s">
        <v>1364</v>
      </c>
      <c r="D272" s="118" t="s">
        <v>33</v>
      </c>
      <c r="E272" s="118">
        <v>15</v>
      </c>
      <c r="F272" s="118" t="s">
        <v>1316</v>
      </c>
      <c r="G272" s="25" t="s">
        <v>1365</v>
      </c>
      <c r="H272" s="17" t="s">
        <v>35</v>
      </c>
      <c r="I272" s="118">
        <v>1</v>
      </c>
      <c r="J272" s="118">
        <v>1</v>
      </c>
      <c r="K272" s="118">
        <v>1</v>
      </c>
      <c r="L272" s="118">
        <v>3</v>
      </c>
      <c r="M272" s="118" t="s">
        <v>70</v>
      </c>
      <c r="N272" s="118" t="s">
        <v>95</v>
      </c>
      <c r="O272" s="118">
        <v>1</v>
      </c>
      <c r="P272" s="118">
        <v>0.9</v>
      </c>
      <c r="Q272" s="118">
        <v>0</v>
      </c>
      <c r="R272" s="118">
        <v>1</v>
      </c>
      <c r="S272" s="25" t="b">
        <v>1</v>
      </c>
      <c r="T272" s="118">
        <v>117</v>
      </c>
      <c r="U272" s="118">
        <v>1755</v>
      </c>
      <c r="V272" s="118">
        <v>2340</v>
      </c>
      <c r="W272" s="118">
        <v>0</v>
      </c>
      <c r="X272" s="118">
        <v>9</v>
      </c>
      <c r="Y272" s="118" t="s">
        <v>38</v>
      </c>
      <c r="Z272" s="118" t="s">
        <v>1366</v>
      </c>
      <c r="AA272" s="206" t="s">
        <v>1367</v>
      </c>
      <c r="AB272" s="429" t="s">
        <v>1368</v>
      </c>
      <c r="AC272" s="118">
        <v>100000</v>
      </c>
      <c r="AD272" s="191">
        <v>1</v>
      </c>
      <c r="AE272" s="191">
        <v>1</v>
      </c>
      <c r="AF272">
        <v>0</v>
      </c>
      <c r="AG272" s="402">
        <v>7</v>
      </c>
    </row>
    <row r="273" spans="1:33" ht="14.45" customHeight="1" x14ac:dyDescent="0.3">
      <c r="A273" s="118">
        <v>115010</v>
      </c>
      <c r="B273" s="17" t="s">
        <v>1369</v>
      </c>
      <c r="C273" s="17" t="s">
        <v>1370</v>
      </c>
      <c r="D273" s="118" t="s">
        <v>33</v>
      </c>
      <c r="E273" s="118">
        <v>15</v>
      </c>
      <c r="F273" s="118" t="s">
        <v>1316</v>
      </c>
      <c r="G273" s="25" t="s">
        <v>1371</v>
      </c>
      <c r="H273" s="17" t="s">
        <v>35</v>
      </c>
      <c r="I273" s="118">
        <v>1</v>
      </c>
      <c r="J273" s="118">
        <v>1</v>
      </c>
      <c r="K273" s="118">
        <v>1</v>
      </c>
      <c r="L273" s="118">
        <v>3</v>
      </c>
      <c r="M273" s="118" t="s">
        <v>70</v>
      </c>
      <c r="N273" s="118" t="s">
        <v>101</v>
      </c>
      <c r="O273" s="118">
        <v>1</v>
      </c>
      <c r="P273" s="118">
        <v>0.9</v>
      </c>
      <c r="Q273" s="118">
        <v>0</v>
      </c>
      <c r="R273" s="118">
        <v>1</v>
      </c>
      <c r="S273" s="25" t="b">
        <v>1</v>
      </c>
      <c r="T273" s="118">
        <v>130</v>
      </c>
      <c r="U273" s="118">
        <v>1950</v>
      </c>
      <c r="V273" s="118">
        <v>2600</v>
      </c>
      <c r="W273" s="118">
        <v>0</v>
      </c>
      <c r="X273" s="118">
        <v>10</v>
      </c>
      <c r="Y273" s="118" t="s">
        <v>38</v>
      </c>
      <c r="Z273" s="120" t="s">
        <v>1372</v>
      </c>
      <c r="AA273" s="206" t="s">
        <v>1373</v>
      </c>
      <c r="AB273" s="429" t="s">
        <v>1374</v>
      </c>
      <c r="AC273" s="118">
        <v>100000</v>
      </c>
      <c r="AD273" s="191">
        <v>1</v>
      </c>
      <c r="AE273" s="191">
        <v>1</v>
      </c>
      <c r="AF273">
        <v>0</v>
      </c>
      <c r="AG273" s="402">
        <v>8</v>
      </c>
    </row>
    <row r="274" spans="1:33" ht="14.45" customHeight="1" x14ac:dyDescent="0.3">
      <c r="A274" s="119">
        <v>115307</v>
      </c>
      <c r="B274" s="114" t="s">
        <v>1375</v>
      </c>
      <c r="C274" s="114" t="s">
        <v>1376</v>
      </c>
      <c r="D274" s="119" t="s">
        <v>33</v>
      </c>
      <c r="E274" s="119">
        <v>15</v>
      </c>
      <c r="F274" s="119" t="s">
        <v>1316</v>
      </c>
      <c r="G274" s="130" t="s">
        <v>1353</v>
      </c>
      <c r="H274" s="119" t="s">
        <v>51</v>
      </c>
      <c r="I274" s="119">
        <v>1</v>
      </c>
      <c r="J274" s="118">
        <v>4</v>
      </c>
      <c r="K274" s="119">
        <v>0</v>
      </c>
      <c r="L274" s="119">
        <v>3</v>
      </c>
      <c r="M274" s="119" t="s">
        <v>52</v>
      </c>
      <c r="N274" s="118" t="s">
        <v>83</v>
      </c>
      <c r="O274" s="119">
        <v>1</v>
      </c>
      <c r="P274" s="119">
        <v>0.9</v>
      </c>
      <c r="Q274" s="119">
        <v>0</v>
      </c>
      <c r="R274" s="119">
        <v>1</v>
      </c>
      <c r="S274" s="80" t="b">
        <v>1</v>
      </c>
      <c r="T274" s="119">
        <v>91</v>
      </c>
      <c r="U274" s="118">
        <v>1365</v>
      </c>
      <c r="V274" s="118">
        <v>1820</v>
      </c>
      <c r="W274" s="119">
        <v>0</v>
      </c>
      <c r="X274" s="119">
        <v>7</v>
      </c>
      <c r="Y274" s="119" t="s">
        <v>38</v>
      </c>
      <c r="Z274" s="119" t="s">
        <v>1354</v>
      </c>
      <c r="AA274" s="206" t="s">
        <v>1377</v>
      </c>
      <c r="AB274" s="80" t="s">
        <v>1356</v>
      </c>
      <c r="AC274" s="119">
        <v>100000</v>
      </c>
      <c r="AD274" s="197">
        <v>1</v>
      </c>
      <c r="AE274" s="197">
        <v>1</v>
      </c>
      <c r="AF274">
        <v>0</v>
      </c>
      <c r="AG274" s="403">
        <v>7</v>
      </c>
    </row>
    <row r="275" spans="1:33" ht="14.45" customHeight="1" x14ac:dyDescent="0.3">
      <c r="A275" s="119">
        <v>115208</v>
      </c>
      <c r="B275" s="119" t="s">
        <v>1378</v>
      </c>
      <c r="C275" s="119" t="s">
        <v>1379</v>
      </c>
      <c r="D275" s="119" t="s">
        <v>33</v>
      </c>
      <c r="E275" s="119">
        <v>15</v>
      </c>
      <c r="F275" s="119" t="s">
        <v>1316</v>
      </c>
      <c r="G275" s="80" t="s">
        <v>1359</v>
      </c>
      <c r="H275" s="119" t="s">
        <v>51</v>
      </c>
      <c r="I275" s="119">
        <v>1</v>
      </c>
      <c r="J275" s="118">
        <v>4</v>
      </c>
      <c r="K275" s="119">
        <v>0</v>
      </c>
      <c r="L275" s="119">
        <v>3</v>
      </c>
      <c r="M275" s="114" t="s">
        <v>52</v>
      </c>
      <c r="N275" s="118" t="s">
        <v>89</v>
      </c>
      <c r="O275" s="119">
        <v>1</v>
      </c>
      <c r="P275" s="119">
        <v>0.9</v>
      </c>
      <c r="Q275" s="119">
        <v>0</v>
      </c>
      <c r="R275" s="119">
        <v>1</v>
      </c>
      <c r="S275" s="80" t="b">
        <v>1</v>
      </c>
      <c r="T275" s="119">
        <v>104</v>
      </c>
      <c r="U275" s="118">
        <v>1560</v>
      </c>
      <c r="V275" s="118">
        <v>2080</v>
      </c>
      <c r="W275" s="119">
        <v>0</v>
      </c>
      <c r="X275" s="119">
        <v>8</v>
      </c>
      <c r="Y275" s="119" t="s">
        <v>38</v>
      </c>
      <c r="Z275" s="430" t="s">
        <v>1360</v>
      </c>
      <c r="AA275" s="206" t="s">
        <v>1380</v>
      </c>
      <c r="AB275" s="430" t="s">
        <v>1362</v>
      </c>
      <c r="AC275" s="119">
        <v>100000</v>
      </c>
      <c r="AD275" s="92">
        <v>1</v>
      </c>
      <c r="AE275" s="92">
        <v>1</v>
      </c>
      <c r="AF275">
        <v>0</v>
      </c>
      <c r="AG275" s="403">
        <v>8</v>
      </c>
    </row>
    <row r="276" spans="1:33" ht="14.45" customHeight="1" x14ac:dyDescent="0.3">
      <c r="A276" s="119">
        <v>115209</v>
      </c>
      <c r="B276" s="114" t="s">
        <v>1381</v>
      </c>
      <c r="C276" s="114" t="s">
        <v>1382</v>
      </c>
      <c r="D276" s="119" t="s">
        <v>33</v>
      </c>
      <c r="E276" s="119">
        <v>15</v>
      </c>
      <c r="F276" s="119" t="s">
        <v>1316</v>
      </c>
      <c r="G276" s="80" t="s">
        <v>1365</v>
      </c>
      <c r="H276" s="119" t="s">
        <v>51</v>
      </c>
      <c r="I276" s="119">
        <v>1</v>
      </c>
      <c r="J276" s="118">
        <v>4</v>
      </c>
      <c r="K276" s="119">
        <v>0</v>
      </c>
      <c r="L276" s="119">
        <v>3</v>
      </c>
      <c r="M276" s="114" t="s">
        <v>52</v>
      </c>
      <c r="N276" s="118" t="s">
        <v>95</v>
      </c>
      <c r="O276" s="119">
        <v>1</v>
      </c>
      <c r="P276" s="119">
        <v>0.9</v>
      </c>
      <c r="Q276" s="119">
        <v>0</v>
      </c>
      <c r="R276" s="119">
        <v>1</v>
      </c>
      <c r="S276" s="80" t="b">
        <v>1</v>
      </c>
      <c r="T276" s="119">
        <v>117</v>
      </c>
      <c r="U276" s="118">
        <v>1755</v>
      </c>
      <c r="V276" s="118">
        <v>2340</v>
      </c>
      <c r="W276" s="119">
        <v>0</v>
      </c>
      <c r="X276" s="119">
        <v>9</v>
      </c>
      <c r="Y276" s="119" t="s">
        <v>38</v>
      </c>
      <c r="Z276" s="430" t="s">
        <v>1366</v>
      </c>
      <c r="AA276" s="206" t="s">
        <v>1383</v>
      </c>
      <c r="AB276" s="430" t="s">
        <v>1368</v>
      </c>
      <c r="AC276" s="119">
        <v>100000</v>
      </c>
      <c r="AD276" s="92">
        <v>1</v>
      </c>
      <c r="AE276" s="92">
        <v>1</v>
      </c>
      <c r="AF276">
        <v>0</v>
      </c>
      <c r="AG276" s="403">
        <v>7</v>
      </c>
    </row>
    <row r="277" spans="1:33" ht="14.45" customHeight="1" x14ac:dyDescent="0.3">
      <c r="A277" s="119">
        <v>115210</v>
      </c>
      <c r="B277" s="114" t="s">
        <v>1384</v>
      </c>
      <c r="C277" s="114" t="s">
        <v>1385</v>
      </c>
      <c r="D277" s="119" t="s">
        <v>33</v>
      </c>
      <c r="E277" s="119">
        <v>15</v>
      </c>
      <c r="F277" s="119" t="s">
        <v>1316</v>
      </c>
      <c r="G277" s="80" t="s">
        <v>1371</v>
      </c>
      <c r="H277" s="119" t="s">
        <v>51</v>
      </c>
      <c r="I277" s="119">
        <v>1</v>
      </c>
      <c r="J277" s="118">
        <v>4</v>
      </c>
      <c r="K277" s="119">
        <v>0</v>
      </c>
      <c r="L277" s="119">
        <v>3</v>
      </c>
      <c r="M277" s="114" t="s">
        <v>52</v>
      </c>
      <c r="N277" s="118" t="s">
        <v>101</v>
      </c>
      <c r="O277" s="119">
        <v>1</v>
      </c>
      <c r="P277" s="119">
        <v>0.9</v>
      </c>
      <c r="Q277" s="119">
        <v>0</v>
      </c>
      <c r="R277" s="119">
        <v>1</v>
      </c>
      <c r="S277" s="80" t="b">
        <v>1</v>
      </c>
      <c r="T277" s="119">
        <v>130</v>
      </c>
      <c r="U277" s="118">
        <v>1950</v>
      </c>
      <c r="V277" s="118">
        <v>2600</v>
      </c>
      <c r="W277" s="119">
        <v>0</v>
      </c>
      <c r="X277" s="119">
        <v>10</v>
      </c>
      <c r="Y277" s="119" t="s">
        <v>38</v>
      </c>
      <c r="Z277" s="430" t="s">
        <v>1372</v>
      </c>
      <c r="AA277" s="206" t="s">
        <v>1386</v>
      </c>
      <c r="AB277" s="430" t="s">
        <v>1374</v>
      </c>
      <c r="AC277" s="119">
        <v>100000</v>
      </c>
      <c r="AD277" s="92">
        <v>1</v>
      </c>
      <c r="AE277" s="92">
        <v>1</v>
      </c>
      <c r="AF277">
        <v>0</v>
      </c>
      <c r="AG277" s="403">
        <v>8</v>
      </c>
    </row>
    <row r="278" spans="1:33" ht="14.45" customHeight="1" x14ac:dyDescent="0.3">
      <c r="A278" s="84">
        <v>115102</v>
      </c>
      <c r="B278" s="84" t="s">
        <v>1387</v>
      </c>
      <c r="C278" s="84" t="s">
        <v>1388</v>
      </c>
      <c r="D278" s="84" t="s">
        <v>33</v>
      </c>
      <c r="E278" s="84">
        <v>15</v>
      </c>
      <c r="F278" s="84" t="s">
        <v>1316</v>
      </c>
      <c r="G278" s="130" t="s">
        <v>1317</v>
      </c>
      <c r="H278" s="84" t="s">
        <v>107</v>
      </c>
      <c r="I278" s="84">
        <v>4</v>
      </c>
      <c r="J278" s="118">
        <v>4</v>
      </c>
      <c r="K278" s="84">
        <v>0</v>
      </c>
      <c r="L278" s="84">
        <v>3</v>
      </c>
      <c r="M278" s="84">
        <v>4</v>
      </c>
      <c r="N278" s="118" t="s">
        <v>45</v>
      </c>
      <c r="O278" s="84">
        <v>1</v>
      </c>
      <c r="P278" s="84">
        <v>0.9</v>
      </c>
      <c r="Q278" s="84">
        <v>0</v>
      </c>
      <c r="R278" s="84">
        <v>1</v>
      </c>
      <c r="S278" s="43" t="b">
        <v>1</v>
      </c>
      <c r="T278" s="84">
        <v>26</v>
      </c>
      <c r="U278" s="118">
        <v>390</v>
      </c>
      <c r="V278" s="118">
        <v>520</v>
      </c>
      <c r="W278" s="84">
        <v>0</v>
      </c>
      <c r="X278" s="84">
        <v>2</v>
      </c>
      <c r="Y278" s="84" t="s">
        <v>38</v>
      </c>
      <c r="Z278" s="431" t="s">
        <v>108</v>
      </c>
      <c r="AA278" s="206" t="s">
        <v>1389</v>
      </c>
      <c r="AB278" s="43" t="s">
        <v>1320</v>
      </c>
      <c r="AC278" s="84">
        <v>300000</v>
      </c>
      <c r="AD278" s="197">
        <v>1</v>
      </c>
      <c r="AE278" s="197">
        <v>1</v>
      </c>
      <c r="AF278">
        <v>0</v>
      </c>
      <c r="AG278" s="404">
        <v>2</v>
      </c>
    </row>
    <row r="279" spans="1:33" ht="14.45" customHeight="1" x14ac:dyDescent="0.3">
      <c r="A279" s="84">
        <v>115202</v>
      </c>
      <c r="B279" s="105" t="s">
        <v>1390</v>
      </c>
      <c r="C279" s="105" t="s">
        <v>1391</v>
      </c>
      <c r="D279" s="84" t="s">
        <v>33</v>
      </c>
      <c r="E279" s="84">
        <v>15</v>
      </c>
      <c r="F279" s="84" t="s">
        <v>1316</v>
      </c>
      <c r="G279" s="130" t="s">
        <v>1353</v>
      </c>
      <c r="H279" s="84" t="s">
        <v>107</v>
      </c>
      <c r="I279" s="84">
        <v>4</v>
      </c>
      <c r="J279" s="118">
        <v>4</v>
      </c>
      <c r="K279" s="84">
        <v>0</v>
      </c>
      <c r="L279" s="84">
        <v>3</v>
      </c>
      <c r="M279" s="84">
        <v>4</v>
      </c>
      <c r="N279" s="118" t="s">
        <v>57</v>
      </c>
      <c r="O279" s="84">
        <v>1</v>
      </c>
      <c r="P279" s="84">
        <v>0.9</v>
      </c>
      <c r="Q279" s="84">
        <v>0</v>
      </c>
      <c r="R279" s="84">
        <v>1</v>
      </c>
      <c r="S279" s="43" t="b">
        <v>1</v>
      </c>
      <c r="T279" s="84">
        <v>39</v>
      </c>
      <c r="U279" s="118">
        <v>585</v>
      </c>
      <c r="V279" s="118">
        <v>780</v>
      </c>
      <c r="W279" s="84">
        <v>0</v>
      </c>
      <c r="X279" s="84">
        <v>3</v>
      </c>
      <c r="Y279" s="84" t="s">
        <v>38</v>
      </c>
      <c r="Z279" s="431" t="s">
        <v>1392</v>
      </c>
      <c r="AA279" s="206" t="s">
        <v>1393</v>
      </c>
      <c r="AB279" s="431" t="s">
        <v>1394</v>
      </c>
      <c r="AC279" s="84">
        <v>300000</v>
      </c>
      <c r="AD279" s="197">
        <v>1</v>
      </c>
      <c r="AE279" s="197">
        <v>1</v>
      </c>
      <c r="AF279">
        <v>0</v>
      </c>
      <c r="AG279" s="404">
        <v>3</v>
      </c>
    </row>
    <row r="280" spans="1:33" ht="14.45" customHeight="1" x14ac:dyDescent="0.3">
      <c r="A280" s="84">
        <v>115304</v>
      </c>
      <c r="B280" s="105" t="s">
        <v>1395</v>
      </c>
      <c r="C280" s="105" t="s">
        <v>1396</v>
      </c>
      <c r="D280" s="84" t="s">
        <v>33</v>
      </c>
      <c r="E280" s="84">
        <v>15</v>
      </c>
      <c r="F280" s="84" t="s">
        <v>1316</v>
      </c>
      <c r="G280" s="130" t="s">
        <v>1323</v>
      </c>
      <c r="H280" s="84"/>
      <c r="I280" s="84">
        <v>5</v>
      </c>
      <c r="J280" s="118">
        <v>5</v>
      </c>
      <c r="K280" s="84">
        <v>0</v>
      </c>
      <c r="L280" s="84">
        <v>3</v>
      </c>
      <c r="M280" s="84">
        <v>5</v>
      </c>
      <c r="N280" s="118" t="s">
        <v>64</v>
      </c>
      <c r="O280" s="84">
        <v>1</v>
      </c>
      <c r="P280" s="84">
        <v>0.9</v>
      </c>
      <c r="Q280" s="84">
        <v>0</v>
      </c>
      <c r="R280" s="84">
        <v>1</v>
      </c>
      <c r="S280" s="43" t="b">
        <v>1</v>
      </c>
      <c r="T280" s="84">
        <v>52</v>
      </c>
      <c r="U280" s="118">
        <v>780</v>
      </c>
      <c r="V280" s="118">
        <v>1040</v>
      </c>
      <c r="W280" s="84">
        <v>0</v>
      </c>
      <c r="X280" s="84">
        <v>4</v>
      </c>
      <c r="Y280" s="84" t="s">
        <v>38</v>
      </c>
      <c r="Z280" s="481" t="s">
        <v>1397</v>
      </c>
      <c r="AA280" s="206" t="s">
        <v>1398</v>
      </c>
      <c r="AB280" s="43" t="s">
        <v>1399</v>
      </c>
      <c r="AC280" s="84">
        <v>300000</v>
      </c>
      <c r="AD280" s="197">
        <v>1</v>
      </c>
      <c r="AE280" s="197">
        <v>1</v>
      </c>
      <c r="AF280">
        <v>0</v>
      </c>
      <c r="AG280" s="404">
        <v>4</v>
      </c>
    </row>
    <row r="281" spans="1:33" ht="14.45" customHeight="1" x14ac:dyDescent="0.3">
      <c r="A281" s="128">
        <v>115406</v>
      </c>
      <c r="B281" s="128" t="s">
        <v>1400</v>
      </c>
      <c r="C281" s="128" t="s">
        <v>1401</v>
      </c>
      <c r="D281" s="134" t="s">
        <v>33</v>
      </c>
      <c r="E281" s="130">
        <v>15</v>
      </c>
      <c r="F281" s="130" t="s">
        <v>1316</v>
      </c>
      <c r="G281" s="130" t="s">
        <v>1402</v>
      </c>
      <c r="H281" s="130" t="s">
        <v>611</v>
      </c>
      <c r="I281" s="130">
        <v>1</v>
      </c>
      <c r="J281" s="118">
        <v>1</v>
      </c>
      <c r="K281" s="130">
        <v>0</v>
      </c>
      <c r="L281" s="130">
        <v>3</v>
      </c>
      <c r="M281" s="130">
        <v>6</v>
      </c>
      <c r="N281" s="118" t="s">
        <v>77</v>
      </c>
      <c r="O281" s="134">
        <v>1</v>
      </c>
      <c r="P281" s="134">
        <v>0.9</v>
      </c>
      <c r="Q281" s="134">
        <v>0</v>
      </c>
      <c r="R281" s="130">
        <v>1</v>
      </c>
      <c r="S281" s="130" t="b">
        <v>1</v>
      </c>
      <c r="T281" s="134">
        <v>78</v>
      </c>
      <c r="U281" s="118">
        <v>1170</v>
      </c>
      <c r="V281" s="118">
        <v>1560</v>
      </c>
      <c r="W281" s="134">
        <v>0</v>
      </c>
      <c r="X281" s="130">
        <v>6</v>
      </c>
      <c r="Y281" s="130" t="s">
        <v>38</v>
      </c>
      <c r="Z281" s="414" t="s">
        <v>1403</v>
      </c>
      <c r="AA281" s="206" t="s">
        <v>1404</v>
      </c>
      <c r="AB281" s="414" t="s">
        <v>1405</v>
      </c>
      <c r="AC281" s="130">
        <v>100000</v>
      </c>
      <c r="AD281" s="197">
        <v>1</v>
      </c>
      <c r="AE281" s="197">
        <v>1</v>
      </c>
      <c r="AF281">
        <v>0</v>
      </c>
      <c r="AG281" s="416">
        <v>6</v>
      </c>
    </row>
    <row r="282" spans="1:33" ht="14.45" customHeight="1" x14ac:dyDescent="0.3">
      <c r="A282" s="15">
        <v>200001</v>
      </c>
      <c r="B282" s="16" t="s">
        <v>1406</v>
      </c>
      <c r="C282" s="16" t="s">
        <v>1407</v>
      </c>
      <c r="D282" s="15" t="s">
        <v>1408</v>
      </c>
      <c r="E282" s="15">
        <v>0</v>
      </c>
      <c r="F282" s="15">
        <v>0</v>
      </c>
      <c r="G282" s="15"/>
      <c r="H282" s="118" t="s">
        <v>35</v>
      </c>
      <c r="I282" s="15">
        <v>1</v>
      </c>
      <c r="J282" s="118">
        <v>1</v>
      </c>
      <c r="K282" s="15">
        <v>1</v>
      </c>
      <c r="L282" s="15">
        <v>4</v>
      </c>
      <c r="M282" s="15" t="s">
        <v>36</v>
      </c>
      <c r="N282" s="118" t="s">
        <v>1409</v>
      </c>
      <c r="O282" s="15">
        <v>50</v>
      </c>
      <c r="P282" s="15">
        <v>0.5</v>
      </c>
      <c r="Q282" s="15">
        <v>0</v>
      </c>
      <c r="R282" s="15">
        <v>1</v>
      </c>
      <c r="S282" s="25" t="b">
        <v>1</v>
      </c>
      <c r="T282" s="15">
        <v>6</v>
      </c>
      <c r="U282" s="118">
        <v>90</v>
      </c>
      <c r="V282" s="118">
        <v>120</v>
      </c>
      <c r="W282" s="15">
        <v>0</v>
      </c>
      <c r="X282" s="15">
        <v>1</v>
      </c>
      <c r="Y282" s="15" t="s">
        <v>38</v>
      </c>
      <c r="Z282" s="492" t="s">
        <v>1410</v>
      </c>
      <c r="AA282" s="206" t="s">
        <v>1411</v>
      </c>
      <c r="AB282" s="25" t="s">
        <v>1412</v>
      </c>
      <c r="AC282" s="15">
        <v>300000</v>
      </c>
      <c r="AD282" s="197">
        <v>1</v>
      </c>
      <c r="AE282" s="197">
        <v>1</v>
      </c>
      <c r="AF282">
        <v>0</v>
      </c>
      <c r="AG282" s="433">
        <v>1</v>
      </c>
    </row>
    <row r="283" spans="1:33" ht="14.45" customHeight="1" x14ac:dyDescent="0.3">
      <c r="A283" s="15">
        <v>200002</v>
      </c>
      <c r="B283" s="16" t="s">
        <v>1413</v>
      </c>
      <c r="C283" s="16" t="s">
        <v>1414</v>
      </c>
      <c r="D283" s="15" t="s">
        <v>1408</v>
      </c>
      <c r="E283" s="15">
        <v>0</v>
      </c>
      <c r="F283" s="15">
        <v>0</v>
      </c>
      <c r="G283" s="15"/>
      <c r="H283" s="118" t="s">
        <v>35</v>
      </c>
      <c r="I283" s="15">
        <v>1</v>
      </c>
      <c r="J283" s="118">
        <v>1</v>
      </c>
      <c r="K283" s="15">
        <v>1</v>
      </c>
      <c r="L283" s="15">
        <v>4</v>
      </c>
      <c r="M283" s="15" t="s">
        <v>44</v>
      </c>
      <c r="N283" s="118" t="s">
        <v>1415</v>
      </c>
      <c r="O283" s="15">
        <v>50</v>
      </c>
      <c r="P283" s="15">
        <v>0.5</v>
      </c>
      <c r="Q283" s="15">
        <v>0</v>
      </c>
      <c r="R283" s="15">
        <v>1</v>
      </c>
      <c r="S283" s="25" t="b">
        <v>1</v>
      </c>
      <c r="T283" s="15">
        <v>13</v>
      </c>
      <c r="U283" s="118">
        <v>195</v>
      </c>
      <c r="V283" s="118">
        <v>260</v>
      </c>
      <c r="W283" s="15">
        <v>0</v>
      </c>
      <c r="X283" s="15">
        <v>2</v>
      </c>
      <c r="Y283" s="15" t="s">
        <v>38</v>
      </c>
      <c r="Z283" s="492" t="s">
        <v>1416</v>
      </c>
      <c r="AA283" s="206" t="s">
        <v>1417</v>
      </c>
      <c r="AB283" s="25" t="s">
        <v>1418</v>
      </c>
      <c r="AC283" s="15">
        <v>100000</v>
      </c>
      <c r="AD283" s="197">
        <v>1</v>
      </c>
      <c r="AE283" s="197">
        <v>1</v>
      </c>
      <c r="AF283">
        <v>0</v>
      </c>
      <c r="AG283" s="433">
        <v>2</v>
      </c>
    </row>
    <row r="284" spans="1:33" ht="14.45" customHeight="1" x14ac:dyDescent="0.3">
      <c r="A284" s="15">
        <v>200003</v>
      </c>
      <c r="B284" s="17" t="s">
        <v>1419</v>
      </c>
      <c r="C284" s="17" t="s">
        <v>1420</v>
      </c>
      <c r="D284" s="15" t="s">
        <v>1408</v>
      </c>
      <c r="E284" s="15">
        <v>0</v>
      </c>
      <c r="F284" s="15">
        <v>0</v>
      </c>
      <c r="G284" s="15"/>
      <c r="H284" s="118" t="s">
        <v>35</v>
      </c>
      <c r="I284" s="15">
        <v>1</v>
      </c>
      <c r="J284" s="118">
        <v>1</v>
      </c>
      <c r="K284" s="15">
        <v>1</v>
      </c>
      <c r="L284" s="15">
        <v>4</v>
      </c>
      <c r="M284" s="15" t="s">
        <v>56</v>
      </c>
      <c r="N284" s="118" t="s">
        <v>1421</v>
      </c>
      <c r="O284" s="15">
        <v>50</v>
      </c>
      <c r="P284" s="15">
        <v>0.5</v>
      </c>
      <c r="Q284" s="15">
        <v>0</v>
      </c>
      <c r="R284" s="15">
        <v>1</v>
      </c>
      <c r="S284" s="25" t="b">
        <v>1</v>
      </c>
      <c r="T284" s="15">
        <v>19</v>
      </c>
      <c r="U284" s="118">
        <v>285</v>
      </c>
      <c r="V284" s="118">
        <v>380</v>
      </c>
      <c r="W284" s="15">
        <v>0</v>
      </c>
      <c r="X284" s="15">
        <v>3</v>
      </c>
      <c r="Y284" s="15" t="s">
        <v>38</v>
      </c>
      <c r="Z284" s="492" t="s">
        <v>1422</v>
      </c>
      <c r="AA284" s="206" t="s">
        <v>1423</v>
      </c>
      <c r="AB284" s="25" t="s">
        <v>1424</v>
      </c>
      <c r="AC284" s="15">
        <v>100000</v>
      </c>
      <c r="AD284" s="197">
        <v>1</v>
      </c>
      <c r="AE284" s="197">
        <v>1</v>
      </c>
      <c r="AF284">
        <v>0</v>
      </c>
      <c r="AG284" s="433">
        <v>3</v>
      </c>
    </row>
    <row r="285" spans="1:33" ht="14.45" customHeight="1" x14ac:dyDescent="0.3">
      <c r="A285" s="79">
        <v>200503</v>
      </c>
      <c r="B285" s="114" t="s">
        <v>1425</v>
      </c>
      <c r="C285" s="114" t="s">
        <v>1426</v>
      </c>
      <c r="D285" s="79" t="s">
        <v>1408</v>
      </c>
      <c r="E285" s="79">
        <v>0</v>
      </c>
      <c r="F285" s="79">
        <v>0</v>
      </c>
      <c r="G285" s="79"/>
      <c r="H285" s="119" t="s">
        <v>51</v>
      </c>
      <c r="I285" s="79">
        <v>1</v>
      </c>
      <c r="J285" s="118">
        <v>3</v>
      </c>
      <c r="K285" s="119">
        <v>0</v>
      </c>
      <c r="L285" s="79">
        <v>4</v>
      </c>
      <c r="M285" s="119" t="s">
        <v>52</v>
      </c>
      <c r="N285" s="118" t="s">
        <v>1421</v>
      </c>
      <c r="O285" s="79">
        <v>50</v>
      </c>
      <c r="P285" s="79">
        <v>0.5</v>
      </c>
      <c r="Q285" s="79">
        <v>0</v>
      </c>
      <c r="R285" s="79">
        <v>1</v>
      </c>
      <c r="S285" s="80" t="b">
        <v>1</v>
      </c>
      <c r="T285" s="79">
        <v>19</v>
      </c>
      <c r="U285" s="118">
        <v>285</v>
      </c>
      <c r="V285" s="118">
        <v>380</v>
      </c>
      <c r="W285" s="79">
        <v>0</v>
      </c>
      <c r="X285" s="79">
        <v>3</v>
      </c>
      <c r="Y285" s="79" t="s">
        <v>38</v>
      </c>
      <c r="Z285" s="493" t="s">
        <v>1422</v>
      </c>
      <c r="AA285" s="206" t="s">
        <v>1427</v>
      </c>
      <c r="AB285" s="80" t="s">
        <v>1424</v>
      </c>
      <c r="AC285" s="79">
        <v>100000</v>
      </c>
      <c r="AD285" s="92">
        <v>1</v>
      </c>
      <c r="AE285" s="92">
        <v>1</v>
      </c>
      <c r="AF285">
        <v>0</v>
      </c>
      <c r="AG285" s="434">
        <v>3</v>
      </c>
    </row>
    <row r="286" spans="1:33" ht="14.45" customHeight="1" x14ac:dyDescent="0.3">
      <c r="A286" s="15">
        <v>200004</v>
      </c>
      <c r="B286" s="71" t="s">
        <v>1428</v>
      </c>
      <c r="C286" s="71" t="s">
        <v>1429</v>
      </c>
      <c r="D286" s="15" t="s">
        <v>1408</v>
      </c>
      <c r="E286" s="15">
        <v>0</v>
      </c>
      <c r="F286" s="15">
        <v>0</v>
      </c>
      <c r="G286" s="15"/>
      <c r="H286" s="118" t="s">
        <v>35</v>
      </c>
      <c r="I286" s="15">
        <v>1</v>
      </c>
      <c r="J286" s="118">
        <v>1</v>
      </c>
      <c r="K286" s="15">
        <v>1</v>
      </c>
      <c r="L286" s="15">
        <v>4</v>
      </c>
      <c r="M286" s="15" t="s">
        <v>63</v>
      </c>
      <c r="N286" s="118" t="s">
        <v>1430</v>
      </c>
      <c r="O286" s="15">
        <v>50</v>
      </c>
      <c r="P286" s="15">
        <v>0.5</v>
      </c>
      <c r="Q286" s="15">
        <v>0</v>
      </c>
      <c r="R286" s="15">
        <v>1</v>
      </c>
      <c r="S286" s="25" t="b">
        <v>1</v>
      </c>
      <c r="T286" s="15">
        <v>26</v>
      </c>
      <c r="U286" s="118">
        <v>390</v>
      </c>
      <c r="V286" s="118">
        <v>520</v>
      </c>
      <c r="W286" s="15">
        <v>0</v>
      </c>
      <c r="X286" s="15">
        <v>4</v>
      </c>
      <c r="Y286" s="15" t="s">
        <v>38</v>
      </c>
      <c r="Z286" s="492" t="s">
        <v>1431</v>
      </c>
      <c r="AA286" s="206" t="s">
        <v>1432</v>
      </c>
      <c r="AB286" s="25" t="s">
        <v>1433</v>
      </c>
      <c r="AC286" s="15">
        <v>100000</v>
      </c>
      <c r="AD286" s="197">
        <v>1</v>
      </c>
      <c r="AE286" s="197">
        <v>1</v>
      </c>
      <c r="AF286">
        <v>0</v>
      </c>
      <c r="AG286" s="433">
        <v>4</v>
      </c>
    </row>
    <row r="287" spans="1:33" ht="14.45" customHeight="1" x14ac:dyDescent="0.3">
      <c r="A287" s="17">
        <v>200005</v>
      </c>
      <c r="B287" s="17" t="s">
        <v>1434</v>
      </c>
      <c r="C287" s="17" t="s">
        <v>1435</v>
      </c>
      <c r="D287" s="118" t="s">
        <v>1408</v>
      </c>
      <c r="E287" s="118">
        <v>0</v>
      </c>
      <c r="F287" s="118">
        <v>0</v>
      </c>
      <c r="G287" s="118"/>
      <c r="H287" s="118" t="s">
        <v>35</v>
      </c>
      <c r="I287" s="118">
        <v>1</v>
      </c>
      <c r="J287" s="118">
        <v>1</v>
      </c>
      <c r="K287" s="118">
        <v>1</v>
      </c>
      <c r="L287" s="118">
        <v>4</v>
      </c>
      <c r="M287" s="118" t="s">
        <v>70</v>
      </c>
      <c r="N287" s="118" t="s">
        <v>1436</v>
      </c>
      <c r="O287" s="118">
        <v>50</v>
      </c>
      <c r="P287" s="118">
        <v>0.5</v>
      </c>
      <c r="Q287" s="118">
        <v>0</v>
      </c>
      <c r="R287" s="118">
        <v>1</v>
      </c>
      <c r="S287" s="25" t="b">
        <v>1</v>
      </c>
      <c r="T287" s="118">
        <v>32</v>
      </c>
      <c r="U287" s="118">
        <v>480</v>
      </c>
      <c r="V287" s="118">
        <v>640</v>
      </c>
      <c r="W287" s="118">
        <v>0</v>
      </c>
      <c r="X287" s="118">
        <v>5</v>
      </c>
      <c r="Y287" s="118" t="s">
        <v>38</v>
      </c>
      <c r="Z287" s="118" t="s">
        <v>1437</v>
      </c>
      <c r="AA287" s="206" t="s">
        <v>1438</v>
      </c>
      <c r="AB287" s="25" t="s">
        <v>1439</v>
      </c>
      <c r="AC287" s="118">
        <v>200000</v>
      </c>
      <c r="AD287" s="197">
        <v>1</v>
      </c>
      <c r="AE287" s="197">
        <v>1</v>
      </c>
      <c r="AF287">
        <v>0</v>
      </c>
      <c r="AG287" s="402">
        <v>5</v>
      </c>
    </row>
    <row r="288" spans="1:33" ht="14.45" customHeight="1" x14ac:dyDescent="0.3">
      <c r="A288" s="17">
        <v>200006</v>
      </c>
      <c r="B288" s="17" t="s">
        <v>1440</v>
      </c>
      <c r="C288" s="17" t="s">
        <v>1441</v>
      </c>
      <c r="D288" s="118" t="s">
        <v>1408</v>
      </c>
      <c r="E288" s="118">
        <v>0</v>
      </c>
      <c r="F288" s="118">
        <v>0</v>
      </c>
      <c r="G288" s="118"/>
      <c r="H288" s="118" t="s">
        <v>35</v>
      </c>
      <c r="I288" s="118">
        <v>1</v>
      </c>
      <c r="J288" s="118">
        <v>1</v>
      </c>
      <c r="K288" s="118">
        <v>1</v>
      </c>
      <c r="L288" s="118">
        <v>4</v>
      </c>
      <c r="M288" s="118" t="s">
        <v>70</v>
      </c>
      <c r="N288" s="118" t="s">
        <v>1442</v>
      </c>
      <c r="O288" s="118">
        <v>50</v>
      </c>
      <c r="P288" s="118">
        <v>0.5</v>
      </c>
      <c r="Q288" s="118">
        <v>0</v>
      </c>
      <c r="R288" s="118">
        <v>1</v>
      </c>
      <c r="S288" s="25" t="b">
        <v>1</v>
      </c>
      <c r="T288" s="118">
        <v>39</v>
      </c>
      <c r="U288" s="118">
        <v>585</v>
      </c>
      <c r="V288" s="118">
        <v>780</v>
      </c>
      <c r="W288" s="118">
        <v>0</v>
      </c>
      <c r="X288" s="118">
        <v>6</v>
      </c>
      <c r="Y288" s="118" t="s">
        <v>38</v>
      </c>
      <c r="Z288" s="118" t="s">
        <v>1443</v>
      </c>
      <c r="AA288" s="206" t="s">
        <v>1444</v>
      </c>
      <c r="AB288" s="25" t="s">
        <v>1445</v>
      </c>
      <c r="AC288" s="118">
        <v>200000</v>
      </c>
      <c r="AD288" s="197">
        <v>1</v>
      </c>
      <c r="AE288" s="197">
        <v>1</v>
      </c>
      <c r="AF288">
        <v>0</v>
      </c>
      <c r="AG288" s="402">
        <v>6</v>
      </c>
    </row>
    <row r="289" spans="1:33" ht="14.45" customHeight="1" x14ac:dyDescent="0.3">
      <c r="A289" s="17">
        <v>200007</v>
      </c>
      <c r="B289" s="17" t="s">
        <v>1446</v>
      </c>
      <c r="C289" s="17" t="s">
        <v>1447</v>
      </c>
      <c r="D289" s="118" t="s">
        <v>1408</v>
      </c>
      <c r="E289" s="118">
        <v>0</v>
      </c>
      <c r="F289" s="118">
        <v>0</v>
      </c>
      <c r="G289" s="118"/>
      <c r="H289" s="118" t="s">
        <v>35</v>
      </c>
      <c r="I289" s="118">
        <v>1</v>
      </c>
      <c r="J289" s="118">
        <v>1</v>
      </c>
      <c r="K289" s="118">
        <v>1</v>
      </c>
      <c r="L289" s="118">
        <v>4</v>
      </c>
      <c r="M289" s="118" t="s">
        <v>70</v>
      </c>
      <c r="N289" s="118" t="s">
        <v>1448</v>
      </c>
      <c r="O289" s="118">
        <v>50</v>
      </c>
      <c r="P289" s="118">
        <v>0.5</v>
      </c>
      <c r="Q289" s="118">
        <v>0</v>
      </c>
      <c r="R289" s="118">
        <v>1</v>
      </c>
      <c r="S289" s="25" t="b">
        <v>1</v>
      </c>
      <c r="T289" s="118">
        <v>45</v>
      </c>
      <c r="U289" s="118">
        <v>675</v>
      </c>
      <c r="V289" s="118">
        <v>900</v>
      </c>
      <c r="W289" s="118">
        <v>0</v>
      </c>
      <c r="X289" s="118">
        <v>7</v>
      </c>
      <c r="Y289" s="118" t="s">
        <v>38</v>
      </c>
      <c r="Z289" s="118" t="s">
        <v>1449</v>
      </c>
      <c r="AA289" s="206" t="s">
        <v>1450</v>
      </c>
      <c r="AB289" s="25" t="s">
        <v>1451</v>
      </c>
      <c r="AC289" s="118">
        <v>200000</v>
      </c>
      <c r="AD289" s="197">
        <v>1</v>
      </c>
      <c r="AE289" s="197">
        <v>1</v>
      </c>
      <c r="AF289">
        <v>0</v>
      </c>
      <c r="AG289" s="402">
        <v>7</v>
      </c>
    </row>
    <row r="290" spans="1:33" ht="14.45" customHeight="1" x14ac:dyDescent="0.3">
      <c r="A290" s="114">
        <v>200407</v>
      </c>
      <c r="B290" s="114" t="s">
        <v>1452</v>
      </c>
      <c r="C290" s="114" t="s">
        <v>1453</v>
      </c>
      <c r="D290" s="119" t="s">
        <v>1408</v>
      </c>
      <c r="E290" s="119">
        <v>0</v>
      </c>
      <c r="F290" s="119">
        <v>0</v>
      </c>
      <c r="G290" s="119"/>
      <c r="H290" s="119" t="s">
        <v>51</v>
      </c>
      <c r="I290" s="119">
        <v>1</v>
      </c>
      <c r="J290" s="118">
        <v>4</v>
      </c>
      <c r="K290" s="119">
        <v>0</v>
      </c>
      <c r="L290" s="119">
        <v>4</v>
      </c>
      <c r="M290" s="119" t="s">
        <v>52</v>
      </c>
      <c r="N290" s="118" t="s">
        <v>1448</v>
      </c>
      <c r="O290" s="119">
        <v>50</v>
      </c>
      <c r="P290" s="119">
        <v>0.5</v>
      </c>
      <c r="Q290" s="119">
        <v>0</v>
      </c>
      <c r="R290" s="119">
        <v>1</v>
      </c>
      <c r="S290" s="80" t="b">
        <v>1</v>
      </c>
      <c r="T290" s="119">
        <v>45</v>
      </c>
      <c r="U290" s="118">
        <v>675</v>
      </c>
      <c r="V290" s="118">
        <v>900</v>
      </c>
      <c r="W290" s="119">
        <v>0</v>
      </c>
      <c r="X290" s="119">
        <v>7</v>
      </c>
      <c r="Y290" s="119" t="s">
        <v>38</v>
      </c>
      <c r="Z290" s="119" t="s">
        <v>1449</v>
      </c>
      <c r="AA290" s="206" t="s">
        <v>1454</v>
      </c>
      <c r="AB290" s="80" t="s">
        <v>1451</v>
      </c>
      <c r="AC290" s="119">
        <v>200000</v>
      </c>
      <c r="AD290" s="197">
        <v>1</v>
      </c>
      <c r="AE290" s="197">
        <v>1</v>
      </c>
      <c r="AF290">
        <v>0</v>
      </c>
      <c r="AG290" s="403">
        <v>7</v>
      </c>
    </row>
    <row r="291" spans="1:33" ht="14.45" customHeight="1" x14ac:dyDescent="0.3">
      <c r="A291" s="17">
        <v>200008</v>
      </c>
      <c r="B291" s="17" t="s">
        <v>1455</v>
      </c>
      <c r="C291" s="17" t="s">
        <v>1456</v>
      </c>
      <c r="D291" s="118" t="s">
        <v>1408</v>
      </c>
      <c r="E291" s="118">
        <v>0</v>
      </c>
      <c r="F291" s="118">
        <v>0</v>
      </c>
      <c r="G291" s="118"/>
      <c r="H291" s="17" t="s">
        <v>35</v>
      </c>
      <c r="I291" s="118">
        <v>1</v>
      </c>
      <c r="J291" s="118">
        <v>1</v>
      </c>
      <c r="K291" s="118">
        <v>1</v>
      </c>
      <c r="L291" s="118">
        <v>4</v>
      </c>
      <c r="M291" s="118" t="s">
        <v>70</v>
      </c>
      <c r="N291" s="118" t="s">
        <v>1457</v>
      </c>
      <c r="O291" s="118">
        <v>50</v>
      </c>
      <c r="P291" s="118">
        <v>0.5</v>
      </c>
      <c r="Q291" s="118">
        <v>0</v>
      </c>
      <c r="R291" s="118">
        <v>1</v>
      </c>
      <c r="S291" s="25" t="b">
        <v>1</v>
      </c>
      <c r="T291" s="118">
        <v>52</v>
      </c>
      <c r="U291" s="118">
        <v>780</v>
      </c>
      <c r="V291" s="118">
        <v>1040</v>
      </c>
      <c r="W291" s="118">
        <v>0</v>
      </c>
      <c r="X291" s="118">
        <v>8</v>
      </c>
      <c r="Y291" s="118" t="s">
        <v>38</v>
      </c>
      <c r="Z291" s="429" t="s">
        <v>1458</v>
      </c>
      <c r="AA291" s="206" t="s">
        <v>1459</v>
      </c>
      <c r="AB291" s="25" t="s">
        <v>1460</v>
      </c>
      <c r="AC291" s="118">
        <v>200000</v>
      </c>
      <c r="AD291" s="191">
        <v>1</v>
      </c>
      <c r="AE291" s="191">
        <v>1</v>
      </c>
      <c r="AF291">
        <v>0</v>
      </c>
      <c r="AG291" s="402">
        <v>8</v>
      </c>
    </row>
    <row r="292" spans="1:33" ht="14.45" customHeight="1" x14ac:dyDescent="0.3">
      <c r="A292" s="17">
        <v>200009</v>
      </c>
      <c r="B292" s="17" t="s">
        <v>1461</v>
      </c>
      <c r="C292" s="17" t="s">
        <v>1462</v>
      </c>
      <c r="D292" s="118" t="s">
        <v>1408</v>
      </c>
      <c r="E292" s="118">
        <v>0</v>
      </c>
      <c r="F292" s="118">
        <v>0</v>
      </c>
      <c r="G292" s="118"/>
      <c r="H292" s="17" t="s">
        <v>35</v>
      </c>
      <c r="I292" s="118">
        <v>1</v>
      </c>
      <c r="J292" s="118">
        <v>1</v>
      </c>
      <c r="K292" s="118">
        <v>1</v>
      </c>
      <c r="L292" s="118">
        <v>4</v>
      </c>
      <c r="M292" s="118" t="s">
        <v>70</v>
      </c>
      <c r="N292" s="118" t="s">
        <v>1463</v>
      </c>
      <c r="O292" s="118">
        <v>50</v>
      </c>
      <c r="P292" s="118">
        <v>0.5</v>
      </c>
      <c r="Q292" s="118">
        <v>0</v>
      </c>
      <c r="R292" s="118">
        <v>1</v>
      </c>
      <c r="S292" s="25" t="b">
        <v>1</v>
      </c>
      <c r="T292" s="118">
        <v>58</v>
      </c>
      <c r="U292" s="118">
        <v>870</v>
      </c>
      <c r="V292" s="118">
        <v>1160</v>
      </c>
      <c r="W292" s="118">
        <v>0</v>
      </c>
      <c r="X292" s="118">
        <v>9</v>
      </c>
      <c r="Y292" s="118" t="s">
        <v>38</v>
      </c>
      <c r="Z292" s="494" t="s">
        <v>1464</v>
      </c>
      <c r="AA292" s="206" t="s">
        <v>1465</v>
      </c>
      <c r="AB292" s="25" t="s">
        <v>1466</v>
      </c>
      <c r="AC292" s="118">
        <v>200000</v>
      </c>
      <c r="AD292" s="191">
        <v>1</v>
      </c>
      <c r="AE292" s="191">
        <v>1</v>
      </c>
      <c r="AF292">
        <v>0</v>
      </c>
      <c r="AG292" s="402">
        <v>9</v>
      </c>
    </row>
    <row r="293" spans="1:33" ht="14.45" customHeight="1" x14ac:dyDescent="0.3">
      <c r="A293" s="17">
        <v>200010</v>
      </c>
      <c r="B293" s="120" t="s">
        <v>1467</v>
      </c>
      <c r="C293" s="120" t="s">
        <v>1468</v>
      </c>
      <c r="D293" s="118" t="s">
        <v>1408</v>
      </c>
      <c r="E293" s="118">
        <v>0</v>
      </c>
      <c r="F293" s="118">
        <v>0</v>
      </c>
      <c r="G293" s="118"/>
      <c r="H293" s="17" t="s">
        <v>35</v>
      </c>
      <c r="I293" s="118">
        <v>1</v>
      </c>
      <c r="J293" s="118">
        <v>1</v>
      </c>
      <c r="K293" s="118">
        <v>1</v>
      </c>
      <c r="L293" s="118">
        <v>4</v>
      </c>
      <c r="M293" s="118" t="s">
        <v>70</v>
      </c>
      <c r="N293" s="118" t="s">
        <v>1469</v>
      </c>
      <c r="O293" s="118">
        <v>50</v>
      </c>
      <c r="P293" s="118">
        <v>0.5</v>
      </c>
      <c r="Q293" s="118">
        <v>0</v>
      </c>
      <c r="R293" s="118">
        <v>1</v>
      </c>
      <c r="S293" s="25" t="b">
        <v>1</v>
      </c>
      <c r="T293" s="118">
        <v>65</v>
      </c>
      <c r="U293" s="118">
        <v>975</v>
      </c>
      <c r="V293" s="118">
        <v>1300</v>
      </c>
      <c r="W293" s="118">
        <v>0</v>
      </c>
      <c r="X293" s="118">
        <v>10</v>
      </c>
      <c r="Y293" s="118" t="s">
        <v>38</v>
      </c>
      <c r="Z293" s="494" t="s">
        <v>1470</v>
      </c>
      <c r="AA293" s="206" t="s">
        <v>1471</v>
      </c>
      <c r="AB293" s="25" t="s">
        <v>1472</v>
      </c>
      <c r="AC293" s="118">
        <v>200000</v>
      </c>
      <c r="AD293" s="191">
        <v>1</v>
      </c>
      <c r="AE293" s="191">
        <v>1</v>
      </c>
      <c r="AF293">
        <v>0</v>
      </c>
      <c r="AG293" s="402">
        <v>10</v>
      </c>
    </row>
    <row r="294" spans="1:33" ht="14.45" customHeight="1" x14ac:dyDescent="0.3">
      <c r="A294" s="79">
        <v>200108</v>
      </c>
      <c r="B294" s="359" t="s">
        <v>1473</v>
      </c>
      <c r="C294" s="359" t="s">
        <v>1474</v>
      </c>
      <c r="D294" s="79" t="s">
        <v>1408</v>
      </c>
      <c r="E294" s="79">
        <v>0</v>
      </c>
      <c r="F294" s="79">
        <v>0</v>
      </c>
      <c r="G294" s="79"/>
      <c r="H294" s="119" t="s">
        <v>51</v>
      </c>
      <c r="I294" s="79">
        <v>1</v>
      </c>
      <c r="J294" s="118">
        <v>4</v>
      </c>
      <c r="K294" s="119">
        <v>0</v>
      </c>
      <c r="L294" s="79">
        <v>4</v>
      </c>
      <c r="M294" s="114" t="s">
        <v>52</v>
      </c>
      <c r="N294" s="118" t="s">
        <v>1457</v>
      </c>
      <c r="O294" s="79">
        <v>50</v>
      </c>
      <c r="P294" s="79">
        <v>0.5</v>
      </c>
      <c r="Q294" s="79">
        <v>0</v>
      </c>
      <c r="R294" s="79">
        <v>1</v>
      </c>
      <c r="S294" s="80" t="b">
        <v>1</v>
      </c>
      <c r="T294" s="79">
        <v>52</v>
      </c>
      <c r="U294" s="118">
        <v>780</v>
      </c>
      <c r="V294" s="118">
        <v>1040</v>
      </c>
      <c r="W294" s="79">
        <v>0</v>
      </c>
      <c r="X294" s="79">
        <v>8</v>
      </c>
      <c r="Y294" s="79" t="s">
        <v>38</v>
      </c>
      <c r="Z294" s="473" t="s">
        <v>1458</v>
      </c>
      <c r="AA294" s="206" t="s">
        <v>1475</v>
      </c>
      <c r="AB294" s="80" t="s">
        <v>1460</v>
      </c>
      <c r="AC294" s="79">
        <v>200000</v>
      </c>
      <c r="AD294" s="92">
        <v>1</v>
      </c>
      <c r="AE294" s="92">
        <v>1</v>
      </c>
      <c r="AF294">
        <v>0</v>
      </c>
      <c r="AG294" s="434">
        <v>8</v>
      </c>
    </row>
    <row r="295" spans="1:33" ht="14.45" customHeight="1" x14ac:dyDescent="0.3">
      <c r="A295" s="79">
        <v>200109</v>
      </c>
      <c r="B295" s="359" t="s">
        <v>1476</v>
      </c>
      <c r="C295" s="359" t="s">
        <v>1477</v>
      </c>
      <c r="D295" s="79" t="s">
        <v>1408</v>
      </c>
      <c r="E295" s="79">
        <v>0</v>
      </c>
      <c r="F295" s="79">
        <v>0</v>
      </c>
      <c r="G295" s="79"/>
      <c r="H295" s="119" t="s">
        <v>51</v>
      </c>
      <c r="I295" s="79">
        <v>1</v>
      </c>
      <c r="J295" s="118">
        <v>4</v>
      </c>
      <c r="K295" s="119">
        <v>0</v>
      </c>
      <c r="L295" s="79">
        <v>4</v>
      </c>
      <c r="M295" s="114" t="s">
        <v>52</v>
      </c>
      <c r="N295" s="118" t="s">
        <v>1463</v>
      </c>
      <c r="O295" s="79">
        <v>50</v>
      </c>
      <c r="P295" s="79">
        <v>0.5</v>
      </c>
      <c r="Q295" s="79">
        <v>0</v>
      </c>
      <c r="R295" s="79">
        <v>1</v>
      </c>
      <c r="S295" s="80" t="b">
        <v>1</v>
      </c>
      <c r="T295" s="79">
        <v>58</v>
      </c>
      <c r="U295" s="118">
        <v>870</v>
      </c>
      <c r="V295" s="118">
        <v>1160</v>
      </c>
      <c r="W295" s="79">
        <v>0</v>
      </c>
      <c r="X295" s="79">
        <v>9</v>
      </c>
      <c r="Y295" s="79" t="s">
        <v>38</v>
      </c>
      <c r="Z295" s="473" t="s">
        <v>1464</v>
      </c>
      <c r="AA295" s="206" t="s">
        <v>1478</v>
      </c>
      <c r="AB295" s="80" t="s">
        <v>1466</v>
      </c>
      <c r="AC295" s="79">
        <v>200000</v>
      </c>
      <c r="AD295" s="92">
        <v>1</v>
      </c>
      <c r="AE295" s="92">
        <v>1</v>
      </c>
      <c r="AF295">
        <v>0</v>
      </c>
      <c r="AG295" s="434">
        <v>9</v>
      </c>
    </row>
    <row r="296" spans="1:33" ht="14.45" customHeight="1" x14ac:dyDescent="0.3">
      <c r="A296" s="79">
        <v>200110</v>
      </c>
      <c r="B296" s="359" t="s">
        <v>1479</v>
      </c>
      <c r="C296" s="359" t="s">
        <v>1480</v>
      </c>
      <c r="D296" s="79" t="s">
        <v>1408</v>
      </c>
      <c r="E296" s="79">
        <v>0</v>
      </c>
      <c r="F296" s="79">
        <v>0</v>
      </c>
      <c r="G296" s="79"/>
      <c r="H296" s="119" t="s">
        <v>51</v>
      </c>
      <c r="I296" s="79">
        <v>1</v>
      </c>
      <c r="J296" s="118">
        <v>4</v>
      </c>
      <c r="K296" s="119">
        <v>0</v>
      </c>
      <c r="L296" s="79">
        <v>4</v>
      </c>
      <c r="M296" s="114" t="s">
        <v>52</v>
      </c>
      <c r="N296" s="118" t="s">
        <v>1469</v>
      </c>
      <c r="O296" s="79">
        <v>50</v>
      </c>
      <c r="P296" s="79">
        <v>0.5</v>
      </c>
      <c r="Q296" s="79">
        <v>0</v>
      </c>
      <c r="R296" s="79">
        <v>1</v>
      </c>
      <c r="S296" s="80" t="b">
        <v>1</v>
      </c>
      <c r="T296" s="79">
        <v>65</v>
      </c>
      <c r="U296" s="118">
        <v>975</v>
      </c>
      <c r="V296" s="118">
        <v>1300</v>
      </c>
      <c r="W296" s="79">
        <v>0</v>
      </c>
      <c r="X296" s="79">
        <v>10</v>
      </c>
      <c r="Y296" s="79" t="s">
        <v>38</v>
      </c>
      <c r="Z296" s="473" t="s">
        <v>1470</v>
      </c>
      <c r="AA296" s="206" t="s">
        <v>1481</v>
      </c>
      <c r="AB296" s="80" t="s">
        <v>1472</v>
      </c>
      <c r="AC296" s="79">
        <v>200000</v>
      </c>
      <c r="AD296" s="92">
        <v>1</v>
      </c>
      <c r="AE296" s="92">
        <v>1</v>
      </c>
      <c r="AF296">
        <v>0</v>
      </c>
      <c r="AG296" s="434">
        <v>10</v>
      </c>
    </row>
    <row r="297" spans="1:33" ht="14.45" customHeight="1" x14ac:dyDescent="0.3">
      <c r="A297" s="41">
        <v>200101</v>
      </c>
      <c r="B297" s="42" t="s">
        <v>1482</v>
      </c>
      <c r="C297" s="42" t="s">
        <v>1483</v>
      </c>
      <c r="D297" s="41" t="s">
        <v>1408</v>
      </c>
      <c r="E297" s="41">
        <v>0</v>
      </c>
      <c r="F297" s="41">
        <v>0</v>
      </c>
      <c r="G297" s="41"/>
      <c r="H297" s="84" t="s">
        <v>107</v>
      </c>
      <c r="I297" s="41">
        <v>2</v>
      </c>
      <c r="J297" s="118">
        <v>2</v>
      </c>
      <c r="K297" s="41">
        <v>0</v>
      </c>
      <c r="L297" s="41">
        <v>4</v>
      </c>
      <c r="M297" s="41">
        <v>3</v>
      </c>
      <c r="N297" s="118" t="s">
        <v>1409</v>
      </c>
      <c r="O297" s="41">
        <v>50</v>
      </c>
      <c r="P297" s="41">
        <v>0.5</v>
      </c>
      <c r="Q297" s="41">
        <v>0</v>
      </c>
      <c r="R297" s="41">
        <v>1</v>
      </c>
      <c r="S297" s="43" t="b">
        <v>1</v>
      </c>
      <c r="T297" s="41">
        <v>6</v>
      </c>
      <c r="U297" s="118">
        <v>90</v>
      </c>
      <c r="V297" s="118">
        <v>120</v>
      </c>
      <c r="W297" s="41">
        <v>0</v>
      </c>
      <c r="X297" s="41">
        <v>1</v>
      </c>
      <c r="Y297" s="41" t="s">
        <v>38</v>
      </c>
      <c r="Z297" s="362" t="s">
        <v>1484</v>
      </c>
      <c r="AA297" s="206" t="s">
        <v>1485</v>
      </c>
      <c r="AB297" s="43" t="s">
        <v>1445</v>
      </c>
      <c r="AC297" s="13">
        <v>200000</v>
      </c>
      <c r="AD297" s="197">
        <v>0</v>
      </c>
      <c r="AE297" s="197">
        <v>0</v>
      </c>
      <c r="AF297">
        <v>0</v>
      </c>
      <c r="AG297" s="435">
        <v>1</v>
      </c>
    </row>
    <row r="298" spans="1:33" ht="14.45" customHeight="1" x14ac:dyDescent="0.3">
      <c r="A298" s="115">
        <v>200102</v>
      </c>
      <c r="B298" s="121" t="s">
        <v>1486</v>
      </c>
      <c r="C298" s="121" t="s">
        <v>1487</v>
      </c>
      <c r="D298" s="115" t="s">
        <v>1408</v>
      </c>
      <c r="E298" s="115">
        <v>0</v>
      </c>
      <c r="F298" s="115">
        <v>0</v>
      </c>
      <c r="G298" s="115"/>
      <c r="H298" s="115" t="s">
        <v>112</v>
      </c>
      <c r="I298" s="115">
        <v>4</v>
      </c>
      <c r="J298" s="118">
        <v>4</v>
      </c>
      <c r="K298" s="115">
        <v>0</v>
      </c>
      <c r="L298" s="115">
        <v>4</v>
      </c>
      <c r="M298" s="115">
        <v>4</v>
      </c>
      <c r="N298" s="118" t="s">
        <v>1415</v>
      </c>
      <c r="O298" s="115">
        <v>50</v>
      </c>
      <c r="P298" s="115">
        <v>0.5</v>
      </c>
      <c r="Q298" s="115">
        <v>0</v>
      </c>
      <c r="R298" s="115">
        <v>1</v>
      </c>
      <c r="S298" s="397" t="b">
        <v>1</v>
      </c>
      <c r="T298" s="115">
        <v>13</v>
      </c>
      <c r="U298" s="118">
        <v>195</v>
      </c>
      <c r="V298" s="118">
        <v>260</v>
      </c>
      <c r="W298" s="115">
        <v>0</v>
      </c>
      <c r="X298" s="115">
        <v>2</v>
      </c>
      <c r="Y298" s="115" t="s">
        <v>38</v>
      </c>
      <c r="Z298" s="474" t="s">
        <v>1488</v>
      </c>
      <c r="AA298" s="206" t="s">
        <v>1489</v>
      </c>
      <c r="AB298" s="397" t="s">
        <v>1418</v>
      </c>
      <c r="AC298" s="115">
        <v>300000</v>
      </c>
      <c r="AD298" s="197">
        <v>1</v>
      </c>
      <c r="AE298" s="197">
        <v>1</v>
      </c>
      <c r="AF298">
        <v>0</v>
      </c>
      <c r="AG298" s="436">
        <v>2</v>
      </c>
    </row>
    <row r="299" spans="1:33" ht="14.45" customHeight="1" x14ac:dyDescent="0.3">
      <c r="A299" s="115">
        <v>200103</v>
      </c>
      <c r="B299" s="121" t="s">
        <v>1490</v>
      </c>
      <c r="C299" s="121" t="s">
        <v>1491</v>
      </c>
      <c r="D299" s="115" t="s">
        <v>1408</v>
      </c>
      <c r="E299" s="115">
        <v>0</v>
      </c>
      <c r="F299" s="115">
        <v>0</v>
      </c>
      <c r="G299" s="115"/>
      <c r="H299" s="115" t="s">
        <v>112</v>
      </c>
      <c r="I299" s="115">
        <v>4</v>
      </c>
      <c r="J299" s="118">
        <v>4</v>
      </c>
      <c r="K299" s="115">
        <v>0</v>
      </c>
      <c r="L299" s="115">
        <v>4</v>
      </c>
      <c r="M299" s="115">
        <v>4</v>
      </c>
      <c r="N299" s="118" t="s">
        <v>1421</v>
      </c>
      <c r="O299" s="115">
        <v>50</v>
      </c>
      <c r="P299" s="115">
        <v>0.5</v>
      </c>
      <c r="Q299" s="115">
        <v>0</v>
      </c>
      <c r="R299" s="115">
        <v>1</v>
      </c>
      <c r="S299" s="397" t="b">
        <v>1</v>
      </c>
      <c r="T299" s="115">
        <v>19</v>
      </c>
      <c r="U299" s="118">
        <v>285</v>
      </c>
      <c r="V299" s="118">
        <v>380</v>
      </c>
      <c r="W299" s="115">
        <v>0</v>
      </c>
      <c r="X299" s="115">
        <v>3</v>
      </c>
      <c r="Y299" s="115" t="s">
        <v>38</v>
      </c>
      <c r="Z299" s="495" t="s">
        <v>1492</v>
      </c>
      <c r="AA299" s="206" t="s">
        <v>1493</v>
      </c>
      <c r="AB299" s="397" t="s">
        <v>1424</v>
      </c>
      <c r="AC299" s="115">
        <v>200000</v>
      </c>
      <c r="AD299" s="197">
        <v>1</v>
      </c>
      <c r="AE299" s="197">
        <v>1</v>
      </c>
      <c r="AF299">
        <v>0</v>
      </c>
      <c r="AG299" s="436">
        <v>3</v>
      </c>
    </row>
    <row r="300" spans="1:33" ht="14.45" customHeight="1" x14ac:dyDescent="0.3">
      <c r="A300" s="116">
        <v>200104</v>
      </c>
      <c r="B300" s="122" t="s">
        <v>1494</v>
      </c>
      <c r="C300" s="122" t="s">
        <v>1495</v>
      </c>
      <c r="D300" s="116" t="s">
        <v>1408</v>
      </c>
      <c r="E300" s="116">
        <v>0</v>
      </c>
      <c r="F300" s="116">
        <v>0</v>
      </c>
      <c r="G300" s="116"/>
      <c r="H300" s="116"/>
      <c r="I300" s="116">
        <v>5</v>
      </c>
      <c r="J300" s="118">
        <v>5</v>
      </c>
      <c r="K300" s="116">
        <v>0</v>
      </c>
      <c r="L300" s="116">
        <v>4</v>
      </c>
      <c r="M300" s="116">
        <v>5</v>
      </c>
      <c r="N300" s="118" t="s">
        <v>1430</v>
      </c>
      <c r="O300" s="116">
        <v>50</v>
      </c>
      <c r="P300" s="116">
        <v>0.5</v>
      </c>
      <c r="Q300" s="116">
        <v>0</v>
      </c>
      <c r="R300" s="116">
        <v>1</v>
      </c>
      <c r="S300" s="398" t="b">
        <v>1</v>
      </c>
      <c r="T300" s="116">
        <v>26</v>
      </c>
      <c r="U300" s="118">
        <v>390</v>
      </c>
      <c r="V300" s="118">
        <v>520</v>
      </c>
      <c r="W300" s="116">
        <v>0</v>
      </c>
      <c r="X300" s="116">
        <v>4</v>
      </c>
      <c r="Y300" s="116" t="s">
        <v>38</v>
      </c>
      <c r="Z300" s="496" t="s">
        <v>1496</v>
      </c>
      <c r="AA300" s="206" t="s">
        <v>1497</v>
      </c>
      <c r="AB300" s="398" t="s">
        <v>1451</v>
      </c>
      <c r="AC300" s="116">
        <v>200000</v>
      </c>
      <c r="AD300" s="197">
        <v>1</v>
      </c>
      <c r="AE300" s="197">
        <v>1</v>
      </c>
      <c r="AF300">
        <v>0</v>
      </c>
      <c r="AG300" s="406">
        <v>4</v>
      </c>
    </row>
    <row r="301" spans="1:33" ht="14.45" customHeight="1" x14ac:dyDescent="0.3">
      <c r="A301" s="105">
        <v>200106</v>
      </c>
      <c r="B301" s="105" t="s">
        <v>1498</v>
      </c>
      <c r="C301" s="105" t="s">
        <v>1499</v>
      </c>
      <c r="D301" s="43" t="s">
        <v>1408</v>
      </c>
      <c r="E301" s="43">
        <v>0</v>
      </c>
      <c r="F301" s="43">
        <v>0</v>
      </c>
      <c r="G301" s="43"/>
      <c r="H301" s="84" t="s">
        <v>107</v>
      </c>
      <c r="I301" s="43">
        <v>1</v>
      </c>
      <c r="J301" s="118">
        <v>1</v>
      </c>
      <c r="K301" s="43">
        <v>0</v>
      </c>
      <c r="L301" s="43">
        <v>4</v>
      </c>
      <c r="M301" s="43">
        <v>6</v>
      </c>
      <c r="N301" s="118" t="s">
        <v>1442</v>
      </c>
      <c r="O301" s="84">
        <v>-1</v>
      </c>
      <c r="P301" s="43">
        <v>0.5</v>
      </c>
      <c r="Q301" s="84">
        <v>0</v>
      </c>
      <c r="R301" s="43">
        <v>1</v>
      </c>
      <c r="S301" s="43" t="b">
        <v>1</v>
      </c>
      <c r="T301" s="84">
        <v>39</v>
      </c>
      <c r="U301" s="118">
        <v>585</v>
      </c>
      <c r="V301" s="118">
        <v>780</v>
      </c>
      <c r="W301" s="84">
        <v>0</v>
      </c>
      <c r="X301" s="43">
        <v>6</v>
      </c>
      <c r="Y301" s="43" t="s">
        <v>38</v>
      </c>
      <c r="Z301" s="157" t="s">
        <v>1500</v>
      </c>
      <c r="AA301" s="206" t="s">
        <v>1501</v>
      </c>
      <c r="AB301" s="157" t="s">
        <v>1502</v>
      </c>
      <c r="AC301" s="43">
        <v>100000</v>
      </c>
      <c r="AD301" s="197">
        <v>1</v>
      </c>
      <c r="AE301" s="197">
        <v>1</v>
      </c>
      <c r="AF301">
        <v>0</v>
      </c>
      <c r="AG301" s="293">
        <v>6</v>
      </c>
    </row>
    <row r="302" spans="1:33" ht="14.45" customHeight="1" x14ac:dyDescent="0.3">
      <c r="A302" s="41">
        <v>200201</v>
      </c>
      <c r="B302" s="84" t="s">
        <v>1503</v>
      </c>
      <c r="C302" s="84" t="s">
        <v>1504</v>
      </c>
      <c r="D302" s="105" t="s">
        <v>1408</v>
      </c>
      <c r="E302" s="84">
        <v>0</v>
      </c>
      <c r="F302" s="105">
        <v>0</v>
      </c>
      <c r="G302" s="84"/>
      <c r="H302" s="84" t="s">
        <v>107</v>
      </c>
      <c r="I302" s="105">
        <v>1</v>
      </c>
      <c r="J302" s="118">
        <v>1</v>
      </c>
      <c r="K302" s="84">
        <v>0</v>
      </c>
      <c r="L302" s="105">
        <v>4</v>
      </c>
      <c r="M302" s="84">
        <v>1</v>
      </c>
      <c r="N302" s="118" t="s">
        <v>1409</v>
      </c>
      <c r="O302" s="105">
        <v>50</v>
      </c>
      <c r="P302" s="105">
        <v>0.5</v>
      </c>
      <c r="Q302" s="105">
        <v>0</v>
      </c>
      <c r="R302" s="105">
        <v>1</v>
      </c>
      <c r="S302" s="43" t="b">
        <v>1</v>
      </c>
      <c r="T302" s="41">
        <v>6</v>
      </c>
      <c r="U302" s="118">
        <v>90</v>
      </c>
      <c r="V302" s="118">
        <v>120</v>
      </c>
      <c r="W302" s="41">
        <v>0</v>
      </c>
      <c r="X302" s="41">
        <v>1</v>
      </c>
      <c r="Y302" s="41" t="s">
        <v>38</v>
      </c>
      <c r="Z302" s="91" t="s">
        <v>1410</v>
      </c>
      <c r="AA302" s="206" t="s">
        <v>1505</v>
      </c>
      <c r="AB302" s="43" t="s">
        <v>1412</v>
      </c>
      <c r="AC302" s="41">
        <v>300000</v>
      </c>
      <c r="AD302" s="197">
        <v>1</v>
      </c>
      <c r="AE302" s="197">
        <v>1</v>
      </c>
      <c r="AF302">
        <v>0</v>
      </c>
      <c r="AG302" s="435">
        <v>1</v>
      </c>
    </row>
    <row r="303" spans="1:33" ht="14.45" customHeight="1" x14ac:dyDescent="0.3">
      <c r="A303" s="15">
        <v>300001</v>
      </c>
      <c r="B303" s="16" t="s">
        <v>1506</v>
      </c>
      <c r="C303" s="16" t="s">
        <v>1507</v>
      </c>
      <c r="D303" s="15" t="s">
        <v>1508</v>
      </c>
      <c r="E303" s="15">
        <v>0</v>
      </c>
      <c r="F303" s="15">
        <v>0</v>
      </c>
      <c r="G303" s="15"/>
      <c r="H303" s="118" t="s">
        <v>35</v>
      </c>
      <c r="I303" s="15">
        <v>1</v>
      </c>
      <c r="J303" s="118">
        <v>1</v>
      </c>
      <c r="K303" s="15">
        <v>1</v>
      </c>
      <c r="L303" s="15">
        <v>4</v>
      </c>
      <c r="M303" s="15" t="s">
        <v>36</v>
      </c>
      <c r="N303" s="118" t="s">
        <v>1509</v>
      </c>
      <c r="O303" s="15">
        <v>50</v>
      </c>
      <c r="P303" s="15">
        <v>0.5</v>
      </c>
      <c r="Q303" s="15">
        <v>0</v>
      </c>
      <c r="R303" s="15">
        <v>1</v>
      </c>
      <c r="S303" s="25" t="b">
        <v>1</v>
      </c>
      <c r="T303" s="15">
        <v>6</v>
      </c>
      <c r="U303" s="118">
        <v>90</v>
      </c>
      <c r="V303" s="118">
        <v>120</v>
      </c>
      <c r="W303" s="15">
        <v>0</v>
      </c>
      <c r="X303" s="15">
        <v>1</v>
      </c>
      <c r="Y303" s="15" t="s">
        <v>38</v>
      </c>
      <c r="Z303" s="194" t="s">
        <v>1510</v>
      </c>
      <c r="AA303" s="206" t="s">
        <v>1511</v>
      </c>
      <c r="AB303" s="25" t="s">
        <v>1512</v>
      </c>
      <c r="AC303" s="15">
        <v>300000</v>
      </c>
      <c r="AD303" s="197">
        <v>1</v>
      </c>
      <c r="AE303" s="197">
        <v>1</v>
      </c>
      <c r="AF303">
        <v>0</v>
      </c>
      <c r="AG303" s="433">
        <v>1</v>
      </c>
    </row>
    <row r="304" spans="1:33" ht="14.45" customHeight="1" x14ac:dyDescent="0.3">
      <c r="A304" s="15">
        <v>300002</v>
      </c>
      <c r="B304" s="16" t="s">
        <v>1513</v>
      </c>
      <c r="C304" s="16" t="s">
        <v>1514</v>
      </c>
      <c r="D304" s="15" t="s">
        <v>1508</v>
      </c>
      <c r="E304" s="15">
        <v>0</v>
      </c>
      <c r="F304" s="15">
        <v>0</v>
      </c>
      <c r="G304" s="15"/>
      <c r="H304" s="118" t="s">
        <v>35</v>
      </c>
      <c r="I304" s="15">
        <v>1</v>
      </c>
      <c r="J304" s="118">
        <v>1</v>
      </c>
      <c r="K304" s="15">
        <v>1</v>
      </c>
      <c r="L304" s="15">
        <v>4</v>
      </c>
      <c r="M304" s="15" t="s">
        <v>44</v>
      </c>
      <c r="N304" s="118" t="s">
        <v>1515</v>
      </c>
      <c r="O304" s="15">
        <v>50</v>
      </c>
      <c r="P304" s="15">
        <v>0.5</v>
      </c>
      <c r="Q304" s="15">
        <v>0</v>
      </c>
      <c r="R304" s="15">
        <v>1</v>
      </c>
      <c r="S304" s="25" t="b">
        <v>1</v>
      </c>
      <c r="T304" s="15">
        <v>13</v>
      </c>
      <c r="U304" s="118">
        <v>195</v>
      </c>
      <c r="V304" s="118">
        <v>260</v>
      </c>
      <c r="W304" s="15">
        <v>0</v>
      </c>
      <c r="X304" s="15">
        <v>2</v>
      </c>
      <c r="Y304" s="15" t="s">
        <v>38</v>
      </c>
      <c r="Z304" s="194" t="s">
        <v>1516</v>
      </c>
      <c r="AA304" s="206" t="s">
        <v>1517</v>
      </c>
      <c r="AB304" s="25" t="s">
        <v>1518</v>
      </c>
      <c r="AC304" s="15">
        <v>100000</v>
      </c>
      <c r="AD304" s="197">
        <v>1</v>
      </c>
      <c r="AE304" s="197">
        <v>1</v>
      </c>
      <c r="AF304">
        <v>0</v>
      </c>
      <c r="AG304" s="433">
        <v>2</v>
      </c>
    </row>
    <row r="305" spans="1:33" ht="14.45" customHeight="1" x14ac:dyDescent="0.3">
      <c r="A305" s="15">
        <v>300003</v>
      </c>
      <c r="B305" s="17" t="s">
        <v>1519</v>
      </c>
      <c r="C305" s="17" t="s">
        <v>1520</v>
      </c>
      <c r="D305" s="15" t="s">
        <v>1508</v>
      </c>
      <c r="E305" s="15">
        <v>0</v>
      </c>
      <c r="F305" s="15">
        <v>0</v>
      </c>
      <c r="G305" s="15"/>
      <c r="H305" s="118" t="s">
        <v>35</v>
      </c>
      <c r="I305" s="15">
        <v>1</v>
      </c>
      <c r="J305" s="118">
        <v>1</v>
      </c>
      <c r="K305" s="15">
        <v>1</v>
      </c>
      <c r="L305" s="15">
        <v>4</v>
      </c>
      <c r="M305" s="15" t="s">
        <v>56</v>
      </c>
      <c r="N305" s="118" t="s">
        <v>1521</v>
      </c>
      <c r="O305" s="15">
        <v>50</v>
      </c>
      <c r="P305" s="15">
        <v>0.5</v>
      </c>
      <c r="Q305" s="15">
        <v>0</v>
      </c>
      <c r="R305" s="15">
        <v>1</v>
      </c>
      <c r="S305" s="25" t="b">
        <v>1</v>
      </c>
      <c r="T305" s="15">
        <v>19</v>
      </c>
      <c r="U305" s="118">
        <v>285</v>
      </c>
      <c r="V305" s="118">
        <v>380</v>
      </c>
      <c r="W305" s="15">
        <v>0</v>
      </c>
      <c r="X305" s="15">
        <v>3</v>
      </c>
      <c r="Y305" s="15" t="s">
        <v>38</v>
      </c>
      <c r="Z305" s="194" t="s">
        <v>1522</v>
      </c>
      <c r="AA305" s="206" t="s">
        <v>1523</v>
      </c>
      <c r="AB305" s="25" t="s">
        <v>1524</v>
      </c>
      <c r="AC305" s="15">
        <v>100000</v>
      </c>
      <c r="AD305" s="197">
        <v>1</v>
      </c>
      <c r="AE305" s="197">
        <v>1</v>
      </c>
      <c r="AF305">
        <v>0</v>
      </c>
      <c r="AG305" s="433">
        <v>3</v>
      </c>
    </row>
    <row r="306" spans="1:33" ht="14.45" customHeight="1" x14ac:dyDescent="0.3">
      <c r="A306" s="15">
        <v>300004</v>
      </c>
      <c r="B306" s="71" t="s">
        <v>1525</v>
      </c>
      <c r="C306" s="71" t="s">
        <v>1526</v>
      </c>
      <c r="D306" s="15" t="s">
        <v>1508</v>
      </c>
      <c r="E306" s="15">
        <v>0</v>
      </c>
      <c r="F306" s="15">
        <v>0</v>
      </c>
      <c r="G306" s="15"/>
      <c r="H306" s="118" t="s">
        <v>35</v>
      </c>
      <c r="I306" s="15">
        <v>1</v>
      </c>
      <c r="J306" s="118">
        <v>1</v>
      </c>
      <c r="K306" s="15">
        <v>1</v>
      </c>
      <c r="L306" s="15">
        <v>4</v>
      </c>
      <c r="M306" s="15" t="s">
        <v>63</v>
      </c>
      <c r="N306" s="118" t="s">
        <v>1527</v>
      </c>
      <c r="O306" s="15">
        <v>50</v>
      </c>
      <c r="P306" s="15">
        <v>0.5</v>
      </c>
      <c r="Q306" s="15">
        <v>0</v>
      </c>
      <c r="R306" s="15">
        <v>1</v>
      </c>
      <c r="S306" s="25" t="b">
        <v>1</v>
      </c>
      <c r="T306" s="15">
        <v>26</v>
      </c>
      <c r="U306" s="118">
        <v>390</v>
      </c>
      <c r="V306" s="118">
        <v>520</v>
      </c>
      <c r="W306" s="15">
        <v>0</v>
      </c>
      <c r="X306" s="15">
        <v>4</v>
      </c>
      <c r="Y306" s="15" t="s">
        <v>38</v>
      </c>
      <c r="Z306" s="194" t="s">
        <v>1528</v>
      </c>
      <c r="AA306" s="206" t="s">
        <v>1529</v>
      </c>
      <c r="AB306" s="25" t="s">
        <v>1530</v>
      </c>
      <c r="AC306" s="15">
        <v>100000</v>
      </c>
      <c r="AD306" s="197">
        <v>1</v>
      </c>
      <c r="AE306" s="197">
        <v>1</v>
      </c>
      <c r="AF306">
        <v>0</v>
      </c>
      <c r="AG306" s="433">
        <v>4</v>
      </c>
    </row>
    <row r="307" spans="1:33" ht="14.45" customHeight="1" x14ac:dyDescent="0.3">
      <c r="A307" s="17">
        <v>300005</v>
      </c>
      <c r="B307" s="17" t="s">
        <v>1531</v>
      </c>
      <c r="C307" s="17" t="s">
        <v>1532</v>
      </c>
      <c r="D307" s="118" t="s">
        <v>1508</v>
      </c>
      <c r="E307" s="118">
        <v>0</v>
      </c>
      <c r="F307" s="118">
        <v>0</v>
      </c>
      <c r="G307" s="118"/>
      <c r="H307" s="118" t="s">
        <v>35</v>
      </c>
      <c r="I307" s="118">
        <v>1</v>
      </c>
      <c r="J307" s="118">
        <v>1</v>
      </c>
      <c r="K307" s="118">
        <v>1</v>
      </c>
      <c r="L307" s="118">
        <v>4</v>
      </c>
      <c r="M307" s="118" t="s">
        <v>70</v>
      </c>
      <c r="N307" s="118" t="s">
        <v>1533</v>
      </c>
      <c r="O307" s="118">
        <v>50</v>
      </c>
      <c r="P307" s="118">
        <v>0.5</v>
      </c>
      <c r="Q307" s="118">
        <v>0</v>
      </c>
      <c r="R307" s="118">
        <v>1</v>
      </c>
      <c r="S307" s="25" t="b">
        <v>1</v>
      </c>
      <c r="T307" s="118">
        <v>32</v>
      </c>
      <c r="U307" s="118">
        <v>480</v>
      </c>
      <c r="V307" s="118">
        <v>640</v>
      </c>
      <c r="W307" s="118">
        <v>0</v>
      </c>
      <c r="X307" s="118">
        <v>5</v>
      </c>
      <c r="Y307" s="118" t="s">
        <v>38</v>
      </c>
      <c r="Z307" s="118" t="s">
        <v>1534</v>
      </c>
      <c r="AA307" s="206" t="s">
        <v>1535</v>
      </c>
      <c r="AB307" s="25" t="s">
        <v>1536</v>
      </c>
      <c r="AC307" s="118">
        <v>200000</v>
      </c>
      <c r="AD307" s="197">
        <v>1</v>
      </c>
      <c r="AE307" s="197">
        <v>1</v>
      </c>
      <c r="AF307">
        <v>0</v>
      </c>
      <c r="AG307" s="402">
        <v>5</v>
      </c>
    </row>
    <row r="308" spans="1:33" ht="14.45" customHeight="1" x14ac:dyDescent="0.3">
      <c r="A308" s="17">
        <v>300006</v>
      </c>
      <c r="B308" s="17" t="s">
        <v>1537</v>
      </c>
      <c r="C308" s="17" t="s">
        <v>1538</v>
      </c>
      <c r="D308" s="118" t="s">
        <v>1508</v>
      </c>
      <c r="E308" s="118">
        <v>0</v>
      </c>
      <c r="F308" s="118">
        <v>0</v>
      </c>
      <c r="G308" s="118"/>
      <c r="H308" s="118" t="s">
        <v>35</v>
      </c>
      <c r="I308" s="118">
        <v>1</v>
      </c>
      <c r="J308" s="118">
        <v>1</v>
      </c>
      <c r="K308" s="118">
        <v>1</v>
      </c>
      <c r="L308" s="118">
        <v>4</v>
      </c>
      <c r="M308" s="118" t="s">
        <v>70</v>
      </c>
      <c r="N308" s="118" t="s">
        <v>1539</v>
      </c>
      <c r="O308" s="118">
        <v>50</v>
      </c>
      <c r="P308" s="118">
        <v>0.5</v>
      </c>
      <c r="Q308" s="118">
        <v>0</v>
      </c>
      <c r="R308" s="118">
        <v>1</v>
      </c>
      <c r="S308" s="25" t="b">
        <v>1</v>
      </c>
      <c r="T308" s="118">
        <v>39</v>
      </c>
      <c r="U308" s="118">
        <v>585</v>
      </c>
      <c r="V308" s="118">
        <v>780</v>
      </c>
      <c r="W308" s="118">
        <v>0</v>
      </c>
      <c r="X308" s="118">
        <v>6</v>
      </c>
      <c r="Y308" s="118" t="s">
        <v>38</v>
      </c>
      <c r="Z308" s="118" t="s">
        <v>1540</v>
      </c>
      <c r="AA308" s="206" t="s">
        <v>1541</v>
      </c>
      <c r="AB308" s="25" t="s">
        <v>1542</v>
      </c>
      <c r="AC308" s="118">
        <v>200000</v>
      </c>
      <c r="AD308" s="197">
        <v>1</v>
      </c>
      <c r="AE308" s="197">
        <v>1</v>
      </c>
      <c r="AF308">
        <v>0</v>
      </c>
      <c r="AG308" s="402">
        <v>6</v>
      </c>
    </row>
    <row r="309" spans="1:33" ht="14.45" customHeight="1" x14ac:dyDescent="0.3">
      <c r="A309" s="17">
        <v>300007</v>
      </c>
      <c r="B309" s="17" t="s">
        <v>1543</v>
      </c>
      <c r="C309" s="17" t="s">
        <v>1544</v>
      </c>
      <c r="D309" s="118" t="s">
        <v>1508</v>
      </c>
      <c r="E309" s="118">
        <v>0</v>
      </c>
      <c r="F309" s="118">
        <v>0</v>
      </c>
      <c r="G309" s="118"/>
      <c r="H309" s="118" t="s">
        <v>35</v>
      </c>
      <c r="I309" s="118">
        <v>1</v>
      </c>
      <c r="J309" s="118">
        <v>1</v>
      </c>
      <c r="K309" s="118">
        <v>1</v>
      </c>
      <c r="L309" s="118">
        <v>4</v>
      </c>
      <c r="M309" s="118" t="s">
        <v>70</v>
      </c>
      <c r="N309" s="118" t="s">
        <v>1545</v>
      </c>
      <c r="O309" s="118">
        <v>50</v>
      </c>
      <c r="P309" s="118">
        <v>0.5</v>
      </c>
      <c r="Q309" s="118">
        <v>0</v>
      </c>
      <c r="R309" s="118">
        <v>1</v>
      </c>
      <c r="S309" s="25" t="b">
        <v>1</v>
      </c>
      <c r="T309" s="118">
        <v>45</v>
      </c>
      <c r="U309" s="118">
        <v>675</v>
      </c>
      <c r="V309" s="118">
        <v>900</v>
      </c>
      <c r="W309" s="118">
        <v>0</v>
      </c>
      <c r="X309" s="118">
        <v>7</v>
      </c>
      <c r="Y309" s="118" t="s">
        <v>38</v>
      </c>
      <c r="Z309" s="118" t="s">
        <v>1546</v>
      </c>
      <c r="AA309" s="206" t="s">
        <v>1547</v>
      </c>
      <c r="AB309" s="25" t="s">
        <v>1548</v>
      </c>
      <c r="AC309" s="118">
        <v>200000</v>
      </c>
      <c r="AD309" s="197">
        <v>1</v>
      </c>
      <c r="AE309" s="197">
        <v>1</v>
      </c>
      <c r="AF309">
        <v>0</v>
      </c>
      <c r="AG309" s="402">
        <v>7</v>
      </c>
    </row>
    <row r="310" spans="1:33" ht="14.45" customHeight="1" x14ac:dyDescent="0.3">
      <c r="A310" s="114">
        <v>300107</v>
      </c>
      <c r="B310" s="114" t="s">
        <v>1549</v>
      </c>
      <c r="C310" s="114" t="s">
        <v>1550</v>
      </c>
      <c r="D310" s="119" t="s">
        <v>1508</v>
      </c>
      <c r="E310" s="119">
        <v>0</v>
      </c>
      <c r="F310" s="119">
        <v>0</v>
      </c>
      <c r="G310" s="119"/>
      <c r="H310" s="119" t="s">
        <v>1551</v>
      </c>
      <c r="I310" s="119">
        <v>1</v>
      </c>
      <c r="J310" s="118">
        <v>4</v>
      </c>
      <c r="K310" s="119">
        <v>0</v>
      </c>
      <c r="L310" s="119">
        <v>4</v>
      </c>
      <c r="M310" s="119" t="s">
        <v>52</v>
      </c>
      <c r="N310" s="118" t="s">
        <v>1545</v>
      </c>
      <c r="O310" s="119">
        <v>50</v>
      </c>
      <c r="P310" s="119">
        <v>0.5</v>
      </c>
      <c r="Q310" s="119">
        <v>0</v>
      </c>
      <c r="R310" s="119">
        <v>1</v>
      </c>
      <c r="S310" s="80" t="b">
        <v>1</v>
      </c>
      <c r="T310" s="119">
        <v>45</v>
      </c>
      <c r="U310" s="118">
        <v>675</v>
      </c>
      <c r="V310" s="118">
        <v>900</v>
      </c>
      <c r="W310" s="119">
        <v>0</v>
      </c>
      <c r="X310" s="119">
        <v>7</v>
      </c>
      <c r="Y310" s="119" t="s">
        <v>38</v>
      </c>
      <c r="Z310" s="119" t="s">
        <v>1546</v>
      </c>
      <c r="AA310" s="206" t="s">
        <v>1552</v>
      </c>
      <c r="AB310" s="80" t="s">
        <v>1548</v>
      </c>
      <c r="AC310" s="119">
        <v>200000</v>
      </c>
      <c r="AD310" s="197">
        <v>1</v>
      </c>
      <c r="AE310" s="197">
        <v>1</v>
      </c>
      <c r="AF310">
        <v>0</v>
      </c>
      <c r="AG310" s="403">
        <v>7</v>
      </c>
    </row>
    <row r="311" spans="1:33" ht="14.45" customHeight="1" x14ac:dyDescent="0.3">
      <c r="A311" s="17">
        <v>300008</v>
      </c>
      <c r="B311" t="s">
        <v>1553</v>
      </c>
      <c r="C311" t="s">
        <v>1554</v>
      </c>
      <c r="D311" s="118" t="s">
        <v>1508</v>
      </c>
      <c r="E311" s="118">
        <v>0</v>
      </c>
      <c r="F311" s="118">
        <v>0</v>
      </c>
      <c r="G311" s="118"/>
      <c r="H311" s="118" t="s">
        <v>35</v>
      </c>
      <c r="I311" s="118">
        <v>1</v>
      </c>
      <c r="J311" s="118">
        <v>1</v>
      </c>
      <c r="K311" s="118">
        <v>1</v>
      </c>
      <c r="L311" s="118">
        <v>4</v>
      </c>
      <c r="M311" s="118" t="s">
        <v>70</v>
      </c>
      <c r="N311" s="118" t="s">
        <v>1555</v>
      </c>
      <c r="O311" s="118">
        <v>50</v>
      </c>
      <c r="P311" s="118">
        <v>0.5</v>
      </c>
      <c r="Q311" s="118">
        <v>0</v>
      </c>
      <c r="R311" s="118">
        <v>1</v>
      </c>
      <c r="S311" s="25" t="b">
        <v>1</v>
      </c>
      <c r="T311" s="118">
        <v>52</v>
      </c>
      <c r="U311" s="118">
        <v>780</v>
      </c>
      <c r="V311" s="118">
        <v>1040</v>
      </c>
      <c r="W311" s="118">
        <v>0</v>
      </c>
      <c r="X311" s="118">
        <v>8</v>
      </c>
      <c r="Y311" s="118" t="s">
        <v>38</v>
      </c>
      <c r="Z311" s="497" t="s">
        <v>1556</v>
      </c>
      <c r="AA311" s="206" t="s">
        <v>1557</v>
      </c>
      <c r="AB311" s="25" t="s">
        <v>1558</v>
      </c>
      <c r="AC311" s="118">
        <v>200000</v>
      </c>
      <c r="AD311" s="197">
        <v>1</v>
      </c>
      <c r="AE311" s="197">
        <v>1</v>
      </c>
      <c r="AF311">
        <v>0</v>
      </c>
      <c r="AG311" s="402">
        <v>8</v>
      </c>
    </row>
    <row r="312" spans="1:33" ht="14.45" customHeight="1" x14ac:dyDescent="0.3">
      <c r="A312" s="17">
        <v>300009</v>
      </c>
      <c r="B312" s="17" t="s">
        <v>1559</v>
      </c>
      <c r="C312" s="17" t="s">
        <v>1560</v>
      </c>
      <c r="D312" s="118" t="s">
        <v>1508</v>
      </c>
      <c r="E312" s="118">
        <v>0</v>
      </c>
      <c r="F312" s="118">
        <v>0</v>
      </c>
      <c r="G312" s="118"/>
      <c r="H312" s="118" t="s">
        <v>35</v>
      </c>
      <c r="I312" s="118">
        <v>1</v>
      </c>
      <c r="J312" s="118">
        <v>1</v>
      </c>
      <c r="K312" s="118">
        <v>1</v>
      </c>
      <c r="L312" s="118">
        <v>4</v>
      </c>
      <c r="M312" s="118" t="s">
        <v>70</v>
      </c>
      <c r="N312" s="118" t="s">
        <v>1561</v>
      </c>
      <c r="O312" s="118">
        <v>50</v>
      </c>
      <c r="P312" s="118">
        <v>0.5</v>
      </c>
      <c r="Q312" s="118">
        <v>0</v>
      </c>
      <c r="R312" s="118">
        <v>1</v>
      </c>
      <c r="S312" s="25" t="b">
        <v>1</v>
      </c>
      <c r="T312" s="118">
        <v>58</v>
      </c>
      <c r="U312" s="118">
        <v>870</v>
      </c>
      <c r="V312" s="118">
        <v>1160</v>
      </c>
      <c r="W312" s="118">
        <v>0</v>
      </c>
      <c r="X312" s="118">
        <v>9</v>
      </c>
      <c r="Y312" s="118" t="s">
        <v>38</v>
      </c>
      <c r="Z312" s="494" t="s">
        <v>1562</v>
      </c>
      <c r="AA312" s="206" t="s">
        <v>1563</v>
      </c>
      <c r="AB312" s="25" t="s">
        <v>1564</v>
      </c>
      <c r="AC312" s="118">
        <v>200000</v>
      </c>
      <c r="AD312" s="197">
        <v>1</v>
      </c>
      <c r="AE312" s="197">
        <v>1</v>
      </c>
      <c r="AF312">
        <v>0</v>
      </c>
      <c r="AG312" s="402">
        <v>9</v>
      </c>
    </row>
    <row r="313" spans="1:33" ht="14.45" customHeight="1" x14ac:dyDescent="0.3">
      <c r="A313" s="17">
        <v>300010</v>
      </c>
      <c r="B313" s="17" t="s">
        <v>1565</v>
      </c>
      <c r="C313" s="17" t="s">
        <v>1566</v>
      </c>
      <c r="D313" s="118" t="s">
        <v>1508</v>
      </c>
      <c r="E313" s="118">
        <v>0</v>
      </c>
      <c r="F313" s="118">
        <v>0</v>
      </c>
      <c r="G313" s="118"/>
      <c r="H313" s="118" t="s">
        <v>35</v>
      </c>
      <c r="I313" s="118">
        <v>1</v>
      </c>
      <c r="J313" s="118">
        <v>1</v>
      </c>
      <c r="K313" s="118">
        <v>1</v>
      </c>
      <c r="L313" s="118">
        <v>4</v>
      </c>
      <c r="M313" s="118" t="s">
        <v>70</v>
      </c>
      <c r="N313" s="118" t="s">
        <v>1567</v>
      </c>
      <c r="O313" s="118">
        <v>50</v>
      </c>
      <c r="P313" s="118">
        <v>0.5</v>
      </c>
      <c r="Q313" s="118">
        <v>0</v>
      </c>
      <c r="R313" s="118">
        <v>1</v>
      </c>
      <c r="S313" s="25" t="b">
        <v>1</v>
      </c>
      <c r="T313" s="118">
        <v>65</v>
      </c>
      <c r="U313" s="118">
        <v>975</v>
      </c>
      <c r="V313" s="118">
        <v>1300</v>
      </c>
      <c r="W313" s="118">
        <v>0</v>
      </c>
      <c r="X313" s="118">
        <v>10</v>
      </c>
      <c r="Y313" s="118" t="s">
        <v>38</v>
      </c>
      <c r="Z313" s="429" t="s">
        <v>1568</v>
      </c>
      <c r="AA313" s="206" t="s">
        <v>1569</v>
      </c>
      <c r="AB313" s="25" t="s">
        <v>1570</v>
      </c>
      <c r="AC313" s="118">
        <v>200000</v>
      </c>
      <c r="AD313" s="197">
        <v>1</v>
      </c>
      <c r="AE313" s="197">
        <v>1</v>
      </c>
      <c r="AF313">
        <v>0</v>
      </c>
      <c r="AG313" s="402">
        <v>10</v>
      </c>
    </row>
    <row r="314" spans="1:33" ht="14.45" customHeight="1" x14ac:dyDescent="0.3">
      <c r="A314" s="79">
        <v>300108</v>
      </c>
      <c r="B314" s="360" t="s">
        <v>1571</v>
      </c>
      <c r="C314" s="360" t="s">
        <v>1572</v>
      </c>
      <c r="D314" s="360" t="s">
        <v>1508</v>
      </c>
      <c r="E314" s="79">
        <v>0</v>
      </c>
      <c r="F314" s="360">
        <v>0</v>
      </c>
      <c r="G314" s="79"/>
      <c r="H314" s="119" t="s">
        <v>51</v>
      </c>
      <c r="I314" s="360">
        <v>1</v>
      </c>
      <c r="J314" s="118">
        <v>4</v>
      </c>
      <c r="K314" s="119">
        <v>0</v>
      </c>
      <c r="L314" s="360">
        <v>4</v>
      </c>
      <c r="M314" s="119" t="s">
        <v>52</v>
      </c>
      <c r="N314" s="118" t="s">
        <v>1555</v>
      </c>
      <c r="O314" s="360">
        <v>50</v>
      </c>
      <c r="P314" s="360">
        <v>0.5</v>
      </c>
      <c r="Q314" s="360">
        <v>0</v>
      </c>
      <c r="R314" s="360">
        <v>1</v>
      </c>
      <c r="S314" s="80" t="b">
        <v>1</v>
      </c>
      <c r="T314" s="79">
        <v>52</v>
      </c>
      <c r="U314" s="118">
        <v>780</v>
      </c>
      <c r="V314" s="118">
        <v>1040</v>
      </c>
      <c r="W314" s="79">
        <v>0</v>
      </c>
      <c r="X314" s="79">
        <v>8</v>
      </c>
      <c r="Y314" s="79" t="s">
        <v>38</v>
      </c>
      <c r="Z314" s="493" t="s">
        <v>1556</v>
      </c>
      <c r="AA314" s="206" t="s">
        <v>1573</v>
      </c>
      <c r="AB314" s="25" t="s">
        <v>1558</v>
      </c>
      <c r="AC314" s="79">
        <v>200000</v>
      </c>
      <c r="AD314" s="92">
        <v>1</v>
      </c>
      <c r="AE314" s="92">
        <v>1</v>
      </c>
      <c r="AF314">
        <v>0</v>
      </c>
      <c r="AG314" s="434">
        <v>8</v>
      </c>
    </row>
    <row r="315" spans="1:33" ht="14.45" customHeight="1" x14ac:dyDescent="0.3">
      <c r="A315" s="79">
        <v>300109</v>
      </c>
      <c r="B315" s="360" t="s">
        <v>1574</v>
      </c>
      <c r="C315" s="360" t="s">
        <v>1575</v>
      </c>
      <c r="D315" s="360" t="s">
        <v>1508</v>
      </c>
      <c r="E315" s="79">
        <v>0</v>
      </c>
      <c r="F315" s="360">
        <v>0</v>
      </c>
      <c r="G315" s="79"/>
      <c r="H315" s="119" t="s">
        <v>51</v>
      </c>
      <c r="I315" s="360">
        <v>1</v>
      </c>
      <c r="J315" s="118">
        <v>4</v>
      </c>
      <c r="K315" s="119">
        <v>0</v>
      </c>
      <c r="L315" s="360">
        <v>4</v>
      </c>
      <c r="M315" s="119" t="s">
        <v>52</v>
      </c>
      <c r="N315" s="118" t="s">
        <v>1561</v>
      </c>
      <c r="O315" s="360">
        <v>50</v>
      </c>
      <c r="P315" s="360">
        <v>0.5</v>
      </c>
      <c r="Q315" s="360">
        <v>0</v>
      </c>
      <c r="R315" s="360">
        <v>1</v>
      </c>
      <c r="S315" s="80" t="b">
        <v>1</v>
      </c>
      <c r="T315" s="79">
        <v>58</v>
      </c>
      <c r="U315" s="118">
        <v>870</v>
      </c>
      <c r="V315" s="118">
        <v>1160</v>
      </c>
      <c r="W315" s="79">
        <v>0</v>
      </c>
      <c r="X315" s="79">
        <v>9</v>
      </c>
      <c r="Y315" s="79" t="s">
        <v>38</v>
      </c>
      <c r="Z315" s="493" t="s">
        <v>1562</v>
      </c>
      <c r="AA315" s="206" t="s">
        <v>1576</v>
      </c>
      <c r="AB315" s="25" t="s">
        <v>1564</v>
      </c>
      <c r="AC315" s="79">
        <v>200000</v>
      </c>
      <c r="AD315" s="92">
        <v>1</v>
      </c>
      <c r="AE315" s="92">
        <v>1</v>
      </c>
      <c r="AF315">
        <v>0</v>
      </c>
      <c r="AG315" s="434">
        <v>9</v>
      </c>
    </row>
    <row r="316" spans="1:33" ht="14.45" customHeight="1" x14ac:dyDescent="0.3">
      <c r="A316" s="79">
        <v>300110</v>
      </c>
      <c r="B316" s="360" t="s">
        <v>1577</v>
      </c>
      <c r="C316" s="360" t="s">
        <v>1578</v>
      </c>
      <c r="D316" s="360" t="s">
        <v>1508</v>
      </c>
      <c r="E316" s="79">
        <v>0</v>
      </c>
      <c r="F316" s="360">
        <v>0</v>
      </c>
      <c r="G316" s="79"/>
      <c r="H316" s="119" t="s">
        <v>51</v>
      </c>
      <c r="I316" s="360">
        <v>1</v>
      </c>
      <c r="J316" s="118">
        <v>4</v>
      </c>
      <c r="K316" s="119">
        <v>0</v>
      </c>
      <c r="L316" s="360">
        <v>4</v>
      </c>
      <c r="M316" s="119" t="s">
        <v>52</v>
      </c>
      <c r="N316" s="118" t="s">
        <v>1567</v>
      </c>
      <c r="O316" s="360">
        <v>50</v>
      </c>
      <c r="P316" s="360">
        <v>0.5</v>
      </c>
      <c r="Q316" s="360">
        <v>0</v>
      </c>
      <c r="R316" s="360">
        <v>1</v>
      </c>
      <c r="S316" s="80" t="b">
        <v>1</v>
      </c>
      <c r="T316" s="79">
        <v>65</v>
      </c>
      <c r="U316" s="118">
        <v>975</v>
      </c>
      <c r="V316" s="118">
        <v>1300</v>
      </c>
      <c r="W316" s="79">
        <v>0</v>
      </c>
      <c r="X316" s="79">
        <v>10</v>
      </c>
      <c r="Y316" s="79" t="s">
        <v>38</v>
      </c>
      <c r="Z316" s="493" t="s">
        <v>1568</v>
      </c>
      <c r="AA316" s="206" t="s">
        <v>1579</v>
      </c>
      <c r="AB316" s="25" t="s">
        <v>1570</v>
      </c>
      <c r="AC316" s="79">
        <v>200000</v>
      </c>
      <c r="AD316" s="92">
        <v>1</v>
      </c>
      <c r="AE316" s="92">
        <v>1</v>
      </c>
      <c r="AF316">
        <v>0</v>
      </c>
      <c r="AG316" s="434">
        <v>10</v>
      </c>
    </row>
    <row r="317" spans="1:33" ht="14.45" customHeight="1" x14ac:dyDescent="0.3">
      <c r="A317" s="115">
        <v>300102</v>
      </c>
      <c r="B317" s="121" t="s">
        <v>1580</v>
      </c>
      <c r="C317" s="121" t="s">
        <v>1581</v>
      </c>
      <c r="D317" s="121" t="s">
        <v>1508</v>
      </c>
      <c r="E317" s="115">
        <v>0</v>
      </c>
      <c r="F317" s="121">
        <v>0</v>
      </c>
      <c r="G317" s="115"/>
      <c r="H317" s="121" t="s">
        <v>112</v>
      </c>
      <c r="I317" s="121">
        <v>4</v>
      </c>
      <c r="J317" s="118">
        <v>4</v>
      </c>
      <c r="K317" s="115">
        <v>0</v>
      </c>
      <c r="L317" s="121">
        <v>4</v>
      </c>
      <c r="M317" s="115">
        <v>4</v>
      </c>
      <c r="N317" s="118" t="s">
        <v>1515</v>
      </c>
      <c r="O317" s="121">
        <v>50</v>
      </c>
      <c r="P317" s="121">
        <v>0.5</v>
      </c>
      <c r="Q317" s="121">
        <v>0</v>
      </c>
      <c r="R317" s="121">
        <v>1</v>
      </c>
      <c r="S317" s="397" t="b">
        <v>1</v>
      </c>
      <c r="T317" s="115">
        <v>13</v>
      </c>
      <c r="U317" s="118">
        <v>195</v>
      </c>
      <c r="V317" s="118">
        <v>260</v>
      </c>
      <c r="W317" s="115">
        <v>0</v>
      </c>
      <c r="X317" s="115">
        <v>2</v>
      </c>
      <c r="Y317" s="115" t="s">
        <v>38</v>
      </c>
      <c r="Z317" s="495" t="s">
        <v>1582</v>
      </c>
      <c r="AA317" s="206" t="s">
        <v>1583</v>
      </c>
      <c r="AB317" s="397" t="s">
        <v>1518</v>
      </c>
      <c r="AC317" s="115">
        <v>300000</v>
      </c>
      <c r="AD317" s="197">
        <v>1</v>
      </c>
      <c r="AE317" s="197">
        <v>1</v>
      </c>
      <c r="AF317">
        <v>0</v>
      </c>
      <c r="AG317" s="436">
        <v>2</v>
      </c>
    </row>
    <row r="318" spans="1:33" ht="14.45" customHeight="1" x14ac:dyDescent="0.3">
      <c r="A318" s="115">
        <v>300103</v>
      </c>
      <c r="B318" s="123" t="s">
        <v>1584</v>
      </c>
      <c r="C318" s="123" t="s">
        <v>1585</v>
      </c>
      <c r="D318" s="115" t="s">
        <v>1508</v>
      </c>
      <c r="E318" s="115">
        <v>0</v>
      </c>
      <c r="F318" s="115">
        <v>0</v>
      </c>
      <c r="G318" s="115"/>
      <c r="H318" s="115" t="s">
        <v>112</v>
      </c>
      <c r="I318" s="115">
        <v>5</v>
      </c>
      <c r="J318" s="118">
        <v>5</v>
      </c>
      <c r="K318" s="115">
        <v>0</v>
      </c>
      <c r="L318" s="115">
        <v>4</v>
      </c>
      <c r="M318" s="115">
        <v>5</v>
      </c>
      <c r="N318" s="118" t="s">
        <v>1521</v>
      </c>
      <c r="O318" s="115">
        <v>50</v>
      </c>
      <c r="P318" s="115">
        <v>0.5</v>
      </c>
      <c r="Q318" s="115">
        <v>0</v>
      </c>
      <c r="R318" s="115">
        <v>1</v>
      </c>
      <c r="S318" s="397" t="b">
        <v>1</v>
      </c>
      <c r="T318" s="115">
        <v>19</v>
      </c>
      <c r="U318" s="118">
        <v>285</v>
      </c>
      <c r="V318" s="118">
        <v>380</v>
      </c>
      <c r="W318" s="115">
        <v>0</v>
      </c>
      <c r="X318" s="115">
        <v>3</v>
      </c>
      <c r="Y318" s="115" t="s">
        <v>38</v>
      </c>
      <c r="Z318" s="495" t="s">
        <v>1586</v>
      </c>
      <c r="AA318" s="206" t="s">
        <v>1587</v>
      </c>
      <c r="AB318" s="397" t="s">
        <v>1536</v>
      </c>
      <c r="AC318" s="115">
        <v>200000</v>
      </c>
      <c r="AD318" s="197">
        <v>1</v>
      </c>
      <c r="AE318" s="197">
        <v>1</v>
      </c>
      <c r="AF318">
        <v>0</v>
      </c>
      <c r="AG318" s="436">
        <v>3</v>
      </c>
    </row>
    <row r="319" spans="1:33" ht="14.45" customHeight="1" x14ac:dyDescent="0.3">
      <c r="A319" s="117">
        <v>300104</v>
      </c>
      <c r="B319" s="122" t="s">
        <v>1588</v>
      </c>
      <c r="C319" s="122" t="s">
        <v>1589</v>
      </c>
      <c r="D319" s="117" t="s">
        <v>1508</v>
      </c>
      <c r="E319" s="117">
        <v>0</v>
      </c>
      <c r="F319" s="117">
        <v>0</v>
      </c>
      <c r="G319" s="117"/>
      <c r="H319" s="117"/>
      <c r="I319" s="117">
        <v>5</v>
      </c>
      <c r="J319" s="118">
        <v>5</v>
      </c>
      <c r="K319" s="117">
        <v>0</v>
      </c>
      <c r="L319" s="117">
        <v>4</v>
      </c>
      <c r="M319" s="117">
        <v>5</v>
      </c>
      <c r="N319" s="118" t="s">
        <v>1527</v>
      </c>
      <c r="O319" s="117">
        <v>50</v>
      </c>
      <c r="P319" s="117">
        <v>0.5</v>
      </c>
      <c r="Q319" s="117">
        <v>0</v>
      </c>
      <c r="R319" s="117">
        <v>1</v>
      </c>
      <c r="S319" s="398" t="b">
        <v>1</v>
      </c>
      <c r="T319" s="117">
        <v>26</v>
      </c>
      <c r="U319" s="118">
        <v>390</v>
      </c>
      <c r="V319" s="118">
        <v>520</v>
      </c>
      <c r="W319" s="117">
        <v>0</v>
      </c>
      <c r="X319" s="117">
        <v>4</v>
      </c>
      <c r="Y319" s="117" t="s">
        <v>38</v>
      </c>
      <c r="Z319" s="122" t="s">
        <v>1590</v>
      </c>
      <c r="AA319" s="206" t="s">
        <v>1591</v>
      </c>
      <c r="AB319" s="398" t="s">
        <v>1524</v>
      </c>
      <c r="AC319" s="117">
        <v>200000</v>
      </c>
      <c r="AD319" s="197">
        <v>1</v>
      </c>
      <c r="AE319" s="197">
        <v>1</v>
      </c>
      <c r="AF319">
        <v>0</v>
      </c>
      <c r="AG319" s="437">
        <v>4</v>
      </c>
    </row>
    <row r="320" spans="1:33" ht="14.45" customHeight="1" x14ac:dyDescent="0.3">
      <c r="A320" s="15">
        <v>400001</v>
      </c>
      <c r="B320" s="17" t="s">
        <v>1592</v>
      </c>
      <c r="C320" s="17" t="s">
        <v>1593</v>
      </c>
      <c r="D320" s="15" t="s">
        <v>1594</v>
      </c>
      <c r="E320" s="15">
        <v>0</v>
      </c>
      <c r="F320" s="15">
        <v>0</v>
      </c>
      <c r="G320" s="15"/>
      <c r="H320" s="118" t="s">
        <v>35</v>
      </c>
      <c r="I320" s="15">
        <v>1</v>
      </c>
      <c r="J320" s="118">
        <v>1</v>
      </c>
      <c r="K320" s="15">
        <v>1</v>
      </c>
      <c r="L320" s="15">
        <v>4</v>
      </c>
      <c r="M320" s="15" t="s">
        <v>36</v>
      </c>
      <c r="N320" s="118" t="s">
        <v>1509</v>
      </c>
      <c r="O320" s="15">
        <v>50</v>
      </c>
      <c r="P320" s="15">
        <v>0.5</v>
      </c>
      <c r="Q320" s="15">
        <v>0</v>
      </c>
      <c r="R320" s="15">
        <v>1</v>
      </c>
      <c r="S320" s="25" t="b">
        <v>1</v>
      </c>
      <c r="T320" s="15">
        <v>6</v>
      </c>
      <c r="U320" s="118">
        <v>90</v>
      </c>
      <c r="V320" s="118">
        <v>120</v>
      </c>
      <c r="W320" s="15">
        <v>0</v>
      </c>
      <c r="X320" s="15">
        <v>1</v>
      </c>
      <c r="Y320" s="15" t="s">
        <v>38</v>
      </c>
      <c r="Z320" s="17" t="s">
        <v>1595</v>
      </c>
      <c r="AA320" s="206" t="s">
        <v>1596</v>
      </c>
      <c r="AB320" s="25" t="s">
        <v>1597</v>
      </c>
      <c r="AC320" s="15">
        <v>300000</v>
      </c>
      <c r="AD320" s="197">
        <v>1</v>
      </c>
      <c r="AE320" s="197">
        <v>1</v>
      </c>
      <c r="AF320">
        <v>0</v>
      </c>
      <c r="AG320" s="433">
        <v>1</v>
      </c>
    </row>
    <row r="321" spans="1:33" ht="14.45" customHeight="1" x14ac:dyDescent="0.3">
      <c r="A321" s="15">
        <v>400002</v>
      </c>
      <c r="B321" s="17" t="s">
        <v>1598</v>
      </c>
      <c r="C321" s="17" t="s">
        <v>1599</v>
      </c>
      <c r="D321" s="15" t="s">
        <v>1594</v>
      </c>
      <c r="E321" s="15">
        <v>0</v>
      </c>
      <c r="F321" s="15">
        <v>0</v>
      </c>
      <c r="G321" s="15"/>
      <c r="H321" s="118" t="s">
        <v>35</v>
      </c>
      <c r="I321" s="15">
        <v>1</v>
      </c>
      <c r="J321" s="118">
        <v>1</v>
      </c>
      <c r="K321" s="15">
        <v>1</v>
      </c>
      <c r="L321" s="15">
        <v>4</v>
      </c>
      <c r="M321" s="15" t="s">
        <v>44</v>
      </c>
      <c r="N321" s="118" t="s">
        <v>1515</v>
      </c>
      <c r="O321" s="15">
        <v>50</v>
      </c>
      <c r="P321" s="15">
        <v>0.5</v>
      </c>
      <c r="Q321" s="15">
        <v>0</v>
      </c>
      <c r="R321" s="15">
        <v>1</v>
      </c>
      <c r="S321" s="25" t="b">
        <v>1</v>
      </c>
      <c r="T321" s="15">
        <v>13</v>
      </c>
      <c r="U321" s="118">
        <v>195</v>
      </c>
      <c r="V321" s="118">
        <v>260</v>
      </c>
      <c r="W321" s="15">
        <v>0</v>
      </c>
      <c r="X321" s="15">
        <v>2</v>
      </c>
      <c r="Y321" s="15" t="s">
        <v>38</v>
      </c>
      <c r="Z321" s="17" t="s">
        <v>1516</v>
      </c>
      <c r="AA321" s="206" t="s">
        <v>1600</v>
      </c>
      <c r="AB321" s="25" t="s">
        <v>1601</v>
      </c>
      <c r="AC321" s="15">
        <v>100000</v>
      </c>
      <c r="AD321" s="197">
        <v>1</v>
      </c>
      <c r="AE321" s="197">
        <v>1</v>
      </c>
      <c r="AF321">
        <v>0</v>
      </c>
      <c r="AG321" s="433">
        <v>2</v>
      </c>
    </row>
    <row r="322" spans="1:33" ht="14.45" customHeight="1" x14ac:dyDescent="0.3">
      <c r="A322" s="15">
        <v>400003</v>
      </c>
      <c r="B322" s="17" t="s">
        <v>1602</v>
      </c>
      <c r="C322" s="17" t="s">
        <v>1603</v>
      </c>
      <c r="D322" s="15" t="s">
        <v>1594</v>
      </c>
      <c r="E322" s="15">
        <v>0</v>
      </c>
      <c r="F322" s="15">
        <v>0</v>
      </c>
      <c r="G322" s="15"/>
      <c r="H322" s="118" t="s">
        <v>35</v>
      </c>
      <c r="I322" s="15">
        <v>1</v>
      </c>
      <c r="J322" s="118">
        <v>1</v>
      </c>
      <c r="K322" s="15">
        <v>1</v>
      </c>
      <c r="L322" s="15">
        <v>4</v>
      </c>
      <c r="M322" s="15" t="s">
        <v>56</v>
      </c>
      <c r="N322" s="118" t="s">
        <v>1521</v>
      </c>
      <c r="O322" s="15">
        <v>50</v>
      </c>
      <c r="P322" s="15">
        <v>0.5</v>
      </c>
      <c r="Q322" s="15">
        <v>0</v>
      </c>
      <c r="R322" s="15">
        <v>1</v>
      </c>
      <c r="S322" s="25" t="b">
        <v>1</v>
      </c>
      <c r="T322" s="15">
        <v>19</v>
      </c>
      <c r="U322" s="118">
        <v>285</v>
      </c>
      <c r="V322" s="118">
        <v>380</v>
      </c>
      <c r="W322" s="15">
        <v>0</v>
      </c>
      <c r="X322" s="15">
        <v>3</v>
      </c>
      <c r="Y322" s="15" t="s">
        <v>38</v>
      </c>
      <c r="Z322" s="17" t="s">
        <v>1604</v>
      </c>
      <c r="AA322" s="206" t="s">
        <v>1605</v>
      </c>
      <c r="AB322" s="25" t="s">
        <v>1606</v>
      </c>
      <c r="AC322" s="15">
        <v>100000</v>
      </c>
      <c r="AD322" s="197">
        <v>1</v>
      </c>
      <c r="AE322" s="197">
        <v>1</v>
      </c>
      <c r="AF322">
        <v>0</v>
      </c>
      <c r="AG322" s="433">
        <v>3</v>
      </c>
    </row>
    <row r="323" spans="1:33" ht="14.45" customHeight="1" x14ac:dyDescent="0.3">
      <c r="A323" s="79">
        <v>400503</v>
      </c>
      <c r="B323" s="114" t="s">
        <v>1607</v>
      </c>
      <c r="C323" s="114" t="s">
        <v>1608</v>
      </c>
      <c r="D323" s="79" t="s">
        <v>1594</v>
      </c>
      <c r="E323" s="79">
        <v>0</v>
      </c>
      <c r="F323" s="79">
        <v>0</v>
      </c>
      <c r="G323" s="79"/>
      <c r="H323" s="119" t="s">
        <v>51</v>
      </c>
      <c r="I323" s="79">
        <v>1</v>
      </c>
      <c r="J323" s="118">
        <v>3</v>
      </c>
      <c r="K323" s="119">
        <v>0</v>
      </c>
      <c r="L323" s="79">
        <v>4</v>
      </c>
      <c r="M323" s="119" t="s">
        <v>52</v>
      </c>
      <c r="N323" s="118" t="s">
        <v>1521</v>
      </c>
      <c r="O323" s="79">
        <v>50</v>
      </c>
      <c r="P323" s="79">
        <v>0.5</v>
      </c>
      <c r="Q323" s="79">
        <v>0</v>
      </c>
      <c r="R323" s="79">
        <v>1</v>
      </c>
      <c r="S323" s="80" t="b">
        <v>1</v>
      </c>
      <c r="T323" s="79">
        <v>19</v>
      </c>
      <c r="U323" s="118">
        <v>285</v>
      </c>
      <c r="V323" s="118">
        <v>380</v>
      </c>
      <c r="W323" s="79">
        <v>0</v>
      </c>
      <c r="X323" s="79">
        <v>3</v>
      </c>
      <c r="Y323" s="79" t="s">
        <v>38</v>
      </c>
      <c r="Z323" s="114" t="s">
        <v>1604</v>
      </c>
      <c r="AA323" s="206" t="s">
        <v>1609</v>
      </c>
      <c r="AB323" s="80" t="s">
        <v>1606</v>
      </c>
      <c r="AC323" s="79">
        <v>100000</v>
      </c>
      <c r="AD323" s="92">
        <v>1</v>
      </c>
      <c r="AE323" s="92">
        <v>1</v>
      </c>
      <c r="AF323">
        <v>0</v>
      </c>
      <c r="AG323" s="434">
        <v>3</v>
      </c>
    </row>
    <row r="324" spans="1:33" ht="14.45" customHeight="1" x14ac:dyDescent="0.3">
      <c r="A324" s="15">
        <v>400004</v>
      </c>
      <c r="B324" s="71" t="s">
        <v>1610</v>
      </c>
      <c r="C324" s="71" t="s">
        <v>1611</v>
      </c>
      <c r="D324" s="15" t="s">
        <v>1594</v>
      </c>
      <c r="E324" s="15">
        <v>0</v>
      </c>
      <c r="F324" s="15">
        <v>0</v>
      </c>
      <c r="G324" s="15"/>
      <c r="H324" s="118" t="s">
        <v>35</v>
      </c>
      <c r="I324" s="15">
        <v>1</v>
      </c>
      <c r="J324" s="118">
        <v>1</v>
      </c>
      <c r="K324" s="15">
        <v>1</v>
      </c>
      <c r="L324" s="15">
        <v>4</v>
      </c>
      <c r="M324" s="15" t="s">
        <v>63</v>
      </c>
      <c r="N324" s="118" t="s">
        <v>1527</v>
      </c>
      <c r="O324" s="15">
        <v>50</v>
      </c>
      <c r="P324" s="15">
        <v>0.5</v>
      </c>
      <c r="Q324" s="15">
        <v>0</v>
      </c>
      <c r="R324" s="15">
        <v>1</v>
      </c>
      <c r="S324" s="25" t="b">
        <v>1</v>
      </c>
      <c r="T324" s="15">
        <v>26</v>
      </c>
      <c r="U324" s="118">
        <v>390</v>
      </c>
      <c r="V324" s="118">
        <v>520</v>
      </c>
      <c r="W324" s="15">
        <v>0</v>
      </c>
      <c r="X324" s="15">
        <v>4</v>
      </c>
      <c r="Y324" s="15" t="s">
        <v>38</v>
      </c>
      <c r="Z324" s="17" t="s">
        <v>1612</v>
      </c>
      <c r="AA324" s="206" t="s">
        <v>1613</v>
      </c>
      <c r="AB324" s="25" t="s">
        <v>1614</v>
      </c>
      <c r="AC324" s="15">
        <v>100000</v>
      </c>
      <c r="AD324" s="197">
        <v>1</v>
      </c>
      <c r="AE324" s="197">
        <v>1</v>
      </c>
      <c r="AF324">
        <v>0</v>
      </c>
      <c r="AG324" s="433">
        <v>4</v>
      </c>
    </row>
    <row r="325" spans="1:33" ht="14.45" customHeight="1" x14ac:dyDescent="0.3">
      <c r="A325" s="17">
        <v>400005</v>
      </c>
      <c r="B325" s="17" t="s">
        <v>1615</v>
      </c>
      <c r="C325" s="17" t="s">
        <v>1616</v>
      </c>
      <c r="D325" s="118" t="s">
        <v>1594</v>
      </c>
      <c r="E325" s="118">
        <v>0</v>
      </c>
      <c r="F325" s="118">
        <v>0</v>
      </c>
      <c r="G325" s="118"/>
      <c r="H325" s="118" t="s">
        <v>35</v>
      </c>
      <c r="I325" s="118">
        <v>1</v>
      </c>
      <c r="J325" s="118">
        <v>1</v>
      </c>
      <c r="K325" s="118">
        <v>1</v>
      </c>
      <c r="L325" s="118">
        <v>4</v>
      </c>
      <c r="M325" s="118" t="s">
        <v>70</v>
      </c>
      <c r="N325" s="118" t="s">
        <v>1533</v>
      </c>
      <c r="O325" s="118">
        <v>50</v>
      </c>
      <c r="P325" s="118">
        <v>0.5</v>
      </c>
      <c r="Q325" s="118">
        <v>0</v>
      </c>
      <c r="R325" s="118">
        <v>1</v>
      </c>
      <c r="S325" s="25" t="b">
        <v>1</v>
      </c>
      <c r="T325" s="118">
        <v>32</v>
      </c>
      <c r="U325" s="118">
        <v>480</v>
      </c>
      <c r="V325" s="118">
        <v>640</v>
      </c>
      <c r="W325" s="118">
        <v>0</v>
      </c>
      <c r="X325" s="118">
        <v>5</v>
      </c>
      <c r="Y325" s="118" t="s">
        <v>38</v>
      </c>
      <c r="Z325" s="118" t="s">
        <v>1617</v>
      </c>
      <c r="AA325" s="206" t="s">
        <v>1618</v>
      </c>
      <c r="AB325" s="25" t="s">
        <v>1619</v>
      </c>
      <c r="AC325" s="118">
        <v>100000</v>
      </c>
      <c r="AD325" s="197">
        <v>1</v>
      </c>
      <c r="AE325" s="197">
        <v>1</v>
      </c>
      <c r="AF325">
        <v>0</v>
      </c>
      <c r="AG325" s="402">
        <v>5</v>
      </c>
    </row>
    <row r="326" spans="1:33" ht="14.45" customHeight="1" x14ac:dyDescent="0.3">
      <c r="A326" s="17">
        <v>400006</v>
      </c>
      <c r="B326" s="17" t="s">
        <v>1620</v>
      </c>
      <c r="C326" s="17" t="s">
        <v>1621</v>
      </c>
      <c r="D326" s="118" t="s">
        <v>1594</v>
      </c>
      <c r="E326" s="118">
        <v>0</v>
      </c>
      <c r="F326" s="118">
        <v>0</v>
      </c>
      <c r="G326" s="118"/>
      <c r="H326" s="118" t="s">
        <v>35</v>
      </c>
      <c r="I326" s="118">
        <v>1</v>
      </c>
      <c r="J326" s="118">
        <v>1</v>
      </c>
      <c r="K326" s="118">
        <v>1</v>
      </c>
      <c r="L326" s="118">
        <v>4</v>
      </c>
      <c r="M326" s="118" t="s">
        <v>70</v>
      </c>
      <c r="N326" s="118" t="s">
        <v>1539</v>
      </c>
      <c r="O326" s="118">
        <v>50</v>
      </c>
      <c r="P326" s="118">
        <v>0.5</v>
      </c>
      <c r="Q326" s="118">
        <v>0</v>
      </c>
      <c r="R326" s="118">
        <v>1</v>
      </c>
      <c r="S326" s="25" t="b">
        <v>1</v>
      </c>
      <c r="T326" s="118">
        <v>39</v>
      </c>
      <c r="U326" s="118">
        <v>585</v>
      </c>
      <c r="V326" s="118">
        <v>780</v>
      </c>
      <c r="W326" s="118">
        <v>0</v>
      </c>
      <c r="X326" s="118">
        <v>6</v>
      </c>
      <c r="Y326" s="118" t="s">
        <v>38</v>
      </c>
      <c r="Z326" s="118" t="s">
        <v>1622</v>
      </c>
      <c r="AA326" s="206" t="s">
        <v>1623</v>
      </c>
      <c r="AB326" s="25" t="s">
        <v>1624</v>
      </c>
      <c r="AC326" s="118">
        <v>100000</v>
      </c>
      <c r="AD326" s="197">
        <v>1</v>
      </c>
      <c r="AE326" s="197">
        <v>1</v>
      </c>
      <c r="AF326">
        <v>0</v>
      </c>
      <c r="AG326" s="402">
        <v>6</v>
      </c>
    </row>
    <row r="327" spans="1:33" ht="14.45" customHeight="1" x14ac:dyDescent="0.3">
      <c r="A327" s="17">
        <v>400007</v>
      </c>
      <c r="B327" s="17" t="s">
        <v>1625</v>
      </c>
      <c r="C327" s="17" t="s">
        <v>1626</v>
      </c>
      <c r="D327" s="118" t="s">
        <v>1594</v>
      </c>
      <c r="E327" s="118">
        <v>0</v>
      </c>
      <c r="F327" s="118">
        <v>0</v>
      </c>
      <c r="G327" s="118"/>
      <c r="H327" s="118" t="s">
        <v>35</v>
      </c>
      <c r="I327" s="118">
        <v>1</v>
      </c>
      <c r="J327" s="118">
        <v>1</v>
      </c>
      <c r="K327" s="118">
        <v>1</v>
      </c>
      <c r="L327" s="118">
        <v>4</v>
      </c>
      <c r="M327" s="118" t="s">
        <v>70</v>
      </c>
      <c r="N327" s="118" t="s">
        <v>1545</v>
      </c>
      <c r="O327" s="118">
        <v>50</v>
      </c>
      <c r="P327" s="118">
        <v>0.5</v>
      </c>
      <c r="Q327" s="118">
        <v>0</v>
      </c>
      <c r="R327" s="118">
        <v>1</v>
      </c>
      <c r="S327" s="25" t="b">
        <v>1</v>
      </c>
      <c r="T327" s="118">
        <v>45</v>
      </c>
      <c r="U327" s="118">
        <v>675</v>
      </c>
      <c r="V327" s="118">
        <v>900</v>
      </c>
      <c r="W327" s="118">
        <v>0</v>
      </c>
      <c r="X327" s="118">
        <v>7</v>
      </c>
      <c r="Y327" s="118" t="s">
        <v>38</v>
      </c>
      <c r="Z327" s="118" t="s">
        <v>1627</v>
      </c>
      <c r="AA327" s="206" t="s">
        <v>1628</v>
      </c>
      <c r="AB327" s="25" t="s">
        <v>1629</v>
      </c>
      <c r="AC327" s="118">
        <v>100000</v>
      </c>
      <c r="AD327" s="197">
        <v>1</v>
      </c>
      <c r="AE327" s="197">
        <v>1</v>
      </c>
      <c r="AF327">
        <v>0</v>
      </c>
      <c r="AG327" s="402">
        <v>7</v>
      </c>
    </row>
    <row r="328" spans="1:33" ht="14.45" customHeight="1" x14ac:dyDescent="0.3">
      <c r="A328" s="114">
        <v>400107</v>
      </c>
      <c r="B328" s="114" t="s">
        <v>1630</v>
      </c>
      <c r="C328" s="114" t="s">
        <v>1631</v>
      </c>
      <c r="D328" s="119" t="s">
        <v>1594</v>
      </c>
      <c r="E328" s="119">
        <v>0</v>
      </c>
      <c r="F328" s="119">
        <v>0</v>
      </c>
      <c r="G328" s="119"/>
      <c r="H328" s="119" t="s">
        <v>51</v>
      </c>
      <c r="I328" s="119">
        <v>1</v>
      </c>
      <c r="J328" s="118">
        <v>4</v>
      </c>
      <c r="K328" s="119">
        <v>0</v>
      </c>
      <c r="L328" s="119">
        <v>4</v>
      </c>
      <c r="M328" s="119" t="s">
        <v>52</v>
      </c>
      <c r="N328" s="118" t="s">
        <v>1545</v>
      </c>
      <c r="O328" s="119">
        <v>50</v>
      </c>
      <c r="P328" s="119">
        <v>0.5</v>
      </c>
      <c r="Q328" s="119">
        <v>0</v>
      </c>
      <c r="R328" s="119">
        <v>1</v>
      </c>
      <c r="S328" s="80" t="b">
        <v>1</v>
      </c>
      <c r="T328" s="119">
        <v>45</v>
      </c>
      <c r="U328" s="118">
        <v>675</v>
      </c>
      <c r="V328" s="118">
        <v>900</v>
      </c>
      <c r="W328" s="119">
        <v>0</v>
      </c>
      <c r="X328" s="119">
        <v>7</v>
      </c>
      <c r="Y328" s="119" t="s">
        <v>38</v>
      </c>
      <c r="Z328" s="119" t="s">
        <v>1627</v>
      </c>
      <c r="AA328" s="206" t="s">
        <v>1632</v>
      </c>
      <c r="AB328" s="80" t="s">
        <v>1629</v>
      </c>
      <c r="AC328" s="119">
        <v>100000</v>
      </c>
      <c r="AD328" s="197">
        <v>1</v>
      </c>
      <c r="AE328" s="197">
        <v>1</v>
      </c>
      <c r="AF328">
        <v>0</v>
      </c>
      <c r="AG328" s="403">
        <v>7</v>
      </c>
    </row>
    <row r="329" spans="1:33" ht="14.45" customHeight="1" x14ac:dyDescent="0.3">
      <c r="A329" s="17">
        <v>400008</v>
      </c>
      <c r="B329" s="17" t="s">
        <v>1633</v>
      </c>
      <c r="C329" s="17" t="s">
        <v>1634</v>
      </c>
      <c r="D329" s="118" t="s">
        <v>1594</v>
      </c>
      <c r="E329" s="118">
        <v>0</v>
      </c>
      <c r="F329" s="118">
        <v>0</v>
      </c>
      <c r="G329" s="118"/>
      <c r="H329" s="118" t="s">
        <v>35</v>
      </c>
      <c r="I329" s="118">
        <v>1</v>
      </c>
      <c r="J329" s="118">
        <v>1</v>
      </c>
      <c r="K329" s="118">
        <v>1</v>
      </c>
      <c r="L329" s="118">
        <v>4</v>
      </c>
      <c r="M329" s="118" t="s">
        <v>70</v>
      </c>
      <c r="N329" s="118" t="s">
        <v>1555</v>
      </c>
      <c r="O329" s="118">
        <v>50</v>
      </c>
      <c r="P329" s="118">
        <v>0.5</v>
      </c>
      <c r="Q329" s="118">
        <v>0</v>
      </c>
      <c r="R329" s="118">
        <v>1</v>
      </c>
      <c r="S329" s="25" t="b">
        <v>1</v>
      </c>
      <c r="T329" s="118">
        <v>52</v>
      </c>
      <c r="U329" s="118">
        <v>780</v>
      </c>
      <c r="V329" s="118">
        <v>1040</v>
      </c>
      <c r="W329" s="118">
        <v>0</v>
      </c>
      <c r="X329" s="118">
        <v>8</v>
      </c>
      <c r="Y329" s="118" t="s">
        <v>38</v>
      </c>
      <c r="Z329" s="118" t="s">
        <v>1635</v>
      </c>
      <c r="AA329" s="206" t="s">
        <v>1636</v>
      </c>
      <c r="AB329" s="118" t="s">
        <v>1637</v>
      </c>
      <c r="AC329" s="118">
        <v>100000</v>
      </c>
      <c r="AD329" s="197">
        <v>1</v>
      </c>
      <c r="AE329" s="197">
        <v>1</v>
      </c>
      <c r="AF329">
        <v>0</v>
      </c>
      <c r="AG329" s="402">
        <v>8</v>
      </c>
    </row>
    <row r="330" spans="1:33" ht="14.45" customHeight="1" x14ac:dyDescent="0.3">
      <c r="A330" s="17">
        <v>400009</v>
      </c>
      <c r="B330" s="17" t="s">
        <v>1638</v>
      </c>
      <c r="C330" s="17" t="s">
        <v>1639</v>
      </c>
      <c r="D330" s="118" t="s">
        <v>1594</v>
      </c>
      <c r="E330" s="118">
        <v>0</v>
      </c>
      <c r="F330" s="118">
        <v>0</v>
      </c>
      <c r="G330" s="118"/>
      <c r="H330" s="118" t="s">
        <v>35</v>
      </c>
      <c r="I330" s="118">
        <v>1</v>
      </c>
      <c r="J330" s="118">
        <v>1</v>
      </c>
      <c r="K330" s="118">
        <v>1</v>
      </c>
      <c r="L330" s="118">
        <v>4</v>
      </c>
      <c r="M330" s="118" t="s">
        <v>70</v>
      </c>
      <c r="N330" s="118" t="s">
        <v>1561</v>
      </c>
      <c r="O330" s="118">
        <v>50</v>
      </c>
      <c r="P330" s="118">
        <v>0.5</v>
      </c>
      <c r="Q330" s="118">
        <v>0</v>
      </c>
      <c r="R330" s="118">
        <v>1</v>
      </c>
      <c r="S330" s="25" t="b">
        <v>1</v>
      </c>
      <c r="T330" s="118">
        <v>58</v>
      </c>
      <c r="U330" s="118">
        <v>870</v>
      </c>
      <c r="V330" s="118">
        <v>1160</v>
      </c>
      <c r="W330" s="118">
        <v>0</v>
      </c>
      <c r="X330" s="118">
        <v>9</v>
      </c>
      <c r="Y330" s="118" t="s">
        <v>38</v>
      </c>
      <c r="Z330" s="118" t="s">
        <v>1640</v>
      </c>
      <c r="AA330" s="206" t="s">
        <v>1641</v>
      </c>
      <c r="AB330" s="118" t="s">
        <v>1642</v>
      </c>
      <c r="AC330" s="118">
        <v>100000</v>
      </c>
      <c r="AD330" s="197">
        <v>1</v>
      </c>
      <c r="AE330" s="197">
        <v>1</v>
      </c>
      <c r="AF330">
        <v>0</v>
      </c>
      <c r="AG330" s="402">
        <v>9</v>
      </c>
    </row>
    <row r="331" spans="1:33" ht="14.45" customHeight="1" x14ac:dyDescent="0.3">
      <c r="A331" s="17">
        <v>400010</v>
      </c>
      <c r="B331" s="17" t="s">
        <v>1643</v>
      </c>
      <c r="C331" s="17" t="s">
        <v>1644</v>
      </c>
      <c r="D331" s="118" t="s">
        <v>1594</v>
      </c>
      <c r="E331" s="118">
        <v>0</v>
      </c>
      <c r="F331" s="118">
        <v>0</v>
      </c>
      <c r="G331" s="118"/>
      <c r="H331" s="118" t="s">
        <v>35</v>
      </c>
      <c r="I331" s="118">
        <v>1</v>
      </c>
      <c r="J331" s="118">
        <v>1</v>
      </c>
      <c r="K331" s="118">
        <v>1</v>
      </c>
      <c r="L331" s="118">
        <v>4</v>
      </c>
      <c r="M331" s="118" t="s">
        <v>70</v>
      </c>
      <c r="N331" s="118" t="s">
        <v>1567</v>
      </c>
      <c r="O331" s="118">
        <v>50</v>
      </c>
      <c r="P331" s="118">
        <v>0.5</v>
      </c>
      <c r="Q331" s="118">
        <v>0</v>
      </c>
      <c r="R331" s="118">
        <v>1</v>
      </c>
      <c r="S331" s="25" t="b">
        <v>1</v>
      </c>
      <c r="T331" s="118">
        <v>65</v>
      </c>
      <c r="U331" s="118">
        <v>975</v>
      </c>
      <c r="V331" s="118">
        <v>1300</v>
      </c>
      <c r="W331" s="118">
        <v>0</v>
      </c>
      <c r="X331" s="118">
        <v>10</v>
      </c>
      <c r="Y331" s="118" t="s">
        <v>38</v>
      </c>
      <c r="Z331" s="118" t="s">
        <v>1645</v>
      </c>
      <c r="AA331" s="206" t="s">
        <v>1646</v>
      </c>
      <c r="AB331" s="118" t="s">
        <v>1647</v>
      </c>
      <c r="AC331" s="118">
        <v>100000</v>
      </c>
      <c r="AD331" s="197">
        <v>1</v>
      </c>
      <c r="AE331" s="197">
        <v>1</v>
      </c>
      <c r="AF331">
        <v>0</v>
      </c>
      <c r="AG331" s="402">
        <v>10</v>
      </c>
    </row>
    <row r="332" spans="1:33" ht="14.45" customHeight="1" x14ac:dyDescent="0.3">
      <c r="A332" s="79">
        <v>400108</v>
      </c>
      <c r="B332" s="360" t="s">
        <v>1648</v>
      </c>
      <c r="C332" s="360" t="s">
        <v>1649</v>
      </c>
      <c r="D332" s="360" t="s">
        <v>1594</v>
      </c>
      <c r="E332" s="79">
        <v>0</v>
      </c>
      <c r="F332" s="360">
        <v>0</v>
      </c>
      <c r="G332" s="79"/>
      <c r="H332" s="119" t="s">
        <v>51</v>
      </c>
      <c r="I332" s="360">
        <v>1</v>
      </c>
      <c r="J332" s="118">
        <v>4</v>
      </c>
      <c r="K332" s="119">
        <v>0</v>
      </c>
      <c r="L332" s="360">
        <v>4</v>
      </c>
      <c r="M332" s="119" t="s">
        <v>52</v>
      </c>
      <c r="N332" s="118" t="s">
        <v>1555</v>
      </c>
      <c r="O332" s="360">
        <v>50</v>
      </c>
      <c r="P332" s="360">
        <v>0.5</v>
      </c>
      <c r="Q332" s="360">
        <v>0</v>
      </c>
      <c r="R332" s="360">
        <v>1</v>
      </c>
      <c r="S332" s="80" t="b">
        <v>1</v>
      </c>
      <c r="T332" s="79">
        <v>52</v>
      </c>
      <c r="U332" s="118">
        <v>780</v>
      </c>
      <c r="V332" s="118">
        <v>1040</v>
      </c>
      <c r="W332" s="79">
        <v>0</v>
      </c>
      <c r="X332" s="79">
        <v>8</v>
      </c>
      <c r="Y332" s="79" t="s">
        <v>38</v>
      </c>
      <c r="Z332" s="493" t="s">
        <v>1635</v>
      </c>
      <c r="AA332" s="206" t="s">
        <v>1650</v>
      </c>
      <c r="AB332" s="80" t="s">
        <v>1637</v>
      </c>
      <c r="AC332" s="79">
        <v>100000</v>
      </c>
      <c r="AD332" s="92">
        <v>1</v>
      </c>
      <c r="AE332" s="92">
        <v>1</v>
      </c>
      <c r="AF332">
        <v>0</v>
      </c>
      <c r="AG332" s="434">
        <v>8</v>
      </c>
    </row>
    <row r="333" spans="1:33" ht="14.45" customHeight="1" x14ac:dyDescent="0.3">
      <c r="A333" s="79">
        <v>400109</v>
      </c>
      <c r="B333" s="360" t="s">
        <v>1651</v>
      </c>
      <c r="C333" s="360" t="s">
        <v>1652</v>
      </c>
      <c r="D333" s="360" t="s">
        <v>1594</v>
      </c>
      <c r="E333" s="79">
        <v>0</v>
      </c>
      <c r="F333" s="360">
        <v>0</v>
      </c>
      <c r="G333" s="79"/>
      <c r="H333" s="119" t="s">
        <v>51</v>
      </c>
      <c r="I333" s="360">
        <v>1</v>
      </c>
      <c r="J333" s="118">
        <v>4</v>
      </c>
      <c r="K333" s="119">
        <v>0</v>
      </c>
      <c r="L333" s="360">
        <v>4</v>
      </c>
      <c r="M333" s="119" t="s">
        <v>52</v>
      </c>
      <c r="N333" s="118" t="s">
        <v>1561</v>
      </c>
      <c r="O333" s="360">
        <v>50</v>
      </c>
      <c r="P333" s="360">
        <v>0.5</v>
      </c>
      <c r="Q333" s="360">
        <v>0</v>
      </c>
      <c r="R333" s="360">
        <v>1</v>
      </c>
      <c r="S333" s="80" t="b">
        <v>1</v>
      </c>
      <c r="T333" s="79">
        <v>58</v>
      </c>
      <c r="U333" s="118">
        <v>870</v>
      </c>
      <c r="V333" s="118">
        <v>1160</v>
      </c>
      <c r="W333" s="79">
        <v>0</v>
      </c>
      <c r="X333" s="79">
        <v>9</v>
      </c>
      <c r="Y333" s="79" t="s">
        <v>38</v>
      </c>
      <c r="Z333" s="493" t="s">
        <v>1640</v>
      </c>
      <c r="AA333" s="206" t="s">
        <v>1653</v>
      </c>
      <c r="AB333" s="80" t="s">
        <v>1642</v>
      </c>
      <c r="AC333" s="79">
        <v>100000</v>
      </c>
      <c r="AD333" s="92">
        <v>1</v>
      </c>
      <c r="AE333" s="92">
        <v>1</v>
      </c>
      <c r="AF333">
        <v>0</v>
      </c>
      <c r="AG333" s="434">
        <v>9</v>
      </c>
    </row>
    <row r="334" spans="1:33" ht="14.45" customHeight="1" x14ac:dyDescent="0.3">
      <c r="A334" s="79">
        <v>400110</v>
      </c>
      <c r="B334" s="360" t="s">
        <v>1654</v>
      </c>
      <c r="C334" s="360" t="s">
        <v>1655</v>
      </c>
      <c r="D334" s="360" t="s">
        <v>1594</v>
      </c>
      <c r="E334" s="79">
        <v>0</v>
      </c>
      <c r="F334" s="360">
        <v>0</v>
      </c>
      <c r="G334" s="79"/>
      <c r="H334" s="119" t="s">
        <v>51</v>
      </c>
      <c r="I334" s="360">
        <v>1</v>
      </c>
      <c r="J334" s="118">
        <v>4</v>
      </c>
      <c r="K334" s="119">
        <v>0</v>
      </c>
      <c r="L334" s="360">
        <v>4</v>
      </c>
      <c r="M334" s="119" t="s">
        <v>52</v>
      </c>
      <c r="N334" s="118" t="s">
        <v>1567</v>
      </c>
      <c r="O334" s="360">
        <v>50</v>
      </c>
      <c r="P334" s="360">
        <v>0.5</v>
      </c>
      <c r="Q334" s="360">
        <v>0</v>
      </c>
      <c r="R334" s="360">
        <v>1</v>
      </c>
      <c r="S334" s="80" t="b">
        <v>1</v>
      </c>
      <c r="T334" s="79">
        <v>65</v>
      </c>
      <c r="U334" s="118">
        <v>975</v>
      </c>
      <c r="V334" s="118">
        <v>1300</v>
      </c>
      <c r="W334" s="79">
        <v>0</v>
      </c>
      <c r="X334" s="79">
        <v>10</v>
      </c>
      <c r="Y334" s="79" t="s">
        <v>38</v>
      </c>
      <c r="Z334" s="493" t="s">
        <v>1645</v>
      </c>
      <c r="AA334" s="206" t="s">
        <v>1656</v>
      </c>
      <c r="AB334" s="80" t="s">
        <v>1647</v>
      </c>
      <c r="AC334" s="79">
        <v>100000</v>
      </c>
      <c r="AD334" s="92">
        <v>1</v>
      </c>
      <c r="AE334" s="92">
        <v>1</v>
      </c>
      <c r="AF334">
        <v>0</v>
      </c>
      <c r="AG334" s="434">
        <v>10</v>
      </c>
    </row>
    <row r="335" spans="1:33" ht="14.45" customHeight="1" x14ac:dyDescent="0.3">
      <c r="A335" s="115">
        <v>400102</v>
      </c>
      <c r="B335" s="121" t="s">
        <v>1657</v>
      </c>
      <c r="C335" s="121" t="s">
        <v>1658</v>
      </c>
      <c r="D335" s="121" t="s">
        <v>1594</v>
      </c>
      <c r="E335" s="115">
        <v>0</v>
      </c>
      <c r="F335" s="121">
        <v>0</v>
      </c>
      <c r="G335" s="115"/>
      <c r="H335" s="121" t="s">
        <v>112</v>
      </c>
      <c r="I335" s="121">
        <v>4</v>
      </c>
      <c r="J335" s="118">
        <v>4</v>
      </c>
      <c r="K335" s="115">
        <v>0</v>
      </c>
      <c r="L335" s="121">
        <v>4</v>
      </c>
      <c r="M335" s="115">
        <v>4</v>
      </c>
      <c r="N335" s="118" t="s">
        <v>1515</v>
      </c>
      <c r="O335" s="121">
        <v>50</v>
      </c>
      <c r="P335" s="121">
        <v>0.5</v>
      </c>
      <c r="Q335" s="121">
        <v>0</v>
      </c>
      <c r="R335" s="121">
        <v>1</v>
      </c>
      <c r="S335" s="397" t="b">
        <v>1</v>
      </c>
      <c r="T335" s="115">
        <v>13</v>
      </c>
      <c r="U335" s="118">
        <v>195</v>
      </c>
      <c r="V335" s="118">
        <v>260</v>
      </c>
      <c r="W335" s="115">
        <v>0</v>
      </c>
      <c r="X335" s="115">
        <v>2</v>
      </c>
      <c r="Y335" s="115" t="s">
        <v>38</v>
      </c>
      <c r="Z335" s="495" t="s">
        <v>1659</v>
      </c>
      <c r="AA335" s="206" t="s">
        <v>1660</v>
      </c>
      <c r="AB335" s="397" t="s">
        <v>1661</v>
      </c>
      <c r="AC335" s="115">
        <v>300000</v>
      </c>
      <c r="AD335" s="197">
        <v>1</v>
      </c>
      <c r="AE335" s="197">
        <v>1</v>
      </c>
      <c r="AF335">
        <v>0</v>
      </c>
      <c r="AG335" s="436">
        <v>2</v>
      </c>
    </row>
    <row r="336" spans="1:33" ht="14.45" customHeight="1" x14ac:dyDescent="0.3">
      <c r="A336" s="117">
        <v>400103</v>
      </c>
      <c r="B336" s="124" t="s">
        <v>1662</v>
      </c>
      <c r="C336" s="124" t="s">
        <v>1663</v>
      </c>
      <c r="D336" s="117" t="s">
        <v>1594</v>
      </c>
      <c r="E336" s="117">
        <v>0</v>
      </c>
      <c r="F336" s="117">
        <v>0</v>
      </c>
      <c r="G336" s="117"/>
      <c r="H336" s="117"/>
      <c r="I336" s="117">
        <v>5</v>
      </c>
      <c r="J336" s="118">
        <v>5</v>
      </c>
      <c r="K336" s="117">
        <v>0</v>
      </c>
      <c r="L336" s="117">
        <v>4</v>
      </c>
      <c r="M336" s="117">
        <v>5</v>
      </c>
      <c r="N336" s="118" t="s">
        <v>1521</v>
      </c>
      <c r="O336" s="117">
        <v>50</v>
      </c>
      <c r="P336" s="117">
        <v>0.5</v>
      </c>
      <c r="Q336" s="117">
        <v>0</v>
      </c>
      <c r="R336" s="117">
        <v>1</v>
      </c>
      <c r="S336" s="398" t="b">
        <v>1</v>
      </c>
      <c r="T336" s="117">
        <v>19</v>
      </c>
      <c r="U336" s="118">
        <v>285</v>
      </c>
      <c r="V336" s="118">
        <v>380</v>
      </c>
      <c r="W336" s="117">
        <v>0</v>
      </c>
      <c r="X336" s="117">
        <v>3</v>
      </c>
      <c r="Y336" s="117" t="s">
        <v>38</v>
      </c>
      <c r="Z336" s="498" t="s">
        <v>1664</v>
      </c>
      <c r="AA336" s="206" t="s">
        <v>1665</v>
      </c>
      <c r="AB336" s="398" t="s">
        <v>1619</v>
      </c>
      <c r="AC336" s="117">
        <v>300000</v>
      </c>
      <c r="AD336" s="197">
        <v>1</v>
      </c>
      <c r="AE336" s="197">
        <v>1</v>
      </c>
      <c r="AF336">
        <v>0</v>
      </c>
      <c r="AG336" s="437">
        <v>3</v>
      </c>
    </row>
    <row r="337" spans="1:33" ht="14.45" customHeight="1" x14ac:dyDescent="0.3">
      <c r="A337" s="117">
        <v>400104</v>
      </c>
      <c r="B337" s="125" t="s">
        <v>1666</v>
      </c>
      <c r="C337" s="125" t="s">
        <v>1667</v>
      </c>
      <c r="D337" s="117" t="s">
        <v>1594</v>
      </c>
      <c r="E337" s="117">
        <v>0</v>
      </c>
      <c r="F337" s="117">
        <v>0</v>
      </c>
      <c r="G337" s="117"/>
      <c r="H337" s="117"/>
      <c r="I337" s="117">
        <v>5</v>
      </c>
      <c r="J337" s="118">
        <v>5</v>
      </c>
      <c r="K337" s="117">
        <v>0</v>
      </c>
      <c r="L337" s="117">
        <v>4</v>
      </c>
      <c r="M337" s="117">
        <v>5</v>
      </c>
      <c r="N337" s="118" t="s">
        <v>1527</v>
      </c>
      <c r="O337" s="117">
        <v>50</v>
      </c>
      <c r="P337" s="117">
        <v>0.5</v>
      </c>
      <c r="Q337" s="117">
        <v>0</v>
      </c>
      <c r="R337" s="117">
        <v>1</v>
      </c>
      <c r="S337" s="398" t="b">
        <v>1</v>
      </c>
      <c r="T337" s="117">
        <v>26</v>
      </c>
      <c r="U337" s="118">
        <v>390</v>
      </c>
      <c r="V337" s="118">
        <v>520</v>
      </c>
      <c r="W337" s="117">
        <v>0</v>
      </c>
      <c r="X337" s="117">
        <v>4</v>
      </c>
      <c r="Y337" s="117" t="s">
        <v>38</v>
      </c>
      <c r="Z337" s="499" t="s">
        <v>1668</v>
      </c>
      <c r="AA337" s="206" t="s">
        <v>1669</v>
      </c>
      <c r="AB337" s="398" t="s">
        <v>1606</v>
      </c>
      <c r="AC337" s="117">
        <v>100000</v>
      </c>
      <c r="AD337" s="197">
        <v>1</v>
      </c>
      <c r="AE337" s="197">
        <v>1</v>
      </c>
      <c r="AF337">
        <v>0</v>
      </c>
      <c r="AG337" s="437">
        <v>4</v>
      </c>
    </row>
    <row r="338" spans="1:33" ht="14.45" customHeight="1" x14ac:dyDescent="0.3">
      <c r="A338" s="15">
        <v>500001</v>
      </c>
      <c r="B338" s="16" t="s">
        <v>1670</v>
      </c>
      <c r="C338" s="16" t="s">
        <v>1671</v>
      </c>
      <c r="D338" s="15" t="s">
        <v>1672</v>
      </c>
      <c r="E338" s="15">
        <v>0</v>
      </c>
      <c r="F338" s="15">
        <v>0</v>
      </c>
      <c r="G338" s="15"/>
      <c r="H338" s="118" t="s">
        <v>35</v>
      </c>
      <c r="I338" s="15">
        <v>1</v>
      </c>
      <c r="J338" s="118">
        <v>1</v>
      </c>
      <c r="K338" s="15">
        <v>1</v>
      </c>
      <c r="L338" s="15">
        <v>4</v>
      </c>
      <c r="M338" s="15" t="s">
        <v>36</v>
      </c>
      <c r="N338" s="118" t="s">
        <v>1509</v>
      </c>
      <c r="O338" s="15">
        <v>50</v>
      </c>
      <c r="P338" s="15">
        <v>0.5</v>
      </c>
      <c r="Q338" s="15">
        <v>0</v>
      </c>
      <c r="R338" s="15">
        <v>1</v>
      </c>
      <c r="S338" s="25" t="b">
        <v>1</v>
      </c>
      <c r="T338" s="15">
        <v>6</v>
      </c>
      <c r="U338" s="118">
        <v>90</v>
      </c>
      <c r="V338" s="118">
        <v>120</v>
      </c>
      <c r="W338" s="15">
        <v>0</v>
      </c>
      <c r="X338" s="15">
        <v>1</v>
      </c>
      <c r="Y338" s="15" t="s">
        <v>38</v>
      </c>
      <c r="Z338" s="17" t="s">
        <v>1673</v>
      </c>
      <c r="AA338" s="206" t="s">
        <v>1674</v>
      </c>
      <c r="AB338" s="25" t="s">
        <v>1675</v>
      </c>
      <c r="AC338" s="15">
        <v>300000</v>
      </c>
      <c r="AD338" s="197">
        <v>1</v>
      </c>
      <c r="AE338" s="197">
        <v>1</v>
      </c>
      <c r="AF338">
        <v>0</v>
      </c>
      <c r="AG338" s="433">
        <v>1</v>
      </c>
    </row>
    <row r="339" spans="1:33" ht="14.45" customHeight="1" x14ac:dyDescent="0.3">
      <c r="A339" s="15">
        <v>500002</v>
      </c>
      <c r="B339" s="16" t="s">
        <v>1676</v>
      </c>
      <c r="C339" s="16" t="s">
        <v>1677</v>
      </c>
      <c r="D339" s="15" t="s">
        <v>1672</v>
      </c>
      <c r="E339" s="15">
        <v>0</v>
      </c>
      <c r="F339" s="15">
        <v>0</v>
      </c>
      <c r="G339" s="15"/>
      <c r="H339" s="118" t="s">
        <v>35</v>
      </c>
      <c r="I339" s="15">
        <v>1</v>
      </c>
      <c r="J339" s="118">
        <v>1</v>
      </c>
      <c r="K339" s="15">
        <v>1</v>
      </c>
      <c r="L339" s="15">
        <v>4</v>
      </c>
      <c r="M339" s="15" t="s">
        <v>44</v>
      </c>
      <c r="N339" s="118" t="s">
        <v>1515</v>
      </c>
      <c r="O339" s="15">
        <v>50</v>
      </c>
      <c r="P339" s="15">
        <v>0.5</v>
      </c>
      <c r="Q339" s="15">
        <v>0</v>
      </c>
      <c r="R339" s="15">
        <v>1</v>
      </c>
      <c r="S339" s="25" t="b">
        <v>1</v>
      </c>
      <c r="T339" s="15">
        <v>13</v>
      </c>
      <c r="U339" s="118">
        <v>195</v>
      </c>
      <c r="V339" s="118">
        <v>260</v>
      </c>
      <c r="W339" s="15">
        <v>0</v>
      </c>
      <c r="X339" s="15">
        <v>2</v>
      </c>
      <c r="Y339" s="15" t="s">
        <v>38</v>
      </c>
      <c r="Z339" s="17" t="s">
        <v>1678</v>
      </c>
      <c r="AA339" s="206" t="s">
        <v>1679</v>
      </c>
      <c r="AB339" s="25" t="s">
        <v>1680</v>
      </c>
      <c r="AC339" s="15">
        <v>300000</v>
      </c>
      <c r="AD339" s="197">
        <v>1</v>
      </c>
      <c r="AE339" s="197">
        <v>1</v>
      </c>
      <c r="AF339">
        <v>0</v>
      </c>
      <c r="AG339" s="433">
        <v>2</v>
      </c>
    </row>
    <row r="340" spans="1:33" ht="14.45" customHeight="1" x14ac:dyDescent="0.3">
      <c r="A340" s="15">
        <v>500003</v>
      </c>
      <c r="B340" s="16" t="s">
        <v>1681</v>
      </c>
      <c r="C340" s="16" t="s">
        <v>1682</v>
      </c>
      <c r="D340" s="15" t="s">
        <v>1672</v>
      </c>
      <c r="E340" s="15">
        <v>0</v>
      </c>
      <c r="F340" s="15">
        <v>0</v>
      </c>
      <c r="G340" s="15"/>
      <c r="H340" s="118" t="s">
        <v>35</v>
      </c>
      <c r="I340" s="15">
        <v>1</v>
      </c>
      <c r="J340" s="118">
        <v>1</v>
      </c>
      <c r="K340" s="15">
        <v>1</v>
      </c>
      <c r="L340" s="15">
        <v>4</v>
      </c>
      <c r="M340" s="15" t="s">
        <v>56</v>
      </c>
      <c r="N340" s="118" t="s">
        <v>1521</v>
      </c>
      <c r="O340" s="15">
        <v>50</v>
      </c>
      <c r="P340" s="15">
        <v>0.5</v>
      </c>
      <c r="Q340" s="15">
        <v>0</v>
      </c>
      <c r="R340" s="15">
        <v>1</v>
      </c>
      <c r="S340" s="25" t="b">
        <v>1</v>
      </c>
      <c r="T340" s="15">
        <v>19</v>
      </c>
      <c r="U340" s="118">
        <v>285</v>
      </c>
      <c r="V340" s="118">
        <v>380</v>
      </c>
      <c r="W340" s="15">
        <v>0</v>
      </c>
      <c r="X340" s="15">
        <v>3</v>
      </c>
      <c r="Y340" s="15" t="s">
        <v>38</v>
      </c>
      <c r="Z340" s="17" t="s">
        <v>1683</v>
      </c>
      <c r="AA340" s="206" t="s">
        <v>1684</v>
      </c>
      <c r="AB340" s="25" t="s">
        <v>1685</v>
      </c>
      <c r="AC340" s="15">
        <v>300000</v>
      </c>
      <c r="AD340" s="197">
        <v>1</v>
      </c>
      <c r="AE340" s="197">
        <v>1</v>
      </c>
      <c r="AF340">
        <v>0</v>
      </c>
      <c r="AG340" s="433">
        <v>3</v>
      </c>
    </row>
    <row r="341" spans="1:33" ht="14.45" customHeight="1" x14ac:dyDescent="0.3">
      <c r="A341" s="15">
        <v>500004</v>
      </c>
      <c r="B341" s="73" t="s">
        <v>1686</v>
      </c>
      <c r="C341" s="73" t="s">
        <v>1687</v>
      </c>
      <c r="D341" s="15" t="s">
        <v>1672</v>
      </c>
      <c r="E341" s="15">
        <v>0</v>
      </c>
      <c r="F341" s="15">
        <v>0</v>
      </c>
      <c r="G341" s="15"/>
      <c r="H341" s="118" t="s">
        <v>35</v>
      </c>
      <c r="I341" s="15">
        <v>1</v>
      </c>
      <c r="J341" s="118">
        <v>1</v>
      </c>
      <c r="K341" s="15">
        <v>1</v>
      </c>
      <c r="L341" s="15">
        <v>4</v>
      </c>
      <c r="M341" s="15" t="s">
        <v>63</v>
      </c>
      <c r="N341" s="118" t="s">
        <v>1527</v>
      </c>
      <c r="O341" s="15">
        <v>50</v>
      </c>
      <c r="P341" s="15">
        <v>0.5</v>
      </c>
      <c r="Q341" s="15">
        <v>0</v>
      </c>
      <c r="R341" s="15">
        <v>1</v>
      </c>
      <c r="S341" s="25" t="b">
        <v>1</v>
      </c>
      <c r="T341" s="15">
        <v>26</v>
      </c>
      <c r="U341" s="118">
        <v>390</v>
      </c>
      <c r="V341" s="118">
        <v>520</v>
      </c>
      <c r="W341" s="15">
        <v>0</v>
      </c>
      <c r="X341" s="15">
        <v>4</v>
      </c>
      <c r="Y341" s="15" t="s">
        <v>38</v>
      </c>
      <c r="Z341" s="17" t="s">
        <v>1688</v>
      </c>
      <c r="AA341" s="206" t="s">
        <v>1689</v>
      </c>
      <c r="AB341" s="25" t="s">
        <v>1690</v>
      </c>
      <c r="AC341" s="15">
        <v>300000</v>
      </c>
      <c r="AD341" s="197">
        <v>1</v>
      </c>
      <c r="AE341" s="197">
        <v>1</v>
      </c>
      <c r="AF341">
        <v>0</v>
      </c>
      <c r="AG341" s="433">
        <v>4</v>
      </c>
    </row>
    <row r="342" spans="1:33" ht="14.45" customHeight="1" x14ac:dyDescent="0.3">
      <c r="A342" s="17">
        <v>500005</v>
      </c>
      <c r="B342" s="17" t="s">
        <v>1691</v>
      </c>
      <c r="C342" s="17" t="s">
        <v>1692</v>
      </c>
      <c r="D342" s="118" t="s">
        <v>1672</v>
      </c>
      <c r="E342" s="118">
        <v>0</v>
      </c>
      <c r="F342" s="118">
        <v>0</v>
      </c>
      <c r="G342" s="118"/>
      <c r="H342" s="118" t="s">
        <v>35</v>
      </c>
      <c r="I342" s="118">
        <v>1</v>
      </c>
      <c r="J342" s="118">
        <v>1</v>
      </c>
      <c r="K342" s="118">
        <v>1</v>
      </c>
      <c r="L342" s="118">
        <v>4</v>
      </c>
      <c r="M342" s="118" t="s">
        <v>70</v>
      </c>
      <c r="N342" s="118" t="s">
        <v>1533</v>
      </c>
      <c r="O342" s="118">
        <v>50</v>
      </c>
      <c r="P342" s="118">
        <v>0.5</v>
      </c>
      <c r="Q342" s="118">
        <v>0</v>
      </c>
      <c r="R342" s="118">
        <v>1</v>
      </c>
      <c r="S342" s="25" t="b">
        <v>1</v>
      </c>
      <c r="T342" s="118">
        <v>32</v>
      </c>
      <c r="U342" s="118">
        <v>480</v>
      </c>
      <c r="V342" s="118">
        <v>640</v>
      </c>
      <c r="W342" s="118">
        <v>0</v>
      </c>
      <c r="X342" s="118">
        <v>5</v>
      </c>
      <c r="Y342" s="118" t="s">
        <v>38</v>
      </c>
      <c r="Z342" s="17" t="s">
        <v>1693</v>
      </c>
      <c r="AA342" s="206" t="s">
        <v>1694</v>
      </c>
      <c r="AB342" s="25" t="s">
        <v>1695</v>
      </c>
      <c r="AC342" s="118">
        <v>300000</v>
      </c>
      <c r="AD342" s="197">
        <v>1</v>
      </c>
      <c r="AE342" s="197">
        <v>1</v>
      </c>
      <c r="AF342">
        <v>0</v>
      </c>
      <c r="AG342" s="402">
        <v>5</v>
      </c>
    </row>
    <row r="343" spans="1:33" ht="14.45" customHeight="1" x14ac:dyDescent="0.3">
      <c r="A343" s="17">
        <v>500006</v>
      </c>
      <c r="B343" s="17" t="s">
        <v>1696</v>
      </c>
      <c r="C343" s="17" t="s">
        <v>1697</v>
      </c>
      <c r="D343" s="118" t="s">
        <v>1672</v>
      </c>
      <c r="E343" s="118">
        <v>0</v>
      </c>
      <c r="F343" s="118">
        <v>0</v>
      </c>
      <c r="G343" s="118"/>
      <c r="H343" s="118" t="s">
        <v>35</v>
      </c>
      <c r="I343" s="118">
        <v>1</v>
      </c>
      <c r="J343" s="118">
        <v>1</v>
      </c>
      <c r="K343" s="118">
        <v>1</v>
      </c>
      <c r="L343" s="118">
        <v>4</v>
      </c>
      <c r="M343" s="118" t="s">
        <v>70</v>
      </c>
      <c r="N343" s="118" t="s">
        <v>1539</v>
      </c>
      <c r="O343" s="118">
        <v>50</v>
      </c>
      <c r="P343" s="118">
        <v>0.5</v>
      </c>
      <c r="Q343" s="118">
        <v>0</v>
      </c>
      <c r="R343" s="118">
        <v>1</v>
      </c>
      <c r="S343" s="25" t="b">
        <v>1</v>
      </c>
      <c r="T343" s="118">
        <v>39</v>
      </c>
      <c r="U343" s="118">
        <v>585</v>
      </c>
      <c r="V343" s="118">
        <v>780</v>
      </c>
      <c r="W343" s="118">
        <v>0</v>
      </c>
      <c r="X343" s="118">
        <v>6</v>
      </c>
      <c r="Y343" s="118" t="s">
        <v>38</v>
      </c>
      <c r="Z343" s="17" t="s">
        <v>1698</v>
      </c>
      <c r="AA343" s="206" t="s">
        <v>1699</v>
      </c>
      <c r="AB343" s="25" t="s">
        <v>1700</v>
      </c>
      <c r="AC343" s="118">
        <v>300000</v>
      </c>
      <c r="AD343" s="197">
        <v>1</v>
      </c>
      <c r="AE343" s="197">
        <v>1</v>
      </c>
      <c r="AF343">
        <v>0</v>
      </c>
      <c r="AG343" s="402">
        <v>6</v>
      </c>
    </row>
    <row r="344" spans="1:33" ht="14.45" customHeight="1" x14ac:dyDescent="0.3">
      <c r="A344" s="17">
        <v>500007</v>
      </c>
      <c r="B344" s="17" t="s">
        <v>1701</v>
      </c>
      <c r="C344" s="17" t="s">
        <v>1702</v>
      </c>
      <c r="D344" s="118" t="s">
        <v>1672</v>
      </c>
      <c r="E344" s="118">
        <v>0</v>
      </c>
      <c r="F344" s="118">
        <v>0</v>
      </c>
      <c r="G344" s="118"/>
      <c r="H344" s="118" t="s">
        <v>35</v>
      </c>
      <c r="I344" s="118">
        <v>1</v>
      </c>
      <c r="J344" s="118">
        <v>1</v>
      </c>
      <c r="K344" s="118">
        <v>1</v>
      </c>
      <c r="L344" s="118">
        <v>4</v>
      </c>
      <c r="M344" s="118" t="s">
        <v>70</v>
      </c>
      <c r="N344" s="118" t="s">
        <v>1545</v>
      </c>
      <c r="O344" s="118">
        <v>50</v>
      </c>
      <c r="P344" s="118">
        <v>0.5</v>
      </c>
      <c r="Q344" s="118">
        <v>0</v>
      </c>
      <c r="R344" s="118">
        <v>1</v>
      </c>
      <c r="S344" s="25" t="b">
        <v>1</v>
      </c>
      <c r="T344" s="118">
        <v>45</v>
      </c>
      <c r="U344" s="118">
        <v>675</v>
      </c>
      <c r="V344" s="118">
        <v>900</v>
      </c>
      <c r="W344" s="118">
        <v>0</v>
      </c>
      <c r="X344" s="118">
        <v>7</v>
      </c>
      <c r="Y344" s="118" t="s">
        <v>38</v>
      </c>
      <c r="Z344" s="17" t="s">
        <v>1703</v>
      </c>
      <c r="AA344" s="206" t="s">
        <v>1704</v>
      </c>
      <c r="AB344" s="25" t="s">
        <v>1705</v>
      </c>
      <c r="AC344" s="118">
        <v>300000</v>
      </c>
      <c r="AD344" s="197">
        <v>1</v>
      </c>
      <c r="AE344" s="197">
        <v>1</v>
      </c>
      <c r="AF344">
        <v>0</v>
      </c>
      <c r="AG344" s="402">
        <v>7</v>
      </c>
    </row>
    <row r="345" spans="1:33" ht="14.45" customHeight="1" x14ac:dyDescent="0.3">
      <c r="A345" s="114">
        <v>500107</v>
      </c>
      <c r="B345" s="114" t="s">
        <v>1706</v>
      </c>
      <c r="C345" s="114" t="s">
        <v>1707</v>
      </c>
      <c r="D345" s="119" t="s">
        <v>1672</v>
      </c>
      <c r="E345" s="119">
        <v>0</v>
      </c>
      <c r="F345" s="119">
        <v>0</v>
      </c>
      <c r="G345" s="119"/>
      <c r="H345" s="119"/>
      <c r="I345" s="119">
        <v>1</v>
      </c>
      <c r="J345" s="118">
        <v>4</v>
      </c>
      <c r="K345" s="119">
        <v>0</v>
      </c>
      <c r="L345" s="119">
        <v>4</v>
      </c>
      <c r="M345" s="119" t="s">
        <v>52</v>
      </c>
      <c r="N345" s="118" t="s">
        <v>1545</v>
      </c>
      <c r="O345" s="119">
        <v>50</v>
      </c>
      <c r="P345" s="119">
        <v>0.5</v>
      </c>
      <c r="Q345" s="119">
        <v>0</v>
      </c>
      <c r="R345" s="119">
        <v>1</v>
      </c>
      <c r="S345" s="80" t="b">
        <v>1</v>
      </c>
      <c r="T345" s="119">
        <v>45</v>
      </c>
      <c r="U345" s="118">
        <v>675</v>
      </c>
      <c r="V345" s="118">
        <v>900</v>
      </c>
      <c r="W345" s="119">
        <v>0</v>
      </c>
      <c r="X345" s="119">
        <v>7</v>
      </c>
      <c r="Y345" s="119" t="s">
        <v>38</v>
      </c>
      <c r="Z345" s="114" t="s">
        <v>1703</v>
      </c>
      <c r="AA345" s="206" t="s">
        <v>1708</v>
      </c>
      <c r="AB345" s="80" t="s">
        <v>1705</v>
      </c>
      <c r="AC345" s="119">
        <v>300000</v>
      </c>
      <c r="AD345" s="197">
        <v>1</v>
      </c>
      <c r="AE345" s="197">
        <v>1</v>
      </c>
      <c r="AF345">
        <v>0</v>
      </c>
      <c r="AG345" s="403">
        <v>7</v>
      </c>
    </row>
    <row r="346" spans="1:33" ht="14.45" customHeight="1" x14ac:dyDescent="0.3">
      <c r="A346" s="17">
        <v>500008</v>
      </c>
      <c r="B346" s="17" t="s">
        <v>1709</v>
      </c>
      <c r="C346" s="17" t="s">
        <v>1710</v>
      </c>
      <c r="D346" s="118" t="s">
        <v>1672</v>
      </c>
      <c r="E346" s="118">
        <v>0</v>
      </c>
      <c r="F346" s="118">
        <v>0</v>
      </c>
      <c r="G346" s="118"/>
      <c r="H346" s="118" t="s">
        <v>35</v>
      </c>
      <c r="I346" s="118">
        <v>1</v>
      </c>
      <c r="J346" s="118">
        <v>1</v>
      </c>
      <c r="K346" s="118">
        <v>1</v>
      </c>
      <c r="L346" s="118">
        <v>4</v>
      </c>
      <c r="M346" s="118" t="s">
        <v>70</v>
      </c>
      <c r="N346" s="118" t="s">
        <v>1555</v>
      </c>
      <c r="O346" s="118">
        <v>50</v>
      </c>
      <c r="P346" s="118">
        <v>0.5</v>
      </c>
      <c r="Q346" s="118">
        <v>0</v>
      </c>
      <c r="R346" s="118">
        <v>1</v>
      </c>
      <c r="S346" s="25" t="b">
        <v>1</v>
      </c>
      <c r="T346" s="118">
        <v>52</v>
      </c>
      <c r="U346" s="118">
        <v>780</v>
      </c>
      <c r="V346" s="118">
        <v>1040</v>
      </c>
      <c r="W346" s="118">
        <v>0</v>
      </c>
      <c r="X346" s="118">
        <v>8</v>
      </c>
      <c r="Y346" s="118" t="s">
        <v>38</v>
      </c>
      <c r="Z346" s="17" t="s">
        <v>1711</v>
      </c>
      <c r="AA346" s="206" t="s">
        <v>1712</v>
      </c>
      <c r="AB346" s="25" t="s">
        <v>1713</v>
      </c>
      <c r="AC346" s="118">
        <v>300000</v>
      </c>
      <c r="AD346" s="197">
        <v>1</v>
      </c>
      <c r="AE346" s="197">
        <v>1</v>
      </c>
      <c r="AF346">
        <v>0</v>
      </c>
      <c r="AG346" s="402">
        <v>8</v>
      </c>
    </row>
    <row r="347" spans="1:33" ht="14.45" customHeight="1" x14ac:dyDescent="0.3">
      <c r="A347" s="17">
        <v>500009</v>
      </c>
      <c r="B347" s="17" t="s">
        <v>1714</v>
      </c>
      <c r="C347" s="17" t="s">
        <v>1715</v>
      </c>
      <c r="D347" s="118" t="s">
        <v>1672</v>
      </c>
      <c r="E347" s="118">
        <v>0</v>
      </c>
      <c r="F347" s="118">
        <v>0</v>
      </c>
      <c r="G347" s="118"/>
      <c r="H347" s="118" t="s">
        <v>35</v>
      </c>
      <c r="I347" s="118">
        <v>1</v>
      </c>
      <c r="J347" s="118">
        <v>1</v>
      </c>
      <c r="K347" s="118">
        <v>1</v>
      </c>
      <c r="L347" s="118">
        <v>4</v>
      </c>
      <c r="M347" s="118" t="s">
        <v>70</v>
      </c>
      <c r="N347" s="118" t="s">
        <v>1561</v>
      </c>
      <c r="O347" s="118">
        <v>50</v>
      </c>
      <c r="P347" s="118">
        <v>0.5</v>
      </c>
      <c r="Q347" s="118">
        <v>0</v>
      </c>
      <c r="R347" s="118">
        <v>1</v>
      </c>
      <c r="S347" s="25" t="b">
        <v>1</v>
      </c>
      <c r="T347" s="118">
        <v>58</v>
      </c>
      <c r="U347" s="118">
        <v>870</v>
      </c>
      <c r="V347" s="118">
        <v>1160</v>
      </c>
      <c r="W347" s="118">
        <v>0</v>
      </c>
      <c r="X347" s="118">
        <v>9</v>
      </c>
      <c r="Y347" s="118" t="s">
        <v>38</v>
      </c>
      <c r="Z347" s="17" t="s">
        <v>1716</v>
      </c>
      <c r="AA347" s="206" t="s">
        <v>1717</v>
      </c>
      <c r="AB347" s="25" t="s">
        <v>1718</v>
      </c>
      <c r="AC347" s="118">
        <v>300000</v>
      </c>
      <c r="AD347" s="197">
        <v>1</v>
      </c>
      <c r="AE347" s="197">
        <v>1</v>
      </c>
      <c r="AF347">
        <v>0</v>
      </c>
      <c r="AG347" s="402">
        <v>9</v>
      </c>
    </row>
    <row r="348" spans="1:33" ht="14.45" customHeight="1" x14ac:dyDescent="0.3">
      <c r="A348" s="17">
        <v>500010</v>
      </c>
      <c r="B348" s="17" t="s">
        <v>1719</v>
      </c>
      <c r="C348" s="17" t="s">
        <v>1720</v>
      </c>
      <c r="D348" s="118" t="s">
        <v>1672</v>
      </c>
      <c r="E348" s="118">
        <v>0</v>
      </c>
      <c r="F348" s="118">
        <v>0</v>
      </c>
      <c r="G348" s="118"/>
      <c r="H348" s="118" t="s">
        <v>35</v>
      </c>
      <c r="I348" s="118">
        <v>1</v>
      </c>
      <c r="J348" s="118">
        <v>1</v>
      </c>
      <c r="K348" s="118">
        <v>1</v>
      </c>
      <c r="L348" s="118">
        <v>4</v>
      </c>
      <c r="M348" s="118" t="s">
        <v>70</v>
      </c>
      <c r="N348" s="118" t="s">
        <v>1567</v>
      </c>
      <c r="O348" s="118">
        <v>50</v>
      </c>
      <c r="P348" s="118">
        <v>0.5</v>
      </c>
      <c r="Q348" s="118">
        <v>0</v>
      </c>
      <c r="R348" s="118">
        <v>1</v>
      </c>
      <c r="S348" s="25" t="b">
        <v>1</v>
      </c>
      <c r="T348" s="118">
        <v>65</v>
      </c>
      <c r="U348" s="118">
        <v>975</v>
      </c>
      <c r="V348" s="118">
        <v>1300</v>
      </c>
      <c r="W348" s="118">
        <v>0</v>
      </c>
      <c r="X348" s="118">
        <v>10</v>
      </c>
      <c r="Y348" s="118" t="s">
        <v>38</v>
      </c>
      <c r="Z348" s="17" t="s">
        <v>1721</v>
      </c>
      <c r="AA348" s="206" t="s">
        <v>1722</v>
      </c>
      <c r="AB348" s="25" t="s">
        <v>1723</v>
      </c>
      <c r="AC348" s="118">
        <v>300000</v>
      </c>
      <c r="AD348" s="197">
        <v>1</v>
      </c>
      <c r="AE348" s="197">
        <v>1</v>
      </c>
      <c r="AF348">
        <v>0</v>
      </c>
      <c r="AG348" s="402">
        <v>10</v>
      </c>
    </row>
    <row r="349" spans="1:33" ht="14.45" customHeight="1" x14ac:dyDescent="0.3">
      <c r="A349" s="79">
        <v>500108</v>
      </c>
      <c r="B349" s="360" t="s">
        <v>1724</v>
      </c>
      <c r="C349" s="360" t="s">
        <v>1725</v>
      </c>
      <c r="D349" s="360" t="s">
        <v>1672</v>
      </c>
      <c r="E349" s="79">
        <v>0</v>
      </c>
      <c r="F349" s="360">
        <v>0</v>
      </c>
      <c r="G349" s="79"/>
      <c r="H349" s="119" t="s">
        <v>51</v>
      </c>
      <c r="I349" s="360">
        <v>1</v>
      </c>
      <c r="J349" s="118">
        <v>4</v>
      </c>
      <c r="K349" s="119">
        <v>0</v>
      </c>
      <c r="L349" s="360">
        <v>4</v>
      </c>
      <c r="M349" s="119" t="s">
        <v>52</v>
      </c>
      <c r="N349" s="118" t="s">
        <v>1555</v>
      </c>
      <c r="O349" s="360">
        <v>50</v>
      </c>
      <c r="P349" s="360">
        <v>0.5</v>
      </c>
      <c r="Q349" s="360">
        <v>0</v>
      </c>
      <c r="R349" s="360">
        <v>1</v>
      </c>
      <c r="S349" s="80" t="b">
        <v>1</v>
      </c>
      <c r="T349" s="79">
        <v>52</v>
      </c>
      <c r="U349" s="118">
        <v>780</v>
      </c>
      <c r="V349" s="118">
        <v>1040</v>
      </c>
      <c r="W349" s="79">
        <v>0</v>
      </c>
      <c r="X349" s="79">
        <v>8</v>
      </c>
      <c r="Y349" s="79" t="s">
        <v>38</v>
      </c>
      <c r="Z349" s="493" t="s">
        <v>1711</v>
      </c>
      <c r="AA349" s="206" t="s">
        <v>1726</v>
      </c>
      <c r="AB349" s="80" t="s">
        <v>1713</v>
      </c>
      <c r="AC349" s="79">
        <v>300000</v>
      </c>
      <c r="AD349" s="92">
        <v>1</v>
      </c>
      <c r="AE349" s="92">
        <v>1</v>
      </c>
      <c r="AF349">
        <v>0</v>
      </c>
      <c r="AG349" s="434">
        <v>8</v>
      </c>
    </row>
    <row r="350" spans="1:33" ht="14.45" customHeight="1" x14ac:dyDescent="0.3">
      <c r="A350" s="79">
        <v>500109</v>
      </c>
      <c r="B350" s="360" t="s">
        <v>1727</v>
      </c>
      <c r="C350" s="360" t="s">
        <v>1728</v>
      </c>
      <c r="D350" s="360" t="s">
        <v>1672</v>
      </c>
      <c r="E350" s="79">
        <v>0</v>
      </c>
      <c r="F350" s="360">
        <v>0</v>
      </c>
      <c r="G350" s="79"/>
      <c r="H350" s="119" t="s">
        <v>51</v>
      </c>
      <c r="I350" s="360">
        <v>1</v>
      </c>
      <c r="J350" s="118">
        <v>4</v>
      </c>
      <c r="K350" s="119">
        <v>0</v>
      </c>
      <c r="L350" s="360">
        <v>4</v>
      </c>
      <c r="M350" s="119" t="s">
        <v>52</v>
      </c>
      <c r="N350" s="118" t="s">
        <v>1561</v>
      </c>
      <c r="O350" s="360">
        <v>50</v>
      </c>
      <c r="P350" s="360">
        <v>0.5</v>
      </c>
      <c r="Q350" s="360">
        <v>0</v>
      </c>
      <c r="R350" s="360">
        <v>1</v>
      </c>
      <c r="S350" s="80" t="b">
        <v>1</v>
      </c>
      <c r="T350" s="79">
        <v>58</v>
      </c>
      <c r="U350" s="118">
        <v>870</v>
      </c>
      <c r="V350" s="118">
        <v>1160</v>
      </c>
      <c r="W350" s="79">
        <v>0</v>
      </c>
      <c r="X350" s="79">
        <v>9</v>
      </c>
      <c r="Y350" s="79" t="s">
        <v>38</v>
      </c>
      <c r="Z350" s="493" t="s">
        <v>1716</v>
      </c>
      <c r="AA350" s="206" t="s">
        <v>1729</v>
      </c>
      <c r="AB350" s="80" t="s">
        <v>1718</v>
      </c>
      <c r="AC350" s="79">
        <v>300000</v>
      </c>
      <c r="AD350" s="92">
        <v>1</v>
      </c>
      <c r="AE350" s="92">
        <v>1</v>
      </c>
      <c r="AF350">
        <v>0</v>
      </c>
      <c r="AG350" s="434">
        <v>9</v>
      </c>
    </row>
    <row r="351" spans="1:33" ht="14.45" customHeight="1" x14ac:dyDescent="0.3">
      <c r="A351" s="79">
        <v>500110</v>
      </c>
      <c r="B351" s="360" t="s">
        <v>1730</v>
      </c>
      <c r="C351" s="360" t="s">
        <v>1731</v>
      </c>
      <c r="D351" s="360" t="s">
        <v>1672</v>
      </c>
      <c r="E351" s="79">
        <v>0</v>
      </c>
      <c r="F351" s="360">
        <v>0</v>
      </c>
      <c r="G351" s="79"/>
      <c r="H351" s="119" t="s">
        <v>51</v>
      </c>
      <c r="I351" s="360">
        <v>1</v>
      </c>
      <c r="J351" s="118">
        <v>4</v>
      </c>
      <c r="K351" s="119">
        <v>0</v>
      </c>
      <c r="L351" s="360">
        <v>4</v>
      </c>
      <c r="M351" s="119" t="s">
        <v>52</v>
      </c>
      <c r="N351" s="118" t="s">
        <v>1567</v>
      </c>
      <c r="O351" s="360">
        <v>50</v>
      </c>
      <c r="P351" s="360">
        <v>0.5</v>
      </c>
      <c r="Q351" s="360">
        <v>0</v>
      </c>
      <c r="R351" s="360">
        <v>1</v>
      </c>
      <c r="S351" s="80" t="b">
        <v>1</v>
      </c>
      <c r="T351" s="79">
        <v>65</v>
      </c>
      <c r="U351" s="118">
        <v>975</v>
      </c>
      <c r="V351" s="118">
        <v>1300</v>
      </c>
      <c r="W351" s="79">
        <v>0</v>
      </c>
      <c r="X351" s="79">
        <v>10</v>
      </c>
      <c r="Y351" s="79" t="s">
        <v>38</v>
      </c>
      <c r="Z351" s="493" t="s">
        <v>1721</v>
      </c>
      <c r="AA351" s="206" t="s">
        <v>1732</v>
      </c>
      <c r="AB351" s="80" t="s">
        <v>1723</v>
      </c>
      <c r="AC351" s="79">
        <v>300000</v>
      </c>
      <c r="AD351" s="92">
        <v>1</v>
      </c>
      <c r="AE351" s="92">
        <v>1</v>
      </c>
      <c r="AF351">
        <v>0</v>
      </c>
      <c r="AG351" s="434">
        <v>10</v>
      </c>
    </row>
    <row r="352" spans="1:33" ht="14.45" customHeight="1" x14ac:dyDescent="0.3">
      <c r="A352" s="115">
        <v>500102</v>
      </c>
      <c r="B352" s="121" t="s">
        <v>1733</v>
      </c>
      <c r="C352" s="121" t="s">
        <v>1734</v>
      </c>
      <c r="D352" s="121" t="s">
        <v>1672</v>
      </c>
      <c r="E352" s="115">
        <v>0</v>
      </c>
      <c r="F352" s="121">
        <v>0</v>
      </c>
      <c r="G352" s="115"/>
      <c r="H352" s="121" t="s">
        <v>112</v>
      </c>
      <c r="I352" s="121">
        <v>4</v>
      </c>
      <c r="J352" s="118">
        <v>4</v>
      </c>
      <c r="K352" s="115">
        <v>0</v>
      </c>
      <c r="L352" s="121">
        <v>4</v>
      </c>
      <c r="M352" s="115">
        <v>4</v>
      </c>
      <c r="N352" s="118" t="s">
        <v>1515</v>
      </c>
      <c r="O352" s="121">
        <v>50</v>
      </c>
      <c r="P352" s="121">
        <v>0.5</v>
      </c>
      <c r="Q352" s="121">
        <v>0</v>
      </c>
      <c r="R352" s="121">
        <v>1</v>
      </c>
      <c r="S352" s="397" t="b">
        <v>1</v>
      </c>
      <c r="T352" s="115">
        <v>13</v>
      </c>
      <c r="U352" s="118">
        <v>195</v>
      </c>
      <c r="V352" s="118">
        <v>260</v>
      </c>
      <c r="W352" s="115">
        <v>0</v>
      </c>
      <c r="X352" s="115">
        <v>2</v>
      </c>
      <c r="Y352" s="115" t="s">
        <v>38</v>
      </c>
      <c r="Z352" s="495" t="s">
        <v>1735</v>
      </c>
      <c r="AA352" s="206" t="s">
        <v>1736</v>
      </c>
      <c r="AB352" s="397" t="s">
        <v>1675</v>
      </c>
      <c r="AC352" s="115">
        <v>300000</v>
      </c>
      <c r="AD352" s="197">
        <v>1</v>
      </c>
      <c r="AE352" s="197">
        <v>1</v>
      </c>
      <c r="AF352">
        <v>0</v>
      </c>
      <c r="AG352" s="436">
        <v>2</v>
      </c>
    </row>
    <row r="353" spans="1:33" ht="14.45" customHeight="1" x14ac:dyDescent="0.3">
      <c r="A353" s="117">
        <v>500103</v>
      </c>
      <c r="B353" s="125" t="s">
        <v>1737</v>
      </c>
      <c r="C353" s="125" t="s">
        <v>1738</v>
      </c>
      <c r="D353" s="125" t="s">
        <v>1672</v>
      </c>
      <c r="E353" s="117">
        <v>0</v>
      </c>
      <c r="F353" s="125">
        <v>0</v>
      </c>
      <c r="G353" s="117"/>
      <c r="H353" s="125"/>
      <c r="I353" s="125">
        <v>4</v>
      </c>
      <c r="J353" s="118">
        <v>4</v>
      </c>
      <c r="K353" s="117">
        <v>0</v>
      </c>
      <c r="L353" s="125">
        <v>4</v>
      </c>
      <c r="M353" s="117">
        <v>4</v>
      </c>
      <c r="N353" s="118" t="s">
        <v>1521</v>
      </c>
      <c r="O353" s="125">
        <v>50</v>
      </c>
      <c r="P353" s="125">
        <v>0.5</v>
      </c>
      <c r="Q353" s="125">
        <v>0</v>
      </c>
      <c r="R353" s="125">
        <v>1</v>
      </c>
      <c r="S353" s="398" t="b">
        <v>1</v>
      </c>
      <c r="T353" s="117">
        <v>19</v>
      </c>
      <c r="U353" s="118">
        <v>285</v>
      </c>
      <c r="V353" s="118">
        <v>380</v>
      </c>
      <c r="W353" s="117">
        <v>0</v>
      </c>
      <c r="X353" s="117">
        <v>3</v>
      </c>
      <c r="Y353" s="117" t="s">
        <v>38</v>
      </c>
      <c r="Z353" s="117" t="s">
        <v>1664</v>
      </c>
      <c r="AA353" s="206" t="s">
        <v>1739</v>
      </c>
      <c r="AB353" s="398" t="s">
        <v>1685</v>
      </c>
      <c r="AC353" s="117">
        <v>300000</v>
      </c>
      <c r="AD353" s="197">
        <v>1</v>
      </c>
      <c r="AE353" s="197">
        <v>1</v>
      </c>
      <c r="AF353">
        <v>0</v>
      </c>
      <c r="AG353" s="437">
        <v>3</v>
      </c>
    </row>
    <row r="354" spans="1:33" ht="14.45" customHeight="1" x14ac:dyDescent="0.3">
      <c r="A354" s="117">
        <v>500104</v>
      </c>
      <c r="B354" s="122" t="s">
        <v>1740</v>
      </c>
      <c r="C354" s="122" t="s">
        <v>1741</v>
      </c>
      <c r="D354" s="117" t="s">
        <v>1672</v>
      </c>
      <c r="E354" s="117">
        <v>0</v>
      </c>
      <c r="F354" s="117">
        <v>0</v>
      </c>
      <c r="G354" s="117"/>
      <c r="H354" s="117"/>
      <c r="I354" s="117">
        <v>5</v>
      </c>
      <c r="J354" s="118">
        <v>5</v>
      </c>
      <c r="K354" s="117">
        <v>0</v>
      </c>
      <c r="L354" s="117">
        <v>4</v>
      </c>
      <c r="M354" s="117">
        <v>5</v>
      </c>
      <c r="N354" s="118" t="s">
        <v>1527</v>
      </c>
      <c r="O354" s="117">
        <v>50</v>
      </c>
      <c r="P354" s="117">
        <v>0.5</v>
      </c>
      <c r="Q354" s="117">
        <v>0</v>
      </c>
      <c r="R354" s="117">
        <v>1</v>
      </c>
      <c r="S354" s="398" t="b">
        <v>1</v>
      </c>
      <c r="T354" s="117">
        <v>26</v>
      </c>
      <c r="U354" s="118">
        <v>390</v>
      </c>
      <c r="V354" s="118">
        <v>520</v>
      </c>
      <c r="W354" s="117">
        <v>0</v>
      </c>
      <c r="X354" s="117">
        <v>4</v>
      </c>
      <c r="Y354" s="117" t="s">
        <v>38</v>
      </c>
      <c r="Z354" s="498" t="s">
        <v>1742</v>
      </c>
      <c r="AA354" s="206" t="s">
        <v>1743</v>
      </c>
      <c r="AB354" s="398" t="s">
        <v>1695</v>
      </c>
      <c r="AC354" s="117">
        <v>300000</v>
      </c>
      <c r="AD354" s="197">
        <v>1</v>
      </c>
      <c r="AE354" s="197">
        <v>1</v>
      </c>
      <c r="AF354">
        <v>0</v>
      </c>
      <c r="AG354" s="437">
        <v>4</v>
      </c>
    </row>
    <row r="355" spans="1:33" ht="14.45" customHeight="1" x14ac:dyDescent="0.3">
      <c r="A355" s="15">
        <v>600001</v>
      </c>
      <c r="B355" s="16" t="s">
        <v>1744</v>
      </c>
      <c r="C355" s="16" t="s">
        <v>1745</v>
      </c>
      <c r="D355" s="15" t="s">
        <v>1746</v>
      </c>
      <c r="E355" s="15">
        <v>0</v>
      </c>
      <c r="F355" s="15">
        <v>0</v>
      </c>
      <c r="G355" s="15"/>
      <c r="H355" s="118" t="s">
        <v>35</v>
      </c>
      <c r="I355" s="15">
        <v>1</v>
      </c>
      <c r="J355" s="118">
        <v>1</v>
      </c>
      <c r="K355" s="15">
        <v>1</v>
      </c>
      <c r="L355" s="15">
        <v>2</v>
      </c>
      <c r="M355" s="15" t="s">
        <v>36</v>
      </c>
      <c r="N355" s="118" t="s">
        <v>1747</v>
      </c>
      <c r="O355" s="15">
        <v>50</v>
      </c>
      <c r="P355" s="15">
        <v>0.5</v>
      </c>
      <c r="Q355" s="15">
        <v>0</v>
      </c>
      <c r="R355" s="15">
        <v>1</v>
      </c>
      <c r="S355" s="25" t="b">
        <v>1</v>
      </c>
      <c r="T355" s="15">
        <v>9</v>
      </c>
      <c r="U355" s="118">
        <v>135</v>
      </c>
      <c r="V355" s="118">
        <v>180</v>
      </c>
      <c r="W355" s="15">
        <v>0</v>
      </c>
      <c r="X355" s="15">
        <v>1</v>
      </c>
      <c r="Y355" s="15" t="s">
        <v>38</v>
      </c>
      <c r="Z355" s="17" t="s">
        <v>1748</v>
      </c>
      <c r="AA355" s="206" t="s">
        <v>1749</v>
      </c>
      <c r="AB355" s="25" t="s">
        <v>1750</v>
      </c>
      <c r="AC355" s="15">
        <v>300000</v>
      </c>
      <c r="AD355" s="197">
        <v>1</v>
      </c>
      <c r="AE355" s="197">
        <v>1</v>
      </c>
      <c r="AF355">
        <v>0</v>
      </c>
      <c r="AG355" s="433">
        <v>1</v>
      </c>
    </row>
    <row r="356" spans="1:33" ht="14.45" customHeight="1" x14ac:dyDescent="0.3">
      <c r="A356" s="15">
        <v>600002</v>
      </c>
      <c r="B356" s="16" t="s">
        <v>1751</v>
      </c>
      <c r="C356" s="16" t="s">
        <v>1752</v>
      </c>
      <c r="D356" s="15" t="s">
        <v>1746</v>
      </c>
      <c r="E356" s="15">
        <v>0</v>
      </c>
      <c r="F356" s="15">
        <v>0</v>
      </c>
      <c r="G356" s="15"/>
      <c r="H356" s="118" t="s">
        <v>35</v>
      </c>
      <c r="I356" s="15">
        <v>1</v>
      </c>
      <c r="J356" s="118">
        <v>1</v>
      </c>
      <c r="K356" s="15">
        <v>1</v>
      </c>
      <c r="L356" s="15">
        <v>2</v>
      </c>
      <c r="M356" s="15" t="s">
        <v>44</v>
      </c>
      <c r="N356" s="118" t="s">
        <v>1753</v>
      </c>
      <c r="O356" s="15">
        <v>50</v>
      </c>
      <c r="P356" s="15">
        <v>0.5</v>
      </c>
      <c r="Q356" s="15">
        <v>0</v>
      </c>
      <c r="R356" s="15">
        <v>1</v>
      </c>
      <c r="S356" s="25" t="b">
        <v>1</v>
      </c>
      <c r="T356" s="15">
        <v>19</v>
      </c>
      <c r="U356" s="118">
        <v>285</v>
      </c>
      <c r="V356" s="118">
        <v>380</v>
      </c>
      <c r="W356" s="15">
        <v>0</v>
      </c>
      <c r="X356" s="15">
        <v>2</v>
      </c>
      <c r="Y356" s="15" t="s">
        <v>38</v>
      </c>
      <c r="Z356" s="17" t="s">
        <v>1754</v>
      </c>
      <c r="AA356" s="206" t="s">
        <v>1755</v>
      </c>
      <c r="AB356" s="25" t="s">
        <v>1756</v>
      </c>
      <c r="AC356" s="15">
        <v>100000</v>
      </c>
      <c r="AD356" s="197">
        <v>1</v>
      </c>
      <c r="AE356" s="197">
        <v>1</v>
      </c>
      <c r="AF356">
        <v>0</v>
      </c>
      <c r="AG356" s="433">
        <v>2</v>
      </c>
    </row>
    <row r="357" spans="1:33" ht="14.45" customHeight="1" x14ac:dyDescent="0.3">
      <c r="A357" s="15">
        <v>600003</v>
      </c>
      <c r="B357" s="21" t="s">
        <v>1757</v>
      </c>
      <c r="C357" s="21" t="s">
        <v>1758</v>
      </c>
      <c r="D357" s="15" t="s">
        <v>1746</v>
      </c>
      <c r="E357" s="15">
        <v>0</v>
      </c>
      <c r="F357" s="15">
        <v>0</v>
      </c>
      <c r="G357" s="15"/>
      <c r="H357" s="118" t="s">
        <v>35</v>
      </c>
      <c r="I357" s="15">
        <v>1</v>
      </c>
      <c r="J357" s="118">
        <v>1</v>
      </c>
      <c r="K357" s="15">
        <v>1</v>
      </c>
      <c r="L357" s="15">
        <v>2</v>
      </c>
      <c r="M357" s="15" t="s">
        <v>56</v>
      </c>
      <c r="N357" s="118" t="s">
        <v>1759</v>
      </c>
      <c r="O357" s="15">
        <v>50</v>
      </c>
      <c r="P357" s="15">
        <v>0.5</v>
      </c>
      <c r="Q357" s="15">
        <v>0</v>
      </c>
      <c r="R357" s="15">
        <v>1</v>
      </c>
      <c r="S357" s="25" t="b">
        <v>1</v>
      </c>
      <c r="T357" s="15">
        <v>28</v>
      </c>
      <c r="U357" s="118">
        <v>420</v>
      </c>
      <c r="V357" s="118">
        <v>560</v>
      </c>
      <c r="W357" s="15">
        <v>0</v>
      </c>
      <c r="X357" s="15">
        <v>3</v>
      </c>
      <c r="Y357" s="15" t="s">
        <v>38</v>
      </c>
      <c r="Z357" s="17" t="s">
        <v>1760</v>
      </c>
      <c r="AA357" s="206" t="s">
        <v>1761</v>
      </c>
      <c r="AB357" s="25" t="s">
        <v>1762</v>
      </c>
      <c r="AC357" s="15">
        <v>200000</v>
      </c>
      <c r="AD357" s="197">
        <v>1</v>
      </c>
      <c r="AE357" s="197">
        <v>1</v>
      </c>
      <c r="AF357">
        <v>0</v>
      </c>
      <c r="AG357" s="433">
        <v>3</v>
      </c>
    </row>
    <row r="358" spans="1:33" ht="14.45" customHeight="1" x14ac:dyDescent="0.3">
      <c r="A358" s="15">
        <v>600004</v>
      </c>
      <c r="B358" s="72" t="s">
        <v>1763</v>
      </c>
      <c r="C358" s="72" t="s">
        <v>1764</v>
      </c>
      <c r="D358" s="15" t="s">
        <v>1746</v>
      </c>
      <c r="E358" s="15">
        <v>0</v>
      </c>
      <c r="F358" s="15">
        <v>0</v>
      </c>
      <c r="G358" s="15"/>
      <c r="H358" s="118" t="s">
        <v>35</v>
      </c>
      <c r="I358" s="15">
        <v>1</v>
      </c>
      <c r="J358" s="118">
        <v>1</v>
      </c>
      <c r="K358" s="15">
        <v>1</v>
      </c>
      <c r="L358" s="15">
        <v>2</v>
      </c>
      <c r="M358" s="15" t="s">
        <v>63</v>
      </c>
      <c r="N358" s="118" t="s">
        <v>1765</v>
      </c>
      <c r="O358" s="15">
        <v>50</v>
      </c>
      <c r="P358" s="15">
        <v>0.5</v>
      </c>
      <c r="Q358" s="15">
        <v>0</v>
      </c>
      <c r="R358" s="15">
        <v>1</v>
      </c>
      <c r="S358" s="25" t="b">
        <v>1</v>
      </c>
      <c r="T358" s="15">
        <v>39</v>
      </c>
      <c r="U358" s="118">
        <v>585</v>
      </c>
      <c r="V358" s="118">
        <v>780</v>
      </c>
      <c r="W358" s="15">
        <v>0</v>
      </c>
      <c r="X358" s="15">
        <v>4</v>
      </c>
      <c r="Y358" s="15" t="s">
        <v>38</v>
      </c>
      <c r="Z358" s="17" t="s">
        <v>1766</v>
      </c>
      <c r="AA358" s="206" t="s">
        <v>1767</v>
      </c>
      <c r="AB358" s="25" t="s">
        <v>1768</v>
      </c>
      <c r="AC358" s="15">
        <v>100000</v>
      </c>
      <c r="AD358" s="197">
        <v>1</v>
      </c>
      <c r="AE358" s="197">
        <v>1</v>
      </c>
      <c r="AF358">
        <v>0</v>
      </c>
      <c r="AG358" s="433">
        <v>4</v>
      </c>
    </row>
    <row r="359" spans="1:33" ht="14.45" customHeight="1" x14ac:dyDescent="0.3">
      <c r="A359" s="17">
        <v>600005</v>
      </c>
      <c r="B359" s="17" t="s">
        <v>1769</v>
      </c>
      <c r="C359" s="17" t="s">
        <v>1770</v>
      </c>
      <c r="D359" s="118" t="s">
        <v>1746</v>
      </c>
      <c r="E359" s="118">
        <v>0</v>
      </c>
      <c r="F359" s="118">
        <v>0</v>
      </c>
      <c r="G359" s="118"/>
      <c r="H359" s="118" t="s">
        <v>35</v>
      </c>
      <c r="I359" s="118">
        <v>1</v>
      </c>
      <c r="J359" s="118">
        <v>1</v>
      </c>
      <c r="K359" s="118">
        <v>1</v>
      </c>
      <c r="L359" s="118">
        <v>2</v>
      </c>
      <c r="M359" s="118" t="s">
        <v>70</v>
      </c>
      <c r="N359" s="118" t="s">
        <v>37</v>
      </c>
      <c r="O359" s="118">
        <v>50</v>
      </c>
      <c r="P359" s="118">
        <v>0.5</v>
      </c>
      <c r="Q359" s="118">
        <v>0</v>
      </c>
      <c r="R359" s="118">
        <v>1</v>
      </c>
      <c r="S359" s="25" t="b">
        <v>1</v>
      </c>
      <c r="T359" s="118">
        <v>48</v>
      </c>
      <c r="U359" s="118">
        <v>720</v>
      </c>
      <c r="V359" s="118">
        <v>960</v>
      </c>
      <c r="W359" s="118">
        <v>0</v>
      </c>
      <c r="X359" s="118">
        <v>5</v>
      </c>
      <c r="Y359" s="118" t="s">
        <v>38</v>
      </c>
      <c r="Z359" s="17" t="s">
        <v>1771</v>
      </c>
      <c r="AA359" s="206" t="s">
        <v>1772</v>
      </c>
      <c r="AB359" s="25" t="s">
        <v>1773</v>
      </c>
      <c r="AC359" s="118">
        <v>100000</v>
      </c>
      <c r="AD359" s="197">
        <v>1</v>
      </c>
      <c r="AE359" s="197">
        <v>1</v>
      </c>
      <c r="AF359">
        <v>0</v>
      </c>
      <c r="AG359" s="402">
        <v>5</v>
      </c>
    </row>
    <row r="360" spans="1:33" ht="14.45" customHeight="1" x14ac:dyDescent="0.3">
      <c r="A360" s="17">
        <v>600006</v>
      </c>
      <c r="B360" s="17" t="s">
        <v>1774</v>
      </c>
      <c r="C360" s="17" t="s">
        <v>1775</v>
      </c>
      <c r="D360" s="118" t="s">
        <v>1746</v>
      </c>
      <c r="E360" s="118">
        <v>0</v>
      </c>
      <c r="F360" s="118">
        <v>0</v>
      </c>
      <c r="G360" s="118"/>
      <c r="H360" s="118" t="s">
        <v>35</v>
      </c>
      <c r="I360" s="118">
        <v>1</v>
      </c>
      <c r="J360" s="118">
        <v>1</v>
      </c>
      <c r="K360" s="118">
        <v>1</v>
      </c>
      <c r="L360" s="118">
        <v>2</v>
      </c>
      <c r="M360" s="118" t="s">
        <v>70</v>
      </c>
      <c r="N360" s="118" t="s">
        <v>1776</v>
      </c>
      <c r="O360" s="118">
        <v>50</v>
      </c>
      <c r="P360" s="118">
        <v>0.5</v>
      </c>
      <c r="Q360" s="118">
        <v>0</v>
      </c>
      <c r="R360" s="118">
        <v>1</v>
      </c>
      <c r="S360" s="25" t="b">
        <v>1</v>
      </c>
      <c r="T360" s="118">
        <v>58</v>
      </c>
      <c r="U360" s="118">
        <v>870</v>
      </c>
      <c r="V360" s="118">
        <v>1160</v>
      </c>
      <c r="W360" s="118">
        <v>0</v>
      </c>
      <c r="X360" s="118">
        <v>6</v>
      </c>
      <c r="Y360" s="118" t="s">
        <v>38</v>
      </c>
      <c r="Z360" s="17" t="s">
        <v>1777</v>
      </c>
      <c r="AA360" s="206" t="s">
        <v>1778</v>
      </c>
      <c r="AB360" s="25" t="s">
        <v>1779</v>
      </c>
      <c r="AC360" s="118">
        <v>100000</v>
      </c>
      <c r="AD360" s="197">
        <v>1</v>
      </c>
      <c r="AE360" s="197">
        <v>1</v>
      </c>
      <c r="AF360">
        <v>0</v>
      </c>
      <c r="AG360" s="402">
        <v>6</v>
      </c>
    </row>
    <row r="361" spans="1:33" ht="14.45" customHeight="1" x14ac:dyDescent="0.3">
      <c r="A361" s="17">
        <v>600007</v>
      </c>
      <c r="B361" s="17" t="s">
        <v>1780</v>
      </c>
      <c r="C361" s="17" t="s">
        <v>1781</v>
      </c>
      <c r="D361" s="118" t="s">
        <v>1746</v>
      </c>
      <c r="E361" s="118">
        <v>0</v>
      </c>
      <c r="F361" s="118">
        <v>0</v>
      </c>
      <c r="G361" s="118"/>
      <c r="H361" s="118" t="s">
        <v>35</v>
      </c>
      <c r="I361" s="118">
        <v>1</v>
      </c>
      <c r="J361" s="118">
        <v>1</v>
      </c>
      <c r="K361" s="118">
        <v>1</v>
      </c>
      <c r="L361" s="118">
        <v>2</v>
      </c>
      <c r="M361" s="118" t="s">
        <v>70</v>
      </c>
      <c r="N361" s="118" t="s">
        <v>1782</v>
      </c>
      <c r="O361" s="118">
        <v>50</v>
      </c>
      <c r="P361" s="118">
        <v>0.5</v>
      </c>
      <c r="Q361" s="118">
        <v>0</v>
      </c>
      <c r="R361" s="118">
        <v>1</v>
      </c>
      <c r="S361" s="25" t="b">
        <v>1</v>
      </c>
      <c r="T361" s="118">
        <v>67</v>
      </c>
      <c r="U361" s="118">
        <v>1005</v>
      </c>
      <c r="V361" s="118">
        <v>1340</v>
      </c>
      <c r="W361" s="118">
        <v>0</v>
      </c>
      <c r="X361" s="118">
        <v>7</v>
      </c>
      <c r="Y361" s="118" t="s">
        <v>38</v>
      </c>
      <c r="Z361" s="17" t="s">
        <v>1783</v>
      </c>
      <c r="AA361" s="206" t="s">
        <v>1784</v>
      </c>
      <c r="AB361" s="25" t="s">
        <v>1785</v>
      </c>
      <c r="AC361" s="118">
        <v>100000</v>
      </c>
      <c r="AD361" s="197">
        <v>1</v>
      </c>
      <c r="AE361" s="197">
        <v>1</v>
      </c>
      <c r="AF361">
        <v>0</v>
      </c>
      <c r="AG361" s="402">
        <v>7</v>
      </c>
    </row>
    <row r="362" spans="1:33" ht="14.45" customHeight="1" x14ac:dyDescent="0.3">
      <c r="A362" s="17">
        <v>600008</v>
      </c>
      <c r="B362" t="s">
        <v>1786</v>
      </c>
      <c r="C362" t="s">
        <v>1787</v>
      </c>
      <c r="D362" s="118" t="s">
        <v>1746</v>
      </c>
      <c r="E362" s="118">
        <v>0</v>
      </c>
      <c r="F362" s="118">
        <v>0</v>
      </c>
      <c r="G362" s="118"/>
      <c r="H362" s="17" t="s">
        <v>35</v>
      </c>
      <c r="I362" s="118">
        <v>1</v>
      </c>
      <c r="J362" s="118">
        <v>1</v>
      </c>
      <c r="K362" s="118">
        <v>1</v>
      </c>
      <c r="L362" s="118">
        <v>2</v>
      </c>
      <c r="M362" s="118" t="s">
        <v>70</v>
      </c>
      <c r="N362" s="118" t="s">
        <v>1788</v>
      </c>
      <c r="O362" s="118">
        <v>50</v>
      </c>
      <c r="P362" s="118">
        <v>0.5</v>
      </c>
      <c r="Q362" s="118">
        <v>0</v>
      </c>
      <c r="R362" s="118">
        <v>1</v>
      </c>
      <c r="S362" s="25" t="b">
        <v>1</v>
      </c>
      <c r="T362" s="118">
        <v>78</v>
      </c>
      <c r="U362" s="118">
        <v>1170</v>
      </c>
      <c r="V362" s="118">
        <v>1560</v>
      </c>
      <c r="W362" s="118">
        <v>0</v>
      </c>
      <c r="X362" s="118">
        <v>8</v>
      </c>
      <c r="Y362" s="118" t="s">
        <v>38</v>
      </c>
      <c r="Z362" s="17" t="s">
        <v>1789</v>
      </c>
      <c r="AA362" s="206" t="s">
        <v>1790</v>
      </c>
      <c r="AB362" s="25" t="s">
        <v>1791</v>
      </c>
      <c r="AC362" s="118">
        <v>100000</v>
      </c>
      <c r="AD362" s="191">
        <v>1</v>
      </c>
      <c r="AE362" s="191">
        <v>1</v>
      </c>
      <c r="AF362">
        <v>0</v>
      </c>
      <c r="AG362" s="402">
        <v>8</v>
      </c>
    </row>
    <row r="363" spans="1:33" ht="14.45" customHeight="1" x14ac:dyDescent="0.3">
      <c r="A363" s="17">
        <v>600009</v>
      </c>
      <c r="B363" s="17" t="s">
        <v>1792</v>
      </c>
      <c r="C363" s="17" t="s">
        <v>1793</v>
      </c>
      <c r="D363" s="118" t="s">
        <v>1746</v>
      </c>
      <c r="E363" s="118">
        <v>0</v>
      </c>
      <c r="F363" s="118">
        <v>0</v>
      </c>
      <c r="G363" s="118"/>
      <c r="H363" s="17" t="s">
        <v>35</v>
      </c>
      <c r="I363" s="118">
        <v>1</v>
      </c>
      <c r="J363" s="118">
        <v>1</v>
      </c>
      <c r="K363" s="118">
        <v>1</v>
      </c>
      <c r="L363" s="118">
        <v>2</v>
      </c>
      <c r="M363" s="118" t="s">
        <v>70</v>
      </c>
      <c r="N363" s="118" t="s">
        <v>1794</v>
      </c>
      <c r="O363" s="118">
        <v>50</v>
      </c>
      <c r="P363" s="118">
        <v>0.5</v>
      </c>
      <c r="Q363" s="118">
        <v>0</v>
      </c>
      <c r="R363" s="118">
        <v>1</v>
      </c>
      <c r="S363" s="25" t="b">
        <v>1</v>
      </c>
      <c r="T363" s="118">
        <v>87</v>
      </c>
      <c r="U363" s="118">
        <v>1305</v>
      </c>
      <c r="V363" s="118">
        <v>1740</v>
      </c>
      <c r="W363" s="118">
        <v>0</v>
      </c>
      <c r="X363" s="118">
        <v>9</v>
      </c>
      <c r="Y363" s="118" t="s">
        <v>38</v>
      </c>
      <c r="Z363" s="17" t="s">
        <v>1795</v>
      </c>
      <c r="AA363" s="206" t="s">
        <v>1796</v>
      </c>
      <c r="AB363" s="25" t="s">
        <v>1797</v>
      </c>
      <c r="AC363" s="118">
        <v>100000</v>
      </c>
      <c r="AD363" s="191">
        <v>1</v>
      </c>
      <c r="AE363" s="191">
        <v>1</v>
      </c>
      <c r="AF363">
        <v>0</v>
      </c>
      <c r="AG363" s="402">
        <v>9</v>
      </c>
    </row>
    <row r="364" spans="1:33" ht="14.45" customHeight="1" x14ac:dyDescent="0.3">
      <c r="A364" s="17">
        <v>600010</v>
      </c>
      <c r="B364" s="17" t="s">
        <v>1798</v>
      </c>
      <c r="C364" s="17" t="s">
        <v>1799</v>
      </c>
      <c r="D364" s="118" t="s">
        <v>1746</v>
      </c>
      <c r="E364" s="118">
        <v>0</v>
      </c>
      <c r="F364" s="118">
        <v>0</v>
      </c>
      <c r="G364" s="118"/>
      <c r="H364" s="17" t="s">
        <v>35</v>
      </c>
      <c r="I364" s="118">
        <v>1</v>
      </c>
      <c r="J364" s="118">
        <v>1</v>
      </c>
      <c r="K364" s="118">
        <v>1</v>
      </c>
      <c r="L364" s="118">
        <v>2</v>
      </c>
      <c r="M364" s="118" t="s">
        <v>70</v>
      </c>
      <c r="N364" s="118" t="s">
        <v>1800</v>
      </c>
      <c r="O364" s="118">
        <v>50</v>
      </c>
      <c r="P364" s="118">
        <v>0.5</v>
      </c>
      <c r="Q364" s="118">
        <v>0</v>
      </c>
      <c r="R364" s="118">
        <v>1</v>
      </c>
      <c r="S364" s="25" t="b">
        <v>1</v>
      </c>
      <c r="T364" s="118">
        <v>97</v>
      </c>
      <c r="U364" s="118">
        <v>1455</v>
      </c>
      <c r="V364" s="118">
        <v>1940</v>
      </c>
      <c r="W364" s="118">
        <v>0</v>
      </c>
      <c r="X364" s="118">
        <v>10</v>
      </c>
      <c r="Y364" s="118" t="s">
        <v>38</v>
      </c>
      <c r="Z364" s="17" t="s">
        <v>1801</v>
      </c>
      <c r="AA364" s="206" t="s">
        <v>1802</v>
      </c>
      <c r="AB364" s="25" t="s">
        <v>1803</v>
      </c>
      <c r="AC364" s="118">
        <v>100000</v>
      </c>
      <c r="AD364" s="191">
        <v>1</v>
      </c>
      <c r="AE364" s="191">
        <v>1</v>
      </c>
      <c r="AF364">
        <v>0</v>
      </c>
      <c r="AG364" s="402">
        <v>10</v>
      </c>
    </row>
    <row r="365" spans="1:33" ht="14.45" customHeight="1" x14ac:dyDescent="0.3">
      <c r="A365" s="41">
        <v>600101</v>
      </c>
      <c r="B365" s="42" t="s">
        <v>1804</v>
      </c>
      <c r="C365" s="42" t="s">
        <v>1805</v>
      </c>
      <c r="D365" s="41" t="s">
        <v>1746</v>
      </c>
      <c r="E365" s="41">
        <v>0</v>
      </c>
      <c r="F365" s="41">
        <v>0</v>
      </c>
      <c r="G365" s="41"/>
      <c r="H365" s="84" t="s">
        <v>107</v>
      </c>
      <c r="I365" s="41">
        <v>2</v>
      </c>
      <c r="J365" s="118">
        <v>2</v>
      </c>
      <c r="K365" s="41">
        <v>0</v>
      </c>
      <c r="L365" s="41">
        <v>2</v>
      </c>
      <c r="M365" s="41">
        <v>3</v>
      </c>
      <c r="N365" s="118" t="s">
        <v>1747</v>
      </c>
      <c r="O365" s="41">
        <v>50</v>
      </c>
      <c r="P365" s="41">
        <v>0.5</v>
      </c>
      <c r="Q365" s="41">
        <v>0</v>
      </c>
      <c r="R365" s="41">
        <v>1</v>
      </c>
      <c r="S365" s="43" t="b">
        <v>1</v>
      </c>
      <c r="T365" s="41">
        <v>9</v>
      </c>
      <c r="U365" s="118">
        <v>135</v>
      </c>
      <c r="V365" s="118">
        <v>180</v>
      </c>
      <c r="W365" s="41">
        <v>0</v>
      </c>
      <c r="X365" s="41">
        <v>1</v>
      </c>
      <c r="Y365" s="41" t="s">
        <v>38</v>
      </c>
      <c r="Z365" s="500" t="s">
        <v>1806</v>
      </c>
      <c r="AA365" s="206" t="s">
        <v>1807</v>
      </c>
      <c r="AB365" s="43" t="s">
        <v>1808</v>
      </c>
      <c r="AC365" s="41">
        <v>200000</v>
      </c>
      <c r="AD365" s="197">
        <v>0</v>
      </c>
      <c r="AE365" s="197">
        <v>0</v>
      </c>
      <c r="AF365">
        <v>0</v>
      </c>
      <c r="AG365" s="435">
        <v>1</v>
      </c>
    </row>
    <row r="366" spans="1:33" ht="14.45" customHeight="1" x14ac:dyDescent="0.3">
      <c r="A366" s="115">
        <v>600102</v>
      </c>
      <c r="B366" s="397" t="s">
        <v>1809</v>
      </c>
      <c r="C366" s="397" t="s">
        <v>1810</v>
      </c>
      <c r="D366" s="121" t="s">
        <v>1746</v>
      </c>
      <c r="E366" s="115">
        <v>0</v>
      </c>
      <c r="F366" s="121">
        <v>0</v>
      </c>
      <c r="G366" s="115"/>
      <c r="H366" s="121" t="s">
        <v>112</v>
      </c>
      <c r="I366" s="121">
        <v>4</v>
      </c>
      <c r="J366" s="118">
        <v>4</v>
      </c>
      <c r="K366" s="115">
        <v>0</v>
      </c>
      <c r="L366" s="121">
        <v>2</v>
      </c>
      <c r="M366" s="115">
        <v>4</v>
      </c>
      <c r="N366" s="118" t="s">
        <v>1753</v>
      </c>
      <c r="O366" s="121">
        <v>50</v>
      </c>
      <c r="P366" s="121">
        <v>0.5</v>
      </c>
      <c r="Q366" s="121">
        <v>0</v>
      </c>
      <c r="R366" s="121">
        <v>1</v>
      </c>
      <c r="S366" s="397" t="b">
        <v>1</v>
      </c>
      <c r="T366" s="115">
        <v>19</v>
      </c>
      <c r="U366" s="118">
        <v>285</v>
      </c>
      <c r="V366" s="118">
        <v>380</v>
      </c>
      <c r="W366" s="115">
        <v>0</v>
      </c>
      <c r="X366" s="115">
        <v>2</v>
      </c>
      <c r="Y366" s="115" t="s">
        <v>38</v>
      </c>
      <c r="Z366" s="495" t="s">
        <v>1811</v>
      </c>
      <c r="AA366" s="206" t="s">
        <v>1812</v>
      </c>
      <c r="AB366" s="397" t="s">
        <v>1768</v>
      </c>
      <c r="AC366" s="115">
        <v>300000</v>
      </c>
      <c r="AD366" s="197">
        <v>1</v>
      </c>
      <c r="AE366" s="197">
        <v>1</v>
      </c>
      <c r="AF366">
        <v>0</v>
      </c>
      <c r="AG366" s="436">
        <v>2</v>
      </c>
    </row>
    <row r="367" spans="1:33" ht="14.45" customHeight="1" x14ac:dyDescent="0.3">
      <c r="A367" s="115">
        <v>600103</v>
      </c>
      <c r="B367" s="123" t="s">
        <v>1813</v>
      </c>
      <c r="C367" s="123" t="s">
        <v>1814</v>
      </c>
      <c r="D367" s="115" t="s">
        <v>1746</v>
      </c>
      <c r="E367" s="115">
        <v>0</v>
      </c>
      <c r="F367" s="115">
        <v>0</v>
      </c>
      <c r="G367" s="115"/>
      <c r="H367" s="121" t="s">
        <v>112</v>
      </c>
      <c r="I367" s="115">
        <v>5</v>
      </c>
      <c r="J367" s="118">
        <v>5</v>
      </c>
      <c r="K367" s="115">
        <v>0</v>
      </c>
      <c r="L367" s="115">
        <v>2</v>
      </c>
      <c r="M367" s="115">
        <v>5</v>
      </c>
      <c r="N367" s="118" t="s">
        <v>1759</v>
      </c>
      <c r="O367" s="115">
        <v>50</v>
      </c>
      <c r="P367" s="115">
        <v>0.5</v>
      </c>
      <c r="Q367" s="115">
        <v>0</v>
      </c>
      <c r="R367" s="115">
        <v>1</v>
      </c>
      <c r="S367" s="397" t="b">
        <v>1</v>
      </c>
      <c r="T367" s="115">
        <v>28</v>
      </c>
      <c r="U367" s="118">
        <v>420</v>
      </c>
      <c r="V367" s="118">
        <v>560</v>
      </c>
      <c r="W367" s="115">
        <v>0</v>
      </c>
      <c r="X367" s="115">
        <v>3</v>
      </c>
      <c r="Y367" s="115" t="s">
        <v>38</v>
      </c>
      <c r="Z367" s="495" t="s">
        <v>1815</v>
      </c>
      <c r="AA367" s="206" t="s">
        <v>1816</v>
      </c>
      <c r="AB367" s="397" t="s">
        <v>1750</v>
      </c>
      <c r="AC367" s="115">
        <v>300000</v>
      </c>
      <c r="AD367" s="197">
        <v>1</v>
      </c>
      <c r="AE367" s="197">
        <v>1</v>
      </c>
      <c r="AF367">
        <v>0</v>
      </c>
      <c r="AG367" s="436">
        <v>3</v>
      </c>
    </row>
    <row r="368" spans="1:33" ht="14.45" customHeight="1" x14ac:dyDescent="0.3">
      <c r="A368" s="41">
        <v>600104</v>
      </c>
      <c r="B368" s="42" t="s">
        <v>1817</v>
      </c>
      <c r="C368" s="42" t="s">
        <v>1818</v>
      </c>
      <c r="D368" s="41" t="s">
        <v>1746</v>
      </c>
      <c r="E368" s="41">
        <v>0</v>
      </c>
      <c r="F368" s="41">
        <v>0</v>
      </c>
      <c r="G368" s="41"/>
      <c r="H368" s="84" t="s">
        <v>107</v>
      </c>
      <c r="I368" s="41">
        <v>5</v>
      </c>
      <c r="J368" s="118">
        <v>5</v>
      </c>
      <c r="K368" s="41">
        <v>0</v>
      </c>
      <c r="L368" s="41">
        <v>2</v>
      </c>
      <c r="M368" s="41">
        <v>5</v>
      </c>
      <c r="N368" s="118" t="s">
        <v>1765</v>
      </c>
      <c r="O368" s="41">
        <v>50</v>
      </c>
      <c r="P368" s="41">
        <v>0.5</v>
      </c>
      <c r="Q368" s="41">
        <v>0</v>
      </c>
      <c r="R368" s="41">
        <v>1</v>
      </c>
      <c r="S368" s="43" t="b">
        <v>1</v>
      </c>
      <c r="T368" s="41">
        <v>39</v>
      </c>
      <c r="U368" s="118">
        <v>585</v>
      </c>
      <c r="V368" s="118">
        <v>780</v>
      </c>
      <c r="W368" s="41">
        <v>0</v>
      </c>
      <c r="X368" s="41">
        <v>4</v>
      </c>
      <c r="Y368" s="41" t="s">
        <v>38</v>
      </c>
      <c r="Z368" s="105" t="s">
        <v>1819</v>
      </c>
      <c r="AA368" s="206" t="s">
        <v>1820</v>
      </c>
      <c r="AB368" s="43" t="s">
        <v>1821</v>
      </c>
      <c r="AC368" s="41">
        <v>100000</v>
      </c>
      <c r="AD368" s="197">
        <v>1</v>
      </c>
      <c r="AE368" s="197">
        <v>1</v>
      </c>
      <c r="AF368">
        <v>0</v>
      </c>
      <c r="AG368" s="435">
        <v>4</v>
      </c>
    </row>
    <row r="369" spans="1:33" ht="14.45" customHeight="1" x14ac:dyDescent="0.3">
      <c r="A369" s="105">
        <v>600106</v>
      </c>
      <c r="B369" s="105" t="s">
        <v>1822</v>
      </c>
      <c r="C369" s="105" t="s">
        <v>1823</v>
      </c>
      <c r="D369" s="43" t="s">
        <v>1746</v>
      </c>
      <c r="E369" s="43">
        <v>1</v>
      </c>
      <c r="F369" s="43">
        <v>0</v>
      </c>
      <c r="G369" s="43"/>
      <c r="H369" s="84" t="s">
        <v>107</v>
      </c>
      <c r="I369" s="43">
        <v>1</v>
      </c>
      <c r="J369" s="118">
        <v>1</v>
      </c>
      <c r="K369" s="43">
        <v>0</v>
      </c>
      <c r="L369" s="43">
        <v>2</v>
      </c>
      <c r="M369" s="43">
        <v>6</v>
      </c>
      <c r="N369" s="118" t="s">
        <v>1776</v>
      </c>
      <c r="O369" s="41">
        <v>50</v>
      </c>
      <c r="P369" s="43">
        <v>0.5</v>
      </c>
      <c r="Q369" s="84">
        <v>0</v>
      </c>
      <c r="R369" s="43">
        <v>1</v>
      </c>
      <c r="S369" s="43" t="b">
        <v>1</v>
      </c>
      <c r="T369" s="84">
        <v>58</v>
      </c>
      <c r="U369" s="118">
        <v>870</v>
      </c>
      <c r="V369" s="118">
        <v>1160</v>
      </c>
      <c r="W369" s="84">
        <v>0</v>
      </c>
      <c r="X369" s="43">
        <v>6</v>
      </c>
      <c r="Y369" s="43" t="s">
        <v>38</v>
      </c>
      <c r="Z369" s="157" t="s">
        <v>1824</v>
      </c>
      <c r="AA369" s="206" t="s">
        <v>1825</v>
      </c>
      <c r="AB369" s="157" t="s">
        <v>1803</v>
      </c>
      <c r="AC369" s="43">
        <v>100000</v>
      </c>
      <c r="AD369" s="197">
        <v>1</v>
      </c>
      <c r="AE369" s="197">
        <v>1</v>
      </c>
      <c r="AF369">
        <v>0</v>
      </c>
      <c r="AG369" s="293">
        <v>6</v>
      </c>
    </row>
    <row r="370" spans="1:33" ht="14.45" customHeight="1" x14ac:dyDescent="0.3">
      <c r="A370" s="105">
        <v>600206</v>
      </c>
      <c r="B370" s="105" t="s">
        <v>1826</v>
      </c>
      <c r="C370" s="105" t="s">
        <v>1827</v>
      </c>
      <c r="D370" s="43" t="s">
        <v>1746</v>
      </c>
      <c r="E370" s="43">
        <v>2</v>
      </c>
      <c r="F370" s="43">
        <v>0</v>
      </c>
      <c r="G370" s="43"/>
      <c r="H370" s="84" t="s">
        <v>107</v>
      </c>
      <c r="I370" s="43">
        <v>1</v>
      </c>
      <c r="J370" s="118">
        <v>1</v>
      </c>
      <c r="K370" s="43">
        <v>0</v>
      </c>
      <c r="L370" s="43">
        <v>2</v>
      </c>
      <c r="M370" s="43">
        <v>6</v>
      </c>
      <c r="N370" s="118" t="s">
        <v>1776</v>
      </c>
      <c r="O370" s="41">
        <v>50</v>
      </c>
      <c r="P370" s="43">
        <v>0.5</v>
      </c>
      <c r="Q370" s="84">
        <v>0</v>
      </c>
      <c r="R370" s="43">
        <v>1</v>
      </c>
      <c r="S370" s="43" t="b">
        <v>1</v>
      </c>
      <c r="T370" s="84">
        <v>58</v>
      </c>
      <c r="U370" s="118">
        <v>870</v>
      </c>
      <c r="V370" s="118">
        <v>1160</v>
      </c>
      <c r="W370" s="84">
        <v>0</v>
      </c>
      <c r="X370" s="43">
        <v>6</v>
      </c>
      <c r="Y370" s="43" t="s">
        <v>38</v>
      </c>
      <c r="Z370" s="157" t="s">
        <v>1828</v>
      </c>
      <c r="AA370" s="206" t="s">
        <v>1829</v>
      </c>
      <c r="AB370" s="157" t="s">
        <v>1821</v>
      </c>
      <c r="AC370" s="43">
        <v>100000</v>
      </c>
      <c r="AD370" s="197">
        <v>1</v>
      </c>
      <c r="AE370" s="197">
        <v>1</v>
      </c>
      <c r="AF370">
        <v>0</v>
      </c>
      <c r="AG370" s="293">
        <v>6</v>
      </c>
    </row>
    <row r="371" spans="1:33" ht="14.45" customHeight="1" x14ac:dyDescent="0.3">
      <c r="A371" s="15">
        <v>700001</v>
      </c>
      <c r="B371" s="16" t="s">
        <v>1830</v>
      </c>
      <c r="C371" s="16" t="s">
        <v>1831</v>
      </c>
      <c r="D371" s="15" t="s">
        <v>1832</v>
      </c>
      <c r="E371" s="15">
        <v>0</v>
      </c>
      <c r="F371" s="15">
        <v>0</v>
      </c>
      <c r="G371" s="15"/>
      <c r="H371" s="118" t="s">
        <v>35</v>
      </c>
      <c r="I371" s="15">
        <v>1</v>
      </c>
      <c r="J371" s="118">
        <v>1</v>
      </c>
      <c r="K371" s="15">
        <v>1</v>
      </c>
      <c r="L371" s="15">
        <v>2</v>
      </c>
      <c r="M371" s="15" t="s">
        <v>36</v>
      </c>
      <c r="N371" s="118" t="s">
        <v>1833</v>
      </c>
      <c r="O371" s="15">
        <v>-1</v>
      </c>
      <c r="P371" s="15"/>
      <c r="Q371" s="15">
        <v>0</v>
      </c>
      <c r="R371" s="15">
        <v>1</v>
      </c>
      <c r="S371" s="25" t="b">
        <v>1</v>
      </c>
      <c r="T371" s="15">
        <v>9</v>
      </c>
      <c r="U371" s="118">
        <v>135</v>
      </c>
      <c r="V371" s="118">
        <v>180</v>
      </c>
      <c r="W371" s="15">
        <v>0</v>
      </c>
      <c r="X371" s="15">
        <v>1</v>
      </c>
      <c r="Y371" s="15" t="s">
        <v>38</v>
      </c>
      <c r="Z371" s="17" t="s">
        <v>1834</v>
      </c>
      <c r="AA371" s="206" t="s">
        <v>1835</v>
      </c>
      <c r="AB371" s="25" t="s">
        <v>1836</v>
      </c>
      <c r="AC371" s="15">
        <v>300000</v>
      </c>
      <c r="AD371" s="197">
        <v>1</v>
      </c>
      <c r="AE371" s="197">
        <v>1</v>
      </c>
      <c r="AF371">
        <v>0</v>
      </c>
      <c r="AG371" s="433">
        <v>1</v>
      </c>
    </row>
    <row r="372" spans="1:33" ht="14.45" customHeight="1" x14ac:dyDescent="0.3">
      <c r="A372" s="15">
        <v>700002</v>
      </c>
      <c r="B372" s="16" t="s">
        <v>1837</v>
      </c>
      <c r="C372" s="16" t="s">
        <v>1838</v>
      </c>
      <c r="D372" s="15" t="s">
        <v>1832</v>
      </c>
      <c r="E372" s="15">
        <v>0</v>
      </c>
      <c r="F372" s="15">
        <v>0</v>
      </c>
      <c r="G372" s="15"/>
      <c r="H372" s="118" t="s">
        <v>35</v>
      </c>
      <c r="I372" s="15">
        <v>1</v>
      </c>
      <c r="J372" s="118">
        <v>1</v>
      </c>
      <c r="K372" s="15">
        <v>1</v>
      </c>
      <c r="L372" s="15">
        <v>2</v>
      </c>
      <c r="M372" s="15" t="s">
        <v>44</v>
      </c>
      <c r="N372" s="118" t="s">
        <v>1839</v>
      </c>
      <c r="O372" s="15">
        <v>-1</v>
      </c>
      <c r="P372" s="15"/>
      <c r="Q372" s="15">
        <v>0</v>
      </c>
      <c r="R372" s="15">
        <v>1</v>
      </c>
      <c r="S372" s="25" t="b">
        <v>1</v>
      </c>
      <c r="T372" s="15">
        <v>19</v>
      </c>
      <c r="U372" s="118">
        <v>285</v>
      </c>
      <c r="V372" s="118">
        <v>380</v>
      </c>
      <c r="W372" s="15">
        <v>0</v>
      </c>
      <c r="X372" s="15">
        <v>2</v>
      </c>
      <c r="Y372" s="15" t="s">
        <v>38</v>
      </c>
      <c r="Z372" s="17" t="s">
        <v>1840</v>
      </c>
      <c r="AA372" s="206" t="s">
        <v>1841</v>
      </c>
      <c r="AB372" s="25" t="s">
        <v>1842</v>
      </c>
      <c r="AC372" s="15">
        <v>300000</v>
      </c>
      <c r="AD372" s="197">
        <v>1</v>
      </c>
      <c r="AE372" s="197">
        <v>1</v>
      </c>
      <c r="AF372">
        <v>0</v>
      </c>
      <c r="AG372" s="433">
        <v>2</v>
      </c>
    </row>
    <row r="373" spans="1:33" ht="14.45" customHeight="1" x14ac:dyDescent="0.3">
      <c r="A373" s="79">
        <v>700202</v>
      </c>
      <c r="B373" s="360" t="s">
        <v>1843</v>
      </c>
      <c r="C373" s="360" t="s">
        <v>1844</v>
      </c>
      <c r="D373" s="79" t="s">
        <v>1832</v>
      </c>
      <c r="E373" s="79">
        <v>0</v>
      </c>
      <c r="F373" s="79">
        <v>0</v>
      </c>
      <c r="G373" s="79"/>
      <c r="H373" s="119" t="s">
        <v>51</v>
      </c>
      <c r="I373" s="79">
        <v>1</v>
      </c>
      <c r="J373" s="118">
        <v>3</v>
      </c>
      <c r="K373" s="119">
        <v>0</v>
      </c>
      <c r="L373" s="79">
        <v>2</v>
      </c>
      <c r="M373" s="119" t="s">
        <v>52</v>
      </c>
      <c r="N373" s="118" t="s">
        <v>1839</v>
      </c>
      <c r="O373" s="79">
        <v>-1</v>
      </c>
      <c r="P373" s="79"/>
      <c r="Q373" s="79">
        <v>0</v>
      </c>
      <c r="R373" s="79">
        <v>1</v>
      </c>
      <c r="S373" s="80" t="b">
        <v>1</v>
      </c>
      <c r="T373" s="79">
        <v>19</v>
      </c>
      <c r="U373" s="118">
        <v>285</v>
      </c>
      <c r="V373" s="118">
        <v>380</v>
      </c>
      <c r="W373" s="79">
        <v>0</v>
      </c>
      <c r="X373" s="79">
        <v>2</v>
      </c>
      <c r="Y373" s="79" t="s">
        <v>38</v>
      </c>
      <c r="Z373" s="114" t="s">
        <v>1840</v>
      </c>
      <c r="AA373" s="206" t="s">
        <v>1845</v>
      </c>
      <c r="AB373" s="80" t="s">
        <v>1842</v>
      </c>
      <c r="AC373" s="79">
        <v>300000</v>
      </c>
      <c r="AD373" s="92">
        <v>1</v>
      </c>
      <c r="AE373" s="92">
        <v>1</v>
      </c>
      <c r="AF373">
        <v>0</v>
      </c>
      <c r="AG373" s="434">
        <v>2</v>
      </c>
    </row>
    <row r="374" spans="1:33" ht="14.45" customHeight="1" x14ac:dyDescent="0.3">
      <c r="A374" s="15">
        <v>700003</v>
      </c>
      <c r="B374" s="21" t="s">
        <v>1846</v>
      </c>
      <c r="C374" s="21" t="s">
        <v>1847</v>
      </c>
      <c r="D374" s="15" t="s">
        <v>1832</v>
      </c>
      <c r="E374" s="15">
        <v>0</v>
      </c>
      <c r="F374" s="15">
        <v>0</v>
      </c>
      <c r="G374" s="15"/>
      <c r="H374" s="118" t="s">
        <v>35</v>
      </c>
      <c r="I374" s="15">
        <v>1</v>
      </c>
      <c r="J374" s="118">
        <v>1</v>
      </c>
      <c r="K374" s="15">
        <v>1</v>
      </c>
      <c r="L374" s="15">
        <v>2</v>
      </c>
      <c r="M374" s="15" t="s">
        <v>56</v>
      </c>
      <c r="N374" s="118" t="s">
        <v>1848</v>
      </c>
      <c r="O374" s="15">
        <v>-1</v>
      </c>
      <c r="P374" s="15"/>
      <c r="Q374" s="15">
        <v>0</v>
      </c>
      <c r="R374" s="15">
        <v>1</v>
      </c>
      <c r="S374" s="25" t="b">
        <v>1</v>
      </c>
      <c r="T374" s="15">
        <v>28</v>
      </c>
      <c r="U374" s="118">
        <v>420</v>
      </c>
      <c r="V374" s="118">
        <v>560</v>
      </c>
      <c r="W374" s="15">
        <v>0</v>
      </c>
      <c r="X374" s="15">
        <v>3</v>
      </c>
      <c r="Y374" s="15" t="s">
        <v>38</v>
      </c>
      <c r="Z374" s="17" t="s">
        <v>1849</v>
      </c>
      <c r="AA374" s="206" t="s">
        <v>1850</v>
      </c>
      <c r="AB374" s="25" t="s">
        <v>1851</v>
      </c>
      <c r="AC374" s="15">
        <v>200000</v>
      </c>
      <c r="AD374" s="197">
        <v>1</v>
      </c>
      <c r="AE374" s="197">
        <v>1</v>
      </c>
      <c r="AF374">
        <v>0</v>
      </c>
      <c r="AG374" s="433">
        <v>3</v>
      </c>
    </row>
    <row r="375" spans="1:33" ht="14.45" customHeight="1" x14ac:dyDescent="0.3">
      <c r="A375" s="15">
        <v>700004</v>
      </c>
      <c r="B375" s="72" t="s">
        <v>1852</v>
      </c>
      <c r="C375" s="72" t="s">
        <v>1853</v>
      </c>
      <c r="D375" s="15" t="s">
        <v>1832</v>
      </c>
      <c r="E375" s="15">
        <v>0</v>
      </c>
      <c r="F375" s="15">
        <v>0</v>
      </c>
      <c r="G375" s="15"/>
      <c r="H375" s="118" t="s">
        <v>35</v>
      </c>
      <c r="I375" s="15">
        <v>1</v>
      </c>
      <c r="J375" s="118">
        <v>1</v>
      </c>
      <c r="K375" s="15">
        <v>1</v>
      </c>
      <c r="L375" s="15">
        <v>2</v>
      </c>
      <c r="M375" s="15" t="s">
        <v>63</v>
      </c>
      <c r="N375" s="118" t="s">
        <v>1854</v>
      </c>
      <c r="O375" s="15">
        <v>-1</v>
      </c>
      <c r="P375" s="15"/>
      <c r="Q375" s="15">
        <v>0</v>
      </c>
      <c r="R375" s="15">
        <v>1</v>
      </c>
      <c r="S375" s="25" t="b">
        <v>1</v>
      </c>
      <c r="T375" s="15">
        <v>39</v>
      </c>
      <c r="U375" s="118">
        <v>585</v>
      </c>
      <c r="V375" s="118">
        <v>780</v>
      </c>
      <c r="W375" s="15">
        <v>0</v>
      </c>
      <c r="X375" s="15">
        <v>4</v>
      </c>
      <c r="Y375" s="15" t="s">
        <v>38</v>
      </c>
      <c r="Z375" s="17" t="s">
        <v>1855</v>
      </c>
      <c r="AA375" s="206" t="s">
        <v>1856</v>
      </c>
      <c r="AB375" s="25" t="s">
        <v>1857</v>
      </c>
      <c r="AC375" s="15">
        <v>100000</v>
      </c>
      <c r="AD375" s="197">
        <v>1</v>
      </c>
      <c r="AE375" s="197">
        <v>1</v>
      </c>
      <c r="AF375">
        <v>0</v>
      </c>
      <c r="AG375" s="433">
        <v>4</v>
      </c>
    </row>
    <row r="376" spans="1:33" ht="14.45" customHeight="1" x14ac:dyDescent="0.3">
      <c r="A376" s="17">
        <v>700005</v>
      </c>
      <c r="B376" s="17" t="s">
        <v>1858</v>
      </c>
      <c r="C376" s="17" t="s">
        <v>1859</v>
      </c>
      <c r="D376" s="118" t="s">
        <v>1832</v>
      </c>
      <c r="E376" s="118">
        <v>0</v>
      </c>
      <c r="F376" s="118">
        <v>0</v>
      </c>
      <c r="G376" s="118"/>
      <c r="H376" s="118" t="s">
        <v>35</v>
      </c>
      <c r="I376" s="118">
        <v>1</v>
      </c>
      <c r="J376" s="118">
        <v>1</v>
      </c>
      <c r="K376" s="118">
        <v>1</v>
      </c>
      <c r="L376" s="118">
        <v>2</v>
      </c>
      <c r="M376" s="118" t="s">
        <v>70</v>
      </c>
      <c r="N376" s="118" t="s">
        <v>1860</v>
      </c>
      <c r="O376" s="118">
        <v>-1</v>
      </c>
      <c r="P376" s="118"/>
      <c r="Q376" s="118">
        <v>0</v>
      </c>
      <c r="R376" s="118">
        <v>1</v>
      </c>
      <c r="S376" s="25" t="b">
        <v>1</v>
      </c>
      <c r="T376" s="118">
        <v>48</v>
      </c>
      <c r="U376" s="118">
        <v>720</v>
      </c>
      <c r="V376" s="118">
        <v>960</v>
      </c>
      <c r="W376" s="118">
        <v>0</v>
      </c>
      <c r="X376" s="118">
        <v>5</v>
      </c>
      <c r="Y376" s="118" t="s">
        <v>38</v>
      </c>
      <c r="Z376" s="118" t="s">
        <v>1861</v>
      </c>
      <c r="AA376" s="206" t="s">
        <v>1862</v>
      </c>
      <c r="AB376" s="25" t="s">
        <v>1863</v>
      </c>
      <c r="AC376" s="118">
        <v>200000</v>
      </c>
      <c r="AD376" s="197">
        <v>1</v>
      </c>
      <c r="AE376" s="197">
        <v>1</v>
      </c>
      <c r="AF376">
        <v>0</v>
      </c>
      <c r="AG376" s="402">
        <v>5</v>
      </c>
    </row>
    <row r="377" spans="1:33" ht="14.45" customHeight="1" x14ac:dyDescent="0.3">
      <c r="A377" s="17">
        <v>700006</v>
      </c>
      <c r="B377" s="17" t="s">
        <v>1864</v>
      </c>
      <c r="C377" s="17" t="s">
        <v>1865</v>
      </c>
      <c r="D377" s="118" t="s">
        <v>1832</v>
      </c>
      <c r="E377" s="118">
        <v>0</v>
      </c>
      <c r="F377" s="118">
        <v>0</v>
      </c>
      <c r="G377" s="118"/>
      <c r="H377" s="118" t="s">
        <v>35</v>
      </c>
      <c r="I377" s="118">
        <v>1</v>
      </c>
      <c r="J377" s="118">
        <v>1</v>
      </c>
      <c r="K377" s="118">
        <v>1</v>
      </c>
      <c r="L377" s="118">
        <v>2</v>
      </c>
      <c r="M377" s="118" t="s">
        <v>70</v>
      </c>
      <c r="N377" s="118" t="s">
        <v>1866</v>
      </c>
      <c r="O377" s="118">
        <v>-1</v>
      </c>
      <c r="P377" s="118"/>
      <c r="Q377" s="118">
        <v>0</v>
      </c>
      <c r="R377" s="118">
        <v>1</v>
      </c>
      <c r="S377" s="25" t="b">
        <v>1</v>
      </c>
      <c r="T377" s="118">
        <v>58</v>
      </c>
      <c r="U377" s="118">
        <v>870</v>
      </c>
      <c r="V377" s="118">
        <v>1160</v>
      </c>
      <c r="W377" s="118">
        <v>0</v>
      </c>
      <c r="X377" s="118">
        <v>6</v>
      </c>
      <c r="Y377" s="118" t="s">
        <v>38</v>
      </c>
      <c r="Z377" s="118" t="s">
        <v>1867</v>
      </c>
      <c r="AA377" s="206" t="s">
        <v>1868</v>
      </c>
      <c r="AB377" s="25" t="s">
        <v>1869</v>
      </c>
      <c r="AC377" s="118">
        <v>200000</v>
      </c>
      <c r="AD377" s="197">
        <v>1</v>
      </c>
      <c r="AE377" s="197">
        <v>1</v>
      </c>
      <c r="AF377">
        <v>0</v>
      </c>
      <c r="AG377" s="402">
        <v>6</v>
      </c>
    </row>
    <row r="378" spans="1:33" ht="14.45" customHeight="1" x14ac:dyDescent="0.3">
      <c r="A378" s="17">
        <v>700007</v>
      </c>
      <c r="B378" s="17" t="s">
        <v>1870</v>
      </c>
      <c r="C378" s="17" t="s">
        <v>1871</v>
      </c>
      <c r="D378" s="118" t="s">
        <v>1832</v>
      </c>
      <c r="E378" s="118">
        <v>0</v>
      </c>
      <c r="F378" s="118">
        <v>0</v>
      </c>
      <c r="G378" s="118"/>
      <c r="H378" s="118" t="s">
        <v>35</v>
      </c>
      <c r="I378" s="118">
        <v>1</v>
      </c>
      <c r="J378" s="118">
        <v>1</v>
      </c>
      <c r="K378" s="118">
        <v>1</v>
      </c>
      <c r="L378" s="118">
        <v>2</v>
      </c>
      <c r="M378" s="118" t="s">
        <v>70</v>
      </c>
      <c r="N378" s="118" t="s">
        <v>1872</v>
      </c>
      <c r="O378" s="118">
        <v>-1</v>
      </c>
      <c r="P378" s="118"/>
      <c r="Q378" s="118">
        <v>0</v>
      </c>
      <c r="R378" s="118">
        <v>1</v>
      </c>
      <c r="S378" s="25" t="b">
        <v>1</v>
      </c>
      <c r="T378" s="118">
        <v>67</v>
      </c>
      <c r="U378" s="118">
        <v>1005</v>
      </c>
      <c r="V378" s="118">
        <v>1340</v>
      </c>
      <c r="W378" s="118">
        <v>0</v>
      </c>
      <c r="X378" s="118">
        <v>7</v>
      </c>
      <c r="Y378" s="118" t="s">
        <v>38</v>
      </c>
      <c r="Z378" s="118" t="s">
        <v>1873</v>
      </c>
      <c r="AA378" s="206" t="s">
        <v>1874</v>
      </c>
      <c r="AB378" s="25" t="s">
        <v>1875</v>
      </c>
      <c r="AC378" s="118">
        <v>200000</v>
      </c>
      <c r="AD378" s="197">
        <v>1</v>
      </c>
      <c r="AE378" s="197">
        <v>1</v>
      </c>
      <c r="AF378">
        <v>0</v>
      </c>
      <c r="AG378" s="402">
        <v>7</v>
      </c>
    </row>
    <row r="379" spans="1:33" ht="14.45" customHeight="1" x14ac:dyDescent="0.3">
      <c r="A379" s="420">
        <v>700008</v>
      </c>
      <c r="B379" s="438" t="s">
        <v>1876</v>
      </c>
      <c r="C379" s="438" t="s">
        <v>1877</v>
      </c>
      <c r="D379" s="421" t="s">
        <v>1832</v>
      </c>
      <c r="E379" s="421">
        <v>0</v>
      </c>
      <c r="F379" s="421">
        <v>0</v>
      </c>
      <c r="G379" s="421"/>
      <c r="H379" s="420" t="s">
        <v>35</v>
      </c>
      <c r="I379" s="421">
        <v>1</v>
      </c>
      <c r="J379" s="118">
        <v>1</v>
      </c>
      <c r="K379" s="421">
        <v>1</v>
      </c>
      <c r="L379" s="421">
        <v>2</v>
      </c>
      <c r="M379" s="421" t="s">
        <v>70</v>
      </c>
      <c r="N379" s="118" t="s">
        <v>1878</v>
      </c>
      <c r="O379" s="421">
        <v>-1</v>
      </c>
      <c r="P379" s="421"/>
      <c r="Q379" s="421">
        <v>0</v>
      </c>
      <c r="R379" s="421">
        <v>1</v>
      </c>
      <c r="S379" s="439" t="b">
        <v>1</v>
      </c>
      <c r="T379" s="421">
        <v>78</v>
      </c>
      <c r="U379" s="118">
        <v>1170</v>
      </c>
      <c r="V379" s="118">
        <v>1560</v>
      </c>
      <c r="W379" s="421">
        <v>0</v>
      </c>
      <c r="X379" s="421">
        <v>8</v>
      </c>
      <c r="Y379" s="421" t="s">
        <v>38</v>
      </c>
      <c r="Z379" s="501" t="s">
        <v>1879</v>
      </c>
      <c r="AA379" s="206" t="s">
        <v>1880</v>
      </c>
      <c r="AB379" s="439" t="s">
        <v>1881</v>
      </c>
      <c r="AC379" s="421">
        <v>200000</v>
      </c>
      <c r="AD379" s="424">
        <v>1</v>
      </c>
      <c r="AE379" s="424">
        <v>1</v>
      </c>
      <c r="AF379">
        <v>0</v>
      </c>
      <c r="AG379" s="425">
        <v>8</v>
      </c>
    </row>
    <row r="380" spans="1:33" ht="14.45" customHeight="1" x14ac:dyDescent="0.3">
      <c r="A380" s="420">
        <v>700009</v>
      </c>
      <c r="B380" s="420" t="s">
        <v>1882</v>
      </c>
      <c r="C380" s="420" t="s">
        <v>1883</v>
      </c>
      <c r="D380" s="421" t="s">
        <v>1832</v>
      </c>
      <c r="E380" s="421">
        <v>0</v>
      </c>
      <c r="F380" s="421">
        <v>0</v>
      </c>
      <c r="G380" s="421"/>
      <c r="H380" s="420" t="s">
        <v>35</v>
      </c>
      <c r="I380" s="421">
        <v>1</v>
      </c>
      <c r="J380" s="118">
        <v>1</v>
      </c>
      <c r="K380" s="421">
        <v>1</v>
      </c>
      <c r="L380" s="421">
        <v>2</v>
      </c>
      <c r="M380" s="421" t="s">
        <v>70</v>
      </c>
      <c r="N380" s="118" t="s">
        <v>1884</v>
      </c>
      <c r="O380" s="421">
        <v>-1</v>
      </c>
      <c r="P380" s="421"/>
      <c r="Q380" s="421">
        <v>0</v>
      </c>
      <c r="R380" s="421">
        <v>1</v>
      </c>
      <c r="S380" s="439" t="b">
        <v>1</v>
      </c>
      <c r="T380" s="421">
        <v>87</v>
      </c>
      <c r="U380" s="118">
        <v>1305</v>
      </c>
      <c r="V380" s="118">
        <v>1740</v>
      </c>
      <c r="W380" s="421">
        <v>0</v>
      </c>
      <c r="X380" s="421">
        <v>9</v>
      </c>
      <c r="Y380" s="421" t="s">
        <v>38</v>
      </c>
      <c r="Z380" s="502" t="s">
        <v>1885</v>
      </c>
      <c r="AA380" s="206" t="s">
        <v>1886</v>
      </c>
      <c r="AB380" s="439" t="s">
        <v>1887</v>
      </c>
      <c r="AC380" s="421">
        <v>200000</v>
      </c>
      <c r="AD380" s="424">
        <v>1</v>
      </c>
      <c r="AE380" s="424">
        <v>1</v>
      </c>
      <c r="AF380">
        <v>0</v>
      </c>
      <c r="AG380" s="425">
        <v>9</v>
      </c>
    </row>
    <row r="381" spans="1:33" ht="14.45" customHeight="1" x14ac:dyDescent="0.3">
      <c r="A381" s="420">
        <v>700010</v>
      </c>
      <c r="B381" s="420" t="s">
        <v>1888</v>
      </c>
      <c r="C381" s="420" t="s">
        <v>1889</v>
      </c>
      <c r="D381" s="421" t="s">
        <v>1832</v>
      </c>
      <c r="E381" s="421">
        <v>0</v>
      </c>
      <c r="F381" s="421">
        <v>0</v>
      </c>
      <c r="G381" s="421"/>
      <c r="H381" s="420" t="s">
        <v>35</v>
      </c>
      <c r="I381" s="421">
        <v>1</v>
      </c>
      <c r="J381" s="118">
        <v>1</v>
      </c>
      <c r="K381" s="421">
        <v>1</v>
      </c>
      <c r="L381" s="421">
        <v>2</v>
      </c>
      <c r="M381" s="421" t="s">
        <v>70</v>
      </c>
      <c r="N381" s="118" t="s">
        <v>1890</v>
      </c>
      <c r="O381" s="421">
        <v>-1</v>
      </c>
      <c r="P381" s="421"/>
      <c r="Q381" s="421">
        <v>0</v>
      </c>
      <c r="R381" s="421">
        <v>1</v>
      </c>
      <c r="S381" s="439" t="b">
        <v>1</v>
      </c>
      <c r="T381" s="421">
        <v>97</v>
      </c>
      <c r="U381" s="118">
        <v>1455</v>
      </c>
      <c r="V381" s="118">
        <v>1940</v>
      </c>
      <c r="W381" s="421">
        <v>0</v>
      </c>
      <c r="X381" s="421">
        <v>10</v>
      </c>
      <c r="Y381" s="421" t="s">
        <v>38</v>
      </c>
      <c r="Z381" s="502" t="s">
        <v>1891</v>
      </c>
      <c r="AA381" s="206" t="s">
        <v>1892</v>
      </c>
      <c r="AB381" s="439" t="s">
        <v>1893</v>
      </c>
      <c r="AC381" s="421">
        <v>200000</v>
      </c>
      <c r="AD381" s="424">
        <v>1</v>
      </c>
      <c r="AE381" s="424">
        <v>1</v>
      </c>
      <c r="AF381">
        <v>0</v>
      </c>
      <c r="AG381" s="425">
        <v>10</v>
      </c>
    </row>
    <row r="382" spans="1:33" ht="14.45" customHeight="1" x14ac:dyDescent="0.3">
      <c r="A382" s="115">
        <v>700102</v>
      </c>
      <c r="B382" s="121" t="s">
        <v>1894</v>
      </c>
      <c r="C382" s="121" t="s">
        <v>1895</v>
      </c>
      <c r="D382" s="121" t="s">
        <v>1832</v>
      </c>
      <c r="E382" s="115">
        <v>0</v>
      </c>
      <c r="F382" s="121">
        <v>0</v>
      </c>
      <c r="G382" s="115"/>
      <c r="H382" s="121" t="s">
        <v>112</v>
      </c>
      <c r="I382" s="121">
        <v>4</v>
      </c>
      <c r="J382" s="118">
        <v>4</v>
      </c>
      <c r="K382" s="115">
        <v>0</v>
      </c>
      <c r="L382" s="121">
        <v>2</v>
      </c>
      <c r="M382" s="115">
        <v>4</v>
      </c>
      <c r="N382" s="118" t="s">
        <v>1839</v>
      </c>
      <c r="O382" s="121">
        <v>-1</v>
      </c>
      <c r="P382" s="121"/>
      <c r="Q382" s="121">
        <v>0</v>
      </c>
      <c r="R382" s="121">
        <v>1</v>
      </c>
      <c r="S382" s="397" t="b">
        <v>1</v>
      </c>
      <c r="T382" s="115">
        <v>19</v>
      </c>
      <c r="U382" s="118">
        <v>285</v>
      </c>
      <c r="V382" s="118">
        <v>380</v>
      </c>
      <c r="W382" s="115">
        <v>0</v>
      </c>
      <c r="X382" s="115">
        <v>2</v>
      </c>
      <c r="Y382" s="115" t="s">
        <v>38</v>
      </c>
      <c r="Z382" s="397" t="s">
        <v>1896</v>
      </c>
      <c r="AA382" s="206" t="s">
        <v>1897</v>
      </c>
      <c r="AB382" s="397" t="s">
        <v>1887</v>
      </c>
      <c r="AC382" s="115">
        <v>300000</v>
      </c>
      <c r="AD382" s="197">
        <v>1</v>
      </c>
      <c r="AE382" s="197">
        <v>1</v>
      </c>
      <c r="AF382">
        <v>0</v>
      </c>
      <c r="AG382" s="436">
        <v>2</v>
      </c>
    </row>
    <row r="383" spans="1:33" ht="14.45" customHeight="1" x14ac:dyDescent="0.3">
      <c r="A383" s="115">
        <v>700103</v>
      </c>
      <c r="B383" s="121" t="s">
        <v>1898</v>
      </c>
      <c r="C383" s="121" t="s">
        <v>1899</v>
      </c>
      <c r="D383" s="121" t="s">
        <v>1832</v>
      </c>
      <c r="E383" s="115">
        <v>0</v>
      </c>
      <c r="F383" s="121">
        <v>0</v>
      </c>
      <c r="G383" s="115"/>
      <c r="H383" s="121" t="s">
        <v>112</v>
      </c>
      <c r="I383" s="121">
        <v>4</v>
      </c>
      <c r="J383" s="118">
        <v>4</v>
      </c>
      <c r="K383" s="115">
        <v>0</v>
      </c>
      <c r="L383" s="121">
        <v>2</v>
      </c>
      <c r="M383" s="115">
        <v>4</v>
      </c>
      <c r="N383" s="118" t="s">
        <v>1848</v>
      </c>
      <c r="O383" s="121">
        <v>-1</v>
      </c>
      <c r="P383" s="121"/>
      <c r="Q383" s="121">
        <v>0</v>
      </c>
      <c r="R383" s="121">
        <v>1</v>
      </c>
      <c r="S383" s="397" t="b">
        <v>1</v>
      </c>
      <c r="T383" s="115">
        <v>28</v>
      </c>
      <c r="U383" s="118">
        <v>420</v>
      </c>
      <c r="V383" s="118">
        <v>560</v>
      </c>
      <c r="W383" s="115">
        <v>0</v>
      </c>
      <c r="X383" s="115">
        <v>3</v>
      </c>
      <c r="Y383" s="115" t="s">
        <v>38</v>
      </c>
      <c r="Z383" s="495" t="s">
        <v>1900</v>
      </c>
      <c r="AA383" s="206" t="s">
        <v>1901</v>
      </c>
      <c r="AB383" s="397" t="s">
        <v>1842</v>
      </c>
      <c r="AC383" s="115">
        <v>200000</v>
      </c>
      <c r="AD383" s="197">
        <v>1</v>
      </c>
      <c r="AE383" s="197">
        <v>1</v>
      </c>
      <c r="AF383">
        <v>0</v>
      </c>
      <c r="AG383" s="436">
        <v>3</v>
      </c>
    </row>
    <row r="384" spans="1:33" ht="14.45" customHeight="1" x14ac:dyDescent="0.3">
      <c r="A384" s="115">
        <v>700104</v>
      </c>
      <c r="B384" s="121" t="s">
        <v>1902</v>
      </c>
      <c r="C384" s="121" t="s">
        <v>1903</v>
      </c>
      <c r="D384" s="121" t="s">
        <v>1832</v>
      </c>
      <c r="E384" s="115">
        <v>0</v>
      </c>
      <c r="F384" s="121">
        <v>0</v>
      </c>
      <c r="G384" s="115"/>
      <c r="H384" s="121" t="s">
        <v>112</v>
      </c>
      <c r="I384" s="121">
        <v>5</v>
      </c>
      <c r="J384" s="118">
        <v>5</v>
      </c>
      <c r="K384" s="115">
        <v>0</v>
      </c>
      <c r="L384" s="121">
        <v>2</v>
      </c>
      <c r="M384" s="115">
        <v>5</v>
      </c>
      <c r="N384" s="118" t="s">
        <v>1854</v>
      </c>
      <c r="O384" s="121">
        <v>-1</v>
      </c>
      <c r="P384" s="121"/>
      <c r="Q384" s="121">
        <v>0</v>
      </c>
      <c r="R384" s="121">
        <v>1</v>
      </c>
      <c r="S384" s="397" t="b">
        <v>1</v>
      </c>
      <c r="T384" s="115">
        <v>39</v>
      </c>
      <c r="U384" s="118">
        <v>585</v>
      </c>
      <c r="V384" s="118">
        <v>780</v>
      </c>
      <c r="W384" s="115">
        <v>0</v>
      </c>
      <c r="X384" s="115">
        <v>4</v>
      </c>
      <c r="Y384" s="115" t="s">
        <v>38</v>
      </c>
      <c r="Z384" s="495" t="s">
        <v>1904</v>
      </c>
      <c r="AA384" s="206" t="s">
        <v>1905</v>
      </c>
      <c r="AB384" s="397" t="s">
        <v>1863</v>
      </c>
      <c r="AC384" s="115">
        <v>200000</v>
      </c>
      <c r="AD384" s="197">
        <v>1</v>
      </c>
      <c r="AE384" s="197">
        <v>1</v>
      </c>
      <c r="AF384">
        <v>0</v>
      </c>
      <c r="AG384" s="436">
        <v>4</v>
      </c>
    </row>
    <row r="385" spans="1:33" ht="14.45" customHeight="1" x14ac:dyDescent="0.3">
      <c r="A385" s="15">
        <v>800001</v>
      </c>
      <c r="B385" s="16" t="s">
        <v>1906</v>
      </c>
      <c r="C385" s="16" t="s">
        <v>1907</v>
      </c>
      <c r="D385" s="15" t="s">
        <v>1908</v>
      </c>
      <c r="E385" s="15">
        <v>0</v>
      </c>
      <c r="F385" s="15">
        <v>0</v>
      </c>
      <c r="G385" s="15"/>
      <c r="H385" s="118" t="s">
        <v>35</v>
      </c>
      <c r="I385" s="15">
        <v>1</v>
      </c>
      <c r="J385" s="118">
        <v>1</v>
      </c>
      <c r="K385" s="15">
        <v>1</v>
      </c>
      <c r="L385" s="15">
        <v>2</v>
      </c>
      <c r="M385" s="15" t="s">
        <v>36</v>
      </c>
      <c r="N385" s="118" t="s">
        <v>1909</v>
      </c>
      <c r="O385" s="15">
        <v>-1</v>
      </c>
      <c r="P385" s="15"/>
      <c r="Q385" s="15">
        <v>0</v>
      </c>
      <c r="R385" s="15">
        <v>1</v>
      </c>
      <c r="S385" s="25" t="b">
        <v>1</v>
      </c>
      <c r="T385" s="15">
        <v>9</v>
      </c>
      <c r="U385" s="118">
        <v>135</v>
      </c>
      <c r="V385" s="118">
        <v>180</v>
      </c>
      <c r="W385" s="15">
        <v>0</v>
      </c>
      <c r="X385" s="15">
        <v>1</v>
      </c>
      <c r="Y385" s="15" t="s">
        <v>38</v>
      </c>
      <c r="Z385" s="17" t="s">
        <v>1910</v>
      </c>
      <c r="AA385" s="206" t="s">
        <v>1911</v>
      </c>
      <c r="AB385" s="25" t="s">
        <v>1912</v>
      </c>
      <c r="AC385" s="15">
        <v>300000</v>
      </c>
      <c r="AD385" s="197">
        <v>1</v>
      </c>
      <c r="AE385" s="197">
        <v>1</v>
      </c>
      <c r="AF385">
        <v>0</v>
      </c>
      <c r="AG385" s="433">
        <v>1</v>
      </c>
    </row>
    <row r="386" spans="1:33" ht="14.45" customHeight="1" x14ac:dyDescent="0.3">
      <c r="A386" s="15">
        <v>800002</v>
      </c>
      <c r="B386" s="16" t="s">
        <v>1913</v>
      </c>
      <c r="C386" s="16" t="s">
        <v>1914</v>
      </c>
      <c r="D386" s="15" t="s">
        <v>1908</v>
      </c>
      <c r="E386" s="15">
        <v>0</v>
      </c>
      <c r="F386" s="15">
        <v>0</v>
      </c>
      <c r="G386" s="15"/>
      <c r="H386" s="118" t="s">
        <v>35</v>
      </c>
      <c r="I386" s="15">
        <v>1</v>
      </c>
      <c r="J386" s="118">
        <v>1</v>
      </c>
      <c r="K386" s="15">
        <v>1</v>
      </c>
      <c r="L386" s="15">
        <v>2</v>
      </c>
      <c r="M386" s="15" t="s">
        <v>44</v>
      </c>
      <c r="N386" s="118" t="s">
        <v>1915</v>
      </c>
      <c r="O386" s="15">
        <v>-1</v>
      </c>
      <c r="P386" s="15"/>
      <c r="Q386" s="15">
        <v>0</v>
      </c>
      <c r="R386" s="15">
        <v>1</v>
      </c>
      <c r="S386" s="25" t="b">
        <v>1</v>
      </c>
      <c r="T386" s="15">
        <v>19</v>
      </c>
      <c r="U386" s="118">
        <v>285</v>
      </c>
      <c r="V386" s="118">
        <v>380</v>
      </c>
      <c r="W386" s="15">
        <v>0</v>
      </c>
      <c r="X386" s="15">
        <v>2</v>
      </c>
      <c r="Y386" s="15" t="s">
        <v>38</v>
      </c>
      <c r="Z386" s="17" t="s">
        <v>1916</v>
      </c>
      <c r="AA386" s="206" t="s">
        <v>1917</v>
      </c>
      <c r="AB386" s="25" t="s">
        <v>1918</v>
      </c>
      <c r="AC386" s="15">
        <v>300000</v>
      </c>
      <c r="AD386" s="197">
        <v>1</v>
      </c>
      <c r="AE386" s="197">
        <v>1</v>
      </c>
      <c r="AF386">
        <v>0</v>
      </c>
      <c r="AG386" s="433">
        <v>2</v>
      </c>
    </row>
    <row r="387" spans="1:33" ht="14.45" customHeight="1" x14ac:dyDescent="0.3">
      <c r="A387" s="15">
        <v>800003</v>
      </c>
      <c r="B387" s="21" t="s">
        <v>1919</v>
      </c>
      <c r="C387" s="21" t="s">
        <v>1920</v>
      </c>
      <c r="D387" s="15" t="s">
        <v>1908</v>
      </c>
      <c r="E387" s="15">
        <v>0</v>
      </c>
      <c r="F387" s="15">
        <v>0</v>
      </c>
      <c r="G387" s="15"/>
      <c r="H387" s="118" t="s">
        <v>35</v>
      </c>
      <c r="I387" s="15">
        <v>1</v>
      </c>
      <c r="J387" s="118">
        <v>1</v>
      </c>
      <c r="K387" s="15">
        <v>1</v>
      </c>
      <c r="L387" s="15">
        <v>2</v>
      </c>
      <c r="M387" s="15" t="s">
        <v>56</v>
      </c>
      <c r="N387" s="118" t="s">
        <v>1921</v>
      </c>
      <c r="O387" s="15">
        <v>-1</v>
      </c>
      <c r="P387" s="15"/>
      <c r="Q387" s="15">
        <v>0</v>
      </c>
      <c r="R387" s="15">
        <v>1</v>
      </c>
      <c r="S387" s="25" t="b">
        <v>1</v>
      </c>
      <c r="T387" s="15">
        <v>28</v>
      </c>
      <c r="U387" s="118">
        <v>420</v>
      </c>
      <c r="V387" s="118">
        <v>560</v>
      </c>
      <c r="W387" s="15">
        <v>0</v>
      </c>
      <c r="X387" s="15">
        <v>3</v>
      </c>
      <c r="Y387" s="15" t="s">
        <v>38</v>
      </c>
      <c r="Z387" s="17" t="s">
        <v>1922</v>
      </c>
      <c r="AA387" s="206" t="s">
        <v>1923</v>
      </c>
      <c r="AB387" s="25" t="s">
        <v>1924</v>
      </c>
      <c r="AC387" s="18">
        <v>100000</v>
      </c>
      <c r="AD387" s="197">
        <v>1</v>
      </c>
      <c r="AE387" s="197">
        <v>1</v>
      </c>
      <c r="AF387">
        <v>0</v>
      </c>
      <c r="AG387" s="433">
        <v>3</v>
      </c>
    </row>
    <row r="388" spans="1:33" ht="14.45" customHeight="1" x14ac:dyDescent="0.3">
      <c r="A388" s="15">
        <v>800004</v>
      </c>
      <c r="B388" s="72" t="s">
        <v>1925</v>
      </c>
      <c r="C388" s="72" t="s">
        <v>1926</v>
      </c>
      <c r="D388" s="15" t="s">
        <v>1908</v>
      </c>
      <c r="E388" s="15">
        <v>0</v>
      </c>
      <c r="F388" s="15">
        <v>0</v>
      </c>
      <c r="G388" s="15"/>
      <c r="H388" s="118" t="s">
        <v>35</v>
      </c>
      <c r="I388" s="15">
        <v>1</v>
      </c>
      <c r="J388" s="118">
        <v>1</v>
      </c>
      <c r="K388" s="15">
        <v>1</v>
      </c>
      <c r="L388" s="15">
        <v>2</v>
      </c>
      <c r="M388" s="15" t="s">
        <v>63</v>
      </c>
      <c r="N388" s="118" t="s">
        <v>1927</v>
      </c>
      <c r="O388" s="15">
        <v>-1</v>
      </c>
      <c r="P388" s="15"/>
      <c r="Q388" s="15">
        <v>0</v>
      </c>
      <c r="R388" s="15">
        <v>1</v>
      </c>
      <c r="S388" s="25" t="b">
        <v>1</v>
      </c>
      <c r="T388" s="15">
        <v>39</v>
      </c>
      <c r="U388" s="118">
        <v>585</v>
      </c>
      <c r="V388" s="118">
        <v>780</v>
      </c>
      <c r="W388" s="15">
        <v>0</v>
      </c>
      <c r="X388" s="15">
        <v>4</v>
      </c>
      <c r="Y388" s="15" t="s">
        <v>38</v>
      </c>
      <c r="Z388" s="17" t="s">
        <v>1928</v>
      </c>
      <c r="AA388" s="206" t="s">
        <v>1929</v>
      </c>
      <c r="AB388" s="25" t="s">
        <v>1930</v>
      </c>
      <c r="AC388" s="45">
        <v>100000</v>
      </c>
      <c r="AD388" s="197">
        <v>1</v>
      </c>
      <c r="AE388" s="197">
        <v>1</v>
      </c>
      <c r="AF388">
        <v>0</v>
      </c>
      <c r="AG388" s="433">
        <v>4</v>
      </c>
    </row>
    <row r="389" spans="1:33" ht="14.45" customHeight="1" x14ac:dyDescent="0.3">
      <c r="A389" s="17">
        <v>800005</v>
      </c>
      <c r="B389" s="17" t="s">
        <v>1931</v>
      </c>
      <c r="C389" s="17" t="s">
        <v>1932</v>
      </c>
      <c r="D389" s="118" t="s">
        <v>1908</v>
      </c>
      <c r="E389" s="118">
        <v>0</v>
      </c>
      <c r="F389" s="118">
        <v>0</v>
      </c>
      <c r="G389" s="118"/>
      <c r="H389" s="118" t="s">
        <v>35</v>
      </c>
      <c r="I389" s="118">
        <v>1</v>
      </c>
      <c r="J389" s="118">
        <v>1</v>
      </c>
      <c r="K389" s="118">
        <v>1</v>
      </c>
      <c r="L389" s="118">
        <v>2</v>
      </c>
      <c r="M389" s="118" t="s">
        <v>70</v>
      </c>
      <c r="N389" s="118" t="s">
        <v>1933</v>
      </c>
      <c r="O389" s="118">
        <v>-1</v>
      </c>
      <c r="P389" s="118"/>
      <c r="Q389" s="118">
        <v>0</v>
      </c>
      <c r="R389" s="118">
        <v>1</v>
      </c>
      <c r="S389" s="25" t="b">
        <v>1</v>
      </c>
      <c r="T389" s="118">
        <v>48</v>
      </c>
      <c r="U389" s="118">
        <v>720</v>
      </c>
      <c r="V389" s="118">
        <v>960</v>
      </c>
      <c r="W389" s="118">
        <v>0</v>
      </c>
      <c r="X389" s="118">
        <v>5</v>
      </c>
      <c r="Y389" s="118" t="s">
        <v>38</v>
      </c>
      <c r="Z389" s="118" t="s">
        <v>1934</v>
      </c>
      <c r="AA389" s="206" t="s">
        <v>1935</v>
      </c>
      <c r="AB389" s="25" t="s">
        <v>1936</v>
      </c>
      <c r="AC389" s="25">
        <v>100000</v>
      </c>
      <c r="AD389" s="197">
        <v>1</v>
      </c>
      <c r="AE389" s="197">
        <v>1</v>
      </c>
      <c r="AF389">
        <v>0</v>
      </c>
      <c r="AG389" s="402">
        <v>5</v>
      </c>
    </row>
    <row r="390" spans="1:33" ht="14.45" customHeight="1" x14ac:dyDescent="0.3">
      <c r="A390" s="17">
        <v>800006</v>
      </c>
      <c r="B390" s="17" t="s">
        <v>1937</v>
      </c>
      <c r="C390" s="17" t="s">
        <v>1938</v>
      </c>
      <c r="D390" s="118" t="s">
        <v>1908</v>
      </c>
      <c r="E390" s="118">
        <v>0</v>
      </c>
      <c r="F390" s="118">
        <v>0</v>
      </c>
      <c r="G390" s="118"/>
      <c r="H390" s="118" t="s">
        <v>35</v>
      </c>
      <c r="I390" s="118">
        <v>1</v>
      </c>
      <c r="J390" s="118">
        <v>1</v>
      </c>
      <c r="K390" s="118">
        <v>1</v>
      </c>
      <c r="L390" s="118">
        <v>2</v>
      </c>
      <c r="M390" s="118" t="s">
        <v>70</v>
      </c>
      <c r="N390" s="118" t="s">
        <v>1939</v>
      </c>
      <c r="O390" s="118">
        <v>-1</v>
      </c>
      <c r="P390" s="118"/>
      <c r="Q390" s="118">
        <v>0</v>
      </c>
      <c r="R390" s="118">
        <v>1</v>
      </c>
      <c r="S390" s="25" t="b">
        <v>1</v>
      </c>
      <c r="T390" s="118">
        <v>58</v>
      </c>
      <c r="U390" s="118">
        <v>870</v>
      </c>
      <c r="V390" s="118">
        <v>1160</v>
      </c>
      <c r="W390" s="118">
        <v>0</v>
      </c>
      <c r="X390" s="118">
        <v>6</v>
      </c>
      <c r="Y390" s="118" t="s">
        <v>38</v>
      </c>
      <c r="Z390" s="118" t="s">
        <v>1940</v>
      </c>
      <c r="AA390" s="206" t="s">
        <v>1941</v>
      </c>
      <c r="AB390" s="25" t="s">
        <v>1942</v>
      </c>
      <c r="AC390" s="25">
        <v>100000</v>
      </c>
      <c r="AD390" s="197">
        <v>1</v>
      </c>
      <c r="AE390" s="197">
        <v>1</v>
      </c>
      <c r="AF390">
        <v>0</v>
      </c>
      <c r="AG390" s="402">
        <v>6</v>
      </c>
    </row>
    <row r="391" spans="1:33" ht="14.45" customHeight="1" x14ac:dyDescent="0.3">
      <c r="A391" s="17">
        <v>800007</v>
      </c>
      <c r="B391" s="17" t="s">
        <v>1943</v>
      </c>
      <c r="C391" s="17" t="s">
        <v>1944</v>
      </c>
      <c r="D391" s="118" t="s">
        <v>1908</v>
      </c>
      <c r="E391" s="118">
        <v>0</v>
      </c>
      <c r="F391" s="118">
        <v>0</v>
      </c>
      <c r="G391" s="118"/>
      <c r="H391" s="118" t="s">
        <v>35</v>
      </c>
      <c r="I391" s="118">
        <v>1</v>
      </c>
      <c r="J391" s="118">
        <v>1</v>
      </c>
      <c r="K391" s="118">
        <v>1</v>
      </c>
      <c r="L391" s="118">
        <v>2</v>
      </c>
      <c r="M391" s="118" t="s">
        <v>70</v>
      </c>
      <c r="N391" s="118" t="s">
        <v>1945</v>
      </c>
      <c r="O391" s="118">
        <v>-1</v>
      </c>
      <c r="P391" s="118"/>
      <c r="Q391" s="118">
        <v>0</v>
      </c>
      <c r="R391" s="118">
        <v>1</v>
      </c>
      <c r="S391" s="25" t="b">
        <v>1</v>
      </c>
      <c r="T391" s="118">
        <v>67</v>
      </c>
      <c r="U391" s="118">
        <v>1005</v>
      </c>
      <c r="V391" s="118">
        <v>1340</v>
      </c>
      <c r="W391" s="118">
        <v>0</v>
      </c>
      <c r="X391" s="118">
        <v>7</v>
      </c>
      <c r="Y391" s="118" t="s">
        <v>38</v>
      </c>
      <c r="Z391" s="118" t="s">
        <v>1946</v>
      </c>
      <c r="AA391" s="206" t="s">
        <v>1947</v>
      </c>
      <c r="AB391" s="25" t="s">
        <v>1948</v>
      </c>
      <c r="AC391" s="25">
        <v>100000</v>
      </c>
      <c r="AD391" s="197">
        <v>1</v>
      </c>
      <c r="AE391" s="197">
        <v>1</v>
      </c>
      <c r="AF391">
        <v>0</v>
      </c>
      <c r="AG391" s="402">
        <v>7</v>
      </c>
    </row>
    <row r="392" spans="1:33" ht="14.45" customHeight="1" x14ac:dyDescent="0.3">
      <c r="A392" s="420">
        <v>800008</v>
      </c>
      <c r="B392" s="420" t="s">
        <v>1949</v>
      </c>
      <c r="C392" s="420" t="s">
        <v>1950</v>
      </c>
      <c r="D392" s="421" t="s">
        <v>1908</v>
      </c>
      <c r="E392" s="421">
        <v>0</v>
      </c>
      <c r="F392" s="421">
        <v>0</v>
      </c>
      <c r="G392" s="421"/>
      <c r="H392" s="420" t="s">
        <v>35</v>
      </c>
      <c r="I392" s="421">
        <v>1</v>
      </c>
      <c r="J392" s="118">
        <v>1</v>
      </c>
      <c r="K392" s="421">
        <v>1</v>
      </c>
      <c r="L392" s="421">
        <v>2</v>
      </c>
      <c r="M392" s="421" t="s">
        <v>70</v>
      </c>
      <c r="N392" s="118" t="s">
        <v>1951</v>
      </c>
      <c r="O392" s="421">
        <v>-1</v>
      </c>
      <c r="P392" s="421"/>
      <c r="Q392" s="421">
        <v>0</v>
      </c>
      <c r="R392" s="421">
        <v>1</v>
      </c>
      <c r="S392" s="439" t="b">
        <v>1</v>
      </c>
      <c r="T392" s="421">
        <v>78</v>
      </c>
      <c r="U392" s="118">
        <v>1170</v>
      </c>
      <c r="V392" s="118">
        <v>1560</v>
      </c>
      <c r="W392" s="421">
        <v>0</v>
      </c>
      <c r="X392" s="421">
        <v>8</v>
      </c>
      <c r="Y392" s="421" t="s">
        <v>38</v>
      </c>
      <c r="Z392" s="502" t="s">
        <v>1952</v>
      </c>
      <c r="AA392" s="206" t="s">
        <v>1953</v>
      </c>
      <c r="AB392" s="439" t="s">
        <v>1954</v>
      </c>
      <c r="AC392" s="439">
        <v>100000</v>
      </c>
      <c r="AD392" s="424">
        <v>1</v>
      </c>
      <c r="AE392" s="424">
        <v>1</v>
      </c>
      <c r="AF392">
        <v>0</v>
      </c>
      <c r="AG392" s="425">
        <v>8</v>
      </c>
    </row>
    <row r="393" spans="1:33" ht="14.45" customHeight="1" x14ac:dyDescent="0.3">
      <c r="A393" s="420">
        <v>800009</v>
      </c>
      <c r="B393" s="420" t="s">
        <v>1955</v>
      </c>
      <c r="C393" s="420" t="s">
        <v>1956</v>
      </c>
      <c r="D393" s="421" t="s">
        <v>1908</v>
      </c>
      <c r="E393" s="421">
        <v>0</v>
      </c>
      <c r="F393" s="421">
        <v>0</v>
      </c>
      <c r="G393" s="421"/>
      <c r="H393" s="420" t="s">
        <v>35</v>
      </c>
      <c r="I393" s="421">
        <v>1</v>
      </c>
      <c r="J393" s="118">
        <v>1</v>
      </c>
      <c r="K393" s="421">
        <v>1</v>
      </c>
      <c r="L393" s="421">
        <v>2</v>
      </c>
      <c r="M393" s="421" t="s">
        <v>70</v>
      </c>
      <c r="N393" s="118" t="s">
        <v>1957</v>
      </c>
      <c r="O393" s="421">
        <v>-1</v>
      </c>
      <c r="P393" s="421"/>
      <c r="Q393" s="421">
        <v>0</v>
      </c>
      <c r="R393" s="421">
        <v>1</v>
      </c>
      <c r="S393" s="439" t="b">
        <v>1</v>
      </c>
      <c r="T393" s="421">
        <v>87</v>
      </c>
      <c r="U393" s="118">
        <v>1305</v>
      </c>
      <c r="V393" s="118">
        <v>1740</v>
      </c>
      <c r="W393" s="421">
        <v>0</v>
      </c>
      <c r="X393" s="421">
        <v>9</v>
      </c>
      <c r="Y393" s="421" t="s">
        <v>38</v>
      </c>
      <c r="Z393" s="502" t="s">
        <v>1958</v>
      </c>
      <c r="AA393" s="206" t="s">
        <v>1959</v>
      </c>
      <c r="AB393" s="439" t="s">
        <v>1960</v>
      </c>
      <c r="AC393" s="439">
        <v>100000</v>
      </c>
      <c r="AD393" s="424">
        <v>1</v>
      </c>
      <c r="AE393" s="424">
        <v>1</v>
      </c>
      <c r="AF393">
        <v>0</v>
      </c>
      <c r="AG393" s="425">
        <v>9</v>
      </c>
    </row>
    <row r="394" spans="1:33" ht="14.45" customHeight="1" x14ac:dyDescent="0.3">
      <c r="A394" s="420">
        <v>800010</v>
      </c>
      <c r="B394" s="420" t="s">
        <v>1961</v>
      </c>
      <c r="C394" s="420" t="s">
        <v>1962</v>
      </c>
      <c r="D394" s="421" t="s">
        <v>1908</v>
      </c>
      <c r="E394" s="421">
        <v>0</v>
      </c>
      <c r="F394" s="421">
        <v>0</v>
      </c>
      <c r="G394" s="421"/>
      <c r="H394" s="420" t="s">
        <v>35</v>
      </c>
      <c r="I394" s="421">
        <v>1</v>
      </c>
      <c r="J394" s="118">
        <v>1</v>
      </c>
      <c r="K394" s="421">
        <v>1</v>
      </c>
      <c r="L394" s="421">
        <v>2</v>
      </c>
      <c r="M394" s="421" t="s">
        <v>70</v>
      </c>
      <c r="N394" s="118" t="s">
        <v>1963</v>
      </c>
      <c r="O394" s="421">
        <v>-1</v>
      </c>
      <c r="P394" s="421"/>
      <c r="Q394" s="421">
        <v>0</v>
      </c>
      <c r="R394" s="421">
        <v>1</v>
      </c>
      <c r="S394" s="439" t="b">
        <v>1</v>
      </c>
      <c r="T394" s="421">
        <v>97</v>
      </c>
      <c r="U394" s="118">
        <v>1455</v>
      </c>
      <c r="V394" s="118">
        <v>1940</v>
      </c>
      <c r="W394" s="421">
        <v>0</v>
      </c>
      <c r="X394" s="421">
        <v>10</v>
      </c>
      <c r="Y394" s="421" t="s">
        <v>38</v>
      </c>
      <c r="Z394" s="502" t="s">
        <v>1964</v>
      </c>
      <c r="AA394" s="206" t="s">
        <v>1965</v>
      </c>
      <c r="AB394" s="439" t="s">
        <v>1966</v>
      </c>
      <c r="AC394" s="439">
        <v>100000</v>
      </c>
      <c r="AD394" s="424">
        <v>1</v>
      </c>
      <c r="AE394" s="424">
        <v>1</v>
      </c>
      <c r="AF394">
        <v>0</v>
      </c>
      <c r="AG394" s="425">
        <v>10</v>
      </c>
    </row>
    <row r="395" spans="1:33" ht="14.45" customHeight="1" x14ac:dyDescent="0.3">
      <c r="A395" s="41">
        <v>800101</v>
      </c>
      <c r="B395" s="42" t="s">
        <v>1967</v>
      </c>
      <c r="C395" s="42" t="s">
        <v>1968</v>
      </c>
      <c r="D395" s="41" t="s">
        <v>1908</v>
      </c>
      <c r="E395" s="41">
        <v>0</v>
      </c>
      <c r="F395" s="41">
        <v>0</v>
      </c>
      <c r="G395" s="41"/>
      <c r="H395" s="84" t="s">
        <v>107</v>
      </c>
      <c r="I395" s="41">
        <v>2</v>
      </c>
      <c r="J395" s="118">
        <v>2</v>
      </c>
      <c r="K395" s="41">
        <v>0</v>
      </c>
      <c r="L395" s="41">
        <v>2</v>
      </c>
      <c r="M395" s="41">
        <v>3</v>
      </c>
      <c r="N395" s="118" t="s">
        <v>1909</v>
      </c>
      <c r="O395" s="41">
        <v>-1</v>
      </c>
      <c r="P395" s="41"/>
      <c r="Q395" s="41">
        <v>0</v>
      </c>
      <c r="R395" s="41">
        <v>1</v>
      </c>
      <c r="S395" s="43" t="b">
        <v>1</v>
      </c>
      <c r="T395" s="41">
        <v>9</v>
      </c>
      <c r="U395" s="118">
        <v>135</v>
      </c>
      <c r="V395" s="118">
        <v>180</v>
      </c>
      <c r="W395" s="41">
        <v>0</v>
      </c>
      <c r="X395" s="41">
        <v>1</v>
      </c>
      <c r="Y395" s="41" t="s">
        <v>38</v>
      </c>
      <c r="Z395" s="362" t="s">
        <v>1969</v>
      </c>
      <c r="AA395" s="206" t="s">
        <v>1970</v>
      </c>
      <c r="AB395" s="43" t="s">
        <v>1971</v>
      </c>
      <c r="AC395" s="41">
        <v>300000</v>
      </c>
      <c r="AD395" s="197">
        <v>0</v>
      </c>
      <c r="AE395" s="197">
        <v>0</v>
      </c>
      <c r="AF395">
        <v>0</v>
      </c>
      <c r="AG395" s="435">
        <v>1</v>
      </c>
    </row>
    <row r="396" spans="1:33" ht="14.45" customHeight="1" x14ac:dyDescent="0.3">
      <c r="A396" s="115">
        <v>800102</v>
      </c>
      <c r="B396" s="121" t="s">
        <v>1972</v>
      </c>
      <c r="C396" s="121" t="s">
        <v>1973</v>
      </c>
      <c r="D396" s="121" t="s">
        <v>1908</v>
      </c>
      <c r="E396" s="115">
        <v>0</v>
      </c>
      <c r="F396" s="121">
        <v>0</v>
      </c>
      <c r="G396" s="115"/>
      <c r="H396" s="121" t="s">
        <v>112</v>
      </c>
      <c r="I396" s="121">
        <v>4</v>
      </c>
      <c r="J396" s="118">
        <v>4</v>
      </c>
      <c r="K396" s="115">
        <v>0</v>
      </c>
      <c r="L396" s="121">
        <v>2</v>
      </c>
      <c r="M396" s="115">
        <v>4</v>
      </c>
      <c r="N396" s="118" t="s">
        <v>1915</v>
      </c>
      <c r="O396" s="121">
        <v>-1</v>
      </c>
      <c r="P396" s="121"/>
      <c r="Q396" s="121">
        <v>0</v>
      </c>
      <c r="R396" s="121">
        <v>1</v>
      </c>
      <c r="S396" s="397" t="b">
        <v>1</v>
      </c>
      <c r="T396" s="115">
        <v>19</v>
      </c>
      <c r="U396" s="118">
        <v>285</v>
      </c>
      <c r="V396" s="118">
        <v>380</v>
      </c>
      <c r="W396" s="115">
        <v>0</v>
      </c>
      <c r="X396" s="115">
        <v>2</v>
      </c>
      <c r="Y396" s="115" t="s">
        <v>38</v>
      </c>
      <c r="Z396" s="397" t="s">
        <v>1974</v>
      </c>
      <c r="AA396" s="206" t="s">
        <v>1975</v>
      </c>
      <c r="AB396" s="397" t="s">
        <v>1930</v>
      </c>
      <c r="AC396" s="115">
        <v>300000</v>
      </c>
      <c r="AD396" s="197">
        <v>1</v>
      </c>
      <c r="AE396" s="197">
        <v>1</v>
      </c>
      <c r="AF396">
        <v>0</v>
      </c>
      <c r="AG396" s="436">
        <v>2</v>
      </c>
    </row>
    <row r="397" spans="1:33" ht="14.45" customHeight="1" x14ac:dyDescent="0.3">
      <c r="A397" s="117">
        <v>800103</v>
      </c>
      <c r="B397" s="124" t="s">
        <v>288</v>
      </c>
      <c r="C397" s="124" t="s">
        <v>289</v>
      </c>
      <c r="D397" s="117" t="s">
        <v>1908</v>
      </c>
      <c r="E397" s="117">
        <v>0</v>
      </c>
      <c r="F397" s="117">
        <v>0</v>
      </c>
      <c r="G397" s="117"/>
      <c r="H397" s="117"/>
      <c r="I397" s="117">
        <v>5</v>
      </c>
      <c r="J397" s="118">
        <v>5</v>
      </c>
      <c r="K397" s="117">
        <v>0</v>
      </c>
      <c r="L397" s="117">
        <v>2</v>
      </c>
      <c r="M397" s="117">
        <v>5</v>
      </c>
      <c r="N397" s="118" t="s">
        <v>1921</v>
      </c>
      <c r="O397" s="117">
        <v>-1</v>
      </c>
      <c r="P397" s="117"/>
      <c r="Q397" s="117">
        <v>0</v>
      </c>
      <c r="R397" s="398">
        <v>1</v>
      </c>
      <c r="S397" s="398" t="b">
        <v>1</v>
      </c>
      <c r="T397" s="117">
        <v>28</v>
      </c>
      <c r="U397" s="118">
        <v>420</v>
      </c>
      <c r="V397" s="118">
        <v>560</v>
      </c>
      <c r="W397" s="117">
        <v>0</v>
      </c>
      <c r="X397" s="117">
        <v>3</v>
      </c>
      <c r="Y397" s="117" t="s">
        <v>38</v>
      </c>
      <c r="Z397" s="503" t="s">
        <v>1976</v>
      </c>
      <c r="AA397" s="206" t="s">
        <v>1977</v>
      </c>
      <c r="AB397" s="398" t="s">
        <v>1978</v>
      </c>
      <c r="AC397" s="117">
        <v>300000</v>
      </c>
      <c r="AD397" s="197">
        <v>1</v>
      </c>
      <c r="AE397" s="197">
        <v>1</v>
      </c>
      <c r="AF397">
        <v>0</v>
      </c>
      <c r="AG397" s="437">
        <v>3</v>
      </c>
    </row>
    <row r="398" spans="1:33" ht="14.45" customHeight="1" x14ac:dyDescent="0.3">
      <c r="A398" s="127">
        <v>800104</v>
      </c>
      <c r="B398" s="128" t="s">
        <v>1979</v>
      </c>
      <c r="C398" s="128" t="s">
        <v>1980</v>
      </c>
      <c r="D398" s="134" t="s">
        <v>1908</v>
      </c>
      <c r="E398" s="130">
        <v>3</v>
      </c>
      <c r="F398" s="130">
        <v>0</v>
      </c>
      <c r="G398" s="130"/>
      <c r="H398" s="130" t="s">
        <v>1981</v>
      </c>
      <c r="I398" s="130">
        <v>1</v>
      </c>
      <c r="J398" s="118">
        <v>1</v>
      </c>
      <c r="K398" s="130">
        <v>0</v>
      </c>
      <c r="L398" s="130">
        <v>2</v>
      </c>
      <c r="M398" s="130">
        <v>5</v>
      </c>
      <c r="N398" s="118" t="s">
        <v>1927</v>
      </c>
      <c r="O398" s="134">
        <v>-1</v>
      </c>
      <c r="P398" s="127"/>
      <c r="Q398" s="134">
        <v>0</v>
      </c>
      <c r="R398" s="130">
        <v>1</v>
      </c>
      <c r="S398" s="130" t="b">
        <v>1</v>
      </c>
      <c r="T398" s="134">
        <v>39</v>
      </c>
      <c r="U398" s="118">
        <v>585</v>
      </c>
      <c r="V398" s="118">
        <v>780</v>
      </c>
      <c r="W398" s="134">
        <v>0</v>
      </c>
      <c r="X398" s="130">
        <v>4</v>
      </c>
      <c r="Y398" s="130" t="s">
        <v>38</v>
      </c>
      <c r="Z398" s="414" t="s">
        <v>1982</v>
      </c>
      <c r="AA398" s="206" t="s">
        <v>1983</v>
      </c>
      <c r="AB398" s="442" t="s">
        <v>1984</v>
      </c>
      <c r="AC398" s="130">
        <v>100000</v>
      </c>
      <c r="AD398" s="197">
        <v>1</v>
      </c>
      <c r="AE398" s="197">
        <v>1</v>
      </c>
      <c r="AF398">
        <v>0</v>
      </c>
      <c r="AG398" s="416">
        <v>4</v>
      </c>
    </row>
    <row r="399" spans="1:33" ht="14.45" customHeight="1" x14ac:dyDescent="0.3">
      <c r="A399" s="128">
        <v>800108</v>
      </c>
      <c r="B399" s="128" t="s">
        <v>1985</v>
      </c>
      <c r="C399" s="128" t="s">
        <v>1986</v>
      </c>
      <c r="D399" s="134" t="s">
        <v>1908</v>
      </c>
      <c r="E399" s="130">
        <v>4</v>
      </c>
      <c r="F399" s="130">
        <v>0</v>
      </c>
      <c r="G399" s="130"/>
      <c r="H399" s="130" t="s">
        <v>1981</v>
      </c>
      <c r="I399" s="130">
        <v>1</v>
      </c>
      <c r="J399" s="118">
        <v>1</v>
      </c>
      <c r="K399" s="130">
        <v>0</v>
      </c>
      <c r="L399" s="130">
        <v>2</v>
      </c>
      <c r="M399" s="130">
        <v>5</v>
      </c>
      <c r="N399" s="118" t="s">
        <v>1951</v>
      </c>
      <c r="O399" s="134">
        <v>-1</v>
      </c>
      <c r="P399" s="127"/>
      <c r="Q399" s="134">
        <v>0</v>
      </c>
      <c r="R399" s="130">
        <v>1</v>
      </c>
      <c r="S399" s="130" t="b">
        <v>1</v>
      </c>
      <c r="T399" s="134">
        <v>78</v>
      </c>
      <c r="U399" s="118">
        <v>1170</v>
      </c>
      <c r="V399" s="118">
        <v>1560</v>
      </c>
      <c r="W399" s="134">
        <v>0</v>
      </c>
      <c r="X399" s="118">
        <v>8</v>
      </c>
      <c r="Y399" s="130" t="s">
        <v>38</v>
      </c>
      <c r="Z399" s="414" t="s">
        <v>1982</v>
      </c>
      <c r="AA399" s="206" t="s">
        <v>1987</v>
      </c>
      <c r="AB399" s="442" t="s">
        <v>1988</v>
      </c>
      <c r="AC399" s="130">
        <v>100000</v>
      </c>
      <c r="AD399" s="197">
        <v>1</v>
      </c>
      <c r="AE399" s="197">
        <v>1</v>
      </c>
      <c r="AF399">
        <v>0</v>
      </c>
      <c r="AG399" s="416">
        <v>8</v>
      </c>
    </row>
    <row r="400" spans="1:33" ht="14.45" customHeight="1" x14ac:dyDescent="0.3">
      <c r="A400" s="129">
        <v>800109</v>
      </c>
      <c r="B400" s="129" t="s">
        <v>1989</v>
      </c>
      <c r="C400" s="129" t="s">
        <v>1990</v>
      </c>
      <c r="D400" s="135" t="s">
        <v>1908</v>
      </c>
      <c r="E400" s="440">
        <v>5</v>
      </c>
      <c r="F400" s="440">
        <v>0</v>
      </c>
      <c r="G400" s="440"/>
      <c r="H400" s="135" t="s">
        <v>51</v>
      </c>
      <c r="I400" s="440">
        <v>1</v>
      </c>
      <c r="J400" s="118">
        <v>1</v>
      </c>
      <c r="K400" s="119">
        <v>0</v>
      </c>
      <c r="L400" s="440">
        <v>2</v>
      </c>
      <c r="M400" s="440">
        <v>6</v>
      </c>
      <c r="N400" s="118" t="s">
        <v>1957</v>
      </c>
      <c r="O400" s="135">
        <v>-1</v>
      </c>
      <c r="P400" s="441"/>
      <c r="Q400" s="135">
        <v>0</v>
      </c>
      <c r="R400" s="440">
        <v>1</v>
      </c>
      <c r="S400" s="440" t="b">
        <v>1</v>
      </c>
      <c r="T400" s="135">
        <v>87</v>
      </c>
      <c r="U400" s="118">
        <v>1305</v>
      </c>
      <c r="V400" s="118">
        <v>1740</v>
      </c>
      <c r="W400" s="135">
        <v>0</v>
      </c>
      <c r="X400" s="118">
        <v>9</v>
      </c>
      <c r="Y400" s="440" t="s">
        <v>38</v>
      </c>
      <c r="Z400" s="443" t="s">
        <v>1991</v>
      </c>
      <c r="AA400" s="206" t="s">
        <v>1992</v>
      </c>
      <c r="AB400" s="443" t="s">
        <v>1993</v>
      </c>
      <c r="AC400" s="440">
        <v>100000</v>
      </c>
      <c r="AD400" s="197">
        <v>1</v>
      </c>
      <c r="AE400" s="197">
        <v>1</v>
      </c>
      <c r="AF400">
        <v>0</v>
      </c>
      <c r="AG400" s="444">
        <v>9</v>
      </c>
    </row>
    <row r="401" spans="1:33" ht="14.45" customHeight="1" x14ac:dyDescent="0.3">
      <c r="A401" s="84">
        <v>900104</v>
      </c>
      <c r="B401" s="105" t="s">
        <v>1994</v>
      </c>
      <c r="C401" s="105" t="s">
        <v>1995</v>
      </c>
      <c r="D401" s="84" t="s">
        <v>33</v>
      </c>
      <c r="E401" s="84">
        <v>22</v>
      </c>
      <c r="F401" s="84" t="s">
        <v>1996</v>
      </c>
      <c r="G401" s="84" t="s">
        <v>1323</v>
      </c>
      <c r="H401" s="84"/>
      <c r="I401" s="84">
        <v>1</v>
      </c>
      <c r="J401" s="118">
        <v>1</v>
      </c>
      <c r="K401" s="84">
        <v>0</v>
      </c>
      <c r="L401" s="84">
        <v>3</v>
      </c>
      <c r="M401" s="84" t="s">
        <v>56</v>
      </c>
      <c r="N401" s="118" t="s">
        <v>37</v>
      </c>
      <c r="O401" s="84">
        <v>50</v>
      </c>
      <c r="P401" s="84">
        <v>0.5</v>
      </c>
      <c r="Q401" s="84">
        <v>0</v>
      </c>
      <c r="R401" s="43">
        <v>1</v>
      </c>
      <c r="S401" s="43" t="b">
        <v>1</v>
      </c>
      <c r="T401" s="84">
        <v>13</v>
      </c>
      <c r="U401" s="118">
        <v>195</v>
      </c>
      <c r="V401" s="118">
        <v>260</v>
      </c>
      <c r="W401" s="84">
        <v>0</v>
      </c>
      <c r="X401" s="84">
        <v>1</v>
      </c>
      <c r="Y401" s="84" t="s">
        <v>38</v>
      </c>
      <c r="Z401" s="362" t="s">
        <v>1996</v>
      </c>
      <c r="AA401" s="206" t="s">
        <v>1997</v>
      </c>
      <c r="AB401" s="43" t="s">
        <v>41</v>
      </c>
      <c r="AC401" s="84">
        <v>100000</v>
      </c>
      <c r="AD401" s="197">
        <v>1</v>
      </c>
      <c r="AE401" s="197">
        <v>1</v>
      </c>
      <c r="AF401">
        <v>0</v>
      </c>
      <c r="AG401" s="404">
        <v>1</v>
      </c>
    </row>
    <row r="402" spans="1:33" ht="17.25" x14ac:dyDescent="0.3">
      <c r="A402" s="130">
        <v>102604</v>
      </c>
      <c r="B402" s="130" t="s">
        <v>1998</v>
      </c>
      <c r="C402" s="130" t="s">
        <v>1999</v>
      </c>
      <c r="D402" s="130" t="s">
        <v>33</v>
      </c>
      <c r="E402" s="130">
        <v>2</v>
      </c>
      <c r="F402" s="130" t="s">
        <v>134</v>
      </c>
      <c r="G402" s="130" t="s">
        <v>179</v>
      </c>
      <c r="H402" s="130" t="s">
        <v>112</v>
      </c>
      <c r="I402" s="130">
        <v>5</v>
      </c>
      <c r="J402" s="118">
        <v>5</v>
      </c>
      <c r="K402" s="130">
        <v>0</v>
      </c>
      <c r="L402" s="130">
        <v>3</v>
      </c>
      <c r="M402" s="130">
        <v>5</v>
      </c>
      <c r="N402" s="118" t="s">
        <v>64</v>
      </c>
      <c r="O402" s="130">
        <v>50</v>
      </c>
      <c r="P402" s="130">
        <v>0.7</v>
      </c>
      <c r="Q402" s="130">
        <v>0</v>
      </c>
      <c r="R402" s="130">
        <v>1</v>
      </c>
      <c r="S402" s="130" t="b">
        <v>1</v>
      </c>
      <c r="T402" s="130">
        <v>52</v>
      </c>
      <c r="U402" s="118">
        <v>780</v>
      </c>
      <c r="V402" s="118">
        <v>1040</v>
      </c>
      <c r="W402" s="130">
        <v>0</v>
      </c>
      <c r="X402" s="130">
        <v>4</v>
      </c>
      <c r="Y402" s="130" t="s">
        <v>38</v>
      </c>
      <c r="Z402" s="130" t="s">
        <v>117</v>
      </c>
      <c r="AA402" s="206" t="s">
        <v>2000</v>
      </c>
      <c r="AB402" s="130" t="s">
        <v>2001</v>
      </c>
      <c r="AC402" s="130">
        <v>100000</v>
      </c>
      <c r="AD402" s="197">
        <v>1</v>
      </c>
      <c r="AE402" s="197">
        <v>1</v>
      </c>
      <c r="AF402">
        <v>0</v>
      </c>
      <c r="AG402" s="416">
        <v>4</v>
      </c>
    </row>
    <row r="403" spans="1:33" ht="17.25" x14ac:dyDescent="0.3">
      <c r="A403" s="130">
        <v>102505</v>
      </c>
      <c r="B403" s="130" t="s">
        <v>2002</v>
      </c>
      <c r="C403" s="130" t="s">
        <v>2003</v>
      </c>
      <c r="D403" s="130" t="s">
        <v>33</v>
      </c>
      <c r="E403" s="130">
        <v>2</v>
      </c>
      <c r="F403" s="130" t="s">
        <v>134</v>
      </c>
      <c r="G403" s="130" t="s">
        <v>146</v>
      </c>
      <c r="H403" s="130" t="s">
        <v>112</v>
      </c>
      <c r="I403" s="130">
        <v>5</v>
      </c>
      <c r="J403" s="118">
        <v>5</v>
      </c>
      <c r="K403" s="130">
        <v>0</v>
      </c>
      <c r="L403" s="130">
        <v>3</v>
      </c>
      <c r="M403" s="130">
        <v>5</v>
      </c>
      <c r="N403" s="118" t="s">
        <v>71</v>
      </c>
      <c r="O403" s="130">
        <v>50</v>
      </c>
      <c r="P403" s="130">
        <v>0.7</v>
      </c>
      <c r="Q403" s="130">
        <v>0</v>
      </c>
      <c r="R403" s="130">
        <v>1</v>
      </c>
      <c r="S403" s="130" t="b">
        <v>1</v>
      </c>
      <c r="T403" s="130">
        <v>65</v>
      </c>
      <c r="U403" s="118">
        <v>975</v>
      </c>
      <c r="V403" s="118">
        <v>1300</v>
      </c>
      <c r="W403" s="130">
        <v>0</v>
      </c>
      <c r="X403" s="130">
        <v>5</v>
      </c>
      <c r="Y403" s="130" t="s">
        <v>38</v>
      </c>
      <c r="Z403" s="130" t="s">
        <v>290</v>
      </c>
      <c r="AA403" s="206" t="s">
        <v>2004</v>
      </c>
      <c r="AB403" s="130" t="s">
        <v>149</v>
      </c>
      <c r="AC403" s="130">
        <v>100000</v>
      </c>
      <c r="AD403" s="197">
        <v>1</v>
      </c>
      <c r="AE403" s="197">
        <v>1</v>
      </c>
      <c r="AF403">
        <v>0</v>
      </c>
      <c r="AG403" s="416">
        <v>5</v>
      </c>
    </row>
    <row r="404" spans="1:33" ht="17.25" x14ac:dyDescent="0.3">
      <c r="A404" s="130">
        <v>102306</v>
      </c>
      <c r="B404" s="130" t="s">
        <v>2005</v>
      </c>
      <c r="C404" s="130" t="s">
        <v>2006</v>
      </c>
      <c r="D404" s="130" t="s">
        <v>33</v>
      </c>
      <c r="E404" s="130">
        <v>2</v>
      </c>
      <c r="F404" s="130" t="s">
        <v>134</v>
      </c>
      <c r="G404" s="130" t="s">
        <v>155</v>
      </c>
      <c r="H404" s="130" t="s">
        <v>112</v>
      </c>
      <c r="I404" s="130">
        <v>5</v>
      </c>
      <c r="J404" s="118">
        <v>5</v>
      </c>
      <c r="K404" s="130">
        <v>0</v>
      </c>
      <c r="L404" s="130">
        <v>3</v>
      </c>
      <c r="M404" s="130">
        <v>5</v>
      </c>
      <c r="N404" s="118" t="s">
        <v>77</v>
      </c>
      <c r="O404" s="130">
        <v>50</v>
      </c>
      <c r="P404" s="130">
        <v>0.7</v>
      </c>
      <c r="Q404" s="130">
        <v>0</v>
      </c>
      <c r="R404" s="130">
        <v>1</v>
      </c>
      <c r="S404" s="130" t="b">
        <v>1</v>
      </c>
      <c r="T404" s="130">
        <v>78</v>
      </c>
      <c r="U404" s="118">
        <v>1170</v>
      </c>
      <c r="V404" s="118">
        <v>1560</v>
      </c>
      <c r="W404" s="130">
        <v>0</v>
      </c>
      <c r="X404" s="130">
        <v>6</v>
      </c>
      <c r="Y404" s="130" t="s">
        <v>38</v>
      </c>
      <c r="Z404" s="130" t="s">
        <v>337</v>
      </c>
      <c r="AA404" s="206" t="s">
        <v>2007</v>
      </c>
      <c r="AB404" s="130" t="s">
        <v>158</v>
      </c>
      <c r="AC404" s="130">
        <v>100000</v>
      </c>
      <c r="AD404" s="197">
        <v>1</v>
      </c>
      <c r="AE404" s="197">
        <v>1</v>
      </c>
      <c r="AF404">
        <v>0</v>
      </c>
      <c r="AG404" s="416">
        <v>6</v>
      </c>
    </row>
    <row r="405" spans="1:33" ht="17.25" x14ac:dyDescent="0.3">
      <c r="A405" s="130">
        <v>102307</v>
      </c>
      <c r="B405" s="130" t="s">
        <v>2008</v>
      </c>
      <c r="C405" s="130" t="s">
        <v>2009</v>
      </c>
      <c r="D405" s="130" t="s">
        <v>33</v>
      </c>
      <c r="E405" s="130">
        <v>2</v>
      </c>
      <c r="F405" s="130" t="s">
        <v>134</v>
      </c>
      <c r="G405" s="130" t="s">
        <v>179</v>
      </c>
      <c r="H405" s="130" t="s">
        <v>112</v>
      </c>
      <c r="I405" s="130">
        <v>5</v>
      </c>
      <c r="J405" s="118">
        <v>5</v>
      </c>
      <c r="K405" s="130">
        <v>0</v>
      </c>
      <c r="L405" s="130">
        <v>3</v>
      </c>
      <c r="M405" s="130">
        <v>5</v>
      </c>
      <c r="N405" s="118" t="s">
        <v>83</v>
      </c>
      <c r="O405" s="130">
        <v>50</v>
      </c>
      <c r="P405" s="130">
        <v>0.7</v>
      </c>
      <c r="Q405" s="130">
        <v>0</v>
      </c>
      <c r="R405" s="130">
        <v>1</v>
      </c>
      <c r="S405" s="130" t="b">
        <v>1</v>
      </c>
      <c r="T405" s="130">
        <v>91</v>
      </c>
      <c r="U405" s="118">
        <v>1365</v>
      </c>
      <c r="V405" s="118">
        <v>1820</v>
      </c>
      <c r="W405" s="130">
        <v>0</v>
      </c>
      <c r="X405" s="130">
        <v>7</v>
      </c>
      <c r="Y405" s="130" t="s">
        <v>38</v>
      </c>
      <c r="Z405" s="130" t="s">
        <v>2010</v>
      </c>
      <c r="AA405" s="206" t="s">
        <v>2011</v>
      </c>
      <c r="AB405" s="130" t="s">
        <v>2012</v>
      </c>
      <c r="AC405" s="130">
        <v>100000</v>
      </c>
      <c r="AD405" s="197">
        <v>1</v>
      </c>
      <c r="AE405" s="197">
        <v>1</v>
      </c>
      <c r="AF405">
        <v>0</v>
      </c>
      <c r="AG405" s="416">
        <v>7</v>
      </c>
    </row>
    <row r="406" spans="1:33" ht="17.25" x14ac:dyDescent="0.3">
      <c r="A406" s="130">
        <v>102704</v>
      </c>
      <c r="B406" s="130" t="s">
        <v>2013</v>
      </c>
      <c r="C406" s="130" t="s">
        <v>2014</v>
      </c>
      <c r="D406" s="130" t="s">
        <v>33</v>
      </c>
      <c r="E406" s="130">
        <v>2</v>
      </c>
      <c r="F406" s="130" t="s">
        <v>134</v>
      </c>
      <c r="G406" s="130" t="s">
        <v>230</v>
      </c>
      <c r="H406" s="130" t="s">
        <v>112</v>
      </c>
      <c r="I406" s="130">
        <v>5</v>
      </c>
      <c r="J406" s="118">
        <v>5</v>
      </c>
      <c r="K406" s="130">
        <v>0</v>
      </c>
      <c r="L406" s="130">
        <v>3</v>
      </c>
      <c r="M406" s="130">
        <v>5</v>
      </c>
      <c r="N406" s="118" t="s">
        <v>64</v>
      </c>
      <c r="O406" s="130">
        <v>50</v>
      </c>
      <c r="P406" s="130">
        <v>0.7</v>
      </c>
      <c r="Q406" s="130">
        <v>0</v>
      </c>
      <c r="R406" s="130">
        <v>1</v>
      </c>
      <c r="S406" s="130" t="b">
        <v>1</v>
      </c>
      <c r="T406" s="130">
        <v>52</v>
      </c>
      <c r="U406" s="118">
        <v>780</v>
      </c>
      <c r="V406" s="118">
        <v>1040</v>
      </c>
      <c r="W406" s="130">
        <v>0</v>
      </c>
      <c r="X406" s="130">
        <v>4</v>
      </c>
      <c r="Y406" s="130" t="s">
        <v>38</v>
      </c>
      <c r="Z406" s="130" t="s">
        <v>117</v>
      </c>
      <c r="AA406" s="206" t="s">
        <v>2015</v>
      </c>
      <c r="AB406" s="130" t="s">
        <v>233</v>
      </c>
      <c r="AC406" s="130">
        <v>100000</v>
      </c>
      <c r="AD406" s="197">
        <v>1</v>
      </c>
      <c r="AE406" s="197">
        <v>1</v>
      </c>
      <c r="AF406">
        <v>0</v>
      </c>
      <c r="AG406" s="416">
        <v>4</v>
      </c>
    </row>
    <row r="407" spans="1:33" ht="17.25" x14ac:dyDescent="0.3">
      <c r="A407" s="130">
        <v>102605</v>
      </c>
      <c r="B407" s="130" t="s">
        <v>2016</v>
      </c>
      <c r="C407" s="130" t="s">
        <v>2017</v>
      </c>
      <c r="D407" s="130" t="s">
        <v>33</v>
      </c>
      <c r="E407" s="130">
        <v>2</v>
      </c>
      <c r="F407" s="130" t="s">
        <v>134</v>
      </c>
      <c r="G407" s="130" t="s">
        <v>236</v>
      </c>
      <c r="H407" s="130" t="s">
        <v>112</v>
      </c>
      <c r="I407" s="130">
        <v>5</v>
      </c>
      <c r="J407" s="118">
        <v>5</v>
      </c>
      <c r="K407" s="130">
        <v>0</v>
      </c>
      <c r="L407" s="130">
        <v>3</v>
      </c>
      <c r="M407" s="130">
        <v>5</v>
      </c>
      <c r="N407" s="118" t="s">
        <v>71</v>
      </c>
      <c r="O407" s="130">
        <v>50</v>
      </c>
      <c r="P407" s="130">
        <v>0.7</v>
      </c>
      <c r="Q407" s="130">
        <v>0</v>
      </c>
      <c r="R407" s="130">
        <v>1</v>
      </c>
      <c r="S407" s="130" t="b">
        <v>1</v>
      </c>
      <c r="T407" s="130">
        <v>65</v>
      </c>
      <c r="U407" s="118">
        <v>975</v>
      </c>
      <c r="V407" s="118">
        <v>1300</v>
      </c>
      <c r="W407" s="130">
        <v>0</v>
      </c>
      <c r="X407" s="130">
        <v>5</v>
      </c>
      <c r="Y407" s="130" t="s">
        <v>38</v>
      </c>
      <c r="Z407" s="130" t="s">
        <v>346</v>
      </c>
      <c r="AA407" s="206" t="s">
        <v>2018</v>
      </c>
      <c r="AB407" s="130" t="s">
        <v>239</v>
      </c>
      <c r="AC407" s="130">
        <v>100000</v>
      </c>
      <c r="AD407" s="197">
        <v>1</v>
      </c>
      <c r="AE407" s="197">
        <v>1</v>
      </c>
      <c r="AF407">
        <v>0</v>
      </c>
      <c r="AG407" s="416">
        <v>5</v>
      </c>
    </row>
    <row r="408" spans="1:33" ht="17.25" x14ac:dyDescent="0.3">
      <c r="A408" s="130">
        <v>102406</v>
      </c>
      <c r="B408" s="130" t="s">
        <v>2019</v>
      </c>
      <c r="C408" s="130" t="s">
        <v>2020</v>
      </c>
      <c r="D408" s="130" t="s">
        <v>33</v>
      </c>
      <c r="E408" s="130">
        <v>2</v>
      </c>
      <c r="F408" s="130" t="s">
        <v>134</v>
      </c>
      <c r="G408" s="130" t="s">
        <v>248</v>
      </c>
      <c r="H408" s="130" t="s">
        <v>112</v>
      </c>
      <c r="I408" s="130">
        <v>5</v>
      </c>
      <c r="J408" s="118">
        <v>5</v>
      </c>
      <c r="K408" s="130">
        <v>0</v>
      </c>
      <c r="L408" s="130">
        <v>3</v>
      </c>
      <c r="M408" s="130">
        <v>5</v>
      </c>
      <c r="N408" s="118" t="s">
        <v>77</v>
      </c>
      <c r="O408" s="130">
        <v>50</v>
      </c>
      <c r="P408" s="130">
        <v>0.7</v>
      </c>
      <c r="Q408" s="130">
        <v>0</v>
      </c>
      <c r="R408" s="130">
        <v>1</v>
      </c>
      <c r="S408" s="130" t="b">
        <v>1</v>
      </c>
      <c r="T408" s="130">
        <v>78</v>
      </c>
      <c r="U408" s="118">
        <v>1170</v>
      </c>
      <c r="V408" s="118">
        <v>1560</v>
      </c>
      <c r="W408" s="130">
        <v>0</v>
      </c>
      <c r="X408" s="130">
        <v>6</v>
      </c>
      <c r="Y408" s="130" t="s">
        <v>38</v>
      </c>
      <c r="Z408" s="130" t="s">
        <v>2021</v>
      </c>
      <c r="AA408" s="206" t="s">
        <v>2022</v>
      </c>
      <c r="AB408" s="130" t="s">
        <v>251</v>
      </c>
      <c r="AC408" s="130">
        <v>100000</v>
      </c>
      <c r="AD408" s="197">
        <v>1</v>
      </c>
      <c r="AE408" s="197">
        <v>1</v>
      </c>
      <c r="AF408">
        <v>0</v>
      </c>
      <c r="AG408" s="416">
        <v>6</v>
      </c>
    </row>
    <row r="409" spans="1:33" ht="17.25" x14ac:dyDescent="0.3">
      <c r="A409" s="130">
        <v>102407</v>
      </c>
      <c r="B409" s="130" t="s">
        <v>2023</v>
      </c>
      <c r="C409" s="130" t="s">
        <v>2024</v>
      </c>
      <c r="D409" s="130" t="s">
        <v>33</v>
      </c>
      <c r="E409" s="130">
        <v>2</v>
      </c>
      <c r="F409" s="130" t="s">
        <v>134</v>
      </c>
      <c r="G409" s="130" t="s">
        <v>254</v>
      </c>
      <c r="H409" s="130" t="s">
        <v>112</v>
      </c>
      <c r="I409" s="130">
        <v>5</v>
      </c>
      <c r="J409" s="118">
        <v>5</v>
      </c>
      <c r="K409" s="130">
        <v>0</v>
      </c>
      <c r="L409" s="130">
        <v>3</v>
      </c>
      <c r="M409" s="130">
        <v>5</v>
      </c>
      <c r="N409" s="118" t="s">
        <v>83</v>
      </c>
      <c r="O409" s="130">
        <v>50</v>
      </c>
      <c r="P409" s="130">
        <v>0.7</v>
      </c>
      <c r="Q409" s="130">
        <v>0</v>
      </c>
      <c r="R409" s="130">
        <v>1</v>
      </c>
      <c r="S409" s="130" t="b">
        <v>1</v>
      </c>
      <c r="T409" s="130">
        <v>91</v>
      </c>
      <c r="U409" s="118">
        <v>1365</v>
      </c>
      <c r="V409" s="118">
        <v>1820</v>
      </c>
      <c r="W409" s="130">
        <v>0</v>
      </c>
      <c r="X409" s="130">
        <v>7</v>
      </c>
      <c r="Y409" s="130" t="s">
        <v>38</v>
      </c>
      <c r="Z409" s="130" t="s">
        <v>2025</v>
      </c>
      <c r="AA409" s="206" t="s">
        <v>2026</v>
      </c>
      <c r="AB409" s="130" t="s">
        <v>2027</v>
      </c>
      <c r="AC409" s="130">
        <v>100000</v>
      </c>
      <c r="AD409" s="197">
        <v>1</v>
      </c>
      <c r="AE409" s="197">
        <v>1</v>
      </c>
      <c r="AF409">
        <v>0</v>
      </c>
      <c r="AG409" s="416">
        <v>7</v>
      </c>
    </row>
    <row r="410" spans="1:33" ht="17.25" x14ac:dyDescent="0.3">
      <c r="A410" s="130">
        <v>101205</v>
      </c>
      <c r="B410" s="130" t="s">
        <v>2028</v>
      </c>
      <c r="C410" s="130" t="s">
        <v>2029</v>
      </c>
      <c r="D410" s="130" t="s">
        <v>33</v>
      </c>
      <c r="E410" s="130">
        <v>1</v>
      </c>
      <c r="F410" s="130" t="s">
        <v>34</v>
      </c>
      <c r="G410" s="130"/>
      <c r="H410" s="130" t="s">
        <v>112</v>
      </c>
      <c r="I410" s="130">
        <v>5</v>
      </c>
      <c r="J410" s="118">
        <v>5</v>
      </c>
      <c r="K410" s="130">
        <v>0</v>
      </c>
      <c r="L410" s="130">
        <v>3</v>
      </c>
      <c r="M410" s="130">
        <v>5</v>
      </c>
      <c r="N410" s="118" t="s">
        <v>71</v>
      </c>
      <c r="O410" s="130">
        <v>50</v>
      </c>
      <c r="P410" s="130">
        <v>0.7</v>
      </c>
      <c r="Q410" s="130">
        <v>0</v>
      </c>
      <c r="R410" s="130">
        <v>1</v>
      </c>
      <c r="S410" s="130" t="b">
        <v>1</v>
      </c>
      <c r="T410" s="130">
        <v>65</v>
      </c>
      <c r="U410" s="118">
        <v>975</v>
      </c>
      <c r="V410" s="118">
        <v>1300</v>
      </c>
      <c r="W410" s="130">
        <v>0</v>
      </c>
      <c r="X410" s="130">
        <v>5</v>
      </c>
      <c r="Y410" s="130" t="s">
        <v>38</v>
      </c>
      <c r="Z410" s="130" t="s">
        <v>2030</v>
      </c>
      <c r="AA410" s="206" t="s">
        <v>2031</v>
      </c>
      <c r="AB410" s="130" t="s">
        <v>41</v>
      </c>
      <c r="AC410" s="130">
        <v>100000</v>
      </c>
      <c r="AD410" s="197">
        <v>1</v>
      </c>
      <c r="AE410" s="197">
        <v>1</v>
      </c>
      <c r="AF410">
        <v>0</v>
      </c>
      <c r="AG410" s="416">
        <v>5</v>
      </c>
    </row>
    <row r="411" spans="1:33" ht="17.25" x14ac:dyDescent="0.3">
      <c r="A411" s="130">
        <v>101206</v>
      </c>
      <c r="B411" s="130" t="s">
        <v>2032</v>
      </c>
      <c r="C411" s="130" t="s">
        <v>2033</v>
      </c>
      <c r="D411" s="130" t="s">
        <v>33</v>
      </c>
      <c r="E411" s="130">
        <v>1</v>
      </c>
      <c r="F411" s="130" t="s">
        <v>34</v>
      </c>
      <c r="G411" s="130"/>
      <c r="H411" s="130" t="s">
        <v>112</v>
      </c>
      <c r="I411" s="130">
        <v>5</v>
      </c>
      <c r="J411" s="118">
        <v>5</v>
      </c>
      <c r="K411" s="130">
        <v>0</v>
      </c>
      <c r="L411" s="130">
        <v>3</v>
      </c>
      <c r="M411" s="130">
        <v>5</v>
      </c>
      <c r="N411" s="118" t="s">
        <v>77</v>
      </c>
      <c r="O411" s="130">
        <v>50</v>
      </c>
      <c r="P411" s="130">
        <v>0.7</v>
      </c>
      <c r="Q411" s="130">
        <v>0</v>
      </c>
      <c r="R411" s="130">
        <v>1</v>
      </c>
      <c r="S411" s="130" t="b">
        <v>1</v>
      </c>
      <c r="T411" s="130">
        <v>78</v>
      </c>
      <c r="U411" s="118">
        <v>1170</v>
      </c>
      <c r="V411" s="118">
        <v>1560</v>
      </c>
      <c r="W411" s="130">
        <v>0</v>
      </c>
      <c r="X411" s="130">
        <v>6</v>
      </c>
      <c r="Y411" s="130" t="s">
        <v>38</v>
      </c>
      <c r="Z411" s="130" t="s">
        <v>2034</v>
      </c>
      <c r="AA411" s="206" t="s">
        <v>2035</v>
      </c>
      <c r="AB411" s="130" t="s">
        <v>60</v>
      </c>
      <c r="AC411" s="130">
        <v>100000</v>
      </c>
      <c r="AD411" s="197">
        <v>1</v>
      </c>
      <c r="AE411" s="197">
        <v>1</v>
      </c>
      <c r="AF411">
        <v>0</v>
      </c>
      <c r="AG411" s="416">
        <v>6</v>
      </c>
    </row>
    <row r="412" spans="1:33" ht="17.25" x14ac:dyDescent="0.3">
      <c r="A412" s="130">
        <v>101207</v>
      </c>
      <c r="B412" s="130" t="s">
        <v>2036</v>
      </c>
      <c r="C412" s="130" t="s">
        <v>2037</v>
      </c>
      <c r="D412" s="130" t="s">
        <v>33</v>
      </c>
      <c r="E412" s="130">
        <v>1</v>
      </c>
      <c r="F412" s="130" t="s">
        <v>34</v>
      </c>
      <c r="G412" s="130"/>
      <c r="H412" s="130" t="s">
        <v>112</v>
      </c>
      <c r="I412" s="130">
        <v>5</v>
      </c>
      <c r="J412" s="118">
        <v>5</v>
      </c>
      <c r="K412" s="130">
        <v>0</v>
      </c>
      <c r="L412" s="130">
        <v>3</v>
      </c>
      <c r="M412" s="130">
        <v>5</v>
      </c>
      <c r="N412" s="118" t="s">
        <v>83</v>
      </c>
      <c r="O412" s="130">
        <v>50</v>
      </c>
      <c r="P412" s="130">
        <v>0.7</v>
      </c>
      <c r="Q412" s="130">
        <v>0</v>
      </c>
      <c r="R412" s="130">
        <v>1</v>
      </c>
      <c r="S412" s="130" t="b">
        <v>1</v>
      </c>
      <c r="T412" s="130">
        <v>91</v>
      </c>
      <c r="U412" s="118">
        <v>1365</v>
      </c>
      <c r="V412" s="118">
        <v>1820</v>
      </c>
      <c r="W412" s="130">
        <v>0</v>
      </c>
      <c r="X412" s="130">
        <v>7</v>
      </c>
      <c r="Y412" s="130" t="s">
        <v>38</v>
      </c>
      <c r="Z412" s="130" t="s">
        <v>2038</v>
      </c>
      <c r="AA412" s="206" t="s">
        <v>2039</v>
      </c>
      <c r="AB412" s="130" t="s">
        <v>80</v>
      </c>
      <c r="AC412" s="130">
        <v>100000</v>
      </c>
      <c r="AD412" s="197">
        <v>1</v>
      </c>
      <c r="AE412" s="197">
        <v>1</v>
      </c>
      <c r="AF412">
        <v>0</v>
      </c>
      <c r="AG412" s="416">
        <v>7</v>
      </c>
    </row>
    <row r="413" spans="1:33" ht="17.25" x14ac:dyDescent="0.3">
      <c r="A413" s="130">
        <v>105304</v>
      </c>
      <c r="B413" s="130" t="s">
        <v>2040</v>
      </c>
      <c r="C413" s="130" t="s">
        <v>2041</v>
      </c>
      <c r="D413" s="130" t="s">
        <v>33</v>
      </c>
      <c r="E413" s="130">
        <v>5</v>
      </c>
      <c r="F413" s="130" t="s">
        <v>631</v>
      </c>
      <c r="G413" s="130" t="s">
        <v>668</v>
      </c>
      <c r="H413" s="130" t="s">
        <v>112</v>
      </c>
      <c r="I413" s="130">
        <v>5</v>
      </c>
      <c r="J413" s="118">
        <v>5</v>
      </c>
      <c r="K413" s="130">
        <v>0</v>
      </c>
      <c r="L413" s="130">
        <v>3</v>
      </c>
      <c r="M413" s="130">
        <v>5</v>
      </c>
      <c r="N413" s="118" t="s">
        <v>64</v>
      </c>
      <c r="O413" s="130">
        <v>1</v>
      </c>
      <c r="P413" s="130">
        <v>0.9</v>
      </c>
      <c r="Q413" s="130">
        <v>0</v>
      </c>
      <c r="R413" s="130">
        <v>1</v>
      </c>
      <c r="S413" s="130" t="b">
        <v>1</v>
      </c>
      <c r="T413" s="130">
        <v>52</v>
      </c>
      <c r="U413" s="118">
        <v>780</v>
      </c>
      <c r="V413" s="118">
        <v>1040</v>
      </c>
      <c r="W413" s="130">
        <v>0</v>
      </c>
      <c r="X413" s="130">
        <v>4</v>
      </c>
      <c r="Y413" s="130" t="s">
        <v>38</v>
      </c>
      <c r="Z413" s="130" t="s">
        <v>2042</v>
      </c>
      <c r="AA413" s="206" t="s">
        <v>2043</v>
      </c>
      <c r="AB413" s="130" t="s">
        <v>671</v>
      </c>
      <c r="AC413" s="130">
        <v>100000</v>
      </c>
      <c r="AD413" s="197">
        <v>1</v>
      </c>
      <c r="AE413" s="197">
        <v>1</v>
      </c>
      <c r="AF413">
        <v>0</v>
      </c>
      <c r="AG413" s="416">
        <v>4</v>
      </c>
    </row>
    <row r="414" spans="1:33" ht="17.25" x14ac:dyDescent="0.3">
      <c r="A414" s="130">
        <v>105205</v>
      </c>
      <c r="B414" s="130" t="s">
        <v>2044</v>
      </c>
      <c r="C414" s="130" t="s">
        <v>2045</v>
      </c>
      <c r="D414" s="130" t="s">
        <v>33</v>
      </c>
      <c r="E414" s="130">
        <v>5</v>
      </c>
      <c r="F414" s="130" t="s">
        <v>631</v>
      </c>
      <c r="G414" s="130" t="s">
        <v>662</v>
      </c>
      <c r="H414" s="130" t="s">
        <v>112</v>
      </c>
      <c r="I414" s="130">
        <v>5</v>
      </c>
      <c r="J414" s="118">
        <v>5</v>
      </c>
      <c r="K414" s="130">
        <v>0</v>
      </c>
      <c r="L414" s="130">
        <v>3</v>
      </c>
      <c r="M414" s="130">
        <v>5</v>
      </c>
      <c r="N414" s="118" t="s">
        <v>71</v>
      </c>
      <c r="O414" s="130">
        <v>1</v>
      </c>
      <c r="P414" s="130">
        <v>0.9</v>
      </c>
      <c r="Q414" s="130">
        <v>0</v>
      </c>
      <c r="R414" s="130">
        <v>1</v>
      </c>
      <c r="S414" s="130" t="b">
        <v>1</v>
      </c>
      <c r="T414" s="130">
        <v>65</v>
      </c>
      <c r="U414" s="118">
        <v>975</v>
      </c>
      <c r="V414" s="118">
        <v>1300</v>
      </c>
      <c r="W414" s="130">
        <v>0</v>
      </c>
      <c r="X414" s="130">
        <v>5</v>
      </c>
      <c r="Y414" s="130" t="s">
        <v>38</v>
      </c>
      <c r="Z414" s="130" t="s">
        <v>2046</v>
      </c>
      <c r="AA414" s="206" t="s">
        <v>2047</v>
      </c>
      <c r="AB414" s="130" t="s">
        <v>665</v>
      </c>
      <c r="AC414" s="130">
        <v>100000</v>
      </c>
      <c r="AD414" s="197">
        <v>1</v>
      </c>
      <c r="AE414" s="197">
        <v>1</v>
      </c>
      <c r="AF414">
        <v>0</v>
      </c>
      <c r="AG414" s="416">
        <v>5</v>
      </c>
    </row>
    <row r="415" spans="1:33" ht="17.25" x14ac:dyDescent="0.3">
      <c r="A415" s="130">
        <v>105306</v>
      </c>
      <c r="B415" s="130" t="s">
        <v>2048</v>
      </c>
      <c r="C415" s="130" t="s">
        <v>2049</v>
      </c>
      <c r="D415" s="130" t="s">
        <v>33</v>
      </c>
      <c r="E415" s="130">
        <v>5</v>
      </c>
      <c r="F415" s="130" t="s">
        <v>631</v>
      </c>
      <c r="G415" s="130" t="s">
        <v>656</v>
      </c>
      <c r="H415" s="130" t="s">
        <v>112</v>
      </c>
      <c r="I415" s="130">
        <v>5</v>
      </c>
      <c r="J415" s="118">
        <v>5</v>
      </c>
      <c r="K415" s="130">
        <v>0</v>
      </c>
      <c r="L415" s="130">
        <v>3</v>
      </c>
      <c r="M415" s="130">
        <v>5</v>
      </c>
      <c r="N415" s="118" t="s">
        <v>77</v>
      </c>
      <c r="O415" s="130">
        <v>1</v>
      </c>
      <c r="P415" s="130">
        <v>0.9</v>
      </c>
      <c r="Q415" s="130">
        <v>0</v>
      </c>
      <c r="R415" s="130">
        <v>1</v>
      </c>
      <c r="S415" s="130" t="b">
        <v>1</v>
      </c>
      <c r="T415" s="130">
        <v>78</v>
      </c>
      <c r="U415" s="118">
        <v>1170</v>
      </c>
      <c r="V415" s="118">
        <v>1560</v>
      </c>
      <c r="W415" s="130">
        <v>0</v>
      </c>
      <c r="X415" s="130">
        <v>6</v>
      </c>
      <c r="Y415" s="130" t="s">
        <v>38</v>
      </c>
      <c r="Z415" s="130" t="s">
        <v>2050</v>
      </c>
      <c r="AA415" s="206" t="s">
        <v>2051</v>
      </c>
      <c r="AB415" s="130" t="s">
        <v>644</v>
      </c>
      <c r="AC415" s="130">
        <v>100000</v>
      </c>
      <c r="AD415" s="197">
        <v>1</v>
      </c>
      <c r="AE415" s="197">
        <v>1</v>
      </c>
      <c r="AF415">
        <v>0</v>
      </c>
      <c r="AG415" s="416">
        <v>6</v>
      </c>
    </row>
    <row r="416" spans="1:33" ht="17.25" x14ac:dyDescent="0.3">
      <c r="A416" s="130">
        <v>105207</v>
      </c>
      <c r="B416" s="130" t="s">
        <v>2052</v>
      </c>
      <c r="C416" s="130" t="s">
        <v>2053</v>
      </c>
      <c r="D416" s="130" t="s">
        <v>33</v>
      </c>
      <c r="E416" s="130">
        <v>5</v>
      </c>
      <c r="F416" s="130" t="s">
        <v>631</v>
      </c>
      <c r="G416" s="130" t="s">
        <v>656</v>
      </c>
      <c r="H416" s="130" t="s">
        <v>112</v>
      </c>
      <c r="I416" s="130">
        <v>5</v>
      </c>
      <c r="J416" s="118">
        <v>5</v>
      </c>
      <c r="K416" s="130">
        <v>0</v>
      </c>
      <c r="L416" s="130">
        <v>3</v>
      </c>
      <c r="M416" s="130">
        <v>5</v>
      </c>
      <c r="N416" s="118" t="s">
        <v>83</v>
      </c>
      <c r="O416" s="130">
        <v>1</v>
      </c>
      <c r="P416" s="130">
        <v>0.9</v>
      </c>
      <c r="Q416" s="130">
        <v>0</v>
      </c>
      <c r="R416" s="130">
        <v>1</v>
      </c>
      <c r="S416" s="130" t="b">
        <v>1</v>
      </c>
      <c r="T416" s="130">
        <v>91</v>
      </c>
      <c r="U416" s="118">
        <v>1365</v>
      </c>
      <c r="V416" s="118">
        <v>1820</v>
      </c>
      <c r="W416" s="130">
        <v>0</v>
      </c>
      <c r="X416" s="130">
        <v>7</v>
      </c>
      <c r="Y416" s="130" t="s">
        <v>38</v>
      </c>
      <c r="Z416" s="130" t="s">
        <v>716</v>
      </c>
      <c r="AA416" s="206" t="s">
        <v>2054</v>
      </c>
      <c r="AB416" s="130" t="s">
        <v>677</v>
      </c>
      <c r="AC416" s="130">
        <v>100000</v>
      </c>
      <c r="AD416" s="197">
        <v>1</v>
      </c>
      <c r="AE416" s="197">
        <v>1</v>
      </c>
      <c r="AF416">
        <v>0</v>
      </c>
      <c r="AG416" s="416">
        <v>7</v>
      </c>
    </row>
    <row r="417" spans="1:33" ht="17.25" x14ac:dyDescent="0.3">
      <c r="A417" s="130">
        <v>115204</v>
      </c>
      <c r="B417" s="130" t="s">
        <v>2055</v>
      </c>
      <c r="C417" s="130" t="s">
        <v>2056</v>
      </c>
      <c r="D417" s="130" t="s">
        <v>33</v>
      </c>
      <c r="E417" s="130">
        <v>15</v>
      </c>
      <c r="F417" s="130" t="s">
        <v>1316</v>
      </c>
      <c r="G417" s="130" t="s">
        <v>1329</v>
      </c>
      <c r="H417" s="130" t="s">
        <v>112</v>
      </c>
      <c r="I417" s="130">
        <v>5</v>
      </c>
      <c r="J417" s="118">
        <v>5</v>
      </c>
      <c r="K417" s="130">
        <v>0</v>
      </c>
      <c r="L417" s="130">
        <v>3</v>
      </c>
      <c r="M417" s="130">
        <v>5</v>
      </c>
      <c r="N417" s="118" t="s">
        <v>64</v>
      </c>
      <c r="O417" s="130">
        <v>1</v>
      </c>
      <c r="P417" s="130">
        <v>0.9</v>
      </c>
      <c r="Q417" s="130">
        <v>0</v>
      </c>
      <c r="R417" s="130">
        <v>1</v>
      </c>
      <c r="S417" s="130" t="b">
        <v>1</v>
      </c>
      <c r="T417" s="130">
        <v>52</v>
      </c>
      <c r="U417" s="118">
        <v>780</v>
      </c>
      <c r="V417" s="118">
        <v>1040</v>
      </c>
      <c r="W417" s="130">
        <v>0</v>
      </c>
      <c r="X417" s="130">
        <v>4</v>
      </c>
      <c r="Y417" s="130" t="s">
        <v>38</v>
      </c>
      <c r="Z417" s="130" t="s">
        <v>117</v>
      </c>
      <c r="AA417" s="206" t="s">
        <v>2057</v>
      </c>
      <c r="AB417" s="130" t="s">
        <v>1332</v>
      </c>
      <c r="AC417" s="130">
        <v>100000</v>
      </c>
      <c r="AD417" s="197">
        <v>1</v>
      </c>
      <c r="AE417" s="197">
        <v>1</v>
      </c>
      <c r="AF417">
        <v>0</v>
      </c>
      <c r="AG417" s="416">
        <v>4</v>
      </c>
    </row>
    <row r="418" spans="1:33" ht="17.25" x14ac:dyDescent="0.3">
      <c r="A418" s="130">
        <v>115205</v>
      </c>
      <c r="B418" s="130" t="s">
        <v>2058</v>
      </c>
      <c r="C418" s="130" t="s">
        <v>2059</v>
      </c>
      <c r="D418" s="130" t="s">
        <v>33</v>
      </c>
      <c r="E418" s="130">
        <v>15</v>
      </c>
      <c r="F418" s="130" t="s">
        <v>1316</v>
      </c>
      <c r="G418" s="130" t="s">
        <v>1341</v>
      </c>
      <c r="H418" s="130" t="s">
        <v>112</v>
      </c>
      <c r="I418" s="130">
        <v>5</v>
      </c>
      <c r="J418" s="118">
        <v>5</v>
      </c>
      <c r="K418" s="130">
        <v>0</v>
      </c>
      <c r="L418" s="130">
        <v>3</v>
      </c>
      <c r="M418" s="130">
        <v>5</v>
      </c>
      <c r="N418" s="118" t="s">
        <v>71</v>
      </c>
      <c r="O418" s="130">
        <v>1</v>
      </c>
      <c r="P418" s="130">
        <v>0.9</v>
      </c>
      <c r="Q418" s="130">
        <v>0</v>
      </c>
      <c r="R418" s="130">
        <v>1</v>
      </c>
      <c r="S418" s="130" t="b">
        <v>1</v>
      </c>
      <c r="T418" s="130">
        <v>65</v>
      </c>
      <c r="U418" s="118">
        <v>975</v>
      </c>
      <c r="V418" s="118">
        <v>1300</v>
      </c>
      <c r="W418" s="130">
        <v>0</v>
      </c>
      <c r="X418" s="130">
        <v>5</v>
      </c>
      <c r="Y418" s="130" t="s">
        <v>38</v>
      </c>
      <c r="Z418" s="130" t="s">
        <v>2060</v>
      </c>
      <c r="AA418" s="206" t="s">
        <v>2061</v>
      </c>
      <c r="AB418" s="130" t="s">
        <v>1344</v>
      </c>
      <c r="AC418" s="130">
        <v>100000</v>
      </c>
      <c r="AD418" s="197">
        <v>1</v>
      </c>
      <c r="AE418" s="197">
        <v>1</v>
      </c>
      <c r="AF418">
        <v>0</v>
      </c>
      <c r="AG418" s="416">
        <v>5</v>
      </c>
    </row>
    <row r="419" spans="1:33" ht="17.25" x14ac:dyDescent="0.3">
      <c r="A419" s="130">
        <v>115206</v>
      </c>
      <c r="B419" s="130" t="s">
        <v>2062</v>
      </c>
      <c r="C419" s="130" t="s">
        <v>2063</v>
      </c>
      <c r="D419" s="130" t="s">
        <v>33</v>
      </c>
      <c r="E419" s="130">
        <v>15</v>
      </c>
      <c r="F419" s="130" t="s">
        <v>1316</v>
      </c>
      <c r="G419" s="130" t="s">
        <v>1347</v>
      </c>
      <c r="H419" s="130" t="s">
        <v>112</v>
      </c>
      <c r="I419" s="130">
        <v>5</v>
      </c>
      <c r="J419" s="118">
        <v>5</v>
      </c>
      <c r="K419" s="130">
        <v>0</v>
      </c>
      <c r="L419" s="130">
        <v>3</v>
      </c>
      <c r="M419" s="130">
        <v>5</v>
      </c>
      <c r="N419" s="118" t="s">
        <v>77</v>
      </c>
      <c r="O419" s="130">
        <v>1</v>
      </c>
      <c r="P419" s="130">
        <v>0.9</v>
      </c>
      <c r="Q419" s="130">
        <v>0</v>
      </c>
      <c r="R419" s="130">
        <v>1</v>
      </c>
      <c r="S419" s="130" t="b">
        <v>1</v>
      </c>
      <c r="T419" s="130">
        <v>78</v>
      </c>
      <c r="U419" s="118">
        <v>1170</v>
      </c>
      <c r="V419" s="118">
        <v>1560</v>
      </c>
      <c r="W419" s="130">
        <v>0</v>
      </c>
      <c r="X419" s="130">
        <v>6</v>
      </c>
      <c r="Y419" s="130" t="s">
        <v>38</v>
      </c>
      <c r="Z419" s="130" t="s">
        <v>2064</v>
      </c>
      <c r="AA419" s="206" t="s">
        <v>2065</v>
      </c>
      <c r="AB419" s="130" t="s">
        <v>1350</v>
      </c>
      <c r="AC419" s="130">
        <v>100000</v>
      </c>
      <c r="AD419" s="197">
        <v>1</v>
      </c>
      <c r="AE419" s="197">
        <v>1</v>
      </c>
      <c r="AF419">
        <v>0</v>
      </c>
      <c r="AG419" s="416">
        <v>6</v>
      </c>
    </row>
    <row r="420" spans="1:33" ht="17.25" x14ac:dyDescent="0.3">
      <c r="A420" s="130">
        <v>115207</v>
      </c>
      <c r="B420" s="130" t="s">
        <v>2066</v>
      </c>
      <c r="C420" s="130" t="s">
        <v>2067</v>
      </c>
      <c r="D420" s="130" t="s">
        <v>33</v>
      </c>
      <c r="E420" s="130">
        <v>15</v>
      </c>
      <c r="F420" s="130" t="s">
        <v>1316</v>
      </c>
      <c r="G420" s="130" t="s">
        <v>1353</v>
      </c>
      <c r="H420" s="130" t="s">
        <v>112</v>
      </c>
      <c r="I420" s="130">
        <v>5</v>
      </c>
      <c r="J420" s="118">
        <v>5</v>
      </c>
      <c r="K420" s="130">
        <v>0</v>
      </c>
      <c r="L420" s="130">
        <v>3</v>
      </c>
      <c r="M420" s="130">
        <v>5</v>
      </c>
      <c r="N420" s="118" t="s">
        <v>83</v>
      </c>
      <c r="O420" s="130">
        <v>1</v>
      </c>
      <c r="P420" s="130">
        <v>0.9</v>
      </c>
      <c r="Q420" s="130">
        <v>0</v>
      </c>
      <c r="R420" s="130">
        <v>1</v>
      </c>
      <c r="S420" s="130" t="b">
        <v>1</v>
      </c>
      <c r="T420" s="130">
        <v>91</v>
      </c>
      <c r="U420" s="118">
        <v>1365</v>
      </c>
      <c r="V420" s="118">
        <v>1820</v>
      </c>
      <c r="W420" s="130">
        <v>0</v>
      </c>
      <c r="X420" s="130">
        <v>7</v>
      </c>
      <c r="Y420" s="130" t="s">
        <v>38</v>
      </c>
      <c r="Z420" s="130" t="s">
        <v>2068</v>
      </c>
      <c r="AA420" s="206" t="s">
        <v>2069</v>
      </c>
      <c r="AB420" s="130" t="s">
        <v>1356</v>
      </c>
      <c r="AC420" s="130">
        <v>100000</v>
      </c>
      <c r="AD420" s="197">
        <v>1</v>
      </c>
      <c r="AE420" s="197">
        <v>1</v>
      </c>
      <c r="AF420">
        <v>0</v>
      </c>
      <c r="AG420" s="416">
        <v>7</v>
      </c>
    </row>
    <row r="421" spans="1:33" ht="17.25" x14ac:dyDescent="0.3">
      <c r="A421" s="130">
        <v>113304</v>
      </c>
      <c r="B421" s="130" t="s">
        <v>2070</v>
      </c>
      <c r="C421" s="130" t="s">
        <v>2071</v>
      </c>
      <c r="D421" s="130" t="s">
        <v>33</v>
      </c>
      <c r="E421" s="130">
        <v>13</v>
      </c>
      <c r="F421" s="130" t="s">
        <v>1136</v>
      </c>
      <c r="G421" s="130" t="s">
        <v>1155</v>
      </c>
      <c r="H421" s="130" t="s">
        <v>112</v>
      </c>
      <c r="I421" s="130">
        <v>5</v>
      </c>
      <c r="J421" s="118">
        <v>5</v>
      </c>
      <c r="K421" s="130">
        <v>0</v>
      </c>
      <c r="L421" s="130">
        <v>3</v>
      </c>
      <c r="M421" s="130">
        <v>5</v>
      </c>
      <c r="N421" s="118" t="s">
        <v>64</v>
      </c>
      <c r="O421" s="130">
        <v>99</v>
      </c>
      <c r="P421" s="130">
        <v>0.9</v>
      </c>
      <c r="Q421" s="130">
        <v>0</v>
      </c>
      <c r="R421" s="130">
        <v>1</v>
      </c>
      <c r="S421" s="130" t="b">
        <v>1</v>
      </c>
      <c r="T421" s="130">
        <v>52</v>
      </c>
      <c r="U421" s="118">
        <v>780</v>
      </c>
      <c r="V421" s="118">
        <v>1040</v>
      </c>
      <c r="W421" s="130">
        <v>0</v>
      </c>
      <c r="X421" s="130">
        <v>4</v>
      </c>
      <c r="Y421" s="130" t="s">
        <v>38</v>
      </c>
      <c r="Z421" s="130" t="s">
        <v>2072</v>
      </c>
      <c r="AA421" s="206" t="s">
        <v>2073</v>
      </c>
      <c r="AB421" s="130" t="s">
        <v>1158</v>
      </c>
      <c r="AC421" s="130">
        <v>100000</v>
      </c>
      <c r="AD421" s="197">
        <v>1</v>
      </c>
      <c r="AE421" s="197">
        <v>1</v>
      </c>
      <c r="AF421">
        <v>0</v>
      </c>
      <c r="AG421" s="130">
        <v>4</v>
      </c>
    </row>
    <row r="422" spans="1:33" ht="17.25" x14ac:dyDescent="0.3">
      <c r="A422" s="130">
        <v>113205</v>
      </c>
      <c r="B422" s="130" t="s">
        <v>2074</v>
      </c>
      <c r="C422" s="130" t="s">
        <v>2075</v>
      </c>
      <c r="D422" s="130" t="s">
        <v>33</v>
      </c>
      <c r="E422" s="130">
        <v>13</v>
      </c>
      <c r="F422" s="130" t="s">
        <v>1136</v>
      </c>
      <c r="G422" s="130" t="s">
        <v>1161</v>
      </c>
      <c r="H422" s="130" t="s">
        <v>112</v>
      </c>
      <c r="I422" s="130">
        <v>5</v>
      </c>
      <c r="J422" s="118">
        <v>5</v>
      </c>
      <c r="K422" s="130">
        <v>0</v>
      </c>
      <c r="L422" s="130">
        <v>3</v>
      </c>
      <c r="M422" s="130">
        <v>5</v>
      </c>
      <c r="N422" s="118" t="s">
        <v>71</v>
      </c>
      <c r="O422" s="130">
        <v>99</v>
      </c>
      <c r="P422" s="130">
        <v>0.9</v>
      </c>
      <c r="Q422" s="130">
        <v>0</v>
      </c>
      <c r="R422" s="130">
        <v>1</v>
      </c>
      <c r="S422" s="130" t="b">
        <v>1</v>
      </c>
      <c r="T422" s="130">
        <v>65</v>
      </c>
      <c r="U422" s="118">
        <v>975</v>
      </c>
      <c r="V422" s="118">
        <v>1300</v>
      </c>
      <c r="W422" s="130">
        <v>0</v>
      </c>
      <c r="X422" s="130">
        <v>5</v>
      </c>
      <c r="Y422" s="130" t="s">
        <v>38</v>
      </c>
      <c r="Z422" s="130" t="s">
        <v>2076</v>
      </c>
      <c r="AA422" s="206" t="s">
        <v>2077</v>
      </c>
      <c r="AB422" s="130" t="s">
        <v>1164</v>
      </c>
      <c r="AC422" s="130">
        <v>100000</v>
      </c>
      <c r="AD422" s="197">
        <v>1</v>
      </c>
      <c r="AE422" s="197">
        <v>1</v>
      </c>
      <c r="AF422">
        <v>0</v>
      </c>
      <c r="AG422" s="130">
        <v>5</v>
      </c>
    </row>
    <row r="423" spans="1:33" ht="17.25" x14ac:dyDescent="0.3">
      <c r="A423" s="130">
        <v>113306</v>
      </c>
      <c r="B423" s="130" t="s">
        <v>2078</v>
      </c>
      <c r="C423" s="130" t="s">
        <v>2079</v>
      </c>
      <c r="D423" s="130" t="s">
        <v>33</v>
      </c>
      <c r="E423" s="130">
        <v>13</v>
      </c>
      <c r="F423" s="130" t="s">
        <v>1136</v>
      </c>
      <c r="G423" s="130" t="s">
        <v>1167</v>
      </c>
      <c r="H423" s="130" t="s">
        <v>112</v>
      </c>
      <c r="I423" s="130">
        <v>5</v>
      </c>
      <c r="J423" s="118">
        <v>5</v>
      </c>
      <c r="K423" s="130">
        <v>0</v>
      </c>
      <c r="L423" s="130">
        <v>3</v>
      </c>
      <c r="M423" s="130">
        <v>5</v>
      </c>
      <c r="N423" s="118" t="s">
        <v>77</v>
      </c>
      <c r="O423" s="130">
        <v>99</v>
      </c>
      <c r="P423" s="130">
        <v>0.9</v>
      </c>
      <c r="Q423" s="130">
        <v>0</v>
      </c>
      <c r="R423" s="130">
        <v>1</v>
      </c>
      <c r="S423" s="130" t="b">
        <v>1</v>
      </c>
      <c r="T423" s="130">
        <v>78</v>
      </c>
      <c r="U423" s="118">
        <v>1170</v>
      </c>
      <c r="V423" s="118">
        <v>1560</v>
      </c>
      <c r="W423" s="130">
        <v>0</v>
      </c>
      <c r="X423" s="130">
        <v>6</v>
      </c>
      <c r="Y423" s="130" t="s">
        <v>38</v>
      </c>
      <c r="Z423" s="130" t="s">
        <v>2080</v>
      </c>
      <c r="AA423" s="206" t="s">
        <v>2081</v>
      </c>
      <c r="AB423" s="130" t="s">
        <v>1170</v>
      </c>
      <c r="AC423" s="130">
        <v>100000</v>
      </c>
      <c r="AD423" s="197">
        <v>1</v>
      </c>
      <c r="AE423" s="197">
        <v>1</v>
      </c>
      <c r="AF423">
        <v>0</v>
      </c>
      <c r="AG423" s="130">
        <v>6</v>
      </c>
    </row>
    <row r="424" spans="1:33" ht="17.25" x14ac:dyDescent="0.3">
      <c r="A424" s="130">
        <v>113207</v>
      </c>
      <c r="B424" s="130" t="s">
        <v>2082</v>
      </c>
      <c r="C424" s="130" t="s">
        <v>2083</v>
      </c>
      <c r="D424" s="130" t="s">
        <v>33</v>
      </c>
      <c r="E424" s="130">
        <v>13</v>
      </c>
      <c r="F424" s="130" t="s">
        <v>1136</v>
      </c>
      <c r="G424" s="130" t="s">
        <v>1173</v>
      </c>
      <c r="H424" s="130" t="s">
        <v>112</v>
      </c>
      <c r="I424" s="130">
        <v>5</v>
      </c>
      <c r="J424" s="118">
        <v>5</v>
      </c>
      <c r="K424" s="130">
        <v>0</v>
      </c>
      <c r="L424" s="130">
        <v>3</v>
      </c>
      <c r="M424" s="130">
        <v>5</v>
      </c>
      <c r="N424" s="118" t="s">
        <v>83</v>
      </c>
      <c r="O424" s="130">
        <v>99</v>
      </c>
      <c r="P424" s="130">
        <v>0.9</v>
      </c>
      <c r="Q424" s="130">
        <v>0</v>
      </c>
      <c r="R424" s="130">
        <v>1</v>
      </c>
      <c r="S424" s="130" t="b">
        <v>1</v>
      </c>
      <c r="T424" s="130">
        <v>91</v>
      </c>
      <c r="U424" s="118">
        <v>1365</v>
      </c>
      <c r="V424" s="118">
        <v>1820</v>
      </c>
      <c r="W424" s="130">
        <v>0</v>
      </c>
      <c r="X424" s="130">
        <v>7</v>
      </c>
      <c r="Y424" s="130" t="s">
        <v>38</v>
      </c>
      <c r="Z424" s="130" t="s">
        <v>2084</v>
      </c>
      <c r="AA424" s="206" t="s">
        <v>2085</v>
      </c>
      <c r="AB424" s="130" t="s">
        <v>1176</v>
      </c>
      <c r="AC424" s="130">
        <v>100000</v>
      </c>
      <c r="AD424" s="197">
        <v>1</v>
      </c>
      <c r="AE424" s="197">
        <v>1</v>
      </c>
      <c r="AF424">
        <v>0</v>
      </c>
      <c r="AG424" s="130">
        <v>7</v>
      </c>
    </row>
    <row r="425" spans="1:33" ht="17.25" x14ac:dyDescent="0.3">
      <c r="A425" s="130">
        <v>300105</v>
      </c>
      <c r="B425" s="130" t="s">
        <v>2086</v>
      </c>
      <c r="C425" s="130" t="s">
        <v>2087</v>
      </c>
      <c r="D425" s="130" t="s">
        <v>1508</v>
      </c>
      <c r="E425" s="130">
        <v>0</v>
      </c>
      <c r="F425" s="130">
        <v>0</v>
      </c>
      <c r="G425" s="130"/>
      <c r="H425" s="130" t="s">
        <v>112</v>
      </c>
      <c r="I425" s="130">
        <v>5</v>
      </c>
      <c r="J425" s="118">
        <v>5</v>
      </c>
      <c r="K425" s="130">
        <v>0</v>
      </c>
      <c r="L425" s="130">
        <v>4</v>
      </c>
      <c r="M425" s="130">
        <v>5</v>
      </c>
      <c r="N425" s="118" t="s">
        <v>1533</v>
      </c>
      <c r="O425" s="130">
        <v>50</v>
      </c>
      <c r="P425" s="130">
        <v>0.5</v>
      </c>
      <c r="Q425" s="130">
        <v>0</v>
      </c>
      <c r="R425" s="130">
        <v>1</v>
      </c>
      <c r="S425" s="130" t="b">
        <v>1</v>
      </c>
      <c r="T425" s="130">
        <v>32</v>
      </c>
      <c r="U425" s="118">
        <v>480</v>
      </c>
      <c r="V425" s="118">
        <v>640</v>
      </c>
      <c r="W425" s="130">
        <v>0</v>
      </c>
      <c r="X425" s="130">
        <v>5</v>
      </c>
      <c r="Y425" s="130" t="s">
        <v>38</v>
      </c>
      <c r="Z425" s="130" t="s">
        <v>2088</v>
      </c>
      <c r="AA425" s="206" t="s">
        <v>2089</v>
      </c>
      <c r="AB425" s="130" t="s">
        <v>2090</v>
      </c>
      <c r="AC425" s="130">
        <v>100000</v>
      </c>
      <c r="AD425" s="197">
        <v>1</v>
      </c>
      <c r="AE425" s="197">
        <v>1</v>
      </c>
      <c r="AF425">
        <v>0</v>
      </c>
      <c r="AG425" s="416">
        <v>5</v>
      </c>
    </row>
    <row r="426" spans="1:33" ht="17.25" x14ac:dyDescent="0.3">
      <c r="A426" s="130">
        <v>300205</v>
      </c>
      <c r="B426" s="130" t="s">
        <v>2091</v>
      </c>
      <c r="C426" s="130" t="s">
        <v>2092</v>
      </c>
      <c r="D426" s="130" t="s">
        <v>1508</v>
      </c>
      <c r="E426" s="130">
        <v>0</v>
      </c>
      <c r="F426" s="130">
        <v>0</v>
      </c>
      <c r="G426" s="130"/>
      <c r="H426" s="130" t="s">
        <v>112</v>
      </c>
      <c r="I426" s="130">
        <v>5</v>
      </c>
      <c r="J426" s="118">
        <v>5</v>
      </c>
      <c r="K426" s="130">
        <v>0</v>
      </c>
      <c r="L426" s="130">
        <v>4</v>
      </c>
      <c r="M426" s="130">
        <v>5</v>
      </c>
      <c r="N426" s="118" t="s">
        <v>1533</v>
      </c>
      <c r="O426" s="130">
        <v>50</v>
      </c>
      <c r="P426" s="130">
        <v>0.5</v>
      </c>
      <c r="Q426" s="130">
        <v>0</v>
      </c>
      <c r="R426" s="130">
        <v>1</v>
      </c>
      <c r="S426" s="130" t="b">
        <v>1</v>
      </c>
      <c r="T426" s="130">
        <v>32</v>
      </c>
      <c r="U426" s="118">
        <v>480</v>
      </c>
      <c r="V426" s="118">
        <v>640</v>
      </c>
      <c r="W426" s="130">
        <v>0</v>
      </c>
      <c r="X426" s="130">
        <v>5</v>
      </c>
      <c r="Y426" s="130" t="s">
        <v>38</v>
      </c>
      <c r="Z426" s="130" t="s">
        <v>2093</v>
      </c>
      <c r="AA426" s="206" t="s">
        <v>2094</v>
      </c>
      <c r="AB426" s="130" t="s">
        <v>2095</v>
      </c>
      <c r="AC426" s="130">
        <v>100000</v>
      </c>
      <c r="AD426" s="197">
        <v>1</v>
      </c>
      <c r="AE426" s="197">
        <v>1</v>
      </c>
      <c r="AF426">
        <v>0</v>
      </c>
      <c r="AG426" s="416">
        <v>5</v>
      </c>
    </row>
    <row r="427" spans="1:33" ht="17.25" x14ac:dyDescent="0.3">
      <c r="A427" s="130">
        <v>300305</v>
      </c>
      <c r="B427" s="130" t="s">
        <v>2096</v>
      </c>
      <c r="C427" s="130" t="s">
        <v>2097</v>
      </c>
      <c r="D427" s="130" t="s">
        <v>1508</v>
      </c>
      <c r="E427" s="130">
        <v>0</v>
      </c>
      <c r="F427" s="130">
        <v>0</v>
      </c>
      <c r="G427" s="130"/>
      <c r="H427" s="130" t="s">
        <v>112</v>
      </c>
      <c r="I427" s="130">
        <v>5</v>
      </c>
      <c r="J427" s="118">
        <v>5</v>
      </c>
      <c r="K427" s="130">
        <v>0</v>
      </c>
      <c r="L427" s="130">
        <v>4</v>
      </c>
      <c r="M427" s="130">
        <v>5</v>
      </c>
      <c r="N427" s="118" t="s">
        <v>1533</v>
      </c>
      <c r="O427" s="130">
        <v>50</v>
      </c>
      <c r="P427" s="130">
        <v>0.5</v>
      </c>
      <c r="Q427" s="130">
        <v>0</v>
      </c>
      <c r="R427" s="130">
        <v>1</v>
      </c>
      <c r="S427" s="130" t="b">
        <v>1</v>
      </c>
      <c r="T427" s="130">
        <v>32</v>
      </c>
      <c r="U427" s="118">
        <v>480</v>
      </c>
      <c r="V427" s="118">
        <v>640</v>
      </c>
      <c r="W427" s="130">
        <v>0</v>
      </c>
      <c r="X427" s="130">
        <v>5</v>
      </c>
      <c r="Y427" s="130" t="s">
        <v>38</v>
      </c>
      <c r="Z427" s="130" t="s">
        <v>2098</v>
      </c>
      <c r="AA427" s="206" t="s">
        <v>2099</v>
      </c>
      <c r="AB427" s="130" t="s">
        <v>2100</v>
      </c>
      <c r="AC427" s="130">
        <v>100000</v>
      </c>
      <c r="AD427" s="197">
        <v>1</v>
      </c>
      <c r="AE427" s="197">
        <v>1</v>
      </c>
      <c r="AF427">
        <v>0</v>
      </c>
      <c r="AG427" s="416">
        <v>5</v>
      </c>
    </row>
    <row r="428" spans="1:33" ht="17.25" x14ac:dyDescent="0.3">
      <c r="A428" s="130">
        <v>400105</v>
      </c>
      <c r="B428" s="130" t="s">
        <v>2101</v>
      </c>
      <c r="C428" s="130" t="s">
        <v>2102</v>
      </c>
      <c r="D428" s="130" t="s">
        <v>1594</v>
      </c>
      <c r="E428" s="130">
        <v>0</v>
      </c>
      <c r="F428" s="130">
        <v>0</v>
      </c>
      <c r="G428" s="130"/>
      <c r="H428" s="130" t="s">
        <v>112</v>
      </c>
      <c r="I428" s="130">
        <v>5</v>
      </c>
      <c r="J428" s="118">
        <v>5</v>
      </c>
      <c r="K428" s="130">
        <v>0</v>
      </c>
      <c r="L428" s="130">
        <v>4</v>
      </c>
      <c r="M428" s="130">
        <v>5</v>
      </c>
      <c r="N428" s="118" t="s">
        <v>1533</v>
      </c>
      <c r="O428" s="130">
        <v>50</v>
      </c>
      <c r="P428" s="130">
        <v>0.5</v>
      </c>
      <c r="Q428" s="130">
        <v>0</v>
      </c>
      <c r="R428" s="130">
        <v>1</v>
      </c>
      <c r="S428" s="130" t="b">
        <v>1</v>
      </c>
      <c r="T428" s="130">
        <v>32</v>
      </c>
      <c r="U428" s="118">
        <v>480</v>
      </c>
      <c r="V428" s="118">
        <v>640</v>
      </c>
      <c r="W428" s="130">
        <v>0</v>
      </c>
      <c r="X428" s="130">
        <v>5</v>
      </c>
      <c r="Y428" s="130" t="s">
        <v>38</v>
      </c>
      <c r="Z428" s="130" t="s">
        <v>2103</v>
      </c>
      <c r="AA428" s="206" t="s">
        <v>2104</v>
      </c>
      <c r="AB428" s="130" t="s">
        <v>2105</v>
      </c>
      <c r="AC428" s="130">
        <v>100000</v>
      </c>
      <c r="AD428" s="197">
        <v>1</v>
      </c>
      <c r="AE428" s="197">
        <v>1</v>
      </c>
      <c r="AF428">
        <v>0</v>
      </c>
      <c r="AG428" s="416">
        <v>5</v>
      </c>
    </row>
    <row r="429" spans="1:33" ht="17.25" x14ac:dyDescent="0.3">
      <c r="A429" s="130">
        <v>400205</v>
      </c>
      <c r="B429" s="130" t="s">
        <v>2106</v>
      </c>
      <c r="C429" s="130" t="s">
        <v>2107</v>
      </c>
      <c r="D429" s="130" t="s">
        <v>1594</v>
      </c>
      <c r="E429" s="130">
        <v>0</v>
      </c>
      <c r="F429" s="130">
        <v>0</v>
      </c>
      <c r="G429" s="130"/>
      <c r="H429" s="130" t="s">
        <v>112</v>
      </c>
      <c r="I429" s="130">
        <v>5</v>
      </c>
      <c r="J429" s="118">
        <v>5</v>
      </c>
      <c r="K429" s="130">
        <v>0</v>
      </c>
      <c r="L429" s="130">
        <v>4</v>
      </c>
      <c r="M429" s="130">
        <v>5</v>
      </c>
      <c r="N429" s="118" t="s">
        <v>1533</v>
      </c>
      <c r="O429" s="130">
        <v>50</v>
      </c>
      <c r="P429" s="130">
        <v>0.5</v>
      </c>
      <c r="Q429" s="130">
        <v>0</v>
      </c>
      <c r="R429" s="130">
        <v>1</v>
      </c>
      <c r="S429" s="130" t="b">
        <v>1</v>
      </c>
      <c r="T429" s="130">
        <v>32</v>
      </c>
      <c r="U429" s="118">
        <v>480</v>
      </c>
      <c r="V429" s="118">
        <v>640</v>
      </c>
      <c r="W429" s="130">
        <v>0</v>
      </c>
      <c r="X429" s="130">
        <v>5</v>
      </c>
      <c r="Y429" s="130" t="s">
        <v>38</v>
      </c>
      <c r="Z429" s="130" t="s">
        <v>2093</v>
      </c>
      <c r="AA429" s="206" t="s">
        <v>2108</v>
      </c>
      <c r="AB429" s="130" t="s">
        <v>2109</v>
      </c>
      <c r="AC429" s="130">
        <v>100000</v>
      </c>
      <c r="AD429" s="197">
        <v>1</v>
      </c>
      <c r="AE429" s="197">
        <v>1</v>
      </c>
      <c r="AF429">
        <v>0</v>
      </c>
      <c r="AG429" s="416">
        <v>5</v>
      </c>
    </row>
    <row r="430" spans="1:33" ht="17.25" x14ac:dyDescent="0.3">
      <c r="A430" s="130">
        <v>400305</v>
      </c>
      <c r="B430" s="130" t="s">
        <v>2110</v>
      </c>
      <c r="C430" s="130" t="s">
        <v>2111</v>
      </c>
      <c r="D430" s="130" t="s">
        <v>1594</v>
      </c>
      <c r="E430" s="130">
        <v>0</v>
      </c>
      <c r="F430" s="130">
        <v>0</v>
      </c>
      <c r="G430" s="130"/>
      <c r="H430" s="130" t="s">
        <v>112</v>
      </c>
      <c r="I430" s="130">
        <v>5</v>
      </c>
      <c r="J430" s="118">
        <v>5</v>
      </c>
      <c r="K430" s="130">
        <v>0</v>
      </c>
      <c r="L430" s="130">
        <v>4</v>
      </c>
      <c r="M430" s="130">
        <v>5</v>
      </c>
      <c r="N430" s="118" t="s">
        <v>1533</v>
      </c>
      <c r="O430" s="130">
        <v>50</v>
      </c>
      <c r="P430" s="130">
        <v>0.5</v>
      </c>
      <c r="Q430" s="130">
        <v>0</v>
      </c>
      <c r="R430" s="130">
        <v>1</v>
      </c>
      <c r="S430" s="130" t="b">
        <v>1</v>
      </c>
      <c r="T430" s="130">
        <v>32</v>
      </c>
      <c r="U430" s="118">
        <v>480</v>
      </c>
      <c r="V430" s="118">
        <v>640</v>
      </c>
      <c r="W430" s="130">
        <v>0</v>
      </c>
      <c r="X430" s="130">
        <v>5</v>
      </c>
      <c r="Y430" s="130" t="s">
        <v>38</v>
      </c>
      <c r="Z430" s="130" t="s">
        <v>2098</v>
      </c>
      <c r="AA430" s="206" t="s">
        <v>2112</v>
      </c>
      <c r="AB430" s="130" t="s">
        <v>2113</v>
      </c>
      <c r="AC430" s="130">
        <v>100000</v>
      </c>
      <c r="AD430" s="197">
        <v>1</v>
      </c>
      <c r="AE430" s="197">
        <v>1</v>
      </c>
      <c r="AF430">
        <v>0</v>
      </c>
      <c r="AG430" s="416">
        <v>5</v>
      </c>
    </row>
    <row r="431" spans="1:33" ht="17.25" x14ac:dyDescent="0.3">
      <c r="A431" s="130">
        <v>500106</v>
      </c>
      <c r="B431" s="130" t="s">
        <v>2114</v>
      </c>
      <c r="C431" s="130" t="s">
        <v>2115</v>
      </c>
      <c r="D431" s="130" t="s">
        <v>1672</v>
      </c>
      <c r="E431" s="130">
        <v>0</v>
      </c>
      <c r="F431" s="130">
        <v>0</v>
      </c>
      <c r="G431" s="130"/>
      <c r="H431" s="130" t="s">
        <v>112</v>
      </c>
      <c r="I431" s="130">
        <v>5</v>
      </c>
      <c r="J431" s="118">
        <v>5</v>
      </c>
      <c r="K431" s="130">
        <v>0</v>
      </c>
      <c r="L431" s="130">
        <v>4</v>
      </c>
      <c r="M431" s="130">
        <v>5</v>
      </c>
      <c r="N431" s="118" t="s">
        <v>1539</v>
      </c>
      <c r="O431" s="130">
        <v>50</v>
      </c>
      <c r="P431" s="130">
        <v>0.5</v>
      </c>
      <c r="Q431" s="130">
        <v>0</v>
      </c>
      <c r="R431" s="130">
        <v>1</v>
      </c>
      <c r="S431" s="130" t="b">
        <v>1</v>
      </c>
      <c r="T431" s="130">
        <v>39</v>
      </c>
      <c r="U431" s="118">
        <v>585</v>
      </c>
      <c r="V431" s="118">
        <v>780</v>
      </c>
      <c r="W431" s="130">
        <v>0</v>
      </c>
      <c r="X431" s="130">
        <v>6</v>
      </c>
      <c r="Y431" s="130" t="s">
        <v>38</v>
      </c>
      <c r="Z431" s="130" t="s">
        <v>2116</v>
      </c>
      <c r="AA431" s="206" t="s">
        <v>2117</v>
      </c>
      <c r="AB431" s="130" t="s">
        <v>2118</v>
      </c>
      <c r="AC431" s="130">
        <v>100000</v>
      </c>
      <c r="AD431" s="197">
        <v>1</v>
      </c>
      <c r="AE431" s="197">
        <v>1</v>
      </c>
      <c r="AF431">
        <v>0</v>
      </c>
      <c r="AG431" s="416">
        <v>6</v>
      </c>
    </row>
    <row r="432" spans="1:33" ht="17.25" x14ac:dyDescent="0.3">
      <c r="A432" s="130">
        <v>500206</v>
      </c>
      <c r="B432" s="130" t="s">
        <v>2119</v>
      </c>
      <c r="C432" s="130" t="s">
        <v>2120</v>
      </c>
      <c r="D432" s="130" t="s">
        <v>1672</v>
      </c>
      <c r="E432" s="130">
        <v>0</v>
      </c>
      <c r="F432" s="130">
        <v>0</v>
      </c>
      <c r="G432" s="130"/>
      <c r="H432" s="130" t="s">
        <v>112</v>
      </c>
      <c r="I432" s="130">
        <v>5</v>
      </c>
      <c r="J432" s="118">
        <v>5</v>
      </c>
      <c r="K432" s="130">
        <v>0</v>
      </c>
      <c r="L432" s="130">
        <v>4</v>
      </c>
      <c r="M432" s="130">
        <v>5</v>
      </c>
      <c r="N432" s="118" t="s">
        <v>1539</v>
      </c>
      <c r="O432" s="130">
        <v>50</v>
      </c>
      <c r="P432" s="130">
        <v>0.5</v>
      </c>
      <c r="Q432" s="130">
        <v>0</v>
      </c>
      <c r="R432" s="130">
        <v>1</v>
      </c>
      <c r="S432" s="130" t="b">
        <v>1</v>
      </c>
      <c r="T432" s="130">
        <v>39</v>
      </c>
      <c r="U432" s="118">
        <v>585</v>
      </c>
      <c r="V432" s="118">
        <v>780</v>
      </c>
      <c r="W432" s="130">
        <v>0</v>
      </c>
      <c r="X432" s="130">
        <v>6</v>
      </c>
      <c r="Y432" s="130" t="s">
        <v>38</v>
      </c>
      <c r="Z432" s="130" t="s">
        <v>2093</v>
      </c>
      <c r="AA432" s="206" t="s">
        <v>2121</v>
      </c>
      <c r="AB432" s="130" t="s">
        <v>2122</v>
      </c>
      <c r="AC432" s="130">
        <v>100000</v>
      </c>
      <c r="AD432" s="197">
        <v>1</v>
      </c>
      <c r="AE432" s="197">
        <v>1</v>
      </c>
      <c r="AF432">
        <v>0</v>
      </c>
      <c r="AG432" s="416">
        <v>6</v>
      </c>
    </row>
    <row r="433" spans="1:33" ht="17.25" x14ac:dyDescent="0.3">
      <c r="A433" s="130">
        <v>500306</v>
      </c>
      <c r="B433" s="130" t="s">
        <v>2123</v>
      </c>
      <c r="C433" s="130" t="s">
        <v>2124</v>
      </c>
      <c r="D433" s="130" t="s">
        <v>1672</v>
      </c>
      <c r="E433" s="130">
        <v>0</v>
      </c>
      <c r="F433" s="130">
        <v>0</v>
      </c>
      <c r="G433" s="130"/>
      <c r="H433" s="130" t="s">
        <v>112</v>
      </c>
      <c r="I433" s="130">
        <v>5</v>
      </c>
      <c r="J433" s="118">
        <v>5</v>
      </c>
      <c r="K433" s="130">
        <v>0</v>
      </c>
      <c r="L433" s="130">
        <v>4</v>
      </c>
      <c r="M433" s="130">
        <v>5</v>
      </c>
      <c r="N433" s="118" t="s">
        <v>1539</v>
      </c>
      <c r="O433" s="130">
        <v>50</v>
      </c>
      <c r="P433" s="130">
        <v>0.5</v>
      </c>
      <c r="Q433" s="130">
        <v>0</v>
      </c>
      <c r="R433" s="130">
        <v>1</v>
      </c>
      <c r="S433" s="130" t="b">
        <v>1</v>
      </c>
      <c r="T433" s="130">
        <v>39</v>
      </c>
      <c r="U433" s="118">
        <v>585</v>
      </c>
      <c r="V433" s="118">
        <v>780</v>
      </c>
      <c r="W433" s="130">
        <v>0</v>
      </c>
      <c r="X433" s="130">
        <v>6</v>
      </c>
      <c r="Y433" s="130" t="s">
        <v>38</v>
      </c>
      <c r="Z433" s="130" t="s">
        <v>2098</v>
      </c>
      <c r="AA433" s="206" t="s">
        <v>2125</v>
      </c>
      <c r="AB433" s="130" t="s">
        <v>2126</v>
      </c>
      <c r="AC433" s="130">
        <v>100000</v>
      </c>
      <c r="AD433" s="197">
        <v>1</v>
      </c>
      <c r="AE433" s="197">
        <v>1</v>
      </c>
      <c r="AF433">
        <v>0</v>
      </c>
      <c r="AG433" s="416">
        <v>6</v>
      </c>
    </row>
    <row r="434" spans="1:33" ht="17.25" x14ac:dyDescent="0.3">
      <c r="A434" s="130">
        <v>200107</v>
      </c>
      <c r="B434" s="130" t="s">
        <v>2127</v>
      </c>
      <c r="C434" s="130" t="s">
        <v>2128</v>
      </c>
      <c r="D434" s="130" t="s">
        <v>1408</v>
      </c>
      <c r="E434" s="130">
        <v>0</v>
      </c>
      <c r="F434" s="130">
        <v>0</v>
      </c>
      <c r="G434" s="130"/>
      <c r="H434" s="130" t="s">
        <v>112</v>
      </c>
      <c r="I434" s="130">
        <v>5</v>
      </c>
      <c r="J434" s="118">
        <v>5</v>
      </c>
      <c r="K434" s="130">
        <v>0</v>
      </c>
      <c r="L434" s="130">
        <v>4</v>
      </c>
      <c r="M434" s="130">
        <v>5</v>
      </c>
      <c r="N434" s="118" t="s">
        <v>1448</v>
      </c>
      <c r="O434" s="130">
        <v>50</v>
      </c>
      <c r="P434" s="130">
        <v>0.5</v>
      </c>
      <c r="Q434" s="130">
        <v>0</v>
      </c>
      <c r="R434" s="130">
        <v>1</v>
      </c>
      <c r="S434" s="130" t="b">
        <v>1</v>
      </c>
      <c r="T434" s="130">
        <v>45</v>
      </c>
      <c r="U434" s="118">
        <v>675</v>
      </c>
      <c r="V434" s="118">
        <v>900</v>
      </c>
      <c r="W434" s="130">
        <v>0</v>
      </c>
      <c r="X434" s="130">
        <v>7</v>
      </c>
      <c r="Y434" s="130" t="s">
        <v>38</v>
      </c>
      <c r="Z434" s="130" t="s">
        <v>2129</v>
      </c>
      <c r="AA434" s="206" t="s">
        <v>2130</v>
      </c>
      <c r="AB434" s="130" t="s">
        <v>2131</v>
      </c>
      <c r="AC434" s="130">
        <v>100000</v>
      </c>
      <c r="AD434" s="197">
        <v>1</v>
      </c>
      <c r="AE434" s="197">
        <v>1</v>
      </c>
      <c r="AF434">
        <v>0</v>
      </c>
      <c r="AG434" s="416">
        <v>7</v>
      </c>
    </row>
    <row r="435" spans="1:33" ht="17.25" x14ac:dyDescent="0.3">
      <c r="A435" s="130">
        <v>200207</v>
      </c>
      <c r="B435" s="130" t="s">
        <v>2132</v>
      </c>
      <c r="C435" s="130" t="s">
        <v>2133</v>
      </c>
      <c r="D435" s="130" t="s">
        <v>1408</v>
      </c>
      <c r="E435" s="130">
        <v>0</v>
      </c>
      <c r="F435" s="130">
        <v>0</v>
      </c>
      <c r="G435" s="130"/>
      <c r="H435" s="130" t="s">
        <v>112</v>
      </c>
      <c r="I435" s="130">
        <v>5</v>
      </c>
      <c r="J435" s="118">
        <v>5</v>
      </c>
      <c r="K435" s="130">
        <v>0</v>
      </c>
      <c r="L435" s="130">
        <v>4</v>
      </c>
      <c r="M435" s="130">
        <v>5</v>
      </c>
      <c r="N435" s="118" t="s">
        <v>1448</v>
      </c>
      <c r="O435" s="130">
        <v>50</v>
      </c>
      <c r="P435" s="130">
        <v>0.5</v>
      </c>
      <c r="Q435" s="130">
        <v>0</v>
      </c>
      <c r="R435" s="130">
        <v>1</v>
      </c>
      <c r="S435" s="130" t="b">
        <v>1</v>
      </c>
      <c r="T435" s="130">
        <v>45</v>
      </c>
      <c r="U435" s="118">
        <v>675</v>
      </c>
      <c r="V435" s="118">
        <v>900</v>
      </c>
      <c r="W435" s="130">
        <v>0</v>
      </c>
      <c r="X435" s="130">
        <v>7</v>
      </c>
      <c r="Y435" s="130" t="s">
        <v>38</v>
      </c>
      <c r="Z435" s="130" t="s">
        <v>2093</v>
      </c>
      <c r="AA435" s="206" t="s">
        <v>2134</v>
      </c>
      <c r="AB435" s="130" t="s">
        <v>2135</v>
      </c>
      <c r="AC435" s="130">
        <v>100000</v>
      </c>
      <c r="AD435" s="197">
        <v>1</v>
      </c>
      <c r="AE435" s="197">
        <v>1</v>
      </c>
      <c r="AF435">
        <v>0</v>
      </c>
      <c r="AG435" s="416">
        <v>7</v>
      </c>
    </row>
    <row r="436" spans="1:33" ht="17.25" x14ac:dyDescent="0.3">
      <c r="A436" s="130">
        <v>200307</v>
      </c>
      <c r="B436" s="130" t="s">
        <v>2136</v>
      </c>
      <c r="C436" s="130" t="s">
        <v>2137</v>
      </c>
      <c r="D436" s="130" t="s">
        <v>1408</v>
      </c>
      <c r="E436" s="130">
        <v>0</v>
      </c>
      <c r="F436" s="130">
        <v>0</v>
      </c>
      <c r="G436" s="130"/>
      <c r="H436" s="130" t="s">
        <v>112</v>
      </c>
      <c r="I436" s="130">
        <v>5</v>
      </c>
      <c r="J436" s="118">
        <v>5</v>
      </c>
      <c r="K436" s="130">
        <v>0</v>
      </c>
      <c r="L436" s="130">
        <v>4</v>
      </c>
      <c r="M436" s="130">
        <v>5</v>
      </c>
      <c r="N436" s="118" t="s">
        <v>1448</v>
      </c>
      <c r="O436" s="130">
        <v>50</v>
      </c>
      <c r="P436" s="130">
        <v>0.5</v>
      </c>
      <c r="Q436" s="130">
        <v>0</v>
      </c>
      <c r="R436" s="130">
        <v>1</v>
      </c>
      <c r="S436" s="130" t="b">
        <v>1</v>
      </c>
      <c r="T436" s="130">
        <v>45</v>
      </c>
      <c r="U436" s="118">
        <v>675</v>
      </c>
      <c r="V436" s="118">
        <v>900</v>
      </c>
      <c r="W436" s="130">
        <v>0</v>
      </c>
      <c r="X436" s="130">
        <v>7</v>
      </c>
      <c r="Y436" s="130" t="s">
        <v>38</v>
      </c>
      <c r="Z436" s="130" t="s">
        <v>2098</v>
      </c>
      <c r="AA436" s="206" t="s">
        <v>2138</v>
      </c>
      <c r="AB436" s="130" t="s">
        <v>2139</v>
      </c>
      <c r="AC436" s="130">
        <v>100000</v>
      </c>
      <c r="AD436" s="197">
        <v>1</v>
      </c>
      <c r="AE436" s="197">
        <v>1</v>
      </c>
      <c r="AF436">
        <v>0</v>
      </c>
      <c r="AG436" s="416">
        <v>7</v>
      </c>
    </row>
    <row r="437" spans="1:33" ht="17.25" x14ac:dyDescent="0.3">
      <c r="A437" s="130">
        <v>104504</v>
      </c>
      <c r="B437" s="130" t="s">
        <v>2140</v>
      </c>
      <c r="C437" s="130" t="s">
        <v>2141</v>
      </c>
      <c r="D437" s="130" t="s">
        <v>33</v>
      </c>
      <c r="E437" s="130">
        <v>4</v>
      </c>
      <c r="F437" s="130" t="s">
        <v>447</v>
      </c>
      <c r="G437" s="130" t="s">
        <v>618</v>
      </c>
      <c r="H437" s="130" t="s">
        <v>112</v>
      </c>
      <c r="I437" s="130">
        <v>5</v>
      </c>
      <c r="J437" s="118">
        <v>5</v>
      </c>
      <c r="K437" s="130">
        <v>0</v>
      </c>
      <c r="L437" s="130">
        <v>3</v>
      </c>
      <c r="M437" s="130">
        <v>5</v>
      </c>
      <c r="N437" s="118" t="s">
        <v>64</v>
      </c>
      <c r="O437" s="130">
        <v>50</v>
      </c>
      <c r="P437" s="130">
        <v>0.6</v>
      </c>
      <c r="Q437" s="130">
        <v>0</v>
      </c>
      <c r="R437" s="130">
        <v>1</v>
      </c>
      <c r="S437" s="130" t="b">
        <v>1</v>
      </c>
      <c r="T437" s="130">
        <v>52</v>
      </c>
      <c r="U437" s="118">
        <v>780</v>
      </c>
      <c r="V437" s="118">
        <v>1040</v>
      </c>
      <c r="W437" s="130">
        <v>0</v>
      </c>
      <c r="X437" s="130">
        <v>4</v>
      </c>
      <c r="Y437" s="130" t="s">
        <v>38</v>
      </c>
      <c r="Z437" s="130" t="s">
        <v>2142</v>
      </c>
      <c r="AA437" s="206" t="s">
        <v>2143</v>
      </c>
      <c r="AB437" s="130" t="s">
        <v>529</v>
      </c>
      <c r="AC437" s="130">
        <v>100000</v>
      </c>
      <c r="AD437" s="197">
        <v>1</v>
      </c>
      <c r="AE437" s="197">
        <v>1</v>
      </c>
      <c r="AF437">
        <v>0</v>
      </c>
      <c r="AG437" s="416">
        <v>4</v>
      </c>
    </row>
    <row r="438" spans="1:33" ht="17.25" x14ac:dyDescent="0.3">
      <c r="A438" s="130">
        <v>104505</v>
      </c>
      <c r="B438" s="130" t="s">
        <v>2144</v>
      </c>
      <c r="C438" s="130" t="s">
        <v>2145</v>
      </c>
      <c r="D438" s="130" t="s">
        <v>33</v>
      </c>
      <c r="E438" s="130">
        <v>4</v>
      </c>
      <c r="F438" s="130" t="s">
        <v>447</v>
      </c>
      <c r="G438" s="130" t="s">
        <v>541</v>
      </c>
      <c r="H438" s="130" t="s">
        <v>112</v>
      </c>
      <c r="I438" s="130">
        <v>5</v>
      </c>
      <c r="J438" s="118">
        <v>5</v>
      </c>
      <c r="K438" s="130">
        <v>0</v>
      </c>
      <c r="L438" s="130">
        <v>3</v>
      </c>
      <c r="M438" s="130">
        <v>5</v>
      </c>
      <c r="N438" s="118" t="s">
        <v>71</v>
      </c>
      <c r="O438" s="130">
        <v>50</v>
      </c>
      <c r="P438" s="130">
        <v>0.6</v>
      </c>
      <c r="Q438" s="130">
        <v>0</v>
      </c>
      <c r="R438" s="130">
        <v>1</v>
      </c>
      <c r="S438" s="130" t="b">
        <v>1</v>
      </c>
      <c r="T438" s="130">
        <v>65</v>
      </c>
      <c r="U438" s="118">
        <v>975</v>
      </c>
      <c r="V438" s="118">
        <v>1300</v>
      </c>
      <c r="W438" s="130">
        <v>0</v>
      </c>
      <c r="X438" s="130">
        <v>5</v>
      </c>
      <c r="Y438" s="130" t="s">
        <v>38</v>
      </c>
      <c r="Z438" s="130" t="s">
        <v>2146</v>
      </c>
      <c r="AA438" s="206" t="s">
        <v>2147</v>
      </c>
      <c r="AB438" s="130" t="s">
        <v>556</v>
      </c>
      <c r="AC438" s="130">
        <v>100000</v>
      </c>
      <c r="AD438" s="197">
        <v>1</v>
      </c>
      <c r="AE438" s="197">
        <v>1</v>
      </c>
      <c r="AF438">
        <v>0</v>
      </c>
      <c r="AG438" s="416">
        <v>5</v>
      </c>
    </row>
    <row r="439" spans="1:33" ht="17.25" x14ac:dyDescent="0.3">
      <c r="A439" s="130">
        <v>104506</v>
      </c>
      <c r="B439" s="130" t="s">
        <v>2148</v>
      </c>
      <c r="C439" s="130" t="s">
        <v>2149</v>
      </c>
      <c r="D439" s="130" t="s">
        <v>33</v>
      </c>
      <c r="E439" s="130">
        <v>4</v>
      </c>
      <c r="F439" s="130" t="s">
        <v>447</v>
      </c>
      <c r="G439" s="130" t="s">
        <v>547</v>
      </c>
      <c r="H439" s="130" t="s">
        <v>112</v>
      </c>
      <c r="I439" s="130">
        <v>5</v>
      </c>
      <c r="J439" s="118">
        <v>5</v>
      </c>
      <c r="K439" s="130">
        <v>0</v>
      </c>
      <c r="L439" s="130">
        <v>3</v>
      </c>
      <c r="M439" s="130">
        <v>5</v>
      </c>
      <c r="N439" s="118" t="s">
        <v>77</v>
      </c>
      <c r="O439" s="130">
        <v>50</v>
      </c>
      <c r="P439" s="130">
        <v>0.6</v>
      </c>
      <c r="Q439" s="130">
        <v>0</v>
      </c>
      <c r="R439" s="130">
        <v>1</v>
      </c>
      <c r="S439" s="130" t="b">
        <v>1</v>
      </c>
      <c r="T439" s="130">
        <v>78</v>
      </c>
      <c r="U439" s="118">
        <v>1170</v>
      </c>
      <c r="V439" s="118">
        <v>1560</v>
      </c>
      <c r="W439" s="130">
        <v>0</v>
      </c>
      <c r="X439" s="130">
        <v>6</v>
      </c>
      <c r="Y439" s="130" t="s">
        <v>38</v>
      </c>
      <c r="Z439" s="130" t="s">
        <v>2150</v>
      </c>
      <c r="AA439" s="206" t="s">
        <v>2151</v>
      </c>
      <c r="AB439" s="130" t="s">
        <v>562</v>
      </c>
      <c r="AC439" s="130">
        <v>100000</v>
      </c>
      <c r="AD439" s="197">
        <v>1</v>
      </c>
      <c r="AE439" s="197">
        <v>1</v>
      </c>
      <c r="AF439">
        <v>0</v>
      </c>
      <c r="AG439" s="416">
        <v>6</v>
      </c>
    </row>
    <row r="440" spans="1:33" ht="17.25" x14ac:dyDescent="0.3">
      <c r="A440" s="130">
        <v>104507</v>
      </c>
      <c r="B440" s="130" t="s">
        <v>2152</v>
      </c>
      <c r="C440" s="130" t="s">
        <v>2153</v>
      </c>
      <c r="D440" s="130" t="s">
        <v>33</v>
      </c>
      <c r="E440" s="130">
        <v>4</v>
      </c>
      <c r="F440" s="130" t="s">
        <v>447</v>
      </c>
      <c r="G440" s="130" t="s">
        <v>559</v>
      </c>
      <c r="H440" s="130" t="s">
        <v>112</v>
      </c>
      <c r="I440" s="130">
        <v>5</v>
      </c>
      <c r="J440" s="118">
        <v>5</v>
      </c>
      <c r="K440" s="130">
        <v>0</v>
      </c>
      <c r="L440" s="130">
        <v>3</v>
      </c>
      <c r="M440" s="130">
        <v>5</v>
      </c>
      <c r="N440" s="118" t="s">
        <v>83</v>
      </c>
      <c r="O440" s="130">
        <v>50</v>
      </c>
      <c r="P440" s="130">
        <v>0.6</v>
      </c>
      <c r="Q440" s="130">
        <v>0</v>
      </c>
      <c r="R440" s="130">
        <v>1</v>
      </c>
      <c r="S440" s="130" t="b">
        <v>1</v>
      </c>
      <c r="T440" s="130">
        <v>91</v>
      </c>
      <c r="U440" s="118">
        <v>1365</v>
      </c>
      <c r="V440" s="118">
        <v>1820</v>
      </c>
      <c r="W440" s="130">
        <v>0</v>
      </c>
      <c r="X440" s="130">
        <v>7</v>
      </c>
      <c r="Y440" s="130" t="s">
        <v>38</v>
      </c>
      <c r="Z440" s="130" t="s">
        <v>2154</v>
      </c>
      <c r="AA440" s="206" t="s">
        <v>2155</v>
      </c>
      <c r="AB440" s="130" t="s">
        <v>580</v>
      </c>
      <c r="AC440" s="130">
        <v>100000</v>
      </c>
      <c r="AD440" s="197">
        <v>1</v>
      </c>
      <c r="AE440" s="197">
        <v>1</v>
      </c>
      <c r="AF440">
        <v>0</v>
      </c>
      <c r="AG440" s="416">
        <v>7</v>
      </c>
    </row>
    <row r="441" spans="1:33" ht="17.25" x14ac:dyDescent="0.3">
      <c r="A441" s="130">
        <v>103404</v>
      </c>
      <c r="B441" s="130" t="s">
        <v>2156</v>
      </c>
      <c r="C441" s="130" t="s">
        <v>2157</v>
      </c>
      <c r="D441" s="130" t="s">
        <v>33</v>
      </c>
      <c r="E441" s="130">
        <v>3</v>
      </c>
      <c r="F441" s="130" t="s">
        <v>363</v>
      </c>
      <c r="G441" s="130" t="s">
        <v>376</v>
      </c>
      <c r="H441" s="130" t="s">
        <v>112</v>
      </c>
      <c r="I441" s="130">
        <v>5</v>
      </c>
      <c r="J441" s="118">
        <v>5</v>
      </c>
      <c r="K441" s="130">
        <v>0</v>
      </c>
      <c r="L441" s="130">
        <v>3</v>
      </c>
      <c r="M441" s="130">
        <v>5</v>
      </c>
      <c r="N441" s="118" t="s">
        <v>64</v>
      </c>
      <c r="O441" s="130">
        <v>99</v>
      </c>
      <c r="P441" s="130">
        <v>0.9</v>
      </c>
      <c r="Q441" s="130">
        <v>0</v>
      </c>
      <c r="R441" s="130">
        <v>1</v>
      </c>
      <c r="S441" s="130" t="b">
        <v>1</v>
      </c>
      <c r="T441" s="130">
        <v>52</v>
      </c>
      <c r="U441" s="118">
        <v>780</v>
      </c>
      <c r="V441" s="118">
        <v>1040</v>
      </c>
      <c r="W441" s="130">
        <v>0</v>
      </c>
      <c r="X441" s="130">
        <v>4</v>
      </c>
      <c r="Y441" s="130" t="s">
        <v>38</v>
      </c>
      <c r="Z441" s="130" t="s">
        <v>2158</v>
      </c>
      <c r="AA441" s="206" t="s">
        <v>2159</v>
      </c>
      <c r="AB441" s="130" t="s">
        <v>367</v>
      </c>
      <c r="AC441" s="130">
        <v>100000</v>
      </c>
      <c r="AD441" s="197">
        <v>1</v>
      </c>
      <c r="AE441" s="197">
        <v>1</v>
      </c>
      <c r="AF441">
        <v>0</v>
      </c>
      <c r="AG441" s="416">
        <v>4</v>
      </c>
    </row>
    <row r="442" spans="1:33" ht="17.25" x14ac:dyDescent="0.3">
      <c r="A442" s="130">
        <v>103405</v>
      </c>
      <c r="B442" s="130" t="s">
        <v>2160</v>
      </c>
      <c r="C442" s="130" t="s">
        <v>2161</v>
      </c>
      <c r="D442" s="130" t="s">
        <v>33</v>
      </c>
      <c r="E442" s="130">
        <v>3</v>
      </c>
      <c r="F442" s="130" t="s">
        <v>363</v>
      </c>
      <c r="G442" s="130" t="s">
        <v>382</v>
      </c>
      <c r="H442" s="130" t="s">
        <v>112</v>
      </c>
      <c r="I442" s="130">
        <v>5</v>
      </c>
      <c r="J442" s="118">
        <v>5</v>
      </c>
      <c r="K442" s="130">
        <v>0</v>
      </c>
      <c r="L442" s="130">
        <v>3</v>
      </c>
      <c r="M442" s="130">
        <v>5</v>
      </c>
      <c r="N442" s="118" t="s">
        <v>71</v>
      </c>
      <c r="O442" s="130">
        <v>99</v>
      </c>
      <c r="P442" s="130">
        <v>0.9</v>
      </c>
      <c r="Q442" s="130">
        <v>0</v>
      </c>
      <c r="R442" s="130">
        <v>1</v>
      </c>
      <c r="S442" s="130" t="b">
        <v>1</v>
      </c>
      <c r="T442" s="130">
        <v>65</v>
      </c>
      <c r="U442" s="118">
        <v>975</v>
      </c>
      <c r="V442" s="118">
        <v>1300</v>
      </c>
      <c r="W442" s="130">
        <v>0</v>
      </c>
      <c r="X442" s="130">
        <v>5</v>
      </c>
      <c r="Y442" s="130" t="s">
        <v>38</v>
      </c>
      <c r="Z442" s="130" t="s">
        <v>2162</v>
      </c>
      <c r="AA442" s="206" t="s">
        <v>2163</v>
      </c>
      <c r="AB442" s="130" t="s">
        <v>385</v>
      </c>
      <c r="AC442" s="130">
        <v>100000</v>
      </c>
      <c r="AD442" s="197">
        <v>1</v>
      </c>
      <c r="AE442" s="197">
        <v>1</v>
      </c>
      <c r="AF442">
        <v>0</v>
      </c>
      <c r="AG442" s="416">
        <v>5</v>
      </c>
    </row>
    <row r="443" spans="1:33" ht="17.25" x14ac:dyDescent="0.3">
      <c r="A443" s="130">
        <v>103406</v>
      </c>
      <c r="B443" s="130" t="s">
        <v>2164</v>
      </c>
      <c r="C443" s="130" t="s">
        <v>2165</v>
      </c>
      <c r="D443" s="130" t="s">
        <v>33</v>
      </c>
      <c r="E443" s="130">
        <v>3</v>
      </c>
      <c r="F443" s="130" t="s">
        <v>363</v>
      </c>
      <c r="G443" s="130" t="s">
        <v>394</v>
      </c>
      <c r="H443" s="130" t="s">
        <v>112</v>
      </c>
      <c r="I443" s="130">
        <v>5</v>
      </c>
      <c r="J443" s="118">
        <v>5</v>
      </c>
      <c r="K443" s="130">
        <v>0</v>
      </c>
      <c r="L443" s="130">
        <v>3</v>
      </c>
      <c r="M443" s="130">
        <v>5</v>
      </c>
      <c r="N443" s="118" t="s">
        <v>77</v>
      </c>
      <c r="O443" s="130">
        <v>99</v>
      </c>
      <c r="P443" s="130">
        <v>0.9</v>
      </c>
      <c r="Q443" s="130">
        <v>0</v>
      </c>
      <c r="R443" s="130">
        <v>1</v>
      </c>
      <c r="S443" s="130" t="b">
        <v>1</v>
      </c>
      <c r="T443" s="130">
        <v>78</v>
      </c>
      <c r="U443" s="118">
        <v>1170</v>
      </c>
      <c r="V443" s="118">
        <v>1560</v>
      </c>
      <c r="W443" s="130">
        <v>0</v>
      </c>
      <c r="X443" s="130">
        <v>6</v>
      </c>
      <c r="Y443" s="130" t="s">
        <v>38</v>
      </c>
      <c r="Z443" s="130" t="s">
        <v>2166</v>
      </c>
      <c r="AA443" s="206" t="s">
        <v>2167</v>
      </c>
      <c r="AB443" s="130" t="s">
        <v>403</v>
      </c>
      <c r="AC443" s="130">
        <v>100000</v>
      </c>
      <c r="AD443" s="197">
        <v>1</v>
      </c>
      <c r="AE443" s="197">
        <v>1</v>
      </c>
      <c r="AF443">
        <v>0</v>
      </c>
      <c r="AG443" s="416">
        <v>6</v>
      </c>
    </row>
    <row r="444" spans="1:33" ht="17.25" x14ac:dyDescent="0.3">
      <c r="A444" s="130">
        <v>103407</v>
      </c>
      <c r="B444" s="130" t="s">
        <v>2168</v>
      </c>
      <c r="C444" s="130" t="s">
        <v>2169</v>
      </c>
      <c r="D444" s="130" t="s">
        <v>33</v>
      </c>
      <c r="E444" s="130">
        <v>3</v>
      </c>
      <c r="F444" s="130" t="s">
        <v>363</v>
      </c>
      <c r="G444" s="130" t="s">
        <v>400</v>
      </c>
      <c r="H444" s="130" t="s">
        <v>112</v>
      </c>
      <c r="I444" s="130">
        <v>5</v>
      </c>
      <c r="J444" s="118">
        <v>5</v>
      </c>
      <c r="K444" s="130">
        <v>0</v>
      </c>
      <c r="L444" s="130">
        <v>3</v>
      </c>
      <c r="M444" s="130">
        <v>5</v>
      </c>
      <c r="N444" s="118" t="s">
        <v>83</v>
      </c>
      <c r="O444" s="130">
        <v>99</v>
      </c>
      <c r="P444" s="130">
        <v>0.9</v>
      </c>
      <c r="Q444" s="130">
        <v>0</v>
      </c>
      <c r="R444" s="130">
        <v>1</v>
      </c>
      <c r="S444" s="130" t="b">
        <v>1</v>
      </c>
      <c r="T444" s="130">
        <v>91</v>
      </c>
      <c r="U444" s="118">
        <v>1365</v>
      </c>
      <c r="V444" s="118">
        <v>1820</v>
      </c>
      <c r="W444" s="130">
        <v>0</v>
      </c>
      <c r="X444" s="130">
        <v>7</v>
      </c>
      <c r="Y444" s="130" t="s">
        <v>38</v>
      </c>
      <c r="Z444" s="130" t="s">
        <v>2170</v>
      </c>
      <c r="AA444" s="206" t="s">
        <v>2171</v>
      </c>
      <c r="AB444" s="130" t="s">
        <v>412</v>
      </c>
      <c r="AC444" s="130">
        <v>100000</v>
      </c>
      <c r="AD444" s="197">
        <v>1</v>
      </c>
      <c r="AE444" s="197">
        <v>1</v>
      </c>
      <c r="AF444">
        <v>0</v>
      </c>
      <c r="AG444" s="416">
        <v>7</v>
      </c>
    </row>
    <row r="445" spans="1:33" ht="17.25" x14ac:dyDescent="0.3">
      <c r="A445" s="130">
        <v>300605</v>
      </c>
      <c r="B445" s="130" t="s">
        <v>2172</v>
      </c>
      <c r="C445" s="130" t="s">
        <v>2173</v>
      </c>
      <c r="D445" s="130" t="s">
        <v>1508</v>
      </c>
      <c r="E445" s="130">
        <v>0</v>
      </c>
      <c r="F445" s="130">
        <v>0</v>
      </c>
      <c r="G445" s="130"/>
      <c r="H445" s="130" t="s">
        <v>112</v>
      </c>
      <c r="I445" s="130">
        <v>5</v>
      </c>
      <c r="J445" s="118">
        <v>5</v>
      </c>
      <c r="K445" s="130">
        <v>0</v>
      </c>
      <c r="L445" s="130">
        <v>4</v>
      </c>
      <c r="M445" s="130">
        <v>5</v>
      </c>
      <c r="N445" s="118" t="s">
        <v>1533</v>
      </c>
      <c r="O445" s="130">
        <v>50</v>
      </c>
      <c r="P445" s="130">
        <v>0.5</v>
      </c>
      <c r="Q445" s="130">
        <v>0</v>
      </c>
      <c r="R445" s="130">
        <v>1</v>
      </c>
      <c r="S445" s="130" t="b">
        <v>1</v>
      </c>
      <c r="T445" s="130">
        <v>32</v>
      </c>
      <c r="U445" s="118">
        <v>480</v>
      </c>
      <c r="V445" s="118">
        <v>640</v>
      </c>
      <c r="W445" s="130">
        <v>0</v>
      </c>
      <c r="X445" s="130">
        <v>5</v>
      </c>
      <c r="Y445" s="130" t="s">
        <v>38</v>
      </c>
      <c r="Z445" s="130" t="s">
        <v>2174</v>
      </c>
      <c r="AA445" s="206" t="s">
        <v>2175</v>
      </c>
      <c r="AB445" s="130" t="s">
        <v>2176</v>
      </c>
      <c r="AC445" s="130">
        <v>100000</v>
      </c>
      <c r="AD445" s="197">
        <v>1</v>
      </c>
      <c r="AE445" s="197">
        <v>1</v>
      </c>
      <c r="AF445">
        <v>0</v>
      </c>
      <c r="AG445" s="416">
        <v>5</v>
      </c>
    </row>
    <row r="446" spans="1:33" ht="17.25" x14ac:dyDescent="0.3">
      <c r="A446" s="130">
        <v>400605</v>
      </c>
      <c r="B446" s="130" t="s">
        <v>2177</v>
      </c>
      <c r="C446" s="130" t="s">
        <v>2178</v>
      </c>
      <c r="D446" s="130" t="s">
        <v>1594</v>
      </c>
      <c r="E446" s="130">
        <v>0</v>
      </c>
      <c r="F446" s="130">
        <v>0</v>
      </c>
      <c r="G446" s="130"/>
      <c r="H446" s="130" t="s">
        <v>112</v>
      </c>
      <c r="I446" s="130">
        <v>5</v>
      </c>
      <c r="J446" s="118">
        <v>5</v>
      </c>
      <c r="K446" s="130">
        <v>0</v>
      </c>
      <c r="L446" s="130">
        <v>4</v>
      </c>
      <c r="M446" s="130">
        <v>5</v>
      </c>
      <c r="N446" s="118" t="s">
        <v>1533</v>
      </c>
      <c r="O446" s="130">
        <v>50</v>
      </c>
      <c r="P446" s="130">
        <v>0.5</v>
      </c>
      <c r="Q446" s="130">
        <v>0</v>
      </c>
      <c r="R446" s="130">
        <v>1</v>
      </c>
      <c r="S446" s="130" t="b">
        <v>1</v>
      </c>
      <c r="T446" s="130">
        <v>32</v>
      </c>
      <c r="U446" s="118">
        <v>480</v>
      </c>
      <c r="V446" s="118">
        <v>640</v>
      </c>
      <c r="W446" s="130">
        <v>0</v>
      </c>
      <c r="X446" s="130">
        <v>5</v>
      </c>
      <c r="Y446" s="130" t="s">
        <v>38</v>
      </c>
      <c r="Z446" s="130" t="s">
        <v>2179</v>
      </c>
      <c r="AA446" s="206" t="s">
        <v>2180</v>
      </c>
      <c r="AB446" s="130" t="s">
        <v>2181</v>
      </c>
      <c r="AC446" s="130">
        <v>100000</v>
      </c>
      <c r="AD446" s="197">
        <v>1</v>
      </c>
      <c r="AE446" s="197">
        <v>1</v>
      </c>
      <c r="AF446">
        <v>0</v>
      </c>
      <c r="AG446" s="416">
        <v>5</v>
      </c>
    </row>
    <row r="447" spans="1:33" ht="17.25" x14ac:dyDescent="0.3">
      <c r="A447" s="130">
        <v>500606</v>
      </c>
      <c r="B447" s="130" t="s">
        <v>2182</v>
      </c>
      <c r="C447" s="130" t="s">
        <v>2183</v>
      </c>
      <c r="D447" s="130" t="s">
        <v>1672</v>
      </c>
      <c r="E447" s="130">
        <v>0</v>
      </c>
      <c r="F447" s="130">
        <v>0</v>
      </c>
      <c r="G447" s="130"/>
      <c r="H447" s="130" t="s">
        <v>112</v>
      </c>
      <c r="I447" s="130">
        <v>5</v>
      </c>
      <c r="J447" s="118">
        <v>5</v>
      </c>
      <c r="K447" s="130">
        <v>0</v>
      </c>
      <c r="L447" s="130">
        <v>4</v>
      </c>
      <c r="M447" s="130">
        <v>5</v>
      </c>
      <c r="N447" s="118" t="s">
        <v>1539</v>
      </c>
      <c r="O447" s="130">
        <v>50</v>
      </c>
      <c r="P447" s="130">
        <v>0.5</v>
      </c>
      <c r="Q447" s="130">
        <v>0</v>
      </c>
      <c r="R447" s="130">
        <v>1</v>
      </c>
      <c r="S447" s="130" t="b">
        <v>1</v>
      </c>
      <c r="T447" s="130">
        <v>39</v>
      </c>
      <c r="U447" s="118">
        <v>585</v>
      </c>
      <c r="V447" s="118">
        <v>780</v>
      </c>
      <c r="W447" s="130">
        <v>0</v>
      </c>
      <c r="X447" s="130">
        <v>6</v>
      </c>
      <c r="Y447" s="130" t="s">
        <v>38</v>
      </c>
      <c r="Z447" s="130" t="s">
        <v>2179</v>
      </c>
      <c r="AA447" s="206" t="s">
        <v>2184</v>
      </c>
      <c r="AB447" s="130" t="s">
        <v>2185</v>
      </c>
      <c r="AC447" s="130">
        <v>100000</v>
      </c>
      <c r="AD447" s="197">
        <v>1</v>
      </c>
      <c r="AE447" s="197">
        <v>1</v>
      </c>
      <c r="AF447">
        <v>0</v>
      </c>
      <c r="AG447" s="416">
        <v>6</v>
      </c>
    </row>
    <row r="448" spans="1:33" ht="17.25" x14ac:dyDescent="0.3">
      <c r="A448" s="130">
        <v>200607</v>
      </c>
      <c r="B448" s="130" t="s">
        <v>2186</v>
      </c>
      <c r="C448" s="130" t="s">
        <v>2187</v>
      </c>
      <c r="D448" s="130" t="s">
        <v>1408</v>
      </c>
      <c r="E448" s="130">
        <v>0</v>
      </c>
      <c r="F448" s="130">
        <v>0</v>
      </c>
      <c r="G448" s="130"/>
      <c r="H448" s="130" t="s">
        <v>112</v>
      </c>
      <c r="I448" s="130">
        <v>5</v>
      </c>
      <c r="J448" s="118">
        <v>5</v>
      </c>
      <c r="K448" s="130">
        <v>0</v>
      </c>
      <c r="L448" s="130">
        <v>4</v>
      </c>
      <c r="M448" s="130">
        <v>5</v>
      </c>
      <c r="N448" s="118" t="s">
        <v>1448</v>
      </c>
      <c r="O448" s="130">
        <v>50</v>
      </c>
      <c r="P448" s="130">
        <v>0.5</v>
      </c>
      <c r="Q448" s="130">
        <v>0</v>
      </c>
      <c r="R448" s="130">
        <v>1</v>
      </c>
      <c r="S448" s="130" t="b">
        <v>1</v>
      </c>
      <c r="T448" s="130">
        <v>45</v>
      </c>
      <c r="U448" s="118">
        <v>675</v>
      </c>
      <c r="V448" s="118">
        <v>900</v>
      </c>
      <c r="W448" s="130">
        <v>0</v>
      </c>
      <c r="X448" s="130">
        <v>7</v>
      </c>
      <c r="Y448" s="130" t="s">
        <v>38</v>
      </c>
      <c r="Z448" s="130" t="s">
        <v>2179</v>
      </c>
      <c r="AA448" s="206" t="s">
        <v>2188</v>
      </c>
      <c r="AB448" s="130" t="s">
        <v>2189</v>
      </c>
      <c r="AC448" s="130">
        <v>100000</v>
      </c>
      <c r="AD448" s="197">
        <v>1</v>
      </c>
      <c r="AE448" s="197">
        <v>1</v>
      </c>
      <c r="AF448">
        <v>0</v>
      </c>
      <c r="AG448" s="416">
        <v>7</v>
      </c>
    </row>
    <row r="449" spans="1:33" ht="17.25" x14ac:dyDescent="0.3">
      <c r="A449" s="130">
        <v>102904</v>
      </c>
      <c r="B449" s="130" t="s">
        <v>2190</v>
      </c>
      <c r="C449" s="130" t="s">
        <v>2191</v>
      </c>
      <c r="D449" s="130" t="s">
        <v>33</v>
      </c>
      <c r="E449" s="130">
        <v>2</v>
      </c>
      <c r="F449" s="130" t="s">
        <v>134</v>
      </c>
      <c r="G449" s="130" t="s">
        <v>230</v>
      </c>
      <c r="H449" s="130" t="s">
        <v>112</v>
      </c>
      <c r="I449" s="130">
        <v>5</v>
      </c>
      <c r="J449" s="118">
        <v>5</v>
      </c>
      <c r="K449" s="130">
        <v>0</v>
      </c>
      <c r="L449" s="130">
        <v>3</v>
      </c>
      <c r="M449" s="130">
        <v>5</v>
      </c>
      <c r="N449" s="118" t="s">
        <v>64</v>
      </c>
      <c r="O449" s="130">
        <v>50</v>
      </c>
      <c r="P449" s="130">
        <v>0.7</v>
      </c>
      <c r="Q449" s="130">
        <v>0</v>
      </c>
      <c r="R449" s="130">
        <v>1</v>
      </c>
      <c r="S449" s="130" t="b">
        <v>1</v>
      </c>
      <c r="T449" s="130">
        <v>52</v>
      </c>
      <c r="U449" s="118">
        <v>780</v>
      </c>
      <c r="V449" s="118">
        <v>1040</v>
      </c>
      <c r="W449" s="130">
        <v>0</v>
      </c>
      <c r="X449" s="130">
        <v>4</v>
      </c>
      <c r="Y449" s="130" t="s">
        <v>38</v>
      </c>
      <c r="Z449" s="130" t="s">
        <v>2192</v>
      </c>
      <c r="AA449" s="206" t="s">
        <v>2193</v>
      </c>
      <c r="AB449" s="130" t="s">
        <v>2194</v>
      </c>
      <c r="AC449" s="130">
        <v>100000</v>
      </c>
      <c r="AD449" s="197">
        <v>1</v>
      </c>
      <c r="AE449" s="197">
        <v>1</v>
      </c>
      <c r="AF449">
        <v>0</v>
      </c>
      <c r="AG449" s="416">
        <v>4</v>
      </c>
    </row>
    <row r="450" spans="1:33" ht="17.25" x14ac:dyDescent="0.3">
      <c r="A450" s="130">
        <v>102115</v>
      </c>
      <c r="B450" s="130" t="s">
        <v>2195</v>
      </c>
      <c r="C450" s="130" t="s">
        <v>2196</v>
      </c>
      <c r="D450" s="130" t="s">
        <v>33</v>
      </c>
      <c r="E450" s="130">
        <v>2</v>
      </c>
      <c r="F450" s="130" t="s">
        <v>134</v>
      </c>
      <c r="G450" s="130" t="s">
        <v>248</v>
      </c>
      <c r="H450" s="130" t="s">
        <v>112</v>
      </c>
      <c r="I450" s="130">
        <v>5</v>
      </c>
      <c r="J450" s="118">
        <v>5</v>
      </c>
      <c r="K450" s="130">
        <v>0</v>
      </c>
      <c r="L450" s="130">
        <v>3</v>
      </c>
      <c r="M450" s="130">
        <v>5</v>
      </c>
      <c r="N450" s="118" t="s">
        <v>71</v>
      </c>
      <c r="O450" s="130">
        <v>50</v>
      </c>
      <c r="P450" s="130">
        <v>0.7</v>
      </c>
      <c r="Q450" s="130">
        <v>0</v>
      </c>
      <c r="R450" s="130">
        <v>1</v>
      </c>
      <c r="S450" s="130" t="b">
        <v>1</v>
      </c>
      <c r="T450" s="130">
        <v>65</v>
      </c>
      <c r="U450" s="118">
        <v>975</v>
      </c>
      <c r="V450" s="118">
        <v>1300</v>
      </c>
      <c r="W450" s="130">
        <v>0</v>
      </c>
      <c r="X450" s="130">
        <v>5</v>
      </c>
      <c r="Y450" s="130" t="s">
        <v>38</v>
      </c>
      <c r="Z450" s="130" t="s">
        <v>2197</v>
      </c>
      <c r="AA450" s="206" t="s">
        <v>2198</v>
      </c>
      <c r="AB450" s="130" t="s">
        <v>2199</v>
      </c>
      <c r="AC450" s="130">
        <v>100000</v>
      </c>
      <c r="AD450" s="197">
        <v>1</v>
      </c>
      <c r="AE450" s="197">
        <v>1</v>
      </c>
      <c r="AF450">
        <v>0</v>
      </c>
      <c r="AG450" s="416">
        <v>5</v>
      </c>
    </row>
    <row r="451" spans="1:33" ht="17.25" x14ac:dyDescent="0.3">
      <c r="A451" s="130">
        <v>102906</v>
      </c>
      <c r="B451" s="130" t="s">
        <v>2200</v>
      </c>
      <c r="C451" s="130" t="s">
        <v>2201</v>
      </c>
      <c r="D451" s="130" t="s">
        <v>33</v>
      </c>
      <c r="E451" s="130">
        <v>2</v>
      </c>
      <c r="F451" s="130" t="s">
        <v>134</v>
      </c>
      <c r="G451" s="130" t="s">
        <v>236</v>
      </c>
      <c r="H451" s="130" t="s">
        <v>112</v>
      </c>
      <c r="I451" s="130">
        <v>5</v>
      </c>
      <c r="J451" s="118">
        <v>5</v>
      </c>
      <c r="K451" s="130">
        <v>0</v>
      </c>
      <c r="L451" s="130">
        <v>3</v>
      </c>
      <c r="M451" s="130">
        <v>5</v>
      </c>
      <c r="N451" s="118" t="s">
        <v>77</v>
      </c>
      <c r="O451" s="130">
        <v>50</v>
      </c>
      <c r="P451" s="130">
        <v>0.7</v>
      </c>
      <c r="Q451" s="130">
        <v>0</v>
      </c>
      <c r="R451" s="130">
        <v>1</v>
      </c>
      <c r="S451" s="130" t="b">
        <v>1</v>
      </c>
      <c r="T451" s="130">
        <v>78</v>
      </c>
      <c r="U451" s="118">
        <v>1170</v>
      </c>
      <c r="V451" s="118">
        <v>1560</v>
      </c>
      <c r="W451" s="130">
        <v>0</v>
      </c>
      <c r="X451" s="130">
        <v>6</v>
      </c>
      <c r="Y451" s="130" t="s">
        <v>38</v>
      </c>
      <c r="Z451" s="130" t="s">
        <v>2202</v>
      </c>
      <c r="AA451" s="206" t="s">
        <v>2203</v>
      </c>
      <c r="AB451" s="130" t="s">
        <v>2204</v>
      </c>
      <c r="AC451" s="130">
        <v>100000</v>
      </c>
      <c r="AD451" s="197">
        <v>1</v>
      </c>
      <c r="AE451" s="197">
        <v>1</v>
      </c>
      <c r="AF451">
        <v>0</v>
      </c>
      <c r="AG451" s="416">
        <v>6</v>
      </c>
    </row>
    <row r="452" spans="1:33" ht="17.25" x14ac:dyDescent="0.3">
      <c r="A452" s="130">
        <v>102907</v>
      </c>
      <c r="B452" s="130" t="s">
        <v>2205</v>
      </c>
      <c r="C452" s="130" t="s">
        <v>2206</v>
      </c>
      <c r="D452" s="130" t="s">
        <v>33</v>
      </c>
      <c r="E452" s="130">
        <v>2</v>
      </c>
      <c r="F452" s="130" t="s">
        <v>134</v>
      </c>
      <c r="G452" s="130" t="s">
        <v>254</v>
      </c>
      <c r="H452" s="130" t="s">
        <v>112</v>
      </c>
      <c r="I452" s="130">
        <v>5</v>
      </c>
      <c r="J452" s="118">
        <v>5</v>
      </c>
      <c r="K452" s="130">
        <v>0</v>
      </c>
      <c r="L452" s="130">
        <v>3</v>
      </c>
      <c r="M452" s="130">
        <v>5</v>
      </c>
      <c r="N452" s="118" t="s">
        <v>83</v>
      </c>
      <c r="O452" s="130">
        <v>50</v>
      </c>
      <c r="P452" s="130">
        <v>0.7</v>
      </c>
      <c r="Q452" s="130">
        <v>0</v>
      </c>
      <c r="R452" s="130">
        <v>1</v>
      </c>
      <c r="S452" s="130" t="b">
        <v>1</v>
      </c>
      <c r="T452" s="130">
        <v>91</v>
      </c>
      <c r="U452" s="118">
        <v>1365</v>
      </c>
      <c r="V452" s="118">
        <v>1820</v>
      </c>
      <c r="W452" s="130">
        <v>0</v>
      </c>
      <c r="X452" s="130">
        <v>7</v>
      </c>
      <c r="Y452" s="130" t="s">
        <v>38</v>
      </c>
      <c r="Z452" s="130" t="s">
        <v>2207</v>
      </c>
      <c r="AA452" s="206" t="s">
        <v>2208</v>
      </c>
      <c r="AB452" s="130" t="s">
        <v>2209</v>
      </c>
      <c r="AC452" s="130">
        <v>100000</v>
      </c>
      <c r="AD452" s="197">
        <v>1</v>
      </c>
      <c r="AE452" s="197">
        <v>1</v>
      </c>
      <c r="AF452">
        <v>0</v>
      </c>
      <c r="AG452" s="416">
        <v>7</v>
      </c>
    </row>
    <row r="453" spans="1:33" ht="17.25" x14ac:dyDescent="0.3">
      <c r="A453" s="130">
        <v>106404</v>
      </c>
      <c r="B453" s="130" t="s">
        <v>2210</v>
      </c>
      <c r="C453" s="130" t="s">
        <v>2211</v>
      </c>
      <c r="D453" s="130" t="s">
        <v>33</v>
      </c>
      <c r="E453" s="130">
        <v>6</v>
      </c>
      <c r="F453" s="130" t="s">
        <v>727</v>
      </c>
      <c r="G453" s="130" t="s">
        <v>734</v>
      </c>
      <c r="H453" s="130" t="s">
        <v>112</v>
      </c>
      <c r="I453" s="130">
        <v>5</v>
      </c>
      <c r="J453" s="118">
        <v>5</v>
      </c>
      <c r="K453" s="130">
        <v>0</v>
      </c>
      <c r="L453" s="130">
        <v>3</v>
      </c>
      <c r="M453" s="130">
        <v>5</v>
      </c>
      <c r="N453" s="118" t="s">
        <v>64</v>
      </c>
      <c r="O453" s="130">
        <v>50</v>
      </c>
      <c r="P453" s="130">
        <v>0.7</v>
      </c>
      <c r="Q453" s="130">
        <v>0</v>
      </c>
      <c r="R453" s="130">
        <v>1</v>
      </c>
      <c r="S453" s="130" t="b">
        <v>1</v>
      </c>
      <c r="T453" s="130">
        <v>52</v>
      </c>
      <c r="U453" s="118">
        <v>780</v>
      </c>
      <c r="V453" s="118">
        <v>1040</v>
      </c>
      <c r="W453" s="130">
        <v>0</v>
      </c>
      <c r="X453" s="130">
        <v>4</v>
      </c>
      <c r="Y453" s="130" t="s">
        <v>38</v>
      </c>
      <c r="Z453" s="130" t="s">
        <v>2212</v>
      </c>
      <c r="AA453" s="206" t="s">
        <v>2213</v>
      </c>
      <c r="AB453" s="130" t="s">
        <v>2214</v>
      </c>
      <c r="AC453" s="130">
        <v>300000</v>
      </c>
      <c r="AD453" s="197">
        <v>1</v>
      </c>
      <c r="AE453" s="197">
        <v>1</v>
      </c>
      <c r="AF453">
        <v>0</v>
      </c>
      <c r="AG453" s="416">
        <v>4</v>
      </c>
    </row>
    <row r="454" spans="1:33" ht="17.25" x14ac:dyDescent="0.3">
      <c r="A454" s="130">
        <v>106405</v>
      </c>
      <c r="B454" s="130" t="s">
        <v>2215</v>
      </c>
      <c r="C454" s="130" t="s">
        <v>2216</v>
      </c>
      <c r="D454" s="130" t="s">
        <v>33</v>
      </c>
      <c r="E454" s="130">
        <v>6</v>
      </c>
      <c r="F454" s="130" t="s">
        <v>727</v>
      </c>
      <c r="G454" s="130" t="s">
        <v>764</v>
      </c>
      <c r="H454" s="130" t="s">
        <v>112</v>
      </c>
      <c r="I454" s="130">
        <v>5</v>
      </c>
      <c r="J454" s="118">
        <v>5</v>
      </c>
      <c r="K454" s="130">
        <v>0</v>
      </c>
      <c r="L454" s="130">
        <v>3</v>
      </c>
      <c r="M454" s="130">
        <v>5</v>
      </c>
      <c r="N454" s="118" t="s">
        <v>71</v>
      </c>
      <c r="O454" s="130">
        <v>50</v>
      </c>
      <c r="P454" s="130">
        <v>0.7</v>
      </c>
      <c r="Q454" s="130">
        <v>0</v>
      </c>
      <c r="R454" s="130">
        <v>1</v>
      </c>
      <c r="S454" s="130" t="b">
        <v>1</v>
      </c>
      <c r="T454" s="130">
        <v>65</v>
      </c>
      <c r="U454" s="118">
        <v>975</v>
      </c>
      <c r="V454" s="118">
        <v>1300</v>
      </c>
      <c r="W454" s="130">
        <v>0</v>
      </c>
      <c r="X454" s="130">
        <v>5</v>
      </c>
      <c r="Y454" s="130" t="s">
        <v>38</v>
      </c>
      <c r="Z454" s="130" t="s">
        <v>2217</v>
      </c>
      <c r="AA454" s="206" t="s">
        <v>2218</v>
      </c>
      <c r="AB454" s="130" t="s">
        <v>2219</v>
      </c>
      <c r="AC454" s="130">
        <v>300000</v>
      </c>
      <c r="AD454" s="197">
        <v>1</v>
      </c>
      <c r="AE454" s="197">
        <v>1</v>
      </c>
      <c r="AF454">
        <v>0</v>
      </c>
      <c r="AG454" s="416">
        <v>5</v>
      </c>
    </row>
    <row r="455" spans="1:33" ht="17.25" x14ac:dyDescent="0.3">
      <c r="A455" s="130">
        <v>106406</v>
      </c>
      <c r="B455" s="130" t="s">
        <v>2220</v>
      </c>
      <c r="C455" s="130" t="s">
        <v>2221</v>
      </c>
      <c r="D455" s="130" t="s">
        <v>33</v>
      </c>
      <c r="E455" s="130">
        <v>6</v>
      </c>
      <c r="F455" s="130" t="s">
        <v>727</v>
      </c>
      <c r="G455" s="130" t="s">
        <v>779</v>
      </c>
      <c r="H455" s="130" t="s">
        <v>112</v>
      </c>
      <c r="I455" s="130">
        <v>5</v>
      </c>
      <c r="J455" s="118">
        <v>5</v>
      </c>
      <c r="K455" s="130">
        <v>0</v>
      </c>
      <c r="L455" s="130">
        <v>3</v>
      </c>
      <c r="M455" s="130">
        <v>5</v>
      </c>
      <c r="N455" s="118" t="s">
        <v>77</v>
      </c>
      <c r="O455" s="130">
        <v>50</v>
      </c>
      <c r="P455" s="130">
        <v>0.7</v>
      </c>
      <c r="Q455" s="130">
        <v>0</v>
      </c>
      <c r="R455" s="130">
        <v>1</v>
      </c>
      <c r="S455" s="130" t="b">
        <v>1</v>
      </c>
      <c r="T455" s="130">
        <v>78</v>
      </c>
      <c r="U455" s="118">
        <v>1170</v>
      </c>
      <c r="V455" s="118">
        <v>1560</v>
      </c>
      <c r="W455" s="130">
        <v>0</v>
      </c>
      <c r="X455" s="130">
        <v>6</v>
      </c>
      <c r="Y455" s="130" t="s">
        <v>38</v>
      </c>
      <c r="Z455" s="130" t="s">
        <v>2222</v>
      </c>
      <c r="AA455" s="206" t="s">
        <v>2223</v>
      </c>
      <c r="AB455" s="130" t="s">
        <v>2224</v>
      </c>
      <c r="AC455" s="130">
        <v>300000</v>
      </c>
      <c r="AD455" s="197">
        <v>1</v>
      </c>
      <c r="AE455" s="197">
        <v>1</v>
      </c>
      <c r="AF455">
        <v>0</v>
      </c>
      <c r="AG455" s="416">
        <v>6</v>
      </c>
    </row>
    <row r="456" spans="1:33" ht="17.25" x14ac:dyDescent="0.3">
      <c r="A456" s="130">
        <v>106407</v>
      </c>
      <c r="B456" s="130" t="s">
        <v>2225</v>
      </c>
      <c r="C456" s="130" t="s">
        <v>2226</v>
      </c>
      <c r="D456" s="130" t="s">
        <v>33</v>
      </c>
      <c r="E456" s="130">
        <v>6</v>
      </c>
      <c r="F456" s="130" t="s">
        <v>727</v>
      </c>
      <c r="G456" s="130" t="s">
        <v>2227</v>
      </c>
      <c r="H456" s="130" t="s">
        <v>112</v>
      </c>
      <c r="I456" s="130">
        <v>5</v>
      </c>
      <c r="J456" s="118">
        <v>5</v>
      </c>
      <c r="K456" s="130">
        <v>0</v>
      </c>
      <c r="L456" s="130">
        <v>3</v>
      </c>
      <c r="M456" s="130">
        <v>5</v>
      </c>
      <c r="N456" s="118" t="s">
        <v>83</v>
      </c>
      <c r="O456" s="130">
        <v>50</v>
      </c>
      <c r="P456" s="130">
        <v>0.7</v>
      </c>
      <c r="Q456" s="130">
        <v>0</v>
      </c>
      <c r="R456" s="130">
        <v>1</v>
      </c>
      <c r="S456" s="130" t="b">
        <v>1</v>
      </c>
      <c r="T456" s="130">
        <v>91</v>
      </c>
      <c r="U456" s="118">
        <v>1365</v>
      </c>
      <c r="V456" s="118">
        <v>1820</v>
      </c>
      <c r="W456" s="130">
        <v>0</v>
      </c>
      <c r="X456" s="130">
        <v>7</v>
      </c>
      <c r="Y456" s="130" t="s">
        <v>38</v>
      </c>
      <c r="Z456" s="130" t="s">
        <v>2228</v>
      </c>
      <c r="AA456" s="206" t="s">
        <v>2229</v>
      </c>
      <c r="AB456" s="130" t="s">
        <v>2230</v>
      </c>
      <c r="AC456" s="130">
        <v>300000</v>
      </c>
      <c r="AD456" s="197">
        <v>1</v>
      </c>
      <c r="AE456" s="197">
        <v>1</v>
      </c>
      <c r="AF456">
        <v>0</v>
      </c>
      <c r="AG456" s="416">
        <v>7</v>
      </c>
    </row>
    <row r="457" spans="1:33" ht="17.25" x14ac:dyDescent="0.3">
      <c r="A457" s="130">
        <v>300705</v>
      </c>
      <c r="B457" s="130" t="s">
        <v>2231</v>
      </c>
      <c r="C457" s="130" t="s">
        <v>2232</v>
      </c>
      <c r="D457" s="130" t="s">
        <v>1508</v>
      </c>
      <c r="E457" s="130">
        <v>0</v>
      </c>
      <c r="F457" s="130">
        <v>0</v>
      </c>
      <c r="G457" s="130"/>
      <c r="H457" s="130" t="s">
        <v>112</v>
      </c>
      <c r="I457" s="130">
        <v>5</v>
      </c>
      <c r="J457" s="118">
        <v>5</v>
      </c>
      <c r="K457" s="130">
        <v>0</v>
      </c>
      <c r="L457" s="130">
        <v>4</v>
      </c>
      <c r="M457" s="130">
        <v>5</v>
      </c>
      <c r="N457" s="118" t="s">
        <v>1533</v>
      </c>
      <c r="O457" s="130">
        <v>50</v>
      </c>
      <c r="P457" s="130">
        <v>0.5</v>
      </c>
      <c r="Q457" s="130">
        <v>0</v>
      </c>
      <c r="R457" s="130">
        <v>1</v>
      </c>
      <c r="S457" s="130" t="b">
        <v>1</v>
      </c>
      <c r="T457" s="130">
        <v>32</v>
      </c>
      <c r="U457" s="118">
        <v>480</v>
      </c>
      <c r="V457" s="118">
        <v>640</v>
      </c>
      <c r="W457" s="130">
        <v>0</v>
      </c>
      <c r="X457" s="130">
        <v>5</v>
      </c>
      <c r="Y457" s="130" t="s">
        <v>38</v>
      </c>
      <c r="Z457" s="130" t="s">
        <v>2233</v>
      </c>
      <c r="AA457" s="206" t="s">
        <v>2234</v>
      </c>
      <c r="AB457" s="130" t="s">
        <v>2235</v>
      </c>
      <c r="AC457" s="130">
        <v>100000</v>
      </c>
      <c r="AD457" s="197">
        <v>1</v>
      </c>
      <c r="AE457" s="197">
        <v>1</v>
      </c>
      <c r="AF457">
        <v>0</v>
      </c>
      <c r="AG457" s="416">
        <v>5</v>
      </c>
    </row>
    <row r="458" spans="1:33" ht="17.25" x14ac:dyDescent="0.3">
      <c r="A458" s="130">
        <v>400705</v>
      </c>
      <c r="B458" s="130" t="s">
        <v>2236</v>
      </c>
      <c r="C458" s="130" t="s">
        <v>2237</v>
      </c>
      <c r="D458" s="130" t="s">
        <v>1594</v>
      </c>
      <c r="E458" s="130">
        <v>0</v>
      </c>
      <c r="F458" s="130">
        <v>0</v>
      </c>
      <c r="G458" s="130"/>
      <c r="H458" s="130" t="s">
        <v>112</v>
      </c>
      <c r="I458" s="130">
        <v>5</v>
      </c>
      <c r="J458" s="118">
        <v>5</v>
      </c>
      <c r="K458" s="130">
        <v>0</v>
      </c>
      <c r="L458" s="130">
        <v>4</v>
      </c>
      <c r="M458" s="130">
        <v>5</v>
      </c>
      <c r="N458" s="118" t="s">
        <v>1533</v>
      </c>
      <c r="O458" s="130">
        <v>50</v>
      </c>
      <c r="P458" s="130">
        <v>0.5</v>
      </c>
      <c r="Q458" s="130">
        <v>0</v>
      </c>
      <c r="R458" s="130">
        <v>1</v>
      </c>
      <c r="S458" s="130" t="b">
        <v>1</v>
      </c>
      <c r="T458" s="130">
        <v>32</v>
      </c>
      <c r="U458" s="118">
        <v>480</v>
      </c>
      <c r="V458" s="118">
        <v>640</v>
      </c>
      <c r="W458" s="130">
        <v>0</v>
      </c>
      <c r="X458" s="130">
        <v>5</v>
      </c>
      <c r="Y458" s="130" t="s">
        <v>38</v>
      </c>
      <c r="Z458" s="130" t="s">
        <v>2233</v>
      </c>
      <c r="AA458" s="206" t="s">
        <v>2238</v>
      </c>
      <c r="AB458" s="130" t="s">
        <v>2239</v>
      </c>
      <c r="AC458" s="130">
        <v>100000</v>
      </c>
      <c r="AD458" s="197">
        <v>1</v>
      </c>
      <c r="AE458" s="197">
        <v>1</v>
      </c>
      <c r="AF458">
        <v>0</v>
      </c>
      <c r="AG458" s="416">
        <v>5</v>
      </c>
    </row>
    <row r="459" spans="1:33" ht="17.25" x14ac:dyDescent="0.3">
      <c r="A459" s="130">
        <v>500706</v>
      </c>
      <c r="B459" s="130" t="s">
        <v>2240</v>
      </c>
      <c r="C459" s="130" t="s">
        <v>2241</v>
      </c>
      <c r="D459" s="130" t="s">
        <v>1672</v>
      </c>
      <c r="E459" s="130">
        <v>0</v>
      </c>
      <c r="F459" s="130">
        <v>0</v>
      </c>
      <c r="G459" s="130"/>
      <c r="H459" s="130" t="s">
        <v>112</v>
      </c>
      <c r="I459" s="130">
        <v>5</v>
      </c>
      <c r="J459" s="118">
        <v>5</v>
      </c>
      <c r="K459" s="130">
        <v>0</v>
      </c>
      <c r="L459" s="130">
        <v>4</v>
      </c>
      <c r="M459" s="130">
        <v>5</v>
      </c>
      <c r="N459" s="118" t="s">
        <v>1539</v>
      </c>
      <c r="O459" s="130">
        <v>50</v>
      </c>
      <c r="P459" s="130">
        <v>0.5</v>
      </c>
      <c r="Q459" s="130">
        <v>0</v>
      </c>
      <c r="R459" s="130">
        <v>1</v>
      </c>
      <c r="S459" s="130" t="b">
        <v>1</v>
      </c>
      <c r="T459" s="130">
        <v>39</v>
      </c>
      <c r="U459" s="118">
        <v>585</v>
      </c>
      <c r="V459" s="118">
        <v>780</v>
      </c>
      <c r="W459" s="130">
        <v>0</v>
      </c>
      <c r="X459" s="130">
        <v>6</v>
      </c>
      <c r="Y459" s="130" t="s">
        <v>38</v>
      </c>
      <c r="Z459" s="130" t="s">
        <v>2233</v>
      </c>
      <c r="AA459" s="206" t="s">
        <v>2242</v>
      </c>
      <c r="AB459" s="130" t="s">
        <v>2243</v>
      </c>
      <c r="AC459" s="130">
        <v>100000</v>
      </c>
      <c r="AD459" s="197">
        <v>1</v>
      </c>
      <c r="AE459" s="197">
        <v>1</v>
      </c>
      <c r="AF459">
        <v>0</v>
      </c>
      <c r="AG459" s="416">
        <v>6</v>
      </c>
    </row>
    <row r="460" spans="1:33" ht="17.25" x14ac:dyDescent="0.3">
      <c r="A460" s="130">
        <v>200707</v>
      </c>
      <c r="B460" s="130" t="s">
        <v>2244</v>
      </c>
      <c r="C460" s="130" t="s">
        <v>2245</v>
      </c>
      <c r="D460" s="130" t="s">
        <v>1408</v>
      </c>
      <c r="E460" s="130">
        <v>0</v>
      </c>
      <c r="F460" s="130">
        <v>0</v>
      </c>
      <c r="G460" s="130"/>
      <c r="H460" s="130" t="s">
        <v>112</v>
      </c>
      <c r="I460" s="130">
        <v>5</v>
      </c>
      <c r="J460" s="118">
        <v>5</v>
      </c>
      <c r="K460" s="130">
        <v>0</v>
      </c>
      <c r="L460" s="130">
        <v>4</v>
      </c>
      <c r="M460" s="130">
        <v>5</v>
      </c>
      <c r="N460" s="118" t="s">
        <v>1448</v>
      </c>
      <c r="O460" s="130">
        <v>50</v>
      </c>
      <c r="P460" s="130">
        <v>0.5</v>
      </c>
      <c r="Q460" s="130">
        <v>0</v>
      </c>
      <c r="R460" s="130">
        <v>1</v>
      </c>
      <c r="S460" s="130" t="b">
        <v>1</v>
      </c>
      <c r="T460" s="130">
        <v>45</v>
      </c>
      <c r="U460" s="118">
        <v>675</v>
      </c>
      <c r="V460" s="118">
        <v>900</v>
      </c>
      <c r="W460" s="130">
        <v>0</v>
      </c>
      <c r="X460" s="130">
        <v>7</v>
      </c>
      <c r="Y460" s="130" t="s">
        <v>38</v>
      </c>
      <c r="Z460" s="130" t="s">
        <v>2233</v>
      </c>
      <c r="AA460" s="206" t="s">
        <v>2246</v>
      </c>
      <c r="AB460" s="130" t="s">
        <v>2247</v>
      </c>
      <c r="AC460" s="130">
        <v>100000</v>
      </c>
      <c r="AD460" s="197">
        <v>1</v>
      </c>
      <c r="AE460" s="197">
        <v>1</v>
      </c>
      <c r="AF460">
        <v>0</v>
      </c>
      <c r="AG460" s="416">
        <v>7</v>
      </c>
    </row>
    <row r="461" spans="1:33" ht="17.25" x14ac:dyDescent="0.3">
      <c r="A461" s="131">
        <v>200304</v>
      </c>
      <c r="B461" s="131" t="s">
        <v>2248</v>
      </c>
      <c r="C461" s="131" t="s">
        <v>2249</v>
      </c>
      <c r="D461" s="131" t="s">
        <v>1408</v>
      </c>
      <c r="E461" s="131">
        <v>0</v>
      </c>
      <c r="F461" s="131">
        <v>0</v>
      </c>
      <c r="G461" s="131"/>
      <c r="H461" s="131" t="s">
        <v>107</v>
      </c>
      <c r="I461" s="131">
        <v>4</v>
      </c>
      <c r="J461" s="118">
        <v>4</v>
      </c>
      <c r="K461" s="131">
        <v>0</v>
      </c>
      <c r="L461" s="131">
        <v>4</v>
      </c>
      <c r="M461" s="131">
        <v>4</v>
      </c>
      <c r="N461" s="118" t="s">
        <v>2250</v>
      </c>
      <c r="O461" s="131">
        <v>50</v>
      </c>
      <c r="P461" s="131">
        <v>0.5</v>
      </c>
      <c r="Q461" s="131">
        <v>0</v>
      </c>
      <c r="R461" s="131">
        <v>1</v>
      </c>
      <c r="S461" s="131" t="b">
        <v>1</v>
      </c>
      <c r="T461" s="131">
        <v>45</v>
      </c>
      <c r="U461" s="118">
        <v>675</v>
      </c>
      <c r="V461" s="118">
        <v>900</v>
      </c>
      <c r="W461" s="131">
        <v>0</v>
      </c>
      <c r="X461" s="131">
        <v>4</v>
      </c>
      <c r="Y461" s="131" t="s">
        <v>38</v>
      </c>
      <c r="Z461" s="131" t="s">
        <v>2251</v>
      </c>
      <c r="AA461" s="206" t="s">
        <v>2252</v>
      </c>
      <c r="AB461" s="131" t="s">
        <v>2131</v>
      </c>
      <c r="AC461" s="131">
        <v>100000</v>
      </c>
      <c r="AD461" s="197">
        <v>1</v>
      </c>
      <c r="AE461" s="197">
        <v>1</v>
      </c>
      <c r="AF461">
        <v>0</v>
      </c>
      <c r="AG461" s="450">
        <v>4</v>
      </c>
    </row>
    <row r="462" spans="1:33" ht="17.25" x14ac:dyDescent="0.3">
      <c r="A462" s="114">
        <v>114306</v>
      </c>
      <c r="B462" s="80" t="s">
        <v>2253</v>
      </c>
      <c r="C462" s="80" t="s">
        <v>2254</v>
      </c>
      <c r="D462" s="80" t="s">
        <v>33</v>
      </c>
      <c r="E462" s="80">
        <v>14</v>
      </c>
      <c r="F462" s="80" t="s">
        <v>1220</v>
      </c>
      <c r="G462" s="80" t="s">
        <v>1251</v>
      </c>
      <c r="H462" s="80" t="s">
        <v>51</v>
      </c>
      <c r="I462" s="80">
        <v>3</v>
      </c>
      <c r="J462" s="118">
        <v>3</v>
      </c>
      <c r="K462" s="119">
        <v>0</v>
      </c>
      <c r="L462" s="80">
        <v>3</v>
      </c>
      <c r="M462" s="80">
        <v>3</v>
      </c>
      <c r="N462" s="118" t="s">
        <v>77</v>
      </c>
      <c r="O462" s="80">
        <v>99</v>
      </c>
      <c r="P462" s="80">
        <v>0.9</v>
      </c>
      <c r="Q462" s="80">
        <v>0</v>
      </c>
      <c r="R462" s="80">
        <v>1</v>
      </c>
      <c r="S462" s="80" t="b">
        <v>1</v>
      </c>
      <c r="T462" s="80">
        <v>45</v>
      </c>
      <c r="U462" s="118">
        <v>675</v>
      </c>
      <c r="V462" s="118">
        <v>900</v>
      </c>
      <c r="W462" s="80">
        <v>0</v>
      </c>
      <c r="X462" s="80">
        <v>6</v>
      </c>
      <c r="Y462" s="80" t="s">
        <v>38</v>
      </c>
      <c r="Z462" s="80" t="s">
        <v>2255</v>
      </c>
      <c r="AA462" s="206" t="s">
        <v>2256</v>
      </c>
      <c r="AB462" s="80" t="s">
        <v>1260</v>
      </c>
      <c r="AC462" s="80">
        <v>100000</v>
      </c>
      <c r="AD462" s="197">
        <v>1</v>
      </c>
      <c r="AE462" s="197">
        <v>1</v>
      </c>
      <c r="AF462">
        <v>0</v>
      </c>
      <c r="AG462" s="432">
        <v>7</v>
      </c>
    </row>
    <row r="463" spans="1:33" ht="17.25" x14ac:dyDescent="0.3">
      <c r="A463" s="114">
        <v>114307</v>
      </c>
      <c r="B463" s="80" t="s">
        <v>2253</v>
      </c>
      <c r="C463" s="80" t="s">
        <v>2254</v>
      </c>
      <c r="D463" s="80" t="s">
        <v>33</v>
      </c>
      <c r="E463" s="80">
        <v>14</v>
      </c>
      <c r="F463" s="80" t="s">
        <v>1220</v>
      </c>
      <c r="G463" s="80" t="s">
        <v>1251</v>
      </c>
      <c r="H463" s="80" t="s">
        <v>51</v>
      </c>
      <c r="I463" s="80">
        <v>4</v>
      </c>
      <c r="J463" s="118">
        <v>4</v>
      </c>
      <c r="K463" s="119">
        <v>0</v>
      </c>
      <c r="L463" s="80">
        <v>3</v>
      </c>
      <c r="M463" s="80">
        <v>4</v>
      </c>
      <c r="N463" s="118" t="s">
        <v>83</v>
      </c>
      <c r="O463" s="80">
        <v>99</v>
      </c>
      <c r="P463" s="80">
        <v>0.9</v>
      </c>
      <c r="Q463" s="80">
        <v>0</v>
      </c>
      <c r="R463" s="80">
        <v>1</v>
      </c>
      <c r="S463" s="80" t="b">
        <v>1</v>
      </c>
      <c r="T463" s="80">
        <v>45</v>
      </c>
      <c r="U463" s="118">
        <v>675</v>
      </c>
      <c r="V463" s="118">
        <v>900</v>
      </c>
      <c r="W463" s="80">
        <v>0</v>
      </c>
      <c r="X463" s="118">
        <v>7</v>
      </c>
      <c r="Y463" s="80" t="s">
        <v>38</v>
      </c>
      <c r="Z463" s="80" t="s">
        <v>2255</v>
      </c>
      <c r="AA463" s="206" t="s">
        <v>2257</v>
      </c>
      <c r="AB463" s="80" t="s">
        <v>1260</v>
      </c>
      <c r="AC463" s="80">
        <v>100000</v>
      </c>
      <c r="AD463" s="197">
        <v>1</v>
      </c>
      <c r="AE463" s="197">
        <v>1</v>
      </c>
      <c r="AF463">
        <v>0</v>
      </c>
      <c r="AG463" s="432">
        <v>8</v>
      </c>
    </row>
    <row r="464" spans="1:33" ht="17.25" x14ac:dyDescent="0.3">
      <c r="A464" s="114">
        <v>114308</v>
      </c>
      <c r="B464" s="80" t="s">
        <v>2253</v>
      </c>
      <c r="C464" s="80" t="s">
        <v>2254</v>
      </c>
      <c r="D464" s="80" t="s">
        <v>33</v>
      </c>
      <c r="E464" s="80">
        <v>14</v>
      </c>
      <c r="F464" s="80" t="s">
        <v>1220</v>
      </c>
      <c r="G464" s="80" t="s">
        <v>1251</v>
      </c>
      <c r="H464" s="80" t="s">
        <v>51</v>
      </c>
      <c r="I464" s="80">
        <v>5</v>
      </c>
      <c r="J464" s="118">
        <v>5</v>
      </c>
      <c r="K464" s="119">
        <v>0</v>
      </c>
      <c r="L464" s="80">
        <v>3</v>
      </c>
      <c r="M464" s="80">
        <v>5</v>
      </c>
      <c r="N464" s="118" t="s">
        <v>89</v>
      </c>
      <c r="O464" s="80">
        <v>99</v>
      </c>
      <c r="P464" s="80">
        <v>0.9</v>
      </c>
      <c r="Q464" s="80">
        <v>0</v>
      </c>
      <c r="R464" s="80">
        <v>1</v>
      </c>
      <c r="S464" s="80" t="b">
        <v>1</v>
      </c>
      <c r="T464" s="80">
        <v>45</v>
      </c>
      <c r="U464" s="118">
        <v>675</v>
      </c>
      <c r="V464" s="118">
        <v>900</v>
      </c>
      <c r="W464" s="80">
        <v>0</v>
      </c>
      <c r="X464" s="118">
        <v>8</v>
      </c>
      <c r="Y464" s="80" t="s">
        <v>38</v>
      </c>
      <c r="Z464" s="80" t="s">
        <v>2255</v>
      </c>
      <c r="AA464" s="206" t="s">
        <v>2258</v>
      </c>
      <c r="AB464" s="80" t="s">
        <v>1260</v>
      </c>
      <c r="AC464" s="80">
        <v>100000</v>
      </c>
      <c r="AD464" s="197">
        <v>1</v>
      </c>
      <c r="AE464" s="197">
        <v>1</v>
      </c>
      <c r="AF464">
        <v>0</v>
      </c>
      <c r="AG464" s="432">
        <v>9</v>
      </c>
    </row>
    <row r="465" spans="1:33" ht="17.25" x14ac:dyDescent="0.3">
      <c r="A465" s="114">
        <v>114309</v>
      </c>
      <c r="B465" s="80" t="s">
        <v>2253</v>
      </c>
      <c r="C465" s="80" t="s">
        <v>2254</v>
      </c>
      <c r="D465" s="80" t="s">
        <v>33</v>
      </c>
      <c r="E465" s="80">
        <v>14</v>
      </c>
      <c r="F465" s="80" t="s">
        <v>1220</v>
      </c>
      <c r="G465" s="80" t="s">
        <v>1251</v>
      </c>
      <c r="H465" s="80" t="s">
        <v>51</v>
      </c>
      <c r="I465" s="80">
        <v>6</v>
      </c>
      <c r="J465" s="118">
        <v>6</v>
      </c>
      <c r="K465" s="119">
        <v>0</v>
      </c>
      <c r="L465" s="80">
        <v>3</v>
      </c>
      <c r="M465" s="80">
        <v>6</v>
      </c>
      <c r="N465" s="118" t="s">
        <v>89</v>
      </c>
      <c r="O465" s="80">
        <v>99</v>
      </c>
      <c r="P465" s="80">
        <v>0.9</v>
      </c>
      <c r="Q465" s="80">
        <v>0</v>
      </c>
      <c r="R465" s="80">
        <v>1</v>
      </c>
      <c r="S465" s="80" t="b">
        <v>1</v>
      </c>
      <c r="T465" s="80">
        <v>45</v>
      </c>
      <c r="U465" s="118">
        <v>675</v>
      </c>
      <c r="V465" s="118">
        <v>900</v>
      </c>
      <c r="W465" s="80">
        <v>0</v>
      </c>
      <c r="X465" s="118">
        <v>8</v>
      </c>
      <c r="Y465" s="80" t="s">
        <v>38</v>
      </c>
      <c r="Z465" s="80" t="s">
        <v>2255</v>
      </c>
      <c r="AA465" s="206" t="s">
        <v>2259</v>
      </c>
      <c r="AB465" s="80" t="s">
        <v>1260</v>
      </c>
      <c r="AC465" s="80">
        <v>100000</v>
      </c>
      <c r="AD465" s="197">
        <v>1</v>
      </c>
      <c r="AE465" s="197">
        <v>1</v>
      </c>
      <c r="AF465">
        <v>0</v>
      </c>
      <c r="AG465" s="432">
        <v>9</v>
      </c>
    </row>
    <row r="466" spans="1:33" ht="17.25" x14ac:dyDescent="0.3">
      <c r="A466" s="131">
        <v>200205</v>
      </c>
      <c r="B466" s="131" t="s">
        <v>2260</v>
      </c>
      <c r="C466" s="131" t="s">
        <v>2261</v>
      </c>
      <c r="D466" s="131" t="s">
        <v>1408</v>
      </c>
      <c r="E466" s="131">
        <v>0</v>
      </c>
      <c r="F466" s="131">
        <v>0</v>
      </c>
      <c r="G466" s="131"/>
      <c r="H466" s="131" t="s">
        <v>107</v>
      </c>
      <c r="I466" s="131">
        <v>6</v>
      </c>
      <c r="J466" s="118">
        <v>6</v>
      </c>
      <c r="K466" s="131">
        <v>0</v>
      </c>
      <c r="L466" s="131">
        <v>3</v>
      </c>
      <c r="M466" s="131">
        <v>6</v>
      </c>
      <c r="N466" s="118" t="s">
        <v>1436</v>
      </c>
      <c r="O466" s="131">
        <v>50</v>
      </c>
      <c r="P466" s="131">
        <v>0.5</v>
      </c>
      <c r="Q466" s="131">
        <v>0</v>
      </c>
      <c r="R466" s="131">
        <v>1</v>
      </c>
      <c r="S466" s="131" t="b">
        <v>1</v>
      </c>
      <c r="T466" s="131">
        <v>45</v>
      </c>
      <c r="U466" s="118">
        <v>675</v>
      </c>
      <c r="V466" s="118">
        <v>900</v>
      </c>
      <c r="W466" s="131">
        <v>0</v>
      </c>
      <c r="X466" s="131">
        <v>5</v>
      </c>
      <c r="Y466" s="131" t="s">
        <v>38</v>
      </c>
      <c r="Z466" s="131" t="s">
        <v>2262</v>
      </c>
      <c r="AA466" s="206" t="s">
        <v>2263</v>
      </c>
      <c r="AB466" s="131" t="s">
        <v>1439</v>
      </c>
      <c r="AC466" s="131">
        <v>100000</v>
      </c>
      <c r="AD466" s="197">
        <v>1</v>
      </c>
      <c r="AE466" s="197">
        <v>1</v>
      </c>
      <c r="AF466">
        <v>0</v>
      </c>
      <c r="AG466" s="450">
        <v>5</v>
      </c>
    </row>
    <row r="467" spans="1:33" ht="17.25" x14ac:dyDescent="0.3">
      <c r="A467" s="445">
        <v>102403</v>
      </c>
      <c r="B467" s="446" t="s">
        <v>2264</v>
      </c>
      <c r="C467" s="446" t="s">
        <v>2265</v>
      </c>
      <c r="D467" s="447" t="s">
        <v>33</v>
      </c>
      <c r="E467" s="447">
        <v>2</v>
      </c>
      <c r="F467" s="446" t="s">
        <v>134</v>
      </c>
      <c r="G467" s="447" t="s">
        <v>135</v>
      </c>
      <c r="H467" s="447" t="s">
        <v>295</v>
      </c>
      <c r="I467" s="447">
        <v>7</v>
      </c>
      <c r="J467" s="118">
        <v>7</v>
      </c>
      <c r="K467" s="447">
        <v>0</v>
      </c>
      <c r="L467" s="447">
        <v>3</v>
      </c>
      <c r="M467" s="447">
        <v>7</v>
      </c>
      <c r="N467" s="118" t="s">
        <v>57</v>
      </c>
      <c r="O467" s="446">
        <v>1</v>
      </c>
      <c r="P467" s="447">
        <v>0.7</v>
      </c>
      <c r="Q467" s="447">
        <v>0</v>
      </c>
      <c r="R467" s="447">
        <v>1</v>
      </c>
      <c r="S467" s="447" t="b">
        <v>1</v>
      </c>
      <c r="T467" s="447">
        <v>39</v>
      </c>
      <c r="U467" s="118">
        <v>585</v>
      </c>
      <c r="V467" s="118">
        <v>780</v>
      </c>
      <c r="W467" s="447">
        <v>0</v>
      </c>
      <c r="X467" s="447">
        <v>3</v>
      </c>
      <c r="Y467" s="447" t="s">
        <v>38</v>
      </c>
      <c r="Z467" s="446" t="s">
        <v>2266</v>
      </c>
      <c r="AA467" s="206" t="s">
        <v>2267</v>
      </c>
      <c r="AB467" s="446" t="s">
        <v>143</v>
      </c>
      <c r="AC467" s="447">
        <v>100000</v>
      </c>
      <c r="AD467" s="448">
        <v>1</v>
      </c>
      <c r="AE467" s="448">
        <v>1</v>
      </c>
      <c r="AF467">
        <v>102403</v>
      </c>
      <c r="AG467" s="451">
        <v>3</v>
      </c>
    </row>
    <row r="468" spans="1:33" ht="17.25" x14ac:dyDescent="0.3">
      <c r="A468" s="132">
        <v>102503</v>
      </c>
      <c r="B468" s="136" t="s">
        <v>2268</v>
      </c>
      <c r="C468" s="136" t="s">
        <v>2269</v>
      </c>
      <c r="D468" s="138" t="s">
        <v>33</v>
      </c>
      <c r="E468" s="138">
        <v>2</v>
      </c>
      <c r="F468" s="136" t="s">
        <v>134</v>
      </c>
      <c r="G468" s="138" t="s">
        <v>179</v>
      </c>
      <c r="H468" s="138" t="s">
        <v>295</v>
      </c>
      <c r="I468" s="138">
        <v>6</v>
      </c>
      <c r="J468" s="118">
        <v>6</v>
      </c>
      <c r="K468" s="138">
        <v>0</v>
      </c>
      <c r="L468" s="138">
        <v>3</v>
      </c>
      <c r="M468" s="138">
        <v>6</v>
      </c>
      <c r="N468" s="118" t="s">
        <v>57</v>
      </c>
      <c r="O468" s="136">
        <v>1</v>
      </c>
      <c r="P468" s="447">
        <v>0.8</v>
      </c>
      <c r="Q468" s="138">
        <v>0</v>
      </c>
      <c r="R468" s="138">
        <v>1</v>
      </c>
      <c r="S468" s="138" t="b">
        <v>1</v>
      </c>
      <c r="T468" s="138">
        <v>39</v>
      </c>
      <c r="U468" s="118">
        <v>585</v>
      </c>
      <c r="V468" s="118">
        <v>780</v>
      </c>
      <c r="W468" s="138">
        <v>0</v>
      </c>
      <c r="X468" s="138">
        <v>3</v>
      </c>
      <c r="Y468" s="138" t="s">
        <v>38</v>
      </c>
      <c r="Z468" s="136" t="s">
        <v>2270</v>
      </c>
      <c r="AA468" s="206" t="s">
        <v>2271</v>
      </c>
      <c r="AB468" s="136" t="s">
        <v>149</v>
      </c>
      <c r="AC468" s="138">
        <v>100000</v>
      </c>
      <c r="AD468" s="449">
        <v>1</v>
      </c>
      <c r="AE468" s="449">
        <v>1</v>
      </c>
      <c r="AF468">
        <v>102503</v>
      </c>
      <c r="AG468" s="452">
        <v>3</v>
      </c>
    </row>
    <row r="469" spans="1:33" ht="17.25" x14ac:dyDescent="0.3">
      <c r="A469" s="132">
        <v>102804</v>
      </c>
      <c r="B469" s="136" t="s">
        <v>2272</v>
      </c>
      <c r="C469" s="136" t="s">
        <v>2273</v>
      </c>
      <c r="D469" s="138" t="s">
        <v>33</v>
      </c>
      <c r="E469" s="138">
        <v>2</v>
      </c>
      <c r="F469" s="136" t="s">
        <v>134</v>
      </c>
      <c r="G469" s="138" t="s">
        <v>179</v>
      </c>
      <c r="H469" s="138" t="s">
        <v>295</v>
      </c>
      <c r="I469" s="138">
        <v>5</v>
      </c>
      <c r="J469" s="118">
        <v>5</v>
      </c>
      <c r="K469" s="138">
        <v>0</v>
      </c>
      <c r="L469" s="138">
        <v>3</v>
      </c>
      <c r="M469" s="138">
        <v>5</v>
      </c>
      <c r="N469" s="118" t="s">
        <v>64</v>
      </c>
      <c r="O469" s="136">
        <v>99</v>
      </c>
      <c r="P469" s="447">
        <v>0.8</v>
      </c>
      <c r="Q469" s="138">
        <v>0</v>
      </c>
      <c r="R469" s="138">
        <v>1</v>
      </c>
      <c r="S469" s="138" t="b">
        <v>1</v>
      </c>
      <c r="T469" s="138">
        <v>52</v>
      </c>
      <c r="U469" s="118">
        <v>780</v>
      </c>
      <c r="V469" s="118">
        <v>1040</v>
      </c>
      <c r="W469" s="138">
        <v>0</v>
      </c>
      <c r="X469" s="138">
        <v>4</v>
      </c>
      <c r="Y469" s="138" t="s">
        <v>38</v>
      </c>
      <c r="Z469" s="136" t="s">
        <v>2274</v>
      </c>
      <c r="AA469" s="206" t="s">
        <v>2275</v>
      </c>
      <c r="AB469" s="136" t="s">
        <v>158</v>
      </c>
      <c r="AC469" s="138">
        <v>100000</v>
      </c>
      <c r="AD469" s="449">
        <v>1</v>
      </c>
      <c r="AE469" s="449">
        <v>1</v>
      </c>
      <c r="AF469">
        <v>102804</v>
      </c>
      <c r="AG469" s="452">
        <v>4</v>
      </c>
    </row>
    <row r="470" spans="1:33" ht="17.25" x14ac:dyDescent="0.3">
      <c r="A470" s="132">
        <v>102705</v>
      </c>
      <c r="B470" s="136" t="s">
        <v>2276</v>
      </c>
      <c r="C470" s="136" t="s">
        <v>2277</v>
      </c>
      <c r="D470" s="138" t="s">
        <v>33</v>
      </c>
      <c r="E470" s="138">
        <v>2</v>
      </c>
      <c r="F470" s="136" t="s">
        <v>134</v>
      </c>
      <c r="G470" s="138" t="s">
        <v>242</v>
      </c>
      <c r="H470" s="138" t="s">
        <v>295</v>
      </c>
      <c r="I470" s="138">
        <v>6</v>
      </c>
      <c r="J470" s="118">
        <v>6</v>
      </c>
      <c r="K470" s="138">
        <v>0</v>
      </c>
      <c r="L470" s="138">
        <v>3</v>
      </c>
      <c r="M470" s="138">
        <v>6</v>
      </c>
      <c r="N470" s="118" t="s">
        <v>71</v>
      </c>
      <c r="O470" s="136">
        <v>99</v>
      </c>
      <c r="P470" s="447">
        <v>0.8</v>
      </c>
      <c r="Q470" s="138">
        <v>0</v>
      </c>
      <c r="R470" s="138">
        <v>1</v>
      </c>
      <c r="S470" s="138" t="b">
        <v>1</v>
      </c>
      <c r="T470" s="138">
        <v>65</v>
      </c>
      <c r="U470" s="118">
        <v>975</v>
      </c>
      <c r="V470" s="118">
        <v>1300</v>
      </c>
      <c r="W470" s="138">
        <v>0</v>
      </c>
      <c r="X470" s="138">
        <v>5</v>
      </c>
      <c r="Y470" s="138" t="s">
        <v>38</v>
      </c>
      <c r="Z470" s="136" t="s">
        <v>2278</v>
      </c>
      <c r="AA470" s="206" t="s">
        <v>2279</v>
      </c>
      <c r="AB470" s="136" t="s">
        <v>284</v>
      </c>
      <c r="AC470" s="138">
        <v>100000</v>
      </c>
      <c r="AD470" s="449">
        <v>1</v>
      </c>
      <c r="AE470" s="449">
        <v>1</v>
      </c>
      <c r="AF470">
        <v>102705</v>
      </c>
      <c r="AG470" s="452">
        <v>5</v>
      </c>
    </row>
    <row r="471" spans="1:33" ht="17.25" x14ac:dyDescent="0.3">
      <c r="A471" s="132">
        <v>102805</v>
      </c>
      <c r="B471" s="136" t="s">
        <v>2280</v>
      </c>
      <c r="C471" s="136" t="s">
        <v>2281</v>
      </c>
      <c r="D471" s="138" t="s">
        <v>33</v>
      </c>
      <c r="E471" s="138">
        <v>2</v>
      </c>
      <c r="F471" s="136" t="s">
        <v>134</v>
      </c>
      <c r="G471" s="138" t="s">
        <v>179</v>
      </c>
      <c r="H471" s="138" t="s">
        <v>295</v>
      </c>
      <c r="I471" s="138">
        <v>6</v>
      </c>
      <c r="J471" s="118">
        <v>6</v>
      </c>
      <c r="K471" s="138">
        <v>0</v>
      </c>
      <c r="L471" s="138">
        <v>3</v>
      </c>
      <c r="M471" s="138">
        <v>6</v>
      </c>
      <c r="N471" s="118" t="s">
        <v>71</v>
      </c>
      <c r="O471" s="136">
        <v>99</v>
      </c>
      <c r="P471" s="447">
        <v>0.8</v>
      </c>
      <c r="Q471" s="138">
        <v>0</v>
      </c>
      <c r="R471" s="138">
        <v>1</v>
      </c>
      <c r="S471" s="138" t="b">
        <v>1</v>
      </c>
      <c r="T471" s="138">
        <v>65</v>
      </c>
      <c r="U471" s="118">
        <v>975</v>
      </c>
      <c r="V471" s="118">
        <v>1300</v>
      </c>
      <c r="W471" s="138">
        <v>0</v>
      </c>
      <c r="X471" s="138">
        <v>5</v>
      </c>
      <c r="Y471" s="138" t="s">
        <v>38</v>
      </c>
      <c r="Z471" s="136" t="s">
        <v>2282</v>
      </c>
      <c r="AA471" s="206" t="s">
        <v>2283</v>
      </c>
      <c r="AB471" s="136" t="s">
        <v>170</v>
      </c>
      <c r="AC471" s="138">
        <v>100000</v>
      </c>
      <c r="AD471" s="449">
        <v>1</v>
      </c>
      <c r="AE471" s="449">
        <v>1</v>
      </c>
      <c r="AF471">
        <v>102805</v>
      </c>
      <c r="AG471" s="452">
        <v>5</v>
      </c>
    </row>
    <row r="472" spans="1:33" ht="17.25" x14ac:dyDescent="0.3">
      <c r="A472" s="132">
        <v>102506</v>
      </c>
      <c r="B472" s="136" t="s">
        <v>2284</v>
      </c>
      <c r="C472" s="136" t="s">
        <v>2285</v>
      </c>
      <c r="D472" s="138" t="s">
        <v>33</v>
      </c>
      <c r="E472" s="138">
        <v>2</v>
      </c>
      <c r="F472" s="136" t="s">
        <v>134</v>
      </c>
      <c r="G472" s="138" t="s">
        <v>248</v>
      </c>
      <c r="H472" s="138" t="s">
        <v>295</v>
      </c>
      <c r="I472" s="138">
        <v>6</v>
      </c>
      <c r="J472" s="118">
        <v>6</v>
      </c>
      <c r="K472" s="138">
        <v>0</v>
      </c>
      <c r="L472" s="138">
        <v>3</v>
      </c>
      <c r="M472" s="138">
        <v>6</v>
      </c>
      <c r="N472" s="118" t="s">
        <v>77</v>
      </c>
      <c r="O472" s="136">
        <v>99</v>
      </c>
      <c r="P472" s="447">
        <v>0.8</v>
      </c>
      <c r="Q472" s="138">
        <v>0</v>
      </c>
      <c r="R472" s="138">
        <v>1</v>
      </c>
      <c r="S472" s="138" t="b">
        <v>1</v>
      </c>
      <c r="T472" s="138">
        <v>78</v>
      </c>
      <c r="U472" s="118">
        <v>1170</v>
      </c>
      <c r="V472" s="118">
        <v>1560</v>
      </c>
      <c r="W472" s="138">
        <v>0</v>
      </c>
      <c r="X472" s="138">
        <v>6</v>
      </c>
      <c r="Y472" s="138" t="s">
        <v>38</v>
      </c>
      <c r="Z472" s="136" t="s">
        <v>2286</v>
      </c>
      <c r="AA472" s="206" t="s">
        <v>2287</v>
      </c>
      <c r="AB472" s="136" t="s">
        <v>2027</v>
      </c>
      <c r="AC472" s="138">
        <v>100000</v>
      </c>
      <c r="AD472" s="449">
        <v>1</v>
      </c>
      <c r="AE472" s="449">
        <v>1</v>
      </c>
      <c r="AF472">
        <v>102506</v>
      </c>
      <c r="AG472" s="452">
        <v>6</v>
      </c>
    </row>
    <row r="473" spans="1:33" ht="17.25" x14ac:dyDescent="0.3">
      <c r="A473" s="132">
        <v>102606</v>
      </c>
      <c r="B473" s="136" t="s">
        <v>2288</v>
      </c>
      <c r="C473" s="136" t="s">
        <v>2289</v>
      </c>
      <c r="D473" s="138" t="s">
        <v>33</v>
      </c>
      <c r="E473" s="138">
        <v>2</v>
      </c>
      <c r="F473" s="136" t="s">
        <v>134</v>
      </c>
      <c r="G473" s="138" t="s">
        <v>179</v>
      </c>
      <c r="H473" s="138" t="s">
        <v>295</v>
      </c>
      <c r="I473" s="138">
        <v>5</v>
      </c>
      <c r="J473" s="118">
        <v>5</v>
      </c>
      <c r="K473" s="138">
        <v>0</v>
      </c>
      <c r="L473" s="138">
        <v>3</v>
      </c>
      <c r="M473" s="138">
        <v>5</v>
      </c>
      <c r="N473" s="118" t="s">
        <v>77</v>
      </c>
      <c r="O473" s="136">
        <v>99</v>
      </c>
      <c r="P473" s="447">
        <v>0.8</v>
      </c>
      <c r="Q473" s="138">
        <v>0</v>
      </c>
      <c r="R473" s="138">
        <v>1</v>
      </c>
      <c r="S473" s="138" t="b">
        <v>1</v>
      </c>
      <c r="T473" s="138">
        <v>78</v>
      </c>
      <c r="U473" s="118">
        <v>1170</v>
      </c>
      <c r="V473" s="118">
        <v>1560</v>
      </c>
      <c r="W473" s="138">
        <v>0</v>
      </c>
      <c r="X473" s="138">
        <v>6</v>
      </c>
      <c r="Y473" s="138" t="s">
        <v>38</v>
      </c>
      <c r="Z473" s="136" t="s">
        <v>2290</v>
      </c>
      <c r="AA473" s="206" t="s">
        <v>2291</v>
      </c>
      <c r="AB473" s="136" t="s">
        <v>176</v>
      </c>
      <c r="AC473" s="138">
        <v>100000</v>
      </c>
      <c r="AD473" s="449">
        <v>1</v>
      </c>
      <c r="AE473" s="449">
        <v>1</v>
      </c>
      <c r="AF473">
        <v>102606</v>
      </c>
      <c r="AG473" s="452">
        <v>6</v>
      </c>
    </row>
    <row r="474" spans="1:33" ht="17.25" x14ac:dyDescent="0.3">
      <c r="A474" s="132">
        <v>102707</v>
      </c>
      <c r="B474" s="136" t="s">
        <v>2292</v>
      </c>
      <c r="C474" s="136" t="s">
        <v>2293</v>
      </c>
      <c r="D474" s="138" t="s">
        <v>33</v>
      </c>
      <c r="E474" s="138">
        <v>2</v>
      </c>
      <c r="F474" s="136" t="s">
        <v>134</v>
      </c>
      <c r="G474" s="138" t="s">
        <v>135</v>
      </c>
      <c r="H474" s="138" t="s">
        <v>295</v>
      </c>
      <c r="I474" s="138">
        <v>7</v>
      </c>
      <c r="J474" s="118">
        <v>7</v>
      </c>
      <c r="K474" s="138">
        <v>0</v>
      </c>
      <c r="L474" s="138">
        <v>3</v>
      </c>
      <c r="M474" s="138">
        <v>7</v>
      </c>
      <c r="N474" s="118" t="s">
        <v>83</v>
      </c>
      <c r="O474" s="136">
        <v>1</v>
      </c>
      <c r="P474" s="447">
        <v>0.8</v>
      </c>
      <c r="Q474" s="138">
        <v>0</v>
      </c>
      <c r="R474" s="138">
        <v>1</v>
      </c>
      <c r="S474" s="138" t="b">
        <v>1</v>
      </c>
      <c r="T474" s="138">
        <v>91</v>
      </c>
      <c r="U474" s="118">
        <v>1365</v>
      </c>
      <c r="V474" s="118">
        <v>1820</v>
      </c>
      <c r="W474" s="138">
        <v>0</v>
      </c>
      <c r="X474" s="138">
        <v>7</v>
      </c>
      <c r="Y474" s="138" t="s">
        <v>38</v>
      </c>
      <c r="Z474" s="136" t="s">
        <v>2294</v>
      </c>
      <c r="AA474" s="206" t="s">
        <v>2295</v>
      </c>
      <c r="AB474" s="136" t="s">
        <v>143</v>
      </c>
      <c r="AC474" s="138">
        <v>100000</v>
      </c>
      <c r="AD474" s="449">
        <v>1</v>
      </c>
      <c r="AE474" s="449">
        <v>1</v>
      </c>
      <c r="AF474">
        <v>102707</v>
      </c>
      <c r="AG474" s="452">
        <v>7</v>
      </c>
    </row>
    <row r="475" spans="1:33" ht="17.25" x14ac:dyDescent="0.3">
      <c r="A475" s="132">
        <v>101303</v>
      </c>
      <c r="B475" s="136" t="s">
        <v>2296</v>
      </c>
      <c r="C475" s="136" t="s">
        <v>2297</v>
      </c>
      <c r="D475" s="138" t="s">
        <v>33</v>
      </c>
      <c r="E475" s="138">
        <v>1</v>
      </c>
      <c r="F475" s="136" t="s">
        <v>34</v>
      </c>
      <c r="G475" s="138"/>
      <c r="H475" s="138" t="s">
        <v>295</v>
      </c>
      <c r="I475" s="138">
        <v>4</v>
      </c>
      <c r="J475" s="118">
        <v>4</v>
      </c>
      <c r="K475" s="138">
        <v>0</v>
      </c>
      <c r="L475" s="138">
        <v>3</v>
      </c>
      <c r="M475" s="138">
        <v>4</v>
      </c>
      <c r="N475" s="118" t="s">
        <v>57</v>
      </c>
      <c r="O475" s="136">
        <v>1</v>
      </c>
      <c r="P475" s="447">
        <v>0.7</v>
      </c>
      <c r="Q475" s="138">
        <v>0</v>
      </c>
      <c r="R475" s="138">
        <v>1</v>
      </c>
      <c r="S475" s="138" t="b">
        <v>1</v>
      </c>
      <c r="T475" s="138">
        <v>39</v>
      </c>
      <c r="U475" s="118">
        <v>585</v>
      </c>
      <c r="V475" s="118">
        <v>780</v>
      </c>
      <c r="W475" s="138">
        <v>0</v>
      </c>
      <c r="X475" s="138">
        <v>3</v>
      </c>
      <c r="Y475" s="138" t="s">
        <v>38</v>
      </c>
      <c r="Z475" s="136" t="s">
        <v>2298</v>
      </c>
      <c r="AA475" s="206" t="s">
        <v>2299</v>
      </c>
      <c r="AB475" s="136" t="s">
        <v>41</v>
      </c>
      <c r="AC475" s="138">
        <v>100000</v>
      </c>
      <c r="AD475" s="449">
        <v>1</v>
      </c>
      <c r="AE475" s="449">
        <v>1</v>
      </c>
      <c r="AF475">
        <v>101303</v>
      </c>
      <c r="AG475" s="452">
        <v>3</v>
      </c>
    </row>
    <row r="476" spans="1:33" ht="17.25" x14ac:dyDescent="0.3">
      <c r="A476" s="132">
        <v>101403</v>
      </c>
      <c r="B476" s="136" t="s">
        <v>2300</v>
      </c>
      <c r="C476" s="136" t="s">
        <v>2301</v>
      </c>
      <c r="D476" s="138" t="s">
        <v>33</v>
      </c>
      <c r="E476" s="138">
        <v>1</v>
      </c>
      <c r="F476" s="136" t="s">
        <v>34</v>
      </c>
      <c r="G476" s="138"/>
      <c r="H476" s="138" t="s">
        <v>295</v>
      </c>
      <c r="I476" s="138">
        <v>4</v>
      </c>
      <c r="J476" s="118">
        <v>4</v>
      </c>
      <c r="K476" s="138">
        <v>0</v>
      </c>
      <c r="L476" s="138">
        <v>3</v>
      </c>
      <c r="M476" s="138">
        <v>4</v>
      </c>
      <c r="N476" s="118" t="s">
        <v>57</v>
      </c>
      <c r="O476" s="136">
        <v>1</v>
      </c>
      <c r="P476" s="447">
        <v>0.8</v>
      </c>
      <c r="Q476" s="138">
        <v>0</v>
      </c>
      <c r="R476" s="138">
        <v>1</v>
      </c>
      <c r="S476" s="138" t="b">
        <v>1</v>
      </c>
      <c r="T476" s="138">
        <v>39</v>
      </c>
      <c r="U476" s="118">
        <v>585</v>
      </c>
      <c r="V476" s="118">
        <v>780</v>
      </c>
      <c r="W476" s="138">
        <v>0</v>
      </c>
      <c r="X476" s="138">
        <v>3</v>
      </c>
      <c r="Y476" s="138" t="s">
        <v>38</v>
      </c>
      <c r="Z476" s="136" t="s">
        <v>2302</v>
      </c>
      <c r="AA476" s="206" t="s">
        <v>2303</v>
      </c>
      <c r="AB476" s="136" t="s">
        <v>67</v>
      </c>
      <c r="AC476" s="138">
        <v>100000</v>
      </c>
      <c r="AD476" s="449">
        <v>1</v>
      </c>
      <c r="AE476" s="449">
        <v>1</v>
      </c>
      <c r="AF476">
        <v>0</v>
      </c>
      <c r="AG476" s="452">
        <v>3</v>
      </c>
    </row>
    <row r="477" spans="1:33" ht="17.25" x14ac:dyDescent="0.3">
      <c r="A477" s="132">
        <v>101503</v>
      </c>
      <c r="B477" s="136" t="s">
        <v>2304</v>
      </c>
      <c r="C477" s="136" t="s">
        <v>2305</v>
      </c>
      <c r="D477" s="138" t="s">
        <v>33</v>
      </c>
      <c r="E477" s="138">
        <v>1</v>
      </c>
      <c r="F477" s="136" t="s">
        <v>34</v>
      </c>
      <c r="G477" s="138"/>
      <c r="H477" s="138" t="s">
        <v>295</v>
      </c>
      <c r="I477" s="138">
        <v>5</v>
      </c>
      <c r="J477" s="118">
        <v>5</v>
      </c>
      <c r="K477" s="138">
        <v>0</v>
      </c>
      <c r="L477" s="138">
        <v>3</v>
      </c>
      <c r="M477" s="138">
        <v>5</v>
      </c>
      <c r="N477" s="118" t="s">
        <v>57</v>
      </c>
      <c r="O477" s="136">
        <v>99</v>
      </c>
      <c r="P477" s="447">
        <v>0.9</v>
      </c>
      <c r="Q477" s="138">
        <v>0</v>
      </c>
      <c r="R477" s="138">
        <v>1</v>
      </c>
      <c r="S477" s="138" t="b">
        <v>1</v>
      </c>
      <c r="T477" s="138">
        <v>39</v>
      </c>
      <c r="U477" s="118">
        <v>585</v>
      </c>
      <c r="V477" s="118">
        <v>780</v>
      </c>
      <c r="W477" s="138">
        <v>0</v>
      </c>
      <c r="X477" s="138">
        <v>3</v>
      </c>
      <c r="Y477" s="138" t="s">
        <v>38</v>
      </c>
      <c r="Z477" s="136" t="s">
        <v>2306</v>
      </c>
      <c r="AA477" s="206" t="s">
        <v>2307</v>
      </c>
      <c r="AB477" s="136" t="s">
        <v>60</v>
      </c>
      <c r="AC477" s="138">
        <v>100000</v>
      </c>
      <c r="AD477" s="449">
        <v>1</v>
      </c>
      <c r="AE477" s="449">
        <v>1</v>
      </c>
      <c r="AF477">
        <v>101503</v>
      </c>
      <c r="AG477" s="452">
        <v>3</v>
      </c>
    </row>
    <row r="478" spans="1:33" ht="17.25" x14ac:dyDescent="0.3">
      <c r="A478" s="132">
        <v>101304</v>
      </c>
      <c r="B478" s="136" t="s">
        <v>2308</v>
      </c>
      <c r="C478" s="136" t="s">
        <v>2309</v>
      </c>
      <c r="D478" s="138" t="s">
        <v>33</v>
      </c>
      <c r="E478" s="138">
        <v>1</v>
      </c>
      <c r="F478" s="136" t="s">
        <v>34</v>
      </c>
      <c r="G478" s="138"/>
      <c r="H478" s="138" t="s">
        <v>295</v>
      </c>
      <c r="I478" s="138">
        <v>5</v>
      </c>
      <c r="J478" s="118">
        <v>5</v>
      </c>
      <c r="K478" s="138">
        <v>0</v>
      </c>
      <c r="L478" s="138">
        <v>3</v>
      </c>
      <c r="M478" s="138">
        <v>5</v>
      </c>
      <c r="N478" s="118" t="s">
        <v>64</v>
      </c>
      <c r="O478" s="136">
        <v>1</v>
      </c>
      <c r="P478" s="447">
        <v>0.8</v>
      </c>
      <c r="Q478" s="138">
        <v>0</v>
      </c>
      <c r="R478" s="138">
        <v>1</v>
      </c>
      <c r="S478" s="138" t="b">
        <v>1</v>
      </c>
      <c r="T478" s="138">
        <v>52</v>
      </c>
      <c r="U478" s="118">
        <v>780</v>
      </c>
      <c r="V478" s="118">
        <v>1040</v>
      </c>
      <c r="W478" s="138">
        <v>0</v>
      </c>
      <c r="X478" s="138">
        <v>4</v>
      </c>
      <c r="Y478" s="138" t="s">
        <v>38</v>
      </c>
      <c r="Z478" s="136" t="s">
        <v>2310</v>
      </c>
      <c r="AA478" s="206" t="s">
        <v>2311</v>
      </c>
      <c r="AB478" s="136" t="s">
        <v>67</v>
      </c>
      <c r="AC478" s="138">
        <v>100000</v>
      </c>
      <c r="AD478" s="449">
        <v>1</v>
      </c>
      <c r="AE478" s="449">
        <v>1</v>
      </c>
      <c r="AF478">
        <v>101304</v>
      </c>
      <c r="AG478" s="452">
        <v>4</v>
      </c>
    </row>
    <row r="479" spans="1:33" ht="17.25" x14ac:dyDescent="0.3">
      <c r="A479" s="132">
        <v>101404</v>
      </c>
      <c r="B479" s="136" t="s">
        <v>2312</v>
      </c>
      <c r="C479" s="136" t="s">
        <v>2313</v>
      </c>
      <c r="D479" s="138" t="s">
        <v>33</v>
      </c>
      <c r="E479" s="138">
        <v>1</v>
      </c>
      <c r="F479" s="136" t="s">
        <v>34</v>
      </c>
      <c r="G479" s="138"/>
      <c r="H479" s="138" t="s">
        <v>295</v>
      </c>
      <c r="I479" s="138">
        <v>4</v>
      </c>
      <c r="J479" s="118">
        <v>4</v>
      </c>
      <c r="K479" s="138">
        <v>0</v>
      </c>
      <c r="L479" s="138">
        <v>3</v>
      </c>
      <c r="M479" s="138">
        <v>4</v>
      </c>
      <c r="N479" s="118" t="s">
        <v>64</v>
      </c>
      <c r="O479" s="136">
        <v>99</v>
      </c>
      <c r="P479" s="447">
        <v>0.9</v>
      </c>
      <c r="Q479" s="138">
        <v>0</v>
      </c>
      <c r="R479" s="138">
        <v>1</v>
      </c>
      <c r="S479" s="138" t="b">
        <v>1</v>
      </c>
      <c r="T479" s="138">
        <v>52</v>
      </c>
      <c r="U479" s="118">
        <v>780</v>
      </c>
      <c r="V479" s="118">
        <v>1040</v>
      </c>
      <c r="W479" s="138">
        <v>0</v>
      </c>
      <c r="X479" s="138">
        <v>4</v>
      </c>
      <c r="Y479" s="138" t="s">
        <v>38</v>
      </c>
      <c r="Z479" s="136" t="s">
        <v>2314</v>
      </c>
      <c r="AA479" s="206" t="s">
        <v>2315</v>
      </c>
      <c r="AB479" s="136" t="s">
        <v>74</v>
      </c>
      <c r="AC479" s="138">
        <v>100000</v>
      </c>
      <c r="AD479" s="449">
        <v>1</v>
      </c>
      <c r="AE479" s="449">
        <v>1</v>
      </c>
      <c r="AF479">
        <v>0</v>
      </c>
      <c r="AG479" s="452">
        <v>4</v>
      </c>
    </row>
    <row r="480" spans="1:33" ht="17.25" x14ac:dyDescent="0.3">
      <c r="A480" s="132">
        <v>101305</v>
      </c>
      <c r="B480" s="136" t="s">
        <v>2316</v>
      </c>
      <c r="C480" s="136" t="s">
        <v>2317</v>
      </c>
      <c r="D480" s="138" t="s">
        <v>33</v>
      </c>
      <c r="E480" s="138">
        <v>1</v>
      </c>
      <c r="F480" s="136" t="s">
        <v>34</v>
      </c>
      <c r="G480" s="138"/>
      <c r="H480" s="138" t="s">
        <v>295</v>
      </c>
      <c r="I480" s="138">
        <v>4</v>
      </c>
      <c r="J480" s="118">
        <v>4</v>
      </c>
      <c r="K480" s="138">
        <v>0</v>
      </c>
      <c r="L480" s="138">
        <v>3</v>
      </c>
      <c r="M480" s="138">
        <v>4</v>
      </c>
      <c r="N480" s="118" t="s">
        <v>71</v>
      </c>
      <c r="O480" s="136">
        <v>99</v>
      </c>
      <c r="P480" s="447">
        <v>0.9</v>
      </c>
      <c r="Q480" s="138">
        <v>0</v>
      </c>
      <c r="R480" s="138">
        <v>1</v>
      </c>
      <c r="S480" s="138" t="b">
        <v>1</v>
      </c>
      <c r="T480" s="138">
        <v>65</v>
      </c>
      <c r="U480" s="118">
        <v>975</v>
      </c>
      <c r="V480" s="118">
        <v>1300</v>
      </c>
      <c r="W480" s="138">
        <v>0</v>
      </c>
      <c r="X480" s="138">
        <v>5</v>
      </c>
      <c r="Y480" s="138" t="s">
        <v>38</v>
      </c>
      <c r="Z480" s="136" t="s">
        <v>2318</v>
      </c>
      <c r="AA480" s="206" t="s">
        <v>2319</v>
      </c>
      <c r="AB480" s="136" t="s">
        <v>86</v>
      </c>
      <c r="AC480" s="138">
        <v>100000</v>
      </c>
      <c r="AD480" s="449">
        <v>1</v>
      </c>
      <c r="AE480" s="449">
        <v>1</v>
      </c>
      <c r="AF480">
        <v>0</v>
      </c>
      <c r="AG480" s="452">
        <v>5</v>
      </c>
    </row>
    <row r="481" spans="1:33" ht="17.25" x14ac:dyDescent="0.3">
      <c r="A481" s="132">
        <v>101405</v>
      </c>
      <c r="B481" s="136" t="s">
        <v>2320</v>
      </c>
      <c r="C481" s="136" t="s">
        <v>2321</v>
      </c>
      <c r="D481" s="138" t="s">
        <v>33</v>
      </c>
      <c r="E481" s="138">
        <v>1</v>
      </c>
      <c r="F481" s="136" t="s">
        <v>34</v>
      </c>
      <c r="G481" s="138"/>
      <c r="H481" s="138" t="s">
        <v>295</v>
      </c>
      <c r="I481" s="138">
        <v>4</v>
      </c>
      <c r="J481" s="118">
        <v>4</v>
      </c>
      <c r="K481" s="138">
        <v>0</v>
      </c>
      <c r="L481" s="138">
        <v>3</v>
      </c>
      <c r="M481" s="138">
        <v>4</v>
      </c>
      <c r="N481" s="118" t="s">
        <v>71</v>
      </c>
      <c r="O481" s="136">
        <v>99</v>
      </c>
      <c r="P481" s="447">
        <v>0.8</v>
      </c>
      <c r="Q481" s="138">
        <v>0</v>
      </c>
      <c r="R481" s="138">
        <v>1</v>
      </c>
      <c r="S481" s="138" t="b">
        <v>1</v>
      </c>
      <c r="T481" s="138">
        <v>65</v>
      </c>
      <c r="U481" s="118">
        <v>975</v>
      </c>
      <c r="V481" s="118">
        <v>1300</v>
      </c>
      <c r="W481" s="138">
        <v>0</v>
      </c>
      <c r="X481" s="138">
        <v>5</v>
      </c>
      <c r="Y481" s="138" t="s">
        <v>38</v>
      </c>
      <c r="Z481" s="136" t="s">
        <v>2322</v>
      </c>
      <c r="AA481" s="206" t="s">
        <v>2323</v>
      </c>
      <c r="AB481" s="136" t="s">
        <v>119</v>
      </c>
      <c r="AC481" s="138">
        <v>100000</v>
      </c>
      <c r="AD481" s="449">
        <v>1</v>
      </c>
      <c r="AE481" s="449">
        <v>1</v>
      </c>
      <c r="AF481">
        <v>0</v>
      </c>
      <c r="AG481" s="452">
        <v>5</v>
      </c>
    </row>
    <row r="482" spans="1:33" ht="17.25" x14ac:dyDescent="0.3">
      <c r="A482" s="132">
        <v>101306</v>
      </c>
      <c r="B482" s="136" t="s">
        <v>2324</v>
      </c>
      <c r="C482" s="136" t="s">
        <v>2325</v>
      </c>
      <c r="D482" s="138" t="s">
        <v>33</v>
      </c>
      <c r="E482" s="138">
        <v>1</v>
      </c>
      <c r="F482" s="136" t="s">
        <v>34</v>
      </c>
      <c r="G482" s="138"/>
      <c r="H482" s="138" t="s">
        <v>295</v>
      </c>
      <c r="I482" s="138">
        <v>5</v>
      </c>
      <c r="J482" s="118">
        <v>5</v>
      </c>
      <c r="K482" s="138">
        <v>0</v>
      </c>
      <c r="L482" s="138">
        <v>3</v>
      </c>
      <c r="M482" s="138">
        <v>5</v>
      </c>
      <c r="N482" s="118" t="s">
        <v>77</v>
      </c>
      <c r="O482" s="136">
        <v>50</v>
      </c>
      <c r="P482" s="138">
        <v>0.5</v>
      </c>
      <c r="Q482" s="138">
        <v>0</v>
      </c>
      <c r="R482" s="138">
        <v>1</v>
      </c>
      <c r="S482" s="138" t="b">
        <v>1</v>
      </c>
      <c r="T482" s="138">
        <v>78</v>
      </c>
      <c r="U482" s="118">
        <v>1170</v>
      </c>
      <c r="V482" s="118">
        <v>1560</v>
      </c>
      <c r="W482" s="138">
        <v>0</v>
      </c>
      <c r="X482" s="138">
        <v>6</v>
      </c>
      <c r="Y482" s="138" t="s">
        <v>38</v>
      </c>
      <c r="Z482" s="136" t="s">
        <v>2326</v>
      </c>
      <c r="AA482" s="206" t="s">
        <v>2327</v>
      </c>
      <c r="AB482" s="136" t="s">
        <v>74</v>
      </c>
      <c r="AC482" s="138">
        <v>100000</v>
      </c>
      <c r="AD482" s="449">
        <v>1</v>
      </c>
      <c r="AE482" s="449">
        <v>1</v>
      </c>
      <c r="AF482">
        <v>101306</v>
      </c>
      <c r="AG482" s="452">
        <v>6</v>
      </c>
    </row>
    <row r="483" spans="1:33" ht="17.25" x14ac:dyDescent="0.3">
      <c r="A483" s="132">
        <v>101406</v>
      </c>
      <c r="B483" s="136" t="s">
        <v>2328</v>
      </c>
      <c r="C483" s="136" t="s">
        <v>2329</v>
      </c>
      <c r="D483" s="138" t="s">
        <v>33</v>
      </c>
      <c r="E483" s="138">
        <v>1</v>
      </c>
      <c r="F483" s="136" t="s">
        <v>34</v>
      </c>
      <c r="G483" s="138"/>
      <c r="H483" s="138" t="s">
        <v>295</v>
      </c>
      <c r="I483" s="138">
        <v>4</v>
      </c>
      <c r="J483" s="118">
        <v>4</v>
      </c>
      <c r="K483" s="138">
        <v>0</v>
      </c>
      <c r="L483" s="138">
        <v>3</v>
      </c>
      <c r="M483" s="138">
        <v>4</v>
      </c>
      <c r="N483" s="118" t="s">
        <v>77</v>
      </c>
      <c r="O483" s="136">
        <v>99</v>
      </c>
      <c r="P483" s="138">
        <v>0.9</v>
      </c>
      <c r="Q483" s="138">
        <v>0</v>
      </c>
      <c r="R483" s="138">
        <v>1</v>
      </c>
      <c r="S483" s="138" t="b">
        <v>1</v>
      </c>
      <c r="T483" s="138">
        <v>78</v>
      </c>
      <c r="U483" s="118">
        <v>1170</v>
      </c>
      <c r="V483" s="118">
        <v>1560</v>
      </c>
      <c r="W483" s="138">
        <v>0</v>
      </c>
      <c r="X483" s="138">
        <v>6</v>
      </c>
      <c r="Y483" s="138" t="s">
        <v>38</v>
      </c>
      <c r="Z483" s="136" t="s">
        <v>2330</v>
      </c>
      <c r="AA483" s="206" t="s">
        <v>2331</v>
      </c>
      <c r="AB483" s="136" t="s">
        <v>86</v>
      </c>
      <c r="AC483" s="138">
        <v>100000</v>
      </c>
      <c r="AD483" s="449">
        <v>1</v>
      </c>
      <c r="AE483" s="449">
        <v>1</v>
      </c>
      <c r="AF483">
        <v>0</v>
      </c>
      <c r="AG483" s="452">
        <v>6</v>
      </c>
    </row>
    <row r="484" spans="1:33" ht="17.25" x14ac:dyDescent="0.3">
      <c r="A484" s="132">
        <v>101407</v>
      </c>
      <c r="B484" s="136" t="s">
        <v>2332</v>
      </c>
      <c r="C484" s="136" t="s">
        <v>2333</v>
      </c>
      <c r="D484" s="138" t="s">
        <v>33</v>
      </c>
      <c r="E484" s="138">
        <v>1</v>
      </c>
      <c r="F484" s="136" t="s">
        <v>34</v>
      </c>
      <c r="G484" s="138"/>
      <c r="H484" s="138" t="s">
        <v>295</v>
      </c>
      <c r="I484" s="138">
        <v>4</v>
      </c>
      <c r="J484" s="118">
        <v>4</v>
      </c>
      <c r="K484" s="138">
        <v>0</v>
      </c>
      <c r="L484" s="138">
        <v>3</v>
      </c>
      <c r="M484" s="138">
        <v>4</v>
      </c>
      <c r="N484" s="118" t="s">
        <v>83</v>
      </c>
      <c r="O484" s="136">
        <v>1</v>
      </c>
      <c r="P484" s="138">
        <v>0.9</v>
      </c>
      <c r="Q484" s="138">
        <v>0</v>
      </c>
      <c r="R484" s="138">
        <v>1</v>
      </c>
      <c r="S484" s="138" t="b">
        <v>1</v>
      </c>
      <c r="T484" s="138">
        <v>91</v>
      </c>
      <c r="U484" s="118">
        <v>1365</v>
      </c>
      <c r="V484" s="118">
        <v>1820</v>
      </c>
      <c r="W484" s="138">
        <v>0</v>
      </c>
      <c r="X484" s="138">
        <v>7</v>
      </c>
      <c r="Y484" s="138" t="s">
        <v>38</v>
      </c>
      <c r="Z484" s="136" t="s">
        <v>2334</v>
      </c>
      <c r="AA484" s="206" t="s">
        <v>2335</v>
      </c>
      <c r="AB484" s="136" t="s">
        <v>80</v>
      </c>
      <c r="AC484" s="138">
        <v>100000</v>
      </c>
      <c r="AD484" s="449">
        <v>1</v>
      </c>
      <c r="AE484" s="449">
        <v>1</v>
      </c>
      <c r="AF484">
        <v>0</v>
      </c>
      <c r="AG484" s="452">
        <v>7</v>
      </c>
    </row>
    <row r="485" spans="1:33" ht="17.25" x14ac:dyDescent="0.3">
      <c r="A485" s="132">
        <v>103303</v>
      </c>
      <c r="B485" s="136" t="s">
        <v>2336</v>
      </c>
      <c r="C485" s="136" t="s">
        <v>2337</v>
      </c>
      <c r="D485" s="138" t="s">
        <v>33</v>
      </c>
      <c r="E485" s="138">
        <v>3</v>
      </c>
      <c r="F485" s="136" t="s">
        <v>363</v>
      </c>
      <c r="G485" s="138" t="s">
        <v>376</v>
      </c>
      <c r="H485" s="138" t="s">
        <v>295</v>
      </c>
      <c r="I485" s="138">
        <v>5</v>
      </c>
      <c r="J485" s="118">
        <v>5</v>
      </c>
      <c r="K485" s="138">
        <v>0</v>
      </c>
      <c r="L485" s="138">
        <v>3</v>
      </c>
      <c r="M485" s="138">
        <v>5</v>
      </c>
      <c r="N485" s="118" t="s">
        <v>57</v>
      </c>
      <c r="O485" s="136">
        <v>99</v>
      </c>
      <c r="P485" s="447">
        <v>0.9</v>
      </c>
      <c r="Q485" s="138">
        <v>0</v>
      </c>
      <c r="R485" s="138">
        <v>1</v>
      </c>
      <c r="S485" s="138" t="b">
        <v>1</v>
      </c>
      <c r="T485" s="138">
        <v>39</v>
      </c>
      <c r="U485" s="118">
        <v>585</v>
      </c>
      <c r="V485" s="118">
        <v>780</v>
      </c>
      <c r="W485" s="138">
        <v>0</v>
      </c>
      <c r="X485" s="138">
        <v>3</v>
      </c>
      <c r="Y485" s="138" t="s">
        <v>38</v>
      </c>
      <c r="Z485" s="136" t="s">
        <v>2338</v>
      </c>
      <c r="AA485" s="206" t="s">
        <v>2339</v>
      </c>
      <c r="AB485" s="136" t="s">
        <v>367</v>
      </c>
      <c r="AC485" s="138">
        <v>100000</v>
      </c>
      <c r="AD485" s="449">
        <v>1</v>
      </c>
      <c r="AE485" s="449">
        <v>1</v>
      </c>
      <c r="AF485">
        <v>0</v>
      </c>
      <c r="AG485" s="452">
        <v>3</v>
      </c>
    </row>
    <row r="486" spans="1:33" ht="17.25" x14ac:dyDescent="0.3">
      <c r="A486" s="132">
        <v>103304</v>
      </c>
      <c r="B486" s="136" t="s">
        <v>2340</v>
      </c>
      <c r="C486" s="136" t="s">
        <v>2341</v>
      </c>
      <c r="D486" s="138" t="s">
        <v>33</v>
      </c>
      <c r="E486" s="138">
        <v>3</v>
      </c>
      <c r="F486" s="136" t="s">
        <v>363</v>
      </c>
      <c r="G486" s="138" t="s">
        <v>388</v>
      </c>
      <c r="H486" s="138" t="s">
        <v>295</v>
      </c>
      <c r="I486" s="138">
        <v>4</v>
      </c>
      <c r="J486" s="118">
        <v>4</v>
      </c>
      <c r="K486" s="138">
        <v>0</v>
      </c>
      <c r="L486" s="138">
        <v>3</v>
      </c>
      <c r="M486" s="138">
        <v>4</v>
      </c>
      <c r="N486" s="118" t="s">
        <v>64</v>
      </c>
      <c r="O486" s="136">
        <v>50</v>
      </c>
      <c r="P486" s="447">
        <v>0.9</v>
      </c>
      <c r="Q486" s="138">
        <v>0</v>
      </c>
      <c r="R486" s="138">
        <v>1</v>
      </c>
      <c r="S486" s="138" t="b">
        <v>1</v>
      </c>
      <c r="T486" s="138">
        <v>52</v>
      </c>
      <c r="U486" s="118">
        <v>780</v>
      </c>
      <c r="V486" s="118">
        <v>1040</v>
      </c>
      <c r="W486" s="138">
        <v>0</v>
      </c>
      <c r="X486" s="138">
        <v>4</v>
      </c>
      <c r="Y486" s="138" t="s">
        <v>38</v>
      </c>
      <c r="Z486" s="136" t="s">
        <v>2342</v>
      </c>
      <c r="AA486" s="206" t="s">
        <v>2343</v>
      </c>
      <c r="AB486" s="136" t="s">
        <v>373</v>
      </c>
      <c r="AC486" s="138">
        <v>100000</v>
      </c>
      <c r="AD486" s="449">
        <v>1</v>
      </c>
      <c r="AE486" s="449">
        <v>1</v>
      </c>
      <c r="AF486">
        <v>0</v>
      </c>
      <c r="AG486" s="452">
        <v>4</v>
      </c>
    </row>
    <row r="487" spans="1:33" ht="17.25" x14ac:dyDescent="0.3">
      <c r="A487" s="132">
        <v>103205</v>
      </c>
      <c r="B487" s="136" t="s">
        <v>2344</v>
      </c>
      <c r="C487" s="136" t="s">
        <v>2345</v>
      </c>
      <c r="D487" s="138" t="s">
        <v>33</v>
      </c>
      <c r="E487" s="138">
        <v>3</v>
      </c>
      <c r="F487" s="136" t="s">
        <v>363</v>
      </c>
      <c r="G487" s="138" t="s">
        <v>370</v>
      </c>
      <c r="H487" s="138" t="s">
        <v>295</v>
      </c>
      <c r="I487" s="138">
        <v>4</v>
      </c>
      <c r="J487" s="118">
        <v>4</v>
      </c>
      <c r="K487" s="138">
        <v>0</v>
      </c>
      <c r="L487" s="138">
        <v>3</v>
      </c>
      <c r="M487" s="138">
        <v>4</v>
      </c>
      <c r="N487" s="118" t="s">
        <v>71</v>
      </c>
      <c r="O487" s="136">
        <v>99</v>
      </c>
      <c r="P487" s="447">
        <v>0.8</v>
      </c>
      <c r="Q487" s="138">
        <v>0</v>
      </c>
      <c r="R487" s="138">
        <v>1</v>
      </c>
      <c r="S487" s="138" t="b">
        <v>1</v>
      </c>
      <c r="T487" s="138">
        <v>65</v>
      </c>
      <c r="U487" s="118">
        <v>975</v>
      </c>
      <c r="V487" s="118">
        <v>1300</v>
      </c>
      <c r="W487" s="138">
        <v>0</v>
      </c>
      <c r="X487" s="138">
        <v>5</v>
      </c>
      <c r="Y487" s="138" t="s">
        <v>38</v>
      </c>
      <c r="Z487" s="136" t="s">
        <v>2346</v>
      </c>
      <c r="AA487" s="206" t="s">
        <v>2347</v>
      </c>
      <c r="AB487" s="136" t="s">
        <v>391</v>
      </c>
      <c r="AC487" s="138">
        <v>100000</v>
      </c>
      <c r="AD487" s="449">
        <v>1</v>
      </c>
      <c r="AE487" s="449">
        <v>1</v>
      </c>
      <c r="AF487">
        <v>0</v>
      </c>
      <c r="AG487" s="452">
        <v>5</v>
      </c>
    </row>
    <row r="488" spans="1:33" ht="17.25" x14ac:dyDescent="0.3">
      <c r="A488" s="132">
        <v>103206</v>
      </c>
      <c r="B488" s="136" t="s">
        <v>2348</v>
      </c>
      <c r="C488" s="136" t="s">
        <v>2349</v>
      </c>
      <c r="D488" s="138" t="s">
        <v>33</v>
      </c>
      <c r="E488" s="138">
        <v>3</v>
      </c>
      <c r="F488" s="136" t="s">
        <v>363</v>
      </c>
      <c r="G488" s="138" t="s">
        <v>400</v>
      </c>
      <c r="H488" s="138" t="s">
        <v>295</v>
      </c>
      <c r="I488" s="138">
        <v>6</v>
      </c>
      <c r="J488" s="118">
        <v>6</v>
      </c>
      <c r="K488" s="138">
        <v>0</v>
      </c>
      <c r="L488" s="138">
        <v>3</v>
      </c>
      <c r="M488" s="138">
        <v>6</v>
      </c>
      <c r="N488" s="118" t="s">
        <v>77</v>
      </c>
      <c r="O488" s="136">
        <v>99</v>
      </c>
      <c r="P488" s="447">
        <v>0.9</v>
      </c>
      <c r="Q488" s="138">
        <v>0</v>
      </c>
      <c r="R488" s="138">
        <v>1</v>
      </c>
      <c r="S488" s="138" t="b">
        <v>1</v>
      </c>
      <c r="T488" s="138">
        <v>78</v>
      </c>
      <c r="U488" s="118">
        <v>1170</v>
      </c>
      <c r="V488" s="118">
        <v>1560</v>
      </c>
      <c r="W488" s="138">
        <v>0</v>
      </c>
      <c r="X488" s="138">
        <v>6</v>
      </c>
      <c r="Y488" s="138" t="s">
        <v>38</v>
      </c>
      <c r="Z488" s="136" t="s">
        <v>2350</v>
      </c>
      <c r="AA488" s="206" t="s">
        <v>2351</v>
      </c>
      <c r="AB488" s="136" t="s">
        <v>385</v>
      </c>
      <c r="AC488" s="138">
        <v>100000</v>
      </c>
      <c r="AD488" s="449">
        <v>1</v>
      </c>
      <c r="AE488" s="449">
        <v>1</v>
      </c>
      <c r="AF488">
        <v>103206</v>
      </c>
      <c r="AG488" s="452">
        <v>6</v>
      </c>
    </row>
    <row r="489" spans="1:33" ht="17.25" x14ac:dyDescent="0.3">
      <c r="A489" s="132">
        <v>103307</v>
      </c>
      <c r="B489" s="136" t="s">
        <v>2352</v>
      </c>
      <c r="C489" s="136" t="s">
        <v>2353</v>
      </c>
      <c r="D489" s="138" t="s">
        <v>33</v>
      </c>
      <c r="E489" s="138">
        <v>3</v>
      </c>
      <c r="F489" s="136" t="s">
        <v>363</v>
      </c>
      <c r="G489" s="138" t="s">
        <v>382</v>
      </c>
      <c r="H489" s="138" t="s">
        <v>295</v>
      </c>
      <c r="I489" s="138">
        <v>5</v>
      </c>
      <c r="J489" s="118">
        <v>5</v>
      </c>
      <c r="K489" s="138">
        <v>0</v>
      </c>
      <c r="L489" s="138">
        <v>3</v>
      </c>
      <c r="M489" s="138">
        <v>5</v>
      </c>
      <c r="N489" s="118" t="s">
        <v>83</v>
      </c>
      <c r="O489" s="136">
        <v>99</v>
      </c>
      <c r="P489" s="447">
        <v>0.9</v>
      </c>
      <c r="Q489" s="138">
        <v>0</v>
      </c>
      <c r="R489" s="138">
        <v>1</v>
      </c>
      <c r="S489" s="138" t="b">
        <v>1</v>
      </c>
      <c r="T489" s="138">
        <v>91</v>
      </c>
      <c r="U489" s="118">
        <v>1365</v>
      </c>
      <c r="V489" s="118">
        <v>1820</v>
      </c>
      <c r="W489" s="138">
        <v>0</v>
      </c>
      <c r="X489" s="138">
        <v>7</v>
      </c>
      <c r="Y489" s="138" t="s">
        <v>38</v>
      </c>
      <c r="Z489" s="136" t="s">
        <v>2354</v>
      </c>
      <c r="AA489" s="206" t="s">
        <v>2355</v>
      </c>
      <c r="AB489" s="136" t="s">
        <v>403</v>
      </c>
      <c r="AC489" s="138">
        <v>100000</v>
      </c>
      <c r="AD489" s="449">
        <v>1</v>
      </c>
      <c r="AE489" s="449">
        <v>1</v>
      </c>
      <c r="AF489">
        <v>0</v>
      </c>
      <c r="AG489" s="452">
        <v>7</v>
      </c>
    </row>
    <row r="490" spans="1:33" ht="17.25" x14ac:dyDescent="0.3">
      <c r="A490" s="132">
        <v>104403</v>
      </c>
      <c r="B490" s="136" t="s">
        <v>2356</v>
      </c>
      <c r="C490" s="136" t="s">
        <v>2357</v>
      </c>
      <c r="D490" s="138" t="s">
        <v>33</v>
      </c>
      <c r="E490" s="138">
        <v>4</v>
      </c>
      <c r="F490" s="136" t="s">
        <v>447</v>
      </c>
      <c r="G490" s="138" t="s">
        <v>541</v>
      </c>
      <c r="H490" s="138" t="s">
        <v>295</v>
      </c>
      <c r="I490" s="138">
        <v>5</v>
      </c>
      <c r="J490" s="118">
        <v>5</v>
      </c>
      <c r="K490" s="138">
        <v>0</v>
      </c>
      <c r="L490" s="138">
        <v>3</v>
      </c>
      <c r="M490" s="138">
        <v>5</v>
      </c>
      <c r="N490" s="118" t="s">
        <v>57</v>
      </c>
      <c r="O490" s="136">
        <v>99</v>
      </c>
      <c r="P490" s="447">
        <v>0.9</v>
      </c>
      <c r="Q490" s="138">
        <v>0</v>
      </c>
      <c r="R490" s="138">
        <v>1</v>
      </c>
      <c r="S490" s="138" t="b">
        <v>1</v>
      </c>
      <c r="T490" s="138">
        <v>39</v>
      </c>
      <c r="U490" s="118">
        <v>585</v>
      </c>
      <c r="V490" s="118">
        <v>780</v>
      </c>
      <c r="W490" s="138">
        <v>0</v>
      </c>
      <c r="X490" s="138">
        <v>3</v>
      </c>
      <c r="Y490" s="138" t="s">
        <v>38</v>
      </c>
      <c r="Z490" s="136" t="s">
        <v>2358</v>
      </c>
      <c r="AA490" s="206" t="s">
        <v>2359</v>
      </c>
      <c r="AB490" s="136" t="s">
        <v>535</v>
      </c>
      <c r="AC490" s="138">
        <v>100000</v>
      </c>
      <c r="AD490" s="449">
        <v>1</v>
      </c>
      <c r="AE490" s="449">
        <v>1</v>
      </c>
      <c r="AF490">
        <v>104403</v>
      </c>
      <c r="AG490" s="452">
        <v>3</v>
      </c>
    </row>
    <row r="491" spans="1:33" ht="17.25" x14ac:dyDescent="0.3">
      <c r="A491" s="132">
        <v>104205</v>
      </c>
      <c r="B491" s="136" t="s">
        <v>2360</v>
      </c>
      <c r="C491" s="136" t="s">
        <v>2361</v>
      </c>
      <c r="D491" s="138" t="s">
        <v>33</v>
      </c>
      <c r="E491" s="138">
        <v>4</v>
      </c>
      <c r="F491" s="136" t="s">
        <v>447</v>
      </c>
      <c r="G491" s="138" t="s">
        <v>487</v>
      </c>
      <c r="H491" s="138" t="s">
        <v>295</v>
      </c>
      <c r="I491" s="138">
        <v>5</v>
      </c>
      <c r="J491" s="118">
        <v>5</v>
      </c>
      <c r="K491" s="138">
        <v>0</v>
      </c>
      <c r="L491" s="138">
        <v>3</v>
      </c>
      <c r="M491" s="138">
        <v>5</v>
      </c>
      <c r="N491" s="118" t="s">
        <v>71</v>
      </c>
      <c r="O491" s="136">
        <v>1</v>
      </c>
      <c r="P491" s="138">
        <v>0.8</v>
      </c>
      <c r="Q491" s="138">
        <v>0</v>
      </c>
      <c r="R491" s="138">
        <v>1</v>
      </c>
      <c r="S491" s="138" t="b">
        <v>1</v>
      </c>
      <c r="T491" s="138">
        <v>65</v>
      </c>
      <c r="U491" s="118">
        <v>975</v>
      </c>
      <c r="V491" s="118">
        <v>1300</v>
      </c>
      <c r="W491" s="138">
        <v>0</v>
      </c>
      <c r="X491" s="138">
        <v>5</v>
      </c>
      <c r="Y491" s="138" t="s">
        <v>38</v>
      </c>
      <c r="Z491" s="136" t="s">
        <v>2362</v>
      </c>
      <c r="AA491" s="206" t="s">
        <v>2363</v>
      </c>
      <c r="AB491" s="136" t="s">
        <v>472</v>
      </c>
      <c r="AC491" s="138">
        <v>100000</v>
      </c>
      <c r="AD491" s="449">
        <v>1</v>
      </c>
      <c r="AE491" s="449">
        <v>1</v>
      </c>
      <c r="AF491">
        <v>104205</v>
      </c>
      <c r="AG491" s="452">
        <v>5</v>
      </c>
    </row>
    <row r="492" spans="1:33" ht="17.25" x14ac:dyDescent="0.3">
      <c r="A492" s="132">
        <v>104206</v>
      </c>
      <c r="B492" s="136" t="s">
        <v>2364</v>
      </c>
      <c r="C492" s="136" t="s">
        <v>2365</v>
      </c>
      <c r="D492" s="138" t="s">
        <v>33</v>
      </c>
      <c r="E492" s="138">
        <v>4</v>
      </c>
      <c r="F492" s="136" t="s">
        <v>447</v>
      </c>
      <c r="G492" s="138" t="s">
        <v>547</v>
      </c>
      <c r="H492" s="138" t="s">
        <v>295</v>
      </c>
      <c r="I492" s="138">
        <v>4</v>
      </c>
      <c r="J492" s="118">
        <v>4</v>
      </c>
      <c r="K492" s="138">
        <v>0</v>
      </c>
      <c r="L492" s="138">
        <v>3</v>
      </c>
      <c r="M492" s="138">
        <v>4</v>
      </c>
      <c r="N492" s="118" t="s">
        <v>77</v>
      </c>
      <c r="O492" s="136">
        <v>99</v>
      </c>
      <c r="P492" s="447">
        <v>0.8</v>
      </c>
      <c r="Q492" s="138">
        <v>0</v>
      </c>
      <c r="R492" s="138">
        <v>1</v>
      </c>
      <c r="S492" s="138" t="b">
        <v>1</v>
      </c>
      <c r="T492" s="138">
        <v>78</v>
      </c>
      <c r="U492" s="118">
        <v>1170</v>
      </c>
      <c r="V492" s="118">
        <v>1560</v>
      </c>
      <c r="W492" s="138">
        <v>0</v>
      </c>
      <c r="X492" s="138">
        <v>6</v>
      </c>
      <c r="Y492" s="138" t="s">
        <v>38</v>
      </c>
      <c r="Z492" s="136" t="s">
        <v>2366</v>
      </c>
      <c r="AA492" s="206" t="s">
        <v>2367</v>
      </c>
      <c r="AB492" s="136" t="s">
        <v>556</v>
      </c>
      <c r="AC492" s="138">
        <v>100000</v>
      </c>
      <c r="AD492" s="449">
        <v>1</v>
      </c>
      <c r="AE492" s="449">
        <v>1</v>
      </c>
      <c r="AF492">
        <v>0</v>
      </c>
      <c r="AG492" s="452">
        <v>6</v>
      </c>
    </row>
    <row r="493" spans="1:33" ht="17.25" x14ac:dyDescent="0.3">
      <c r="A493" s="132">
        <v>104407</v>
      </c>
      <c r="B493" s="136" t="s">
        <v>2368</v>
      </c>
      <c r="C493" s="136" t="s">
        <v>2369</v>
      </c>
      <c r="D493" s="138" t="s">
        <v>33</v>
      </c>
      <c r="E493" s="138">
        <v>4</v>
      </c>
      <c r="F493" s="136" t="s">
        <v>447</v>
      </c>
      <c r="G493" s="138" t="s">
        <v>553</v>
      </c>
      <c r="H493" s="138" t="s">
        <v>295</v>
      </c>
      <c r="I493" s="138">
        <v>5</v>
      </c>
      <c r="J493" s="118">
        <v>5</v>
      </c>
      <c r="K493" s="138">
        <v>0</v>
      </c>
      <c r="L493" s="138">
        <v>3</v>
      </c>
      <c r="M493" s="138">
        <v>5</v>
      </c>
      <c r="N493" s="118" t="s">
        <v>83</v>
      </c>
      <c r="O493" s="136">
        <v>99</v>
      </c>
      <c r="P493" s="447">
        <v>0.8</v>
      </c>
      <c r="Q493" s="138">
        <v>0</v>
      </c>
      <c r="R493" s="138">
        <v>1</v>
      </c>
      <c r="S493" s="138" t="b">
        <v>1</v>
      </c>
      <c r="T493" s="138">
        <v>91</v>
      </c>
      <c r="U493" s="118">
        <v>1365</v>
      </c>
      <c r="V493" s="118">
        <v>1820</v>
      </c>
      <c r="W493" s="138">
        <v>0</v>
      </c>
      <c r="X493" s="138">
        <v>7</v>
      </c>
      <c r="Y493" s="138" t="s">
        <v>38</v>
      </c>
      <c r="Z493" s="136" t="s">
        <v>2370</v>
      </c>
      <c r="AA493" s="206" t="s">
        <v>2371</v>
      </c>
      <c r="AB493" s="136" t="s">
        <v>562</v>
      </c>
      <c r="AC493" s="138">
        <v>100000</v>
      </c>
      <c r="AD493" s="449">
        <v>1</v>
      </c>
      <c r="AE493" s="449">
        <v>1</v>
      </c>
      <c r="AF493">
        <v>0</v>
      </c>
      <c r="AG493" s="452">
        <v>7</v>
      </c>
    </row>
    <row r="494" spans="1:33" ht="17.25" x14ac:dyDescent="0.3">
      <c r="A494" s="132">
        <v>105303</v>
      </c>
      <c r="B494" s="136" t="s">
        <v>2372</v>
      </c>
      <c r="C494" s="136" t="s">
        <v>2373</v>
      </c>
      <c r="D494" s="138" t="s">
        <v>33</v>
      </c>
      <c r="E494" s="138">
        <v>5</v>
      </c>
      <c r="F494" s="136" t="s">
        <v>631</v>
      </c>
      <c r="G494" s="138" t="s">
        <v>632</v>
      </c>
      <c r="H494" s="138" t="s">
        <v>295</v>
      </c>
      <c r="I494" s="138">
        <v>3</v>
      </c>
      <c r="J494" s="118">
        <v>3</v>
      </c>
      <c r="K494" s="138">
        <v>0</v>
      </c>
      <c r="L494" s="138">
        <v>3</v>
      </c>
      <c r="M494" s="138">
        <v>3</v>
      </c>
      <c r="N494" s="118" t="s">
        <v>57</v>
      </c>
      <c r="O494" s="136">
        <v>1</v>
      </c>
      <c r="P494" s="138">
        <v>0.7</v>
      </c>
      <c r="Q494" s="138">
        <v>0</v>
      </c>
      <c r="R494" s="138">
        <v>1</v>
      </c>
      <c r="S494" s="138" t="b">
        <v>1</v>
      </c>
      <c r="T494" s="138">
        <v>39</v>
      </c>
      <c r="U494" s="118">
        <v>585</v>
      </c>
      <c r="V494" s="118">
        <v>780</v>
      </c>
      <c r="W494" s="138">
        <v>0</v>
      </c>
      <c r="X494" s="138">
        <v>3</v>
      </c>
      <c r="Y494" s="138" t="s">
        <v>38</v>
      </c>
      <c r="Z494" s="136" t="s">
        <v>2374</v>
      </c>
      <c r="AA494" s="206" t="s">
        <v>2375</v>
      </c>
      <c r="AB494" s="136" t="s">
        <v>635</v>
      </c>
      <c r="AC494" s="138">
        <v>100000</v>
      </c>
      <c r="AD494" s="449">
        <v>1</v>
      </c>
      <c r="AE494" s="449">
        <v>1</v>
      </c>
      <c r="AF494">
        <v>0</v>
      </c>
      <c r="AG494" s="452">
        <v>3</v>
      </c>
    </row>
    <row r="495" spans="1:33" ht="17.25" x14ac:dyDescent="0.3">
      <c r="A495" s="132">
        <v>105404</v>
      </c>
      <c r="B495" s="136" t="s">
        <v>2376</v>
      </c>
      <c r="C495" s="136" t="s">
        <v>2377</v>
      </c>
      <c r="D495" s="138" t="s">
        <v>33</v>
      </c>
      <c r="E495" s="138">
        <v>5</v>
      </c>
      <c r="F495" s="136" t="s">
        <v>631</v>
      </c>
      <c r="G495" s="138" t="s">
        <v>2378</v>
      </c>
      <c r="H495" s="138" t="s">
        <v>611</v>
      </c>
      <c r="I495" s="138">
        <v>3</v>
      </c>
      <c r="J495" s="118">
        <v>3</v>
      </c>
      <c r="K495" s="138">
        <v>0</v>
      </c>
      <c r="L495" s="138">
        <v>3</v>
      </c>
      <c r="M495" s="138">
        <v>3</v>
      </c>
      <c r="N495" s="118" t="s">
        <v>64</v>
      </c>
      <c r="O495" s="136">
        <v>1</v>
      </c>
      <c r="P495" s="138">
        <v>0.8</v>
      </c>
      <c r="Q495" s="138">
        <v>0</v>
      </c>
      <c r="R495" s="138">
        <v>1</v>
      </c>
      <c r="S495" s="138" t="b">
        <v>1</v>
      </c>
      <c r="T495" s="138">
        <v>52</v>
      </c>
      <c r="U495" s="118">
        <v>780</v>
      </c>
      <c r="V495" s="118">
        <v>1040</v>
      </c>
      <c r="W495" s="138">
        <v>0</v>
      </c>
      <c r="X495" s="138">
        <v>4</v>
      </c>
      <c r="Y495" s="138" t="s">
        <v>38</v>
      </c>
      <c r="Z495" s="136" t="s">
        <v>2379</v>
      </c>
      <c r="AA495" s="206" t="s">
        <v>2380</v>
      </c>
      <c r="AB495" s="136" t="s">
        <v>2381</v>
      </c>
      <c r="AC495" s="138">
        <v>100000</v>
      </c>
      <c r="AD495" s="449">
        <v>1</v>
      </c>
      <c r="AE495" s="449">
        <v>1</v>
      </c>
      <c r="AF495">
        <v>105404</v>
      </c>
      <c r="AG495" s="452">
        <v>4</v>
      </c>
    </row>
    <row r="496" spans="1:33" ht="17.25" x14ac:dyDescent="0.3">
      <c r="A496" s="132">
        <v>105305</v>
      </c>
      <c r="B496" s="136" t="s">
        <v>2382</v>
      </c>
      <c r="C496" s="136" t="s">
        <v>2383</v>
      </c>
      <c r="D496" s="138" t="s">
        <v>33</v>
      </c>
      <c r="E496" s="138">
        <v>5</v>
      </c>
      <c r="F496" s="136" t="s">
        <v>631</v>
      </c>
      <c r="G496" s="138" t="s">
        <v>674</v>
      </c>
      <c r="H496" s="138" t="s">
        <v>295</v>
      </c>
      <c r="I496" s="138">
        <v>4</v>
      </c>
      <c r="J496" s="118">
        <v>4</v>
      </c>
      <c r="K496" s="138">
        <v>0</v>
      </c>
      <c r="L496" s="138">
        <v>3</v>
      </c>
      <c r="M496" s="138">
        <v>4</v>
      </c>
      <c r="N496" s="118" t="s">
        <v>71</v>
      </c>
      <c r="O496" s="136">
        <v>1</v>
      </c>
      <c r="P496" s="138">
        <v>0.8</v>
      </c>
      <c r="Q496" s="138">
        <v>0</v>
      </c>
      <c r="R496" s="138">
        <v>1</v>
      </c>
      <c r="S496" s="138" t="b">
        <v>1</v>
      </c>
      <c r="T496" s="138">
        <v>65</v>
      </c>
      <c r="U496" s="118">
        <v>975</v>
      </c>
      <c r="V496" s="118">
        <v>1300</v>
      </c>
      <c r="W496" s="138">
        <v>0</v>
      </c>
      <c r="X496" s="138">
        <v>5</v>
      </c>
      <c r="Y496" s="138" t="s">
        <v>38</v>
      </c>
      <c r="Z496" s="136" t="s">
        <v>2384</v>
      </c>
      <c r="AA496" s="206" t="s">
        <v>2385</v>
      </c>
      <c r="AB496" s="136" t="s">
        <v>665</v>
      </c>
      <c r="AC496" s="138">
        <v>100000</v>
      </c>
      <c r="AD496" s="449">
        <v>1</v>
      </c>
      <c r="AE496" s="449">
        <v>1</v>
      </c>
      <c r="AF496">
        <v>0</v>
      </c>
      <c r="AG496" s="452">
        <v>5</v>
      </c>
    </row>
    <row r="497" spans="1:33" ht="17.25" x14ac:dyDescent="0.3">
      <c r="A497" s="132">
        <v>105407</v>
      </c>
      <c r="B497" s="136" t="s">
        <v>2386</v>
      </c>
      <c r="C497" s="136" t="s">
        <v>2387</v>
      </c>
      <c r="D497" s="138" t="s">
        <v>33</v>
      </c>
      <c r="E497" s="138">
        <v>5</v>
      </c>
      <c r="F497" s="136" t="s">
        <v>631</v>
      </c>
      <c r="G497" s="138" t="s">
        <v>2388</v>
      </c>
      <c r="H497" s="138" t="s">
        <v>611</v>
      </c>
      <c r="I497" s="138">
        <v>6</v>
      </c>
      <c r="J497" s="118">
        <v>6</v>
      </c>
      <c r="K497" s="138">
        <v>0</v>
      </c>
      <c r="L497" s="138">
        <v>3</v>
      </c>
      <c r="M497" s="138">
        <v>6</v>
      </c>
      <c r="N497" s="118" t="s">
        <v>83</v>
      </c>
      <c r="O497" s="136">
        <v>1</v>
      </c>
      <c r="P497" s="138">
        <v>0.8</v>
      </c>
      <c r="Q497" s="138">
        <v>0</v>
      </c>
      <c r="R497" s="138">
        <v>1</v>
      </c>
      <c r="S497" s="138" t="b">
        <v>1</v>
      </c>
      <c r="T497" s="138">
        <v>91</v>
      </c>
      <c r="U497" s="118">
        <v>1365</v>
      </c>
      <c r="V497" s="118">
        <v>1820</v>
      </c>
      <c r="W497" s="138">
        <v>0</v>
      </c>
      <c r="X497" s="138">
        <v>7</v>
      </c>
      <c r="Y497" s="138" t="s">
        <v>38</v>
      </c>
      <c r="Z497" s="136" t="s">
        <v>2389</v>
      </c>
      <c r="AA497" s="206" t="s">
        <v>2390</v>
      </c>
      <c r="AB497" s="136" t="s">
        <v>2391</v>
      </c>
      <c r="AC497" s="138">
        <v>100000</v>
      </c>
      <c r="AD497" s="449">
        <v>1</v>
      </c>
      <c r="AE497" s="449">
        <v>1</v>
      </c>
      <c r="AF497">
        <v>105407</v>
      </c>
      <c r="AG497" s="452">
        <v>7</v>
      </c>
    </row>
    <row r="498" spans="1:33" ht="17.25" x14ac:dyDescent="0.3">
      <c r="A498" s="132">
        <v>106303</v>
      </c>
      <c r="B498" s="136" t="s">
        <v>2392</v>
      </c>
      <c r="C498" s="136" t="s">
        <v>2393</v>
      </c>
      <c r="D498" s="138" t="s">
        <v>33</v>
      </c>
      <c r="E498" s="138">
        <v>6</v>
      </c>
      <c r="F498" s="136" t="s">
        <v>727</v>
      </c>
      <c r="G498" s="138" t="s">
        <v>758</v>
      </c>
      <c r="H498" s="138" t="s">
        <v>295</v>
      </c>
      <c r="I498" s="138">
        <v>3</v>
      </c>
      <c r="J498" s="118">
        <v>3</v>
      </c>
      <c r="K498" s="138">
        <v>0</v>
      </c>
      <c r="L498" s="138">
        <v>3</v>
      </c>
      <c r="M498" s="138">
        <v>3</v>
      </c>
      <c r="N498" s="118" t="s">
        <v>57</v>
      </c>
      <c r="O498" s="136">
        <v>1</v>
      </c>
      <c r="P498" s="447">
        <v>0.7</v>
      </c>
      <c r="Q498" s="138">
        <v>0</v>
      </c>
      <c r="R498" s="138">
        <v>1</v>
      </c>
      <c r="S498" s="138" t="b">
        <v>1</v>
      </c>
      <c r="T498" s="138">
        <v>39</v>
      </c>
      <c r="U498" s="118">
        <v>585</v>
      </c>
      <c r="V498" s="118">
        <v>780</v>
      </c>
      <c r="W498" s="138">
        <v>0</v>
      </c>
      <c r="X498" s="138">
        <v>3</v>
      </c>
      <c r="Y498" s="138" t="s">
        <v>38</v>
      </c>
      <c r="Z498" s="136" t="s">
        <v>2394</v>
      </c>
      <c r="AA498" s="206" t="s">
        <v>2395</v>
      </c>
      <c r="AB498" s="136" t="s">
        <v>809</v>
      </c>
      <c r="AC498" s="138">
        <v>100000</v>
      </c>
      <c r="AD498" s="449">
        <v>1</v>
      </c>
      <c r="AE498" s="449">
        <v>1</v>
      </c>
      <c r="AF498">
        <v>106303</v>
      </c>
      <c r="AG498" s="452">
        <v>3</v>
      </c>
    </row>
    <row r="499" spans="1:33" ht="17.25" x14ac:dyDescent="0.3">
      <c r="A499" s="132">
        <v>106304</v>
      </c>
      <c r="B499" s="136" t="s">
        <v>2396</v>
      </c>
      <c r="C499" s="136" t="s">
        <v>1944</v>
      </c>
      <c r="D499" s="138" t="s">
        <v>33</v>
      </c>
      <c r="E499" s="138">
        <v>6</v>
      </c>
      <c r="F499" s="136" t="s">
        <v>727</v>
      </c>
      <c r="G499" s="138" t="s">
        <v>746</v>
      </c>
      <c r="H499" s="138" t="s">
        <v>295</v>
      </c>
      <c r="I499" s="138">
        <v>5</v>
      </c>
      <c r="J499" s="118">
        <v>5</v>
      </c>
      <c r="K499" s="138">
        <v>0</v>
      </c>
      <c r="L499" s="138">
        <v>3</v>
      </c>
      <c r="M499" s="138">
        <v>5</v>
      </c>
      <c r="N499" s="118" t="s">
        <v>64</v>
      </c>
      <c r="O499" s="136">
        <v>1</v>
      </c>
      <c r="P499" s="447">
        <v>0.7</v>
      </c>
      <c r="Q499" s="138">
        <v>0</v>
      </c>
      <c r="R499" s="138">
        <v>1</v>
      </c>
      <c r="S499" s="138" t="b">
        <v>1</v>
      </c>
      <c r="T499" s="138">
        <v>52</v>
      </c>
      <c r="U499" s="118">
        <v>780</v>
      </c>
      <c r="V499" s="118">
        <v>1040</v>
      </c>
      <c r="W499" s="138">
        <v>0</v>
      </c>
      <c r="X499" s="138">
        <v>4</v>
      </c>
      <c r="Y499" s="138" t="s">
        <v>38</v>
      </c>
      <c r="Z499" s="136" t="s">
        <v>2397</v>
      </c>
      <c r="AA499" s="206" t="s">
        <v>2398</v>
      </c>
      <c r="AB499" s="136" t="s">
        <v>749</v>
      </c>
      <c r="AC499" s="138">
        <v>100000</v>
      </c>
      <c r="AD499" s="449">
        <v>1</v>
      </c>
      <c r="AE499" s="449">
        <v>1</v>
      </c>
      <c r="AF499">
        <v>0</v>
      </c>
      <c r="AG499" s="452">
        <v>4</v>
      </c>
    </row>
    <row r="500" spans="1:33" ht="17.25" x14ac:dyDescent="0.3">
      <c r="A500" s="132">
        <v>106205</v>
      </c>
      <c r="B500" s="136" t="s">
        <v>2399</v>
      </c>
      <c r="C500" s="136" t="s">
        <v>2400</v>
      </c>
      <c r="D500" s="138" t="s">
        <v>33</v>
      </c>
      <c r="E500" s="138">
        <v>6</v>
      </c>
      <c r="F500" s="136" t="s">
        <v>727</v>
      </c>
      <c r="G500" s="138" t="s">
        <v>2227</v>
      </c>
      <c r="H500" s="138" t="s">
        <v>611</v>
      </c>
      <c r="I500" s="138">
        <v>6</v>
      </c>
      <c r="J500" s="118">
        <v>6</v>
      </c>
      <c r="K500" s="138">
        <v>0</v>
      </c>
      <c r="L500" s="138">
        <v>3</v>
      </c>
      <c r="M500" s="138">
        <v>6</v>
      </c>
      <c r="N500" s="118" t="s">
        <v>71</v>
      </c>
      <c r="O500" s="136">
        <v>1</v>
      </c>
      <c r="P500" s="447">
        <v>0.7</v>
      </c>
      <c r="Q500" s="138">
        <v>0</v>
      </c>
      <c r="R500" s="138">
        <v>1</v>
      </c>
      <c r="S500" s="138" t="b">
        <v>1</v>
      </c>
      <c r="T500" s="138">
        <v>65</v>
      </c>
      <c r="U500" s="118">
        <v>975</v>
      </c>
      <c r="V500" s="118">
        <v>1300</v>
      </c>
      <c r="W500" s="138">
        <v>0</v>
      </c>
      <c r="X500" s="138">
        <v>5</v>
      </c>
      <c r="Y500" s="138" t="s">
        <v>38</v>
      </c>
      <c r="Z500" s="136" t="s">
        <v>2401</v>
      </c>
      <c r="AA500" s="206" t="s">
        <v>2402</v>
      </c>
      <c r="AB500" s="136" t="s">
        <v>2403</v>
      </c>
      <c r="AC500" s="138">
        <v>100000</v>
      </c>
      <c r="AD500" s="449">
        <v>1</v>
      </c>
      <c r="AE500" s="449">
        <v>1</v>
      </c>
      <c r="AF500">
        <v>106205</v>
      </c>
      <c r="AG500" s="452">
        <v>5</v>
      </c>
    </row>
    <row r="501" spans="1:33" ht="17.25" x14ac:dyDescent="0.3">
      <c r="A501" s="132">
        <v>106206</v>
      </c>
      <c r="B501" s="136" t="s">
        <v>2404</v>
      </c>
      <c r="C501" s="136" t="s">
        <v>2405</v>
      </c>
      <c r="D501" s="138" t="s">
        <v>33</v>
      </c>
      <c r="E501" s="138">
        <v>6</v>
      </c>
      <c r="F501" s="136" t="s">
        <v>727</v>
      </c>
      <c r="G501" s="138" t="s">
        <v>758</v>
      </c>
      <c r="H501" s="138" t="s">
        <v>295</v>
      </c>
      <c r="I501" s="138">
        <v>5</v>
      </c>
      <c r="J501" s="118">
        <v>5</v>
      </c>
      <c r="K501" s="138">
        <v>0</v>
      </c>
      <c r="L501" s="138">
        <v>3</v>
      </c>
      <c r="M501" s="138">
        <v>5</v>
      </c>
      <c r="N501" s="118" t="s">
        <v>77</v>
      </c>
      <c r="O501" s="136">
        <v>1</v>
      </c>
      <c r="P501" s="447">
        <v>0.7</v>
      </c>
      <c r="Q501" s="138">
        <v>0</v>
      </c>
      <c r="R501" s="138">
        <v>1</v>
      </c>
      <c r="S501" s="138" t="b">
        <v>1</v>
      </c>
      <c r="T501" s="138">
        <v>78</v>
      </c>
      <c r="U501" s="118">
        <v>1170</v>
      </c>
      <c r="V501" s="118">
        <v>1560</v>
      </c>
      <c r="W501" s="138">
        <v>0</v>
      </c>
      <c r="X501" s="138">
        <v>6</v>
      </c>
      <c r="Y501" s="138" t="s">
        <v>38</v>
      </c>
      <c r="Z501" s="136" t="s">
        <v>2406</v>
      </c>
      <c r="AA501" s="206" t="s">
        <v>2407</v>
      </c>
      <c r="AB501" s="136" t="s">
        <v>761</v>
      </c>
      <c r="AC501" s="138">
        <v>100000</v>
      </c>
      <c r="AD501" s="449">
        <v>1</v>
      </c>
      <c r="AE501" s="449">
        <v>1</v>
      </c>
      <c r="AF501">
        <v>0</v>
      </c>
      <c r="AG501" s="452">
        <v>6</v>
      </c>
    </row>
    <row r="502" spans="1:33" ht="17.25" x14ac:dyDescent="0.3">
      <c r="A502" s="132">
        <v>106307</v>
      </c>
      <c r="B502" s="136" t="s">
        <v>2408</v>
      </c>
      <c r="C502" s="136" t="s">
        <v>2409</v>
      </c>
      <c r="D502" s="138" t="s">
        <v>33</v>
      </c>
      <c r="E502" s="138">
        <v>6</v>
      </c>
      <c r="F502" s="136" t="s">
        <v>727</v>
      </c>
      <c r="G502" s="138" t="s">
        <v>764</v>
      </c>
      <c r="H502" s="138" t="s">
        <v>295</v>
      </c>
      <c r="I502" s="138">
        <v>5</v>
      </c>
      <c r="J502" s="118">
        <v>5</v>
      </c>
      <c r="K502" s="138">
        <v>0</v>
      </c>
      <c r="L502" s="138">
        <v>3</v>
      </c>
      <c r="M502" s="138">
        <v>5</v>
      </c>
      <c r="N502" s="118" t="s">
        <v>83</v>
      </c>
      <c r="O502" s="136">
        <v>1</v>
      </c>
      <c r="P502" s="447">
        <v>0.7</v>
      </c>
      <c r="Q502" s="138">
        <v>0</v>
      </c>
      <c r="R502" s="138">
        <v>1</v>
      </c>
      <c r="S502" s="138" t="b">
        <v>1</v>
      </c>
      <c r="T502" s="138">
        <v>91</v>
      </c>
      <c r="U502" s="118">
        <v>1365</v>
      </c>
      <c r="V502" s="118">
        <v>1820</v>
      </c>
      <c r="W502" s="138">
        <v>0</v>
      </c>
      <c r="X502" s="138">
        <v>7</v>
      </c>
      <c r="Y502" s="138" t="s">
        <v>38</v>
      </c>
      <c r="Z502" s="136" t="s">
        <v>2410</v>
      </c>
      <c r="AA502" s="206" t="s">
        <v>2411</v>
      </c>
      <c r="AB502" s="136" t="s">
        <v>767</v>
      </c>
      <c r="AC502" s="138">
        <v>100000</v>
      </c>
      <c r="AD502" s="449">
        <v>1</v>
      </c>
      <c r="AE502" s="449">
        <v>1</v>
      </c>
      <c r="AF502">
        <v>106307</v>
      </c>
      <c r="AG502" s="452">
        <v>7</v>
      </c>
    </row>
    <row r="503" spans="1:33" ht="17.25" x14ac:dyDescent="0.3">
      <c r="A503" s="132">
        <v>109303</v>
      </c>
      <c r="B503" s="136" t="s">
        <v>2412</v>
      </c>
      <c r="C503" s="136" t="s">
        <v>2413</v>
      </c>
      <c r="D503" s="138" t="s">
        <v>33</v>
      </c>
      <c r="E503" s="138">
        <v>9</v>
      </c>
      <c r="F503" s="136" t="s">
        <v>812</v>
      </c>
      <c r="G503" s="138"/>
      <c r="H503" s="138" t="s">
        <v>295</v>
      </c>
      <c r="I503" s="138">
        <v>4</v>
      </c>
      <c r="J503" s="118">
        <v>4</v>
      </c>
      <c r="K503" s="138">
        <v>0</v>
      </c>
      <c r="L503" s="138">
        <v>3</v>
      </c>
      <c r="M503" s="138">
        <v>4</v>
      </c>
      <c r="N503" s="118" t="s">
        <v>57</v>
      </c>
      <c r="O503" s="136">
        <v>99</v>
      </c>
      <c r="P503" s="447">
        <v>0.9</v>
      </c>
      <c r="Q503" s="138">
        <v>0</v>
      </c>
      <c r="R503" s="138">
        <v>1</v>
      </c>
      <c r="S503" s="138" t="b">
        <v>1</v>
      </c>
      <c r="T503" s="138">
        <v>39</v>
      </c>
      <c r="U503" s="118">
        <v>585</v>
      </c>
      <c r="V503" s="118">
        <v>780</v>
      </c>
      <c r="W503" s="138">
        <v>0</v>
      </c>
      <c r="X503" s="138">
        <v>3</v>
      </c>
      <c r="Y503" s="138" t="s">
        <v>38</v>
      </c>
      <c r="Z503" s="136" t="s">
        <v>2414</v>
      </c>
      <c r="AA503" s="206" t="s">
        <v>2415</v>
      </c>
      <c r="AB503" s="136" t="s">
        <v>825</v>
      </c>
      <c r="AC503" s="138">
        <v>100000</v>
      </c>
      <c r="AD503" s="449">
        <v>1</v>
      </c>
      <c r="AE503" s="449">
        <v>1</v>
      </c>
      <c r="AF503">
        <v>0</v>
      </c>
      <c r="AG503" s="452">
        <v>3</v>
      </c>
    </row>
    <row r="504" spans="1:33" ht="17.25" x14ac:dyDescent="0.3">
      <c r="A504" s="132">
        <v>109304</v>
      </c>
      <c r="B504" s="136" t="s">
        <v>2416</v>
      </c>
      <c r="C504" s="136" t="s">
        <v>2417</v>
      </c>
      <c r="D504" s="138" t="s">
        <v>33</v>
      </c>
      <c r="E504" s="138">
        <v>9</v>
      </c>
      <c r="F504" s="136" t="s">
        <v>812</v>
      </c>
      <c r="G504" s="138"/>
      <c r="H504" s="138" t="s">
        <v>295</v>
      </c>
      <c r="I504" s="138">
        <v>4</v>
      </c>
      <c r="J504" s="118">
        <v>4</v>
      </c>
      <c r="K504" s="138">
        <v>0</v>
      </c>
      <c r="L504" s="138">
        <v>3</v>
      </c>
      <c r="M504" s="138">
        <v>4</v>
      </c>
      <c r="N504" s="118" t="s">
        <v>64</v>
      </c>
      <c r="O504" s="136">
        <v>99</v>
      </c>
      <c r="P504" s="447">
        <v>0.8</v>
      </c>
      <c r="Q504" s="138">
        <v>0</v>
      </c>
      <c r="R504" s="138">
        <v>1</v>
      </c>
      <c r="S504" s="138" t="b">
        <v>1</v>
      </c>
      <c r="T504" s="138">
        <v>52</v>
      </c>
      <c r="U504" s="118">
        <v>780</v>
      </c>
      <c r="V504" s="118">
        <v>1040</v>
      </c>
      <c r="W504" s="138">
        <v>0</v>
      </c>
      <c r="X504" s="138">
        <v>4</v>
      </c>
      <c r="Y504" s="138" t="s">
        <v>38</v>
      </c>
      <c r="Z504" s="136" t="s">
        <v>2418</v>
      </c>
      <c r="AA504" s="206" t="s">
        <v>2419</v>
      </c>
      <c r="AB504" s="136" t="s">
        <v>840</v>
      </c>
      <c r="AC504" s="138">
        <v>100000</v>
      </c>
      <c r="AD504" s="449">
        <v>1</v>
      </c>
      <c r="AE504" s="449">
        <v>1</v>
      </c>
      <c r="AF504">
        <v>109304</v>
      </c>
      <c r="AG504" s="452">
        <v>4</v>
      </c>
    </row>
    <row r="505" spans="1:33" ht="17.25" x14ac:dyDescent="0.3">
      <c r="A505" s="132">
        <v>109205</v>
      </c>
      <c r="B505" s="136" t="s">
        <v>2420</v>
      </c>
      <c r="C505" s="136" t="s">
        <v>2421</v>
      </c>
      <c r="D505" s="138" t="s">
        <v>33</v>
      </c>
      <c r="E505" s="138">
        <v>9</v>
      </c>
      <c r="F505" s="136" t="s">
        <v>812</v>
      </c>
      <c r="G505" s="138"/>
      <c r="H505" s="138" t="s">
        <v>295</v>
      </c>
      <c r="I505" s="138">
        <v>5</v>
      </c>
      <c r="J505" s="118">
        <v>5</v>
      </c>
      <c r="K505" s="138">
        <v>0</v>
      </c>
      <c r="L505" s="138">
        <v>3</v>
      </c>
      <c r="M505" s="138">
        <v>5</v>
      </c>
      <c r="N505" s="118" t="s">
        <v>71</v>
      </c>
      <c r="O505" s="136">
        <v>99</v>
      </c>
      <c r="P505" s="447">
        <v>0.9</v>
      </c>
      <c r="Q505" s="138">
        <v>0</v>
      </c>
      <c r="R505" s="138">
        <v>1</v>
      </c>
      <c r="S505" s="138" t="b">
        <v>1</v>
      </c>
      <c r="T505" s="138">
        <v>65</v>
      </c>
      <c r="U505" s="118">
        <v>975</v>
      </c>
      <c r="V505" s="118">
        <v>1300</v>
      </c>
      <c r="W505" s="138">
        <v>0</v>
      </c>
      <c r="X505" s="138">
        <v>5</v>
      </c>
      <c r="Y505" s="138" t="s">
        <v>38</v>
      </c>
      <c r="Z505" s="136" t="s">
        <v>2422</v>
      </c>
      <c r="AA505" s="206" t="s">
        <v>2423</v>
      </c>
      <c r="AB505" s="136" t="s">
        <v>830</v>
      </c>
      <c r="AC505" s="138">
        <v>100000</v>
      </c>
      <c r="AD505" s="449">
        <v>1</v>
      </c>
      <c r="AE505" s="449">
        <v>1</v>
      </c>
      <c r="AF505">
        <v>109205</v>
      </c>
      <c r="AG505" s="452">
        <v>5</v>
      </c>
    </row>
    <row r="506" spans="1:33" ht="17.25" x14ac:dyDescent="0.3">
      <c r="A506" s="132">
        <v>109206</v>
      </c>
      <c r="B506" s="136" t="s">
        <v>2424</v>
      </c>
      <c r="C506" s="136" t="s">
        <v>2425</v>
      </c>
      <c r="D506" s="138" t="s">
        <v>33</v>
      </c>
      <c r="E506" s="138">
        <v>9</v>
      </c>
      <c r="F506" s="136" t="s">
        <v>812</v>
      </c>
      <c r="G506" s="138"/>
      <c r="H506" s="138" t="s">
        <v>611</v>
      </c>
      <c r="I506" s="138">
        <v>5</v>
      </c>
      <c r="J506" s="118">
        <v>5</v>
      </c>
      <c r="K506" s="138">
        <v>0</v>
      </c>
      <c r="L506" s="138">
        <v>3</v>
      </c>
      <c r="M506" s="138">
        <v>5</v>
      </c>
      <c r="N506" s="118" t="s">
        <v>77</v>
      </c>
      <c r="O506" s="136">
        <v>99</v>
      </c>
      <c r="P506" s="447">
        <v>0.9</v>
      </c>
      <c r="Q506" s="138">
        <v>0</v>
      </c>
      <c r="R506" s="138">
        <v>1</v>
      </c>
      <c r="S506" s="138" t="b">
        <v>1</v>
      </c>
      <c r="T506" s="138">
        <v>78</v>
      </c>
      <c r="U506" s="118">
        <v>1170</v>
      </c>
      <c r="V506" s="118">
        <v>1560</v>
      </c>
      <c r="W506" s="138">
        <v>0</v>
      </c>
      <c r="X506" s="138">
        <v>6</v>
      </c>
      <c r="Y506" s="138" t="s">
        <v>38</v>
      </c>
      <c r="Z506" s="136" t="s">
        <v>2426</v>
      </c>
      <c r="AA506" s="206" t="s">
        <v>2427</v>
      </c>
      <c r="AB506" s="136" t="s">
        <v>2428</v>
      </c>
      <c r="AC506" s="138">
        <v>100000</v>
      </c>
      <c r="AD506" s="449">
        <v>1</v>
      </c>
      <c r="AE506" s="449">
        <v>1</v>
      </c>
      <c r="AF506">
        <v>109206</v>
      </c>
      <c r="AG506" s="452">
        <v>6</v>
      </c>
    </row>
    <row r="507" spans="1:33" ht="17.25" x14ac:dyDescent="0.3">
      <c r="A507" s="132">
        <v>109307</v>
      </c>
      <c r="B507" s="136" t="s">
        <v>2429</v>
      </c>
      <c r="C507" s="136" t="s">
        <v>2430</v>
      </c>
      <c r="D507" s="138" t="s">
        <v>33</v>
      </c>
      <c r="E507" s="138">
        <v>9</v>
      </c>
      <c r="F507" s="136" t="s">
        <v>812</v>
      </c>
      <c r="G507" s="138"/>
      <c r="H507" s="138" t="s">
        <v>295</v>
      </c>
      <c r="I507" s="138">
        <v>6</v>
      </c>
      <c r="J507" s="118">
        <v>6</v>
      </c>
      <c r="K507" s="138">
        <v>0</v>
      </c>
      <c r="L507" s="138">
        <v>3</v>
      </c>
      <c r="M507" s="138">
        <v>6</v>
      </c>
      <c r="N507" s="118" t="s">
        <v>83</v>
      </c>
      <c r="O507" s="136">
        <v>99</v>
      </c>
      <c r="P507" s="447">
        <v>0.9</v>
      </c>
      <c r="Q507" s="138">
        <v>0</v>
      </c>
      <c r="R507" s="138">
        <v>1</v>
      </c>
      <c r="S507" s="138" t="b">
        <v>1</v>
      </c>
      <c r="T507" s="138">
        <v>91</v>
      </c>
      <c r="U507" s="118">
        <v>1365</v>
      </c>
      <c r="V507" s="118">
        <v>1820</v>
      </c>
      <c r="W507" s="138">
        <v>0</v>
      </c>
      <c r="X507" s="138">
        <v>7</v>
      </c>
      <c r="Y507" s="138" t="s">
        <v>38</v>
      </c>
      <c r="Z507" s="136" t="s">
        <v>2431</v>
      </c>
      <c r="AA507" s="206" t="s">
        <v>2432</v>
      </c>
      <c r="AB507" s="136" t="s">
        <v>884</v>
      </c>
      <c r="AC507" s="138">
        <v>100000</v>
      </c>
      <c r="AD507" s="449">
        <v>1</v>
      </c>
      <c r="AE507" s="449">
        <v>1</v>
      </c>
      <c r="AF507">
        <v>0</v>
      </c>
      <c r="AG507" s="452">
        <v>7</v>
      </c>
    </row>
    <row r="508" spans="1:33" ht="17.25" x14ac:dyDescent="0.3">
      <c r="A508" s="132">
        <v>110303</v>
      </c>
      <c r="B508" s="136" t="s">
        <v>2433</v>
      </c>
      <c r="C508" s="136" t="s">
        <v>2434</v>
      </c>
      <c r="D508" s="138" t="s">
        <v>33</v>
      </c>
      <c r="E508" s="138">
        <v>10</v>
      </c>
      <c r="F508" s="136" t="s">
        <v>887</v>
      </c>
      <c r="G508" s="138" t="s">
        <v>894</v>
      </c>
      <c r="H508" s="138" t="s">
        <v>295</v>
      </c>
      <c r="I508" s="138">
        <v>5</v>
      </c>
      <c r="J508" s="118">
        <v>5</v>
      </c>
      <c r="K508" s="138">
        <v>0</v>
      </c>
      <c r="L508" s="138">
        <v>3</v>
      </c>
      <c r="M508" s="138">
        <v>5</v>
      </c>
      <c r="N508" s="118" t="s">
        <v>57</v>
      </c>
      <c r="O508" s="136">
        <v>99</v>
      </c>
      <c r="P508" s="447">
        <v>0.9</v>
      </c>
      <c r="Q508" s="138">
        <v>0</v>
      </c>
      <c r="R508" s="138">
        <v>1</v>
      </c>
      <c r="S508" s="138" t="b">
        <v>1</v>
      </c>
      <c r="T508" s="138">
        <v>39</v>
      </c>
      <c r="U508" s="118">
        <v>585</v>
      </c>
      <c r="V508" s="118">
        <v>780</v>
      </c>
      <c r="W508" s="138">
        <v>0</v>
      </c>
      <c r="X508" s="138">
        <v>3</v>
      </c>
      <c r="Y508" s="138" t="s">
        <v>38</v>
      </c>
      <c r="Z508" s="136" t="s">
        <v>2435</v>
      </c>
      <c r="AA508" s="206" t="s">
        <v>2436</v>
      </c>
      <c r="AB508" s="136" t="s">
        <v>897</v>
      </c>
      <c r="AC508" s="138">
        <v>100000</v>
      </c>
      <c r="AD508" s="449">
        <v>1</v>
      </c>
      <c r="AE508" s="449">
        <v>1</v>
      </c>
      <c r="AF508">
        <v>110303</v>
      </c>
      <c r="AG508" s="452">
        <v>3</v>
      </c>
    </row>
    <row r="509" spans="1:33" ht="17.25" x14ac:dyDescent="0.3">
      <c r="A509" s="132">
        <v>110304</v>
      </c>
      <c r="B509" s="136" t="s">
        <v>2437</v>
      </c>
      <c r="C509" s="136" t="s">
        <v>2438</v>
      </c>
      <c r="D509" s="138" t="s">
        <v>33</v>
      </c>
      <c r="E509" s="138">
        <v>10</v>
      </c>
      <c r="F509" s="136" t="s">
        <v>887</v>
      </c>
      <c r="G509" s="138" t="s">
        <v>918</v>
      </c>
      <c r="H509" s="138" t="s">
        <v>295</v>
      </c>
      <c r="I509" s="138">
        <v>4</v>
      </c>
      <c r="J509" s="118">
        <v>4</v>
      </c>
      <c r="K509" s="138">
        <v>0</v>
      </c>
      <c r="L509" s="138">
        <v>3</v>
      </c>
      <c r="M509" s="138">
        <v>4</v>
      </c>
      <c r="N509" s="118" t="s">
        <v>64</v>
      </c>
      <c r="O509" s="136">
        <v>99</v>
      </c>
      <c r="P509" s="447">
        <v>0.9</v>
      </c>
      <c r="Q509" s="138">
        <v>0</v>
      </c>
      <c r="R509" s="138">
        <v>1</v>
      </c>
      <c r="S509" s="138" t="b">
        <v>1</v>
      </c>
      <c r="T509" s="138">
        <v>52</v>
      </c>
      <c r="U509" s="118">
        <v>780</v>
      </c>
      <c r="V509" s="118">
        <v>1040</v>
      </c>
      <c r="W509" s="138">
        <v>0</v>
      </c>
      <c r="X509" s="138">
        <v>4</v>
      </c>
      <c r="Y509" s="138" t="s">
        <v>38</v>
      </c>
      <c r="Z509" s="136" t="s">
        <v>2439</v>
      </c>
      <c r="AA509" s="206" t="s">
        <v>2440</v>
      </c>
      <c r="AB509" s="136" t="s">
        <v>921</v>
      </c>
      <c r="AC509" s="138">
        <v>100000</v>
      </c>
      <c r="AD509" s="449">
        <v>1</v>
      </c>
      <c r="AE509" s="449">
        <v>1</v>
      </c>
      <c r="AF509">
        <v>0</v>
      </c>
      <c r="AG509" s="452">
        <v>4</v>
      </c>
    </row>
    <row r="510" spans="1:33" ht="17.25" x14ac:dyDescent="0.3">
      <c r="A510" s="132">
        <v>110205</v>
      </c>
      <c r="B510" s="136" t="s">
        <v>2441</v>
      </c>
      <c r="C510" s="136" t="s">
        <v>2442</v>
      </c>
      <c r="D510" s="138" t="s">
        <v>33</v>
      </c>
      <c r="E510" s="138">
        <v>10</v>
      </c>
      <c r="F510" s="136" t="s">
        <v>887</v>
      </c>
      <c r="G510" s="138" t="s">
        <v>918</v>
      </c>
      <c r="H510" s="138" t="s">
        <v>295</v>
      </c>
      <c r="I510" s="138">
        <v>4</v>
      </c>
      <c r="J510" s="118">
        <v>4</v>
      </c>
      <c r="K510" s="138">
        <v>0</v>
      </c>
      <c r="L510" s="138">
        <v>3</v>
      </c>
      <c r="M510" s="138">
        <v>4</v>
      </c>
      <c r="N510" s="118" t="s">
        <v>71</v>
      </c>
      <c r="O510" s="136">
        <v>99</v>
      </c>
      <c r="P510" s="447">
        <v>0.9</v>
      </c>
      <c r="Q510" s="138">
        <v>0</v>
      </c>
      <c r="R510" s="138">
        <v>1</v>
      </c>
      <c r="S510" s="138" t="b">
        <v>1</v>
      </c>
      <c r="T510" s="138">
        <v>65</v>
      </c>
      <c r="U510" s="118">
        <v>975</v>
      </c>
      <c r="V510" s="118">
        <v>1300</v>
      </c>
      <c r="W510" s="138">
        <v>0</v>
      </c>
      <c r="X510" s="138">
        <v>5</v>
      </c>
      <c r="Y510" s="138" t="s">
        <v>38</v>
      </c>
      <c r="Z510" s="136" t="s">
        <v>2443</v>
      </c>
      <c r="AA510" s="206" t="s">
        <v>2444</v>
      </c>
      <c r="AB510" s="136" t="s">
        <v>909</v>
      </c>
      <c r="AC510" s="138">
        <v>100000</v>
      </c>
      <c r="AD510" s="449">
        <v>1</v>
      </c>
      <c r="AE510" s="449">
        <v>1</v>
      </c>
      <c r="AF510">
        <v>0</v>
      </c>
      <c r="AG510" s="452">
        <v>5</v>
      </c>
    </row>
    <row r="511" spans="1:33" ht="17.25" x14ac:dyDescent="0.3">
      <c r="A511" s="132">
        <v>110206</v>
      </c>
      <c r="B511" s="136" t="s">
        <v>2445</v>
      </c>
      <c r="C511" s="136" t="s">
        <v>2446</v>
      </c>
      <c r="D511" s="138" t="s">
        <v>33</v>
      </c>
      <c r="E511" s="138">
        <v>10</v>
      </c>
      <c r="F511" s="136" t="s">
        <v>887</v>
      </c>
      <c r="G511" s="138" t="s">
        <v>912</v>
      </c>
      <c r="H511" s="138" t="s">
        <v>295</v>
      </c>
      <c r="I511" s="138">
        <v>4</v>
      </c>
      <c r="J511" s="118">
        <v>4</v>
      </c>
      <c r="K511" s="138">
        <v>0</v>
      </c>
      <c r="L511" s="138">
        <v>3</v>
      </c>
      <c r="M511" s="138">
        <v>4</v>
      </c>
      <c r="N511" s="118" t="s">
        <v>77</v>
      </c>
      <c r="O511" s="136">
        <v>99</v>
      </c>
      <c r="P511" s="447">
        <v>0.9</v>
      </c>
      <c r="Q511" s="138">
        <v>0</v>
      </c>
      <c r="R511" s="138">
        <v>1</v>
      </c>
      <c r="S511" s="138" t="b">
        <v>1</v>
      </c>
      <c r="T511" s="138">
        <v>78</v>
      </c>
      <c r="U511" s="118">
        <v>1170</v>
      </c>
      <c r="V511" s="118">
        <v>1560</v>
      </c>
      <c r="W511" s="138">
        <v>0</v>
      </c>
      <c r="X511" s="138">
        <v>6</v>
      </c>
      <c r="Y511" s="138" t="s">
        <v>38</v>
      </c>
      <c r="Z511" s="136" t="s">
        <v>2447</v>
      </c>
      <c r="AA511" s="206" t="s">
        <v>2448</v>
      </c>
      <c r="AB511" s="136" t="s">
        <v>915</v>
      </c>
      <c r="AC511" s="138">
        <v>100000</v>
      </c>
      <c r="AD511" s="449">
        <v>1</v>
      </c>
      <c r="AE511" s="449">
        <v>1</v>
      </c>
      <c r="AF511">
        <v>0</v>
      </c>
      <c r="AG511" s="452">
        <v>6</v>
      </c>
    </row>
    <row r="512" spans="1:33" ht="17.25" x14ac:dyDescent="0.3">
      <c r="A512" s="132">
        <v>110307</v>
      </c>
      <c r="B512" s="136" t="s">
        <v>2449</v>
      </c>
      <c r="C512" s="136" t="s">
        <v>2450</v>
      </c>
      <c r="D512" s="138" t="s">
        <v>33</v>
      </c>
      <c r="E512" s="138">
        <v>10</v>
      </c>
      <c r="F512" s="136" t="s">
        <v>887</v>
      </c>
      <c r="G512" s="138" t="s">
        <v>924</v>
      </c>
      <c r="H512" s="138" t="s">
        <v>295</v>
      </c>
      <c r="I512" s="138">
        <v>6</v>
      </c>
      <c r="J512" s="118">
        <v>6</v>
      </c>
      <c r="K512" s="138">
        <v>0</v>
      </c>
      <c r="L512" s="138">
        <v>3</v>
      </c>
      <c r="M512" s="138">
        <v>6</v>
      </c>
      <c r="N512" s="118" t="s">
        <v>83</v>
      </c>
      <c r="O512" s="136">
        <v>99</v>
      </c>
      <c r="P512" s="447">
        <v>0.9</v>
      </c>
      <c r="Q512" s="138">
        <v>0</v>
      </c>
      <c r="R512" s="138">
        <v>1</v>
      </c>
      <c r="S512" s="138" t="b">
        <v>1</v>
      </c>
      <c r="T512" s="138">
        <v>91</v>
      </c>
      <c r="U512" s="118">
        <v>1365</v>
      </c>
      <c r="V512" s="118">
        <v>1820</v>
      </c>
      <c r="W512" s="138">
        <v>0</v>
      </c>
      <c r="X512" s="138">
        <v>7</v>
      </c>
      <c r="Y512" s="138" t="s">
        <v>38</v>
      </c>
      <c r="Z512" s="136" t="s">
        <v>2451</v>
      </c>
      <c r="AA512" s="206" t="s">
        <v>2452</v>
      </c>
      <c r="AB512" s="136" t="s">
        <v>921</v>
      </c>
      <c r="AC512" s="138">
        <v>100000</v>
      </c>
      <c r="AD512" s="449">
        <v>1</v>
      </c>
      <c r="AE512" s="449">
        <v>1</v>
      </c>
      <c r="AF512">
        <v>110307</v>
      </c>
      <c r="AG512" s="452">
        <v>7</v>
      </c>
    </row>
    <row r="513" spans="1:33" ht="17.25" x14ac:dyDescent="0.3">
      <c r="A513" s="132">
        <v>111403</v>
      </c>
      <c r="B513" s="136" t="s">
        <v>2453</v>
      </c>
      <c r="C513" s="136" t="s">
        <v>2454</v>
      </c>
      <c r="D513" s="138" t="s">
        <v>33</v>
      </c>
      <c r="E513" s="138">
        <v>11</v>
      </c>
      <c r="F513" s="136" t="s">
        <v>971</v>
      </c>
      <c r="G513" s="138" t="s">
        <v>972</v>
      </c>
      <c r="H513" s="138" t="s">
        <v>295</v>
      </c>
      <c r="I513" s="138">
        <v>4</v>
      </c>
      <c r="J513" s="118">
        <v>4</v>
      </c>
      <c r="K513" s="138">
        <v>0</v>
      </c>
      <c r="L513" s="138">
        <v>3</v>
      </c>
      <c r="M513" s="138">
        <v>4</v>
      </c>
      <c r="N513" s="118" t="s">
        <v>64</v>
      </c>
      <c r="O513" s="136">
        <v>99</v>
      </c>
      <c r="P513" s="447">
        <v>0.7</v>
      </c>
      <c r="Q513" s="138">
        <v>0</v>
      </c>
      <c r="R513" s="138">
        <v>1</v>
      </c>
      <c r="S513" s="138" t="b">
        <v>1</v>
      </c>
      <c r="T513" s="138">
        <v>52</v>
      </c>
      <c r="U513" s="118">
        <v>780</v>
      </c>
      <c r="V513" s="118">
        <v>1040</v>
      </c>
      <c r="W513" s="138">
        <v>0</v>
      </c>
      <c r="X513" s="138">
        <v>4</v>
      </c>
      <c r="Y513" s="138" t="s">
        <v>38</v>
      </c>
      <c r="Z513" s="136" t="s">
        <v>2455</v>
      </c>
      <c r="AA513" s="206" t="s">
        <v>2456</v>
      </c>
      <c r="AB513" s="136" t="s">
        <v>975</v>
      </c>
      <c r="AC513" s="138">
        <v>100000</v>
      </c>
      <c r="AD513" s="449">
        <v>1</v>
      </c>
      <c r="AE513" s="449">
        <v>1</v>
      </c>
      <c r="AF513">
        <v>111403</v>
      </c>
      <c r="AG513" s="452">
        <v>4</v>
      </c>
    </row>
    <row r="514" spans="1:33" ht="17.25" x14ac:dyDescent="0.3">
      <c r="A514" s="132">
        <v>111205</v>
      </c>
      <c r="B514" s="136" t="s">
        <v>2457</v>
      </c>
      <c r="C514" s="136" t="s">
        <v>2458</v>
      </c>
      <c r="D514" s="138" t="s">
        <v>33</v>
      </c>
      <c r="E514" s="138">
        <v>11</v>
      </c>
      <c r="F514" s="136" t="s">
        <v>971</v>
      </c>
      <c r="G514" s="138" t="s">
        <v>990</v>
      </c>
      <c r="H514" s="138" t="s">
        <v>295</v>
      </c>
      <c r="I514" s="138">
        <v>4</v>
      </c>
      <c r="J514" s="118">
        <v>4</v>
      </c>
      <c r="K514" s="138">
        <v>0</v>
      </c>
      <c r="L514" s="138">
        <v>3</v>
      </c>
      <c r="M514" s="138">
        <v>4</v>
      </c>
      <c r="N514" s="118" t="s">
        <v>71</v>
      </c>
      <c r="O514" s="136">
        <v>99</v>
      </c>
      <c r="P514" s="447">
        <v>0.7</v>
      </c>
      <c r="Q514" s="138">
        <v>0</v>
      </c>
      <c r="R514" s="138">
        <v>1</v>
      </c>
      <c r="S514" s="138" t="b">
        <v>1</v>
      </c>
      <c r="T514" s="138">
        <v>65</v>
      </c>
      <c r="U514" s="118">
        <v>975</v>
      </c>
      <c r="V514" s="118">
        <v>1300</v>
      </c>
      <c r="W514" s="138">
        <v>0</v>
      </c>
      <c r="X514" s="138">
        <v>5</v>
      </c>
      <c r="Y514" s="138" t="s">
        <v>38</v>
      </c>
      <c r="Z514" s="136" t="s">
        <v>2459</v>
      </c>
      <c r="AA514" s="206" t="s">
        <v>2460</v>
      </c>
      <c r="AB514" s="136" t="s">
        <v>987</v>
      </c>
      <c r="AC514" s="138">
        <v>100000</v>
      </c>
      <c r="AD514" s="449">
        <v>1</v>
      </c>
      <c r="AE514" s="449">
        <v>1</v>
      </c>
      <c r="AF514">
        <v>0</v>
      </c>
      <c r="AG514" s="452">
        <v>5</v>
      </c>
    </row>
    <row r="515" spans="1:33" ht="17.25" x14ac:dyDescent="0.3">
      <c r="A515" s="132">
        <v>111206</v>
      </c>
      <c r="B515" s="136" t="s">
        <v>2461</v>
      </c>
      <c r="C515" s="136" t="s">
        <v>2462</v>
      </c>
      <c r="D515" s="138" t="s">
        <v>33</v>
      </c>
      <c r="E515" s="138">
        <v>11</v>
      </c>
      <c r="F515" s="136" t="s">
        <v>971</v>
      </c>
      <c r="G515" s="138" t="s">
        <v>1002</v>
      </c>
      <c r="H515" s="138" t="s">
        <v>295</v>
      </c>
      <c r="I515" s="138">
        <v>5</v>
      </c>
      <c r="J515" s="118">
        <v>5</v>
      </c>
      <c r="K515" s="138">
        <v>0</v>
      </c>
      <c r="L515" s="138">
        <v>3</v>
      </c>
      <c r="M515" s="138">
        <v>5</v>
      </c>
      <c r="N515" s="118" t="s">
        <v>77</v>
      </c>
      <c r="O515" s="136">
        <v>99</v>
      </c>
      <c r="P515" s="447">
        <v>0.7</v>
      </c>
      <c r="Q515" s="138">
        <v>0</v>
      </c>
      <c r="R515" s="138">
        <v>1</v>
      </c>
      <c r="S515" s="138" t="b">
        <v>1</v>
      </c>
      <c r="T515" s="138">
        <v>78</v>
      </c>
      <c r="U515" s="118">
        <v>1170</v>
      </c>
      <c r="V515" s="118">
        <v>1560</v>
      </c>
      <c r="W515" s="138">
        <v>0</v>
      </c>
      <c r="X515" s="138">
        <v>6</v>
      </c>
      <c r="Y515" s="138" t="s">
        <v>38</v>
      </c>
      <c r="Z515" s="136" t="s">
        <v>2463</v>
      </c>
      <c r="AA515" s="206" t="s">
        <v>2464</v>
      </c>
      <c r="AB515" s="136" t="s">
        <v>981</v>
      </c>
      <c r="AC515" s="138">
        <v>100000</v>
      </c>
      <c r="AD515" s="449">
        <v>1</v>
      </c>
      <c r="AE515" s="449">
        <v>1</v>
      </c>
      <c r="AF515">
        <v>0</v>
      </c>
      <c r="AG515" s="452">
        <v>6</v>
      </c>
    </row>
    <row r="516" spans="1:33" ht="17.25" x14ac:dyDescent="0.3">
      <c r="A516" s="132">
        <v>111307</v>
      </c>
      <c r="B516" s="136" t="s">
        <v>2465</v>
      </c>
      <c r="C516" s="136" t="s">
        <v>2466</v>
      </c>
      <c r="D516" s="138" t="s">
        <v>33</v>
      </c>
      <c r="E516" s="138">
        <v>11</v>
      </c>
      <c r="F516" s="136" t="s">
        <v>971</v>
      </c>
      <c r="G516" s="138" t="s">
        <v>1008</v>
      </c>
      <c r="H516" s="138" t="s">
        <v>295</v>
      </c>
      <c r="I516" s="138">
        <v>6</v>
      </c>
      <c r="J516" s="118">
        <v>6</v>
      </c>
      <c r="K516" s="138">
        <v>0</v>
      </c>
      <c r="L516" s="138">
        <v>3</v>
      </c>
      <c r="M516" s="138">
        <v>6</v>
      </c>
      <c r="N516" s="118" t="s">
        <v>83</v>
      </c>
      <c r="O516" s="136">
        <v>99</v>
      </c>
      <c r="P516" s="447">
        <v>0.7</v>
      </c>
      <c r="Q516" s="138">
        <v>0</v>
      </c>
      <c r="R516" s="138">
        <v>1</v>
      </c>
      <c r="S516" s="138" t="b">
        <v>1</v>
      </c>
      <c r="T516" s="138">
        <v>91</v>
      </c>
      <c r="U516" s="118">
        <v>1365</v>
      </c>
      <c r="V516" s="118">
        <v>1820</v>
      </c>
      <c r="W516" s="138">
        <v>0</v>
      </c>
      <c r="X516" s="138">
        <v>7</v>
      </c>
      <c r="Y516" s="138" t="s">
        <v>38</v>
      </c>
      <c r="Z516" s="136" t="s">
        <v>2467</v>
      </c>
      <c r="AA516" s="206" t="s">
        <v>2468</v>
      </c>
      <c r="AB516" s="136" t="s">
        <v>999</v>
      </c>
      <c r="AC516" s="138">
        <v>100000</v>
      </c>
      <c r="AD516" s="449">
        <v>1</v>
      </c>
      <c r="AE516" s="449">
        <v>1</v>
      </c>
      <c r="AF516">
        <v>0</v>
      </c>
      <c r="AG516" s="452">
        <v>7</v>
      </c>
    </row>
    <row r="517" spans="1:33" ht="17.25" x14ac:dyDescent="0.3">
      <c r="A517" s="132">
        <v>112203</v>
      </c>
      <c r="B517" s="136" t="s">
        <v>2469</v>
      </c>
      <c r="C517" s="136" t="s">
        <v>2470</v>
      </c>
      <c r="D517" s="138" t="s">
        <v>33</v>
      </c>
      <c r="E517" s="138">
        <v>12</v>
      </c>
      <c r="F517" s="136" t="s">
        <v>1063</v>
      </c>
      <c r="G517" s="138" t="s">
        <v>1094</v>
      </c>
      <c r="H517" s="138" t="s">
        <v>295</v>
      </c>
      <c r="I517" s="138">
        <v>3</v>
      </c>
      <c r="J517" s="118">
        <v>3</v>
      </c>
      <c r="K517" s="138">
        <v>0</v>
      </c>
      <c r="L517" s="138">
        <v>3</v>
      </c>
      <c r="M517" s="138">
        <v>3</v>
      </c>
      <c r="N517" s="118" t="s">
        <v>57</v>
      </c>
      <c r="O517" s="136">
        <v>99</v>
      </c>
      <c r="P517" s="447">
        <v>0.8</v>
      </c>
      <c r="Q517" s="138">
        <v>0</v>
      </c>
      <c r="R517" s="138">
        <v>1</v>
      </c>
      <c r="S517" s="138" t="b">
        <v>1</v>
      </c>
      <c r="T517" s="138">
        <v>39</v>
      </c>
      <c r="U517" s="118">
        <v>585</v>
      </c>
      <c r="V517" s="118">
        <v>780</v>
      </c>
      <c r="W517" s="138">
        <v>0</v>
      </c>
      <c r="X517" s="138">
        <v>3</v>
      </c>
      <c r="Y517" s="138" t="s">
        <v>38</v>
      </c>
      <c r="Z517" s="136" t="s">
        <v>2471</v>
      </c>
      <c r="AA517" s="206" t="s">
        <v>2472</v>
      </c>
      <c r="AB517" s="136" t="s">
        <v>1079</v>
      </c>
      <c r="AC517" s="138">
        <v>100000</v>
      </c>
      <c r="AD517" s="449">
        <v>1</v>
      </c>
      <c r="AE517" s="449">
        <v>1</v>
      </c>
      <c r="AF517">
        <v>112203</v>
      </c>
      <c r="AG517" s="452">
        <v>3</v>
      </c>
    </row>
    <row r="518" spans="1:33" ht="17.25" x14ac:dyDescent="0.3">
      <c r="A518" s="132">
        <v>112204</v>
      </c>
      <c r="B518" s="136" t="s">
        <v>2473</v>
      </c>
      <c r="C518" s="136" t="s">
        <v>2474</v>
      </c>
      <c r="D518" s="138" t="s">
        <v>33</v>
      </c>
      <c r="E518" s="138">
        <v>12</v>
      </c>
      <c r="F518" s="136" t="s">
        <v>1063</v>
      </c>
      <c r="G518" s="138" t="s">
        <v>1082</v>
      </c>
      <c r="H518" s="138" t="s">
        <v>295</v>
      </c>
      <c r="I518" s="138">
        <v>3</v>
      </c>
      <c r="J518" s="118">
        <v>3</v>
      </c>
      <c r="K518" s="138">
        <v>0</v>
      </c>
      <c r="L518" s="138">
        <v>3</v>
      </c>
      <c r="M518" s="138">
        <v>3</v>
      </c>
      <c r="N518" s="118" t="s">
        <v>64</v>
      </c>
      <c r="O518" s="136">
        <v>99</v>
      </c>
      <c r="P518" s="447">
        <v>0.8</v>
      </c>
      <c r="Q518" s="138">
        <v>0</v>
      </c>
      <c r="R518" s="138">
        <v>1</v>
      </c>
      <c r="S518" s="138" t="b">
        <v>1</v>
      </c>
      <c r="T518" s="138">
        <v>52</v>
      </c>
      <c r="U518" s="118">
        <v>780</v>
      </c>
      <c r="V518" s="118">
        <v>1040</v>
      </c>
      <c r="W518" s="138">
        <v>0</v>
      </c>
      <c r="X518" s="138">
        <v>4</v>
      </c>
      <c r="Y518" s="138" t="s">
        <v>38</v>
      </c>
      <c r="Z518" s="136" t="s">
        <v>2475</v>
      </c>
      <c r="AA518" s="206" t="s">
        <v>2476</v>
      </c>
      <c r="AB518" s="136" t="s">
        <v>1085</v>
      </c>
      <c r="AC518" s="138">
        <v>100000</v>
      </c>
      <c r="AD518" s="449">
        <v>1</v>
      </c>
      <c r="AE518" s="449">
        <v>1</v>
      </c>
      <c r="AF518">
        <v>0</v>
      </c>
      <c r="AG518" s="452">
        <v>4</v>
      </c>
    </row>
    <row r="519" spans="1:33" ht="17.25" x14ac:dyDescent="0.3">
      <c r="A519" s="132">
        <v>112205</v>
      </c>
      <c r="B519" s="136" t="s">
        <v>2477</v>
      </c>
      <c r="C519" s="136" t="s">
        <v>2478</v>
      </c>
      <c r="D519" s="138" t="s">
        <v>33</v>
      </c>
      <c r="E519" s="138">
        <v>12</v>
      </c>
      <c r="F519" s="136" t="s">
        <v>1063</v>
      </c>
      <c r="G519" s="138" t="s">
        <v>1076</v>
      </c>
      <c r="H519" s="138" t="s">
        <v>295</v>
      </c>
      <c r="I519" s="138">
        <v>6</v>
      </c>
      <c r="J519" s="118">
        <v>6</v>
      </c>
      <c r="K519" s="138">
        <v>0</v>
      </c>
      <c r="L519" s="138">
        <v>3</v>
      </c>
      <c r="M519" s="138">
        <v>6</v>
      </c>
      <c r="N519" s="118" t="s">
        <v>71</v>
      </c>
      <c r="O519" s="136">
        <v>99</v>
      </c>
      <c r="P519" s="447">
        <v>0.7</v>
      </c>
      <c r="Q519" s="138">
        <v>0</v>
      </c>
      <c r="R519" s="138">
        <v>1</v>
      </c>
      <c r="S519" s="138" t="b">
        <v>1</v>
      </c>
      <c r="T519" s="138">
        <v>65</v>
      </c>
      <c r="U519" s="118">
        <v>975</v>
      </c>
      <c r="V519" s="118">
        <v>1300</v>
      </c>
      <c r="W519" s="138">
        <v>0</v>
      </c>
      <c r="X519" s="138">
        <v>5</v>
      </c>
      <c r="Y519" s="138" t="s">
        <v>38</v>
      </c>
      <c r="Z519" s="136" t="s">
        <v>2479</v>
      </c>
      <c r="AA519" s="206" t="s">
        <v>2480</v>
      </c>
      <c r="AB519" s="136" t="s">
        <v>1091</v>
      </c>
      <c r="AC519" s="138">
        <v>100000</v>
      </c>
      <c r="AD519" s="449">
        <v>1</v>
      </c>
      <c r="AE519" s="449">
        <v>1</v>
      </c>
      <c r="AF519">
        <v>0</v>
      </c>
      <c r="AG519" s="452">
        <v>5</v>
      </c>
    </row>
    <row r="520" spans="1:33" ht="17.25" x14ac:dyDescent="0.3">
      <c r="A520" s="132">
        <v>112206</v>
      </c>
      <c r="B520" s="136" t="s">
        <v>2481</v>
      </c>
      <c r="C520" s="136" t="s">
        <v>2482</v>
      </c>
      <c r="D520" s="138" t="s">
        <v>33</v>
      </c>
      <c r="E520" s="138">
        <v>12</v>
      </c>
      <c r="F520" s="136" t="s">
        <v>1063</v>
      </c>
      <c r="G520" s="138" t="s">
        <v>1088</v>
      </c>
      <c r="H520" s="138" t="s">
        <v>295</v>
      </c>
      <c r="I520" s="138">
        <v>6</v>
      </c>
      <c r="J520" s="118">
        <v>6</v>
      </c>
      <c r="K520" s="138">
        <v>0</v>
      </c>
      <c r="L520" s="138">
        <v>3</v>
      </c>
      <c r="M520" s="138">
        <v>6</v>
      </c>
      <c r="N520" s="118" t="s">
        <v>77</v>
      </c>
      <c r="O520" s="136">
        <v>99</v>
      </c>
      <c r="P520" s="447">
        <v>0.8</v>
      </c>
      <c r="Q520" s="138">
        <v>0</v>
      </c>
      <c r="R520" s="138">
        <v>1</v>
      </c>
      <c r="S520" s="138" t="b">
        <v>1</v>
      </c>
      <c r="T520" s="138">
        <v>78</v>
      </c>
      <c r="U520" s="118">
        <v>1170</v>
      </c>
      <c r="V520" s="118">
        <v>1560</v>
      </c>
      <c r="W520" s="138">
        <v>0</v>
      </c>
      <c r="X520" s="138">
        <v>6</v>
      </c>
      <c r="Y520" s="138" t="s">
        <v>38</v>
      </c>
      <c r="Z520" s="136" t="s">
        <v>2483</v>
      </c>
      <c r="AA520" s="206" t="s">
        <v>2484</v>
      </c>
      <c r="AB520" s="136" t="s">
        <v>1097</v>
      </c>
      <c r="AC520" s="138">
        <v>100000</v>
      </c>
      <c r="AD520" s="449">
        <v>1</v>
      </c>
      <c r="AE520" s="449">
        <v>1</v>
      </c>
      <c r="AF520">
        <v>0</v>
      </c>
      <c r="AG520" s="452">
        <v>6</v>
      </c>
    </row>
    <row r="521" spans="1:33" ht="17.25" x14ac:dyDescent="0.3">
      <c r="A521" s="132">
        <v>112307</v>
      </c>
      <c r="B521" s="136" t="s">
        <v>2485</v>
      </c>
      <c r="C521" s="136" t="s">
        <v>2486</v>
      </c>
      <c r="D521" s="138" t="s">
        <v>33</v>
      </c>
      <c r="E521" s="138">
        <v>12</v>
      </c>
      <c r="F521" s="136" t="s">
        <v>1063</v>
      </c>
      <c r="G521" s="138" t="s">
        <v>1100</v>
      </c>
      <c r="H521" s="138" t="s">
        <v>295</v>
      </c>
      <c r="I521" s="138">
        <v>5</v>
      </c>
      <c r="J521" s="118">
        <v>5</v>
      </c>
      <c r="K521" s="138">
        <v>0</v>
      </c>
      <c r="L521" s="138">
        <v>3</v>
      </c>
      <c r="M521" s="138">
        <v>5</v>
      </c>
      <c r="N521" s="118" t="s">
        <v>83</v>
      </c>
      <c r="O521" s="136">
        <v>99</v>
      </c>
      <c r="P521" s="447">
        <v>0.8</v>
      </c>
      <c r="Q521" s="138">
        <v>0</v>
      </c>
      <c r="R521" s="138">
        <v>1</v>
      </c>
      <c r="S521" s="138" t="b">
        <v>1</v>
      </c>
      <c r="T521" s="138">
        <v>91</v>
      </c>
      <c r="U521" s="118">
        <v>1365</v>
      </c>
      <c r="V521" s="118">
        <v>1820</v>
      </c>
      <c r="W521" s="138">
        <v>0</v>
      </c>
      <c r="X521" s="138">
        <v>7</v>
      </c>
      <c r="Y521" s="138" t="s">
        <v>38</v>
      </c>
      <c r="Z521" s="136" t="s">
        <v>2487</v>
      </c>
      <c r="AA521" s="206" t="s">
        <v>2488</v>
      </c>
      <c r="AB521" s="136" t="s">
        <v>1103</v>
      </c>
      <c r="AC521" s="138">
        <v>100000</v>
      </c>
      <c r="AD521" s="449">
        <v>1</v>
      </c>
      <c r="AE521" s="449">
        <v>1</v>
      </c>
      <c r="AF521">
        <v>112307</v>
      </c>
      <c r="AG521" s="452">
        <v>7</v>
      </c>
    </row>
    <row r="522" spans="1:33" ht="17.25" x14ac:dyDescent="0.3">
      <c r="A522" s="132">
        <v>114303</v>
      </c>
      <c r="B522" s="136" t="s">
        <v>2489</v>
      </c>
      <c r="C522" s="136" t="s">
        <v>2490</v>
      </c>
      <c r="D522" s="138" t="s">
        <v>33</v>
      </c>
      <c r="E522" s="138">
        <v>14</v>
      </c>
      <c r="F522" s="136" t="s">
        <v>1220</v>
      </c>
      <c r="G522" s="138" t="s">
        <v>1221</v>
      </c>
      <c r="H522" s="138" t="s">
        <v>295</v>
      </c>
      <c r="I522" s="138">
        <v>4</v>
      </c>
      <c r="J522" s="118">
        <v>4</v>
      </c>
      <c r="K522" s="138">
        <v>0</v>
      </c>
      <c r="L522" s="138">
        <v>3</v>
      </c>
      <c r="M522" s="138">
        <v>4</v>
      </c>
      <c r="N522" s="118" t="s">
        <v>57</v>
      </c>
      <c r="O522" s="136">
        <v>99</v>
      </c>
      <c r="P522" s="447">
        <v>0.9</v>
      </c>
      <c r="Q522" s="138">
        <v>0</v>
      </c>
      <c r="R522" s="138">
        <v>1</v>
      </c>
      <c r="S522" s="138" t="b">
        <v>1</v>
      </c>
      <c r="T522" s="138">
        <v>45</v>
      </c>
      <c r="U522" s="118">
        <v>675</v>
      </c>
      <c r="V522" s="118">
        <v>900</v>
      </c>
      <c r="W522" s="138">
        <v>0</v>
      </c>
      <c r="X522" s="138">
        <v>3</v>
      </c>
      <c r="Y522" s="138" t="s">
        <v>38</v>
      </c>
      <c r="Z522" s="136" t="s">
        <v>2491</v>
      </c>
      <c r="AA522" s="206" t="s">
        <v>2492</v>
      </c>
      <c r="AB522" s="136" t="s">
        <v>1224</v>
      </c>
      <c r="AC522" s="138">
        <v>100000</v>
      </c>
      <c r="AD522" s="449">
        <v>1</v>
      </c>
      <c r="AE522" s="449">
        <v>1</v>
      </c>
      <c r="AF522">
        <v>114303</v>
      </c>
      <c r="AG522" s="452">
        <v>3</v>
      </c>
    </row>
    <row r="523" spans="1:33" ht="17.25" x14ac:dyDescent="0.3">
      <c r="A523" s="132">
        <v>114304</v>
      </c>
      <c r="B523" s="136" t="s">
        <v>2493</v>
      </c>
      <c r="C523" s="136" t="s">
        <v>2494</v>
      </c>
      <c r="D523" s="138" t="s">
        <v>33</v>
      </c>
      <c r="E523" s="138">
        <v>14</v>
      </c>
      <c r="F523" s="136" t="s">
        <v>1220</v>
      </c>
      <c r="G523" s="138" t="s">
        <v>1227</v>
      </c>
      <c r="H523" s="138" t="s">
        <v>295</v>
      </c>
      <c r="I523" s="138">
        <v>4</v>
      </c>
      <c r="J523" s="118">
        <v>4</v>
      </c>
      <c r="K523" s="138">
        <v>0</v>
      </c>
      <c r="L523" s="138">
        <v>3</v>
      </c>
      <c r="M523" s="138">
        <v>4</v>
      </c>
      <c r="N523" s="118" t="s">
        <v>64</v>
      </c>
      <c r="O523" s="136">
        <v>99</v>
      </c>
      <c r="P523" s="447">
        <v>0.9</v>
      </c>
      <c r="Q523" s="138">
        <v>0</v>
      </c>
      <c r="R523" s="138">
        <v>1</v>
      </c>
      <c r="S523" s="138" t="b">
        <v>1</v>
      </c>
      <c r="T523" s="138">
        <v>45</v>
      </c>
      <c r="U523" s="118">
        <v>675</v>
      </c>
      <c r="V523" s="118">
        <v>900</v>
      </c>
      <c r="W523" s="138">
        <v>0</v>
      </c>
      <c r="X523" s="138">
        <v>4</v>
      </c>
      <c r="Y523" s="138" t="s">
        <v>38</v>
      </c>
      <c r="Z523" s="136" t="s">
        <v>2495</v>
      </c>
      <c r="AA523" s="206" t="s">
        <v>2496</v>
      </c>
      <c r="AB523" s="136" t="s">
        <v>1230</v>
      </c>
      <c r="AC523" s="138">
        <v>100000</v>
      </c>
      <c r="AD523" s="449">
        <v>1</v>
      </c>
      <c r="AE523" s="449">
        <v>1</v>
      </c>
      <c r="AF523">
        <v>0</v>
      </c>
      <c r="AG523" s="452">
        <v>4</v>
      </c>
    </row>
    <row r="524" spans="1:33" ht="17.25" x14ac:dyDescent="0.3">
      <c r="A524" s="132">
        <v>114305</v>
      </c>
      <c r="B524" s="136" t="s">
        <v>2497</v>
      </c>
      <c r="C524" s="136" t="s">
        <v>2498</v>
      </c>
      <c r="D524" s="138" t="s">
        <v>33</v>
      </c>
      <c r="E524" s="138">
        <v>14</v>
      </c>
      <c r="F524" s="136" t="s">
        <v>1220</v>
      </c>
      <c r="G524" s="138" t="s">
        <v>1233</v>
      </c>
      <c r="H524" s="138" t="s">
        <v>295</v>
      </c>
      <c r="I524" s="138">
        <v>6</v>
      </c>
      <c r="J524" s="118">
        <v>6</v>
      </c>
      <c r="K524" s="138">
        <v>0</v>
      </c>
      <c r="L524" s="138">
        <v>3</v>
      </c>
      <c r="M524" s="138">
        <v>6</v>
      </c>
      <c r="N524" s="118" t="s">
        <v>71</v>
      </c>
      <c r="O524" s="136">
        <v>99</v>
      </c>
      <c r="P524" s="447">
        <v>0.9</v>
      </c>
      <c r="Q524" s="138">
        <v>0</v>
      </c>
      <c r="R524" s="138">
        <v>1</v>
      </c>
      <c r="S524" s="138" t="b">
        <v>1</v>
      </c>
      <c r="T524" s="138">
        <v>45</v>
      </c>
      <c r="U524" s="118">
        <v>675</v>
      </c>
      <c r="V524" s="118">
        <v>900</v>
      </c>
      <c r="W524" s="138">
        <v>0</v>
      </c>
      <c r="X524" s="138">
        <v>5</v>
      </c>
      <c r="Y524" s="138" t="s">
        <v>38</v>
      </c>
      <c r="Z524" s="136" t="s">
        <v>2499</v>
      </c>
      <c r="AA524" s="206" t="s">
        <v>2500</v>
      </c>
      <c r="AB524" s="136" t="s">
        <v>1236</v>
      </c>
      <c r="AC524" s="138">
        <v>100000</v>
      </c>
      <c r="AD524" s="449">
        <v>1</v>
      </c>
      <c r="AE524" s="449">
        <v>1</v>
      </c>
      <c r="AF524">
        <v>114305</v>
      </c>
      <c r="AG524" s="452">
        <v>5</v>
      </c>
    </row>
    <row r="525" spans="1:33" ht="17.25" x14ac:dyDescent="0.3">
      <c r="A525" s="132">
        <v>114406</v>
      </c>
      <c r="B525" s="136" t="s">
        <v>2501</v>
      </c>
      <c r="C525" s="136" t="s">
        <v>2502</v>
      </c>
      <c r="D525" s="138" t="s">
        <v>33</v>
      </c>
      <c r="E525" s="138">
        <v>14</v>
      </c>
      <c r="F525" s="136" t="s">
        <v>1220</v>
      </c>
      <c r="G525" s="138" t="s">
        <v>1257</v>
      </c>
      <c r="H525" s="138" t="s">
        <v>295</v>
      </c>
      <c r="I525" s="138">
        <v>6</v>
      </c>
      <c r="J525" s="118">
        <v>6</v>
      </c>
      <c r="K525" s="138">
        <v>0</v>
      </c>
      <c r="L525" s="138">
        <v>3</v>
      </c>
      <c r="M525" s="138">
        <v>6</v>
      </c>
      <c r="N525" s="118" t="s">
        <v>77</v>
      </c>
      <c r="O525" s="136">
        <v>99</v>
      </c>
      <c r="P525" s="447">
        <v>0.9</v>
      </c>
      <c r="Q525" s="138">
        <v>0</v>
      </c>
      <c r="R525" s="138">
        <v>1</v>
      </c>
      <c r="S525" s="138" t="b">
        <v>1</v>
      </c>
      <c r="T525" s="138">
        <v>45</v>
      </c>
      <c r="U525" s="118">
        <v>675</v>
      </c>
      <c r="V525" s="118">
        <v>900</v>
      </c>
      <c r="W525" s="138">
        <v>0</v>
      </c>
      <c r="X525" s="138">
        <v>6</v>
      </c>
      <c r="Y525" s="138" t="s">
        <v>38</v>
      </c>
      <c r="Z525" s="136" t="s">
        <v>2503</v>
      </c>
      <c r="AA525" s="206" t="s">
        <v>2504</v>
      </c>
      <c r="AB525" s="136" t="s">
        <v>1242</v>
      </c>
      <c r="AC525" s="138">
        <v>100000</v>
      </c>
      <c r="AD525" s="449">
        <v>1</v>
      </c>
      <c r="AE525" s="449">
        <v>1</v>
      </c>
      <c r="AF525">
        <v>0</v>
      </c>
      <c r="AG525" s="452">
        <v>6</v>
      </c>
    </row>
    <row r="526" spans="1:33" ht="17.25" x14ac:dyDescent="0.3">
      <c r="A526" s="132">
        <v>114407</v>
      </c>
      <c r="B526" s="136" t="s">
        <v>2505</v>
      </c>
      <c r="C526" s="136" t="s">
        <v>2506</v>
      </c>
      <c r="D526" s="138" t="s">
        <v>33</v>
      </c>
      <c r="E526" s="138">
        <v>14</v>
      </c>
      <c r="F526" s="136" t="s">
        <v>1220</v>
      </c>
      <c r="G526" s="138" t="s">
        <v>1245</v>
      </c>
      <c r="H526" s="138" t="s">
        <v>295</v>
      </c>
      <c r="I526" s="138">
        <v>5</v>
      </c>
      <c r="J526" s="118">
        <v>5</v>
      </c>
      <c r="K526" s="138">
        <v>0</v>
      </c>
      <c r="L526" s="138">
        <v>3</v>
      </c>
      <c r="M526" s="138">
        <v>5</v>
      </c>
      <c r="N526" s="118" t="s">
        <v>83</v>
      </c>
      <c r="O526" s="136">
        <v>99</v>
      </c>
      <c r="P526" s="447">
        <v>0.9</v>
      </c>
      <c r="Q526" s="138">
        <v>0</v>
      </c>
      <c r="R526" s="138">
        <v>1</v>
      </c>
      <c r="S526" s="138" t="b">
        <v>1</v>
      </c>
      <c r="T526" s="138">
        <v>45</v>
      </c>
      <c r="U526" s="118">
        <v>675</v>
      </c>
      <c r="V526" s="118">
        <v>900</v>
      </c>
      <c r="W526" s="138">
        <v>0</v>
      </c>
      <c r="X526" s="138">
        <v>7</v>
      </c>
      <c r="Y526" s="138" t="s">
        <v>38</v>
      </c>
      <c r="Z526" s="136" t="s">
        <v>2507</v>
      </c>
      <c r="AA526" s="206" t="s">
        <v>2508</v>
      </c>
      <c r="AB526" s="136" t="s">
        <v>1254</v>
      </c>
      <c r="AC526" s="138">
        <v>100000</v>
      </c>
      <c r="AD526" s="449">
        <v>1</v>
      </c>
      <c r="AE526" s="449">
        <v>1</v>
      </c>
      <c r="AF526">
        <v>114407</v>
      </c>
      <c r="AG526" s="452">
        <v>7</v>
      </c>
    </row>
    <row r="527" spans="1:33" ht="17.25" x14ac:dyDescent="0.3">
      <c r="A527" s="132">
        <v>115203</v>
      </c>
      <c r="B527" s="136" t="s">
        <v>2509</v>
      </c>
      <c r="C527" s="136" t="s">
        <v>2510</v>
      </c>
      <c r="D527" s="138" t="s">
        <v>33</v>
      </c>
      <c r="E527" s="138">
        <v>15</v>
      </c>
      <c r="F527" s="136" t="s">
        <v>1316</v>
      </c>
      <c r="G527" s="138" t="s">
        <v>1323</v>
      </c>
      <c r="H527" s="138" t="s">
        <v>295</v>
      </c>
      <c r="I527" s="138">
        <v>5</v>
      </c>
      <c r="J527" s="118">
        <v>5</v>
      </c>
      <c r="K527" s="138">
        <v>0</v>
      </c>
      <c r="L527" s="138">
        <v>3</v>
      </c>
      <c r="M527" s="138">
        <v>5</v>
      </c>
      <c r="N527" s="118" t="s">
        <v>57</v>
      </c>
      <c r="O527" s="136">
        <v>1</v>
      </c>
      <c r="P527" s="447">
        <v>0.8</v>
      </c>
      <c r="Q527" s="138">
        <v>0</v>
      </c>
      <c r="R527" s="138">
        <v>1</v>
      </c>
      <c r="S527" s="138" t="b">
        <v>1</v>
      </c>
      <c r="T527" s="138">
        <v>39</v>
      </c>
      <c r="U527" s="118">
        <v>585</v>
      </c>
      <c r="V527" s="118">
        <v>780</v>
      </c>
      <c r="W527" s="138">
        <v>0</v>
      </c>
      <c r="X527" s="138">
        <v>3</v>
      </c>
      <c r="Y527" s="138" t="s">
        <v>38</v>
      </c>
      <c r="Z527" s="136" t="s">
        <v>2511</v>
      </c>
      <c r="AA527" s="206" t="s">
        <v>2512</v>
      </c>
      <c r="AB527" s="136" t="s">
        <v>1320</v>
      </c>
      <c r="AC527" s="138">
        <v>100000</v>
      </c>
      <c r="AD527" s="449">
        <v>1</v>
      </c>
      <c r="AE527" s="449">
        <v>1</v>
      </c>
      <c r="AF527">
        <v>0</v>
      </c>
      <c r="AG527" s="452">
        <v>3</v>
      </c>
    </row>
    <row r="528" spans="1:33" ht="17.25" x14ac:dyDescent="0.3">
      <c r="A528" s="132">
        <v>115404</v>
      </c>
      <c r="B528" s="136" t="s">
        <v>2513</v>
      </c>
      <c r="C528" s="136" t="s">
        <v>2514</v>
      </c>
      <c r="D528" s="138" t="s">
        <v>33</v>
      </c>
      <c r="E528" s="138">
        <v>15</v>
      </c>
      <c r="F528" s="136" t="s">
        <v>1316</v>
      </c>
      <c r="G528" s="138" t="s">
        <v>1347</v>
      </c>
      <c r="H528" s="138" t="s">
        <v>295</v>
      </c>
      <c r="I528" s="138">
        <v>4</v>
      </c>
      <c r="J528" s="118">
        <v>4</v>
      </c>
      <c r="K528" s="138">
        <v>0</v>
      </c>
      <c r="L528" s="138">
        <v>3</v>
      </c>
      <c r="M528" s="138">
        <v>4</v>
      </c>
      <c r="N528" s="118" t="s">
        <v>64</v>
      </c>
      <c r="O528" s="136">
        <v>1</v>
      </c>
      <c r="P528" s="447">
        <v>0.8</v>
      </c>
      <c r="Q528" s="138">
        <v>0</v>
      </c>
      <c r="R528" s="138">
        <v>1</v>
      </c>
      <c r="S528" s="138" t="b">
        <v>1</v>
      </c>
      <c r="T528" s="138">
        <v>52</v>
      </c>
      <c r="U528" s="118">
        <v>780</v>
      </c>
      <c r="V528" s="118">
        <v>1040</v>
      </c>
      <c r="W528" s="138">
        <v>0</v>
      </c>
      <c r="X528" s="138">
        <v>4</v>
      </c>
      <c r="Y528" s="138" t="s">
        <v>38</v>
      </c>
      <c r="Z528" s="136" t="s">
        <v>2515</v>
      </c>
      <c r="AA528" s="206" t="s">
        <v>2516</v>
      </c>
      <c r="AB528" s="136" t="s">
        <v>1326</v>
      </c>
      <c r="AC528" s="138">
        <v>100000</v>
      </c>
      <c r="AD528" s="449">
        <v>1</v>
      </c>
      <c r="AE528" s="449">
        <v>1</v>
      </c>
      <c r="AF528">
        <v>0</v>
      </c>
      <c r="AG528" s="452">
        <v>4</v>
      </c>
    </row>
    <row r="529" spans="1:33" ht="17.25" x14ac:dyDescent="0.3">
      <c r="A529" s="132">
        <v>115306</v>
      </c>
      <c r="B529" s="136" t="s">
        <v>2517</v>
      </c>
      <c r="C529" s="136" t="s">
        <v>2518</v>
      </c>
      <c r="D529" s="138" t="s">
        <v>33</v>
      </c>
      <c r="E529" s="138">
        <v>15</v>
      </c>
      <c r="F529" s="136" t="s">
        <v>1316</v>
      </c>
      <c r="G529" s="138" t="s">
        <v>1341</v>
      </c>
      <c r="H529" s="138" t="s">
        <v>295</v>
      </c>
      <c r="I529" s="138">
        <v>4</v>
      </c>
      <c r="J529" s="118">
        <v>4</v>
      </c>
      <c r="K529" s="138">
        <v>0</v>
      </c>
      <c r="L529" s="138">
        <v>3</v>
      </c>
      <c r="M529" s="138">
        <v>4</v>
      </c>
      <c r="N529" s="118" t="s">
        <v>71</v>
      </c>
      <c r="O529" s="136">
        <v>1</v>
      </c>
      <c r="P529" s="447">
        <v>0.8</v>
      </c>
      <c r="Q529" s="138">
        <v>0</v>
      </c>
      <c r="R529" s="138">
        <v>1</v>
      </c>
      <c r="S529" s="138" t="b">
        <v>1</v>
      </c>
      <c r="T529" s="138">
        <v>65</v>
      </c>
      <c r="U529" s="118">
        <v>975</v>
      </c>
      <c r="V529" s="118">
        <v>1300</v>
      </c>
      <c r="W529" s="138">
        <v>0</v>
      </c>
      <c r="X529" s="138">
        <v>5</v>
      </c>
      <c r="Y529" s="138" t="s">
        <v>38</v>
      </c>
      <c r="Z529" s="136" t="s">
        <v>2519</v>
      </c>
      <c r="AA529" s="206" t="s">
        <v>2520</v>
      </c>
      <c r="AB529" s="136" t="s">
        <v>1344</v>
      </c>
      <c r="AC529" s="138">
        <v>100000</v>
      </c>
      <c r="AD529" s="449">
        <v>1</v>
      </c>
      <c r="AE529" s="449">
        <v>1</v>
      </c>
      <c r="AF529">
        <v>115306</v>
      </c>
      <c r="AG529" s="452">
        <v>5</v>
      </c>
    </row>
    <row r="530" spans="1:33" ht="17.25" x14ac:dyDescent="0.3">
      <c r="A530" s="132">
        <v>115407</v>
      </c>
      <c r="B530" s="136" t="s">
        <v>2521</v>
      </c>
      <c r="C530" s="136" t="s">
        <v>2522</v>
      </c>
      <c r="D530" s="138" t="s">
        <v>33</v>
      </c>
      <c r="E530" s="138">
        <v>15</v>
      </c>
      <c r="F530" s="136" t="s">
        <v>1316</v>
      </c>
      <c r="G530" s="138" t="s">
        <v>1353</v>
      </c>
      <c r="H530" s="138" t="s">
        <v>295</v>
      </c>
      <c r="I530" s="138">
        <v>3</v>
      </c>
      <c r="J530" s="118">
        <v>3</v>
      </c>
      <c r="K530" s="138">
        <v>0</v>
      </c>
      <c r="L530" s="138">
        <v>3</v>
      </c>
      <c r="M530" s="138">
        <v>3</v>
      </c>
      <c r="N530" s="118" t="s">
        <v>83</v>
      </c>
      <c r="O530" s="136">
        <v>1</v>
      </c>
      <c r="P530" s="447">
        <v>0.8</v>
      </c>
      <c r="Q530" s="138">
        <v>0</v>
      </c>
      <c r="R530" s="138">
        <v>1</v>
      </c>
      <c r="S530" s="138" t="b">
        <v>1</v>
      </c>
      <c r="T530" s="138">
        <v>91</v>
      </c>
      <c r="U530" s="118">
        <v>1365</v>
      </c>
      <c r="V530" s="118">
        <v>1820</v>
      </c>
      <c r="W530" s="138">
        <v>0</v>
      </c>
      <c r="X530" s="138">
        <v>7</v>
      </c>
      <c r="Y530" s="138" t="s">
        <v>38</v>
      </c>
      <c r="Z530" s="136" t="s">
        <v>2523</v>
      </c>
      <c r="AA530" s="206" t="s">
        <v>2524</v>
      </c>
      <c r="AB530" s="136" t="s">
        <v>1350</v>
      </c>
      <c r="AC530" s="138">
        <v>100000</v>
      </c>
      <c r="AD530" s="449">
        <v>1</v>
      </c>
      <c r="AE530" s="449">
        <v>1</v>
      </c>
      <c r="AF530">
        <v>115407</v>
      </c>
      <c r="AG530" s="452">
        <v>7</v>
      </c>
    </row>
    <row r="531" spans="1:33" ht="17.25" x14ac:dyDescent="0.3">
      <c r="A531" s="132">
        <v>200203</v>
      </c>
      <c r="B531" s="136" t="s">
        <v>2525</v>
      </c>
      <c r="C531" s="136" t="s">
        <v>2526</v>
      </c>
      <c r="D531" s="137" t="s">
        <v>1408</v>
      </c>
      <c r="E531" s="138">
        <v>0</v>
      </c>
      <c r="F531" s="138">
        <v>0</v>
      </c>
      <c r="G531" s="138"/>
      <c r="H531" s="138" t="s">
        <v>295</v>
      </c>
      <c r="I531" s="138">
        <v>3</v>
      </c>
      <c r="J531" s="118">
        <v>3</v>
      </c>
      <c r="K531" s="138">
        <v>0</v>
      </c>
      <c r="L531" s="138">
        <v>4</v>
      </c>
      <c r="M531" s="138">
        <v>3</v>
      </c>
      <c r="N531" s="118" t="s">
        <v>1421</v>
      </c>
      <c r="O531" s="138">
        <v>50</v>
      </c>
      <c r="P531" s="138">
        <v>0.5</v>
      </c>
      <c r="Q531" s="138">
        <v>0</v>
      </c>
      <c r="R531" s="138">
        <v>1</v>
      </c>
      <c r="S531" s="138" t="b">
        <v>1</v>
      </c>
      <c r="T531" s="138">
        <v>19</v>
      </c>
      <c r="U531" s="118">
        <v>285</v>
      </c>
      <c r="V531" s="118">
        <v>380</v>
      </c>
      <c r="W531" s="138">
        <v>0</v>
      </c>
      <c r="X531" s="138">
        <v>3</v>
      </c>
      <c r="Y531" s="138" t="s">
        <v>38</v>
      </c>
      <c r="Z531" s="137" t="s">
        <v>2527</v>
      </c>
      <c r="AA531" s="206" t="s">
        <v>2528</v>
      </c>
      <c r="AB531" s="136" t="s">
        <v>1418</v>
      </c>
      <c r="AC531" s="138">
        <v>100000</v>
      </c>
      <c r="AD531" s="449">
        <v>1</v>
      </c>
      <c r="AE531" s="449">
        <v>1</v>
      </c>
      <c r="AF531">
        <v>200203</v>
      </c>
      <c r="AG531" s="452">
        <v>3</v>
      </c>
    </row>
    <row r="532" spans="1:33" ht="17.25" x14ac:dyDescent="0.3">
      <c r="A532" s="132">
        <v>200303</v>
      </c>
      <c r="B532" s="136" t="s">
        <v>2529</v>
      </c>
      <c r="C532" s="136" t="s">
        <v>2530</v>
      </c>
      <c r="D532" s="137" t="s">
        <v>1408</v>
      </c>
      <c r="E532" s="138">
        <v>0</v>
      </c>
      <c r="F532" s="138">
        <v>0</v>
      </c>
      <c r="G532" s="138"/>
      <c r="H532" s="138" t="s">
        <v>295</v>
      </c>
      <c r="I532" s="138">
        <v>3</v>
      </c>
      <c r="J532" s="118">
        <v>3</v>
      </c>
      <c r="K532" s="138">
        <v>0</v>
      </c>
      <c r="L532" s="138">
        <v>4</v>
      </c>
      <c r="M532" s="138">
        <v>3</v>
      </c>
      <c r="N532" s="118" t="s">
        <v>1421</v>
      </c>
      <c r="O532" s="138">
        <v>50</v>
      </c>
      <c r="P532" s="138">
        <v>0.5</v>
      </c>
      <c r="Q532" s="138">
        <v>0</v>
      </c>
      <c r="R532" s="138">
        <v>1</v>
      </c>
      <c r="S532" s="138" t="b">
        <v>1</v>
      </c>
      <c r="T532" s="138">
        <v>19</v>
      </c>
      <c r="U532" s="118">
        <v>285</v>
      </c>
      <c r="V532" s="118">
        <v>380</v>
      </c>
      <c r="W532" s="138">
        <v>0</v>
      </c>
      <c r="X532" s="138">
        <v>3</v>
      </c>
      <c r="Y532" s="138" t="s">
        <v>38</v>
      </c>
      <c r="Z532" s="137" t="s">
        <v>2531</v>
      </c>
      <c r="AA532" s="206" t="s">
        <v>2532</v>
      </c>
      <c r="AB532" s="136" t="s">
        <v>1424</v>
      </c>
      <c r="AC532" s="138">
        <v>100000</v>
      </c>
      <c r="AD532" s="449">
        <v>1</v>
      </c>
      <c r="AE532" s="449">
        <v>1</v>
      </c>
      <c r="AF532">
        <v>0</v>
      </c>
      <c r="AG532" s="452">
        <v>3</v>
      </c>
    </row>
    <row r="533" spans="1:33" ht="17.25" x14ac:dyDescent="0.3">
      <c r="A533" s="132">
        <v>200403</v>
      </c>
      <c r="B533" s="136" t="s">
        <v>2533</v>
      </c>
      <c r="C533" s="136" t="s">
        <v>2534</v>
      </c>
      <c r="D533" s="137" t="s">
        <v>1408</v>
      </c>
      <c r="E533" s="138">
        <v>0</v>
      </c>
      <c r="F533" s="138">
        <v>0</v>
      </c>
      <c r="G533" s="138"/>
      <c r="H533" s="138" t="s">
        <v>295</v>
      </c>
      <c r="I533" s="138">
        <v>4</v>
      </c>
      <c r="J533" s="118">
        <v>4</v>
      </c>
      <c r="K533" s="138">
        <v>0</v>
      </c>
      <c r="L533" s="138">
        <v>4</v>
      </c>
      <c r="M533" s="138">
        <v>4</v>
      </c>
      <c r="N533" s="118" t="s">
        <v>1421</v>
      </c>
      <c r="O533" s="138">
        <v>50</v>
      </c>
      <c r="P533" s="138">
        <v>0.5</v>
      </c>
      <c r="Q533" s="138">
        <v>0</v>
      </c>
      <c r="R533" s="138">
        <v>1</v>
      </c>
      <c r="S533" s="138" t="b">
        <v>1</v>
      </c>
      <c r="T533" s="138">
        <v>19</v>
      </c>
      <c r="U533" s="118">
        <v>285</v>
      </c>
      <c r="V533" s="118">
        <v>380</v>
      </c>
      <c r="W533" s="138">
        <v>0</v>
      </c>
      <c r="X533" s="138">
        <v>3</v>
      </c>
      <c r="Y533" s="138" t="s">
        <v>38</v>
      </c>
      <c r="Z533" s="137" t="s">
        <v>2535</v>
      </c>
      <c r="AA533" s="206" t="s">
        <v>2536</v>
      </c>
      <c r="AB533" s="136" t="s">
        <v>1433</v>
      </c>
      <c r="AC533" s="138">
        <v>100000</v>
      </c>
      <c r="AD533" s="449">
        <v>1</v>
      </c>
      <c r="AE533" s="449">
        <v>1</v>
      </c>
      <c r="AF533">
        <v>0</v>
      </c>
      <c r="AG533" s="452">
        <v>3</v>
      </c>
    </row>
    <row r="534" spans="1:33" ht="17.25" x14ac:dyDescent="0.3">
      <c r="A534" s="132">
        <v>200204</v>
      </c>
      <c r="B534" s="136" t="s">
        <v>2537</v>
      </c>
      <c r="C534" s="136" t="s">
        <v>2538</v>
      </c>
      <c r="D534" s="137" t="s">
        <v>1408</v>
      </c>
      <c r="E534" s="138">
        <v>0</v>
      </c>
      <c r="F534" s="138">
        <v>0</v>
      </c>
      <c r="G534" s="138"/>
      <c r="H534" s="138" t="s">
        <v>295</v>
      </c>
      <c r="I534" s="138">
        <v>3</v>
      </c>
      <c r="J534" s="118">
        <v>3</v>
      </c>
      <c r="K534" s="138">
        <v>0</v>
      </c>
      <c r="L534" s="138">
        <v>4</v>
      </c>
      <c r="M534" s="138">
        <v>3</v>
      </c>
      <c r="N534" s="118" t="s">
        <v>1430</v>
      </c>
      <c r="O534" s="138">
        <v>50</v>
      </c>
      <c r="P534" s="138">
        <v>0.5</v>
      </c>
      <c r="Q534" s="138">
        <v>0</v>
      </c>
      <c r="R534" s="138">
        <v>1</v>
      </c>
      <c r="S534" s="138" t="b">
        <v>1</v>
      </c>
      <c r="T534" s="138">
        <v>26</v>
      </c>
      <c r="U534" s="118">
        <v>390</v>
      </c>
      <c r="V534" s="118">
        <v>520</v>
      </c>
      <c r="W534" s="138">
        <v>0</v>
      </c>
      <c r="X534" s="138">
        <v>4</v>
      </c>
      <c r="Y534" s="138" t="s">
        <v>38</v>
      </c>
      <c r="Z534" s="137" t="s">
        <v>2539</v>
      </c>
      <c r="AA534" s="206" t="s">
        <v>2540</v>
      </c>
      <c r="AB534" s="136" t="s">
        <v>1439</v>
      </c>
      <c r="AC534" s="138">
        <v>100000</v>
      </c>
      <c r="AD534" s="449">
        <v>1</v>
      </c>
      <c r="AE534" s="449">
        <v>1</v>
      </c>
      <c r="AF534">
        <v>200204</v>
      </c>
      <c r="AG534" s="452">
        <v>4</v>
      </c>
    </row>
    <row r="535" spans="1:33" ht="17.25" x14ac:dyDescent="0.3">
      <c r="A535" s="132">
        <v>200404</v>
      </c>
      <c r="B535" s="136" t="s">
        <v>2541</v>
      </c>
      <c r="C535" s="136" t="s">
        <v>2542</v>
      </c>
      <c r="D535" s="137" t="s">
        <v>1408</v>
      </c>
      <c r="E535" s="138">
        <v>0</v>
      </c>
      <c r="F535" s="138">
        <v>0</v>
      </c>
      <c r="G535" s="138"/>
      <c r="H535" s="138" t="s">
        <v>295</v>
      </c>
      <c r="I535" s="138">
        <v>4</v>
      </c>
      <c r="J535" s="118">
        <v>4</v>
      </c>
      <c r="K535" s="138">
        <v>0</v>
      </c>
      <c r="L535" s="138">
        <v>4</v>
      </c>
      <c r="M535" s="138">
        <v>4</v>
      </c>
      <c r="N535" s="118" t="s">
        <v>1430</v>
      </c>
      <c r="O535" s="138">
        <v>50</v>
      </c>
      <c r="P535" s="138">
        <v>0.5</v>
      </c>
      <c r="Q535" s="138">
        <v>0</v>
      </c>
      <c r="R535" s="138">
        <v>1</v>
      </c>
      <c r="S535" s="138" t="b">
        <v>1</v>
      </c>
      <c r="T535" s="138">
        <v>26</v>
      </c>
      <c r="U535" s="118">
        <v>390</v>
      </c>
      <c r="V535" s="118">
        <v>520</v>
      </c>
      <c r="W535" s="138">
        <v>0</v>
      </c>
      <c r="X535" s="138">
        <v>4</v>
      </c>
      <c r="Y535" s="138" t="s">
        <v>38</v>
      </c>
      <c r="Z535" s="137" t="s">
        <v>2543</v>
      </c>
      <c r="AA535" s="206" t="s">
        <v>2544</v>
      </c>
      <c r="AB535" s="136" t="s">
        <v>1439</v>
      </c>
      <c r="AC535" s="138">
        <v>100000</v>
      </c>
      <c r="AD535" s="449">
        <v>1</v>
      </c>
      <c r="AE535" s="449">
        <v>1</v>
      </c>
      <c r="AF535">
        <v>200404</v>
      </c>
      <c r="AG535" s="452">
        <v>4</v>
      </c>
    </row>
    <row r="536" spans="1:33" ht="17.25" x14ac:dyDescent="0.3">
      <c r="A536" s="132">
        <v>200105</v>
      </c>
      <c r="B536" s="136" t="s">
        <v>2545</v>
      </c>
      <c r="C536" s="136" t="s">
        <v>2546</v>
      </c>
      <c r="D536" s="137" t="s">
        <v>1408</v>
      </c>
      <c r="E536" s="138">
        <v>0</v>
      </c>
      <c r="F536" s="138">
        <v>0</v>
      </c>
      <c r="G536" s="138"/>
      <c r="H536" s="138" t="s">
        <v>295</v>
      </c>
      <c r="I536" s="138">
        <v>5</v>
      </c>
      <c r="J536" s="118">
        <v>5</v>
      </c>
      <c r="K536" s="138">
        <v>0</v>
      </c>
      <c r="L536" s="138">
        <v>4</v>
      </c>
      <c r="M536" s="138">
        <v>5</v>
      </c>
      <c r="N536" s="118" t="s">
        <v>1436</v>
      </c>
      <c r="O536" s="138">
        <v>50</v>
      </c>
      <c r="P536" s="138">
        <v>0.5</v>
      </c>
      <c r="Q536" s="138">
        <v>0</v>
      </c>
      <c r="R536" s="138">
        <v>1</v>
      </c>
      <c r="S536" s="138" t="b">
        <v>1</v>
      </c>
      <c r="T536" s="138">
        <v>32</v>
      </c>
      <c r="U536" s="118">
        <v>480</v>
      </c>
      <c r="V536" s="118">
        <v>640</v>
      </c>
      <c r="W536" s="138">
        <v>0</v>
      </c>
      <c r="X536" s="138">
        <v>5</v>
      </c>
      <c r="Y536" s="138" t="s">
        <v>38</v>
      </c>
      <c r="Z536" s="136" t="s">
        <v>2547</v>
      </c>
      <c r="AA536" s="206" t="s">
        <v>2548</v>
      </c>
      <c r="AB536" s="136" t="s">
        <v>1451</v>
      </c>
      <c r="AC536" s="138">
        <v>100000</v>
      </c>
      <c r="AD536" s="449">
        <v>1</v>
      </c>
      <c r="AE536" s="449">
        <v>1</v>
      </c>
      <c r="AF536">
        <v>0</v>
      </c>
      <c r="AG536" s="452">
        <v>5</v>
      </c>
    </row>
    <row r="537" spans="1:33" ht="17.25" x14ac:dyDescent="0.3">
      <c r="A537" s="132">
        <v>200305</v>
      </c>
      <c r="B537" s="136" t="s">
        <v>2549</v>
      </c>
      <c r="C537" s="136" t="s">
        <v>2550</v>
      </c>
      <c r="D537" s="137" t="s">
        <v>1408</v>
      </c>
      <c r="E537" s="138">
        <v>0</v>
      </c>
      <c r="F537" s="138">
        <v>0</v>
      </c>
      <c r="G537" s="138"/>
      <c r="H537" s="138" t="s">
        <v>295</v>
      </c>
      <c r="I537" s="138">
        <v>6</v>
      </c>
      <c r="J537" s="118">
        <v>6</v>
      </c>
      <c r="K537" s="138">
        <v>0</v>
      </c>
      <c r="L537" s="138">
        <v>4</v>
      </c>
      <c r="M537" s="138">
        <v>6</v>
      </c>
      <c r="N537" s="118" t="s">
        <v>1436</v>
      </c>
      <c r="O537" s="138">
        <v>50</v>
      </c>
      <c r="P537" s="138">
        <v>0.5</v>
      </c>
      <c r="Q537" s="138">
        <v>0</v>
      </c>
      <c r="R537" s="138">
        <v>1</v>
      </c>
      <c r="S537" s="138" t="b">
        <v>1</v>
      </c>
      <c r="T537" s="138">
        <v>32</v>
      </c>
      <c r="U537" s="118">
        <v>480</v>
      </c>
      <c r="V537" s="118">
        <v>640</v>
      </c>
      <c r="W537" s="138">
        <v>0</v>
      </c>
      <c r="X537" s="138">
        <v>5</v>
      </c>
      <c r="Y537" s="138" t="s">
        <v>38</v>
      </c>
      <c r="Z537" s="137" t="s">
        <v>2551</v>
      </c>
      <c r="AA537" s="206" t="s">
        <v>2552</v>
      </c>
      <c r="AB537" s="136" t="s">
        <v>1460</v>
      </c>
      <c r="AC537" s="138">
        <v>100000</v>
      </c>
      <c r="AD537" s="449">
        <v>1</v>
      </c>
      <c r="AE537" s="449">
        <v>1</v>
      </c>
      <c r="AF537">
        <v>0</v>
      </c>
      <c r="AG537" s="452">
        <v>5</v>
      </c>
    </row>
    <row r="538" spans="1:33" ht="17.25" x14ac:dyDescent="0.3">
      <c r="A538" s="132">
        <v>200206</v>
      </c>
      <c r="B538" s="136" t="s">
        <v>2553</v>
      </c>
      <c r="C538" s="136" t="s">
        <v>2554</v>
      </c>
      <c r="D538" s="137" t="s">
        <v>1408</v>
      </c>
      <c r="E538" s="138">
        <v>0</v>
      </c>
      <c r="F538" s="138">
        <v>0</v>
      </c>
      <c r="G538" s="138"/>
      <c r="H538" s="138" t="s">
        <v>295</v>
      </c>
      <c r="I538" s="138">
        <v>3</v>
      </c>
      <c r="J538" s="118">
        <v>3</v>
      </c>
      <c r="K538" s="138">
        <v>0</v>
      </c>
      <c r="L538" s="138">
        <v>4</v>
      </c>
      <c r="M538" s="138">
        <v>3</v>
      </c>
      <c r="N538" s="118" t="s">
        <v>1442</v>
      </c>
      <c r="O538" s="138">
        <v>50</v>
      </c>
      <c r="P538" s="138">
        <v>0.5</v>
      </c>
      <c r="Q538" s="138">
        <v>0</v>
      </c>
      <c r="R538" s="138">
        <v>1</v>
      </c>
      <c r="S538" s="138" t="b">
        <v>1</v>
      </c>
      <c r="T538" s="138">
        <v>39</v>
      </c>
      <c r="U538" s="118">
        <v>585</v>
      </c>
      <c r="V538" s="118">
        <v>780</v>
      </c>
      <c r="W538" s="138">
        <v>0</v>
      </c>
      <c r="X538" s="138">
        <v>6</v>
      </c>
      <c r="Y538" s="138" t="s">
        <v>38</v>
      </c>
      <c r="Z538" s="136" t="s">
        <v>2555</v>
      </c>
      <c r="AA538" s="206" t="s">
        <v>2556</v>
      </c>
      <c r="AB538" s="136" t="s">
        <v>1466</v>
      </c>
      <c r="AC538" s="138">
        <v>100000</v>
      </c>
      <c r="AD538" s="449">
        <v>1</v>
      </c>
      <c r="AE538" s="449">
        <v>1</v>
      </c>
      <c r="AF538">
        <v>200206</v>
      </c>
      <c r="AG538" s="452">
        <v>6</v>
      </c>
    </row>
    <row r="539" spans="1:33" ht="17.25" x14ac:dyDescent="0.3">
      <c r="A539" s="132">
        <v>200306</v>
      </c>
      <c r="B539" s="136" t="s">
        <v>2557</v>
      </c>
      <c r="C539" s="136" t="s">
        <v>2558</v>
      </c>
      <c r="D539" s="137" t="s">
        <v>1408</v>
      </c>
      <c r="E539" s="138">
        <v>0</v>
      </c>
      <c r="F539" s="138">
        <v>0</v>
      </c>
      <c r="G539" s="138"/>
      <c r="H539" s="138" t="s">
        <v>295</v>
      </c>
      <c r="I539" s="138">
        <v>5</v>
      </c>
      <c r="J539" s="118">
        <v>5</v>
      </c>
      <c r="K539" s="138">
        <v>0</v>
      </c>
      <c r="L539" s="138">
        <v>4</v>
      </c>
      <c r="M539" s="138">
        <v>5</v>
      </c>
      <c r="N539" s="118" t="s">
        <v>1442</v>
      </c>
      <c r="O539" s="138">
        <v>50</v>
      </c>
      <c r="P539" s="138">
        <v>0.5</v>
      </c>
      <c r="Q539" s="138">
        <v>0</v>
      </c>
      <c r="R539" s="138">
        <v>1</v>
      </c>
      <c r="S539" s="138" t="b">
        <v>1</v>
      </c>
      <c r="T539" s="138">
        <v>39</v>
      </c>
      <c r="U539" s="118">
        <v>585</v>
      </c>
      <c r="V539" s="118">
        <v>780</v>
      </c>
      <c r="W539" s="138">
        <v>0</v>
      </c>
      <c r="X539" s="138">
        <v>6</v>
      </c>
      <c r="Y539" s="138" t="s">
        <v>38</v>
      </c>
      <c r="Z539" s="136" t="s">
        <v>2559</v>
      </c>
      <c r="AA539" s="206" t="s">
        <v>2560</v>
      </c>
      <c r="AB539" s="136" t="s">
        <v>1439</v>
      </c>
      <c r="AC539" s="138">
        <v>100000</v>
      </c>
      <c r="AD539" s="449">
        <v>1</v>
      </c>
      <c r="AE539" s="449">
        <v>1</v>
      </c>
      <c r="AF539">
        <v>200306</v>
      </c>
      <c r="AG539" s="452">
        <v>6</v>
      </c>
    </row>
    <row r="540" spans="1:33" ht="17.25" x14ac:dyDescent="0.3">
      <c r="A540" s="132">
        <v>200507</v>
      </c>
      <c r="B540" s="136" t="s">
        <v>2561</v>
      </c>
      <c r="C540" s="136" t="s">
        <v>2562</v>
      </c>
      <c r="D540" s="137" t="s">
        <v>1408</v>
      </c>
      <c r="E540" s="138">
        <v>0</v>
      </c>
      <c r="F540" s="138">
        <v>0</v>
      </c>
      <c r="G540" s="138"/>
      <c r="H540" s="138" t="s">
        <v>295</v>
      </c>
      <c r="I540" s="138">
        <v>6</v>
      </c>
      <c r="J540" s="118">
        <v>6</v>
      </c>
      <c r="K540" s="138">
        <v>0</v>
      </c>
      <c r="L540" s="138">
        <v>4</v>
      </c>
      <c r="M540" s="138">
        <v>6</v>
      </c>
      <c r="N540" s="118" t="s">
        <v>1448</v>
      </c>
      <c r="O540" s="138">
        <v>50</v>
      </c>
      <c r="P540" s="138">
        <v>0.5</v>
      </c>
      <c r="Q540" s="138">
        <v>0</v>
      </c>
      <c r="R540" s="138">
        <v>1</v>
      </c>
      <c r="S540" s="138" t="b">
        <v>1</v>
      </c>
      <c r="T540" s="138">
        <v>45</v>
      </c>
      <c r="U540" s="118">
        <v>675</v>
      </c>
      <c r="V540" s="118">
        <v>900</v>
      </c>
      <c r="W540" s="138">
        <v>0</v>
      </c>
      <c r="X540" s="138">
        <v>7</v>
      </c>
      <c r="Y540" s="138" t="s">
        <v>38</v>
      </c>
      <c r="Z540" s="136" t="s">
        <v>2563</v>
      </c>
      <c r="AA540" s="206" t="s">
        <v>2564</v>
      </c>
      <c r="AB540" s="136" t="s">
        <v>1502</v>
      </c>
      <c r="AC540" s="138">
        <v>100000</v>
      </c>
      <c r="AD540" s="449">
        <v>1</v>
      </c>
      <c r="AE540" s="449">
        <v>1</v>
      </c>
      <c r="AF540">
        <v>0</v>
      </c>
      <c r="AG540" s="452">
        <v>7</v>
      </c>
    </row>
    <row r="541" spans="1:33" ht="17.25" x14ac:dyDescent="0.3">
      <c r="A541" s="132">
        <v>300203</v>
      </c>
      <c r="B541" s="136" t="s">
        <v>2565</v>
      </c>
      <c r="C541" s="136" t="s">
        <v>2566</v>
      </c>
      <c r="D541" s="137" t="s">
        <v>1508</v>
      </c>
      <c r="E541" s="138">
        <v>0</v>
      </c>
      <c r="F541" s="138">
        <v>0</v>
      </c>
      <c r="G541" s="138"/>
      <c r="H541" s="138" t="s">
        <v>295</v>
      </c>
      <c r="I541" s="138">
        <v>5</v>
      </c>
      <c r="J541" s="118">
        <v>5</v>
      </c>
      <c r="K541" s="138">
        <v>0</v>
      </c>
      <c r="L541" s="138">
        <v>4</v>
      </c>
      <c r="M541" s="138">
        <v>5</v>
      </c>
      <c r="N541" s="118" t="s">
        <v>1521</v>
      </c>
      <c r="O541" s="138">
        <v>50</v>
      </c>
      <c r="P541" s="138">
        <v>0.5</v>
      </c>
      <c r="Q541" s="138">
        <v>0</v>
      </c>
      <c r="R541" s="138">
        <v>1</v>
      </c>
      <c r="S541" s="138" t="b">
        <v>1</v>
      </c>
      <c r="T541" s="138">
        <v>19</v>
      </c>
      <c r="U541" s="118">
        <v>285</v>
      </c>
      <c r="V541" s="118">
        <v>380</v>
      </c>
      <c r="W541" s="138">
        <v>0</v>
      </c>
      <c r="X541" s="138">
        <v>3</v>
      </c>
      <c r="Y541" s="138" t="s">
        <v>38</v>
      </c>
      <c r="Z541" s="136" t="s">
        <v>2567</v>
      </c>
      <c r="AA541" s="206" t="s">
        <v>2568</v>
      </c>
      <c r="AB541" s="138" t="s">
        <v>1524</v>
      </c>
      <c r="AC541" s="138">
        <v>100000</v>
      </c>
      <c r="AD541" s="449">
        <v>1</v>
      </c>
      <c r="AE541" s="449">
        <v>1</v>
      </c>
      <c r="AF541">
        <v>0</v>
      </c>
      <c r="AG541" s="452">
        <v>3</v>
      </c>
    </row>
    <row r="542" spans="1:33" ht="17.25" x14ac:dyDescent="0.3">
      <c r="A542" s="132">
        <v>300303</v>
      </c>
      <c r="B542" s="136" t="s">
        <v>2569</v>
      </c>
      <c r="C542" s="136" t="s">
        <v>2570</v>
      </c>
      <c r="D542" s="137" t="s">
        <v>1508</v>
      </c>
      <c r="E542" s="138">
        <v>0</v>
      </c>
      <c r="F542" s="138">
        <v>0</v>
      </c>
      <c r="G542" s="138"/>
      <c r="H542" s="138" t="s">
        <v>295</v>
      </c>
      <c r="I542" s="138">
        <v>5</v>
      </c>
      <c r="J542" s="118">
        <v>5</v>
      </c>
      <c r="K542" s="138">
        <v>0</v>
      </c>
      <c r="L542" s="138">
        <v>4</v>
      </c>
      <c r="M542" s="138">
        <v>5</v>
      </c>
      <c r="N542" s="118" t="s">
        <v>1521</v>
      </c>
      <c r="O542" s="138">
        <v>50</v>
      </c>
      <c r="P542" s="138">
        <v>0.5</v>
      </c>
      <c r="Q542" s="138">
        <v>0</v>
      </c>
      <c r="R542" s="138">
        <v>1</v>
      </c>
      <c r="S542" s="138" t="b">
        <v>1</v>
      </c>
      <c r="T542" s="138">
        <v>19</v>
      </c>
      <c r="U542" s="118">
        <v>285</v>
      </c>
      <c r="V542" s="118">
        <v>380</v>
      </c>
      <c r="W542" s="138">
        <v>0</v>
      </c>
      <c r="X542" s="138">
        <v>3</v>
      </c>
      <c r="Y542" s="138" t="s">
        <v>38</v>
      </c>
      <c r="Z542" s="136" t="s">
        <v>2571</v>
      </c>
      <c r="AA542" s="206" t="s">
        <v>2572</v>
      </c>
      <c r="AB542" s="138" t="s">
        <v>1512</v>
      </c>
      <c r="AC542" s="138">
        <v>100000</v>
      </c>
      <c r="AD542" s="449">
        <v>1</v>
      </c>
      <c r="AE542" s="449">
        <v>1</v>
      </c>
      <c r="AF542">
        <v>300303</v>
      </c>
      <c r="AG542" s="452">
        <v>3</v>
      </c>
    </row>
    <row r="543" spans="1:33" ht="17.25" x14ac:dyDescent="0.3">
      <c r="A543" s="132">
        <v>300403</v>
      </c>
      <c r="B543" s="136" t="s">
        <v>2573</v>
      </c>
      <c r="C543" s="136" t="s">
        <v>2574</v>
      </c>
      <c r="D543" s="137" t="s">
        <v>1508</v>
      </c>
      <c r="E543" s="138">
        <v>0</v>
      </c>
      <c r="F543" s="138">
        <v>0</v>
      </c>
      <c r="G543" s="138"/>
      <c r="H543" s="138" t="s">
        <v>295</v>
      </c>
      <c r="I543" s="138">
        <v>4</v>
      </c>
      <c r="J543" s="118">
        <v>4</v>
      </c>
      <c r="K543" s="138">
        <v>0</v>
      </c>
      <c r="L543" s="138">
        <v>4</v>
      </c>
      <c r="M543" s="138">
        <v>4</v>
      </c>
      <c r="N543" s="118" t="s">
        <v>1521</v>
      </c>
      <c r="O543" s="138">
        <v>50</v>
      </c>
      <c r="P543" s="138">
        <v>0.5</v>
      </c>
      <c r="Q543" s="138">
        <v>0</v>
      </c>
      <c r="R543" s="138">
        <v>1</v>
      </c>
      <c r="S543" s="138" t="b">
        <v>1</v>
      </c>
      <c r="T543" s="138">
        <v>19</v>
      </c>
      <c r="U543" s="118">
        <v>285</v>
      </c>
      <c r="V543" s="118">
        <v>380</v>
      </c>
      <c r="W543" s="138">
        <v>0</v>
      </c>
      <c r="X543" s="138">
        <v>3</v>
      </c>
      <c r="Y543" s="138" t="s">
        <v>38</v>
      </c>
      <c r="Z543" s="136" t="s">
        <v>2575</v>
      </c>
      <c r="AA543" s="206" t="s">
        <v>2576</v>
      </c>
      <c r="AB543" s="138" t="s">
        <v>1524</v>
      </c>
      <c r="AC543" s="138">
        <v>100000</v>
      </c>
      <c r="AD543" s="449">
        <v>1</v>
      </c>
      <c r="AE543" s="449">
        <v>1</v>
      </c>
      <c r="AF543">
        <v>0</v>
      </c>
      <c r="AG543" s="452">
        <v>3</v>
      </c>
    </row>
    <row r="544" spans="1:33" ht="17.25" x14ac:dyDescent="0.3">
      <c r="A544" s="132">
        <v>300204</v>
      </c>
      <c r="B544" s="136" t="s">
        <v>2577</v>
      </c>
      <c r="C544" s="136" t="s">
        <v>2578</v>
      </c>
      <c r="D544" s="137" t="s">
        <v>1508</v>
      </c>
      <c r="E544" s="138">
        <v>0</v>
      </c>
      <c r="F544" s="138">
        <v>0</v>
      </c>
      <c r="G544" s="138"/>
      <c r="H544" s="138" t="s">
        <v>295</v>
      </c>
      <c r="I544" s="138">
        <v>6</v>
      </c>
      <c r="J544" s="118">
        <v>6</v>
      </c>
      <c r="K544" s="138">
        <v>0</v>
      </c>
      <c r="L544" s="138">
        <v>4</v>
      </c>
      <c r="M544" s="138">
        <v>6</v>
      </c>
      <c r="N544" s="118" t="s">
        <v>1527</v>
      </c>
      <c r="O544" s="138">
        <v>50</v>
      </c>
      <c r="P544" s="138">
        <v>0.5</v>
      </c>
      <c r="Q544" s="138">
        <v>0</v>
      </c>
      <c r="R544" s="138">
        <v>1</v>
      </c>
      <c r="S544" s="138" t="b">
        <v>1</v>
      </c>
      <c r="T544" s="138">
        <v>26</v>
      </c>
      <c r="U544" s="118">
        <v>390</v>
      </c>
      <c r="V544" s="118">
        <v>520</v>
      </c>
      <c r="W544" s="138">
        <v>0</v>
      </c>
      <c r="X544" s="138">
        <v>4</v>
      </c>
      <c r="Y544" s="138" t="s">
        <v>38</v>
      </c>
      <c r="Z544" s="136" t="s">
        <v>2579</v>
      </c>
      <c r="AA544" s="206" t="s">
        <v>2580</v>
      </c>
      <c r="AB544" s="138" t="s">
        <v>1542</v>
      </c>
      <c r="AC544" s="138">
        <v>100000</v>
      </c>
      <c r="AD544" s="449">
        <v>1</v>
      </c>
      <c r="AE544" s="449">
        <v>1</v>
      </c>
      <c r="AF544">
        <v>0</v>
      </c>
      <c r="AG544" s="452">
        <v>4</v>
      </c>
    </row>
    <row r="545" spans="1:33" ht="17.25" x14ac:dyDescent="0.3">
      <c r="A545" s="132">
        <v>300304</v>
      </c>
      <c r="B545" s="136" t="s">
        <v>2581</v>
      </c>
      <c r="C545" s="136" t="s">
        <v>2582</v>
      </c>
      <c r="D545" s="137" t="s">
        <v>1508</v>
      </c>
      <c r="E545" s="138">
        <v>0</v>
      </c>
      <c r="F545" s="138">
        <v>0</v>
      </c>
      <c r="G545" s="138"/>
      <c r="H545" s="138" t="s">
        <v>295</v>
      </c>
      <c r="I545" s="138">
        <v>6</v>
      </c>
      <c r="J545" s="118">
        <v>6</v>
      </c>
      <c r="K545" s="138">
        <v>0</v>
      </c>
      <c r="L545" s="138">
        <v>4</v>
      </c>
      <c r="M545" s="138">
        <v>6</v>
      </c>
      <c r="N545" s="118" t="s">
        <v>1527</v>
      </c>
      <c r="O545" s="138">
        <v>50</v>
      </c>
      <c r="P545" s="138">
        <v>0.5</v>
      </c>
      <c r="Q545" s="138">
        <v>0</v>
      </c>
      <c r="R545" s="138">
        <v>1</v>
      </c>
      <c r="S545" s="138" t="b">
        <v>1</v>
      </c>
      <c r="T545" s="138">
        <v>26</v>
      </c>
      <c r="U545" s="118">
        <v>390</v>
      </c>
      <c r="V545" s="118">
        <v>520</v>
      </c>
      <c r="W545" s="138">
        <v>0</v>
      </c>
      <c r="X545" s="138">
        <v>4</v>
      </c>
      <c r="Y545" s="138" t="s">
        <v>38</v>
      </c>
      <c r="Z545" s="136" t="s">
        <v>2583</v>
      </c>
      <c r="AA545" s="206" t="s">
        <v>2584</v>
      </c>
      <c r="AB545" s="138" t="s">
        <v>1530</v>
      </c>
      <c r="AC545" s="138">
        <v>100000</v>
      </c>
      <c r="AD545" s="449">
        <v>1</v>
      </c>
      <c r="AE545" s="449">
        <v>1</v>
      </c>
      <c r="AF545">
        <v>300304</v>
      </c>
      <c r="AG545" s="452">
        <v>4</v>
      </c>
    </row>
    <row r="546" spans="1:33" ht="17.25" x14ac:dyDescent="0.3">
      <c r="A546" s="132">
        <v>300405</v>
      </c>
      <c r="B546" s="136" t="s">
        <v>2585</v>
      </c>
      <c r="C546" s="136" t="s">
        <v>2586</v>
      </c>
      <c r="D546" s="137" t="s">
        <v>1508</v>
      </c>
      <c r="E546" s="138">
        <v>0</v>
      </c>
      <c r="F546" s="138">
        <v>0</v>
      </c>
      <c r="G546" s="138"/>
      <c r="H546" s="138" t="s">
        <v>295</v>
      </c>
      <c r="I546" s="138">
        <v>5</v>
      </c>
      <c r="J546" s="118">
        <v>5</v>
      </c>
      <c r="K546" s="138">
        <v>0</v>
      </c>
      <c r="L546" s="138">
        <v>4</v>
      </c>
      <c r="M546" s="138">
        <v>5</v>
      </c>
      <c r="N546" s="118" t="s">
        <v>1533</v>
      </c>
      <c r="O546" s="138">
        <v>50</v>
      </c>
      <c r="P546" s="138">
        <v>0.5</v>
      </c>
      <c r="Q546" s="138">
        <v>0</v>
      </c>
      <c r="R546" s="138">
        <v>1</v>
      </c>
      <c r="S546" s="138" t="b">
        <v>1</v>
      </c>
      <c r="T546" s="138">
        <v>32</v>
      </c>
      <c r="U546" s="118">
        <v>480</v>
      </c>
      <c r="V546" s="118">
        <v>640</v>
      </c>
      <c r="W546" s="138">
        <v>0</v>
      </c>
      <c r="X546" s="138">
        <v>5</v>
      </c>
      <c r="Y546" s="138" t="s">
        <v>38</v>
      </c>
      <c r="Z546" s="136" t="s">
        <v>2587</v>
      </c>
      <c r="AA546" s="206" t="s">
        <v>2588</v>
      </c>
      <c r="AB546" s="138" t="s">
        <v>1548</v>
      </c>
      <c r="AC546" s="138">
        <v>100000</v>
      </c>
      <c r="AD546" s="449">
        <v>1</v>
      </c>
      <c r="AE546" s="449">
        <v>1</v>
      </c>
      <c r="AF546">
        <v>0</v>
      </c>
      <c r="AG546" s="452">
        <v>5</v>
      </c>
    </row>
    <row r="547" spans="1:33" ht="17.25" x14ac:dyDescent="0.3">
      <c r="A547" s="132">
        <v>300505</v>
      </c>
      <c r="B547" s="136" t="s">
        <v>2589</v>
      </c>
      <c r="C547" s="136" t="s">
        <v>2590</v>
      </c>
      <c r="D547" s="137" t="s">
        <v>1508</v>
      </c>
      <c r="E547" s="138">
        <v>0</v>
      </c>
      <c r="F547" s="138">
        <v>0</v>
      </c>
      <c r="G547" s="138"/>
      <c r="H547" s="138" t="s">
        <v>295</v>
      </c>
      <c r="I547" s="138">
        <v>6</v>
      </c>
      <c r="J547" s="118">
        <v>6</v>
      </c>
      <c r="K547" s="138">
        <v>0</v>
      </c>
      <c r="L547" s="138">
        <v>4</v>
      </c>
      <c r="M547" s="138">
        <v>6</v>
      </c>
      <c r="N547" s="118" t="s">
        <v>2591</v>
      </c>
      <c r="O547" s="138">
        <v>50</v>
      </c>
      <c r="P547" s="138">
        <v>0.5</v>
      </c>
      <c r="Q547" s="138">
        <v>0</v>
      </c>
      <c r="R547" s="138">
        <v>1</v>
      </c>
      <c r="S547" s="138" t="b">
        <v>1</v>
      </c>
      <c r="T547" s="138">
        <v>32</v>
      </c>
      <c r="U547" s="118">
        <v>480</v>
      </c>
      <c r="V547" s="118">
        <v>640</v>
      </c>
      <c r="W547" s="138">
        <v>0</v>
      </c>
      <c r="X547" s="138">
        <v>5</v>
      </c>
      <c r="Y547" s="138" t="s">
        <v>38</v>
      </c>
      <c r="Z547" s="136" t="s">
        <v>2592</v>
      </c>
      <c r="AA547" s="206" t="s">
        <v>2593</v>
      </c>
      <c r="AB547" s="138" t="s">
        <v>1536</v>
      </c>
      <c r="AC547" s="138">
        <v>100000</v>
      </c>
      <c r="AD547" s="449">
        <v>1</v>
      </c>
      <c r="AE547" s="449">
        <v>1</v>
      </c>
      <c r="AF547">
        <v>300505</v>
      </c>
      <c r="AG547" s="452">
        <v>5</v>
      </c>
    </row>
    <row r="548" spans="1:33" ht="17.25" x14ac:dyDescent="0.3">
      <c r="A548" s="132">
        <v>300106</v>
      </c>
      <c r="B548" s="136" t="s">
        <v>2594</v>
      </c>
      <c r="C548" s="136" t="s">
        <v>2595</v>
      </c>
      <c r="D548" s="137" t="s">
        <v>1508</v>
      </c>
      <c r="E548" s="138">
        <v>0</v>
      </c>
      <c r="F548" s="138">
        <v>0</v>
      </c>
      <c r="G548" s="138"/>
      <c r="H548" s="138" t="s">
        <v>295</v>
      </c>
      <c r="I548" s="138">
        <v>4</v>
      </c>
      <c r="J548" s="118">
        <v>4</v>
      </c>
      <c r="K548" s="138">
        <v>0</v>
      </c>
      <c r="L548" s="138">
        <v>4</v>
      </c>
      <c r="M548" s="138">
        <v>4</v>
      </c>
      <c r="N548" s="118" t="s">
        <v>1539</v>
      </c>
      <c r="O548" s="138">
        <v>50</v>
      </c>
      <c r="P548" s="138">
        <v>0.5</v>
      </c>
      <c r="Q548" s="138">
        <v>0</v>
      </c>
      <c r="R548" s="138">
        <v>1</v>
      </c>
      <c r="S548" s="138" t="b">
        <v>1</v>
      </c>
      <c r="T548" s="138">
        <v>39</v>
      </c>
      <c r="U548" s="118">
        <v>585</v>
      </c>
      <c r="V548" s="118">
        <v>780</v>
      </c>
      <c r="W548" s="138">
        <v>0</v>
      </c>
      <c r="X548" s="138">
        <v>6</v>
      </c>
      <c r="Y548" s="138" t="s">
        <v>38</v>
      </c>
      <c r="Z548" s="136" t="s">
        <v>2596</v>
      </c>
      <c r="AA548" s="206" t="s">
        <v>2597</v>
      </c>
      <c r="AB548" s="138" t="s">
        <v>1530</v>
      </c>
      <c r="AC548" s="138">
        <v>100000</v>
      </c>
      <c r="AD548" s="449">
        <v>1</v>
      </c>
      <c r="AE548" s="449">
        <v>1</v>
      </c>
      <c r="AF548">
        <v>0</v>
      </c>
      <c r="AG548" s="452">
        <v>6</v>
      </c>
    </row>
    <row r="549" spans="1:33" ht="17.25" x14ac:dyDescent="0.3">
      <c r="A549" s="132">
        <v>300206</v>
      </c>
      <c r="B549" s="136" t="s">
        <v>2598</v>
      </c>
      <c r="C549" s="136" t="s">
        <v>2599</v>
      </c>
      <c r="D549" s="137" t="s">
        <v>1508</v>
      </c>
      <c r="E549" s="138">
        <v>0</v>
      </c>
      <c r="F549" s="138">
        <v>0</v>
      </c>
      <c r="G549" s="138"/>
      <c r="H549" s="138" t="s">
        <v>295</v>
      </c>
      <c r="I549" s="138">
        <v>3</v>
      </c>
      <c r="J549" s="118">
        <v>3</v>
      </c>
      <c r="K549" s="138">
        <v>0</v>
      </c>
      <c r="L549" s="138">
        <v>4</v>
      </c>
      <c r="M549" s="138">
        <v>3</v>
      </c>
      <c r="N549" s="118" t="s">
        <v>1539</v>
      </c>
      <c r="O549" s="138">
        <v>50</v>
      </c>
      <c r="P549" s="138">
        <v>0.5</v>
      </c>
      <c r="Q549" s="138">
        <v>0</v>
      </c>
      <c r="R549" s="138">
        <v>1</v>
      </c>
      <c r="S549" s="138" t="b">
        <v>1</v>
      </c>
      <c r="T549" s="138">
        <v>39</v>
      </c>
      <c r="U549" s="118">
        <v>585</v>
      </c>
      <c r="V549" s="118">
        <v>780</v>
      </c>
      <c r="W549" s="138">
        <v>0</v>
      </c>
      <c r="X549" s="138">
        <v>6</v>
      </c>
      <c r="Y549" s="138" t="s">
        <v>38</v>
      </c>
      <c r="Z549" s="136" t="s">
        <v>2600</v>
      </c>
      <c r="AA549" s="206" t="s">
        <v>2601</v>
      </c>
      <c r="AB549" s="138" t="s">
        <v>1518</v>
      </c>
      <c r="AC549" s="138">
        <v>100000</v>
      </c>
      <c r="AD549" s="449">
        <v>1</v>
      </c>
      <c r="AE549" s="449">
        <v>1</v>
      </c>
      <c r="AF549">
        <v>0</v>
      </c>
      <c r="AG549" s="452">
        <v>6</v>
      </c>
    </row>
    <row r="550" spans="1:33" ht="17.25" x14ac:dyDescent="0.3">
      <c r="A550" s="132">
        <v>300207</v>
      </c>
      <c r="B550" s="136" t="s">
        <v>2602</v>
      </c>
      <c r="C550" s="136" t="s">
        <v>2603</v>
      </c>
      <c r="D550" s="137" t="s">
        <v>1508</v>
      </c>
      <c r="E550" s="138">
        <v>0</v>
      </c>
      <c r="F550" s="138">
        <v>0</v>
      </c>
      <c r="G550" s="138"/>
      <c r="H550" s="138" t="s">
        <v>295</v>
      </c>
      <c r="I550" s="138">
        <v>4</v>
      </c>
      <c r="J550" s="118">
        <v>4</v>
      </c>
      <c r="K550" s="138">
        <v>0</v>
      </c>
      <c r="L550" s="138">
        <v>4</v>
      </c>
      <c r="M550" s="138">
        <v>4</v>
      </c>
      <c r="N550" s="118" t="s">
        <v>1545</v>
      </c>
      <c r="O550" s="138">
        <v>50</v>
      </c>
      <c r="P550" s="138">
        <v>0.5</v>
      </c>
      <c r="Q550" s="138">
        <v>0</v>
      </c>
      <c r="R550" s="138">
        <v>1</v>
      </c>
      <c r="S550" s="138" t="b">
        <v>1</v>
      </c>
      <c r="T550" s="138">
        <v>45</v>
      </c>
      <c r="U550" s="118">
        <v>675</v>
      </c>
      <c r="V550" s="118">
        <v>900</v>
      </c>
      <c r="W550" s="138">
        <v>0</v>
      </c>
      <c r="X550" s="138">
        <v>7</v>
      </c>
      <c r="Y550" s="138" t="s">
        <v>38</v>
      </c>
      <c r="Z550" s="136" t="s">
        <v>2604</v>
      </c>
      <c r="AA550" s="206" t="s">
        <v>2605</v>
      </c>
      <c r="AB550" s="138" t="s">
        <v>1558</v>
      </c>
      <c r="AC550" s="138">
        <v>100000</v>
      </c>
      <c r="AD550" s="449">
        <v>1</v>
      </c>
      <c r="AE550" s="449">
        <v>1</v>
      </c>
      <c r="AF550">
        <v>0</v>
      </c>
      <c r="AG550" s="452">
        <v>7</v>
      </c>
    </row>
    <row r="551" spans="1:33" ht="17.25" x14ac:dyDescent="0.3">
      <c r="A551" s="132">
        <v>400203</v>
      </c>
      <c r="B551" s="136" t="s">
        <v>2606</v>
      </c>
      <c r="C551" s="136" t="s">
        <v>2607</v>
      </c>
      <c r="D551" s="137" t="s">
        <v>1594</v>
      </c>
      <c r="E551" s="138">
        <v>0</v>
      </c>
      <c r="F551" s="138">
        <v>0</v>
      </c>
      <c r="G551" s="138"/>
      <c r="H551" s="138" t="s">
        <v>295</v>
      </c>
      <c r="I551" s="138">
        <v>6</v>
      </c>
      <c r="J551" s="118">
        <v>6</v>
      </c>
      <c r="K551" s="138">
        <v>0</v>
      </c>
      <c r="L551" s="138">
        <v>4</v>
      </c>
      <c r="M551" s="138">
        <v>6</v>
      </c>
      <c r="N551" s="118" t="s">
        <v>1521</v>
      </c>
      <c r="O551" s="138">
        <v>50</v>
      </c>
      <c r="P551" s="138">
        <v>0.5</v>
      </c>
      <c r="Q551" s="138">
        <v>0</v>
      </c>
      <c r="R551" s="138">
        <v>1</v>
      </c>
      <c r="S551" s="138" t="b">
        <v>1</v>
      </c>
      <c r="T551" s="138">
        <v>19</v>
      </c>
      <c r="U551" s="118">
        <v>285</v>
      </c>
      <c r="V551" s="118">
        <v>380</v>
      </c>
      <c r="W551" s="138">
        <v>0</v>
      </c>
      <c r="X551" s="138">
        <v>3</v>
      </c>
      <c r="Y551" s="138" t="s">
        <v>38</v>
      </c>
      <c r="Z551" s="136" t="s">
        <v>2608</v>
      </c>
      <c r="AA551" s="206" t="s">
        <v>2609</v>
      </c>
      <c r="AB551" s="138" t="s">
        <v>1597</v>
      </c>
      <c r="AC551" s="138">
        <v>100000</v>
      </c>
      <c r="AD551" s="449">
        <v>1</v>
      </c>
      <c r="AE551" s="449">
        <v>1</v>
      </c>
      <c r="AF551">
        <v>0</v>
      </c>
      <c r="AG551" s="452">
        <v>3</v>
      </c>
    </row>
    <row r="552" spans="1:33" ht="17.25" x14ac:dyDescent="0.3">
      <c r="A552" s="132">
        <v>400303</v>
      </c>
      <c r="B552" s="136" t="s">
        <v>2610</v>
      </c>
      <c r="C552" s="136" t="s">
        <v>2611</v>
      </c>
      <c r="D552" s="137" t="s">
        <v>1594</v>
      </c>
      <c r="E552" s="138">
        <v>0</v>
      </c>
      <c r="F552" s="138">
        <v>0</v>
      </c>
      <c r="G552" s="138"/>
      <c r="H552" s="138" t="s">
        <v>295</v>
      </c>
      <c r="I552" s="138">
        <v>6</v>
      </c>
      <c r="J552" s="118">
        <v>6</v>
      </c>
      <c r="K552" s="138">
        <v>0</v>
      </c>
      <c r="L552" s="138">
        <v>4</v>
      </c>
      <c r="M552" s="138">
        <v>6</v>
      </c>
      <c r="N552" s="118" t="s">
        <v>1521</v>
      </c>
      <c r="O552" s="138">
        <v>50</v>
      </c>
      <c r="P552" s="138">
        <v>0.5</v>
      </c>
      <c r="Q552" s="138">
        <v>0</v>
      </c>
      <c r="R552" s="138">
        <v>1</v>
      </c>
      <c r="S552" s="138" t="b">
        <v>1</v>
      </c>
      <c r="T552" s="138">
        <v>19</v>
      </c>
      <c r="U552" s="118">
        <v>285</v>
      </c>
      <c r="V552" s="118">
        <v>380</v>
      </c>
      <c r="W552" s="138">
        <v>0</v>
      </c>
      <c r="X552" s="138">
        <v>3</v>
      </c>
      <c r="Y552" s="138" t="s">
        <v>38</v>
      </c>
      <c r="Z552" s="136" t="s">
        <v>2612</v>
      </c>
      <c r="AA552" s="206" t="s">
        <v>2613</v>
      </c>
      <c r="AB552" s="138" t="s">
        <v>1629</v>
      </c>
      <c r="AC552" s="138">
        <v>100000</v>
      </c>
      <c r="AD552" s="449">
        <v>1</v>
      </c>
      <c r="AE552" s="449">
        <v>1</v>
      </c>
      <c r="AF552">
        <v>400303</v>
      </c>
      <c r="AG552" s="452">
        <v>3</v>
      </c>
    </row>
    <row r="553" spans="1:33" ht="17.25" x14ac:dyDescent="0.3">
      <c r="A553" s="132">
        <v>400403</v>
      </c>
      <c r="B553" s="136" t="s">
        <v>2614</v>
      </c>
      <c r="C553" s="136" t="s">
        <v>2615</v>
      </c>
      <c r="D553" s="137" t="s">
        <v>1594</v>
      </c>
      <c r="E553" s="138">
        <v>0</v>
      </c>
      <c r="F553" s="138">
        <v>0</v>
      </c>
      <c r="G553" s="138"/>
      <c r="H553" s="138" t="s">
        <v>295</v>
      </c>
      <c r="I553" s="138">
        <v>3</v>
      </c>
      <c r="J553" s="118">
        <v>3</v>
      </c>
      <c r="K553" s="138">
        <v>0</v>
      </c>
      <c r="L553" s="138">
        <v>4</v>
      </c>
      <c r="M553" s="138">
        <v>3</v>
      </c>
      <c r="N553" s="118" t="s">
        <v>1521</v>
      </c>
      <c r="O553" s="138">
        <v>50</v>
      </c>
      <c r="P553" s="138">
        <v>0.5</v>
      </c>
      <c r="Q553" s="138">
        <v>0</v>
      </c>
      <c r="R553" s="138">
        <v>1</v>
      </c>
      <c r="S553" s="138" t="b">
        <v>1</v>
      </c>
      <c r="T553" s="138">
        <v>19</v>
      </c>
      <c r="U553" s="118">
        <v>285</v>
      </c>
      <c r="V553" s="118">
        <v>380</v>
      </c>
      <c r="W553" s="138">
        <v>0</v>
      </c>
      <c r="X553" s="138">
        <v>3</v>
      </c>
      <c r="Y553" s="138" t="s">
        <v>38</v>
      </c>
      <c r="Z553" s="136" t="s">
        <v>2616</v>
      </c>
      <c r="AA553" s="206" t="s">
        <v>2617</v>
      </c>
      <c r="AB553" s="138" t="s">
        <v>1601</v>
      </c>
      <c r="AC553" s="138">
        <v>100000</v>
      </c>
      <c r="AD553" s="449">
        <v>1</v>
      </c>
      <c r="AE553" s="449">
        <v>1</v>
      </c>
      <c r="AF553">
        <v>0</v>
      </c>
      <c r="AG553" s="452">
        <v>3</v>
      </c>
    </row>
    <row r="554" spans="1:33" ht="17.25" x14ac:dyDescent="0.3">
      <c r="A554" s="132">
        <v>400204</v>
      </c>
      <c r="B554" s="136" t="s">
        <v>2618</v>
      </c>
      <c r="C554" s="136" t="s">
        <v>2619</v>
      </c>
      <c r="D554" s="137" t="s">
        <v>1594</v>
      </c>
      <c r="E554" s="138">
        <v>0</v>
      </c>
      <c r="F554" s="138">
        <v>0</v>
      </c>
      <c r="G554" s="138"/>
      <c r="H554" s="138" t="s">
        <v>295</v>
      </c>
      <c r="I554" s="138">
        <v>5</v>
      </c>
      <c r="J554" s="118">
        <v>5</v>
      </c>
      <c r="K554" s="138">
        <v>0</v>
      </c>
      <c r="L554" s="138">
        <v>4</v>
      </c>
      <c r="M554" s="138">
        <v>5</v>
      </c>
      <c r="N554" s="118" t="s">
        <v>1527</v>
      </c>
      <c r="O554" s="138">
        <v>50</v>
      </c>
      <c r="P554" s="138">
        <v>0.5</v>
      </c>
      <c r="Q554" s="138">
        <v>0</v>
      </c>
      <c r="R554" s="138">
        <v>1</v>
      </c>
      <c r="S554" s="138" t="b">
        <v>1</v>
      </c>
      <c r="T554" s="138">
        <v>26</v>
      </c>
      <c r="U554" s="118">
        <v>390</v>
      </c>
      <c r="V554" s="118">
        <v>520</v>
      </c>
      <c r="W554" s="138">
        <v>0</v>
      </c>
      <c r="X554" s="138">
        <v>4</v>
      </c>
      <c r="Y554" s="138" t="s">
        <v>38</v>
      </c>
      <c r="Z554" s="136" t="s">
        <v>2620</v>
      </c>
      <c r="AA554" s="206" t="s">
        <v>2621</v>
      </c>
      <c r="AB554" s="138" t="s">
        <v>1642</v>
      </c>
      <c r="AC554" s="138">
        <v>100000</v>
      </c>
      <c r="AD554" s="449">
        <v>1</v>
      </c>
      <c r="AE554" s="449">
        <v>1</v>
      </c>
      <c r="AF554">
        <v>400204</v>
      </c>
      <c r="AG554" s="452">
        <v>4</v>
      </c>
    </row>
    <row r="555" spans="1:33" ht="17.25" x14ac:dyDescent="0.3">
      <c r="A555" s="132">
        <v>400304</v>
      </c>
      <c r="B555" s="136" t="s">
        <v>2622</v>
      </c>
      <c r="C555" s="136" t="s">
        <v>2623</v>
      </c>
      <c r="D555" s="137" t="s">
        <v>1594</v>
      </c>
      <c r="E555" s="138">
        <v>0</v>
      </c>
      <c r="F555" s="138">
        <v>0</v>
      </c>
      <c r="G555" s="138"/>
      <c r="H555" s="138" t="s">
        <v>295</v>
      </c>
      <c r="I555" s="138">
        <v>6</v>
      </c>
      <c r="J555" s="118">
        <v>6</v>
      </c>
      <c r="K555" s="138">
        <v>0</v>
      </c>
      <c r="L555" s="138">
        <v>4</v>
      </c>
      <c r="M555" s="138">
        <v>6</v>
      </c>
      <c r="N555" s="118" t="s">
        <v>1527</v>
      </c>
      <c r="O555" s="138">
        <v>50</v>
      </c>
      <c r="P555" s="138">
        <v>0.5</v>
      </c>
      <c r="Q555" s="138">
        <v>0</v>
      </c>
      <c r="R555" s="138">
        <v>1</v>
      </c>
      <c r="S555" s="138" t="b">
        <v>1</v>
      </c>
      <c r="T555" s="138">
        <v>26</v>
      </c>
      <c r="U555" s="118">
        <v>390</v>
      </c>
      <c r="V555" s="118">
        <v>520</v>
      </c>
      <c r="W555" s="138">
        <v>0</v>
      </c>
      <c r="X555" s="138">
        <v>4</v>
      </c>
      <c r="Y555" s="138" t="s">
        <v>38</v>
      </c>
      <c r="Z555" s="136" t="s">
        <v>2624</v>
      </c>
      <c r="AA555" s="206" t="s">
        <v>2625</v>
      </c>
      <c r="AB555" s="138" t="s">
        <v>1614</v>
      </c>
      <c r="AC555" s="138">
        <v>100000</v>
      </c>
      <c r="AD555" s="449">
        <v>1</v>
      </c>
      <c r="AE555" s="449">
        <v>1</v>
      </c>
      <c r="AF555">
        <v>0</v>
      </c>
      <c r="AG555" s="452">
        <v>4</v>
      </c>
    </row>
    <row r="556" spans="1:33" ht="17.25" x14ac:dyDescent="0.3">
      <c r="A556" s="132">
        <v>400405</v>
      </c>
      <c r="B556" s="136" t="s">
        <v>2626</v>
      </c>
      <c r="C556" s="136" t="s">
        <v>2627</v>
      </c>
      <c r="D556" s="137" t="s">
        <v>1594</v>
      </c>
      <c r="E556" s="138">
        <v>0</v>
      </c>
      <c r="F556" s="138">
        <v>0</v>
      </c>
      <c r="G556" s="138"/>
      <c r="H556" s="138" t="s">
        <v>295</v>
      </c>
      <c r="I556" s="138">
        <v>4</v>
      </c>
      <c r="J556" s="118">
        <v>4</v>
      </c>
      <c r="K556" s="138">
        <v>0</v>
      </c>
      <c r="L556" s="138">
        <v>4</v>
      </c>
      <c r="M556" s="138">
        <v>4</v>
      </c>
      <c r="N556" s="118" t="s">
        <v>1533</v>
      </c>
      <c r="O556" s="138">
        <v>50</v>
      </c>
      <c r="P556" s="138">
        <v>0.5</v>
      </c>
      <c r="Q556" s="138">
        <v>0</v>
      </c>
      <c r="R556" s="138">
        <v>1</v>
      </c>
      <c r="S556" s="138" t="b">
        <v>1</v>
      </c>
      <c r="T556" s="138">
        <v>32</v>
      </c>
      <c r="U556" s="118">
        <v>480</v>
      </c>
      <c r="V556" s="118">
        <v>640</v>
      </c>
      <c r="W556" s="138">
        <v>0</v>
      </c>
      <c r="X556" s="138">
        <v>5</v>
      </c>
      <c r="Y556" s="138" t="s">
        <v>38</v>
      </c>
      <c r="Z556" s="136" t="s">
        <v>2628</v>
      </c>
      <c r="AA556" s="206" t="s">
        <v>2629</v>
      </c>
      <c r="AB556" s="138" t="s">
        <v>1619</v>
      </c>
      <c r="AC556" s="138">
        <v>100000</v>
      </c>
      <c r="AD556" s="449">
        <v>1</v>
      </c>
      <c r="AE556" s="449">
        <v>1</v>
      </c>
      <c r="AF556">
        <v>0</v>
      </c>
      <c r="AG556" s="452">
        <v>5</v>
      </c>
    </row>
    <row r="557" spans="1:33" ht="17.25" x14ac:dyDescent="0.3">
      <c r="A557" s="132">
        <v>400505</v>
      </c>
      <c r="B557" s="136" t="s">
        <v>2630</v>
      </c>
      <c r="C557" s="136" t="s">
        <v>2631</v>
      </c>
      <c r="D557" s="137" t="s">
        <v>1594</v>
      </c>
      <c r="E557" s="138">
        <v>0</v>
      </c>
      <c r="F557" s="138">
        <v>0</v>
      </c>
      <c r="G557" s="138"/>
      <c r="H557" s="138" t="s">
        <v>295</v>
      </c>
      <c r="I557" s="138">
        <v>4</v>
      </c>
      <c r="J557" s="118">
        <v>4</v>
      </c>
      <c r="K557" s="138">
        <v>0</v>
      </c>
      <c r="L557" s="138">
        <v>4</v>
      </c>
      <c r="M557" s="138">
        <v>4</v>
      </c>
      <c r="N557" s="118" t="s">
        <v>1533</v>
      </c>
      <c r="O557" s="138">
        <v>50</v>
      </c>
      <c r="P557" s="138">
        <v>0.5</v>
      </c>
      <c r="Q557" s="138">
        <v>0</v>
      </c>
      <c r="R557" s="138">
        <v>1</v>
      </c>
      <c r="S557" s="138" t="b">
        <v>1</v>
      </c>
      <c r="T557" s="138">
        <v>32</v>
      </c>
      <c r="U557" s="118">
        <v>480</v>
      </c>
      <c r="V557" s="118">
        <v>640</v>
      </c>
      <c r="W557" s="138">
        <v>0</v>
      </c>
      <c r="X557" s="138">
        <v>5</v>
      </c>
      <c r="Y557" s="138" t="s">
        <v>38</v>
      </c>
      <c r="Z557" s="136" t="s">
        <v>2632</v>
      </c>
      <c r="AA557" s="206" t="s">
        <v>2633</v>
      </c>
      <c r="AB557" s="138" t="s">
        <v>1661</v>
      </c>
      <c r="AC557" s="138">
        <v>100000</v>
      </c>
      <c r="AD557" s="449">
        <v>1</v>
      </c>
      <c r="AE557" s="449">
        <v>1</v>
      </c>
      <c r="AF557">
        <v>400505</v>
      </c>
      <c r="AG557" s="452">
        <v>5</v>
      </c>
    </row>
    <row r="558" spans="1:33" ht="17.25" x14ac:dyDescent="0.3">
      <c r="A558" s="132">
        <v>400106</v>
      </c>
      <c r="B558" s="136" t="s">
        <v>2634</v>
      </c>
      <c r="C558" s="136" t="s">
        <v>2635</v>
      </c>
      <c r="D558" s="137" t="s">
        <v>1594</v>
      </c>
      <c r="E558" s="138">
        <v>0</v>
      </c>
      <c r="F558" s="138">
        <v>0</v>
      </c>
      <c r="G558" s="138"/>
      <c r="H558" s="138" t="s">
        <v>295</v>
      </c>
      <c r="I558" s="138">
        <v>3</v>
      </c>
      <c r="J558" s="118">
        <v>3</v>
      </c>
      <c r="K558" s="138">
        <v>0</v>
      </c>
      <c r="L558" s="138">
        <v>4</v>
      </c>
      <c r="M558" s="138">
        <v>3</v>
      </c>
      <c r="N558" s="118" t="s">
        <v>1539</v>
      </c>
      <c r="O558" s="138">
        <v>50</v>
      </c>
      <c r="P558" s="138">
        <v>0.5</v>
      </c>
      <c r="Q558" s="138">
        <v>0</v>
      </c>
      <c r="R558" s="138">
        <v>1</v>
      </c>
      <c r="S558" s="138" t="b">
        <v>1</v>
      </c>
      <c r="T558" s="138">
        <v>39</v>
      </c>
      <c r="U558" s="118">
        <v>585</v>
      </c>
      <c r="V558" s="118">
        <v>780</v>
      </c>
      <c r="W558" s="138">
        <v>0</v>
      </c>
      <c r="X558" s="138">
        <v>6</v>
      </c>
      <c r="Y558" s="138" t="s">
        <v>38</v>
      </c>
      <c r="Z558" s="136" t="s">
        <v>2636</v>
      </c>
      <c r="AA558" s="206" t="s">
        <v>2637</v>
      </c>
      <c r="AB558" s="138" t="s">
        <v>1614</v>
      </c>
      <c r="AC558" s="138">
        <v>100000</v>
      </c>
      <c r="AD558" s="449">
        <v>1</v>
      </c>
      <c r="AE558" s="449">
        <v>1</v>
      </c>
      <c r="AF558">
        <v>0</v>
      </c>
      <c r="AG558" s="452">
        <v>6</v>
      </c>
    </row>
    <row r="559" spans="1:33" ht="17.25" x14ac:dyDescent="0.3">
      <c r="A559" s="132">
        <v>400206</v>
      </c>
      <c r="B559" s="136" t="s">
        <v>2638</v>
      </c>
      <c r="C559" s="136" t="s">
        <v>2639</v>
      </c>
      <c r="D559" s="137" t="s">
        <v>1594</v>
      </c>
      <c r="E559" s="138">
        <v>0</v>
      </c>
      <c r="F559" s="138">
        <v>0</v>
      </c>
      <c r="G559" s="138"/>
      <c r="H559" s="138" t="s">
        <v>295</v>
      </c>
      <c r="I559" s="138">
        <v>5</v>
      </c>
      <c r="J559" s="118">
        <v>5</v>
      </c>
      <c r="K559" s="138">
        <v>0</v>
      </c>
      <c r="L559" s="138">
        <v>4</v>
      </c>
      <c r="M559" s="138">
        <v>5</v>
      </c>
      <c r="N559" s="118" t="s">
        <v>1539</v>
      </c>
      <c r="O559" s="138">
        <v>50</v>
      </c>
      <c r="P559" s="138">
        <v>0.5</v>
      </c>
      <c r="Q559" s="138">
        <v>0</v>
      </c>
      <c r="R559" s="138">
        <v>1</v>
      </c>
      <c r="S559" s="138" t="b">
        <v>1</v>
      </c>
      <c r="T559" s="138">
        <v>39</v>
      </c>
      <c r="U559" s="118">
        <v>585</v>
      </c>
      <c r="V559" s="118">
        <v>780</v>
      </c>
      <c r="W559" s="138">
        <v>0</v>
      </c>
      <c r="X559" s="138">
        <v>6</v>
      </c>
      <c r="Y559" s="138" t="s">
        <v>38</v>
      </c>
      <c r="Z559" s="136" t="s">
        <v>2640</v>
      </c>
      <c r="AA559" s="206" t="s">
        <v>2641</v>
      </c>
      <c r="AB559" s="138" t="s">
        <v>1624</v>
      </c>
      <c r="AC559" s="138">
        <v>100000</v>
      </c>
      <c r="AD559" s="449">
        <v>1</v>
      </c>
      <c r="AE559" s="449">
        <v>1</v>
      </c>
      <c r="AF559">
        <v>0</v>
      </c>
      <c r="AG559" s="452">
        <v>6</v>
      </c>
    </row>
    <row r="560" spans="1:33" ht="17.25" x14ac:dyDescent="0.3">
      <c r="A560" s="132">
        <v>400207</v>
      </c>
      <c r="B560" s="136" t="s">
        <v>2642</v>
      </c>
      <c r="C560" s="136" t="s">
        <v>2643</v>
      </c>
      <c r="D560" s="137" t="s">
        <v>1594</v>
      </c>
      <c r="E560" s="138">
        <v>0</v>
      </c>
      <c r="F560" s="138">
        <v>0</v>
      </c>
      <c r="G560" s="138"/>
      <c r="H560" s="138" t="s">
        <v>295</v>
      </c>
      <c r="I560" s="138">
        <v>5</v>
      </c>
      <c r="J560" s="118">
        <v>5</v>
      </c>
      <c r="K560" s="138">
        <v>0</v>
      </c>
      <c r="L560" s="138">
        <v>4</v>
      </c>
      <c r="M560" s="138">
        <v>5</v>
      </c>
      <c r="N560" s="118" t="s">
        <v>1545</v>
      </c>
      <c r="O560" s="138">
        <v>50</v>
      </c>
      <c r="P560" s="138">
        <v>0.5</v>
      </c>
      <c r="Q560" s="138">
        <v>0</v>
      </c>
      <c r="R560" s="138">
        <v>1</v>
      </c>
      <c r="S560" s="138" t="b">
        <v>1</v>
      </c>
      <c r="T560" s="138">
        <v>45</v>
      </c>
      <c r="U560" s="118">
        <v>675</v>
      </c>
      <c r="V560" s="118">
        <v>900</v>
      </c>
      <c r="W560" s="138">
        <v>0</v>
      </c>
      <c r="X560" s="138">
        <v>7</v>
      </c>
      <c r="Y560" s="138" t="s">
        <v>38</v>
      </c>
      <c r="Z560" s="136" t="s">
        <v>2644</v>
      </c>
      <c r="AA560" s="206" t="s">
        <v>2645</v>
      </c>
      <c r="AB560" s="138" t="s">
        <v>1647</v>
      </c>
      <c r="AC560" s="138">
        <v>100000</v>
      </c>
      <c r="AD560" s="449">
        <v>1</v>
      </c>
      <c r="AE560" s="449">
        <v>1</v>
      </c>
      <c r="AF560">
        <v>0</v>
      </c>
      <c r="AG560" s="452">
        <v>7</v>
      </c>
    </row>
    <row r="561" spans="1:33" ht="17.25" x14ac:dyDescent="0.3">
      <c r="A561" s="132">
        <v>500203</v>
      </c>
      <c r="B561" s="136" t="s">
        <v>2646</v>
      </c>
      <c r="C561" s="136" t="s">
        <v>2647</v>
      </c>
      <c r="D561" s="137" t="s">
        <v>1672</v>
      </c>
      <c r="E561" s="138">
        <v>0</v>
      </c>
      <c r="F561" s="138">
        <v>0</v>
      </c>
      <c r="G561" s="138"/>
      <c r="H561" s="138" t="s">
        <v>295</v>
      </c>
      <c r="I561" s="138">
        <v>4</v>
      </c>
      <c r="J561" s="118">
        <v>4</v>
      </c>
      <c r="K561" s="138">
        <v>0</v>
      </c>
      <c r="L561" s="138">
        <v>4</v>
      </c>
      <c r="M561" s="138">
        <v>4</v>
      </c>
      <c r="N561" s="118" t="s">
        <v>1521</v>
      </c>
      <c r="O561" s="138">
        <v>50</v>
      </c>
      <c r="P561" s="138">
        <v>0.5</v>
      </c>
      <c r="Q561" s="138">
        <v>0</v>
      </c>
      <c r="R561" s="138">
        <v>1</v>
      </c>
      <c r="S561" s="138" t="b">
        <v>1</v>
      </c>
      <c r="T561" s="138">
        <v>19</v>
      </c>
      <c r="U561" s="118">
        <v>285</v>
      </c>
      <c r="V561" s="118">
        <v>380</v>
      </c>
      <c r="W561" s="138">
        <v>0</v>
      </c>
      <c r="X561" s="138">
        <v>3</v>
      </c>
      <c r="Y561" s="138" t="s">
        <v>38</v>
      </c>
      <c r="Z561" s="136" t="s">
        <v>2648</v>
      </c>
      <c r="AA561" s="206" t="s">
        <v>2649</v>
      </c>
      <c r="AB561" s="138" t="s">
        <v>1705</v>
      </c>
      <c r="AC561" s="138">
        <v>100000</v>
      </c>
      <c r="AD561" s="449">
        <v>1</v>
      </c>
      <c r="AE561" s="449">
        <v>1</v>
      </c>
      <c r="AF561">
        <v>500203</v>
      </c>
      <c r="AG561" s="452">
        <v>3</v>
      </c>
    </row>
    <row r="562" spans="1:33" ht="17.25" x14ac:dyDescent="0.3">
      <c r="A562" s="132">
        <v>500303</v>
      </c>
      <c r="B562" s="136" t="s">
        <v>2650</v>
      </c>
      <c r="C562" s="136" t="s">
        <v>2651</v>
      </c>
      <c r="D562" s="137" t="s">
        <v>1672</v>
      </c>
      <c r="E562" s="138">
        <v>0</v>
      </c>
      <c r="F562" s="138">
        <v>0</v>
      </c>
      <c r="G562" s="138"/>
      <c r="H562" s="138" t="s">
        <v>295</v>
      </c>
      <c r="I562" s="138">
        <v>5</v>
      </c>
      <c r="J562" s="118">
        <v>5</v>
      </c>
      <c r="K562" s="138">
        <v>0</v>
      </c>
      <c r="L562" s="138">
        <v>4</v>
      </c>
      <c r="M562" s="138">
        <v>5</v>
      </c>
      <c r="N562" s="118" t="s">
        <v>1521</v>
      </c>
      <c r="O562" s="138">
        <v>50</v>
      </c>
      <c r="P562" s="138">
        <v>0.5</v>
      </c>
      <c r="Q562" s="138">
        <v>0</v>
      </c>
      <c r="R562" s="138">
        <v>1</v>
      </c>
      <c r="S562" s="138" t="b">
        <v>1</v>
      </c>
      <c r="T562" s="138">
        <v>19</v>
      </c>
      <c r="U562" s="118">
        <v>285</v>
      </c>
      <c r="V562" s="118">
        <v>380</v>
      </c>
      <c r="W562" s="138">
        <v>0</v>
      </c>
      <c r="X562" s="138">
        <v>3</v>
      </c>
      <c r="Y562" s="138" t="s">
        <v>38</v>
      </c>
      <c r="Z562" s="136" t="s">
        <v>2652</v>
      </c>
      <c r="AA562" s="206" t="s">
        <v>2653</v>
      </c>
      <c r="AB562" s="138" t="s">
        <v>1685</v>
      </c>
      <c r="AC562" s="138">
        <v>100000</v>
      </c>
      <c r="AD562" s="449">
        <v>1</v>
      </c>
      <c r="AE562" s="449">
        <v>1</v>
      </c>
      <c r="AF562">
        <v>0</v>
      </c>
      <c r="AG562" s="452">
        <v>3</v>
      </c>
    </row>
    <row r="563" spans="1:33" ht="17.25" x14ac:dyDescent="0.3">
      <c r="A563" s="132">
        <v>500403</v>
      </c>
      <c r="B563" s="136" t="s">
        <v>2654</v>
      </c>
      <c r="C563" s="136" t="s">
        <v>2655</v>
      </c>
      <c r="D563" s="137" t="s">
        <v>1672</v>
      </c>
      <c r="E563" s="138">
        <v>0</v>
      </c>
      <c r="F563" s="138">
        <v>0</v>
      </c>
      <c r="G563" s="138"/>
      <c r="H563" s="138" t="s">
        <v>295</v>
      </c>
      <c r="I563" s="138">
        <v>6</v>
      </c>
      <c r="J563" s="118">
        <v>6</v>
      </c>
      <c r="K563" s="138">
        <v>0</v>
      </c>
      <c r="L563" s="138">
        <v>4</v>
      </c>
      <c r="M563" s="138">
        <v>6</v>
      </c>
      <c r="N563" s="118" t="s">
        <v>1521</v>
      </c>
      <c r="O563" s="138">
        <v>50</v>
      </c>
      <c r="P563" s="138">
        <v>0.5</v>
      </c>
      <c r="Q563" s="138">
        <v>0</v>
      </c>
      <c r="R563" s="138">
        <v>1</v>
      </c>
      <c r="S563" s="138" t="b">
        <v>1</v>
      </c>
      <c r="T563" s="138">
        <v>19</v>
      </c>
      <c r="U563" s="118">
        <v>285</v>
      </c>
      <c r="V563" s="118">
        <v>380</v>
      </c>
      <c r="W563" s="138">
        <v>0</v>
      </c>
      <c r="X563" s="138">
        <v>3</v>
      </c>
      <c r="Y563" s="138" t="s">
        <v>38</v>
      </c>
      <c r="Z563" s="136" t="s">
        <v>2656</v>
      </c>
      <c r="AA563" s="206" t="s">
        <v>2657</v>
      </c>
      <c r="AB563" s="138" t="s">
        <v>1695</v>
      </c>
      <c r="AC563" s="138">
        <v>100000</v>
      </c>
      <c r="AD563" s="449">
        <v>1</v>
      </c>
      <c r="AE563" s="449">
        <v>1</v>
      </c>
      <c r="AF563">
        <v>500403</v>
      </c>
      <c r="AG563" s="452">
        <v>3</v>
      </c>
    </row>
    <row r="564" spans="1:33" ht="17.25" x14ac:dyDescent="0.3">
      <c r="A564" s="132">
        <v>500204</v>
      </c>
      <c r="B564" s="136" t="s">
        <v>2658</v>
      </c>
      <c r="C564" s="136" t="s">
        <v>2659</v>
      </c>
      <c r="D564" s="137" t="s">
        <v>1672</v>
      </c>
      <c r="E564" s="138">
        <v>0</v>
      </c>
      <c r="F564" s="138">
        <v>0</v>
      </c>
      <c r="G564" s="138"/>
      <c r="H564" s="138" t="s">
        <v>295</v>
      </c>
      <c r="I564" s="138">
        <v>4</v>
      </c>
      <c r="J564" s="118">
        <v>4</v>
      </c>
      <c r="K564" s="138">
        <v>0</v>
      </c>
      <c r="L564" s="138">
        <v>4</v>
      </c>
      <c r="M564" s="138">
        <v>4</v>
      </c>
      <c r="N564" s="118" t="s">
        <v>1527</v>
      </c>
      <c r="O564" s="138">
        <v>50</v>
      </c>
      <c r="P564" s="138">
        <v>0.5</v>
      </c>
      <c r="Q564" s="138">
        <v>0</v>
      </c>
      <c r="R564" s="138">
        <v>1</v>
      </c>
      <c r="S564" s="138" t="b">
        <v>1</v>
      </c>
      <c r="T564" s="138">
        <v>26</v>
      </c>
      <c r="U564" s="118">
        <v>390</v>
      </c>
      <c r="V564" s="118">
        <v>520</v>
      </c>
      <c r="W564" s="138">
        <v>0</v>
      </c>
      <c r="X564" s="138">
        <v>4</v>
      </c>
      <c r="Y564" s="138" t="s">
        <v>38</v>
      </c>
      <c r="Z564" s="136" t="s">
        <v>2660</v>
      </c>
      <c r="AA564" s="206" t="s">
        <v>2661</v>
      </c>
      <c r="AB564" s="138" t="s">
        <v>1690</v>
      </c>
      <c r="AC564" s="138">
        <v>100000</v>
      </c>
      <c r="AD564" s="449">
        <v>1</v>
      </c>
      <c r="AE564" s="449">
        <v>1</v>
      </c>
      <c r="AF564">
        <v>0</v>
      </c>
      <c r="AG564" s="452">
        <v>4</v>
      </c>
    </row>
    <row r="565" spans="1:33" ht="17.25" x14ac:dyDescent="0.3">
      <c r="A565" s="132">
        <v>500304</v>
      </c>
      <c r="B565" s="136" t="s">
        <v>2662</v>
      </c>
      <c r="C565" s="136" t="s">
        <v>2663</v>
      </c>
      <c r="D565" s="137" t="s">
        <v>1672</v>
      </c>
      <c r="E565" s="138">
        <v>0</v>
      </c>
      <c r="F565" s="138">
        <v>0</v>
      </c>
      <c r="G565" s="138"/>
      <c r="H565" s="138" t="s">
        <v>295</v>
      </c>
      <c r="I565" s="138">
        <v>3</v>
      </c>
      <c r="J565" s="118">
        <v>3</v>
      </c>
      <c r="K565" s="138">
        <v>0</v>
      </c>
      <c r="L565" s="138">
        <v>4</v>
      </c>
      <c r="M565" s="138">
        <v>3</v>
      </c>
      <c r="N565" s="118" t="s">
        <v>1527</v>
      </c>
      <c r="O565" s="138">
        <v>50</v>
      </c>
      <c r="P565" s="138">
        <v>0.5</v>
      </c>
      <c r="Q565" s="138">
        <v>0</v>
      </c>
      <c r="R565" s="138">
        <v>1</v>
      </c>
      <c r="S565" s="138" t="b">
        <v>1</v>
      </c>
      <c r="T565" s="138">
        <v>26</v>
      </c>
      <c r="U565" s="118">
        <v>390</v>
      </c>
      <c r="V565" s="118">
        <v>520</v>
      </c>
      <c r="W565" s="138">
        <v>0</v>
      </c>
      <c r="X565" s="138">
        <v>4</v>
      </c>
      <c r="Y565" s="138" t="s">
        <v>38</v>
      </c>
      <c r="Z565" s="136" t="s">
        <v>2664</v>
      </c>
      <c r="AA565" s="206" t="s">
        <v>2665</v>
      </c>
      <c r="AB565" s="138" t="s">
        <v>1695</v>
      </c>
      <c r="AC565" s="138">
        <v>100000</v>
      </c>
      <c r="AD565" s="449">
        <v>1</v>
      </c>
      <c r="AE565" s="449">
        <v>1</v>
      </c>
      <c r="AF565">
        <v>0</v>
      </c>
      <c r="AG565" s="452">
        <v>4</v>
      </c>
    </row>
    <row r="566" spans="1:33" ht="17.25" x14ac:dyDescent="0.3">
      <c r="A566" s="132">
        <v>500105</v>
      </c>
      <c r="B566" s="136" t="s">
        <v>2666</v>
      </c>
      <c r="C566" s="136" t="s">
        <v>2667</v>
      </c>
      <c r="D566" s="137" t="s">
        <v>1672</v>
      </c>
      <c r="E566" s="138">
        <v>0</v>
      </c>
      <c r="F566" s="138">
        <v>0</v>
      </c>
      <c r="G566" s="138"/>
      <c r="H566" s="138" t="s">
        <v>295</v>
      </c>
      <c r="I566" s="138">
        <v>4</v>
      </c>
      <c r="J566" s="118">
        <v>4</v>
      </c>
      <c r="K566" s="138">
        <v>0</v>
      </c>
      <c r="L566" s="138">
        <v>4</v>
      </c>
      <c r="M566" s="138">
        <v>4</v>
      </c>
      <c r="N566" s="118" t="s">
        <v>1533</v>
      </c>
      <c r="O566" s="138">
        <v>50</v>
      </c>
      <c r="P566" s="138">
        <v>0.5</v>
      </c>
      <c r="Q566" s="138">
        <v>0</v>
      </c>
      <c r="R566" s="138">
        <v>1</v>
      </c>
      <c r="S566" s="138" t="b">
        <v>1</v>
      </c>
      <c r="T566" s="138">
        <v>32</v>
      </c>
      <c r="U566" s="118">
        <v>480</v>
      </c>
      <c r="V566" s="118">
        <v>640</v>
      </c>
      <c r="W566" s="138">
        <v>0</v>
      </c>
      <c r="X566" s="138">
        <v>5</v>
      </c>
      <c r="Y566" s="138" t="s">
        <v>38</v>
      </c>
      <c r="Z566" s="136" t="s">
        <v>2668</v>
      </c>
      <c r="AA566" s="206" t="s">
        <v>2669</v>
      </c>
      <c r="AB566" s="138" t="s">
        <v>1700</v>
      </c>
      <c r="AC566" s="138">
        <v>100000</v>
      </c>
      <c r="AD566" s="449">
        <v>1</v>
      </c>
      <c r="AE566" s="449">
        <v>1</v>
      </c>
      <c r="AF566">
        <v>500105</v>
      </c>
      <c r="AG566" s="452">
        <v>5</v>
      </c>
    </row>
    <row r="567" spans="1:33" ht="17.25" x14ac:dyDescent="0.3">
      <c r="A567" s="132">
        <v>500205</v>
      </c>
      <c r="B567" s="136" t="s">
        <v>2670</v>
      </c>
      <c r="C567" s="136" t="s">
        <v>2671</v>
      </c>
      <c r="D567" s="137" t="s">
        <v>1672</v>
      </c>
      <c r="E567" s="138">
        <v>0</v>
      </c>
      <c r="F567" s="138">
        <v>0</v>
      </c>
      <c r="G567" s="138"/>
      <c r="H567" s="138" t="s">
        <v>295</v>
      </c>
      <c r="I567" s="138">
        <v>4</v>
      </c>
      <c r="J567" s="118">
        <v>4</v>
      </c>
      <c r="K567" s="138">
        <v>0</v>
      </c>
      <c r="L567" s="138">
        <v>4</v>
      </c>
      <c r="M567" s="138">
        <v>4</v>
      </c>
      <c r="N567" s="118" t="s">
        <v>1533</v>
      </c>
      <c r="O567" s="138">
        <v>50</v>
      </c>
      <c r="P567" s="138">
        <v>0.5</v>
      </c>
      <c r="Q567" s="138">
        <v>0</v>
      </c>
      <c r="R567" s="138">
        <v>1</v>
      </c>
      <c r="S567" s="138" t="b">
        <v>1</v>
      </c>
      <c r="T567" s="138">
        <v>32</v>
      </c>
      <c r="U567" s="118">
        <v>480</v>
      </c>
      <c r="V567" s="118">
        <v>640</v>
      </c>
      <c r="W567" s="138">
        <v>0</v>
      </c>
      <c r="X567" s="138">
        <v>5</v>
      </c>
      <c r="Y567" s="138" t="s">
        <v>38</v>
      </c>
      <c r="Z567" s="136" t="s">
        <v>2672</v>
      </c>
      <c r="AA567" s="206" t="s">
        <v>2673</v>
      </c>
      <c r="AB567" s="138" t="s">
        <v>1705</v>
      </c>
      <c r="AC567" s="138">
        <v>100000</v>
      </c>
      <c r="AD567" s="449">
        <v>1</v>
      </c>
      <c r="AE567" s="449">
        <v>1</v>
      </c>
      <c r="AF567">
        <v>0</v>
      </c>
      <c r="AG567" s="452">
        <v>5</v>
      </c>
    </row>
    <row r="568" spans="1:33" ht="17.25" x14ac:dyDescent="0.3">
      <c r="A568" s="132">
        <v>500406</v>
      </c>
      <c r="B568" s="136" t="s">
        <v>2674</v>
      </c>
      <c r="C568" s="136" t="s">
        <v>2675</v>
      </c>
      <c r="D568" s="137" t="s">
        <v>1672</v>
      </c>
      <c r="E568" s="138">
        <v>0</v>
      </c>
      <c r="F568" s="138">
        <v>0</v>
      </c>
      <c r="G568" s="138"/>
      <c r="H568" s="138" t="s">
        <v>295</v>
      </c>
      <c r="I568" s="138">
        <v>5</v>
      </c>
      <c r="J568" s="118">
        <v>5</v>
      </c>
      <c r="K568" s="138">
        <v>0</v>
      </c>
      <c r="L568" s="138">
        <v>4</v>
      </c>
      <c r="M568" s="138">
        <v>5</v>
      </c>
      <c r="N568" s="118" t="s">
        <v>1539</v>
      </c>
      <c r="O568" s="138">
        <v>50</v>
      </c>
      <c r="P568" s="138">
        <v>0.5</v>
      </c>
      <c r="Q568" s="138">
        <v>0</v>
      </c>
      <c r="R568" s="138">
        <v>1</v>
      </c>
      <c r="S568" s="138" t="b">
        <v>1</v>
      </c>
      <c r="T568" s="138">
        <v>39</v>
      </c>
      <c r="U568" s="118">
        <v>585</v>
      </c>
      <c r="V568" s="118">
        <v>780</v>
      </c>
      <c r="W568" s="138">
        <v>0</v>
      </c>
      <c r="X568" s="138">
        <v>6</v>
      </c>
      <c r="Y568" s="138" t="s">
        <v>38</v>
      </c>
      <c r="Z568" s="136" t="s">
        <v>2676</v>
      </c>
      <c r="AA568" s="206" t="s">
        <v>2677</v>
      </c>
      <c r="AB568" s="138" t="s">
        <v>1713</v>
      </c>
      <c r="AC568" s="138">
        <v>100000</v>
      </c>
      <c r="AD568" s="449">
        <v>1</v>
      </c>
      <c r="AE568" s="449">
        <v>1</v>
      </c>
      <c r="AF568">
        <v>0</v>
      </c>
      <c r="AG568" s="452">
        <v>6</v>
      </c>
    </row>
    <row r="569" spans="1:33" ht="17.25" x14ac:dyDescent="0.3">
      <c r="A569" s="132">
        <v>500506</v>
      </c>
      <c r="B569" s="136" t="s">
        <v>2678</v>
      </c>
      <c r="C569" s="136" t="s">
        <v>2679</v>
      </c>
      <c r="D569" s="137" t="s">
        <v>1672</v>
      </c>
      <c r="E569" s="138">
        <v>0</v>
      </c>
      <c r="F569" s="138">
        <v>0</v>
      </c>
      <c r="G569" s="138"/>
      <c r="H569" s="138" t="s">
        <v>295</v>
      </c>
      <c r="I569" s="138">
        <v>4</v>
      </c>
      <c r="J569" s="118">
        <v>4</v>
      </c>
      <c r="K569" s="138">
        <v>0</v>
      </c>
      <c r="L569" s="138">
        <v>4</v>
      </c>
      <c r="M569" s="138">
        <v>4</v>
      </c>
      <c r="N569" s="118" t="s">
        <v>1539</v>
      </c>
      <c r="O569" s="138">
        <v>50</v>
      </c>
      <c r="P569" s="138">
        <v>0.5</v>
      </c>
      <c r="Q569" s="138">
        <v>0</v>
      </c>
      <c r="R569" s="138">
        <v>1</v>
      </c>
      <c r="S569" s="138" t="b">
        <v>1</v>
      </c>
      <c r="T569" s="138">
        <v>39</v>
      </c>
      <c r="U569" s="118">
        <v>585</v>
      </c>
      <c r="V569" s="118">
        <v>780</v>
      </c>
      <c r="W569" s="138">
        <v>0</v>
      </c>
      <c r="X569" s="138">
        <v>6</v>
      </c>
      <c r="Y569" s="138" t="s">
        <v>38</v>
      </c>
      <c r="Z569" s="136" t="s">
        <v>2680</v>
      </c>
      <c r="AA569" s="206" t="s">
        <v>2681</v>
      </c>
      <c r="AB569" s="138" t="s">
        <v>1718</v>
      </c>
      <c r="AC569" s="138">
        <v>100000</v>
      </c>
      <c r="AD569" s="449">
        <v>1</v>
      </c>
      <c r="AE569" s="449">
        <v>1</v>
      </c>
      <c r="AF569">
        <v>500506</v>
      </c>
      <c r="AG569" s="452">
        <v>6</v>
      </c>
    </row>
    <row r="570" spans="1:33" ht="17.25" x14ac:dyDescent="0.3">
      <c r="A570" s="132">
        <v>500207</v>
      </c>
      <c r="B570" s="136" t="s">
        <v>2682</v>
      </c>
      <c r="C570" s="136" t="s">
        <v>2683</v>
      </c>
      <c r="D570" s="137" t="s">
        <v>1672</v>
      </c>
      <c r="E570" s="138">
        <v>0</v>
      </c>
      <c r="F570" s="138">
        <v>0</v>
      </c>
      <c r="G570" s="138"/>
      <c r="H570" s="138" t="s">
        <v>295</v>
      </c>
      <c r="I570" s="138">
        <v>6</v>
      </c>
      <c r="J570" s="118">
        <v>6</v>
      </c>
      <c r="K570" s="138">
        <v>0</v>
      </c>
      <c r="L570" s="138">
        <v>4</v>
      </c>
      <c r="M570" s="138">
        <v>6</v>
      </c>
      <c r="N570" s="118" t="s">
        <v>1545</v>
      </c>
      <c r="O570" s="138">
        <v>50</v>
      </c>
      <c r="P570" s="138">
        <v>0.5</v>
      </c>
      <c r="Q570" s="138">
        <v>0</v>
      </c>
      <c r="R570" s="138">
        <v>1</v>
      </c>
      <c r="S570" s="138" t="b">
        <v>1</v>
      </c>
      <c r="T570" s="138">
        <v>45</v>
      </c>
      <c r="U570" s="118">
        <v>675</v>
      </c>
      <c r="V570" s="118">
        <v>900</v>
      </c>
      <c r="W570" s="138">
        <v>0</v>
      </c>
      <c r="X570" s="138">
        <v>7</v>
      </c>
      <c r="Y570" s="138" t="s">
        <v>38</v>
      </c>
      <c r="Z570" s="136" t="s">
        <v>2684</v>
      </c>
      <c r="AA570" s="206" t="s">
        <v>2685</v>
      </c>
      <c r="AB570" s="138" t="s">
        <v>1690</v>
      </c>
      <c r="AC570" s="138">
        <v>100000</v>
      </c>
      <c r="AD570" s="449">
        <v>1</v>
      </c>
      <c r="AE570" s="449">
        <v>1</v>
      </c>
      <c r="AF570">
        <v>0</v>
      </c>
      <c r="AG570" s="452">
        <v>7</v>
      </c>
    </row>
    <row r="571" spans="1:33" ht="17.25" x14ac:dyDescent="0.3">
      <c r="A571" s="132">
        <v>600203</v>
      </c>
      <c r="B571" s="136" t="s">
        <v>2686</v>
      </c>
      <c r="C571" s="136" t="s">
        <v>2687</v>
      </c>
      <c r="D571" s="137" t="s">
        <v>1746</v>
      </c>
      <c r="E571" s="138">
        <v>0</v>
      </c>
      <c r="F571" s="138">
        <v>0</v>
      </c>
      <c r="G571" s="138"/>
      <c r="H571" s="138" t="s">
        <v>295</v>
      </c>
      <c r="I571" s="138">
        <v>5</v>
      </c>
      <c r="J571" s="118">
        <v>5</v>
      </c>
      <c r="K571" s="138">
        <v>0</v>
      </c>
      <c r="L571" s="138">
        <v>2</v>
      </c>
      <c r="M571" s="138">
        <v>5</v>
      </c>
      <c r="N571" s="118" t="s">
        <v>1759</v>
      </c>
      <c r="O571" s="138">
        <v>50</v>
      </c>
      <c r="P571" s="138">
        <v>0.5</v>
      </c>
      <c r="Q571" s="138">
        <v>0</v>
      </c>
      <c r="R571" s="138">
        <v>1</v>
      </c>
      <c r="S571" s="138" t="b">
        <v>1</v>
      </c>
      <c r="T571" s="138">
        <v>28</v>
      </c>
      <c r="U571" s="118">
        <v>420</v>
      </c>
      <c r="V571" s="118">
        <v>560</v>
      </c>
      <c r="W571" s="138">
        <v>0</v>
      </c>
      <c r="X571" s="138">
        <v>3</v>
      </c>
      <c r="Y571" s="138" t="s">
        <v>38</v>
      </c>
      <c r="Z571" s="136" t="s">
        <v>2688</v>
      </c>
      <c r="AA571" s="206" t="s">
        <v>2689</v>
      </c>
      <c r="AB571" s="138" t="s">
        <v>1773</v>
      </c>
      <c r="AC571" s="138">
        <v>100000</v>
      </c>
      <c r="AD571" s="449">
        <v>1</v>
      </c>
      <c r="AE571" s="449">
        <v>1</v>
      </c>
      <c r="AF571">
        <v>600203</v>
      </c>
      <c r="AG571" s="452">
        <v>3</v>
      </c>
    </row>
    <row r="572" spans="1:33" ht="17.25" x14ac:dyDescent="0.3">
      <c r="A572" s="132">
        <v>600303</v>
      </c>
      <c r="B572" s="136" t="s">
        <v>2690</v>
      </c>
      <c r="C572" s="136" t="s">
        <v>2691</v>
      </c>
      <c r="D572" s="137" t="s">
        <v>1746</v>
      </c>
      <c r="E572" s="138">
        <v>0</v>
      </c>
      <c r="F572" s="138">
        <v>0</v>
      </c>
      <c r="G572" s="138"/>
      <c r="H572" s="138" t="s">
        <v>295</v>
      </c>
      <c r="I572" s="138">
        <v>6</v>
      </c>
      <c r="J572" s="118">
        <v>6</v>
      </c>
      <c r="K572" s="138">
        <v>0</v>
      </c>
      <c r="L572" s="138">
        <v>2</v>
      </c>
      <c r="M572" s="138">
        <v>6</v>
      </c>
      <c r="N572" s="118" t="s">
        <v>1759</v>
      </c>
      <c r="O572" s="138">
        <v>50</v>
      </c>
      <c r="P572" s="138">
        <v>0.5</v>
      </c>
      <c r="Q572" s="138">
        <v>0</v>
      </c>
      <c r="R572" s="138">
        <v>1</v>
      </c>
      <c r="S572" s="138" t="b">
        <v>1</v>
      </c>
      <c r="T572" s="138">
        <v>28</v>
      </c>
      <c r="U572" s="118">
        <v>420</v>
      </c>
      <c r="V572" s="118">
        <v>560</v>
      </c>
      <c r="W572" s="138">
        <v>0</v>
      </c>
      <c r="X572" s="138">
        <v>3</v>
      </c>
      <c r="Y572" s="138" t="s">
        <v>38</v>
      </c>
      <c r="Z572" s="136" t="s">
        <v>2692</v>
      </c>
      <c r="AA572" s="206" t="s">
        <v>2693</v>
      </c>
      <c r="AB572" s="138" t="s">
        <v>1756</v>
      </c>
      <c r="AC572" s="138">
        <v>100000</v>
      </c>
      <c r="AD572" s="449">
        <v>1</v>
      </c>
      <c r="AE572" s="449">
        <v>1</v>
      </c>
      <c r="AF572">
        <v>0</v>
      </c>
      <c r="AG572" s="452">
        <v>3</v>
      </c>
    </row>
    <row r="573" spans="1:33" ht="17.25" x14ac:dyDescent="0.3">
      <c r="A573" s="132">
        <v>600403</v>
      </c>
      <c r="B573" s="136" t="s">
        <v>2694</v>
      </c>
      <c r="C573" s="136" t="s">
        <v>2695</v>
      </c>
      <c r="D573" s="137" t="s">
        <v>1746</v>
      </c>
      <c r="E573" s="138">
        <v>0</v>
      </c>
      <c r="F573" s="138">
        <v>0</v>
      </c>
      <c r="G573" s="138"/>
      <c r="H573" s="138" t="s">
        <v>295</v>
      </c>
      <c r="I573" s="138">
        <v>5</v>
      </c>
      <c r="J573" s="118">
        <v>5</v>
      </c>
      <c r="K573" s="138">
        <v>0</v>
      </c>
      <c r="L573" s="138">
        <v>2</v>
      </c>
      <c r="M573" s="138">
        <v>5</v>
      </c>
      <c r="N573" s="118" t="s">
        <v>1759</v>
      </c>
      <c r="O573" s="138">
        <v>50</v>
      </c>
      <c r="P573" s="138">
        <v>0.5</v>
      </c>
      <c r="Q573" s="138">
        <v>0</v>
      </c>
      <c r="R573" s="138">
        <v>1</v>
      </c>
      <c r="S573" s="138" t="b">
        <v>1</v>
      </c>
      <c r="T573" s="138">
        <v>28</v>
      </c>
      <c r="U573" s="118">
        <v>420</v>
      </c>
      <c r="V573" s="118">
        <v>560</v>
      </c>
      <c r="W573" s="138">
        <v>0</v>
      </c>
      <c r="X573" s="138">
        <v>3</v>
      </c>
      <c r="Y573" s="138" t="s">
        <v>38</v>
      </c>
      <c r="Z573" s="136" t="s">
        <v>2696</v>
      </c>
      <c r="AA573" s="206" t="s">
        <v>2697</v>
      </c>
      <c r="AB573" s="138" t="s">
        <v>1756</v>
      </c>
      <c r="AC573" s="138">
        <v>100000</v>
      </c>
      <c r="AD573" s="449">
        <v>1</v>
      </c>
      <c r="AE573" s="449">
        <v>1</v>
      </c>
      <c r="AF573">
        <v>0</v>
      </c>
      <c r="AG573" s="452">
        <v>3</v>
      </c>
    </row>
    <row r="574" spans="1:33" ht="17.25" x14ac:dyDescent="0.3">
      <c r="A574" s="132">
        <v>600204</v>
      </c>
      <c r="B574" s="136" t="s">
        <v>2698</v>
      </c>
      <c r="C574" s="136" t="s">
        <v>2699</v>
      </c>
      <c r="D574" s="137" t="s">
        <v>1746</v>
      </c>
      <c r="E574" s="138">
        <v>0</v>
      </c>
      <c r="F574" s="138">
        <v>0</v>
      </c>
      <c r="G574" s="138"/>
      <c r="H574" s="138" t="s">
        <v>295</v>
      </c>
      <c r="I574" s="138">
        <v>4</v>
      </c>
      <c r="J574" s="118">
        <v>4</v>
      </c>
      <c r="K574" s="138">
        <v>0</v>
      </c>
      <c r="L574" s="138">
        <v>2</v>
      </c>
      <c r="M574" s="138">
        <v>4</v>
      </c>
      <c r="N574" s="118" t="s">
        <v>1765</v>
      </c>
      <c r="O574" s="138">
        <v>50</v>
      </c>
      <c r="P574" s="138">
        <v>0.5</v>
      </c>
      <c r="Q574" s="138">
        <v>0</v>
      </c>
      <c r="R574" s="138">
        <v>1</v>
      </c>
      <c r="S574" s="138" t="b">
        <v>1</v>
      </c>
      <c r="T574" s="138">
        <v>39</v>
      </c>
      <c r="U574" s="118">
        <v>585</v>
      </c>
      <c r="V574" s="118">
        <v>780</v>
      </c>
      <c r="W574" s="138">
        <v>0</v>
      </c>
      <c r="X574" s="138">
        <v>4</v>
      </c>
      <c r="Y574" s="138" t="s">
        <v>38</v>
      </c>
      <c r="Z574" s="136" t="s">
        <v>2700</v>
      </c>
      <c r="AA574" s="206" t="s">
        <v>2701</v>
      </c>
      <c r="AB574" s="138" t="s">
        <v>1762</v>
      </c>
      <c r="AC574" s="138">
        <v>100000</v>
      </c>
      <c r="AD574" s="449">
        <v>1</v>
      </c>
      <c r="AE574" s="449">
        <v>1</v>
      </c>
      <c r="AF574">
        <v>0</v>
      </c>
      <c r="AG574" s="452">
        <v>4</v>
      </c>
    </row>
    <row r="575" spans="1:33" ht="17.25" x14ac:dyDescent="0.3">
      <c r="A575" s="132">
        <v>600304</v>
      </c>
      <c r="B575" s="136" t="s">
        <v>2702</v>
      </c>
      <c r="C575" s="136" t="s">
        <v>2703</v>
      </c>
      <c r="D575" s="137" t="s">
        <v>1746</v>
      </c>
      <c r="E575" s="138">
        <v>0</v>
      </c>
      <c r="F575" s="138">
        <v>0</v>
      </c>
      <c r="G575" s="138"/>
      <c r="H575" s="138" t="s">
        <v>295</v>
      </c>
      <c r="I575" s="138">
        <v>5</v>
      </c>
      <c r="J575" s="118">
        <v>5</v>
      </c>
      <c r="K575" s="138">
        <v>0</v>
      </c>
      <c r="L575" s="138">
        <v>2</v>
      </c>
      <c r="M575" s="138">
        <v>5</v>
      </c>
      <c r="N575" s="118" t="s">
        <v>1765</v>
      </c>
      <c r="O575" s="138">
        <v>50</v>
      </c>
      <c r="P575" s="138">
        <v>0.5</v>
      </c>
      <c r="Q575" s="138">
        <v>0</v>
      </c>
      <c r="R575" s="138">
        <v>1</v>
      </c>
      <c r="S575" s="138" t="b">
        <v>1</v>
      </c>
      <c r="T575" s="138">
        <v>39</v>
      </c>
      <c r="U575" s="118">
        <v>585</v>
      </c>
      <c r="V575" s="118">
        <v>780</v>
      </c>
      <c r="W575" s="138">
        <v>0</v>
      </c>
      <c r="X575" s="138">
        <v>4</v>
      </c>
      <c r="Y575" s="138" t="s">
        <v>38</v>
      </c>
      <c r="Z575" s="136" t="s">
        <v>2704</v>
      </c>
      <c r="AA575" s="206" t="s">
        <v>2705</v>
      </c>
      <c r="AB575" s="138" t="s">
        <v>1768</v>
      </c>
      <c r="AC575" s="138">
        <v>100000</v>
      </c>
      <c r="AD575" s="449">
        <v>1</v>
      </c>
      <c r="AE575" s="449">
        <v>1</v>
      </c>
      <c r="AF575">
        <v>0</v>
      </c>
      <c r="AG575" s="452">
        <v>4</v>
      </c>
    </row>
    <row r="576" spans="1:33" ht="17.25" x14ac:dyDescent="0.3">
      <c r="A576" s="132">
        <v>600105</v>
      </c>
      <c r="B576" s="136" t="s">
        <v>2706</v>
      </c>
      <c r="C576" s="136" t="s">
        <v>2707</v>
      </c>
      <c r="D576" s="137" t="s">
        <v>1746</v>
      </c>
      <c r="E576" s="138">
        <v>0</v>
      </c>
      <c r="F576" s="138">
        <v>0</v>
      </c>
      <c r="G576" s="138"/>
      <c r="H576" s="138" t="s">
        <v>295</v>
      </c>
      <c r="I576" s="138">
        <v>4</v>
      </c>
      <c r="J576" s="118">
        <v>4</v>
      </c>
      <c r="K576" s="138">
        <v>0</v>
      </c>
      <c r="L576" s="138">
        <v>2</v>
      </c>
      <c r="M576" s="138">
        <v>4</v>
      </c>
      <c r="N576" s="118" t="s">
        <v>37</v>
      </c>
      <c r="O576" s="138">
        <v>50</v>
      </c>
      <c r="P576" s="138">
        <v>0.5</v>
      </c>
      <c r="Q576" s="138">
        <v>0</v>
      </c>
      <c r="R576" s="138">
        <v>1</v>
      </c>
      <c r="S576" s="138" t="b">
        <v>1</v>
      </c>
      <c r="T576" s="138">
        <v>48</v>
      </c>
      <c r="U576" s="118">
        <v>720</v>
      </c>
      <c r="V576" s="118">
        <v>960</v>
      </c>
      <c r="W576" s="138">
        <v>0</v>
      </c>
      <c r="X576" s="138">
        <v>5</v>
      </c>
      <c r="Y576" s="138" t="s">
        <v>38</v>
      </c>
      <c r="Z576" s="136" t="s">
        <v>2708</v>
      </c>
      <c r="AA576" s="206" t="s">
        <v>2709</v>
      </c>
      <c r="AB576" s="138" t="s">
        <v>1773</v>
      </c>
      <c r="AC576" s="138">
        <v>100000</v>
      </c>
      <c r="AD576" s="449">
        <v>1</v>
      </c>
      <c r="AE576" s="449">
        <v>1</v>
      </c>
      <c r="AF576">
        <v>600105</v>
      </c>
      <c r="AG576" s="452">
        <v>5</v>
      </c>
    </row>
    <row r="577" spans="1:33" ht="17.25" x14ac:dyDescent="0.3">
      <c r="A577" s="132">
        <v>600205</v>
      </c>
      <c r="B577" s="136" t="s">
        <v>2710</v>
      </c>
      <c r="C577" s="136" t="s">
        <v>2711</v>
      </c>
      <c r="D577" s="137" t="s">
        <v>1746</v>
      </c>
      <c r="E577" s="138">
        <v>0</v>
      </c>
      <c r="F577" s="138">
        <v>0</v>
      </c>
      <c r="G577" s="138"/>
      <c r="H577" s="138" t="s">
        <v>295</v>
      </c>
      <c r="I577" s="138">
        <v>5</v>
      </c>
      <c r="J577" s="118">
        <v>5</v>
      </c>
      <c r="K577" s="138">
        <v>0</v>
      </c>
      <c r="L577" s="138">
        <v>2</v>
      </c>
      <c r="M577" s="138">
        <v>5</v>
      </c>
      <c r="N577" s="118" t="s">
        <v>37</v>
      </c>
      <c r="O577" s="138">
        <v>50</v>
      </c>
      <c r="P577" s="138">
        <v>0.5</v>
      </c>
      <c r="Q577" s="138">
        <v>0</v>
      </c>
      <c r="R577" s="138">
        <v>1</v>
      </c>
      <c r="S577" s="138" t="b">
        <v>1</v>
      </c>
      <c r="T577" s="138">
        <v>48</v>
      </c>
      <c r="U577" s="118">
        <v>720</v>
      </c>
      <c r="V577" s="118">
        <v>960</v>
      </c>
      <c r="W577" s="138">
        <v>0</v>
      </c>
      <c r="X577" s="138">
        <v>5</v>
      </c>
      <c r="Y577" s="138" t="s">
        <v>38</v>
      </c>
      <c r="Z577" s="136" t="s">
        <v>2712</v>
      </c>
      <c r="AA577" s="206" t="s">
        <v>2713</v>
      </c>
      <c r="AB577" s="138" t="s">
        <v>1779</v>
      </c>
      <c r="AC577" s="138">
        <v>100000</v>
      </c>
      <c r="AD577" s="449">
        <v>1</v>
      </c>
      <c r="AE577" s="449">
        <v>1</v>
      </c>
      <c r="AF577">
        <v>600205</v>
      </c>
      <c r="AG577" s="452">
        <v>5</v>
      </c>
    </row>
    <row r="578" spans="1:33" ht="17.25" x14ac:dyDescent="0.3">
      <c r="A578" s="132">
        <v>600306</v>
      </c>
      <c r="B578" s="136" t="s">
        <v>2714</v>
      </c>
      <c r="C578" s="136" t="s">
        <v>2715</v>
      </c>
      <c r="D578" s="137" t="s">
        <v>1746</v>
      </c>
      <c r="E578" s="138">
        <v>0</v>
      </c>
      <c r="F578" s="138">
        <v>0</v>
      </c>
      <c r="G578" s="138"/>
      <c r="H578" s="138" t="s">
        <v>295</v>
      </c>
      <c r="I578" s="138">
        <v>5</v>
      </c>
      <c r="J578" s="118">
        <v>5</v>
      </c>
      <c r="K578" s="138">
        <v>0</v>
      </c>
      <c r="L578" s="138">
        <v>2</v>
      </c>
      <c r="M578" s="138">
        <v>5</v>
      </c>
      <c r="N578" s="118" t="s">
        <v>1776</v>
      </c>
      <c r="O578" s="138">
        <v>50</v>
      </c>
      <c r="P578" s="138">
        <v>0.5</v>
      </c>
      <c r="Q578" s="138">
        <v>0</v>
      </c>
      <c r="R578" s="138">
        <v>1</v>
      </c>
      <c r="S578" s="138" t="b">
        <v>1</v>
      </c>
      <c r="T578" s="138">
        <v>58</v>
      </c>
      <c r="U578" s="118">
        <v>870</v>
      </c>
      <c r="V578" s="118">
        <v>1160</v>
      </c>
      <c r="W578" s="138">
        <v>0</v>
      </c>
      <c r="X578" s="138">
        <v>6</v>
      </c>
      <c r="Y578" s="138" t="s">
        <v>38</v>
      </c>
      <c r="Z578" s="136" t="s">
        <v>2716</v>
      </c>
      <c r="AA578" s="206" t="s">
        <v>2717</v>
      </c>
      <c r="AB578" s="138" t="s">
        <v>1785</v>
      </c>
      <c r="AC578" s="138">
        <v>100000</v>
      </c>
      <c r="AD578" s="449">
        <v>1</v>
      </c>
      <c r="AE578" s="449">
        <v>1</v>
      </c>
      <c r="AF578">
        <v>0</v>
      </c>
      <c r="AG578" s="452">
        <v>6</v>
      </c>
    </row>
    <row r="579" spans="1:33" ht="17.25" x14ac:dyDescent="0.3">
      <c r="A579" s="132">
        <v>600406</v>
      </c>
      <c r="B579" s="136" t="s">
        <v>2718</v>
      </c>
      <c r="C579" s="136" t="s">
        <v>2719</v>
      </c>
      <c r="D579" s="137" t="s">
        <v>1746</v>
      </c>
      <c r="E579" s="138">
        <v>0</v>
      </c>
      <c r="F579" s="138">
        <v>0</v>
      </c>
      <c r="G579" s="138"/>
      <c r="H579" s="138" t="s">
        <v>295</v>
      </c>
      <c r="I579" s="138">
        <v>3</v>
      </c>
      <c r="J579" s="118">
        <v>3</v>
      </c>
      <c r="K579" s="138">
        <v>0</v>
      </c>
      <c r="L579" s="138">
        <v>2</v>
      </c>
      <c r="M579" s="138">
        <v>3</v>
      </c>
      <c r="N579" s="118" t="s">
        <v>1776</v>
      </c>
      <c r="O579" s="138">
        <v>50</v>
      </c>
      <c r="P579" s="138">
        <v>0.5</v>
      </c>
      <c r="Q579" s="138">
        <v>0</v>
      </c>
      <c r="R579" s="138">
        <v>1</v>
      </c>
      <c r="S579" s="138" t="b">
        <v>1</v>
      </c>
      <c r="T579" s="138">
        <v>58</v>
      </c>
      <c r="U579" s="118">
        <v>870</v>
      </c>
      <c r="V579" s="118">
        <v>1160</v>
      </c>
      <c r="W579" s="138">
        <v>0</v>
      </c>
      <c r="X579" s="138">
        <v>6</v>
      </c>
      <c r="Y579" s="138" t="s">
        <v>38</v>
      </c>
      <c r="Z579" s="136" t="s">
        <v>2720</v>
      </c>
      <c r="AA579" s="206" t="s">
        <v>2721</v>
      </c>
      <c r="AB579" s="138" t="s">
        <v>1791</v>
      </c>
      <c r="AC579" s="138">
        <v>100000</v>
      </c>
      <c r="AD579" s="449">
        <v>1</v>
      </c>
      <c r="AE579" s="449">
        <v>1</v>
      </c>
      <c r="AF579">
        <v>0</v>
      </c>
      <c r="AG579" s="452">
        <v>6</v>
      </c>
    </row>
    <row r="580" spans="1:33" ht="17.25" x14ac:dyDescent="0.3">
      <c r="A580" s="132">
        <v>600107</v>
      </c>
      <c r="B580" s="136" t="s">
        <v>2722</v>
      </c>
      <c r="C580" s="136" t="s">
        <v>2723</v>
      </c>
      <c r="D580" s="137" t="s">
        <v>1746</v>
      </c>
      <c r="E580" s="138">
        <v>0</v>
      </c>
      <c r="F580" s="138">
        <v>0</v>
      </c>
      <c r="G580" s="138"/>
      <c r="H580" s="138" t="s">
        <v>295</v>
      </c>
      <c r="I580" s="138">
        <v>6</v>
      </c>
      <c r="J580" s="118">
        <v>6</v>
      </c>
      <c r="K580" s="138">
        <v>0</v>
      </c>
      <c r="L580" s="138">
        <v>2</v>
      </c>
      <c r="M580" s="138">
        <v>6</v>
      </c>
      <c r="N580" s="118" t="s">
        <v>1782</v>
      </c>
      <c r="O580" s="138">
        <v>50</v>
      </c>
      <c r="P580" s="138">
        <v>0.5</v>
      </c>
      <c r="Q580" s="138">
        <v>0</v>
      </c>
      <c r="R580" s="138">
        <v>1</v>
      </c>
      <c r="S580" s="138" t="b">
        <v>1</v>
      </c>
      <c r="T580" s="138">
        <v>67</v>
      </c>
      <c r="U580" s="118">
        <v>1005</v>
      </c>
      <c r="V580" s="118">
        <v>1340</v>
      </c>
      <c r="W580" s="138">
        <v>0</v>
      </c>
      <c r="X580" s="138">
        <v>7</v>
      </c>
      <c r="Y580" s="138" t="s">
        <v>38</v>
      </c>
      <c r="Z580" s="136" t="s">
        <v>2724</v>
      </c>
      <c r="AA580" s="206" t="s">
        <v>2725</v>
      </c>
      <c r="AB580" s="138" t="s">
        <v>1803</v>
      </c>
      <c r="AC580" s="138">
        <v>100000</v>
      </c>
      <c r="AD580" s="449">
        <v>1</v>
      </c>
      <c r="AE580" s="449">
        <v>1</v>
      </c>
      <c r="AF580">
        <v>600107</v>
      </c>
      <c r="AG580" s="452">
        <v>7</v>
      </c>
    </row>
    <row r="581" spans="1:33" ht="17.25" x14ac:dyDescent="0.3">
      <c r="A581" s="132">
        <v>700203</v>
      </c>
      <c r="B581" s="136" t="s">
        <v>2726</v>
      </c>
      <c r="C581" s="136" t="s">
        <v>2727</v>
      </c>
      <c r="D581" s="137" t="s">
        <v>1832</v>
      </c>
      <c r="E581" s="138">
        <v>0</v>
      </c>
      <c r="F581" s="138">
        <v>0</v>
      </c>
      <c r="G581" s="138"/>
      <c r="H581" s="138" t="s">
        <v>295</v>
      </c>
      <c r="I581" s="138">
        <v>5</v>
      </c>
      <c r="J581" s="118">
        <v>5</v>
      </c>
      <c r="K581" s="138">
        <v>0</v>
      </c>
      <c r="L581" s="138">
        <v>2</v>
      </c>
      <c r="M581" s="138">
        <v>5</v>
      </c>
      <c r="N581" s="118" t="s">
        <v>1848</v>
      </c>
      <c r="O581" s="138">
        <v>-1</v>
      </c>
      <c r="P581" s="138"/>
      <c r="Q581" s="138">
        <v>0</v>
      </c>
      <c r="R581" s="138">
        <v>1</v>
      </c>
      <c r="S581" s="138" t="b">
        <v>1</v>
      </c>
      <c r="T581" s="138">
        <v>28</v>
      </c>
      <c r="U581" s="118">
        <v>420</v>
      </c>
      <c r="V581" s="118">
        <v>560</v>
      </c>
      <c r="W581" s="138">
        <v>0</v>
      </c>
      <c r="X581" s="138">
        <v>3</v>
      </c>
      <c r="Y581" s="138" t="s">
        <v>38</v>
      </c>
      <c r="Z581" s="136" t="s">
        <v>2728</v>
      </c>
      <c r="AA581" s="206" t="s">
        <v>2729</v>
      </c>
      <c r="AB581" s="138" t="s">
        <v>1836</v>
      </c>
      <c r="AC581" s="138">
        <v>100000</v>
      </c>
      <c r="AD581" s="449">
        <v>1</v>
      </c>
      <c r="AE581" s="449">
        <v>1</v>
      </c>
      <c r="AF581">
        <v>0</v>
      </c>
      <c r="AG581" s="452">
        <v>3</v>
      </c>
    </row>
    <row r="582" spans="1:33" ht="17.25" x14ac:dyDescent="0.3">
      <c r="A582" s="132">
        <v>700303</v>
      </c>
      <c r="B582" s="136" t="s">
        <v>2730</v>
      </c>
      <c r="C582" s="136" t="s">
        <v>2731</v>
      </c>
      <c r="D582" s="137" t="s">
        <v>1832</v>
      </c>
      <c r="E582" s="138">
        <v>0</v>
      </c>
      <c r="F582" s="138">
        <v>0</v>
      </c>
      <c r="G582" s="138"/>
      <c r="H582" s="138" t="s">
        <v>295</v>
      </c>
      <c r="I582" s="138">
        <v>3</v>
      </c>
      <c r="J582" s="118">
        <v>3</v>
      </c>
      <c r="K582" s="138">
        <v>0</v>
      </c>
      <c r="L582" s="138">
        <v>2</v>
      </c>
      <c r="M582" s="138">
        <v>3</v>
      </c>
      <c r="N582" s="118" t="s">
        <v>1848</v>
      </c>
      <c r="O582" s="138">
        <v>-1</v>
      </c>
      <c r="P582" s="138"/>
      <c r="Q582" s="138">
        <v>0</v>
      </c>
      <c r="R582" s="138">
        <v>1</v>
      </c>
      <c r="S582" s="138" t="b">
        <v>1</v>
      </c>
      <c r="T582" s="138">
        <v>28</v>
      </c>
      <c r="U582" s="118">
        <v>420</v>
      </c>
      <c r="V582" s="118">
        <v>560</v>
      </c>
      <c r="W582" s="138">
        <v>0</v>
      </c>
      <c r="X582" s="138">
        <v>3</v>
      </c>
      <c r="Y582" s="138" t="s">
        <v>38</v>
      </c>
      <c r="Z582" s="136" t="s">
        <v>2732</v>
      </c>
      <c r="AA582" s="206" t="s">
        <v>2733</v>
      </c>
      <c r="AB582" s="138" t="s">
        <v>1842</v>
      </c>
      <c r="AC582" s="138">
        <v>100000</v>
      </c>
      <c r="AD582" s="449">
        <v>1</v>
      </c>
      <c r="AE582" s="449">
        <v>1</v>
      </c>
      <c r="AF582">
        <v>0</v>
      </c>
      <c r="AG582" s="452">
        <v>3</v>
      </c>
    </row>
    <row r="583" spans="1:33" ht="17.25" x14ac:dyDescent="0.3">
      <c r="A583" s="132">
        <v>700403</v>
      </c>
      <c r="B583" s="136" t="s">
        <v>2734</v>
      </c>
      <c r="C583" s="136" t="s">
        <v>2735</v>
      </c>
      <c r="D583" s="137" t="s">
        <v>1832</v>
      </c>
      <c r="E583" s="138">
        <v>0</v>
      </c>
      <c r="F583" s="138">
        <v>0</v>
      </c>
      <c r="G583" s="138"/>
      <c r="H583" s="138" t="s">
        <v>295</v>
      </c>
      <c r="I583" s="138">
        <v>3</v>
      </c>
      <c r="J583" s="118">
        <v>3</v>
      </c>
      <c r="K583" s="138">
        <v>0</v>
      </c>
      <c r="L583" s="138">
        <v>2</v>
      </c>
      <c r="M583" s="138">
        <v>3</v>
      </c>
      <c r="N583" s="118" t="s">
        <v>1848</v>
      </c>
      <c r="O583" s="138">
        <v>-1</v>
      </c>
      <c r="P583" s="138"/>
      <c r="Q583" s="138">
        <v>0</v>
      </c>
      <c r="R583" s="138">
        <v>1</v>
      </c>
      <c r="S583" s="138" t="b">
        <v>1</v>
      </c>
      <c r="T583" s="138">
        <v>28</v>
      </c>
      <c r="U583" s="118">
        <v>420</v>
      </c>
      <c r="V583" s="118">
        <v>560</v>
      </c>
      <c r="W583" s="138">
        <v>0</v>
      </c>
      <c r="X583" s="138">
        <v>3</v>
      </c>
      <c r="Y583" s="138" t="s">
        <v>38</v>
      </c>
      <c r="Z583" s="136" t="s">
        <v>2736</v>
      </c>
      <c r="AA583" s="206" t="s">
        <v>2737</v>
      </c>
      <c r="AB583" s="138" t="s">
        <v>1851</v>
      </c>
      <c r="AC583" s="138">
        <v>100000</v>
      </c>
      <c r="AD583" s="449">
        <v>1</v>
      </c>
      <c r="AE583" s="449">
        <v>1</v>
      </c>
      <c r="AF583">
        <v>0</v>
      </c>
      <c r="AG583" s="452">
        <v>3</v>
      </c>
    </row>
    <row r="584" spans="1:33" ht="17.25" x14ac:dyDescent="0.3">
      <c r="A584" s="132">
        <v>700204</v>
      </c>
      <c r="B584" s="136" t="s">
        <v>2738</v>
      </c>
      <c r="C584" s="136" t="s">
        <v>2739</v>
      </c>
      <c r="D584" s="137" t="s">
        <v>1832</v>
      </c>
      <c r="E584" s="138">
        <v>0</v>
      </c>
      <c r="F584" s="138">
        <v>0</v>
      </c>
      <c r="G584" s="138"/>
      <c r="H584" s="138" t="s">
        <v>295</v>
      </c>
      <c r="I584" s="138">
        <v>4</v>
      </c>
      <c r="J584" s="118">
        <v>4</v>
      </c>
      <c r="K584" s="138">
        <v>0</v>
      </c>
      <c r="L584" s="138">
        <v>2</v>
      </c>
      <c r="M584" s="138">
        <v>4</v>
      </c>
      <c r="N584" s="118" t="s">
        <v>1854</v>
      </c>
      <c r="O584" s="138">
        <v>-1</v>
      </c>
      <c r="P584" s="138"/>
      <c r="Q584" s="138">
        <v>0</v>
      </c>
      <c r="R584" s="138">
        <v>1</v>
      </c>
      <c r="S584" s="138" t="b">
        <v>1</v>
      </c>
      <c r="T584" s="138">
        <v>39</v>
      </c>
      <c r="U584" s="118">
        <v>585</v>
      </c>
      <c r="V584" s="118">
        <v>780</v>
      </c>
      <c r="W584" s="138">
        <v>0</v>
      </c>
      <c r="X584" s="138">
        <v>4</v>
      </c>
      <c r="Y584" s="138" t="s">
        <v>38</v>
      </c>
      <c r="Z584" s="136" t="s">
        <v>2740</v>
      </c>
      <c r="AA584" s="206" t="s">
        <v>2741</v>
      </c>
      <c r="AB584" s="138" t="s">
        <v>1857</v>
      </c>
      <c r="AC584" s="138">
        <v>100000</v>
      </c>
      <c r="AD584" s="449">
        <v>1</v>
      </c>
      <c r="AE584" s="449">
        <v>1</v>
      </c>
      <c r="AF584">
        <v>0</v>
      </c>
      <c r="AG584" s="452">
        <v>4</v>
      </c>
    </row>
    <row r="585" spans="1:33" ht="17.25" x14ac:dyDescent="0.3">
      <c r="A585" s="132">
        <v>700304</v>
      </c>
      <c r="B585" s="136" t="s">
        <v>2742</v>
      </c>
      <c r="C585" s="136" t="s">
        <v>2743</v>
      </c>
      <c r="D585" s="137" t="s">
        <v>1832</v>
      </c>
      <c r="E585" s="138">
        <v>0</v>
      </c>
      <c r="F585" s="138">
        <v>0</v>
      </c>
      <c r="G585" s="138"/>
      <c r="H585" s="138" t="s">
        <v>295</v>
      </c>
      <c r="I585" s="138">
        <v>6</v>
      </c>
      <c r="J585" s="118">
        <v>6</v>
      </c>
      <c r="K585" s="138">
        <v>0</v>
      </c>
      <c r="L585" s="138">
        <v>2</v>
      </c>
      <c r="M585" s="138">
        <v>6</v>
      </c>
      <c r="N585" s="118" t="s">
        <v>1854</v>
      </c>
      <c r="O585" s="138">
        <v>-1</v>
      </c>
      <c r="P585" s="138"/>
      <c r="Q585" s="138">
        <v>0</v>
      </c>
      <c r="R585" s="138">
        <v>1</v>
      </c>
      <c r="S585" s="138" t="b">
        <v>1</v>
      </c>
      <c r="T585" s="138">
        <v>39</v>
      </c>
      <c r="U585" s="118">
        <v>585</v>
      </c>
      <c r="V585" s="118">
        <v>780</v>
      </c>
      <c r="W585" s="138">
        <v>0</v>
      </c>
      <c r="X585" s="138">
        <v>4</v>
      </c>
      <c r="Y585" s="138" t="s">
        <v>38</v>
      </c>
      <c r="Z585" s="136" t="s">
        <v>2744</v>
      </c>
      <c r="AA585" s="206" t="s">
        <v>2745</v>
      </c>
      <c r="AB585" s="138" t="s">
        <v>1863</v>
      </c>
      <c r="AC585" s="138">
        <v>100000</v>
      </c>
      <c r="AD585" s="449">
        <v>1</v>
      </c>
      <c r="AE585" s="449">
        <v>1</v>
      </c>
      <c r="AF585">
        <v>0</v>
      </c>
      <c r="AG585" s="452">
        <v>4</v>
      </c>
    </row>
    <row r="586" spans="1:33" ht="17.25" x14ac:dyDescent="0.3">
      <c r="A586" s="132">
        <v>700105</v>
      </c>
      <c r="B586" s="136" t="s">
        <v>2746</v>
      </c>
      <c r="C586" s="136" t="s">
        <v>2747</v>
      </c>
      <c r="D586" s="137" t="s">
        <v>1832</v>
      </c>
      <c r="E586" s="138">
        <v>0</v>
      </c>
      <c r="F586" s="138">
        <v>0</v>
      </c>
      <c r="G586" s="138"/>
      <c r="H586" s="138" t="s">
        <v>295</v>
      </c>
      <c r="I586" s="138">
        <v>3</v>
      </c>
      <c r="J586" s="118">
        <v>3</v>
      </c>
      <c r="K586" s="138">
        <v>0</v>
      </c>
      <c r="L586" s="138">
        <v>2</v>
      </c>
      <c r="M586" s="138">
        <v>3</v>
      </c>
      <c r="N586" s="118" t="s">
        <v>1860</v>
      </c>
      <c r="O586" s="138">
        <v>-1</v>
      </c>
      <c r="P586" s="138"/>
      <c r="Q586" s="138">
        <v>0</v>
      </c>
      <c r="R586" s="138">
        <v>1</v>
      </c>
      <c r="S586" s="138" t="b">
        <v>1</v>
      </c>
      <c r="T586" s="138">
        <v>48</v>
      </c>
      <c r="U586" s="118">
        <v>720</v>
      </c>
      <c r="V586" s="118">
        <v>960</v>
      </c>
      <c r="W586" s="138">
        <v>0</v>
      </c>
      <c r="X586" s="138">
        <v>5</v>
      </c>
      <c r="Y586" s="138" t="s">
        <v>38</v>
      </c>
      <c r="Z586" s="136" t="s">
        <v>2748</v>
      </c>
      <c r="AA586" s="206" t="s">
        <v>2749</v>
      </c>
      <c r="AB586" s="138" t="s">
        <v>1869</v>
      </c>
      <c r="AC586" s="138">
        <v>100000</v>
      </c>
      <c r="AD586" s="449">
        <v>1</v>
      </c>
      <c r="AE586" s="449">
        <v>1</v>
      </c>
      <c r="AF586">
        <v>700105</v>
      </c>
      <c r="AG586" s="452">
        <v>5</v>
      </c>
    </row>
    <row r="587" spans="1:33" ht="17.25" x14ac:dyDescent="0.3">
      <c r="A587" s="132">
        <v>700205</v>
      </c>
      <c r="B587" s="136" t="s">
        <v>2750</v>
      </c>
      <c r="C587" s="136" t="s">
        <v>2751</v>
      </c>
      <c r="D587" s="137" t="s">
        <v>1832</v>
      </c>
      <c r="E587" s="138">
        <v>0</v>
      </c>
      <c r="F587" s="138">
        <v>0</v>
      </c>
      <c r="G587" s="138"/>
      <c r="H587" s="138" t="s">
        <v>295</v>
      </c>
      <c r="I587" s="138">
        <v>5</v>
      </c>
      <c r="J587" s="118">
        <v>5</v>
      </c>
      <c r="K587" s="138">
        <v>0</v>
      </c>
      <c r="L587" s="138">
        <v>2</v>
      </c>
      <c r="M587" s="138">
        <v>5</v>
      </c>
      <c r="N587" s="118" t="s">
        <v>1860</v>
      </c>
      <c r="O587" s="138">
        <v>-1</v>
      </c>
      <c r="P587" s="138"/>
      <c r="Q587" s="138">
        <v>0</v>
      </c>
      <c r="R587" s="138">
        <v>1</v>
      </c>
      <c r="S587" s="138" t="b">
        <v>1</v>
      </c>
      <c r="T587" s="138">
        <v>48</v>
      </c>
      <c r="U587" s="118">
        <v>720</v>
      </c>
      <c r="V587" s="118">
        <v>960</v>
      </c>
      <c r="W587" s="138">
        <v>0</v>
      </c>
      <c r="X587" s="138">
        <v>5</v>
      </c>
      <c r="Y587" s="138" t="s">
        <v>38</v>
      </c>
      <c r="Z587" s="136" t="s">
        <v>2752</v>
      </c>
      <c r="AA587" s="206" t="s">
        <v>2753</v>
      </c>
      <c r="AB587" s="138" t="s">
        <v>1875</v>
      </c>
      <c r="AC587" s="138">
        <v>100000</v>
      </c>
      <c r="AD587" s="449">
        <v>1</v>
      </c>
      <c r="AE587" s="449">
        <v>1</v>
      </c>
      <c r="AF587">
        <v>0</v>
      </c>
      <c r="AG587" s="452">
        <v>5</v>
      </c>
    </row>
    <row r="588" spans="1:33" ht="17.25" x14ac:dyDescent="0.3">
      <c r="A588" s="132">
        <v>700106</v>
      </c>
      <c r="B588" s="136" t="s">
        <v>2754</v>
      </c>
      <c r="C588" s="136" t="s">
        <v>2755</v>
      </c>
      <c r="D588" s="137" t="s">
        <v>1832</v>
      </c>
      <c r="E588" s="138">
        <v>0</v>
      </c>
      <c r="F588" s="138">
        <v>0</v>
      </c>
      <c r="G588" s="138"/>
      <c r="H588" s="138" t="s">
        <v>295</v>
      </c>
      <c r="I588" s="138">
        <v>3</v>
      </c>
      <c r="J588" s="118">
        <v>3</v>
      </c>
      <c r="K588" s="138">
        <v>0</v>
      </c>
      <c r="L588" s="138">
        <v>2</v>
      </c>
      <c r="M588" s="138">
        <v>3</v>
      </c>
      <c r="N588" s="118" t="s">
        <v>1866</v>
      </c>
      <c r="O588" s="138">
        <v>-1</v>
      </c>
      <c r="P588" s="138"/>
      <c r="Q588" s="138">
        <v>0</v>
      </c>
      <c r="R588" s="138">
        <v>1</v>
      </c>
      <c r="S588" s="138" t="b">
        <v>1</v>
      </c>
      <c r="T588" s="138">
        <v>58</v>
      </c>
      <c r="U588" s="118">
        <v>870</v>
      </c>
      <c r="V588" s="118">
        <v>1160</v>
      </c>
      <c r="W588" s="138">
        <v>0</v>
      </c>
      <c r="X588" s="138">
        <v>6</v>
      </c>
      <c r="Y588" s="138" t="s">
        <v>38</v>
      </c>
      <c r="Z588" s="136" t="s">
        <v>2756</v>
      </c>
      <c r="AA588" s="206" t="s">
        <v>2757</v>
      </c>
      <c r="AB588" s="138" t="s">
        <v>1881</v>
      </c>
      <c r="AC588" s="138">
        <v>100000</v>
      </c>
      <c r="AD588" s="449">
        <v>1</v>
      </c>
      <c r="AE588" s="449">
        <v>1</v>
      </c>
      <c r="AF588">
        <v>0</v>
      </c>
      <c r="AG588" s="452">
        <v>6</v>
      </c>
    </row>
    <row r="589" spans="1:33" ht="17.25" x14ac:dyDescent="0.3">
      <c r="A589" s="132">
        <v>700206</v>
      </c>
      <c r="B589" s="136" t="s">
        <v>2758</v>
      </c>
      <c r="C589" s="136" t="s">
        <v>2759</v>
      </c>
      <c r="D589" s="137" t="s">
        <v>1832</v>
      </c>
      <c r="E589" s="138">
        <v>0</v>
      </c>
      <c r="F589" s="138">
        <v>0</v>
      </c>
      <c r="G589" s="138"/>
      <c r="H589" s="138" t="s">
        <v>295</v>
      </c>
      <c r="I589" s="138">
        <v>6</v>
      </c>
      <c r="J589" s="118">
        <v>6</v>
      </c>
      <c r="K589" s="138">
        <v>0</v>
      </c>
      <c r="L589" s="138">
        <v>2</v>
      </c>
      <c r="M589" s="138">
        <v>6</v>
      </c>
      <c r="N589" s="118" t="s">
        <v>1866</v>
      </c>
      <c r="O589" s="138">
        <v>-1</v>
      </c>
      <c r="P589" s="138"/>
      <c r="Q589" s="138">
        <v>0</v>
      </c>
      <c r="R589" s="138">
        <v>1</v>
      </c>
      <c r="S589" s="138" t="b">
        <v>1</v>
      </c>
      <c r="T589" s="138">
        <v>58</v>
      </c>
      <c r="U589" s="118">
        <v>870</v>
      </c>
      <c r="V589" s="118">
        <v>1160</v>
      </c>
      <c r="W589" s="138">
        <v>0</v>
      </c>
      <c r="X589" s="138">
        <v>6</v>
      </c>
      <c r="Y589" s="138" t="s">
        <v>38</v>
      </c>
      <c r="Z589" s="136" t="s">
        <v>2760</v>
      </c>
      <c r="AA589" s="206" t="s">
        <v>2761</v>
      </c>
      <c r="AB589" s="138" t="s">
        <v>1887</v>
      </c>
      <c r="AC589" s="138">
        <v>100000</v>
      </c>
      <c r="AD589" s="449">
        <v>1</v>
      </c>
      <c r="AE589" s="449">
        <v>1</v>
      </c>
      <c r="AF589">
        <v>0</v>
      </c>
      <c r="AG589" s="452">
        <v>6</v>
      </c>
    </row>
    <row r="590" spans="1:33" ht="17.25" x14ac:dyDescent="0.3">
      <c r="A590" s="132">
        <v>700107</v>
      </c>
      <c r="B590" s="136" t="s">
        <v>2762</v>
      </c>
      <c r="C590" s="136" t="s">
        <v>2763</v>
      </c>
      <c r="D590" s="137" t="s">
        <v>1832</v>
      </c>
      <c r="E590" s="138">
        <v>0</v>
      </c>
      <c r="F590" s="138">
        <v>0</v>
      </c>
      <c r="G590" s="138"/>
      <c r="H590" s="138" t="s">
        <v>295</v>
      </c>
      <c r="I590" s="138">
        <v>3</v>
      </c>
      <c r="J590" s="118">
        <v>3</v>
      </c>
      <c r="K590" s="138">
        <v>0</v>
      </c>
      <c r="L590" s="138">
        <v>2</v>
      </c>
      <c r="M590" s="138">
        <v>3</v>
      </c>
      <c r="N590" s="118" t="s">
        <v>1872</v>
      </c>
      <c r="O590" s="138">
        <v>-1</v>
      </c>
      <c r="P590" s="138"/>
      <c r="Q590" s="138">
        <v>0</v>
      </c>
      <c r="R590" s="138">
        <v>1</v>
      </c>
      <c r="S590" s="138" t="b">
        <v>1</v>
      </c>
      <c r="T590" s="138">
        <v>67</v>
      </c>
      <c r="U590" s="118">
        <v>1005</v>
      </c>
      <c r="V590" s="118">
        <v>1340</v>
      </c>
      <c r="W590" s="138">
        <v>0</v>
      </c>
      <c r="X590" s="138">
        <v>7</v>
      </c>
      <c r="Y590" s="138" t="s">
        <v>38</v>
      </c>
      <c r="Z590" s="136" t="s">
        <v>2764</v>
      </c>
      <c r="AA590" s="206" t="s">
        <v>2765</v>
      </c>
      <c r="AB590" s="138" t="s">
        <v>1893</v>
      </c>
      <c r="AC590" s="138">
        <v>100000</v>
      </c>
      <c r="AD590" s="449">
        <v>1</v>
      </c>
      <c r="AE590" s="449">
        <v>1</v>
      </c>
      <c r="AF590">
        <v>0</v>
      </c>
      <c r="AG590" s="452">
        <v>7</v>
      </c>
    </row>
    <row r="591" spans="1:33" ht="17.25" x14ac:dyDescent="0.3">
      <c r="A591" s="132">
        <v>800203</v>
      </c>
      <c r="B591" s="136" t="s">
        <v>2766</v>
      </c>
      <c r="C591" s="136" t="s">
        <v>2767</v>
      </c>
      <c r="D591" s="136" t="s">
        <v>1908</v>
      </c>
      <c r="E591" s="138">
        <v>0</v>
      </c>
      <c r="F591" s="138">
        <v>0</v>
      </c>
      <c r="G591" s="138"/>
      <c r="H591" s="138" t="s">
        <v>295</v>
      </c>
      <c r="I591" s="138">
        <v>5</v>
      </c>
      <c r="J591" s="118">
        <v>5</v>
      </c>
      <c r="K591" s="138">
        <v>0</v>
      </c>
      <c r="L591" s="138">
        <v>2</v>
      </c>
      <c r="M591" s="138">
        <v>5</v>
      </c>
      <c r="N591" s="118" t="s">
        <v>1921</v>
      </c>
      <c r="O591" s="138">
        <v>-1</v>
      </c>
      <c r="P591" s="138"/>
      <c r="Q591" s="138">
        <v>0</v>
      </c>
      <c r="R591" s="138">
        <v>1</v>
      </c>
      <c r="S591" s="138" t="b">
        <v>1</v>
      </c>
      <c r="T591" s="138">
        <v>28</v>
      </c>
      <c r="U591" s="118">
        <v>420</v>
      </c>
      <c r="V591" s="118">
        <v>560</v>
      </c>
      <c r="W591" s="138">
        <v>0</v>
      </c>
      <c r="X591" s="138">
        <v>3</v>
      </c>
      <c r="Y591" s="138" t="s">
        <v>38</v>
      </c>
      <c r="Z591" s="136" t="s">
        <v>2768</v>
      </c>
      <c r="AA591" s="206" t="s">
        <v>2769</v>
      </c>
      <c r="AB591" s="138" t="s">
        <v>1912</v>
      </c>
      <c r="AC591" s="138">
        <v>100000</v>
      </c>
      <c r="AD591" s="449">
        <v>1</v>
      </c>
      <c r="AE591" s="449">
        <v>1</v>
      </c>
      <c r="AF591">
        <v>0</v>
      </c>
      <c r="AG591" s="452">
        <v>3</v>
      </c>
    </row>
    <row r="592" spans="1:33" ht="17.25" x14ac:dyDescent="0.3">
      <c r="A592" s="132">
        <v>800303</v>
      </c>
      <c r="B592" s="136" t="s">
        <v>2770</v>
      </c>
      <c r="C592" s="136" t="s">
        <v>2771</v>
      </c>
      <c r="D592" s="136" t="s">
        <v>1908</v>
      </c>
      <c r="E592" s="138">
        <v>0</v>
      </c>
      <c r="F592" s="138">
        <v>0</v>
      </c>
      <c r="G592" s="138"/>
      <c r="H592" s="138" t="s">
        <v>295</v>
      </c>
      <c r="I592" s="138">
        <v>4</v>
      </c>
      <c r="J592" s="118">
        <v>4</v>
      </c>
      <c r="K592" s="138">
        <v>0</v>
      </c>
      <c r="L592" s="138">
        <v>2</v>
      </c>
      <c r="M592" s="138">
        <v>4</v>
      </c>
      <c r="N592" s="118" t="s">
        <v>1921</v>
      </c>
      <c r="O592" s="138">
        <v>-1</v>
      </c>
      <c r="P592" s="138"/>
      <c r="Q592" s="138">
        <v>0</v>
      </c>
      <c r="R592" s="138">
        <v>1</v>
      </c>
      <c r="S592" s="138" t="b">
        <v>1</v>
      </c>
      <c r="T592" s="138">
        <v>28</v>
      </c>
      <c r="U592" s="118">
        <v>420</v>
      </c>
      <c r="V592" s="118">
        <v>560</v>
      </c>
      <c r="W592" s="138">
        <v>0</v>
      </c>
      <c r="X592" s="138">
        <v>3</v>
      </c>
      <c r="Y592" s="138" t="s">
        <v>38</v>
      </c>
      <c r="Z592" s="136" t="s">
        <v>2772</v>
      </c>
      <c r="AA592" s="206" t="s">
        <v>2773</v>
      </c>
      <c r="AB592" s="138" t="s">
        <v>1918</v>
      </c>
      <c r="AC592" s="138">
        <v>100000</v>
      </c>
      <c r="AD592" s="449">
        <v>1</v>
      </c>
      <c r="AE592" s="449">
        <v>1</v>
      </c>
      <c r="AF592">
        <v>800303</v>
      </c>
      <c r="AG592" s="452">
        <v>3</v>
      </c>
    </row>
    <row r="593" spans="1:33" ht="17.25" x14ac:dyDescent="0.3">
      <c r="A593" s="132">
        <v>800403</v>
      </c>
      <c r="B593" s="136" t="s">
        <v>2774</v>
      </c>
      <c r="C593" s="136" t="s">
        <v>2775</v>
      </c>
      <c r="D593" s="136" t="s">
        <v>1908</v>
      </c>
      <c r="E593" s="138">
        <v>0</v>
      </c>
      <c r="F593" s="138">
        <v>0</v>
      </c>
      <c r="G593" s="138"/>
      <c r="H593" s="138" t="s">
        <v>295</v>
      </c>
      <c r="I593" s="138">
        <v>3</v>
      </c>
      <c r="J593" s="118">
        <v>3</v>
      </c>
      <c r="K593" s="138">
        <v>0</v>
      </c>
      <c r="L593" s="138">
        <v>2</v>
      </c>
      <c r="M593" s="138">
        <v>3</v>
      </c>
      <c r="N593" s="118" t="s">
        <v>1921</v>
      </c>
      <c r="O593" s="138">
        <v>-1</v>
      </c>
      <c r="P593" s="138"/>
      <c r="Q593" s="138">
        <v>0</v>
      </c>
      <c r="R593" s="138">
        <v>1</v>
      </c>
      <c r="S593" s="138" t="b">
        <v>1</v>
      </c>
      <c r="T593" s="138">
        <v>28</v>
      </c>
      <c r="U593" s="118">
        <v>420</v>
      </c>
      <c r="V593" s="118">
        <v>560</v>
      </c>
      <c r="W593" s="138">
        <v>0</v>
      </c>
      <c r="X593" s="138">
        <v>3</v>
      </c>
      <c r="Y593" s="138" t="s">
        <v>38</v>
      </c>
      <c r="Z593" s="136" t="s">
        <v>2776</v>
      </c>
      <c r="AA593" s="206" t="s">
        <v>2777</v>
      </c>
      <c r="AB593" s="138" t="s">
        <v>1924</v>
      </c>
      <c r="AC593" s="138">
        <v>100000</v>
      </c>
      <c r="AD593" s="449">
        <v>1</v>
      </c>
      <c r="AE593" s="449">
        <v>1</v>
      </c>
      <c r="AF593">
        <v>800403</v>
      </c>
      <c r="AG593" s="452">
        <v>3</v>
      </c>
    </row>
    <row r="594" spans="1:33" ht="17.25" x14ac:dyDescent="0.3">
      <c r="A594" s="132">
        <v>800204</v>
      </c>
      <c r="B594" s="136" t="s">
        <v>2778</v>
      </c>
      <c r="C594" s="136" t="s">
        <v>2779</v>
      </c>
      <c r="D594" s="136" t="s">
        <v>1908</v>
      </c>
      <c r="E594" s="138">
        <v>0</v>
      </c>
      <c r="F594" s="138">
        <v>0</v>
      </c>
      <c r="G594" s="138"/>
      <c r="H594" s="138" t="s">
        <v>295</v>
      </c>
      <c r="I594" s="138">
        <v>4</v>
      </c>
      <c r="J594" s="118">
        <v>4</v>
      </c>
      <c r="K594" s="138">
        <v>0</v>
      </c>
      <c r="L594" s="138">
        <v>2</v>
      </c>
      <c r="M594" s="138">
        <v>4</v>
      </c>
      <c r="N594" s="118" t="s">
        <v>1927</v>
      </c>
      <c r="O594" s="138">
        <v>-1</v>
      </c>
      <c r="P594" s="138"/>
      <c r="Q594" s="138">
        <v>0</v>
      </c>
      <c r="R594" s="138">
        <v>1</v>
      </c>
      <c r="S594" s="138" t="b">
        <v>1</v>
      </c>
      <c r="T594" s="138">
        <v>39</v>
      </c>
      <c r="U594" s="118">
        <v>585</v>
      </c>
      <c r="V594" s="118">
        <v>780</v>
      </c>
      <c r="W594" s="138">
        <v>0</v>
      </c>
      <c r="X594" s="138">
        <v>4</v>
      </c>
      <c r="Y594" s="138" t="s">
        <v>38</v>
      </c>
      <c r="Z594" s="136" t="s">
        <v>2780</v>
      </c>
      <c r="AA594" s="206" t="s">
        <v>2781</v>
      </c>
      <c r="AB594" s="138" t="s">
        <v>1930</v>
      </c>
      <c r="AC594" s="138">
        <v>100000</v>
      </c>
      <c r="AD594" s="449">
        <v>1</v>
      </c>
      <c r="AE594" s="449">
        <v>1</v>
      </c>
      <c r="AF594">
        <v>0</v>
      </c>
      <c r="AG594" s="452">
        <v>4</v>
      </c>
    </row>
    <row r="595" spans="1:33" ht="17.25" x14ac:dyDescent="0.3">
      <c r="A595" s="132">
        <v>800304</v>
      </c>
      <c r="B595" s="136" t="s">
        <v>2782</v>
      </c>
      <c r="C595" s="136" t="s">
        <v>2783</v>
      </c>
      <c r="D595" s="136" t="s">
        <v>1908</v>
      </c>
      <c r="E595" s="138">
        <v>0</v>
      </c>
      <c r="F595" s="138">
        <v>0</v>
      </c>
      <c r="G595" s="138"/>
      <c r="H595" s="138" t="s">
        <v>295</v>
      </c>
      <c r="I595" s="138">
        <v>6</v>
      </c>
      <c r="J595" s="118">
        <v>6</v>
      </c>
      <c r="K595" s="138">
        <v>0</v>
      </c>
      <c r="L595" s="138">
        <v>2</v>
      </c>
      <c r="M595" s="138">
        <v>6</v>
      </c>
      <c r="N595" s="118" t="s">
        <v>1927</v>
      </c>
      <c r="O595" s="138">
        <v>-1</v>
      </c>
      <c r="P595" s="138"/>
      <c r="Q595" s="138">
        <v>0</v>
      </c>
      <c r="R595" s="138">
        <v>1</v>
      </c>
      <c r="S595" s="138" t="b">
        <v>1</v>
      </c>
      <c r="T595" s="138">
        <v>39</v>
      </c>
      <c r="U595" s="118">
        <v>585</v>
      </c>
      <c r="V595" s="118">
        <v>780</v>
      </c>
      <c r="W595" s="138">
        <v>0</v>
      </c>
      <c r="X595" s="138">
        <v>4</v>
      </c>
      <c r="Y595" s="138" t="s">
        <v>38</v>
      </c>
      <c r="Z595" s="136" t="s">
        <v>2784</v>
      </c>
      <c r="AA595" s="206" t="s">
        <v>2785</v>
      </c>
      <c r="AB595" s="138" t="s">
        <v>1936</v>
      </c>
      <c r="AC595" s="138">
        <v>100000</v>
      </c>
      <c r="AD595" s="449">
        <v>1</v>
      </c>
      <c r="AE595" s="449">
        <v>1</v>
      </c>
      <c r="AF595">
        <v>0</v>
      </c>
      <c r="AG595" s="452">
        <v>4</v>
      </c>
    </row>
    <row r="596" spans="1:33" ht="17.25" x14ac:dyDescent="0.3">
      <c r="A596" s="132">
        <v>800105</v>
      </c>
      <c r="B596" s="136" t="s">
        <v>2786</v>
      </c>
      <c r="C596" s="136" t="s">
        <v>2787</v>
      </c>
      <c r="D596" s="136" t="s">
        <v>1908</v>
      </c>
      <c r="E596" s="138">
        <v>0</v>
      </c>
      <c r="F596" s="138">
        <v>0</v>
      </c>
      <c r="G596" s="138"/>
      <c r="H596" s="138" t="s">
        <v>295</v>
      </c>
      <c r="I596" s="138">
        <v>4</v>
      </c>
      <c r="J596" s="118">
        <v>4</v>
      </c>
      <c r="K596" s="138">
        <v>0</v>
      </c>
      <c r="L596" s="138">
        <v>2</v>
      </c>
      <c r="M596" s="138">
        <v>4</v>
      </c>
      <c r="N596" s="118" t="s">
        <v>1933</v>
      </c>
      <c r="O596" s="138">
        <v>-1</v>
      </c>
      <c r="P596" s="138"/>
      <c r="Q596" s="138">
        <v>0</v>
      </c>
      <c r="R596" s="138">
        <v>1</v>
      </c>
      <c r="S596" s="138" t="b">
        <v>1</v>
      </c>
      <c r="T596" s="138">
        <v>48</v>
      </c>
      <c r="U596" s="118">
        <v>720</v>
      </c>
      <c r="V596" s="118">
        <v>960</v>
      </c>
      <c r="W596" s="138">
        <v>0</v>
      </c>
      <c r="X596" s="138">
        <v>5</v>
      </c>
      <c r="Y596" s="138" t="s">
        <v>38</v>
      </c>
      <c r="Z596" s="136" t="s">
        <v>2788</v>
      </c>
      <c r="AA596" s="206" t="s">
        <v>2789</v>
      </c>
      <c r="AB596" s="138" t="s">
        <v>1942</v>
      </c>
      <c r="AC596" s="138">
        <v>100000</v>
      </c>
      <c r="AD596" s="449">
        <v>1</v>
      </c>
      <c r="AE596" s="449">
        <v>1</v>
      </c>
      <c r="AF596">
        <v>0</v>
      </c>
      <c r="AG596" s="452">
        <v>5</v>
      </c>
    </row>
    <row r="597" spans="1:33" ht="17.25" x14ac:dyDescent="0.3">
      <c r="A597" s="132">
        <v>800205</v>
      </c>
      <c r="B597" s="136" t="s">
        <v>2790</v>
      </c>
      <c r="C597" s="136" t="s">
        <v>2791</v>
      </c>
      <c r="D597" s="136" t="s">
        <v>1908</v>
      </c>
      <c r="E597" s="138">
        <v>0</v>
      </c>
      <c r="F597" s="138">
        <v>0</v>
      </c>
      <c r="G597" s="138"/>
      <c r="H597" s="138" t="s">
        <v>295</v>
      </c>
      <c r="I597" s="138">
        <v>3</v>
      </c>
      <c r="J597" s="118">
        <v>3</v>
      </c>
      <c r="K597" s="138">
        <v>0</v>
      </c>
      <c r="L597" s="138">
        <v>2</v>
      </c>
      <c r="M597" s="138">
        <v>3</v>
      </c>
      <c r="N597" s="118" t="s">
        <v>1933</v>
      </c>
      <c r="O597" s="138">
        <v>-1</v>
      </c>
      <c r="P597" s="138"/>
      <c r="Q597" s="138">
        <v>0</v>
      </c>
      <c r="R597" s="138">
        <v>1</v>
      </c>
      <c r="S597" s="138" t="b">
        <v>1</v>
      </c>
      <c r="T597" s="138">
        <v>48</v>
      </c>
      <c r="U597" s="118">
        <v>720</v>
      </c>
      <c r="V597" s="118">
        <v>960</v>
      </c>
      <c r="W597" s="138">
        <v>0</v>
      </c>
      <c r="X597" s="138">
        <v>5</v>
      </c>
      <c r="Y597" s="138" t="s">
        <v>38</v>
      </c>
      <c r="Z597" s="136" t="s">
        <v>2792</v>
      </c>
      <c r="AA597" s="206" t="s">
        <v>2793</v>
      </c>
      <c r="AB597" s="138" t="s">
        <v>1948</v>
      </c>
      <c r="AC597" s="138">
        <v>100000</v>
      </c>
      <c r="AD597" s="449">
        <v>1</v>
      </c>
      <c r="AE597" s="449">
        <v>1</v>
      </c>
      <c r="AF597">
        <v>800205</v>
      </c>
      <c r="AG597" s="452">
        <v>5</v>
      </c>
    </row>
    <row r="598" spans="1:33" ht="17.25" x14ac:dyDescent="0.3">
      <c r="A598" s="132">
        <v>800106</v>
      </c>
      <c r="B598" s="136" t="s">
        <v>2794</v>
      </c>
      <c r="C598" s="136" t="s">
        <v>2795</v>
      </c>
      <c r="D598" s="136" t="s">
        <v>1908</v>
      </c>
      <c r="E598" s="138">
        <v>0</v>
      </c>
      <c r="F598" s="138">
        <v>0</v>
      </c>
      <c r="G598" s="138"/>
      <c r="H598" s="138" t="s">
        <v>295</v>
      </c>
      <c r="I598" s="138">
        <v>3</v>
      </c>
      <c r="J598" s="118">
        <v>3</v>
      </c>
      <c r="K598" s="138">
        <v>0</v>
      </c>
      <c r="L598" s="138">
        <v>2</v>
      </c>
      <c r="M598" s="138">
        <v>3</v>
      </c>
      <c r="N598" s="118" t="s">
        <v>1939</v>
      </c>
      <c r="O598" s="138">
        <v>-1</v>
      </c>
      <c r="P598" s="138"/>
      <c r="Q598" s="138">
        <v>0</v>
      </c>
      <c r="R598" s="138">
        <v>1</v>
      </c>
      <c r="S598" s="138" t="b">
        <v>1</v>
      </c>
      <c r="T598" s="138">
        <v>58</v>
      </c>
      <c r="U598" s="118">
        <v>870</v>
      </c>
      <c r="V598" s="118">
        <v>1160</v>
      </c>
      <c r="W598" s="138">
        <v>0</v>
      </c>
      <c r="X598" s="138">
        <v>6</v>
      </c>
      <c r="Y598" s="138" t="s">
        <v>38</v>
      </c>
      <c r="Z598" s="136" t="s">
        <v>2796</v>
      </c>
      <c r="AA598" s="206" t="s">
        <v>2797</v>
      </c>
      <c r="AB598" s="138" t="s">
        <v>1954</v>
      </c>
      <c r="AC598" s="138">
        <v>100000</v>
      </c>
      <c r="AD598" s="449">
        <v>1</v>
      </c>
      <c r="AE598" s="449">
        <v>1</v>
      </c>
      <c r="AF598">
        <v>800106</v>
      </c>
      <c r="AG598" s="452">
        <v>6</v>
      </c>
    </row>
    <row r="599" spans="1:33" ht="17.25" x14ac:dyDescent="0.3">
      <c r="A599" s="132">
        <v>800206</v>
      </c>
      <c r="B599" s="136" t="s">
        <v>2798</v>
      </c>
      <c r="C599" s="136" t="s">
        <v>2799</v>
      </c>
      <c r="D599" s="136" t="s">
        <v>1908</v>
      </c>
      <c r="E599" s="138">
        <v>0</v>
      </c>
      <c r="F599" s="138">
        <v>0</v>
      </c>
      <c r="G599" s="138"/>
      <c r="H599" s="138" t="s">
        <v>295</v>
      </c>
      <c r="I599" s="138">
        <v>3</v>
      </c>
      <c r="J599" s="118">
        <v>3</v>
      </c>
      <c r="K599" s="138">
        <v>0</v>
      </c>
      <c r="L599" s="138">
        <v>2</v>
      </c>
      <c r="M599" s="138">
        <v>3</v>
      </c>
      <c r="N599" s="118" t="s">
        <v>1939</v>
      </c>
      <c r="O599" s="138">
        <v>-1</v>
      </c>
      <c r="P599" s="138"/>
      <c r="Q599" s="138">
        <v>0</v>
      </c>
      <c r="R599" s="138">
        <v>1</v>
      </c>
      <c r="S599" s="138" t="b">
        <v>1</v>
      </c>
      <c r="T599" s="138">
        <v>58</v>
      </c>
      <c r="U599" s="118">
        <v>870</v>
      </c>
      <c r="V599" s="118">
        <v>1160</v>
      </c>
      <c r="W599" s="138">
        <v>0</v>
      </c>
      <c r="X599" s="138">
        <v>6</v>
      </c>
      <c r="Y599" s="138" t="s">
        <v>38</v>
      </c>
      <c r="Z599" s="136" t="s">
        <v>2800</v>
      </c>
      <c r="AA599" s="206" t="s">
        <v>2801</v>
      </c>
      <c r="AB599" s="138" t="s">
        <v>1960</v>
      </c>
      <c r="AC599" s="138">
        <v>100000</v>
      </c>
      <c r="AD599" s="449">
        <v>1</v>
      </c>
      <c r="AE599" s="449">
        <v>1</v>
      </c>
      <c r="AF599">
        <v>800206</v>
      </c>
      <c r="AG599" s="452">
        <v>6</v>
      </c>
    </row>
    <row r="600" spans="1:33" ht="17.25" x14ac:dyDescent="0.3">
      <c r="A600" s="132">
        <v>800107</v>
      </c>
      <c r="B600" s="136" t="s">
        <v>2802</v>
      </c>
      <c r="C600" s="136" t="s">
        <v>2803</v>
      </c>
      <c r="D600" s="136" t="s">
        <v>1908</v>
      </c>
      <c r="E600" s="138">
        <v>0</v>
      </c>
      <c r="F600" s="138">
        <v>0</v>
      </c>
      <c r="G600" s="138"/>
      <c r="H600" s="138" t="s">
        <v>295</v>
      </c>
      <c r="I600" s="138">
        <v>7</v>
      </c>
      <c r="J600" s="118">
        <v>7</v>
      </c>
      <c r="K600" s="138">
        <v>0</v>
      </c>
      <c r="L600" s="138">
        <v>2</v>
      </c>
      <c r="M600" s="138">
        <v>7</v>
      </c>
      <c r="N600" s="118" t="s">
        <v>1945</v>
      </c>
      <c r="O600" s="138">
        <v>-1</v>
      </c>
      <c r="P600" s="138"/>
      <c r="Q600" s="138">
        <v>0</v>
      </c>
      <c r="R600" s="138">
        <v>1</v>
      </c>
      <c r="S600" s="138" t="b">
        <v>1</v>
      </c>
      <c r="T600" s="138">
        <v>67</v>
      </c>
      <c r="U600" s="118">
        <v>1005</v>
      </c>
      <c r="V600" s="118">
        <v>1340</v>
      </c>
      <c r="W600" s="138">
        <v>0</v>
      </c>
      <c r="X600" s="138">
        <v>7</v>
      </c>
      <c r="Y600" s="138" t="s">
        <v>38</v>
      </c>
      <c r="Z600" s="136" t="s">
        <v>2804</v>
      </c>
      <c r="AA600" s="206" t="s">
        <v>2805</v>
      </c>
      <c r="AB600" s="138" t="s">
        <v>2806</v>
      </c>
      <c r="AC600" s="138">
        <v>100000</v>
      </c>
      <c r="AD600" s="449">
        <v>1</v>
      </c>
      <c r="AE600" s="449">
        <v>1</v>
      </c>
      <c r="AF600">
        <v>800107</v>
      </c>
      <c r="AG600" s="452">
        <v>7</v>
      </c>
    </row>
    <row r="601" spans="1:33" ht="17.25" x14ac:dyDescent="0.3">
      <c r="A601" s="230">
        <v>104402</v>
      </c>
      <c r="B601" s="230" t="s">
        <v>2807</v>
      </c>
      <c r="C601" s="453" t="s">
        <v>2808</v>
      </c>
      <c r="D601" s="454" t="s">
        <v>33</v>
      </c>
      <c r="E601" s="104">
        <v>4</v>
      </c>
      <c r="F601" s="230" t="s">
        <v>447</v>
      </c>
      <c r="G601" s="230" t="s">
        <v>2809</v>
      </c>
      <c r="H601" s="455" t="s">
        <v>611</v>
      </c>
      <c r="I601" s="104">
        <v>4</v>
      </c>
      <c r="J601" s="118">
        <v>4</v>
      </c>
      <c r="K601" s="455">
        <v>0</v>
      </c>
      <c r="L601" s="455">
        <v>2</v>
      </c>
      <c r="M601" s="104">
        <v>4</v>
      </c>
      <c r="N601" s="118" t="s">
        <v>45</v>
      </c>
      <c r="O601" s="104">
        <v>99</v>
      </c>
      <c r="P601" s="104">
        <v>0.9</v>
      </c>
      <c r="Q601" s="104">
        <v>0</v>
      </c>
      <c r="R601" s="455">
        <v>1</v>
      </c>
      <c r="S601" s="454" t="b">
        <v>1</v>
      </c>
      <c r="T601" s="454">
        <v>13</v>
      </c>
      <c r="U601" s="118">
        <v>195</v>
      </c>
      <c r="V601" s="118">
        <v>260</v>
      </c>
      <c r="W601" s="454">
        <v>0</v>
      </c>
      <c r="X601" s="230">
        <v>2</v>
      </c>
      <c r="Y601" s="454" t="s">
        <v>38</v>
      </c>
      <c r="Z601" s="230" t="s">
        <v>2810</v>
      </c>
      <c r="AA601" s="206" t="s">
        <v>2811</v>
      </c>
      <c r="AB601" s="104" t="s">
        <v>2812</v>
      </c>
      <c r="AC601" s="104">
        <v>100000</v>
      </c>
      <c r="AD601" s="464">
        <v>1</v>
      </c>
      <c r="AE601" s="464">
        <v>1</v>
      </c>
      <c r="AF601">
        <v>104402</v>
      </c>
      <c r="AG601" s="469">
        <v>2</v>
      </c>
    </row>
    <row r="602" spans="1:33" ht="17.25" x14ac:dyDescent="0.3">
      <c r="A602" s="230">
        <v>105504</v>
      </c>
      <c r="B602" s="230" t="s">
        <v>2813</v>
      </c>
      <c r="C602" s="453" t="s">
        <v>2814</v>
      </c>
      <c r="D602" s="454" t="s">
        <v>33</v>
      </c>
      <c r="E602" s="104">
        <v>5</v>
      </c>
      <c r="F602" s="230" t="s">
        <v>631</v>
      </c>
      <c r="G602" s="230" t="s">
        <v>2815</v>
      </c>
      <c r="H602" s="455" t="s">
        <v>611</v>
      </c>
      <c r="I602" s="104">
        <v>4</v>
      </c>
      <c r="J602" s="118">
        <v>4</v>
      </c>
      <c r="K602" s="455">
        <v>0</v>
      </c>
      <c r="L602" s="455">
        <v>2</v>
      </c>
      <c r="M602" s="104">
        <v>4</v>
      </c>
      <c r="N602" s="118" t="s">
        <v>64</v>
      </c>
      <c r="O602" s="104">
        <v>1</v>
      </c>
      <c r="P602" s="104">
        <v>0.9</v>
      </c>
      <c r="Q602" s="104">
        <v>0</v>
      </c>
      <c r="R602" s="455">
        <v>1</v>
      </c>
      <c r="S602" s="454" t="b">
        <v>1</v>
      </c>
      <c r="T602" s="138">
        <v>39</v>
      </c>
      <c r="U602" s="118">
        <v>585</v>
      </c>
      <c r="V602" s="118">
        <v>780</v>
      </c>
      <c r="W602" s="454">
        <v>0</v>
      </c>
      <c r="X602" s="230">
        <v>4</v>
      </c>
      <c r="Y602" s="454" t="s">
        <v>38</v>
      </c>
      <c r="Z602" s="230" t="s">
        <v>2816</v>
      </c>
      <c r="AA602" s="206" t="s">
        <v>2817</v>
      </c>
      <c r="AB602" s="104" t="s">
        <v>2818</v>
      </c>
      <c r="AC602" s="104">
        <v>100000</v>
      </c>
      <c r="AD602" s="465">
        <v>1</v>
      </c>
      <c r="AE602" s="465">
        <v>1</v>
      </c>
      <c r="AF602">
        <v>105504</v>
      </c>
      <c r="AG602" s="469">
        <v>4</v>
      </c>
    </row>
    <row r="603" spans="1:33" ht="17.25" x14ac:dyDescent="0.3">
      <c r="A603" s="230">
        <v>102905</v>
      </c>
      <c r="B603" s="230" t="s">
        <v>2819</v>
      </c>
      <c r="C603" s="453" t="s">
        <v>2820</v>
      </c>
      <c r="D603" s="454" t="s">
        <v>33</v>
      </c>
      <c r="E603" s="104">
        <v>2</v>
      </c>
      <c r="F603" s="230" t="s">
        <v>134</v>
      </c>
      <c r="G603" s="230" t="s">
        <v>2821</v>
      </c>
      <c r="H603" s="455" t="s">
        <v>611</v>
      </c>
      <c r="I603" s="104">
        <v>4</v>
      </c>
      <c r="J603" s="118">
        <v>4</v>
      </c>
      <c r="K603" s="455">
        <v>0</v>
      </c>
      <c r="L603" s="455">
        <v>2</v>
      </c>
      <c r="M603" s="104">
        <v>4</v>
      </c>
      <c r="N603" s="118" t="s">
        <v>71</v>
      </c>
      <c r="O603" s="104">
        <v>99</v>
      </c>
      <c r="P603" s="104">
        <v>0.9</v>
      </c>
      <c r="Q603" s="104">
        <v>0</v>
      </c>
      <c r="R603" s="455">
        <v>1</v>
      </c>
      <c r="S603" s="454" t="b">
        <v>1</v>
      </c>
      <c r="T603" s="138">
        <v>48</v>
      </c>
      <c r="U603" s="118">
        <v>720</v>
      </c>
      <c r="V603" s="118">
        <v>960</v>
      </c>
      <c r="W603" s="454">
        <v>0</v>
      </c>
      <c r="X603" s="230">
        <v>5</v>
      </c>
      <c r="Y603" s="454" t="s">
        <v>38</v>
      </c>
      <c r="Z603" s="230" t="s">
        <v>2822</v>
      </c>
      <c r="AA603" s="206" t="s">
        <v>2823</v>
      </c>
      <c r="AB603" s="104" t="s">
        <v>2824</v>
      </c>
      <c r="AC603" s="104">
        <v>100000</v>
      </c>
      <c r="AD603" s="465">
        <v>1</v>
      </c>
      <c r="AE603" s="465">
        <v>1</v>
      </c>
      <c r="AF603">
        <v>102905</v>
      </c>
      <c r="AG603" s="469">
        <v>5</v>
      </c>
    </row>
    <row r="604" spans="1:33" ht="17.25" x14ac:dyDescent="0.3">
      <c r="A604" s="230">
        <v>105604</v>
      </c>
      <c r="B604" s="230" t="s">
        <v>2825</v>
      </c>
      <c r="C604" s="453" t="s">
        <v>2826</v>
      </c>
      <c r="D604" s="454" t="s">
        <v>33</v>
      </c>
      <c r="E604" s="104">
        <v>5</v>
      </c>
      <c r="F604" s="230" t="s">
        <v>631</v>
      </c>
      <c r="G604" s="230" t="s">
        <v>2827</v>
      </c>
      <c r="H604" s="455" t="s">
        <v>611</v>
      </c>
      <c r="I604" s="104">
        <v>4</v>
      </c>
      <c r="J604" s="118">
        <v>4</v>
      </c>
      <c r="K604" s="455">
        <v>0</v>
      </c>
      <c r="L604" s="455">
        <v>2</v>
      </c>
      <c r="M604" s="104">
        <v>4</v>
      </c>
      <c r="N604" s="118" t="s">
        <v>64</v>
      </c>
      <c r="O604" s="104">
        <v>1</v>
      </c>
      <c r="P604" s="104">
        <v>0.9</v>
      </c>
      <c r="Q604" s="104">
        <v>0</v>
      </c>
      <c r="R604" s="455">
        <v>1</v>
      </c>
      <c r="S604" s="454" t="b">
        <v>1</v>
      </c>
      <c r="T604" s="138">
        <v>39</v>
      </c>
      <c r="U604" s="118">
        <v>585</v>
      </c>
      <c r="V604" s="118">
        <v>780</v>
      </c>
      <c r="W604" s="454">
        <v>0</v>
      </c>
      <c r="X604" s="230">
        <v>4</v>
      </c>
      <c r="Y604" s="454" t="s">
        <v>38</v>
      </c>
      <c r="Z604" s="230" t="s">
        <v>2828</v>
      </c>
      <c r="AA604" s="206" t="s">
        <v>2829</v>
      </c>
      <c r="AB604" s="104" t="s">
        <v>2830</v>
      </c>
      <c r="AC604" s="104">
        <v>100000</v>
      </c>
      <c r="AD604" s="464">
        <v>1</v>
      </c>
      <c r="AE604" s="464">
        <v>1</v>
      </c>
      <c r="AF604">
        <v>105604</v>
      </c>
      <c r="AG604" s="469">
        <v>4</v>
      </c>
    </row>
    <row r="605" spans="1:33" ht="17.25" x14ac:dyDescent="0.3">
      <c r="A605" s="230">
        <v>1021005</v>
      </c>
      <c r="B605" s="230" t="s">
        <v>2831</v>
      </c>
      <c r="C605" s="453" t="s">
        <v>2832</v>
      </c>
      <c r="D605" s="454" t="s">
        <v>33</v>
      </c>
      <c r="E605" s="456">
        <v>10</v>
      </c>
      <c r="F605" s="457" t="s">
        <v>887</v>
      </c>
      <c r="G605" s="230" t="s">
        <v>2833</v>
      </c>
      <c r="H605" s="455" t="s">
        <v>611</v>
      </c>
      <c r="I605" s="104">
        <v>4</v>
      </c>
      <c r="J605" s="118">
        <v>4</v>
      </c>
      <c r="K605" s="455">
        <v>0</v>
      </c>
      <c r="L605" s="455">
        <v>2</v>
      </c>
      <c r="M605" s="104">
        <v>4</v>
      </c>
      <c r="N605" s="118" t="s">
        <v>2834</v>
      </c>
      <c r="O605" s="104">
        <v>99</v>
      </c>
      <c r="P605" s="104">
        <v>0.9</v>
      </c>
      <c r="Q605" s="104">
        <v>0</v>
      </c>
      <c r="R605" s="455">
        <v>1</v>
      </c>
      <c r="S605" s="454" t="b">
        <v>1</v>
      </c>
      <c r="T605" s="138">
        <v>48</v>
      </c>
      <c r="U605" s="118">
        <v>720</v>
      </c>
      <c r="V605" s="118">
        <v>960</v>
      </c>
      <c r="W605" s="454">
        <v>0</v>
      </c>
      <c r="X605" s="230">
        <v>5</v>
      </c>
      <c r="Y605" s="454" t="s">
        <v>38</v>
      </c>
      <c r="Z605" s="230" t="s">
        <v>2835</v>
      </c>
      <c r="AA605" s="206" t="s">
        <v>2836</v>
      </c>
      <c r="AB605" s="104" t="s">
        <v>2837</v>
      </c>
      <c r="AC605" s="104">
        <v>100000</v>
      </c>
      <c r="AD605" s="465">
        <v>1</v>
      </c>
      <c r="AE605" s="465">
        <v>1</v>
      </c>
      <c r="AF605">
        <v>1021005</v>
      </c>
      <c r="AG605" s="469">
        <v>5</v>
      </c>
    </row>
    <row r="606" spans="1:33" ht="17.25" x14ac:dyDescent="0.3">
      <c r="A606" s="104">
        <v>115504</v>
      </c>
      <c r="B606" s="104" t="s">
        <v>2838</v>
      </c>
      <c r="C606" s="104" t="s">
        <v>2839</v>
      </c>
      <c r="D606" s="455" t="s">
        <v>33</v>
      </c>
      <c r="E606" s="455">
        <v>15</v>
      </c>
      <c r="F606" s="458" t="s">
        <v>1316</v>
      </c>
      <c r="G606" s="230" t="s">
        <v>2840</v>
      </c>
      <c r="H606" s="454" t="s">
        <v>611</v>
      </c>
      <c r="I606" s="454">
        <v>5</v>
      </c>
      <c r="J606" s="118">
        <v>5</v>
      </c>
      <c r="K606" s="454">
        <v>0</v>
      </c>
      <c r="L606" s="454">
        <v>3</v>
      </c>
      <c r="M606" s="454">
        <v>5</v>
      </c>
      <c r="N606" s="118" t="s">
        <v>64</v>
      </c>
      <c r="O606" s="104">
        <v>1</v>
      </c>
      <c r="P606" s="104">
        <v>0.9</v>
      </c>
      <c r="Q606" s="454"/>
      <c r="R606" s="454">
        <v>1</v>
      </c>
      <c r="S606" s="454" t="b">
        <v>1</v>
      </c>
      <c r="T606" s="138">
        <v>39</v>
      </c>
      <c r="U606" s="118">
        <v>585</v>
      </c>
      <c r="V606" s="118">
        <v>780</v>
      </c>
      <c r="W606" s="454">
        <v>0</v>
      </c>
      <c r="X606" s="454">
        <v>4</v>
      </c>
      <c r="Y606" s="454" t="s">
        <v>38</v>
      </c>
      <c r="Z606" s="466" t="s">
        <v>2841</v>
      </c>
      <c r="AA606" s="206" t="s">
        <v>2842</v>
      </c>
      <c r="AB606" s="466" t="s">
        <v>2843</v>
      </c>
      <c r="AC606" s="454">
        <v>100000</v>
      </c>
      <c r="AD606" s="464">
        <v>1</v>
      </c>
      <c r="AE606" s="464">
        <v>1</v>
      </c>
      <c r="AF606">
        <v>115504</v>
      </c>
      <c r="AG606" s="470">
        <v>4</v>
      </c>
    </row>
    <row r="607" spans="1:33" ht="17.25" x14ac:dyDescent="0.3">
      <c r="A607">
        <v>103106</v>
      </c>
      <c r="B607" s="136" t="s">
        <v>2844</v>
      </c>
      <c r="C607" s="136" t="s">
        <v>2845</v>
      </c>
      <c r="D607" s="138" t="s">
        <v>33</v>
      </c>
      <c r="E607" s="138">
        <v>3</v>
      </c>
      <c r="F607" s="136" t="s">
        <v>363</v>
      </c>
      <c r="G607" s="138" t="s">
        <v>370</v>
      </c>
      <c r="H607" s="138" t="s">
        <v>107</v>
      </c>
      <c r="I607" s="138">
        <v>6</v>
      </c>
      <c r="J607" s="118">
        <v>6</v>
      </c>
      <c r="K607" s="138">
        <v>0</v>
      </c>
      <c r="L607" s="138">
        <v>3</v>
      </c>
      <c r="M607" s="138">
        <v>6</v>
      </c>
      <c r="N607" s="118" t="s">
        <v>77</v>
      </c>
      <c r="O607" s="136">
        <v>99</v>
      </c>
      <c r="P607" s="447">
        <v>0.9</v>
      </c>
      <c r="Q607" s="138">
        <v>0</v>
      </c>
      <c r="R607" s="138">
        <v>1</v>
      </c>
      <c r="S607" s="138" t="b">
        <v>1</v>
      </c>
      <c r="T607" s="138">
        <v>78</v>
      </c>
      <c r="U607" s="118">
        <v>1170</v>
      </c>
      <c r="V607" s="118">
        <v>1560</v>
      </c>
      <c r="W607" s="138">
        <v>0</v>
      </c>
      <c r="X607" s="138">
        <v>6</v>
      </c>
      <c r="Y607" s="138" t="s">
        <v>38</v>
      </c>
      <c r="Z607" s="136" t="s">
        <v>2846</v>
      </c>
      <c r="AA607" s="206" t="s">
        <v>2847</v>
      </c>
      <c r="AB607" s="136" t="s">
        <v>2848</v>
      </c>
      <c r="AC607" s="138">
        <v>100000</v>
      </c>
      <c r="AD607" s="449">
        <v>1</v>
      </c>
      <c r="AE607" s="449">
        <v>1</v>
      </c>
      <c r="AF607">
        <v>0</v>
      </c>
      <c r="AG607" s="452">
        <v>6</v>
      </c>
    </row>
    <row r="608" spans="1:33" ht="17.25" x14ac:dyDescent="0.3">
      <c r="A608" s="459">
        <v>700306</v>
      </c>
      <c r="B608" s="460" t="s">
        <v>2849</v>
      </c>
      <c r="C608" s="460" t="s">
        <v>2850</v>
      </c>
      <c r="D608" s="461" t="s">
        <v>1832</v>
      </c>
      <c r="E608" s="461">
        <v>0</v>
      </c>
      <c r="F608" s="461">
        <v>0</v>
      </c>
      <c r="G608" s="461"/>
      <c r="H608" s="462" t="s">
        <v>107</v>
      </c>
      <c r="I608" s="461">
        <v>6</v>
      </c>
      <c r="J608" s="461">
        <v>6</v>
      </c>
      <c r="K608" s="461">
        <v>0</v>
      </c>
      <c r="L608" s="461">
        <v>2</v>
      </c>
      <c r="M608" s="461">
        <v>6</v>
      </c>
      <c r="N608" s="461" t="s">
        <v>1872</v>
      </c>
      <c r="O608" s="461">
        <v>-1</v>
      </c>
      <c r="P608" s="461"/>
      <c r="Q608" s="461">
        <v>0</v>
      </c>
      <c r="R608" s="461">
        <v>1</v>
      </c>
      <c r="S608" s="220" t="b">
        <v>1</v>
      </c>
      <c r="T608" s="461">
        <v>67</v>
      </c>
      <c r="U608" s="461">
        <v>1005</v>
      </c>
      <c r="V608" s="461">
        <v>1340</v>
      </c>
      <c r="W608" s="461">
        <v>0</v>
      </c>
      <c r="X608" s="461">
        <v>6</v>
      </c>
      <c r="Y608" s="461" t="s">
        <v>38</v>
      </c>
      <c r="Z608" s="461" t="s">
        <v>2851</v>
      </c>
      <c r="AA608" s="206" t="s">
        <v>2852</v>
      </c>
      <c r="AB608" s="220" t="s">
        <v>2853</v>
      </c>
      <c r="AC608" s="462">
        <v>100000</v>
      </c>
      <c r="AD608" s="467">
        <v>1</v>
      </c>
      <c r="AE608" s="467">
        <v>1</v>
      </c>
      <c r="AF608">
        <v>0</v>
      </c>
      <c r="AG608" s="471">
        <v>6</v>
      </c>
    </row>
    <row r="609" spans="1:33" ht="17.25" x14ac:dyDescent="0.3">
      <c r="A609" s="445">
        <v>800406</v>
      </c>
      <c r="B609" s="445" t="s">
        <v>2854</v>
      </c>
      <c r="C609" s="445" t="s">
        <v>2855</v>
      </c>
      <c r="D609" s="445" t="s">
        <v>1908</v>
      </c>
      <c r="E609" s="463">
        <v>0</v>
      </c>
      <c r="F609" s="463">
        <v>0</v>
      </c>
      <c r="G609" s="463"/>
      <c r="H609" s="463" t="s">
        <v>107</v>
      </c>
      <c r="I609" s="118">
        <v>6</v>
      </c>
      <c r="J609" s="118">
        <v>6</v>
      </c>
      <c r="K609" s="463">
        <v>0</v>
      </c>
      <c r="L609" s="463">
        <v>2</v>
      </c>
      <c r="M609" s="118">
        <v>6</v>
      </c>
      <c r="N609" s="118" t="s">
        <v>1939</v>
      </c>
      <c r="O609" s="138">
        <v>-1</v>
      </c>
      <c r="P609" s="138"/>
      <c r="Q609" s="138">
        <v>0</v>
      </c>
      <c r="R609" s="463">
        <v>1</v>
      </c>
      <c r="S609" s="463" t="b">
        <v>1</v>
      </c>
      <c r="T609" s="463">
        <v>58</v>
      </c>
      <c r="U609" s="118">
        <f>T609*15</f>
        <v>870</v>
      </c>
      <c r="V609" s="118">
        <f>T609*20</f>
        <v>1160</v>
      </c>
      <c r="W609" s="463">
        <v>0</v>
      </c>
      <c r="X609" s="463">
        <v>6</v>
      </c>
      <c r="Y609" s="463" t="s">
        <v>38</v>
      </c>
      <c r="Z609" s="445" t="s">
        <v>2856</v>
      </c>
      <c r="AA609" s="206" t="s">
        <v>2857</v>
      </c>
      <c r="AB609" s="463" t="s">
        <v>2858</v>
      </c>
      <c r="AC609" s="463">
        <v>100000</v>
      </c>
      <c r="AD609" s="468">
        <v>1</v>
      </c>
      <c r="AE609" s="468">
        <v>1</v>
      </c>
      <c r="AF609" s="25">
        <v>0</v>
      </c>
      <c r="AG609" s="472">
        <v>6</v>
      </c>
    </row>
    <row r="610" spans="1:33" ht="17.25" x14ac:dyDescent="0.3">
      <c r="A610" s="25">
        <v>800501</v>
      </c>
      <c r="B610" s="25" t="s">
        <v>2859</v>
      </c>
      <c r="C610" s="25" t="s">
        <v>2860</v>
      </c>
      <c r="D610" s="445" t="s">
        <v>1908</v>
      </c>
      <c r="E610" s="463">
        <v>0</v>
      </c>
      <c r="F610" s="463">
        <v>0</v>
      </c>
      <c r="G610" s="25"/>
      <c r="H610" s="25" t="s">
        <v>2861</v>
      </c>
      <c r="I610" s="25">
        <v>5</v>
      </c>
      <c r="J610" s="25">
        <v>5</v>
      </c>
      <c r="K610" s="25">
        <v>0</v>
      </c>
      <c r="L610" s="463">
        <v>2</v>
      </c>
      <c r="M610" s="25">
        <v>5</v>
      </c>
      <c r="N610" s="118" t="s">
        <v>2862</v>
      </c>
      <c r="O610" s="138">
        <v>50</v>
      </c>
      <c r="P610" s="138">
        <v>0.5</v>
      </c>
      <c r="Q610" s="138">
        <v>0</v>
      </c>
      <c r="R610" s="138">
        <v>1</v>
      </c>
      <c r="S610" s="463" t="b">
        <v>1</v>
      </c>
      <c r="T610" s="138">
        <v>28</v>
      </c>
      <c r="U610" s="118">
        <f t="shared" ref="U610:U613" si="0">T610*15</f>
        <v>420</v>
      </c>
      <c r="V610" s="118">
        <f t="shared" ref="V610:V613" si="1">T610*20</f>
        <v>560</v>
      </c>
      <c r="W610" s="463">
        <v>0</v>
      </c>
      <c r="X610" s="25">
        <v>7</v>
      </c>
      <c r="Y610" s="463" t="s">
        <v>38</v>
      </c>
      <c r="Z610" s="25" t="s">
        <v>2863</v>
      </c>
      <c r="AA610" s="206" t="s">
        <v>2864</v>
      </c>
      <c r="AB610" s="463" t="s">
        <v>2865</v>
      </c>
      <c r="AC610" s="463">
        <v>100000</v>
      </c>
      <c r="AD610" s="468">
        <v>1</v>
      </c>
      <c r="AE610" s="468">
        <v>1</v>
      </c>
      <c r="AF610" s="25">
        <v>0</v>
      </c>
      <c r="AG610" s="472"/>
    </row>
    <row r="611" spans="1:33" ht="17.25" x14ac:dyDescent="0.3">
      <c r="A611" s="25">
        <v>800502</v>
      </c>
      <c r="B611" s="25" t="s">
        <v>2866</v>
      </c>
      <c r="C611" s="25" t="s">
        <v>2867</v>
      </c>
      <c r="D611" s="445" t="s">
        <v>1908</v>
      </c>
      <c r="E611" s="463">
        <v>0</v>
      </c>
      <c r="F611" s="463">
        <v>0</v>
      </c>
      <c r="G611" s="25"/>
      <c r="H611" s="25" t="s">
        <v>2861</v>
      </c>
      <c r="I611" s="25">
        <v>5</v>
      </c>
      <c r="J611" s="25">
        <v>5</v>
      </c>
      <c r="K611" s="25">
        <v>0</v>
      </c>
      <c r="L611" s="463">
        <v>2</v>
      </c>
      <c r="M611" s="25">
        <v>5</v>
      </c>
      <c r="N611" s="118" t="s">
        <v>2868</v>
      </c>
      <c r="O611" s="138">
        <v>50</v>
      </c>
      <c r="P611" s="138">
        <v>0.5</v>
      </c>
      <c r="Q611" s="138">
        <v>0</v>
      </c>
      <c r="R611" s="138">
        <v>1</v>
      </c>
      <c r="S611" s="463" t="b">
        <v>1</v>
      </c>
      <c r="T611" s="138">
        <v>28</v>
      </c>
      <c r="U611" s="118">
        <f t="shared" si="0"/>
        <v>420</v>
      </c>
      <c r="V611" s="118">
        <f t="shared" si="1"/>
        <v>560</v>
      </c>
      <c r="W611" s="463">
        <v>0</v>
      </c>
      <c r="X611" s="25">
        <v>8</v>
      </c>
      <c r="Y611" s="463" t="s">
        <v>38</v>
      </c>
      <c r="Z611" s="25" t="s">
        <v>2869</v>
      </c>
      <c r="AA611" s="206" t="s">
        <v>2870</v>
      </c>
      <c r="AB611" s="463" t="s">
        <v>2871</v>
      </c>
      <c r="AC611" s="463">
        <v>100000</v>
      </c>
      <c r="AD611" s="468">
        <v>1</v>
      </c>
      <c r="AE611" s="468">
        <v>1</v>
      </c>
      <c r="AF611" s="25">
        <v>0</v>
      </c>
      <c r="AG611" s="472"/>
    </row>
    <row r="612" spans="1:33" ht="17.25" x14ac:dyDescent="0.3">
      <c r="A612" s="25">
        <v>800503</v>
      </c>
      <c r="B612" s="25" t="s">
        <v>2872</v>
      </c>
      <c r="C612" s="25" t="s">
        <v>2873</v>
      </c>
      <c r="D612" s="445" t="s">
        <v>1908</v>
      </c>
      <c r="E612" s="463">
        <v>0</v>
      </c>
      <c r="F612" s="463">
        <v>0</v>
      </c>
      <c r="G612" s="25"/>
      <c r="H612" s="25" t="s">
        <v>2861</v>
      </c>
      <c r="I612" s="25">
        <v>6</v>
      </c>
      <c r="J612" s="25">
        <v>6</v>
      </c>
      <c r="K612" s="25">
        <v>0</v>
      </c>
      <c r="L612" s="463">
        <v>2</v>
      </c>
      <c r="M612" s="25">
        <v>6</v>
      </c>
      <c r="N612" s="118" t="s">
        <v>2874</v>
      </c>
      <c r="O612" s="138">
        <v>50</v>
      </c>
      <c r="P612" s="138">
        <v>0.5</v>
      </c>
      <c r="Q612" s="138">
        <v>0</v>
      </c>
      <c r="R612" s="138">
        <v>1</v>
      </c>
      <c r="S612" s="463" t="b">
        <v>1</v>
      </c>
      <c r="T612" s="463">
        <v>58</v>
      </c>
      <c r="U612" s="118">
        <f t="shared" si="0"/>
        <v>870</v>
      </c>
      <c r="V612" s="118">
        <f t="shared" si="1"/>
        <v>1160</v>
      </c>
      <c r="W612" s="463">
        <v>0</v>
      </c>
      <c r="X612" s="25">
        <v>9</v>
      </c>
      <c r="Y612" s="463" t="s">
        <v>38</v>
      </c>
      <c r="Z612" s="25" t="s">
        <v>2875</v>
      </c>
      <c r="AA612" s="206" t="s">
        <v>2876</v>
      </c>
      <c r="AB612" s="463" t="s">
        <v>2877</v>
      </c>
      <c r="AC612" s="463">
        <v>100000</v>
      </c>
      <c r="AD612" s="468">
        <v>1</v>
      </c>
      <c r="AE612" s="468">
        <v>1</v>
      </c>
      <c r="AF612" s="25">
        <v>0</v>
      </c>
      <c r="AG612" s="472"/>
    </row>
    <row r="613" spans="1:33" ht="17.25" x14ac:dyDescent="0.3">
      <c r="A613" s="25">
        <v>800504</v>
      </c>
      <c r="B613" s="25" t="s">
        <v>2878</v>
      </c>
      <c r="C613" s="25" t="s">
        <v>2879</v>
      </c>
      <c r="D613" s="445" t="s">
        <v>1908</v>
      </c>
      <c r="E613" s="463">
        <v>0</v>
      </c>
      <c r="F613" s="463">
        <v>0</v>
      </c>
      <c r="G613" s="25"/>
      <c r="H613" s="25" t="s">
        <v>2861</v>
      </c>
      <c r="I613" s="25">
        <v>7</v>
      </c>
      <c r="J613" s="25">
        <v>7</v>
      </c>
      <c r="K613" s="25">
        <v>0</v>
      </c>
      <c r="L613" s="463">
        <v>2</v>
      </c>
      <c r="M613" s="25">
        <v>7</v>
      </c>
      <c r="N613" s="118" t="s">
        <v>2880</v>
      </c>
      <c r="O613" s="138">
        <v>50</v>
      </c>
      <c r="P613" s="138">
        <v>0.5</v>
      </c>
      <c r="Q613" s="138">
        <v>0</v>
      </c>
      <c r="R613" s="138">
        <v>1</v>
      </c>
      <c r="S613" s="463" t="b">
        <v>1</v>
      </c>
      <c r="T613" s="138">
        <v>67</v>
      </c>
      <c r="U613" s="118">
        <f t="shared" si="0"/>
        <v>1005</v>
      </c>
      <c r="V613" s="118">
        <f t="shared" si="1"/>
        <v>1340</v>
      </c>
      <c r="W613" s="463">
        <v>0</v>
      </c>
      <c r="X613" s="25">
        <v>10</v>
      </c>
      <c r="Y613" s="463" t="s">
        <v>38</v>
      </c>
      <c r="Z613" s="25" t="s">
        <v>2881</v>
      </c>
      <c r="AA613" s="206" t="s">
        <v>2882</v>
      </c>
      <c r="AB613" s="463" t="s">
        <v>2883</v>
      </c>
      <c r="AC613" s="463">
        <v>100000</v>
      </c>
      <c r="AD613" s="468">
        <v>1</v>
      </c>
      <c r="AE613" s="468">
        <v>1</v>
      </c>
      <c r="AF613" s="25">
        <v>0</v>
      </c>
      <c r="AG613" s="472"/>
    </row>
  </sheetData>
  <sortState xmlns:xlrd2="http://schemas.microsoft.com/office/spreadsheetml/2017/richdata2" ref="A2:AC136">
    <sortCondition ref="A1"/>
  </sortState>
  <phoneticPr fontId="45" type="noConversion"/>
  <conditionalFormatting sqref="A1:A3 A5:A9 A36:A43 A16 A20:A22 A47:A55 A59:A76 A83:A86 A88:A93 A24:A29 A100:A102 A104:A109 A116:A125 A139:A150 A157:A167 A174:A184 A191:A200 A208:A219 A226:A232 A239:A249 A253:A259 A263:A270 A274 A278:A284 A286:A290 A127:A132 A317:A331 A297:A313 A395:A420 A425:A448 A461:A588 A352:A361 A382:A391 A365:A378 A335:A348 A594">
    <cfRule type="duplicateValues" dxfId="715" priority="237"/>
  </conditionalFormatting>
  <conditionalFormatting sqref="A1:A3 A5:A9 A36:A43 A16 A20:A22 A48:A49 A59:A75 A51:A55 A24:A28 A83:A86 A88:A93 A100:A102 A104:A109 A116:A125 A127:A131 A157:A166 A191:A200 A208:A219 A226:A232 A239:A249 A263:A270 A274 A278:A284 A286:A290 A139:A149 A174:A183 A317:A331 A301:A313 A297:A299 A397:A401 A382:A383 A335:A348 A352:A361 A395 A365:A378 A385:A391">
    <cfRule type="duplicateValues" dxfId="714" priority="251"/>
  </conditionalFormatting>
  <conditionalFormatting sqref="A1:A3 A5:A9 A36:A43 A16 A20:A22 A48:A49 A59:A75 A51:A55 A24:A28 A83:A86 A88:A93 A100:A102 A104:A109 A116:A125 A139:A149 A174:A183 A157:A166 A191:A196 A264:A270 A274 A278:A284 A286:A290 A127:A131 A248 A301:A313 A317:A328 A297:A299 A385 A365:A378 A382:A383 A330:A331 A335:A348 A352:A361">
    <cfRule type="duplicateValues" dxfId="713" priority="269"/>
  </conditionalFormatting>
  <conditionalFormatting sqref="A1:A3 A5:A12 A16:A22 A24:A86 A88:A102 A127:A284 A286:A420 A425:A448 A461:A594 A104:A125">
    <cfRule type="duplicateValues" dxfId="712" priority="69"/>
  </conditionalFormatting>
  <conditionalFormatting sqref="A1:A3 A5:A22 A24:A86 A88:A102 A127:A284 A286:A420 A425:A448 A461:A594 A104:A125">
    <cfRule type="duplicateValues" dxfId="711" priority="65"/>
  </conditionalFormatting>
  <conditionalFormatting sqref="A1:A420 A425:A448 A461:A594">
    <cfRule type="duplicateValues" dxfId="710" priority="44"/>
  </conditionalFormatting>
  <conditionalFormatting sqref="A1:A448 A461:A594">
    <cfRule type="duplicateValues" dxfId="709" priority="42"/>
  </conditionalFormatting>
  <conditionalFormatting sqref="A1:A448 A461:A613">
    <cfRule type="duplicateValues" dxfId="708" priority="32"/>
  </conditionalFormatting>
  <conditionalFormatting sqref="A4">
    <cfRule type="duplicateValues" dxfId="707" priority="54"/>
  </conditionalFormatting>
  <conditionalFormatting sqref="A10:A12">
    <cfRule type="duplicateValues" dxfId="706" priority="168"/>
  </conditionalFormatting>
  <conditionalFormatting sqref="A13:A15">
    <cfRule type="duplicateValues" dxfId="705" priority="68"/>
  </conditionalFormatting>
  <conditionalFormatting sqref="A17">
    <cfRule type="duplicateValues" dxfId="704" priority="176"/>
  </conditionalFormatting>
  <conditionalFormatting sqref="A17:A19">
    <cfRule type="duplicateValues" dxfId="703" priority="171"/>
  </conditionalFormatting>
  <conditionalFormatting sqref="A18">
    <cfRule type="duplicateValues" dxfId="702" priority="175"/>
  </conditionalFormatting>
  <conditionalFormatting sqref="A19">
    <cfRule type="duplicateValues" dxfId="701" priority="174"/>
  </conditionalFormatting>
  <conditionalFormatting sqref="A23">
    <cfRule type="duplicateValues" dxfId="700" priority="57"/>
  </conditionalFormatting>
  <conditionalFormatting sqref="A29">
    <cfRule type="duplicateValues" dxfId="699" priority="245"/>
  </conditionalFormatting>
  <conditionalFormatting sqref="A30:A32">
    <cfRule type="duplicateValues" dxfId="698" priority="165"/>
  </conditionalFormatting>
  <conditionalFormatting sqref="A33:A35">
    <cfRule type="duplicateValues" dxfId="697" priority="162"/>
  </conditionalFormatting>
  <conditionalFormatting sqref="A44:A46">
    <cfRule type="duplicateValues" dxfId="696" priority="159"/>
  </conditionalFormatting>
  <conditionalFormatting sqref="A47">
    <cfRule type="duplicateValues" dxfId="695" priority="238"/>
  </conditionalFormatting>
  <conditionalFormatting sqref="A50">
    <cfRule type="duplicateValues" dxfId="694" priority="246"/>
  </conditionalFormatting>
  <conditionalFormatting sqref="A56:A58">
    <cfRule type="duplicateValues" dxfId="693" priority="156"/>
  </conditionalFormatting>
  <conditionalFormatting sqref="A76">
    <cfRule type="duplicateValues" dxfId="692" priority="244"/>
  </conditionalFormatting>
  <conditionalFormatting sqref="A77:A79">
    <cfRule type="duplicateValues" dxfId="691" priority="153"/>
  </conditionalFormatting>
  <conditionalFormatting sqref="A80:A82">
    <cfRule type="duplicateValues" dxfId="690" priority="150"/>
  </conditionalFormatting>
  <conditionalFormatting sqref="A87">
    <cfRule type="duplicateValues" dxfId="689" priority="48"/>
  </conditionalFormatting>
  <conditionalFormatting sqref="A94:A96">
    <cfRule type="duplicateValues" dxfId="688" priority="147"/>
  </conditionalFormatting>
  <conditionalFormatting sqref="A97:A99">
    <cfRule type="duplicateValues" dxfId="687" priority="144"/>
  </conditionalFormatting>
  <conditionalFormatting sqref="A103">
    <cfRule type="duplicateValues" dxfId="686" priority="51"/>
  </conditionalFormatting>
  <conditionalFormatting sqref="A110:A112">
    <cfRule type="duplicateValues" dxfId="685" priority="141"/>
  </conditionalFormatting>
  <conditionalFormatting sqref="A113:A115">
    <cfRule type="duplicateValues" dxfId="684" priority="138"/>
  </conditionalFormatting>
  <conditionalFormatting sqref="A126">
    <cfRule type="duplicateValues" dxfId="683" priority="60"/>
  </conditionalFormatting>
  <conditionalFormatting sqref="A132">
    <cfRule type="duplicateValues" dxfId="682" priority="243"/>
  </conditionalFormatting>
  <conditionalFormatting sqref="A133:A135">
    <cfRule type="duplicateValues" dxfId="681" priority="135"/>
  </conditionalFormatting>
  <conditionalFormatting sqref="A136:A138">
    <cfRule type="duplicateValues" dxfId="680" priority="132"/>
  </conditionalFormatting>
  <conditionalFormatting sqref="A150">
    <cfRule type="duplicateValues" dxfId="679" priority="242"/>
  </conditionalFormatting>
  <conditionalFormatting sqref="A151:A153">
    <cfRule type="duplicateValues" dxfId="678" priority="129"/>
  </conditionalFormatting>
  <conditionalFormatting sqref="A154:A156">
    <cfRule type="duplicateValues" dxfId="677" priority="126"/>
  </conditionalFormatting>
  <conditionalFormatting sqref="A167">
    <cfRule type="duplicateValues" dxfId="676" priority="241"/>
  </conditionalFormatting>
  <conditionalFormatting sqref="A168:A173">
    <cfRule type="duplicateValues" dxfId="675" priority="123"/>
  </conditionalFormatting>
  <conditionalFormatting sqref="A184">
    <cfRule type="duplicateValues" dxfId="674" priority="240"/>
  </conditionalFormatting>
  <conditionalFormatting sqref="A185:A190">
    <cfRule type="duplicateValues" dxfId="673" priority="120"/>
  </conditionalFormatting>
  <conditionalFormatting sqref="A197">
    <cfRule type="duplicateValues" dxfId="672" priority="255"/>
  </conditionalFormatting>
  <conditionalFormatting sqref="A198">
    <cfRule type="duplicateValues" dxfId="671" priority="262"/>
  </conditionalFormatting>
  <conditionalFormatting sqref="A199">
    <cfRule type="duplicateValues" dxfId="670" priority="256"/>
  </conditionalFormatting>
  <conditionalFormatting sqref="A200">
    <cfRule type="duplicateValues" dxfId="669" priority="261"/>
  </conditionalFormatting>
  <conditionalFormatting sqref="A201:A203">
    <cfRule type="duplicateValues" dxfId="668" priority="119"/>
  </conditionalFormatting>
  <conditionalFormatting sqref="A201:A207">
    <cfRule type="duplicateValues" dxfId="667" priority="113"/>
  </conditionalFormatting>
  <conditionalFormatting sqref="A204:A207">
    <cfRule type="duplicateValues" dxfId="666" priority="118"/>
  </conditionalFormatting>
  <conditionalFormatting sqref="A212:A213">
    <cfRule type="duplicateValues" dxfId="665" priority="268"/>
  </conditionalFormatting>
  <conditionalFormatting sqref="A214:A217">
    <cfRule type="duplicateValues" dxfId="664" priority="267"/>
  </conditionalFormatting>
  <conditionalFormatting sqref="A218:A219 A226:A227">
    <cfRule type="duplicateValues" dxfId="663" priority="266"/>
  </conditionalFormatting>
  <conditionalFormatting sqref="A220:A225">
    <cfRule type="duplicateValues" dxfId="662" priority="110"/>
  </conditionalFormatting>
  <conditionalFormatting sqref="A228:A231">
    <cfRule type="duplicateValues" dxfId="661" priority="265"/>
  </conditionalFormatting>
  <conditionalFormatting sqref="A232 A239:A243">
    <cfRule type="duplicateValues" dxfId="660" priority="264"/>
  </conditionalFormatting>
  <conditionalFormatting sqref="A233:A238">
    <cfRule type="duplicateValues" dxfId="659" priority="105"/>
  </conditionalFormatting>
  <conditionalFormatting sqref="A244">
    <cfRule type="duplicateValues" dxfId="658" priority="260"/>
  </conditionalFormatting>
  <conditionalFormatting sqref="A245">
    <cfRule type="duplicateValues" dxfId="657" priority="259"/>
  </conditionalFormatting>
  <conditionalFormatting sqref="A246">
    <cfRule type="duplicateValues" dxfId="656" priority="258"/>
  </conditionalFormatting>
  <conditionalFormatting sqref="A247">
    <cfRule type="duplicateValues" dxfId="655" priority="257"/>
  </conditionalFormatting>
  <conditionalFormatting sqref="A249">
    <cfRule type="duplicateValues" dxfId="654" priority="254"/>
  </conditionalFormatting>
  <conditionalFormatting sqref="A250:A252">
    <cfRule type="duplicateValues" dxfId="653" priority="102"/>
  </conditionalFormatting>
  <conditionalFormatting sqref="A253:A259">
    <cfRule type="duplicateValues" dxfId="652" priority="239"/>
  </conditionalFormatting>
  <conditionalFormatting sqref="A260:A262">
    <cfRule type="duplicateValues" dxfId="651" priority="101"/>
  </conditionalFormatting>
  <conditionalFormatting sqref="A263">
    <cfRule type="duplicateValues" dxfId="650" priority="263"/>
  </conditionalFormatting>
  <conditionalFormatting sqref="A271:A273">
    <cfRule type="duplicateValues" dxfId="649" priority="98"/>
  </conditionalFormatting>
  <conditionalFormatting sqref="A275:A277">
    <cfRule type="duplicateValues" dxfId="648" priority="95"/>
  </conditionalFormatting>
  <conditionalFormatting sqref="A284">
    <cfRule type="duplicateValues" dxfId="647" priority="270"/>
  </conditionalFormatting>
  <conditionalFormatting sqref="A285">
    <cfRule type="duplicateValues" dxfId="646" priority="45"/>
  </conditionalFormatting>
  <conditionalFormatting sqref="A291 A293:A296">
    <cfRule type="duplicateValues" dxfId="645" priority="92"/>
  </conditionalFormatting>
  <conditionalFormatting sqref="A291:A296">
    <cfRule type="duplicateValues" dxfId="644" priority="88"/>
  </conditionalFormatting>
  <conditionalFormatting sqref="A292">
    <cfRule type="duplicateValues" dxfId="643" priority="91"/>
  </conditionalFormatting>
  <conditionalFormatting sqref="A300">
    <cfRule type="duplicateValues" dxfId="642" priority="249"/>
  </conditionalFormatting>
  <conditionalFormatting sqref="A314:A316">
    <cfRule type="duplicateValues" dxfId="641" priority="85"/>
  </conditionalFormatting>
  <conditionalFormatting sqref="A329">
    <cfRule type="duplicateValues" dxfId="640" priority="253"/>
  </conditionalFormatting>
  <conditionalFormatting sqref="A332:A334">
    <cfRule type="duplicateValues" dxfId="639" priority="82"/>
  </conditionalFormatting>
  <conditionalFormatting sqref="A349:A351">
    <cfRule type="duplicateValues" dxfId="638" priority="79"/>
  </conditionalFormatting>
  <conditionalFormatting sqref="A362:A364">
    <cfRule type="duplicateValues" dxfId="637" priority="76"/>
  </conditionalFormatting>
  <conditionalFormatting sqref="A379:A381">
    <cfRule type="duplicateValues" dxfId="636" priority="73"/>
  </conditionalFormatting>
  <conditionalFormatting sqref="A384">
    <cfRule type="duplicateValues" dxfId="635" priority="248"/>
  </conditionalFormatting>
  <conditionalFormatting sqref="A392:A394">
    <cfRule type="duplicateValues" dxfId="634" priority="70"/>
  </conditionalFormatting>
  <conditionalFormatting sqref="A396">
    <cfRule type="duplicateValues" dxfId="633" priority="247"/>
  </conditionalFormatting>
  <conditionalFormatting sqref="A438:A441">
    <cfRule type="duplicateValues" dxfId="632" priority="250"/>
  </conditionalFormatting>
  <conditionalFormatting sqref="A449:A452 A457:A460">
    <cfRule type="duplicateValues" dxfId="631" priority="12"/>
  </conditionalFormatting>
  <conditionalFormatting sqref="A450:A452">
    <cfRule type="duplicateValues" dxfId="630" priority="13"/>
  </conditionalFormatting>
  <conditionalFormatting sqref="A453">
    <cfRule type="duplicateValues" dxfId="629" priority="6"/>
  </conditionalFormatting>
  <conditionalFormatting sqref="A453:A456">
    <cfRule type="duplicateValues" dxfId="628" priority="5"/>
  </conditionalFormatting>
  <conditionalFormatting sqref="A589:A593">
    <cfRule type="duplicateValues" dxfId="627" priority="234"/>
  </conditionalFormatting>
  <conditionalFormatting sqref="A608">
    <cfRule type="duplicateValues" dxfId="626" priority="40"/>
    <cfRule type="duplicateValues" dxfId="625" priority="41"/>
  </conditionalFormatting>
  <conditionalFormatting sqref="A609">
    <cfRule type="duplicateValues" dxfId="624" priority="34"/>
    <cfRule type="duplicateValues" dxfId="623" priority="36"/>
  </conditionalFormatting>
  <conditionalFormatting sqref="B1:C3 B5:C9 B36:C43 B16:C16 B20:C22 B59:C75 B24:C28 B51:C54 B48:C49 B83:C86 B88:C93 B100:C102 B104:C107 B120:C125 B127:C131 B116:C118 B157:C166 B174:C183 B191:C200 B226:C232 B239:C242 B208:C218 B263:C270 B139:C149 B278:C284 B286:C289 B312:C313 B317:C327 B301:C309 B297:C299 B385:C391 B397:C401 B395:C395 B382:C383 B329:C331 B335:C344 B346:C348 B352:C361 B374:C378 B365:C372">
    <cfRule type="duplicateValues" dxfId="622" priority="230"/>
    <cfRule type="duplicateValues" dxfId="621" priority="231"/>
  </conditionalFormatting>
  <conditionalFormatting sqref="B1:C448 B461:C594">
    <cfRule type="duplicateValues" dxfId="620" priority="43"/>
  </conditionalFormatting>
  <conditionalFormatting sqref="B4:C4">
    <cfRule type="duplicateValues" dxfId="619" priority="55"/>
    <cfRule type="duplicateValues" dxfId="618" priority="56"/>
  </conditionalFormatting>
  <conditionalFormatting sqref="B10:C10 B12:C12">
    <cfRule type="duplicateValues" dxfId="617" priority="169"/>
    <cfRule type="duplicateValues" dxfId="616" priority="170"/>
  </conditionalFormatting>
  <conditionalFormatting sqref="B13:C15">
    <cfRule type="duplicateValues" dxfId="615" priority="66"/>
    <cfRule type="duplicateValues" dxfId="614" priority="67"/>
  </conditionalFormatting>
  <conditionalFormatting sqref="B17:C17 B19:C19">
    <cfRule type="duplicateValues" dxfId="613" priority="172"/>
    <cfRule type="duplicateValues" dxfId="612" priority="173"/>
  </conditionalFormatting>
  <conditionalFormatting sqref="B23:C23">
    <cfRule type="duplicateValues" dxfId="611" priority="58"/>
    <cfRule type="duplicateValues" dxfId="610" priority="59"/>
  </conditionalFormatting>
  <conditionalFormatting sqref="B29:C29">
    <cfRule type="duplicateValues" dxfId="609" priority="192"/>
    <cfRule type="duplicateValues" dxfId="608" priority="193"/>
  </conditionalFormatting>
  <conditionalFormatting sqref="B30:C32">
    <cfRule type="duplicateValues" dxfId="607" priority="166"/>
    <cfRule type="duplicateValues" dxfId="606" priority="167"/>
  </conditionalFormatting>
  <conditionalFormatting sqref="B33:C35">
    <cfRule type="duplicateValues" dxfId="605" priority="163"/>
    <cfRule type="duplicateValues" dxfId="604" priority="164"/>
  </conditionalFormatting>
  <conditionalFormatting sqref="B44:C46">
    <cfRule type="duplicateValues" dxfId="603" priority="160"/>
    <cfRule type="duplicateValues" dxfId="602" priority="161"/>
  </conditionalFormatting>
  <conditionalFormatting sqref="B47:C47">
    <cfRule type="duplicateValues" dxfId="601" priority="178"/>
    <cfRule type="duplicateValues" dxfId="600" priority="179"/>
  </conditionalFormatting>
  <conditionalFormatting sqref="B50:C50">
    <cfRule type="duplicateValues" dxfId="599" priority="202"/>
    <cfRule type="duplicateValues" dxfId="598" priority="203"/>
  </conditionalFormatting>
  <conditionalFormatting sqref="B51:C51">
    <cfRule type="duplicateValues" dxfId="597" priority="233"/>
  </conditionalFormatting>
  <conditionalFormatting sqref="B55:C55">
    <cfRule type="duplicateValues" dxfId="596" priority="218"/>
    <cfRule type="duplicateValues" dxfId="595" priority="219"/>
  </conditionalFormatting>
  <conditionalFormatting sqref="B56:C58">
    <cfRule type="duplicateValues" dxfId="594" priority="157"/>
    <cfRule type="duplicateValues" dxfId="593" priority="158"/>
  </conditionalFormatting>
  <conditionalFormatting sqref="B76:C76">
    <cfRule type="duplicateValues" dxfId="592" priority="190"/>
    <cfRule type="duplicateValues" dxfId="591" priority="191"/>
  </conditionalFormatting>
  <conditionalFormatting sqref="B77:C79">
    <cfRule type="duplicateValues" dxfId="590" priority="154"/>
    <cfRule type="duplicateValues" dxfId="589" priority="155"/>
  </conditionalFormatting>
  <conditionalFormatting sqref="B80:C82">
    <cfRule type="duplicateValues" dxfId="588" priority="151"/>
    <cfRule type="duplicateValues" dxfId="587" priority="152"/>
  </conditionalFormatting>
  <conditionalFormatting sqref="B87:C87">
    <cfRule type="duplicateValues" dxfId="586" priority="49"/>
    <cfRule type="duplicateValues" dxfId="585" priority="50"/>
  </conditionalFormatting>
  <conditionalFormatting sqref="B94:C96">
    <cfRule type="duplicateValues" dxfId="584" priority="148"/>
    <cfRule type="duplicateValues" dxfId="583" priority="149"/>
  </conditionalFormatting>
  <conditionalFormatting sqref="B97:C99">
    <cfRule type="duplicateValues" dxfId="582" priority="145"/>
    <cfRule type="duplicateValues" dxfId="581" priority="146"/>
  </conditionalFormatting>
  <conditionalFormatting sqref="B103:C103">
    <cfRule type="duplicateValues" dxfId="580" priority="52"/>
    <cfRule type="duplicateValues" dxfId="579" priority="53"/>
  </conditionalFormatting>
  <conditionalFormatting sqref="B108:C108">
    <cfRule type="duplicateValues" dxfId="578" priority="216"/>
    <cfRule type="duplicateValues" dxfId="577" priority="217"/>
  </conditionalFormatting>
  <conditionalFormatting sqref="B109:C109">
    <cfRule type="duplicateValues" dxfId="576" priority="214"/>
    <cfRule type="duplicateValues" dxfId="575" priority="215"/>
  </conditionalFormatting>
  <conditionalFormatting sqref="B110:C112">
    <cfRule type="duplicateValues" dxfId="574" priority="142"/>
    <cfRule type="duplicateValues" dxfId="573" priority="143"/>
  </conditionalFormatting>
  <conditionalFormatting sqref="B113:C115">
    <cfRule type="duplicateValues" dxfId="572" priority="139"/>
    <cfRule type="duplicateValues" dxfId="571" priority="140"/>
  </conditionalFormatting>
  <conditionalFormatting sqref="B119:C119">
    <cfRule type="duplicateValues" dxfId="570" priority="180"/>
    <cfRule type="duplicateValues" dxfId="569" priority="181"/>
  </conditionalFormatting>
  <conditionalFormatting sqref="B126:C126">
    <cfRule type="duplicateValues" dxfId="568" priority="61"/>
    <cfRule type="duplicateValues" dxfId="567" priority="62"/>
  </conditionalFormatting>
  <conditionalFormatting sqref="B132:C132">
    <cfRule type="duplicateValues" dxfId="566" priority="188"/>
    <cfRule type="duplicateValues" dxfId="565" priority="189"/>
  </conditionalFormatting>
  <conditionalFormatting sqref="B133:C135">
    <cfRule type="duplicateValues" dxfId="564" priority="136"/>
    <cfRule type="duplicateValues" dxfId="563" priority="137"/>
  </conditionalFormatting>
  <conditionalFormatting sqref="B136:C138">
    <cfRule type="duplicateValues" dxfId="562" priority="133"/>
    <cfRule type="duplicateValues" dxfId="561" priority="134"/>
  </conditionalFormatting>
  <conditionalFormatting sqref="B150:C150">
    <cfRule type="duplicateValues" dxfId="560" priority="186"/>
    <cfRule type="duplicateValues" dxfId="559" priority="187"/>
  </conditionalFormatting>
  <conditionalFormatting sqref="B151:C153">
    <cfRule type="duplicateValues" dxfId="558" priority="130"/>
    <cfRule type="duplicateValues" dxfId="557" priority="131"/>
  </conditionalFormatting>
  <conditionalFormatting sqref="B154:C156">
    <cfRule type="duplicateValues" dxfId="556" priority="127"/>
    <cfRule type="duplicateValues" dxfId="555" priority="128"/>
  </conditionalFormatting>
  <conditionalFormatting sqref="B167:C167">
    <cfRule type="duplicateValues" dxfId="554" priority="184"/>
    <cfRule type="duplicateValues" dxfId="553" priority="185"/>
  </conditionalFormatting>
  <conditionalFormatting sqref="B168:C173">
    <cfRule type="duplicateValues" dxfId="552" priority="124"/>
    <cfRule type="duplicateValues" dxfId="551" priority="125"/>
  </conditionalFormatting>
  <conditionalFormatting sqref="B184:C184">
    <cfRule type="duplicateValues" dxfId="550" priority="182"/>
    <cfRule type="duplicateValues" dxfId="549" priority="183"/>
  </conditionalFormatting>
  <conditionalFormatting sqref="B185:C190">
    <cfRule type="duplicateValues" dxfId="548" priority="121"/>
    <cfRule type="duplicateValues" dxfId="547" priority="122"/>
  </conditionalFormatting>
  <conditionalFormatting sqref="B201:C203">
    <cfRule type="duplicateValues" dxfId="546" priority="116"/>
    <cfRule type="duplicateValues" dxfId="545" priority="117"/>
  </conditionalFormatting>
  <conditionalFormatting sqref="B204:C207">
    <cfRule type="duplicateValues" dxfId="544" priority="114"/>
    <cfRule type="duplicateValues" dxfId="543" priority="115"/>
  </conditionalFormatting>
  <conditionalFormatting sqref="B219:C219">
    <cfRule type="duplicateValues" dxfId="542" priority="212"/>
    <cfRule type="duplicateValues" dxfId="541" priority="213"/>
  </conditionalFormatting>
  <conditionalFormatting sqref="B220:C222">
    <cfRule type="duplicateValues" dxfId="540" priority="111"/>
    <cfRule type="duplicateValues" dxfId="539" priority="112"/>
  </conditionalFormatting>
  <conditionalFormatting sqref="B223:C225">
    <cfRule type="duplicateValues" dxfId="538" priority="108"/>
    <cfRule type="duplicateValues" dxfId="537" priority="109"/>
  </conditionalFormatting>
  <conditionalFormatting sqref="B233:C238">
    <cfRule type="duplicateValues" dxfId="536" priority="106"/>
    <cfRule type="duplicateValues" dxfId="535" priority="107"/>
  </conditionalFormatting>
  <conditionalFormatting sqref="B243:C243">
    <cfRule type="duplicateValues" dxfId="534" priority="224"/>
    <cfRule type="duplicateValues" dxfId="533" priority="225"/>
  </conditionalFormatting>
  <conditionalFormatting sqref="B244:C244">
    <cfRule type="duplicateValues" dxfId="532" priority="222"/>
    <cfRule type="duplicateValues" dxfId="531" priority="223"/>
  </conditionalFormatting>
  <conditionalFormatting sqref="B246:C246">
    <cfRule type="duplicateValues" dxfId="530" priority="220"/>
    <cfRule type="duplicateValues" dxfId="529" priority="221"/>
  </conditionalFormatting>
  <conditionalFormatting sqref="B248:C248">
    <cfRule type="duplicateValues" dxfId="528" priority="226"/>
    <cfRule type="duplicateValues" dxfId="527" priority="227"/>
  </conditionalFormatting>
  <conditionalFormatting sqref="B249:C249">
    <cfRule type="duplicateValues" dxfId="526" priority="228"/>
    <cfRule type="duplicateValues" dxfId="525" priority="229"/>
  </conditionalFormatting>
  <conditionalFormatting sqref="B250:C252">
    <cfRule type="duplicateValues" dxfId="524" priority="103"/>
    <cfRule type="duplicateValues" dxfId="523" priority="104"/>
  </conditionalFormatting>
  <conditionalFormatting sqref="B264:C267">
    <cfRule type="duplicateValues" dxfId="522" priority="232"/>
  </conditionalFormatting>
  <conditionalFormatting sqref="B271:C273">
    <cfRule type="duplicateValues" dxfId="521" priority="99"/>
    <cfRule type="duplicateValues" dxfId="520" priority="100"/>
  </conditionalFormatting>
  <conditionalFormatting sqref="B274:C274">
    <cfRule type="duplicateValues" dxfId="519" priority="210"/>
    <cfRule type="duplicateValues" dxfId="518" priority="211"/>
  </conditionalFormatting>
  <conditionalFormatting sqref="B275:C275">
    <cfRule type="duplicateValues" dxfId="517" priority="96"/>
    <cfRule type="duplicateValues" dxfId="516" priority="97"/>
  </conditionalFormatting>
  <conditionalFormatting sqref="B276:C277">
    <cfRule type="duplicateValues" dxfId="515" priority="93"/>
    <cfRule type="duplicateValues" dxfId="514" priority="94"/>
  </conditionalFormatting>
  <conditionalFormatting sqref="B285:C285">
    <cfRule type="duplicateValues" dxfId="513" priority="46"/>
    <cfRule type="duplicateValues" dxfId="512" priority="47"/>
  </conditionalFormatting>
  <conditionalFormatting sqref="B290:C290">
    <cfRule type="duplicateValues" dxfId="511" priority="200"/>
    <cfRule type="duplicateValues" dxfId="510" priority="201"/>
  </conditionalFormatting>
  <conditionalFormatting sqref="B291:C296">
    <cfRule type="duplicateValues" dxfId="509" priority="89"/>
    <cfRule type="duplicateValues" dxfId="508" priority="90"/>
  </conditionalFormatting>
  <conditionalFormatting sqref="B300:C300">
    <cfRule type="duplicateValues" dxfId="507" priority="208"/>
    <cfRule type="duplicateValues" dxfId="506" priority="209"/>
  </conditionalFormatting>
  <conditionalFormatting sqref="B310:C310">
    <cfRule type="duplicateValues" dxfId="505" priority="198"/>
    <cfRule type="duplicateValues" dxfId="504" priority="199"/>
  </conditionalFormatting>
  <conditionalFormatting sqref="B314:C316">
    <cfRule type="duplicateValues" dxfId="503" priority="86"/>
    <cfRule type="duplicateValues" dxfId="502" priority="87"/>
  </conditionalFormatting>
  <conditionalFormatting sqref="B328:C328">
    <cfRule type="duplicateValues" dxfId="501" priority="196"/>
    <cfRule type="duplicateValues" dxfId="500" priority="197"/>
  </conditionalFormatting>
  <conditionalFormatting sqref="B332:C334">
    <cfRule type="duplicateValues" dxfId="499" priority="83"/>
    <cfRule type="duplicateValues" dxfId="498" priority="84"/>
  </conditionalFormatting>
  <conditionalFormatting sqref="B345:C345">
    <cfRule type="duplicateValues" dxfId="497" priority="194"/>
    <cfRule type="duplicateValues" dxfId="496" priority="195"/>
  </conditionalFormatting>
  <conditionalFormatting sqref="B349:C351">
    <cfRule type="duplicateValues" dxfId="495" priority="80"/>
    <cfRule type="duplicateValues" dxfId="494" priority="81"/>
  </conditionalFormatting>
  <conditionalFormatting sqref="B363:C364">
    <cfRule type="duplicateValues" dxfId="493" priority="77"/>
    <cfRule type="duplicateValues" dxfId="492" priority="78"/>
  </conditionalFormatting>
  <conditionalFormatting sqref="B373:C373">
    <cfRule type="duplicateValues" dxfId="491" priority="63"/>
    <cfRule type="duplicateValues" dxfId="490" priority="64"/>
  </conditionalFormatting>
  <conditionalFormatting sqref="B379:C381">
    <cfRule type="duplicateValues" dxfId="489" priority="74"/>
    <cfRule type="duplicateValues" dxfId="488" priority="75"/>
  </conditionalFormatting>
  <conditionalFormatting sqref="B384:C384">
    <cfRule type="duplicateValues" dxfId="487" priority="206"/>
    <cfRule type="duplicateValues" dxfId="486" priority="207"/>
  </conditionalFormatting>
  <conditionalFormatting sqref="B392:C394">
    <cfRule type="duplicateValues" dxfId="485" priority="71"/>
    <cfRule type="duplicateValues" dxfId="484" priority="72"/>
  </conditionalFormatting>
  <conditionalFormatting sqref="B396:C396">
    <cfRule type="duplicateValues" dxfId="483" priority="204"/>
    <cfRule type="duplicateValues" dxfId="482" priority="205"/>
  </conditionalFormatting>
  <conditionalFormatting sqref="B449:C460">
    <cfRule type="duplicateValues" dxfId="481" priority="8"/>
  </conditionalFormatting>
  <conditionalFormatting sqref="B590:C590">
    <cfRule type="duplicateValues" dxfId="480" priority="177"/>
  </conditionalFormatting>
  <conditionalFormatting sqref="B608:C608">
    <cfRule type="duplicateValues" dxfId="479" priority="37"/>
    <cfRule type="duplicateValues" dxfId="478" priority="38"/>
    <cfRule type="duplicateValues" dxfId="477" priority="39"/>
  </conditionalFormatting>
  <conditionalFormatting sqref="B609:C609">
    <cfRule type="duplicateValues" dxfId="476" priority="33"/>
    <cfRule type="duplicateValues" dxfId="475" priority="35"/>
  </conditionalFormatting>
  <conditionalFormatting sqref="G29">
    <cfRule type="duplicateValues" dxfId="474" priority="235"/>
    <cfRule type="duplicateValues" dxfId="473" priority="236"/>
  </conditionalFormatting>
  <conditionalFormatting sqref="Y100">
    <cfRule type="duplicateValues" dxfId="472" priority="252"/>
  </conditionalFormatting>
  <pageMargins left="0.7" right="0.7" top="0.75" bottom="0.75" header="0.3" footer="0.3"/>
  <pageSetup paperSize="9" orientation="portrait" horizontalDpi="360" verticalDpi="36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AG613"/>
  <sheetViews>
    <sheetView workbookViewId="0">
      <pane xSplit="6" ySplit="1" topLeftCell="X589" activePane="bottomRight" state="frozenSplit"/>
      <selection pane="topRight"/>
      <selection pane="bottomLeft"/>
      <selection pane="bottomRight" activeCell="Z618" sqref="Z618"/>
    </sheetView>
  </sheetViews>
  <sheetFormatPr defaultColWidth="9" defaultRowHeight="13.5" x14ac:dyDescent="0.15"/>
  <cols>
    <col min="1" max="1" width="9.625" customWidth="1"/>
    <col min="2" max="3" width="52.875" customWidth="1"/>
    <col min="4" max="4" width="6.25" customWidth="1"/>
    <col min="5" max="5" width="5.5" customWidth="1"/>
    <col min="6" max="6" width="9.625" customWidth="1"/>
    <col min="7" max="7" width="45.5" customWidth="1"/>
    <col min="8" max="8" width="5.5" customWidth="1"/>
    <col min="9" max="9" width="7.625" customWidth="1"/>
    <col min="10" max="10" width="11.125" customWidth="1"/>
    <col min="11" max="11" width="6.125" customWidth="1"/>
    <col min="12" max="12" width="14.875" customWidth="1"/>
    <col min="13" max="13" width="13.125" customWidth="1"/>
    <col min="14" max="14" width="28.625" customWidth="1"/>
    <col min="15" max="17" width="6.125" customWidth="1"/>
    <col min="18" max="18" width="7.875" customWidth="1"/>
    <col min="19" max="20" width="6.125" customWidth="1"/>
    <col min="21" max="21" width="16.625" customWidth="1"/>
    <col min="22" max="22" width="12.5" customWidth="1"/>
    <col min="23" max="24" width="6.125" customWidth="1"/>
    <col min="25" max="25" width="6.75" customWidth="1"/>
    <col min="26" max="26" width="32.125" style="388" customWidth="1"/>
    <col min="27" max="27" width="9" style="388"/>
    <col min="28" max="28" width="12.375" customWidth="1"/>
    <col min="30" max="30" width="13.375" customWidth="1"/>
    <col min="33" max="33" width="9" style="390"/>
  </cols>
  <sheetData>
    <row r="1" spans="1:33" s="1" customFormat="1" ht="30" customHeight="1" x14ac:dyDescent="0.15">
      <c r="A1" s="11" t="s">
        <v>0</v>
      </c>
      <c r="B1" s="12" t="s">
        <v>1</v>
      </c>
      <c r="C1" s="12" t="s">
        <v>2</v>
      </c>
      <c r="D1" s="11" t="s">
        <v>3</v>
      </c>
      <c r="E1" s="11" t="s">
        <v>4</v>
      </c>
      <c r="F1" s="11" t="s">
        <v>5</v>
      </c>
      <c r="G1" s="11" t="s">
        <v>6</v>
      </c>
      <c r="H1" s="11"/>
      <c r="I1" s="11" t="s">
        <v>7</v>
      </c>
      <c r="J1" s="11" t="s">
        <v>8</v>
      </c>
      <c r="K1" s="11" t="s">
        <v>9</v>
      </c>
      <c r="L1" s="11" t="s">
        <v>10</v>
      </c>
      <c r="M1" s="11" t="s">
        <v>11</v>
      </c>
      <c r="N1" s="11" t="s">
        <v>12</v>
      </c>
      <c r="O1" s="11" t="s">
        <v>13</v>
      </c>
      <c r="P1" s="11" t="s">
        <v>14</v>
      </c>
      <c r="Q1" s="11" t="s">
        <v>15</v>
      </c>
      <c r="R1" s="22" t="s">
        <v>16</v>
      </c>
      <c r="S1" s="22" t="s">
        <v>17</v>
      </c>
      <c r="T1" s="11" t="s">
        <v>18</v>
      </c>
      <c r="U1" s="11" t="s">
        <v>19</v>
      </c>
      <c r="V1" s="11" t="s">
        <v>20</v>
      </c>
      <c r="W1" s="11" t="s">
        <v>21</v>
      </c>
      <c r="X1" s="11" t="s">
        <v>22</v>
      </c>
      <c r="Y1" s="11" t="s">
        <v>23</v>
      </c>
      <c r="Z1" s="388" t="s">
        <v>24</v>
      </c>
      <c r="AA1" s="388" t="s">
        <v>25</v>
      </c>
      <c r="AB1" s="11" t="s">
        <v>26</v>
      </c>
      <c r="AC1" s="11" t="s">
        <v>27</v>
      </c>
      <c r="AD1" s="197" t="s">
        <v>28</v>
      </c>
      <c r="AE1" s="197" t="s">
        <v>29</v>
      </c>
      <c r="AF1" s="1" t="s">
        <v>30</v>
      </c>
      <c r="AG1" s="401"/>
    </row>
    <row r="2" spans="1:33" x14ac:dyDescent="0.15">
      <c r="A2" s="118">
        <v>101001</v>
      </c>
      <c r="B2" s="17" t="s">
        <v>32</v>
      </c>
      <c r="C2" s="17" t="s">
        <v>32</v>
      </c>
      <c r="D2" s="118" t="s">
        <v>33</v>
      </c>
      <c r="E2" s="118">
        <v>1</v>
      </c>
      <c r="F2" s="118" t="s">
        <v>34</v>
      </c>
      <c r="G2" s="118"/>
      <c r="H2" s="118" t="s">
        <v>35</v>
      </c>
      <c r="I2" s="118">
        <v>1</v>
      </c>
      <c r="J2" s="118">
        <v>1</v>
      </c>
      <c r="K2" s="118">
        <v>1</v>
      </c>
      <c r="L2" s="118">
        <v>3</v>
      </c>
      <c r="M2" s="118" t="s">
        <v>36</v>
      </c>
      <c r="N2" s="118" t="s">
        <v>37</v>
      </c>
      <c r="O2" s="118">
        <v>50</v>
      </c>
      <c r="P2" s="118">
        <v>0.7</v>
      </c>
      <c r="Q2" s="118">
        <v>0</v>
      </c>
      <c r="R2" s="25">
        <v>1</v>
      </c>
      <c r="S2" s="25" t="b">
        <v>1</v>
      </c>
      <c r="T2" s="118">
        <v>13</v>
      </c>
      <c r="U2" s="118">
        <v>195</v>
      </c>
      <c r="V2" s="118">
        <v>260</v>
      </c>
      <c r="W2" s="118">
        <v>0</v>
      </c>
      <c r="X2" s="118">
        <v>1</v>
      </c>
      <c r="Y2" s="118" t="s">
        <v>38</v>
      </c>
      <c r="Z2" s="388" t="s">
        <v>2884</v>
      </c>
      <c r="AA2" s="388" t="s">
        <v>2884</v>
      </c>
      <c r="AB2" s="25" t="s">
        <v>41</v>
      </c>
      <c r="AC2" s="118">
        <v>100000</v>
      </c>
      <c r="AD2" s="197">
        <v>1</v>
      </c>
      <c r="AE2" s="197">
        <v>1</v>
      </c>
      <c r="AF2">
        <v>0</v>
      </c>
      <c r="AG2" s="402">
        <v>1</v>
      </c>
    </row>
    <row r="3" spans="1:33" x14ac:dyDescent="0.15">
      <c r="A3" s="118">
        <v>101002</v>
      </c>
      <c r="B3" s="17" t="s">
        <v>43</v>
      </c>
      <c r="C3" s="17" t="s">
        <v>43</v>
      </c>
      <c r="D3" s="118" t="s">
        <v>33</v>
      </c>
      <c r="E3" s="118">
        <v>1</v>
      </c>
      <c r="F3" s="118" t="s">
        <v>34</v>
      </c>
      <c r="G3" s="118"/>
      <c r="H3" s="118" t="s">
        <v>35</v>
      </c>
      <c r="I3" s="118">
        <v>1</v>
      </c>
      <c r="J3" s="118">
        <v>1</v>
      </c>
      <c r="K3" s="118">
        <v>1</v>
      </c>
      <c r="L3" s="118">
        <v>3</v>
      </c>
      <c r="M3" s="118" t="s">
        <v>44</v>
      </c>
      <c r="N3" s="118" t="s">
        <v>45</v>
      </c>
      <c r="O3" s="118">
        <v>50</v>
      </c>
      <c r="P3" s="118">
        <v>0.7</v>
      </c>
      <c r="Q3" s="118">
        <v>0</v>
      </c>
      <c r="R3" s="25">
        <v>1</v>
      </c>
      <c r="S3" s="25" t="b">
        <v>1</v>
      </c>
      <c r="T3" s="118">
        <v>26</v>
      </c>
      <c r="U3" s="118">
        <v>390</v>
      </c>
      <c r="V3" s="118">
        <v>520</v>
      </c>
      <c r="W3" s="118">
        <v>0</v>
      </c>
      <c r="X3" s="118">
        <v>2</v>
      </c>
      <c r="Y3" s="118" t="s">
        <v>38</v>
      </c>
      <c r="Z3" s="388" t="s">
        <v>2885</v>
      </c>
      <c r="AA3" s="388" t="s">
        <v>2885</v>
      </c>
      <c r="AB3" s="25" t="s">
        <v>48</v>
      </c>
      <c r="AC3" s="118">
        <v>300000</v>
      </c>
      <c r="AD3" s="197">
        <v>1</v>
      </c>
      <c r="AE3" s="197">
        <v>1</v>
      </c>
      <c r="AF3">
        <v>0</v>
      </c>
      <c r="AG3" s="402">
        <v>2</v>
      </c>
    </row>
    <row r="4" spans="1:33" x14ac:dyDescent="0.15">
      <c r="A4" s="119">
        <v>101302</v>
      </c>
      <c r="B4" s="114" t="s">
        <v>50</v>
      </c>
      <c r="C4" s="114" t="s">
        <v>50</v>
      </c>
      <c r="D4" s="119" t="s">
        <v>33</v>
      </c>
      <c r="E4" s="119">
        <v>1</v>
      </c>
      <c r="F4" s="119" t="s">
        <v>34</v>
      </c>
      <c r="G4" s="119"/>
      <c r="H4" s="119" t="s">
        <v>51</v>
      </c>
      <c r="I4" s="119">
        <v>1</v>
      </c>
      <c r="J4" s="118">
        <v>3</v>
      </c>
      <c r="K4" s="119">
        <v>0</v>
      </c>
      <c r="L4" s="119">
        <v>3</v>
      </c>
      <c r="M4" s="119" t="s">
        <v>52</v>
      </c>
      <c r="N4" s="118" t="s">
        <v>45</v>
      </c>
      <c r="O4" s="119">
        <v>50</v>
      </c>
      <c r="P4" s="119">
        <v>0.7</v>
      </c>
      <c r="Q4" s="119">
        <v>0</v>
      </c>
      <c r="R4" s="80">
        <v>1</v>
      </c>
      <c r="S4" s="80" t="b">
        <v>1</v>
      </c>
      <c r="T4" s="119">
        <v>26</v>
      </c>
      <c r="U4" s="118">
        <v>390</v>
      </c>
      <c r="V4" s="118">
        <v>520</v>
      </c>
      <c r="W4" s="119">
        <v>0</v>
      </c>
      <c r="X4" s="119">
        <v>2</v>
      </c>
      <c r="Y4" s="119" t="s">
        <v>38</v>
      </c>
      <c r="Z4" s="388" t="s">
        <v>2885</v>
      </c>
      <c r="AA4" s="388" t="s">
        <v>2885</v>
      </c>
      <c r="AB4" s="80" t="s">
        <v>48</v>
      </c>
      <c r="AC4" s="119">
        <v>300000</v>
      </c>
      <c r="AD4" s="92">
        <v>1</v>
      </c>
      <c r="AE4" s="92">
        <v>1</v>
      </c>
      <c r="AF4">
        <v>0</v>
      </c>
      <c r="AG4" s="403">
        <v>2</v>
      </c>
    </row>
    <row r="5" spans="1:33" x14ac:dyDescent="0.15">
      <c r="A5" s="118">
        <v>101003</v>
      </c>
      <c r="B5" s="17" t="s">
        <v>55</v>
      </c>
      <c r="C5" s="17" t="s">
        <v>55</v>
      </c>
      <c r="D5" s="118" t="s">
        <v>33</v>
      </c>
      <c r="E5" s="118">
        <v>1</v>
      </c>
      <c r="F5" s="118" t="s">
        <v>34</v>
      </c>
      <c r="G5" s="118"/>
      <c r="H5" s="118" t="s">
        <v>35</v>
      </c>
      <c r="I5" s="118">
        <v>1</v>
      </c>
      <c r="J5" s="118">
        <v>1</v>
      </c>
      <c r="K5" s="118">
        <v>1</v>
      </c>
      <c r="L5" s="118">
        <v>3</v>
      </c>
      <c r="M5" s="118" t="s">
        <v>56</v>
      </c>
      <c r="N5" s="118" t="s">
        <v>57</v>
      </c>
      <c r="O5" s="118">
        <v>50</v>
      </c>
      <c r="P5" s="118">
        <v>0.7</v>
      </c>
      <c r="Q5" s="118">
        <v>0</v>
      </c>
      <c r="R5" s="25">
        <v>1</v>
      </c>
      <c r="S5" s="25" t="b">
        <v>1</v>
      </c>
      <c r="T5" s="118">
        <v>39</v>
      </c>
      <c r="U5" s="118">
        <v>585</v>
      </c>
      <c r="V5" s="118">
        <v>780</v>
      </c>
      <c r="W5" s="118">
        <v>0</v>
      </c>
      <c r="X5" s="118">
        <v>3</v>
      </c>
      <c r="Y5" s="118" t="s">
        <v>38</v>
      </c>
      <c r="Z5" s="388" t="s">
        <v>2886</v>
      </c>
      <c r="AA5" s="388" t="s">
        <v>2886</v>
      </c>
      <c r="AB5" s="25" t="s">
        <v>60</v>
      </c>
      <c r="AC5" s="118">
        <v>300000</v>
      </c>
      <c r="AD5" s="197">
        <v>1</v>
      </c>
      <c r="AE5" s="197">
        <v>1</v>
      </c>
      <c r="AF5">
        <v>0</v>
      </c>
      <c r="AG5" s="402">
        <v>3</v>
      </c>
    </row>
    <row r="6" spans="1:33" x14ac:dyDescent="0.15">
      <c r="A6" s="118">
        <v>101004</v>
      </c>
      <c r="B6" s="17" t="s">
        <v>62</v>
      </c>
      <c r="C6" s="17" t="s">
        <v>62</v>
      </c>
      <c r="D6" s="118" t="s">
        <v>33</v>
      </c>
      <c r="E6" s="118">
        <v>1</v>
      </c>
      <c r="F6" s="118" t="s">
        <v>34</v>
      </c>
      <c r="G6" s="118"/>
      <c r="H6" s="118" t="s">
        <v>35</v>
      </c>
      <c r="I6" s="118">
        <v>1</v>
      </c>
      <c r="J6" s="118">
        <v>1</v>
      </c>
      <c r="K6" s="118">
        <v>1</v>
      </c>
      <c r="L6" s="118">
        <v>3</v>
      </c>
      <c r="M6" s="118" t="s">
        <v>63</v>
      </c>
      <c r="N6" s="118" t="s">
        <v>64</v>
      </c>
      <c r="O6" s="118">
        <v>50</v>
      </c>
      <c r="P6" s="118">
        <v>0.7</v>
      </c>
      <c r="Q6" s="118">
        <v>0</v>
      </c>
      <c r="R6" s="25">
        <v>1</v>
      </c>
      <c r="S6" s="25" t="b">
        <v>1</v>
      </c>
      <c r="T6" s="118">
        <v>52</v>
      </c>
      <c r="U6" s="118">
        <v>780</v>
      </c>
      <c r="V6" s="118">
        <v>1040</v>
      </c>
      <c r="W6" s="118">
        <v>0</v>
      </c>
      <c r="X6" s="118">
        <v>4</v>
      </c>
      <c r="Y6" s="118" t="s">
        <v>38</v>
      </c>
      <c r="Z6" s="388" t="s">
        <v>2887</v>
      </c>
      <c r="AA6" s="388" t="s">
        <v>2887</v>
      </c>
      <c r="AB6" s="25" t="s">
        <v>67</v>
      </c>
      <c r="AC6" s="118">
        <v>300000</v>
      </c>
      <c r="AD6" s="197">
        <v>1</v>
      </c>
      <c r="AE6" s="197">
        <v>1</v>
      </c>
      <c r="AF6">
        <v>0</v>
      </c>
      <c r="AG6" s="402">
        <v>4</v>
      </c>
    </row>
    <row r="7" spans="1:33" x14ac:dyDescent="0.15">
      <c r="A7" s="118">
        <v>101005</v>
      </c>
      <c r="B7" s="17" t="s">
        <v>69</v>
      </c>
      <c r="C7" s="17" t="s">
        <v>69</v>
      </c>
      <c r="D7" s="118" t="s">
        <v>33</v>
      </c>
      <c r="E7" s="118">
        <v>1</v>
      </c>
      <c r="F7" s="118" t="s">
        <v>34</v>
      </c>
      <c r="G7" s="118"/>
      <c r="H7" s="118" t="s">
        <v>35</v>
      </c>
      <c r="I7" s="118">
        <v>1</v>
      </c>
      <c r="J7" s="118">
        <v>1</v>
      </c>
      <c r="K7" s="118">
        <v>1</v>
      </c>
      <c r="L7" s="118">
        <v>3</v>
      </c>
      <c r="M7" s="118" t="s">
        <v>70</v>
      </c>
      <c r="N7" s="118" t="s">
        <v>71</v>
      </c>
      <c r="O7" s="118">
        <v>50</v>
      </c>
      <c r="P7" s="118">
        <v>0.7</v>
      </c>
      <c r="Q7" s="118">
        <v>0</v>
      </c>
      <c r="R7" s="25">
        <v>1</v>
      </c>
      <c r="S7" s="25" t="b">
        <v>1</v>
      </c>
      <c r="T7" s="118">
        <v>65</v>
      </c>
      <c r="U7" s="118">
        <v>975</v>
      </c>
      <c r="V7" s="118">
        <v>1300</v>
      </c>
      <c r="W7" s="118">
        <v>0</v>
      </c>
      <c r="X7" s="118">
        <v>5</v>
      </c>
      <c r="Y7" s="118" t="s">
        <v>38</v>
      </c>
      <c r="Z7" s="388" t="s">
        <v>2888</v>
      </c>
      <c r="AA7" s="388" t="s">
        <v>2888</v>
      </c>
      <c r="AB7" s="118" t="s">
        <v>74</v>
      </c>
      <c r="AC7" s="118">
        <v>100000</v>
      </c>
      <c r="AD7" s="197">
        <v>1</v>
      </c>
      <c r="AE7" s="197">
        <v>1</v>
      </c>
      <c r="AF7">
        <v>0</v>
      </c>
      <c r="AG7" s="402">
        <v>5</v>
      </c>
    </row>
    <row r="8" spans="1:33" x14ac:dyDescent="0.15">
      <c r="A8" s="118">
        <v>101006</v>
      </c>
      <c r="B8" s="17" t="s">
        <v>76</v>
      </c>
      <c r="C8" s="17" t="s">
        <v>76</v>
      </c>
      <c r="D8" s="118" t="s">
        <v>33</v>
      </c>
      <c r="E8" s="118">
        <v>1</v>
      </c>
      <c r="F8" s="118" t="s">
        <v>34</v>
      </c>
      <c r="G8" s="118"/>
      <c r="H8" s="118" t="s">
        <v>35</v>
      </c>
      <c r="I8" s="118">
        <v>1</v>
      </c>
      <c r="J8" s="118">
        <v>1</v>
      </c>
      <c r="K8" s="118">
        <v>1</v>
      </c>
      <c r="L8" s="118">
        <v>3</v>
      </c>
      <c r="M8" s="118" t="s">
        <v>70</v>
      </c>
      <c r="N8" s="118" t="s">
        <v>77</v>
      </c>
      <c r="O8" s="118">
        <v>50</v>
      </c>
      <c r="P8" s="118">
        <v>0.7</v>
      </c>
      <c r="Q8" s="118">
        <v>0</v>
      </c>
      <c r="R8" s="25">
        <v>1</v>
      </c>
      <c r="S8" s="25" t="b">
        <v>1</v>
      </c>
      <c r="T8" s="118">
        <v>78</v>
      </c>
      <c r="U8" s="118">
        <v>1170</v>
      </c>
      <c r="V8" s="118">
        <v>1560</v>
      </c>
      <c r="W8" s="118">
        <v>0</v>
      </c>
      <c r="X8" s="118">
        <v>6</v>
      </c>
      <c r="Y8" s="118" t="s">
        <v>38</v>
      </c>
      <c r="Z8" s="388" t="s">
        <v>2889</v>
      </c>
      <c r="AA8" s="388" t="s">
        <v>2889</v>
      </c>
      <c r="AB8" s="118" t="s">
        <v>80</v>
      </c>
      <c r="AC8" s="118">
        <v>100000</v>
      </c>
      <c r="AD8" s="197">
        <v>1</v>
      </c>
      <c r="AE8" s="197">
        <v>1</v>
      </c>
      <c r="AF8">
        <v>0</v>
      </c>
      <c r="AG8" s="402">
        <v>6</v>
      </c>
    </row>
    <row r="9" spans="1:33" x14ac:dyDescent="0.15">
      <c r="A9" s="118">
        <v>101007</v>
      </c>
      <c r="B9" s="21" t="s">
        <v>82</v>
      </c>
      <c r="C9" s="21" t="s">
        <v>82</v>
      </c>
      <c r="D9" s="118" t="s">
        <v>33</v>
      </c>
      <c r="E9" s="118">
        <v>1</v>
      </c>
      <c r="F9" s="118" t="s">
        <v>34</v>
      </c>
      <c r="G9" s="118"/>
      <c r="H9" s="118" t="s">
        <v>35</v>
      </c>
      <c r="I9" s="118">
        <v>1</v>
      </c>
      <c r="J9" s="118">
        <v>1</v>
      </c>
      <c r="K9" s="118">
        <v>1</v>
      </c>
      <c r="L9" s="118">
        <v>3</v>
      </c>
      <c r="M9" s="118" t="s">
        <v>70</v>
      </c>
      <c r="N9" s="118" t="s">
        <v>83</v>
      </c>
      <c r="O9" s="118">
        <v>50</v>
      </c>
      <c r="P9" s="118">
        <v>0.7</v>
      </c>
      <c r="Q9" s="118">
        <v>0</v>
      </c>
      <c r="R9" s="25">
        <v>1</v>
      </c>
      <c r="S9" s="25" t="b">
        <v>1</v>
      </c>
      <c r="T9" s="118">
        <v>91</v>
      </c>
      <c r="U9" s="118">
        <v>1365</v>
      </c>
      <c r="V9" s="118">
        <v>1820</v>
      </c>
      <c r="W9" s="118">
        <v>0</v>
      </c>
      <c r="X9" s="118">
        <v>7</v>
      </c>
      <c r="Y9" s="118" t="s">
        <v>38</v>
      </c>
      <c r="Z9" s="388" t="s">
        <v>2890</v>
      </c>
      <c r="AA9" s="388" t="s">
        <v>2890</v>
      </c>
      <c r="AB9" s="118" t="s">
        <v>86</v>
      </c>
      <c r="AC9" s="118">
        <v>100000</v>
      </c>
      <c r="AD9" s="197">
        <v>1</v>
      </c>
      <c r="AE9" s="197">
        <v>1</v>
      </c>
      <c r="AF9">
        <v>0</v>
      </c>
      <c r="AG9" s="402">
        <v>7</v>
      </c>
    </row>
    <row r="10" spans="1:33" x14ac:dyDescent="0.15">
      <c r="A10" s="17">
        <v>101008</v>
      </c>
      <c r="B10" s="17" t="s">
        <v>88</v>
      </c>
      <c r="C10" s="17" t="s">
        <v>88</v>
      </c>
      <c r="D10" s="118" t="s">
        <v>33</v>
      </c>
      <c r="E10" s="118">
        <v>1</v>
      </c>
      <c r="F10" s="118" t="s">
        <v>34</v>
      </c>
      <c r="G10" s="118"/>
      <c r="H10" s="17" t="s">
        <v>35</v>
      </c>
      <c r="I10" s="118">
        <v>1</v>
      </c>
      <c r="J10" s="118">
        <v>1</v>
      </c>
      <c r="K10" s="118">
        <v>1</v>
      </c>
      <c r="L10" s="118">
        <v>3</v>
      </c>
      <c r="M10" s="118" t="s">
        <v>70</v>
      </c>
      <c r="N10" s="118" t="s">
        <v>89</v>
      </c>
      <c r="O10" s="118">
        <v>50</v>
      </c>
      <c r="P10" s="118">
        <v>0.7</v>
      </c>
      <c r="Q10" s="118">
        <v>0</v>
      </c>
      <c r="R10" s="25">
        <v>1</v>
      </c>
      <c r="S10" s="25" t="b">
        <v>1</v>
      </c>
      <c r="T10" s="118">
        <v>104</v>
      </c>
      <c r="U10" s="118">
        <v>1560</v>
      </c>
      <c r="V10" s="118">
        <v>2080</v>
      </c>
      <c r="W10" s="118">
        <v>0</v>
      </c>
      <c r="X10" s="118">
        <v>8</v>
      </c>
      <c r="Y10" s="118" t="s">
        <v>38</v>
      </c>
      <c r="Z10" s="388" t="s">
        <v>2891</v>
      </c>
      <c r="AA10" s="388" t="s">
        <v>2891</v>
      </c>
      <c r="AB10" s="118" t="s">
        <v>92</v>
      </c>
      <c r="AC10" s="118">
        <v>100000</v>
      </c>
      <c r="AD10" s="191">
        <v>1</v>
      </c>
      <c r="AE10" s="191">
        <v>1</v>
      </c>
      <c r="AF10">
        <v>0</v>
      </c>
      <c r="AG10" s="402">
        <v>8</v>
      </c>
    </row>
    <row r="11" spans="1:33" x14ac:dyDescent="0.15">
      <c r="A11" s="17">
        <v>101009</v>
      </c>
      <c r="B11" t="s">
        <v>94</v>
      </c>
      <c r="C11" t="s">
        <v>94</v>
      </c>
      <c r="D11" s="118" t="s">
        <v>33</v>
      </c>
      <c r="E11" s="118">
        <v>1</v>
      </c>
      <c r="F11" s="118" t="s">
        <v>34</v>
      </c>
      <c r="G11" s="118"/>
      <c r="H11" s="17" t="s">
        <v>35</v>
      </c>
      <c r="I11" s="118">
        <v>1</v>
      </c>
      <c r="J11" s="118">
        <v>1</v>
      </c>
      <c r="K11" s="118">
        <v>1</v>
      </c>
      <c r="L11" s="118">
        <v>3</v>
      </c>
      <c r="M11" s="118" t="s">
        <v>70</v>
      </c>
      <c r="N11" s="118" t="s">
        <v>95</v>
      </c>
      <c r="O11" s="118">
        <v>50</v>
      </c>
      <c r="P11" s="118">
        <v>0.7</v>
      </c>
      <c r="Q11" s="118">
        <v>0</v>
      </c>
      <c r="R11" s="25">
        <v>1</v>
      </c>
      <c r="S11" s="25" t="b">
        <v>1</v>
      </c>
      <c r="T11" s="118">
        <v>117</v>
      </c>
      <c r="U11" s="118">
        <v>1755</v>
      </c>
      <c r="V11" s="118">
        <v>2340</v>
      </c>
      <c r="W11" s="118">
        <v>0</v>
      </c>
      <c r="X11" s="118">
        <v>9</v>
      </c>
      <c r="Y11" s="118" t="s">
        <v>38</v>
      </c>
      <c r="Z11" s="388" t="s">
        <v>2892</v>
      </c>
      <c r="AA11" s="388" t="s">
        <v>2892</v>
      </c>
      <c r="AB11" s="118" t="s">
        <v>98</v>
      </c>
      <c r="AC11" s="118">
        <v>100000</v>
      </c>
      <c r="AD11" s="191">
        <v>1</v>
      </c>
      <c r="AE11" s="191">
        <v>1</v>
      </c>
      <c r="AF11">
        <v>0</v>
      </c>
      <c r="AG11" s="402">
        <v>9</v>
      </c>
    </row>
    <row r="12" spans="1:33" x14ac:dyDescent="0.15">
      <c r="A12" s="17">
        <v>101010</v>
      </c>
      <c r="B12" s="17" t="s">
        <v>100</v>
      </c>
      <c r="C12" s="17" t="s">
        <v>100</v>
      </c>
      <c r="D12" s="118" t="s">
        <v>33</v>
      </c>
      <c r="E12" s="118">
        <v>1</v>
      </c>
      <c r="F12" s="118" t="s">
        <v>34</v>
      </c>
      <c r="G12" s="118"/>
      <c r="H12" s="17" t="s">
        <v>35</v>
      </c>
      <c r="I12" s="118">
        <v>1</v>
      </c>
      <c r="J12" s="118">
        <v>1</v>
      </c>
      <c r="K12" s="118">
        <v>1</v>
      </c>
      <c r="L12" s="118">
        <v>3</v>
      </c>
      <c r="M12" s="118" t="s">
        <v>70</v>
      </c>
      <c r="N12" s="118" t="s">
        <v>101</v>
      </c>
      <c r="O12" s="118">
        <v>50</v>
      </c>
      <c r="P12" s="118">
        <v>0.7</v>
      </c>
      <c r="Q12" s="118">
        <v>0</v>
      </c>
      <c r="R12" s="25">
        <v>1</v>
      </c>
      <c r="S12" s="25" t="b">
        <v>1</v>
      </c>
      <c r="T12" s="118">
        <v>130</v>
      </c>
      <c r="U12" s="118">
        <v>1950</v>
      </c>
      <c r="V12" s="118">
        <v>2600</v>
      </c>
      <c r="W12" s="118">
        <v>0</v>
      </c>
      <c r="X12" s="118">
        <v>10</v>
      </c>
      <c r="Y12" s="118" t="s">
        <v>38</v>
      </c>
      <c r="Z12" s="388" t="s">
        <v>2893</v>
      </c>
      <c r="AA12" s="388" t="s">
        <v>2893</v>
      </c>
      <c r="AB12" s="118" t="s">
        <v>104</v>
      </c>
      <c r="AC12" s="118">
        <v>100000</v>
      </c>
      <c r="AD12" s="191">
        <v>1</v>
      </c>
      <c r="AE12" s="191">
        <v>1</v>
      </c>
      <c r="AF12">
        <v>0</v>
      </c>
      <c r="AG12" s="402">
        <v>10</v>
      </c>
    </row>
    <row r="13" spans="1:33" x14ac:dyDescent="0.15">
      <c r="A13" s="84">
        <v>101202</v>
      </c>
      <c r="B13" s="105" t="s">
        <v>106</v>
      </c>
      <c r="C13" s="105" t="s">
        <v>106</v>
      </c>
      <c r="D13" s="84" t="s">
        <v>33</v>
      </c>
      <c r="E13" s="84">
        <v>1</v>
      </c>
      <c r="F13" s="84" t="s">
        <v>34</v>
      </c>
      <c r="G13" s="84"/>
      <c r="H13" s="84" t="s">
        <v>107</v>
      </c>
      <c r="I13" s="84">
        <v>4</v>
      </c>
      <c r="J13" s="118">
        <v>4</v>
      </c>
      <c r="K13" s="84">
        <v>0</v>
      </c>
      <c r="L13" s="84">
        <v>3</v>
      </c>
      <c r="M13" s="84">
        <v>4</v>
      </c>
      <c r="N13" s="118" t="s">
        <v>45</v>
      </c>
      <c r="O13" s="84">
        <v>50</v>
      </c>
      <c r="P13" s="84">
        <v>0.7</v>
      </c>
      <c r="Q13" s="84">
        <v>0</v>
      </c>
      <c r="R13" s="43">
        <v>1</v>
      </c>
      <c r="S13" s="43" t="b">
        <v>1</v>
      </c>
      <c r="T13" s="84">
        <v>26</v>
      </c>
      <c r="U13" s="118">
        <v>390</v>
      </c>
      <c r="V13" s="118">
        <v>520</v>
      </c>
      <c r="W13" s="84">
        <v>0</v>
      </c>
      <c r="X13" s="84">
        <v>2</v>
      </c>
      <c r="Y13" s="84" t="s">
        <v>38</v>
      </c>
      <c r="Z13" s="388" t="s">
        <v>2894</v>
      </c>
      <c r="AA13" s="388" t="s">
        <v>2894</v>
      </c>
      <c r="AB13" s="43" t="s">
        <v>48</v>
      </c>
      <c r="AC13" s="84">
        <v>100000</v>
      </c>
      <c r="AD13" s="197">
        <v>1</v>
      </c>
      <c r="AE13" s="197">
        <v>1</v>
      </c>
      <c r="AF13">
        <v>0</v>
      </c>
      <c r="AG13" s="404">
        <v>2</v>
      </c>
    </row>
    <row r="14" spans="1:33" x14ac:dyDescent="0.15">
      <c r="A14" s="391">
        <v>101203</v>
      </c>
      <c r="B14" s="392" t="s">
        <v>111</v>
      </c>
      <c r="C14" s="392" t="s">
        <v>111</v>
      </c>
      <c r="D14" s="391" t="s">
        <v>33</v>
      </c>
      <c r="E14" s="391">
        <v>1</v>
      </c>
      <c r="F14" s="391" t="s">
        <v>34</v>
      </c>
      <c r="G14" s="391"/>
      <c r="H14" s="391" t="s">
        <v>112</v>
      </c>
      <c r="I14" s="391">
        <v>4</v>
      </c>
      <c r="J14" s="118">
        <v>4</v>
      </c>
      <c r="K14" s="391">
        <v>0</v>
      </c>
      <c r="L14" s="391">
        <v>3</v>
      </c>
      <c r="M14" s="391">
        <v>4</v>
      </c>
      <c r="N14" s="118" t="s">
        <v>57</v>
      </c>
      <c r="O14" s="391">
        <v>50</v>
      </c>
      <c r="P14" s="391">
        <v>0.7</v>
      </c>
      <c r="Q14" s="391">
        <v>0</v>
      </c>
      <c r="R14" s="397">
        <v>1</v>
      </c>
      <c r="S14" s="397" t="b">
        <v>1</v>
      </c>
      <c r="T14" s="391">
        <v>39</v>
      </c>
      <c r="U14" s="118">
        <v>585</v>
      </c>
      <c r="V14" s="118">
        <v>780</v>
      </c>
      <c r="W14" s="391">
        <v>0</v>
      </c>
      <c r="X14" s="391">
        <v>3</v>
      </c>
      <c r="Y14" s="391" t="s">
        <v>38</v>
      </c>
      <c r="Z14" s="388" t="s">
        <v>2895</v>
      </c>
      <c r="AA14" s="388" t="s">
        <v>2895</v>
      </c>
      <c r="AB14" s="397" t="s">
        <v>60</v>
      </c>
      <c r="AC14" s="391">
        <v>100000</v>
      </c>
      <c r="AD14" s="197">
        <v>1</v>
      </c>
      <c r="AE14" s="197">
        <v>1</v>
      </c>
      <c r="AF14">
        <v>0</v>
      </c>
      <c r="AG14" s="405">
        <v>3</v>
      </c>
    </row>
    <row r="15" spans="1:33" x14ac:dyDescent="0.15">
      <c r="A15" s="391">
        <v>101204</v>
      </c>
      <c r="B15" s="392" t="s">
        <v>116</v>
      </c>
      <c r="C15" s="392" t="s">
        <v>116</v>
      </c>
      <c r="D15" s="391" t="s">
        <v>33</v>
      </c>
      <c r="E15" s="391">
        <v>1</v>
      </c>
      <c r="F15" s="391" t="s">
        <v>34</v>
      </c>
      <c r="G15" s="391"/>
      <c r="H15" s="391" t="s">
        <v>112</v>
      </c>
      <c r="I15" s="391">
        <v>5</v>
      </c>
      <c r="J15" s="118">
        <v>5</v>
      </c>
      <c r="K15" s="391">
        <v>0</v>
      </c>
      <c r="L15" s="391">
        <v>3</v>
      </c>
      <c r="M15" s="391">
        <v>5</v>
      </c>
      <c r="N15" s="118" t="s">
        <v>64</v>
      </c>
      <c r="O15" s="391">
        <v>50</v>
      </c>
      <c r="P15" s="391">
        <v>0.7</v>
      </c>
      <c r="Q15" s="391">
        <v>0</v>
      </c>
      <c r="R15" s="397">
        <v>1</v>
      </c>
      <c r="S15" s="397" t="b">
        <v>1</v>
      </c>
      <c r="T15" s="391">
        <v>52</v>
      </c>
      <c r="U15" s="118">
        <v>780</v>
      </c>
      <c r="V15" s="118">
        <v>1040</v>
      </c>
      <c r="W15" s="391">
        <v>0</v>
      </c>
      <c r="X15" s="391">
        <v>4</v>
      </c>
      <c r="Y15" s="391" t="s">
        <v>38</v>
      </c>
      <c r="Z15" s="388" t="s">
        <v>2896</v>
      </c>
      <c r="AA15" s="388" t="s">
        <v>2896</v>
      </c>
      <c r="AB15" s="397" t="s">
        <v>119</v>
      </c>
      <c r="AC15" s="391">
        <v>100000</v>
      </c>
      <c r="AD15" s="197">
        <v>1</v>
      </c>
      <c r="AE15" s="197">
        <v>1</v>
      </c>
      <c r="AF15">
        <v>0</v>
      </c>
      <c r="AG15" s="405">
        <v>4</v>
      </c>
    </row>
    <row r="16" spans="1:33" x14ac:dyDescent="0.15">
      <c r="A16" s="119">
        <v>101307</v>
      </c>
      <c r="B16" s="114" t="s">
        <v>121</v>
      </c>
      <c r="C16" s="114" t="s">
        <v>121</v>
      </c>
      <c r="D16" s="119" t="s">
        <v>33</v>
      </c>
      <c r="E16" s="119">
        <v>1</v>
      </c>
      <c r="F16" s="119" t="s">
        <v>34</v>
      </c>
      <c r="G16" s="119"/>
      <c r="H16" s="119" t="s">
        <v>51</v>
      </c>
      <c r="I16" s="119">
        <v>1</v>
      </c>
      <c r="J16" s="118">
        <v>4</v>
      </c>
      <c r="K16" s="119">
        <v>0</v>
      </c>
      <c r="L16" s="119">
        <v>3</v>
      </c>
      <c r="M16" s="119" t="s">
        <v>52</v>
      </c>
      <c r="N16" s="118" t="s">
        <v>83</v>
      </c>
      <c r="O16" s="119">
        <v>50</v>
      </c>
      <c r="P16" s="119">
        <v>0.7</v>
      </c>
      <c r="Q16" s="119">
        <v>0</v>
      </c>
      <c r="R16" s="80">
        <v>1</v>
      </c>
      <c r="S16" s="80" t="b">
        <v>1</v>
      </c>
      <c r="T16" s="119">
        <v>91</v>
      </c>
      <c r="U16" s="118">
        <v>1365</v>
      </c>
      <c r="V16" s="118">
        <v>1820</v>
      </c>
      <c r="W16" s="119">
        <v>0</v>
      </c>
      <c r="X16" s="119">
        <v>7</v>
      </c>
      <c r="Y16" s="119" t="s">
        <v>38</v>
      </c>
      <c r="Z16" s="388" t="s">
        <v>2890</v>
      </c>
      <c r="AA16" s="388" t="s">
        <v>2890</v>
      </c>
      <c r="AB16" s="119" t="s">
        <v>86</v>
      </c>
      <c r="AC16" s="119">
        <v>100000</v>
      </c>
      <c r="AD16" s="197">
        <v>1</v>
      </c>
      <c r="AE16" s="197">
        <v>1</v>
      </c>
      <c r="AF16">
        <v>0</v>
      </c>
      <c r="AG16" s="403">
        <v>7</v>
      </c>
    </row>
    <row r="17" spans="1:33" x14ac:dyDescent="0.15">
      <c r="A17" s="119">
        <v>101208</v>
      </c>
      <c r="B17" s="114" t="s">
        <v>124</v>
      </c>
      <c r="C17" s="114" t="s">
        <v>124</v>
      </c>
      <c r="D17" s="119" t="s">
        <v>33</v>
      </c>
      <c r="E17" s="119">
        <v>1</v>
      </c>
      <c r="F17" s="119" t="s">
        <v>34</v>
      </c>
      <c r="G17" s="119"/>
      <c r="H17" s="119" t="s">
        <v>51</v>
      </c>
      <c r="I17" s="119">
        <v>1</v>
      </c>
      <c r="J17" s="118">
        <v>4</v>
      </c>
      <c r="K17" s="119">
        <v>0</v>
      </c>
      <c r="L17" s="119">
        <v>3</v>
      </c>
      <c r="M17" s="119" t="s">
        <v>52</v>
      </c>
      <c r="N17" s="118" t="s">
        <v>89</v>
      </c>
      <c r="O17" s="119">
        <v>50</v>
      </c>
      <c r="P17" s="119">
        <v>0.7</v>
      </c>
      <c r="Q17" s="119">
        <v>0</v>
      </c>
      <c r="R17" s="80">
        <v>1</v>
      </c>
      <c r="S17" s="80" t="b">
        <v>1</v>
      </c>
      <c r="T17" s="119">
        <v>104</v>
      </c>
      <c r="U17" s="118">
        <v>1560</v>
      </c>
      <c r="V17" s="118">
        <v>2080</v>
      </c>
      <c r="W17" s="119">
        <v>0</v>
      </c>
      <c r="X17" s="119">
        <v>8</v>
      </c>
      <c r="Y17" s="119" t="s">
        <v>38</v>
      </c>
      <c r="Z17" s="388" t="s">
        <v>2891</v>
      </c>
      <c r="AA17" s="388" t="s">
        <v>2891</v>
      </c>
      <c r="AB17" s="119" t="s">
        <v>92</v>
      </c>
      <c r="AC17" s="119">
        <v>100000</v>
      </c>
      <c r="AD17" s="197">
        <v>1</v>
      </c>
      <c r="AE17" s="197">
        <v>1</v>
      </c>
      <c r="AF17">
        <v>0</v>
      </c>
      <c r="AG17" s="403">
        <v>8</v>
      </c>
    </row>
    <row r="18" spans="1:33" x14ac:dyDescent="0.15">
      <c r="A18" s="119">
        <v>101209</v>
      </c>
      <c r="B18" s="9" t="s">
        <v>127</v>
      </c>
      <c r="C18" s="9" t="s">
        <v>127</v>
      </c>
      <c r="D18" s="119" t="s">
        <v>33</v>
      </c>
      <c r="E18" s="119">
        <v>1</v>
      </c>
      <c r="F18" s="119" t="s">
        <v>34</v>
      </c>
      <c r="G18" s="119"/>
      <c r="H18" s="119" t="s">
        <v>51</v>
      </c>
      <c r="I18" s="119">
        <v>1</v>
      </c>
      <c r="J18" s="118">
        <v>4</v>
      </c>
      <c r="K18" s="119">
        <v>0</v>
      </c>
      <c r="L18" s="119">
        <v>3</v>
      </c>
      <c r="M18" s="119" t="s">
        <v>52</v>
      </c>
      <c r="N18" s="118" t="s">
        <v>95</v>
      </c>
      <c r="O18" s="119">
        <v>50</v>
      </c>
      <c r="P18" s="119">
        <v>0.7</v>
      </c>
      <c r="Q18" s="119">
        <v>0</v>
      </c>
      <c r="R18" s="80">
        <v>1</v>
      </c>
      <c r="S18" s="80" t="b">
        <v>1</v>
      </c>
      <c r="T18" s="119">
        <v>117</v>
      </c>
      <c r="U18" s="118">
        <v>1755</v>
      </c>
      <c r="V18" s="118">
        <v>2340</v>
      </c>
      <c r="W18" s="119">
        <v>0</v>
      </c>
      <c r="X18" s="119">
        <v>9</v>
      </c>
      <c r="Y18" s="119" t="s">
        <v>38</v>
      </c>
      <c r="Z18" s="388" t="s">
        <v>2892</v>
      </c>
      <c r="AA18" s="388" t="s">
        <v>2892</v>
      </c>
      <c r="AB18" s="119" t="s">
        <v>98</v>
      </c>
      <c r="AC18" s="119">
        <v>100000</v>
      </c>
      <c r="AD18" s="197">
        <v>1</v>
      </c>
      <c r="AE18" s="197">
        <v>1</v>
      </c>
      <c r="AF18">
        <v>0</v>
      </c>
      <c r="AG18" s="403">
        <v>9</v>
      </c>
    </row>
    <row r="19" spans="1:33" x14ac:dyDescent="0.15">
      <c r="A19" s="119">
        <v>101210</v>
      </c>
      <c r="B19" s="114" t="s">
        <v>130</v>
      </c>
      <c r="C19" s="114" t="s">
        <v>130</v>
      </c>
      <c r="D19" s="119" t="s">
        <v>33</v>
      </c>
      <c r="E19" s="119">
        <v>1</v>
      </c>
      <c r="F19" s="119" t="s">
        <v>34</v>
      </c>
      <c r="G19" s="119"/>
      <c r="H19" s="119" t="s">
        <v>51</v>
      </c>
      <c r="I19" s="119">
        <v>1</v>
      </c>
      <c r="J19" s="118">
        <v>4</v>
      </c>
      <c r="K19" s="119">
        <v>0</v>
      </c>
      <c r="L19" s="119">
        <v>3</v>
      </c>
      <c r="M19" s="119" t="s">
        <v>52</v>
      </c>
      <c r="N19" s="118" t="s">
        <v>101</v>
      </c>
      <c r="O19" s="119">
        <v>50</v>
      </c>
      <c r="P19" s="119">
        <v>0.7</v>
      </c>
      <c r="Q19" s="119">
        <v>0</v>
      </c>
      <c r="R19" s="80">
        <v>1</v>
      </c>
      <c r="S19" s="80" t="b">
        <v>1</v>
      </c>
      <c r="T19" s="119">
        <v>130</v>
      </c>
      <c r="U19" s="118">
        <v>1950</v>
      </c>
      <c r="V19" s="118">
        <v>2600</v>
      </c>
      <c r="W19" s="119">
        <v>0</v>
      </c>
      <c r="X19" s="119">
        <v>10</v>
      </c>
      <c r="Y19" s="119" t="s">
        <v>38</v>
      </c>
      <c r="Z19" s="388" t="s">
        <v>2893</v>
      </c>
      <c r="AA19" s="388" t="s">
        <v>2893</v>
      </c>
      <c r="AB19" s="119" t="s">
        <v>104</v>
      </c>
      <c r="AC19" s="119">
        <v>100000</v>
      </c>
      <c r="AD19" s="197">
        <v>1</v>
      </c>
      <c r="AE19" s="197">
        <v>1</v>
      </c>
      <c r="AF19">
        <v>0</v>
      </c>
      <c r="AG19" s="403">
        <v>10</v>
      </c>
    </row>
    <row r="20" spans="1:33" x14ac:dyDescent="0.15">
      <c r="A20" s="116">
        <v>102000</v>
      </c>
      <c r="B20" s="122" t="s">
        <v>133</v>
      </c>
      <c r="C20" s="122" t="s">
        <v>133</v>
      </c>
      <c r="D20" s="116" t="s">
        <v>33</v>
      </c>
      <c r="E20" s="116">
        <v>2</v>
      </c>
      <c r="F20" s="116" t="s">
        <v>134</v>
      </c>
      <c r="G20" s="116" t="s">
        <v>135</v>
      </c>
      <c r="H20" s="116"/>
      <c r="I20" s="116">
        <v>1</v>
      </c>
      <c r="J20" s="118">
        <v>1</v>
      </c>
      <c r="K20" s="116">
        <v>0</v>
      </c>
      <c r="L20" s="116">
        <v>3</v>
      </c>
      <c r="M20" s="116">
        <v>1</v>
      </c>
      <c r="N20" s="118" t="s">
        <v>37</v>
      </c>
      <c r="O20" s="116">
        <v>50</v>
      </c>
      <c r="P20" s="116">
        <v>0.7</v>
      </c>
      <c r="Q20" s="116">
        <v>0</v>
      </c>
      <c r="R20" s="116">
        <v>1</v>
      </c>
      <c r="S20" s="398" t="b">
        <v>1</v>
      </c>
      <c r="T20" s="116">
        <v>13</v>
      </c>
      <c r="U20" s="118">
        <v>195</v>
      </c>
      <c r="V20" s="118">
        <v>260</v>
      </c>
      <c r="W20" s="116">
        <v>0</v>
      </c>
      <c r="X20" s="116">
        <v>1</v>
      </c>
      <c r="Y20" s="116" t="s">
        <v>38</v>
      </c>
      <c r="Z20" s="388" t="s">
        <v>2897</v>
      </c>
      <c r="AA20" s="388" t="s">
        <v>2897</v>
      </c>
      <c r="AB20" s="398" t="s">
        <v>138</v>
      </c>
      <c r="AC20" s="116">
        <v>100000</v>
      </c>
      <c r="AD20" s="197">
        <v>1</v>
      </c>
      <c r="AE20" s="197">
        <v>1</v>
      </c>
      <c r="AF20">
        <v>0</v>
      </c>
      <c r="AG20" s="406">
        <v>1</v>
      </c>
    </row>
    <row r="21" spans="1:33" x14ac:dyDescent="0.15">
      <c r="A21" s="118">
        <v>102001</v>
      </c>
      <c r="B21" s="17" t="s">
        <v>140</v>
      </c>
      <c r="C21" s="17" t="s">
        <v>140</v>
      </c>
      <c r="D21" s="118" t="s">
        <v>33</v>
      </c>
      <c r="E21" s="118">
        <v>2</v>
      </c>
      <c r="F21" s="118" t="s">
        <v>134</v>
      </c>
      <c r="G21" s="118" t="s">
        <v>135</v>
      </c>
      <c r="H21" s="118" t="s">
        <v>35</v>
      </c>
      <c r="I21" s="118">
        <v>1</v>
      </c>
      <c r="J21" s="118">
        <v>1</v>
      </c>
      <c r="K21" s="118">
        <v>1</v>
      </c>
      <c r="L21" s="118">
        <v>3</v>
      </c>
      <c r="M21" s="118" t="s">
        <v>36</v>
      </c>
      <c r="N21" s="118" t="s">
        <v>37</v>
      </c>
      <c r="O21" s="118">
        <v>50</v>
      </c>
      <c r="P21" s="118">
        <v>0.7</v>
      </c>
      <c r="Q21" s="118">
        <v>0</v>
      </c>
      <c r="R21" s="25">
        <v>1</v>
      </c>
      <c r="S21" s="25" t="b">
        <v>1</v>
      </c>
      <c r="T21" s="118">
        <v>13</v>
      </c>
      <c r="U21" s="118">
        <v>195</v>
      </c>
      <c r="V21" s="118">
        <v>260</v>
      </c>
      <c r="W21" s="118">
        <v>0</v>
      </c>
      <c r="X21" s="118">
        <v>1</v>
      </c>
      <c r="Y21" s="118" t="s">
        <v>38</v>
      </c>
      <c r="Z21" s="388" t="s">
        <v>2898</v>
      </c>
      <c r="AA21" s="388" t="s">
        <v>2898</v>
      </c>
      <c r="AB21" s="25" t="s">
        <v>143</v>
      </c>
      <c r="AC21" s="118">
        <v>100000</v>
      </c>
      <c r="AD21" s="197">
        <v>1</v>
      </c>
      <c r="AE21" s="197">
        <v>1</v>
      </c>
      <c r="AF21">
        <v>0</v>
      </c>
      <c r="AG21" s="402">
        <v>1</v>
      </c>
    </row>
    <row r="22" spans="1:33" x14ac:dyDescent="0.15">
      <c r="A22" s="118">
        <v>102002</v>
      </c>
      <c r="B22" s="17" t="s">
        <v>145</v>
      </c>
      <c r="C22" s="17" t="s">
        <v>145</v>
      </c>
      <c r="D22" s="118" t="s">
        <v>33</v>
      </c>
      <c r="E22" s="118">
        <v>2</v>
      </c>
      <c r="F22" s="118" t="s">
        <v>134</v>
      </c>
      <c r="G22" s="118" t="s">
        <v>146</v>
      </c>
      <c r="H22" s="118" t="s">
        <v>35</v>
      </c>
      <c r="I22" s="118">
        <v>1</v>
      </c>
      <c r="J22" s="118">
        <v>1</v>
      </c>
      <c r="K22" s="118">
        <v>1</v>
      </c>
      <c r="L22" s="118">
        <v>3</v>
      </c>
      <c r="M22" s="118" t="s">
        <v>44</v>
      </c>
      <c r="N22" s="118" t="s">
        <v>45</v>
      </c>
      <c r="O22" s="118">
        <v>50</v>
      </c>
      <c r="P22" s="118">
        <v>0.7</v>
      </c>
      <c r="Q22" s="118">
        <v>0</v>
      </c>
      <c r="R22" s="25">
        <v>1</v>
      </c>
      <c r="S22" s="25" t="b">
        <v>1</v>
      </c>
      <c r="T22" s="118">
        <v>26</v>
      </c>
      <c r="U22" s="118">
        <v>390</v>
      </c>
      <c r="V22" s="118">
        <v>520</v>
      </c>
      <c r="W22" s="118">
        <v>0</v>
      </c>
      <c r="X22" s="118">
        <v>2</v>
      </c>
      <c r="Y22" s="118" t="s">
        <v>38</v>
      </c>
      <c r="Z22" s="388" t="s">
        <v>2899</v>
      </c>
      <c r="AA22" s="388" t="s">
        <v>2899</v>
      </c>
      <c r="AB22" s="25" t="s">
        <v>149</v>
      </c>
      <c r="AC22" s="118">
        <v>300000</v>
      </c>
      <c r="AD22" s="197">
        <v>1</v>
      </c>
      <c r="AE22" s="197">
        <v>1</v>
      </c>
      <c r="AF22">
        <v>0</v>
      </c>
      <c r="AG22" s="402">
        <v>2</v>
      </c>
    </row>
    <row r="23" spans="1:33" x14ac:dyDescent="0.15">
      <c r="A23" s="119">
        <v>102502</v>
      </c>
      <c r="B23" s="114" t="s">
        <v>151</v>
      </c>
      <c r="C23" s="114" t="s">
        <v>151</v>
      </c>
      <c r="D23" s="119" t="s">
        <v>33</v>
      </c>
      <c r="E23" s="119">
        <v>2</v>
      </c>
      <c r="F23" s="119" t="s">
        <v>134</v>
      </c>
      <c r="G23" s="119" t="s">
        <v>146</v>
      </c>
      <c r="H23" s="119" t="s">
        <v>51</v>
      </c>
      <c r="I23" s="119">
        <v>1</v>
      </c>
      <c r="J23" s="118">
        <v>3</v>
      </c>
      <c r="K23" s="119">
        <v>0</v>
      </c>
      <c r="L23" s="119">
        <v>3</v>
      </c>
      <c r="M23" s="119" t="s">
        <v>52</v>
      </c>
      <c r="N23" s="118" t="s">
        <v>45</v>
      </c>
      <c r="O23" s="119">
        <v>50</v>
      </c>
      <c r="P23" s="119">
        <v>0.7</v>
      </c>
      <c r="Q23" s="119">
        <v>0</v>
      </c>
      <c r="R23" s="80">
        <v>1</v>
      </c>
      <c r="S23" s="80" t="b">
        <v>1</v>
      </c>
      <c r="T23" s="119">
        <v>26</v>
      </c>
      <c r="U23" s="118">
        <v>390</v>
      </c>
      <c r="V23" s="118">
        <v>520</v>
      </c>
      <c r="W23" s="119">
        <v>0</v>
      </c>
      <c r="X23" s="119">
        <v>2</v>
      </c>
      <c r="Y23" s="119" t="s">
        <v>38</v>
      </c>
      <c r="Z23" s="388" t="s">
        <v>2899</v>
      </c>
      <c r="AA23" s="388" t="s">
        <v>2899</v>
      </c>
      <c r="AB23" s="80" t="s">
        <v>149</v>
      </c>
      <c r="AC23" s="119">
        <v>300000</v>
      </c>
      <c r="AD23" s="92">
        <v>1</v>
      </c>
      <c r="AE23" s="92">
        <v>1</v>
      </c>
      <c r="AF23">
        <v>0</v>
      </c>
      <c r="AG23" s="403">
        <v>2</v>
      </c>
    </row>
    <row r="24" spans="1:33" x14ac:dyDescent="0.15">
      <c r="A24" s="118">
        <v>102003</v>
      </c>
      <c r="B24" s="17" t="s">
        <v>154</v>
      </c>
      <c r="C24" s="17" t="s">
        <v>154</v>
      </c>
      <c r="D24" s="118" t="s">
        <v>33</v>
      </c>
      <c r="E24" s="118">
        <v>2</v>
      </c>
      <c r="F24" s="118" t="s">
        <v>134</v>
      </c>
      <c r="G24" s="118" t="s">
        <v>155</v>
      </c>
      <c r="H24" s="118" t="s">
        <v>35</v>
      </c>
      <c r="I24" s="118">
        <v>1</v>
      </c>
      <c r="J24" s="118">
        <v>1</v>
      </c>
      <c r="K24" s="118">
        <v>1</v>
      </c>
      <c r="L24" s="118">
        <v>3</v>
      </c>
      <c r="M24" s="118" t="s">
        <v>56</v>
      </c>
      <c r="N24" s="118" t="s">
        <v>57</v>
      </c>
      <c r="O24" s="118">
        <v>50</v>
      </c>
      <c r="P24" s="118">
        <v>0.7</v>
      </c>
      <c r="Q24" s="118">
        <v>0</v>
      </c>
      <c r="R24" s="25">
        <v>1</v>
      </c>
      <c r="S24" s="25" t="b">
        <v>1</v>
      </c>
      <c r="T24" s="118">
        <v>39</v>
      </c>
      <c r="U24" s="118">
        <v>585</v>
      </c>
      <c r="V24" s="118">
        <v>780</v>
      </c>
      <c r="W24" s="118">
        <v>0</v>
      </c>
      <c r="X24" s="118">
        <v>3</v>
      </c>
      <c r="Y24" s="118" t="s">
        <v>38</v>
      </c>
      <c r="Z24" s="388" t="s">
        <v>2900</v>
      </c>
      <c r="AA24" s="388" t="s">
        <v>2900</v>
      </c>
      <c r="AB24" s="25" t="s">
        <v>158</v>
      </c>
      <c r="AC24" s="118">
        <v>300000</v>
      </c>
      <c r="AD24" s="197">
        <v>1</v>
      </c>
      <c r="AE24" s="197">
        <v>1</v>
      </c>
      <c r="AF24">
        <v>0</v>
      </c>
      <c r="AG24" s="402">
        <v>3</v>
      </c>
    </row>
    <row r="25" spans="1:33" x14ac:dyDescent="0.15">
      <c r="A25" s="118">
        <v>102004</v>
      </c>
      <c r="B25" s="71" t="s">
        <v>160</v>
      </c>
      <c r="C25" s="71" t="s">
        <v>160</v>
      </c>
      <c r="D25" s="118" t="s">
        <v>33</v>
      </c>
      <c r="E25" s="118">
        <v>2</v>
      </c>
      <c r="F25" s="118" t="s">
        <v>134</v>
      </c>
      <c r="G25" s="118" t="s">
        <v>161</v>
      </c>
      <c r="H25" s="118" t="s">
        <v>35</v>
      </c>
      <c r="I25" s="118">
        <v>1</v>
      </c>
      <c r="J25" s="118">
        <v>1</v>
      </c>
      <c r="K25" s="118">
        <v>1</v>
      </c>
      <c r="L25" s="118">
        <v>3</v>
      </c>
      <c r="M25" s="118" t="s">
        <v>63</v>
      </c>
      <c r="N25" s="118" t="s">
        <v>64</v>
      </c>
      <c r="O25" s="118">
        <v>50</v>
      </c>
      <c r="P25" s="118">
        <v>0.7</v>
      </c>
      <c r="Q25" s="118">
        <v>0</v>
      </c>
      <c r="R25" s="25">
        <v>1</v>
      </c>
      <c r="S25" s="25" t="b">
        <v>1</v>
      </c>
      <c r="T25" s="118">
        <v>52</v>
      </c>
      <c r="U25" s="118">
        <v>780</v>
      </c>
      <c r="V25" s="118">
        <v>1040</v>
      </c>
      <c r="W25" s="118">
        <v>0</v>
      </c>
      <c r="X25" s="118">
        <v>4</v>
      </c>
      <c r="Y25" s="118" t="s">
        <v>38</v>
      </c>
      <c r="Z25" s="388" t="s">
        <v>2901</v>
      </c>
      <c r="AA25" s="388" t="s">
        <v>2901</v>
      </c>
      <c r="AB25" s="25" t="s">
        <v>164</v>
      </c>
      <c r="AC25" s="118">
        <v>300000</v>
      </c>
      <c r="AD25" s="197">
        <v>1</v>
      </c>
      <c r="AE25" s="197">
        <v>1</v>
      </c>
      <c r="AF25">
        <v>0</v>
      </c>
      <c r="AG25" s="402">
        <v>4</v>
      </c>
    </row>
    <row r="26" spans="1:33" x14ac:dyDescent="0.15">
      <c r="A26" s="118">
        <v>102005</v>
      </c>
      <c r="B26" s="17" t="s">
        <v>166</v>
      </c>
      <c r="C26" s="17" t="s">
        <v>166</v>
      </c>
      <c r="D26" s="118" t="s">
        <v>33</v>
      </c>
      <c r="E26" s="118">
        <v>2</v>
      </c>
      <c r="F26" s="118" t="s">
        <v>134</v>
      </c>
      <c r="G26" s="118" t="s">
        <v>167</v>
      </c>
      <c r="H26" s="118" t="s">
        <v>35</v>
      </c>
      <c r="I26" s="118">
        <v>1</v>
      </c>
      <c r="J26" s="118">
        <v>1</v>
      </c>
      <c r="K26" s="118">
        <v>1</v>
      </c>
      <c r="L26" s="118">
        <v>3</v>
      </c>
      <c r="M26" s="118" t="s">
        <v>70</v>
      </c>
      <c r="N26" s="118" t="s">
        <v>71</v>
      </c>
      <c r="O26" s="118">
        <v>50</v>
      </c>
      <c r="P26" s="118">
        <v>0.7</v>
      </c>
      <c r="Q26" s="118">
        <v>0</v>
      </c>
      <c r="R26" s="25">
        <v>1</v>
      </c>
      <c r="S26" s="25" t="b">
        <v>1</v>
      </c>
      <c r="T26" s="118">
        <v>65</v>
      </c>
      <c r="U26" s="118">
        <v>975</v>
      </c>
      <c r="V26" s="118">
        <v>1300</v>
      </c>
      <c r="W26" s="118">
        <v>0</v>
      </c>
      <c r="X26" s="118">
        <v>5</v>
      </c>
      <c r="Y26" s="118" t="s">
        <v>38</v>
      </c>
      <c r="Z26" s="388" t="s">
        <v>2902</v>
      </c>
      <c r="AA26" s="388" t="s">
        <v>2902</v>
      </c>
      <c r="AB26" s="118" t="s">
        <v>170</v>
      </c>
      <c r="AC26" s="118">
        <v>100000</v>
      </c>
      <c r="AD26" s="197">
        <v>1</v>
      </c>
      <c r="AE26" s="197">
        <v>1</v>
      </c>
      <c r="AF26">
        <v>0</v>
      </c>
      <c r="AG26" s="402">
        <v>5</v>
      </c>
    </row>
    <row r="27" spans="1:33" x14ac:dyDescent="0.15">
      <c r="A27" s="118">
        <v>102006</v>
      </c>
      <c r="B27" s="17" t="s">
        <v>172</v>
      </c>
      <c r="C27" s="17" t="s">
        <v>172</v>
      </c>
      <c r="D27" s="118" t="s">
        <v>33</v>
      </c>
      <c r="E27" s="118">
        <v>2</v>
      </c>
      <c r="F27" s="118" t="s">
        <v>134</v>
      </c>
      <c r="G27" s="118" t="s">
        <v>173</v>
      </c>
      <c r="H27" s="118" t="s">
        <v>35</v>
      </c>
      <c r="I27" s="118">
        <v>1</v>
      </c>
      <c r="J27" s="118">
        <v>1</v>
      </c>
      <c r="K27" s="118">
        <v>1</v>
      </c>
      <c r="L27" s="118">
        <v>3</v>
      </c>
      <c r="M27" s="118" t="s">
        <v>70</v>
      </c>
      <c r="N27" s="118" t="s">
        <v>77</v>
      </c>
      <c r="O27" s="118">
        <v>50</v>
      </c>
      <c r="P27" s="118">
        <v>0.7</v>
      </c>
      <c r="Q27" s="118">
        <v>0</v>
      </c>
      <c r="R27" s="25">
        <v>1</v>
      </c>
      <c r="S27" s="25" t="b">
        <v>1</v>
      </c>
      <c r="T27" s="118">
        <v>78</v>
      </c>
      <c r="U27" s="118">
        <v>1170</v>
      </c>
      <c r="V27" s="118">
        <v>1560</v>
      </c>
      <c r="W27" s="118">
        <v>0</v>
      </c>
      <c r="X27" s="118">
        <v>6</v>
      </c>
      <c r="Y27" s="118" t="s">
        <v>38</v>
      </c>
      <c r="Z27" s="388" t="s">
        <v>2903</v>
      </c>
      <c r="AA27" s="388" t="s">
        <v>2903</v>
      </c>
      <c r="AB27" s="118" t="s">
        <v>176</v>
      </c>
      <c r="AC27" s="118">
        <v>200000</v>
      </c>
      <c r="AD27" s="197">
        <v>1</v>
      </c>
      <c r="AE27" s="197">
        <v>1</v>
      </c>
      <c r="AF27">
        <v>0</v>
      </c>
      <c r="AG27" s="402">
        <v>6</v>
      </c>
    </row>
    <row r="28" spans="1:33" x14ac:dyDescent="0.15">
      <c r="A28" s="118">
        <v>102007</v>
      </c>
      <c r="B28" s="21" t="s">
        <v>178</v>
      </c>
      <c r="C28" s="21" t="s">
        <v>178</v>
      </c>
      <c r="D28" s="118" t="s">
        <v>33</v>
      </c>
      <c r="E28" s="118">
        <v>2</v>
      </c>
      <c r="F28" s="118" t="s">
        <v>134</v>
      </c>
      <c r="G28" s="118" t="s">
        <v>179</v>
      </c>
      <c r="H28" s="118" t="s">
        <v>35</v>
      </c>
      <c r="I28" s="118">
        <v>1</v>
      </c>
      <c r="J28" s="118">
        <v>1</v>
      </c>
      <c r="K28" s="118">
        <v>1</v>
      </c>
      <c r="L28" s="118">
        <v>3</v>
      </c>
      <c r="M28" s="118" t="s">
        <v>70</v>
      </c>
      <c r="N28" s="118" t="s">
        <v>83</v>
      </c>
      <c r="O28" s="118">
        <v>50</v>
      </c>
      <c r="P28" s="118">
        <v>0.7</v>
      </c>
      <c r="Q28" s="118">
        <v>0</v>
      </c>
      <c r="R28" s="25">
        <v>1</v>
      </c>
      <c r="S28" s="25" t="b">
        <v>1</v>
      </c>
      <c r="T28" s="118">
        <v>91</v>
      </c>
      <c r="U28" s="118">
        <v>1365</v>
      </c>
      <c r="V28" s="118">
        <v>1820</v>
      </c>
      <c r="W28" s="118">
        <v>0</v>
      </c>
      <c r="X28" s="118">
        <v>7</v>
      </c>
      <c r="Y28" s="118" t="s">
        <v>38</v>
      </c>
      <c r="Z28" s="388" t="s">
        <v>2904</v>
      </c>
      <c r="AA28" s="388" t="s">
        <v>2904</v>
      </c>
      <c r="AB28" s="118" t="s">
        <v>182</v>
      </c>
      <c r="AC28" s="118">
        <v>100000</v>
      </c>
      <c r="AD28" s="197">
        <v>1</v>
      </c>
      <c r="AE28" s="197">
        <v>1</v>
      </c>
      <c r="AF28">
        <v>0</v>
      </c>
      <c r="AG28" s="402">
        <v>7</v>
      </c>
    </row>
    <row r="29" spans="1:33" x14ac:dyDescent="0.15">
      <c r="A29" s="114">
        <v>102507</v>
      </c>
      <c r="B29" s="359" t="s">
        <v>184</v>
      </c>
      <c r="C29" s="359" t="s">
        <v>184</v>
      </c>
      <c r="D29" s="119" t="s">
        <v>33</v>
      </c>
      <c r="E29" s="119">
        <v>2</v>
      </c>
      <c r="F29" s="119" t="s">
        <v>134</v>
      </c>
      <c r="G29" s="359" t="s">
        <v>179</v>
      </c>
      <c r="H29" s="119" t="s">
        <v>51</v>
      </c>
      <c r="I29" s="119">
        <v>1</v>
      </c>
      <c r="J29" s="118">
        <v>4</v>
      </c>
      <c r="K29" s="119">
        <v>0</v>
      </c>
      <c r="L29" s="119">
        <v>3</v>
      </c>
      <c r="M29" s="119" t="s">
        <v>52</v>
      </c>
      <c r="N29" s="118" t="s">
        <v>83</v>
      </c>
      <c r="O29" s="119">
        <v>50</v>
      </c>
      <c r="P29" s="119">
        <v>0.7</v>
      </c>
      <c r="Q29" s="119">
        <v>0</v>
      </c>
      <c r="R29" s="80">
        <v>1</v>
      </c>
      <c r="S29" s="80" t="b">
        <v>1</v>
      </c>
      <c r="T29" s="119">
        <v>91</v>
      </c>
      <c r="U29" s="118">
        <v>1365</v>
      </c>
      <c r="V29" s="118">
        <v>1820</v>
      </c>
      <c r="W29" s="119">
        <v>0</v>
      </c>
      <c r="X29" s="119">
        <v>7</v>
      </c>
      <c r="Y29" s="119" t="s">
        <v>38</v>
      </c>
      <c r="Z29" s="388" t="s">
        <v>2904</v>
      </c>
      <c r="AA29" s="388" t="s">
        <v>2904</v>
      </c>
      <c r="AB29" s="119" t="s">
        <v>182</v>
      </c>
      <c r="AC29" s="119">
        <v>100000</v>
      </c>
      <c r="AD29" s="197">
        <v>1</v>
      </c>
      <c r="AE29" s="197">
        <v>1</v>
      </c>
      <c r="AF29">
        <v>0</v>
      </c>
      <c r="AG29" s="403">
        <v>7</v>
      </c>
    </row>
    <row r="30" spans="1:33" x14ac:dyDescent="0.15">
      <c r="A30" s="17">
        <v>102008</v>
      </c>
      <c r="B30" s="17" t="s">
        <v>187</v>
      </c>
      <c r="C30" s="17" t="s">
        <v>187</v>
      </c>
      <c r="D30" s="118" t="s">
        <v>33</v>
      </c>
      <c r="E30" s="118">
        <v>2</v>
      </c>
      <c r="F30" s="118" t="s">
        <v>134</v>
      </c>
      <c r="G30" s="21" t="s">
        <v>188</v>
      </c>
      <c r="H30" s="118" t="s">
        <v>35</v>
      </c>
      <c r="I30" s="118">
        <v>1</v>
      </c>
      <c r="J30" s="118">
        <v>1</v>
      </c>
      <c r="K30" s="118">
        <v>1</v>
      </c>
      <c r="L30" s="118">
        <v>3</v>
      </c>
      <c r="M30" s="118" t="s">
        <v>70</v>
      </c>
      <c r="N30" s="118" t="s">
        <v>89</v>
      </c>
      <c r="O30" s="118">
        <v>50</v>
      </c>
      <c r="P30" s="118">
        <v>0.7</v>
      </c>
      <c r="Q30" s="118">
        <v>0</v>
      </c>
      <c r="R30" s="25">
        <v>1</v>
      </c>
      <c r="S30" s="25" t="b">
        <v>1</v>
      </c>
      <c r="T30" s="118">
        <v>104</v>
      </c>
      <c r="U30" s="118">
        <v>1560</v>
      </c>
      <c r="V30" s="118">
        <v>2080</v>
      </c>
      <c r="W30" s="118">
        <v>0</v>
      </c>
      <c r="X30" s="118">
        <v>8</v>
      </c>
      <c r="Y30" s="118" t="s">
        <v>38</v>
      </c>
      <c r="Z30" s="388" t="s">
        <v>2905</v>
      </c>
      <c r="AA30" s="388" t="s">
        <v>2905</v>
      </c>
      <c r="AB30" s="118" t="s">
        <v>191</v>
      </c>
      <c r="AC30" s="118">
        <v>100000</v>
      </c>
      <c r="AD30" s="191">
        <v>1</v>
      </c>
      <c r="AE30" s="191">
        <v>1</v>
      </c>
      <c r="AF30">
        <v>0</v>
      </c>
      <c r="AG30" s="402">
        <v>8</v>
      </c>
    </row>
    <row r="31" spans="1:33" x14ac:dyDescent="0.15">
      <c r="A31" s="17">
        <v>102009</v>
      </c>
      <c r="B31" s="17" t="s">
        <v>193</v>
      </c>
      <c r="C31" s="17" t="s">
        <v>193</v>
      </c>
      <c r="D31" s="118" t="s">
        <v>33</v>
      </c>
      <c r="E31" s="118">
        <v>2</v>
      </c>
      <c r="F31" s="118" t="s">
        <v>134</v>
      </c>
      <c r="G31" s="21" t="s">
        <v>194</v>
      </c>
      <c r="H31" s="118" t="s">
        <v>35</v>
      </c>
      <c r="I31" s="118">
        <v>1</v>
      </c>
      <c r="J31" s="118">
        <v>1</v>
      </c>
      <c r="K31" s="118">
        <v>1</v>
      </c>
      <c r="L31" s="118">
        <v>3</v>
      </c>
      <c r="M31" s="118" t="s">
        <v>70</v>
      </c>
      <c r="N31" s="118" t="s">
        <v>95</v>
      </c>
      <c r="O31" s="118">
        <v>50</v>
      </c>
      <c r="P31" s="118">
        <v>0.7</v>
      </c>
      <c r="Q31" s="118">
        <v>0</v>
      </c>
      <c r="R31" s="25">
        <v>1</v>
      </c>
      <c r="S31" s="25" t="b">
        <v>1</v>
      </c>
      <c r="T31" s="118">
        <v>117</v>
      </c>
      <c r="U31" s="118">
        <v>1755</v>
      </c>
      <c r="V31" s="118">
        <v>2340</v>
      </c>
      <c r="W31" s="118">
        <v>0</v>
      </c>
      <c r="X31" s="118">
        <v>9</v>
      </c>
      <c r="Y31" s="118" t="s">
        <v>38</v>
      </c>
      <c r="Z31" s="388" t="s">
        <v>2906</v>
      </c>
      <c r="AA31" s="388" t="s">
        <v>2906</v>
      </c>
      <c r="AB31" s="118" t="s">
        <v>197</v>
      </c>
      <c r="AC31" s="118">
        <v>100000</v>
      </c>
      <c r="AD31" s="191">
        <v>1</v>
      </c>
      <c r="AE31" s="191">
        <v>1</v>
      </c>
      <c r="AF31">
        <v>0</v>
      </c>
      <c r="AG31" s="402">
        <v>9</v>
      </c>
    </row>
    <row r="32" spans="1:33" x14ac:dyDescent="0.15">
      <c r="A32" s="17">
        <v>102010</v>
      </c>
      <c r="B32" s="17" t="s">
        <v>199</v>
      </c>
      <c r="C32" s="17" t="s">
        <v>199</v>
      </c>
      <c r="D32" s="118" t="s">
        <v>33</v>
      </c>
      <c r="E32" s="118">
        <v>2</v>
      </c>
      <c r="F32" s="118" t="s">
        <v>134</v>
      </c>
      <c r="G32" s="21" t="s">
        <v>200</v>
      </c>
      <c r="H32" s="118" t="s">
        <v>35</v>
      </c>
      <c r="I32" s="118">
        <v>1</v>
      </c>
      <c r="J32" s="118">
        <v>1</v>
      </c>
      <c r="K32" s="118">
        <v>1</v>
      </c>
      <c r="L32" s="118">
        <v>3</v>
      </c>
      <c r="M32" s="118" t="s">
        <v>70</v>
      </c>
      <c r="N32" s="118" t="s">
        <v>101</v>
      </c>
      <c r="O32" s="118">
        <v>50</v>
      </c>
      <c r="P32" s="118">
        <v>0.7</v>
      </c>
      <c r="Q32" s="118">
        <v>0</v>
      </c>
      <c r="R32" s="25">
        <v>1</v>
      </c>
      <c r="S32" s="25" t="b">
        <v>1</v>
      </c>
      <c r="T32" s="118">
        <v>130</v>
      </c>
      <c r="U32" s="118">
        <v>1950</v>
      </c>
      <c r="V32" s="118">
        <v>2600</v>
      </c>
      <c r="W32" s="118">
        <v>0</v>
      </c>
      <c r="X32" s="118">
        <v>10</v>
      </c>
      <c r="Y32" s="118" t="s">
        <v>38</v>
      </c>
      <c r="Z32" s="388" t="s">
        <v>2907</v>
      </c>
      <c r="AA32" s="388" t="s">
        <v>2907</v>
      </c>
      <c r="AB32" s="118" t="s">
        <v>203</v>
      </c>
      <c r="AC32" s="118">
        <v>100000</v>
      </c>
      <c r="AD32" s="191">
        <v>1</v>
      </c>
      <c r="AE32" s="191">
        <v>1</v>
      </c>
      <c r="AF32">
        <v>0</v>
      </c>
      <c r="AG32" s="402">
        <v>10</v>
      </c>
    </row>
    <row r="33" spans="1:33" x14ac:dyDescent="0.15">
      <c r="A33" s="119">
        <v>102208</v>
      </c>
      <c r="B33" s="114" t="s">
        <v>205</v>
      </c>
      <c r="C33" s="114" t="s">
        <v>205</v>
      </c>
      <c r="D33" s="119" t="s">
        <v>33</v>
      </c>
      <c r="E33" s="119">
        <v>2</v>
      </c>
      <c r="F33" s="119" t="s">
        <v>134</v>
      </c>
      <c r="G33" s="119" t="s">
        <v>188</v>
      </c>
      <c r="H33" s="119" t="s">
        <v>51</v>
      </c>
      <c r="I33" s="119">
        <v>1</v>
      </c>
      <c r="J33" s="118">
        <v>4</v>
      </c>
      <c r="K33" s="119">
        <v>0</v>
      </c>
      <c r="L33" s="119">
        <v>3</v>
      </c>
      <c r="M33" s="119" t="s">
        <v>52</v>
      </c>
      <c r="N33" s="118" t="s">
        <v>89</v>
      </c>
      <c r="O33" s="119">
        <v>50</v>
      </c>
      <c r="P33" s="119">
        <v>0.7</v>
      </c>
      <c r="Q33" s="119">
        <v>0</v>
      </c>
      <c r="R33" s="80">
        <v>1</v>
      </c>
      <c r="S33" s="80" t="b">
        <v>1</v>
      </c>
      <c r="T33" s="119">
        <v>104</v>
      </c>
      <c r="U33" s="118">
        <v>1560</v>
      </c>
      <c r="V33" s="118">
        <v>2080</v>
      </c>
      <c r="W33" s="119">
        <v>0</v>
      </c>
      <c r="X33" s="119">
        <v>8</v>
      </c>
      <c r="Y33" s="119" t="s">
        <v>38</v>
      </c>
      <c r="Z33" s="388" t="s">
        <v>2905</v>
      </c>
      <c r="AA33" s="388" t="s">
        <v>2905</v>
      </c>
      <c r="AB33" s="80" t="s">
        <v>191</v>
      </c>
      <c r="AC33" s="119">
        <v>100000</v>
      </c>
      <c r="AD33" s="92">
        <v>1</v>
      </c>
      <c r="AE33" s="92">
        <v>1</v>
      </c>
      <c r="AF33">
        <v>0</v>
      </c>
      <c r="AG33" s="403">
        <v>8</v>
      </c>
    </row>
    <row r="34" spans="1:33" x14ac:dyDescent="0.15">
      <c r="A34" s="119">
        <v>102309</v>
      </c>
      <c r="B34" s="114" t="s">
        <v>208</v>
      </c>
      <c r="C34" s="114" t="s">
        <v>208</v>
      </c>
      <c r="D34" s="119" t="s">
        <v>33</v>
      </c>
      <c r="E34" s="119">
        <v>2</v>
      </c>
      <c r="F34" s="119" t="s">
        <v>134</v>
      </c>
      <c r="G34" s="119" t="s">
        <v>194</v>
      </c>
      <c r="H34" s="119" t="s">
        <v>51</v>
      </c>
      <c r="I34" s="119">
        <v>1</v>
      </c>
      <c r="J34" s="118">
        <v>4</v>
      </c>
      <c r="K34" s="119">
        <v>0</v>
      </c>
      <c r="L34" s="119">
        <v>3</v>
      </c>
      <c r="M34" s="119" t="s">
        <v>52</v>
      </c>
      <c r="N34" s="118" t="s">
        <v>95</v>
      </c>
      <c r="O34" s="119">
        <v>50</v>
      </c>
      <c r="P34" s="119">
        <v>0.7</v>
      </c>
      <c r="Q34" s="119">
        <v>0</v>
      </c>
      <c r="R34" s="80">
        <v>1</v>
      </c>
      <c r="S34" s="80" t="b">
        <v>1</v>
      </c>
      <c r="T34" s="119">
        <v>117</v>
      </c>
      <c r="U34" s="118">
        <v>1755</v>
      </c>
      <c r="V34" s="118">
        <v>2340</v>
      </c>
      <c r="W34" s="119">
        <v>0</v>
      </c>
      <c r="X34" s="119">
        <v>9</v>
      </c>
      <c r="Y34" s="119" t="s">
        <v>38</v>
      </c>
      <c r="Z34" s="388" t="s">
        <v>2906</v>
      </c>
      <c r="AA34" s="388" t="s">
        <v>2906</v>
      </c>
      <c r="AB34" s="80" t="s">
        <v>197</v>
      </c>
      <c r="AC34" s="119">
        <v>100000</v>
      </c>
      <c r="AD34" s="92">
        <v>1</v>
      </c>
      <c r="AE34" s="92">
        <v>1</v>
      </c>
      <c r="AF34">
        <v>0</v>
      </c>
      <c r="AG34" s="403">
        <v>9</v>
      </c>
    </row>
    <row r="35" spans="1:33" x14ac:dyDescent="0.15">
      <c r="A35" s="119">
        <v>102210</v>
      </c>
      <c r="B35" s="114" t="s">
        <v>211</v>
      </c>
      <c r="C35" s="114" t="s">
        <v>211</v>
      </c>
      <c r="D35" s="119" t="s">
        <v>33</v>
      </c>
      <c r="E35" s="119">
        <v>2</v>
      </c>
      <c r="F35" s="119" t="s">
        <v>134</v>
      </c>
      <c r="G35" s="119" t="s">
        <v>200</v>
      </c>
      <c r="H35" s="119" t="s">
        <v>51</v>
      </c>
      <c r="I35" s="119">
        <v>1</v>
      </c>
      <c r="J35" s="118">
        <v>4</v>
      </c>
      <c r="K35" s="119">
        <v>0</v>
      </c>
      <c r="L35" s="119">
        <v>3</v>
      </c>
      <c r="M35" s="119" t="s">
        <v>52</v>
      </c>
      <c r="N35" s="118" t="s">
        <v>101</v>
      </c>
      <c r="O35" s="119">
        <v>50</v>
      </c>
      <c r="P35" s="119">
        <v>0.7</v>
      </c>
      <c r="Q35" s="119">
        <v>0</v>
      </c>
      <c r="R35" s="80">
        <v>1</v>
      </c>
      <c r="S35" s="80" t="b">
        <v>1</v>
      </c>
      <c r="T35" s="119">
        <v>130</v>
      </c>
      <c r="U35" s="118">
        <v>1950</v>
      </c>
      <c r="V35" s="118">
        <v>2600</v>
      </c>
      <c r="W35" s="119">
        <v>0</v>
      </c>
      <c r="X35" s="119">
        <v>10</v>
      </c>
      <c r="Y35" s="119" t="s">
        <v>38</v>
      </c>
      <c r="Z35" s="388" t="s">
        <v>2907</v>
      </c>
      <c r="AA35" s="388" t="s">
        <v>2907</v>
      </c>
      <c r="AB35" s="80" t="s">
        <v>203</v>
      </c>
      <c r="AC35" s="119">
        <v>100000</v>
      </c>
      <c r="AD35" s="92">
        <v>1</v>
      </c>
      <c r="AE35" s="92">
        <v>1</v>
      </c>
      <c r="AF35">
        <v>0</v>
      </c>
      <c r="AG35" s="403">
        <v>10</v>
      </c>
    </row>
    <row r="36" spans="1:33" x14ac:dyDescent="0.15">
      <c r="A36" s="118">
        <v>102101</v>
      </c>
      <c r="B36" s="17" t="s">
        <v>214</v>
      </c>
      <c r="C36" s="17" t="s">
        <v>214</v>
      </c>
      <c r="D36" s="118" t="s">
        <v>33</v>
      </c>
      <c r="E36" s="118">
        <v>2</v>
      </c>
      <c r="F36" s="118" t="s">
        <v>134</v>
      </c>
      <c r="G36" s="118" t="s">
        <v>215</v>
      </c>
      <c r="H36" s="118" t="s">
        <v>35</v>
      </c>
      <c r="I36" s="118">
        <v>1</v>
      </c>
      <c r="J36" s="118">
        <v>1</v>
      </c>
      <c r="K36" s="118">
        <v>1</v>
      </c>
      <c r="L36" s="118">
        <v>3</v>
      </c>
      <c r="M36" s="118" t="s">
        <v>36</v>
      </c>
      <c r="N36" s="118" t="s">
        <v>37</v>
      </c>
      <c r="O36" s="118">
        <v>50</v>
      </c>
      <c r="P36" s="118">
        <v>0.7</v>
      </c>
      <c r="Q36" s="118">
        <v>0</v>
      </c>
      <c r="R36" s="25">
        <v>1</v>
      </c>
      <c r="S36" s="25" t="b">
        <v>1</v>
      </c>
      <c r="T36" s="118">
        <v>13</v>
      </c>
      <c r="U36" s="118">
        <v>195</v>
      </c>
      <c r="V36" s="118">
        <v>260</v>
      </c>
      <c r="W36" s="118">
        <v>0</v>
      </c>
      <c r="X36" s="118">
        <v>1</v>
      </c>
      <c r="Y36" s="118" t="s">
        <v>38</v>
      </c>
      <c r="Z36" s="388" t="s">
        <v>2908</v>
      </c>
      <c r="AA36" s="388" t="s">
        <v>2908</v>
      </c>
      <c r="AB36" s="25" t="s">
        <v>218</v>
      </c>
      <c r="AC36" s="118">
        <v>100000</v>
      </c>
      <c r="AD36" s="197">
        <v>1</v>
      </c>
      <c r="AE36" s="197">
        <v>1</v>
      </c>
      <c r="AF36">
        <v>0</v>
      </c>
      <c r="AG36" s="402">
        <v>1</v>
      </c>
    </row>
    <row r="37" spans="1:33" x14ac:dyDescent="0.15">
      <c r="A37" s="119">
        <v>102201</v>
      </c>
      <c r="B37" s="114" t="s">
        <v>220</v>
      </c>
      <c r="C37" s="114" t="s">
        <v>220</v>
      </c>
      <c r="D37" s="119" t="s">
        <v>33</v>
      </c>
      <c r="E37" s="119">
        <v>2</v>
      </c>
      <c r="F37" s="119" t="s">
        <v>134</v>
      </c>
      <c r="G37" s="119" t="s">
        <v>215</v>
      </c>
      <c r="H37" s="119" t="s">
        <v>51</v>
      </c>
      <c r="I37" s="119">
        <v>1</v>
      </c>
      <c r="J37" s="118">
        <v>3</v>
      </c>
      <c r="K37" s="119">
        <v>0</v>
      </c>
      <c r="L37" s="119">
        <v>3</v>
      </c>
      <c r="M37" s="119" t="s">
        <v>52</v>
      </c>
      <c r="N37" s="118" t="s">
        <v>37</v>
      </c>
      <c r="O37" s="119">
        <v>50</v>
      </c>
      <c r="P37" s="119">
        <v>0.7</v>
      </c>
      <c r="Q37" s="119">
        <v>0</v>
      </c>
      <c r="R37" s="80">
        <v>1</v>
      </c>
      <c r="S37" s="80" t="b">
        <v>1</v>
      </c>
      <c r="T37" s="119">
        <v>13</v>
      </c>
      <c r="U37" s="118">
        <v>195</v>
      </c>
      <c r="V37" s="118">
        <v>260</v>
      </c>
      <c r="W37" s="119">
        <v>0</v>
      </c>
      <c r="X37" s="119">
        <v>1</v>
      </c>
      <c r="Y37" s="119" t="s">
        <v>38</v>
      </c>
      <c r="Z37" s="388" t="s">
        <v>2908</v>
      </c>
      <c r="AA37" s="388" t="s">
        <v>2908</v>
      </c>
      <c r="AB37" s="80" t="s">
        <v>218</v>
      </c>
      <c r="AC37" s="119">
        <v>100000</v>
      </c>
      <c r="AD37" s="92">
        <v>1</v>
      </c>
      <c r="AE37" s="92">
        <v>1</v>
      </c>
      <c r="AF37">
        <v>0</v>
      </c>
      <c r="AG37" s="403">
        <v>1</v>
      </c>
    </row>
    <row r="38" spans="1:33" x14ac:dyDescent="0.15">
      <c r="A38" s="118">
        <v>102102</v>
      </c>
      <c r="B38" s="17" t="s">
        <v>223</v>
      </c>
      <c r="C38" s="17" t="s">
        <v>223</v>
      </c>
      <c r="D38" s="118" t="s">
        <v>33</v>
      </c>
      <c r="E38" s="118">
        <v>2</v>
      </c>
      <c r="F38" s="118" t="s">
        <v>134</v>
      </c>
      <c r="G38" s="118" t="s">
        <v>224</v>
      </c>
      <c r="H38" s="118" t="s">
        <v>35</v>
      </c>
      <c r="I38" s="118">
        <v>1</v>
      </c>
      <c r="J38" s="118">
        <v>1</v>
      </c>
      <c r="K38" s="118">
        <v>1</v>
      </c>
      <c r="L38" s="118">
        <v>3</v>
      </c>
      <c r="M38" s="118" t="s">
        <v>44</v>
      </c>
      <c r="N38" s="118" t="s">
        <v>45</v>
      </c>
      <c r="O38" s="118">
        <v>50</v>
      </c>
      <c r="P38" s="118">
        <v>0.7</v>
      </c>
      <c r="Q38" s="118">
        <v>0</v>
      </c>
      <c r="R38" s="25">
        <v>1</v>
      </c>
      <c r="S38" s="25" t="b">
        <v>1</v>
      </c>
      <c r="T38" s="118">
        <v>26</v>
      </c>
      <c r="U38" s="118">
        <v>390</v>
      </c>
      <c r="V38" s="118">
        <v>520</v>
      </c>
      <c r="W38" s="118">
        <v>0</v>
      </c>
      <c r="X38" s="118">
        <v>2</v>
      </c>
      <c r="Y38" s="118" t="s">
        <v>38</v>
      </c>
      <c r="Z38" s="388" t="s">
        <v>2909</v>
      </c>
      <c r="AA38" s="388" t="s">
        <v>2909</v>
      </c>
      <c r="AB38" s="25" t="s">
        <v>227</v>
      </c>
      <c r="AC38" s="118">
        <v>200000</v>
      </c>
      <c r="AD38" s="197">
        <v>1</v>
      </c>
      <c r="AE38" s="197">
        <v>1</v>
      </c>
      <c r="AF38">
        <v>0</v>
      </c>
      <c r="AG38" s="402">
        <v>2</v>
      </c>
    </row>
    <row r="39" spans="1:33" x14ac:dyDescent="0.15">
      <c r="A39" s="118">
        <v>102103</v>
      </c>
      <c r="B39" s="17" t="s">
        <v>229</v>
      </c>
      <c r="C39" s="17" t="s">
        <v>229</v>
      </c>
      <c r="D39" s="118" t="s">
        <v>33</v>
      </c>
      <c r="E39" s="118">
        <v>2</v>
      </c>
      <c r="F39" s="118" t="s">
        <v>134</v>
      </c>
      <c r="G39" s="118" t="s">
        <v>230</v>
      </c>
      <c r="H39" s="118" t="s">
        <v>35</v>
      </c>
      <c r="I39" s="118">
        <v>1</v>
      </c>
      <c r="J39" s="118">
        <v>1</v>
      </c>
      <c r="K39" s="118">
        <v>1</v>
      </c>
      <c r="L39" s="118">
        <v>3</v>
      </c>
      <c r="M39" s="118" t="s">
        <v>56</v>
      </c>
      <c r="N39" s="118" t="s">
        <v>57</v>
      </c>
      <c r="O39" s="118">
        <v>50</v>
      </c>
      <c r="P39" s="118">
        <v>0.7</v>
      </c>
      <c r="Q39" s="118">
        <v>0</v>
      </c>
      <c r="R39" s="25">
        <v>1</v>
      </c>
      <c r="S39" s="25" t="b">
        <v>1</v>
      </c>
      <c r="T39" s="118">
        <v>39</v>
      </c>
      <c r="U39" s="118">
        <v>585</v>
      </c>
      <c r="V39" s="118">
        <v>780</v>
      </c>
      <c r="W39" s="118">
        <v>0</v>
      </c>
      <c r="X39" s="118">
        <v>3</v>
      </c>
      <c r="Y39" s="118" t="s">
        <v>38</v>
      </c>
      <c r="Z39" s="388" t="s">
        <v>2910</v>
      </c>
      <c r="AA39" s="388" t="s">
        <v>2910</v>
      </c>
      <c r="AB39" s="25" t="s">
        <v>233</v>
      </c>
      <c r="AC39" s="118">
        <v>300000</v>
      </c>
      <c r="AD39" s="197">
        <v>1</v>
      </c>
      <c r="AE39" s="197">
        <v>1</v>
      </c>
      <c r="AF39">
        <v>0</v>
      </c>
      <c r="AG39" s="402">
        <v>3</v>
      </c>
    </row>
    <row r="40" spans="1:33" x14ac:dyDescent="0.15">
      <c r="A40" s="118">
        <v>102104</v>
      </c>
      <c r="B40" s="71" t="s">
        <v>235</v>
      </c>
      <c r="C40" s="71" t="s">
        <v>235</v>
      </c>
      <c r="D40" s="118" t="s">
        <v>33</v>
      </c>
      <c r="E40" s="118">
        <v>2</v>
      </c>
      <c r="F40" s="118" t="s">
        <v>134</v>
      </c>
      <c r="G40" s="118" t="s">
        <v>236</v>
      </c>
      <c r="H40" s="118" t="s">
        <v>35</v>
      </c>
      <c r="I40" s="118">
        <v>1</v>
      </c>
      <c r="J40" s="118">
        <v>1</v>
      </c>
      <c r="K40" s="118">
        <v>1</v>
      </c>
      <c r="L40" s="118">
        <v>3</v>
      </c>
      <c r="M40" s="118" t="s">
        <v>63</v>
      </c>
      <c r="N40" s="118" t="s">
        <v>64</v>
      </c>
      <c r="O40" s="118">
        <v>50</v>
      </c>
      <c r="P40" s="118">
        <v>0.7</v>
      </c>
      <c r="Q40" s="118">
        <v>0</v>
      </c>
      <c r="R40" s="25">
        <v>1</v>
      </c>
      <c r="S40" s="25" t="b">
        <v>1</v>
      </c>
      <c r="T40" s="118">
        <v>52</v>
      </c>
      <c r="U40" s="118">
        <v>780</v>
      </c>
      <c r="V40" s="118">
        <v>1040</v>
      </c>
      <c r="W40" s="118">
        <v>0</v>
      </c>
      <c r="X40" s="118">
        <v>4</v>
      </c>
      <c r="Y40" s="118" t="s">
        <v>38</v>
      </c>
      <c r="Z40" s="388" t="s">
        <v>2911</v>
      </c>
      <c r="AA40" s="388" t="s">
        <v>2911</v>
      </c>
      <c r="AB40" s="25" t="s">
        <v>239</v>
      </c>
      <c r="AC40" s="118">
        <v>300000</v>
      </c>
      <c r="AD40" s="197">
        <v>1</v>
      </c>
      <c r="AE40" s="197">
        <v>1</v>
      </c>
      <c r="AF40">
        <v>0</v>
      </c>
      <c r="AG40" s="402">
        <v>4</v>
      </c>
    </row>
    <row r="41" spans="1:33" x14ac:dyDescent="0.15">
      <c r="A41" s="118">
        <v>102105</v>
      </c>
      <c r="B41" s="17" t="s">
        <v>241</v>
      </c>
      <c r="C41" s="17" t="s">
        <v>241</v>
      </c>
      <c r="D41" s="118" t="s">
        <v>33</v>
      </c>
      <c r="E41" s="118">
        <v>2</v>
      </c>
      <c r="F41" s="118" t="s">
        <v>134</v>
      </c>
      <c r="G41" s="118" t="s">
        <v>242</v>
      </c>
      <c r="H41" s="118" t="s">
        <v>35</v>
      </c>
      <c r="I41" s="118">
        <v>1</v>
      </c>
      <c r="J41" s="118">
        <v>1</v>
      </c>
      <c r="K41" s="118">
        <v>1</v>
      </c>
      <c r="L41" s="118">
        <v>3</v>
      </c>
      <c r="M41" s="118" t="s">
        <v>70</v>
      </c>
      <c r="N41" s="118" t="s">
        <v>71</v>
      </c>
      <c r="O41" s="118">
        <v>50</v>
      </c>
      <c r="P41" s="118">
        <v>0.7</v>
      </c>
      <c r="Q41" s="118">
        <v>0</v>
      </c>
      <c r="R41" s="25">
        <v>1</v>
      </c>
      <c r="S41" s="25" t="b">
        <v>1</v>
      </c>
      <c r="T41" s="118">
        <v>65</v>
      </c>
      <c r="U41" s="118">
        <v>975</v>
      </c>
      <c r="V41" s="118">
        <v>1300</v>
      </c>
      <c r="W41" s="118">
        <v>0</v>
      </c>
      <c r="X41" s="118">
        <v>5</v>
      </c>
      <c r="Y41" s="118" t="s">
        <v>38</v>
      </c>
      <c r="Z41" s="388" t="s">
        <v>2912</v>
      </c>
      <c r="AA41" s="388" t="s">
        <v>2912</v>
      </c>
      <c r="AB41" s="118" t="s">
        <v>245</v>
      </c>
      <c r="AC41" s="118">
        <v>300000</v>
      </c>
      <c r="AD41" s="197">
        <v>1</v>
      </c>
      <c r="AE41" s="197">
        <v>1</v>
      </c>
      <c r="AF41">
        <v>0</v>
      </c>
      <c r="AG41" s="402">
        <v>5</v>
      </c>
    </row>
    <row r="42" spans="1:33" x14ac:dyDescent="0.15">
      <c r="A42" s="118">
        <v>102106</v>
      </c>
      <c r="B42" s="17" t="s">
        <v>247</v>
      </c>
      <c r="C42" s="17" t="s">
        <v>247</v>
      </c>
      <c r="D42" s="118" t="s">
        <v>33</v>
      </c>
      <c r="E42" s="118">
        <v>2</v>
      </c>
      <c r="F42" s="118" t="s">
        <v>134</v>
      </c>
      <c r="G42" s="118" t="s">
        <v>248</v>
      </c>
      <c r="H42" s="118" t="s">
        <v>35</v>
      </c>
      <c r="I42" s="118">
        <v>1</v>
      </c>
      <c r="J42" s="118">
        <v>1</v>
      </c>
      <c r="K42" s="118">
        <v>1</v>
      </c>
      <c r="L42" s="118">
        <v>3</v>
      </c>
      <c r="M42" s="118" t="s">
        <v>70</v>
      </c>
      <c r="N42" s="118" t="s">
        <v>77</v>
      </c>
      <c r="O42" s="118">
        <v>50</v>
      </c>
      <c r="P42" s="118">
        <v>0.7</v>
      </c>
      <c r="Q42" s="118">
        <v>0</v>
      </c>
      <c r="R42" s="25">
        <v>1</v>
      </c>
      <c r="S42" s="25" t="b">
        <v>1</v>
      </c>
      <c r="T42" s="118">
        <v>78</v>
      </c>
      <c r="U42" s="118">
        <v>1170</v>
      </c>
      <c r="V42" s="118">
        <v>1560</v>
      </c>
      <c r="W42" s="118">
        <v>0</v>
      </c>
      <c r="X42" s="118">
        <v>6</v>
      </c>
      <c r="Y42" s="118" t="s">
        <v>38</v>
      </c>
      <c r="Z42" s="388" t="s">
        <v>2913</v>
      </c>
      <c r="AA42" s="388" t="s">
        <v>2913</v>
      </c>
      <c r="AB42" s="118" t="s">
        <v>251</v>
      </c>
      <c r="AC42" s="118">
        <v>200000</v>
      </c>
      <c r="AD42" s="197">
        <v>1</v>
      </c>
      <c r="AE42" s="197">
        <v>1</v>
      </c>
      <c r="AF42">
        <v>0</v>
      </c>
      <c r="AG42" s="402">
        <v>6</v>
      </c>
    </row>
    <row r="43" spans="1:33" x14ac:dyDescent="0.15">
      <c r="A43" s="118">
        <v>102107</v>
      </c>
      <c r="B43" s="21" t="s">
        <v>253</v>
      </c>
      <c r="C43" s="21" t="s">
        <v>253</v>
      </c>
      <c r="D43" s="118" t="s">
        <v>33</v>
      </c>
      <c r="E43" s="118">
        <v>2</v>
      </c>
      <c r="F43" s="118" t="s">
        <v>134</v>
      </c>
      <c r="G43" s="118" t="s">
        <v>254</v>
      </c>
      <c r="H43" s="118" t="s">
        <v>35</v>
      </c>
      <c r="I43" s="118">
        <v>1</v>
      </c>
      <c r="J43" s="118">
        <v>1</v>
      </c>
      <c r="K43" s="118">
        <v>1</v>
      </c>
      <c r="L43" s="118">
        <v>3</v>
      </c>
      <c r="M43" s="118" t="s">
        <v>70</v>
      </c>
      <c r="N43" s="118" t="s">
        <v>83</v>
      </c>
      <c r="O43" s="118">
        <v>50</v>
      </c>
      <c r="P43" s="118">
        <v>0.7</v>
      </c>
      <c r="Q43" s="118">
        <v>0</v>
      </c>
      <c r="R43" s="25">
        <v>1</v>
      </c>
      <c r="S43" s="25" t="b">
        <v>1</v>
      </c>
      <c r="T43" s="118">
        <v>91</v>
      </c>
      <c r="U43" s="118">
        <v>1365</v>
      </c>
      <c r="V43" s="118">
        <v>1820</v>
      </c>
      <c r="W43" s="118">
        <v>0</v>
      </c>
      <c r="X43" s="118">
        <v>7</v>
      </c>
      <c r="Y43" s="118" t="s">
        <v>38</v>
      </c>
      <c r="Z43" s="388" t="s">
        <v>2914</v>
      </c>
      <c r="AA43" s="388" t="s">
        <v>2914</v>
      </c>
      <c r="AB43" s="118" t="s">
        <v>257</v>
      </c>
      <c r="AC43" s="118">
        <v>100000</v>
      </c>
      <c r="AD43" s="197">
        <v>1</v>
      </c>
      <c r="AE43" s="197">
        <v>1</v>
      </c>
      <c r="AF43">
        <v>0</v>
      </c>
      <c r="AG43" s="402">
        <v>7</v>
      </c>
    </row>
    <row r="44" spans="1:33" x14ac:dyDescent="0.15">
      <c r="A44" s="17">
        <v>102108</v>
      </c>
      <c r="B44" s="17" t="s">
        <v>259</v>
      </c>
      <c r="C44" s="17" t="s">
        <v>259</v>
      </c>
      <c r="D44" s="118" t="s">
        <v>33</v>
      </c>
      <c r="E44" s="118">
        <v>2</v>
      </c>
      <c r="F44" s="118" t="s">
        <v>134</v>
      </c>
      <c r="G44" s="118" t="s">
        <v>260</v>
      </c>
      <c r="H44" s="118" t="s">
        <v>35</v>
      </c>
      <c r="I44" s="118">
        <v>1</v>
      </c>
      <c r="J44" s="118">
        <v>1</v>
      </c>
      <c r="K44" s="118">
        <v>1</v>
      </c>
      <c r="L44" s="118">
        <v>3</v>
      </c>
      <c r="M44" s="118" t="s">
        <v>70</v>
      </c>
      <c r="N44" s="118" t="s">
        <v>89</v>
      </c>
      <c r="O44" s="118">
        <v>50</v>
      </c>
      <c r="P44" s="118">
        <v>0.7</v>
      </c>
      <c r="Q44" s="118">
        <v>0</v>
      </c>
      <c r="R44" s="25">
        <v>1</v>
      </c>
      <c r="S44" s="25" t="b">
        <v>1</v>
      </c>
      <c r="T44" s="118">
        <v>104</v>
      </c>
      <c r="U44" s="118">
        <v>1560</v>
      </c>
      <c r="V44" s="118">
        <v>2080</v>
      </c>
      <c r="W44" s="118">
        <v>0</v>
      </c>
      <c r="X44" s="118">
        <v>8</v>
      </c>
      <c r="Y44" s="118" t="s">
        <v>38</v>
      </c>
      <c r="Z44" s="388" t="s">
        <v>2915</v>
      </c>
      <c r="AA44" s="388" t="s">
        <v>2915</v>
      </c>
      <c r="AB44" s="118" t="s">
        <v>263</v>
      </c>
      <c r="AC44" s="118">
        <v>100000</v>
      </c>
      <c r="AD44" s="191">
        <v>1</v>
      </c>
      <c r="AE44" s="191">
        <v>1</v>
      </c>
      <c r="AF44">
        <v>0</v>
      </c>
      <c r="AG44" s="402">
        <v>8</v>
      </c>
    </row>
    <row r="45" spans="1:33" x14ac:dyDescent="0.15">
      <c r="A45" s="17">
        <v>102109</v>
      </c>
      <c r="B45" s="17" t="s">
        <v>265</v>
      </c>
      <c r="C45" s="17" t="s">
        <v>265</v>
      </c>
      <c r="D45" s="118" t="s">
        <v>33</v>
      </c>
      <c r="E45" s="118">
        <v>2</v>
      </c>
      <c r="F45" s="118" t="s">
        <v>134</v>
      </c>
      <c r="G45" s="118" t="s">
        <v>266</v>
      </c>
      <c r="H45" s="118" t="s">
        <v>35</v>
      </c>
      <c r="I45" s="118">
        <v>1</v>
      </c>
      <c r="J45" s="118">
        <v>1</v>
      </c>
      <c r="K45" s="118">
        <v>1</v>
      </c>
      <c r="L45" s="118">
        <v>3</v>
      </c>
      <c r="M45" s="118" t="s">
        <v>70</v>
      </c>
      <c r="N45" s="118" t="s">
        <v>95</v>
      </c>
      <c r="O45" s="118">
        <v>50</v>
      </c>
      <c r="P45" s="118">
        <v>0.7</v>
      </c>
      <c r="Q45" s="118">
        <v>0</v>
      </c>
      <c r="R45" s="25">
        <v>1</v>
      </c>
      <c r="S45" s="25" t="b">
        <v>1</v>
      </c>
      <c r="T45" s="118">
        <v>117</v>
      </c>
      <c r="U45" s="118">
        <v>1755</v>
      </c>
      <c r="V45" s="118">
        <v>2340</v>
      </c>
      <c r="W45" s="118">
        <v>0</v>
      </c>
      <c r="X45" s="118">
        <v>9</v>
      </c>
      <c r="Y45" s="118" t="s">
        <v>38</v>
      </c>
      <c r="Z45" s="388" t="s">
        <v>2916</v>
      </c>
      <c r="AA45" s="388" t="s">
        <v>2916</v>
      </c>
      <c r="AB45" s="118" t="s">
        <v>269</v>
      </c>
      <c r="AC45" s="118">
        <v>100000</v>
      </c>
      <c r="AD45" s="191">
        <v>1</v>
      </c>
      <c r="AE45" s="191">
        <v>1</v>
      </c>
      <c r="AF45">
        <v>0</v>
      </c>
      <c r="AG45" s="402">
        <v>9</v>
      </c>
    </row>
    <row r="46" spans="1:33" x14ac:dyDescent="0.15">
      <c r="A46" s="17">
        <v>102110</v>
      </c>
      <c r="B46" s="17" t="s">
        <v>271</v>
      </c>
      <c r="C46" s="17" t="s">
        <v>271</v>
      </c>
      <c r="D46" s="118" t="s">
        <v>33</v>
      </c>
      <c r="E46" s="118">
        <v>2</v>
      </c>
      <c r="F46" s="118" t="s">
        <v>134</v>
      </c>
      <c r="G46" s="118" t="s">
        <v>272</v>
      </c>
      <c r="H46" s="118" t="s">
        <v>35</v>
      </c>
      <c r="I46" s="118">
        <v>1</v>
      </c>
      <c r="J46" s="118">
        <v>1</v>
      </c>
      <c r="K46" s="118">
        <v>1</v>
      </c>
      <c r="L46" s="118">
        <v>3</v>
      </c>
      <c r="M46" s="118" t="s">
        <v>70</v>
      </c>
      <c r="N46" s="118" t="s">
        <v>101</v>
      </c>
      <c r="O46" s="118">
        <v>50</v>
      </c>
      <c r="P46" s="118">
        <v>0.7</v>
      </c>
      <c r="Q46" s="118">
        <v>0</v>
      </c>
      <c r="R46" s="25">
        <v>1</v>
      </c>
      <c r="S46" s="25" t="b">
        <v>1</v>
      </c>
      <c r="T46" s="118">
        <v>130</v>
      </c>
      <c r="U46" s="118">
        <v>1950</v>
      </c>
      <c r="V46" s="118">
        <v>2600</v>
      </c>
      <c r="W46" s="118">
        <v>0</v>
      </c>
      <c r="X46" s="118">
        <v>10</v>
      </c>
      <c r="Y46" s="118" t="s">
        <v>38</v>
      </c>
      <c r="Z46" s="388" t="s">
        <v>2917</v>
      </c>
      <c r="AA46" s="388" t="s">
        <v>2917</v>
      </c>
      <c r="AB46" s="118" t="s">
        <v>275</v>
      </c>
      <c r="AC46" s="118">
        <v>100000</v>
      </c>
      <c r="AD46" s="191">
        <v>1</v>
      </c>
      <c r="AE46" s="191">
        <v>1</v>
      </c>
      <c r="AF46">
        <v>0</v>
      </c>
      <c r="AG46" s="402">
        <v>10</v>
      </c>
    </row>
    <row r="47" spans="1:33" x14ac:dyDescent="0.15">
      <c r="A47" s="84">
        <v>102213</v>
      </c>
      <c r="B47" s="105" t="s">
        <v>277</v>
      </c>
      <c r="C47" s="105" t="s">
        <v>277</v>
      </c>
      <c r="D47" s="84" t="s">
        <v>33</v>
      </c>
      <c r="E47" s="84">
        <v>2</v>
      </c>
      <c r="F47" s="84" t="s">
        <v>134</v>
      </c>
      <c r="G47" s="118" t="s">
        <v>155</v>
      </c>
      <c r="H47" s="84" t="s">
        <v>107</v>
      </c>
      <c r="I47" s="84">
        <v>6</v>
      </c>
      <c r="J47" s="118">
        <v>6</v>
      </c>
      <c r="K47" s="84">
        <v>0</v>
      </c>
      <c r="L47" s="84">
        <v>3</v>
      </c>
      <c r="M47" s="84">
        <v>6</v>
      </c>
      <c r="N47" s="118" t="s">
        <v>57</v>
      </c>
      <c r="O47" s="84">
        <v>50</v>
      </c>
      <c r="P47" s="84">
        <v>0.7</v>
      </c>
      <c r="Q47" s="84">
        <v>0</v>
      </c>
      <c r="R47" s="84">
        <v>1</v>
      </c>
      <c r="S47" s="43" t="b">
        <v>1</v>
      </c>
      <c r="T47" s="84">
        <v>39</v>
      </c>
      <c r="U47" s="118">
        <v>585</v>
      </c>
      <c r="V47" s="118">
        <v>780</v>
      </c>
      <c r="W47" s="84">
        <v>0</v>
      </c>
      <c r="X47" s="84">
        <v>3</v>
      </c>
      <c r="Y47" s="84" t="s">
        <v>38</v>
      </c>
      <c r="Z47" s="388" t="s">
        <v>2918</v>
      </c>
      <c r="AA47" s="388" t="s">
        <v>2918</v>
      </c>
      <c r="AB47" s="43" t="s">
        <v>158</v>
      </c>
      <c r="AC47" s="84">
        <v>200000</v>
      </c>
      <c r="AD47" s="197">
        <v>1</v>
      </c>
      <c r="AE47" s="197">
        <v>1</v>
      </c>
      <c r="AF47">
        <v>0</v>
      </c>
      <c r="AG47" s="404">
        <v>3</v>
      </c>
    </row>
    <row r="48" spans="1:33" x14ac:dyDescent="0.15">
      <c r="A48" s="84">
        <v>102114</v>
      </c>
      <c r="B48" s="105" t="s">
        <v>281</v>
      </c>
      <c r="C48" s="105" t="s">
        <v>281</v>
      </c>
      <c r="D48" s="84" t="s">
        <v>33</v>
      </c>
      <c r="E48" s="84">
        <v>2</v>
      </c>
      <c r="F48" s="84" t="s">
        <v>134</v>
      </c>
      <c r="G48" s="118" t="s">
        <v>230</v>
      </c>
      <c r="H48" s="84" t="s">
        <v>107</v>
      </c>
      <c r="I48" s="84">
        <v>4</v>
      </c>
      <c r="J48" s="118">
        <v>4</v>
      </c>
      <c r="K48" s="84">
        <v>0</v>
      </c>
      <c r="L48" s="84">
        <v>3</v>
      </c>
      <c r="M48" s="84">
        <v>4</v>
      </c>
      <c r="N48" s="118" t="s">
        <v>64</v>
      </c>
      <c r="O48" s="84">
        <v>50</v>
      </c>
      <c r="P48" s="84">
        <v>0.7</v>
      </c>
      <c r="Q48" s="84">
        <v>0</v>
      </c>
      <c r="R48" s="84">
        <v>1</v>
      </c>
      <c r="S48" s="43" t="b">
        <v>1</v>
      </c>
      <c r="T48" s="84">
        <v>52</v>
      </c>
      <c r="U48" s="118">
        <v>780</v>
      </c>
      <c r="V48" s="118">
        <v>1040</v>
      </c>
      <c r="W48" s="84">
        <v>0</v>
      </c>
      <c r="X48" s="84">
        <v>4</v>
      </c>
      <c r="Y48" s="84" t="s">
        <v>38</v>
      </c>
      <c r="Z48" s="388" t="s">
        <v>2919</v>
      </c>
      <c r="AA48" s="388" t="s">
        <v>2919</v>
      </c>
      <c r="AB48" s="43" t="s">
        <v>284</v>
      </c>
      <c r="AC48" s="84">
        <v>300000</v>
      </c>
      <c r="AD48" s="197">
        <v>1</v>
      </c>
      <c r="AE48" s="197">
        <v>1</v>
      </c>
      <c r="AF48">
        <v>0</v>
      </c>
      <c r="AG48" s="404">
        <v>4</v>
      </c>
    </row>
    <row r="49" spans="1:33" x14ac:dyDescent="0.15">
      <c r="A49" s="84">
        <v>102202</v>
      </c>
      <c r="B49" s="105" t="s">
        <v>286</v>
      </c>
      <c r="C49" s="105" t="s">
        <v>286</v>
      </c>
      <c r="D49" s="84" t="s">
        <v>33</v>
      </c>
      <c r="E49" s="84">
        <v>2</v>
      </c>
      <c r="F49" s="84" t="s">
        <v>134</v>
      </c>
      <c r="G49" s="118" t="s">
        <v>135</v>
      </c>
      <c r="H49" s="84" t="s">
        <v>107</v>
      </c>
      <c r="I49" s="84">
        <v>4</v>
      </c>
      <c r="J49" s="118">
        <v>4</v>
      </c>
      <c r="K49" s="84">
        <v>0</v>
      </c>
      <c r="L49" s="84">
        <v>3</v>
      </c>
      <c r="M49" s="84">
        <v>4</v>
      </c>
      <c r="N49" s="118" t="s">
        <v>45</v>
      </c>
      <c r="O49" s="84">
        <v>50</v>
      </c>
      <c r="P49" s="84">
        <v>0.7</v>
      </c>
      <c r="Q49" s="84">
        <v>0</v>
      </c>
      <c r="R49" s="84">
        <v>1</v>
      </c>
      <c r="S49" s="43" t="b">
        <v>1</v>
      </c>
      <c r="T49" s="84">
        <v>26</v>
      </c>
      <c r="U49" s="118">
        <v>390</v>
      </c>
      <c r="V49" s="118">
        <v>520</v>
      </c>
      <c r="W49" s="84">
        <v>0</v>
      </c>
      <c r="X49" s="84">
        <v>2</v>
      </c>
      <c r="Y49" s="84" t="s">
        <v>38</v>
      </c>
      <c r="Z49" s="388" t="s">
        <v>2894</v>
      </c>
      <c r="AA49" s="388" t="s">
        <v>2894</v>
      </c>
      <c r="AB49" s="43" t="s">
        <v>143</v>
      </c>
      <c r="AC49" s="84">
        <v>100000</v>
      </c>
      <c r="AD49" s="197">
        <v>1</v>
      </c>
      <c r="AE49" s="197">
        <v>1</v>
      </c>
      <c r="AF49">
        <v>0</v>
      </c>
      <c r="AG49" s="404">
        <v>2</v>
      </c>
    </row>
    <row r="50" spans="1:33" x14ac:dyDescent="0.15">
      <c r="A50" s="393">
        <v>102203</v>
      </c>
      <c r="B50" s="394" t="s">
        <v>289</v>
      </c>
      <c r="C50" s="394" t="s">
        <v>289</v>
      </c>
      <c r="D50" s="393" t="s">
        <v>33</v>
      </c>
      <c r="E50" s="393">
        <v>2</v>
      </c>
      <c r="F50" s="393" t="s">
        <v>134</v>
      </c>
      <c r="G50" s="393" t="s">
        <v>167</v>
      </c>
      <c r="H50" s="393"/>
      <c r="I50" s="393">
        <v>4</v>
      </c>
      <c r="J50" s="118">
        <v>4</v>
      </c>
      <c r="K50" s="393">
        <v>0</v>
      </c>
      <c r="L50" s="393">
        <v>3</v>
      </c>
      <c r="M50" s="393">
        <v>4</v>
      </c>
      <c r="N50" s="118" t="s">
        <v>57</v>
      </c>
      <c r="O50" s="393">
        <v>50</v>
      </c>
      <c r="P50" s="393">
        <v>0.7</v>
      </c>
      <c r="Q50" s="393">
        <v>0</v>
      </c>
      <c r="R50" s="399">
        <v>1</v>
      </c>
      <c r="S50" s="399" t="b">
        <v>1</v>
      </c>
      <c r="T50" s="393">
        <v>39</v>
      </c>
      <c r="U50" s="118">
        <v>585</v>
      </c>
      <c r="V50" s="118">
        <v>780</v>
      </c>
      <c r="W50" s="393">
        <v>0</v>
      </c>
      <c r="X50" s="393">
        <v>3</v>
      </c>
      <c r="Y50" s="393" t="s">
        <v>38</v>
      </c>
      <c r="Z50" s="388" t="s">
        <v>2920</v>
      </c>
      <c r="AA50" s="388" t="s">
        <v>2920</v>
      </c>
      <c r="AB50" s="399" t="s">
        <v>292</v>
      </c>
      <c r="AC50" s="393">
        <v>100000</v>
      </c>
      <c r="AD50" s="197">
        <v>1</v>
      </c>
      <c r="AE50" s="197">
        <v>1</v>
      </c>
      <c r="AF50">
        <v>0</v>
      </c>
      <c r="AG50" s="407">
        <v>3</v>
      </c>
    </row>
    <row r="51" spans="1:33" x14ac:dyDescent="0.15">
      <c r="A51" s="84">
        <v>102204</v>
      </c>
      <c r="B51" s="105" t="s">
        <v>294</v>
      </c>
      <c r="C51" s="105" t="s">
        <v>294</v>
      </c>
      <c r="D51" s="84" t="s">
        <v>33</v>
      </c>
      <c r="E51" s="84">
        <v>2</v>
      </c>
      <c r="F51" s="84" t="s">
        <v>134</v>
      </c>
      <c r="G51" s="118" t="s">
        <v>230</v>
      </c>
      <c r="H51" s="84" t="s">
        <v>295</v>
      </c>
      <c r="I51" s="84">
        <v>5</v>
      </c>
      <c r="J51" s="118">
        <v>5</v>
      </c>
      <c r="K51" s="84">
        <v>0</v>
      </c>
      <c r="L51" s="84">
        <v>3</v>
      </c>
      <c r="M51" s="84">
        <v>5</v>
      </c>
      <c r="N51" s="118" t="s">
        <v>64</v>
      </c>
      <c r="O51" s="84">
        <v>50</v>
      </c>
      <c r="P51" s="84">
        <v>0.7</v>
      </c>
      <c r="Q51" s="84">
        <v>0</v>
      </c>
      <c r="R51" s="84">
        <v>1</v>
      </c>
      <c r="S51" s="43" t="b">
        <v>1</v>
      </c>
      <c r="T51" s="84">
        <v>52</v>
      </c>
      <c r="U51" s="118">
        <v>780</v>
      </c>
      <c r="V51" s="118">
        <v>1040</v>
      </c>
      <c r="W51" s="84">
        <v>0</v>
      </c>
      <c r="X51" s="84">
        <v>4</v>
      </c>
      <c r="Y51" s="84" t="s">
        <v>38</v>
      </c>
      <c r="Z51" s="388" t="s">
        <v>2921</v>
      </c>
      <c r="AA51" s="388" t="s">
        <v>2921</v>
      </c>
      <c r="AB51" s="43" t="s">
        <v>239</v>
      </c>
      <c r="AC51" s="84">
        <v>300000</v>
      </c>
      <c r="AD51" s="197">
        <v>1</v>
      </c>
      <c r="AE51" s="197">
        <v>1</v>
      </c>
      <c r="AF51">
        <v>0</v>
      </c>
      <c r="AG51" s="404">
        <v>4</v>
      </c>
    </row>
    <row r="52" spans="1:33" x14ac:dyDescent="0.15">
      <c r="A52" s="105">
        <v>102205</v>
      </c>
      <c r="B52" s="105" t="s">
        <v>299</v>
      </c>
      <c r="C52" s="105" t="s">
        <v>299</v>
      </c>
      <c r="D52" s="84" t="s">
        <v>33</v>
      </c>
      <c r="E52" s="43">
        <v>2</v>
      </c>
      <c r="F52" s="43" t="s">
        <v>134</v>
      </c>
      <c r="G52" s="118" t="s">
        <v>167</v>
      </c>
      <c r="H52" s="84" t="s">
        <v>107</v>
      </c>
      <c r="I52" s="43">
        <v>1</v>
      </c>
      <c r="J52" s="118">
        <v>1</v>
      </c>
      <c r="K52" s="43">
        <v>0</v>
      </c>
      <c r="L52" s="43">
        <v>3</v>
      </c>
      <c r="M52" s="43">
        <v>5</v>
      </c>
      <c r="N52" s="118" t="s">
        <v>71</v>
      </c>
      <c r="O52" s="84">
        <v>50</v>
      </c>
      <c r="P52" s="84">
        <v>0.7</v>
      </c>
      <c r="Q52" s="84">
        <v>0</v>
      </c>
      <c r="R52" s="43">
        <v>1</v>
      </c>
      <c r="S52" s="43" t="b">
        <v>1</v>
      </c>
      <c r="T52" s="84">
        <v>65</v>
      </c>
      <c r="U52" s="118">
        <v>975</v>
      </c>
      <c r="V52" s="118">
        <v>1300</v>
      </c>
      <c r="W52" s="84">
        <v>0</v>
      </c>
      <c r="X52" s="43">
        <v>5</v>
      </c>
      <c r="Y52" s="43" t="s">
        <v>38</v>
      </c>
      <c r="Z52" s="388" t="s">
        <v>2922</v>
      </c>
      <c r="AA52" s="388" t="s">
        <v>2922</v>
      </c>
      <c r="AB52" s="157" t="s">
        <v>170</v>
      </c>
      <c r="AC52" s="43">
        <v>100000</v>
      </c>
      <c r="AD52" s="197">
        <v>1</v>
      </c>
      <c r="AE52" s="197">
        <v>1</v>
      </c>
      <c r="AF52">
        <v>0</v>
      </c>
      <c r="AG52" s="293">
        <v>5</v>
      </c>
    </row>
    <row r="53" spans="1:33" x14ac:dyDescent="0.15">
      <c r="A53" s="105">
        <v>102206</v>
      </c>
      <c r="B53" s="105" t="s">
        <v>303</v>
      </c>
      <c r="C53" s="105" t="s">
        <v>303</v>
      </c>
      <c r="D53" s="84" t="s">
        <v>33</v>
      </c>
      <c r="E53" s="43">
        <v>2</v>
      </c>
      <c r="F53" s="43" t="s">
        <v>134</v>
      </c>
      <c r="G53" s="118" t="s">
        <v>179</v>
      </c>
      <c r="H53" s="84" t="s">
        <v>107</v>
      </c>
      <c r="I53" s="43">
        <v>1</v>
      </c>
      <c r="J53" s="118">
        <v>1</v>
      </c>
      <c r="K53" s="43">
        <v>0</v>
      </c>
      <c r="L53" s="43">
        <v>3</v>
      </c>
      <c r="M53" s="43">
        <v>5</v>
      </c>
      <c r="N53" s="118" t="s">
        <v>77</v>
      </c>
      <c r="O53" s="84">
        <v>50</v>
      </c>
      <c r="P53" s="84">
        <v>0.7</v>
      </c>
      <c r="Q53" s="84">
        <v>0</v>
      </c>
      <c r="R53" s="43">
        <v>1</v>
      </c>
      <c r="S53" s="43" t="b">
        <v>1</v>
      </c>
      <c r="T53" s="84">
        <v>78</v>
      </c>
      <c r="U53" s="118">
        <v>1170</v>
      </c>
      <c r="V53" s="118">
        <v>1560</v>
      </c>
      <c r="W53" s="84">
        <v>0</v>
      </c>
      <c r="X53" s="43">
        <v>6</v>
      </c>
      <c r="Y53" s="43" t="s">
        <v>38</v>
      </c>
      <c r="Z53" s="388" t="s">
        <v>2923</v>
      </c>
      <c r="AA53" s="388" t="s">
        <v>2923</v>
      </c>
      <c r="AB53" s="193" t="s">
        <v>306</v>
      </c>
      <c r="AC53" s="43">
        <v>100000</v>
      </c>
      <c r="AD53" s="197">
        <v>1</v>
      </c>
      <c r="AE53" s="197">
        <v>1</v>
      </c>
      <c r="AF53">
        <v>0</v>
      </c>
      <c r="AG53" s="293">
        <v>6</v>
      </c>
    </row>
    <row r="54" spans="1:33" x14ac:dyDescent="0.15">
      <c r="A54" s="395">
        <v>102207</v>
      </c>
      <c r="B54" s="20" t="s">
        <v>308</v>
      </c>
      <c r="C54" s="20" t="s">
        <v>308</v>
      </c>
      <c r="D54" s="395" t="s">
        <v>33</v>
      </c>
      <c r="E54" s="20">
        <v>2</v>
      </c>
      <c r="F54" s="395" t="s">
        <v>134</v>
      </c>
      <c r="G54" s="118" t="s">
        <v>179</v>
      </c>
      <c r="H54" s="20" t="s">
        <v>309</v>
      </c>
      <c r="I54" s="395">
        <v>1</v>
      </c>
      <c r="J54" s="118">
        <v>1</v>
      </c>
      <c r="K54" s="20">
        <v>0</v>
      </c>
      <c r="L54" s="395">
        <v>3</v>
      </c>
      <c r="M54" s="20">
        <v>7</v>
      </c>
      <c r="N54" s="118" t="s">
        <v>83</v>
      </c>
      <c r="O54" s="395">
        <v>50</v>
      </c>
      <c r="P54" s="395">
        <v>0.7</v>
      </c>
      <c r="Q54" s="395">
        <v>0</v>
      </c>
      <c r="R54" s="395">
        <v>1</v>
      </c>
      <c r="S54" s="20" t="b">
        <v>1</v>
      </c>
      <c r="T54" s="395">
        <v>91</v>
      </c>
      <c r="U54" s="118">
        <v>1365</v>
      </c>
      <c r="V54" s="118">
        <v>1820</v>
      </c>
      <c r="W54" s="395">
        <v>0</v>
      </c>
      <c r="X54" s="395">
        <v>7</v>
      </c>
      <c r="Y54" s="395" t="s">
        <v>38</v>
      </c>
      <c r="Z54" s="388" t="s">
        <v>2924</v>
      </c>
      <c r="AA54" s="388" t="s">
        <v>2924</v>
      </c>
      <c r="AB54" s="395" t="s">
        <v>312</v>
      </c>
      <c r="AC54" s="395">
        <v>200000</v>
      </c>
      <c r="AD54" s="197">
        <v>1</v>
      </c>
      <c r="AE54" s="197">
        <v>1</v>
      </c>
      <c r="AF54">
        <v>0</v>
      </c>
      <c r="AG54" s="408">
        <v>7</v>
      </c>
    </row>
    <row r="55" spans="1:33" x14ac:dyDescent="0.15">
      <c r="A55" s="114">
        <v>102607</v>
      </c>
      <c r="B55" s="359" t="s">
        <v>314</v>
      </c>
      <c r="C55" s="359" t="s">
        <v>314</v>
      </c>
      <c r="D55" s="119" t="s">
        <v>33</v>
      </c>
      <c r="E55" s="119">
        <v>2</v>
      </c>
      <c r="F55" s="119" t="s">
        <v>134</v>
      </c>
      <c r="G55" s="118" t="s">
        <v>254</v>
      </c>
      <c r="H55" s="119" t="s">
        <v>51</v>
      </c>
      <c r="I55" s="119">
        <v>1</v>
      </c>
      <c r="J55" s="118">
        <v>4</v>
      </c>
      <c r="K55" s="119">
        <v>0</v>
      </c>
      <c r="L55" s="119">
        <v>3</v>
      </c>
      <c r="M55" s="119" t="s">
        <v>52</v>
      </c>
      <c r="N55" s="118" t="s">
        <v>83</v>
      </c>
      <c r="O55" s="119">
        <v>50</v>
      </c>
      <c r="P55" s="119">
        <v>0.7</v>
      </c>
      <c r="Q55" s="119">
        <v>0</v>
      </c>
      <c r="R55" s="80">
        <v>1</v>
      </c>
      <c r="S55" s="80" t="b">
        <v>1</v>
      </c>
      <c r="T55" s="119">
        <v>91</v>
      </c>
      <c r="U55" s="118">
        <v>1365</v>
      </c>
      <c r="V55" s="118">
        <v>1820</v>
      </c>
      <c r="W55" s="119">
        <v>0</v>
      </c>
      <c r="X55" s="119">
        <v>7</v>
      </c>
      <c r="Y55" s="119" t="s">
        <v>38</v>
      </c>
      <c r="Z55" s="388" t="s">
        <v>2914</v>
      </c>
      <c r="AA55" s="388" t="s">
        <v>2914</v>
      </c>
      <c r="AB55" s="119" t="s">
        <v>257</v>
      </c>
      <c r="AC55" s="119">
        <v>100000</v>
      </c>
      <c r="AD55" s="197">
        <v>1</v>
      </c>
      <c r="AE55" s="197">
        <v>1</v>
      </c>
      <c r="AF55">
        <v>0</v>
      </c>
      <c r="AG55" s="403">
        <v>7</v>
      </c>
    </row>
    <row r="56" spans="1:33" x14ac:dyDescent="0.15">
      <c r="A56" s="119">
        <v>102308</v>
      </c>
      <c r="B56" s="114" t="s">
        <v>317</v>
      </c>
      <c r="C56" s="114" t="s">
        <v>317</v>
      </c>
      <c r="D56" s="119" t="s">
        <v>33</v>
      </c>
      <c r="E56" s="119">
        <v>2</v>
      </c>
      <c r="F56" s="119" t="s">
        <v>134</v>
      </c>
      <c r="G56" s="119" t="s">
        <v>260</v>
      </c>
      <c r="H56" s="119" t="s">
        <v>51</v>
      </c>
      <c r="I56" s="119">
        <v>1</v>
      </c>
      <c r="J56" s="118">
        <v>4</v>
      </c>
      <c r="K56" s="119">
        <v>0</v>
      </c>
      <c r="L56" s="119">
        <v>3</v>
      </c>
      <c r="M56" s="119" t="s">
        <v>52</v>
      </c>
      <c r="N56" s="118" t="s">
        <v>89</v>
      </c>
      <c r="O56" s="119">
        <v>50</v>
      </c>
      <c r="P56" s="119">
        <v>0.7</v>
      </c>
      <c r="Q56" s="119">
        <v>0</v>
      </c>
      <c r="R56" s="119">
        <v>1</v>
      </c>
      <c r="S56" s="80" t="b">
        <v>1</v>
      </c>
      <c r="T56" s="119">
        <v>104</v>
      </c>
      <c r="U56" s="118">
        <v>1560</v>
      </c>
      <c r="V56" s="118">
        <v>2080</v>
      </c>
      <c r="W56" s="119">
        <v>0</v>
      </c>
      <c r="X56" s="119">
        <v>8</v>
      </c>
      <c r="Y56" s="119" t="s">
        <v>38</v>
      </c>
      <c r="Z56" s="388" t="s">
        <v>2915</v>
      </c>
      <c r="AA56" s="388" t="s">
        <v>2915</v>
      </c>
      <c r="AB56" s="80" t="s">
        <v>263</v>
      </c>
      <c r="AC56" s="119">
        <v>100000</v>
      </c>
      <c r="AD56" s="92">
        <v>1</v>
      </c>
      <c r="AE56" s="92">
        <v>1</v>
      </c>
      <c r="AF56">
        <v>0</v>
      </c>
      <c r="AG56" s="403">
        <v>8</v>
      </c>
    </row>
    <row r="57" spans="1:33" x14ac:dyDescent="0.15">
      <c r="A57" s="119">
        <v>102409</v>
      </c>
      <c r="B57" s="114" t="s">
        <v>320</v>
      </c>
      <c r="C57" s="114" t="s">
        <v>320</v>
      </c>
      <c r="D57" s="119" t="s">
        <v>33</v>
      </c>
      <c r="E57" s="119">
        <v>2</v>
      </c>
      <c r="F57" s="119" t="s">
        <v>134</v>
      </c>
      <c r="G57" s="119" t="s">
        <v>266</v>
      </c>
      <c r="H57" s="119" t="s">
        <v>51</v>
      </c>
      <c r="I57" s="119">
        <v>1</v>
      </c>
      <c r="J57" s="118">
        <v>4</v>
      </c>
      <c r="K57" s="119">
        <v>0</v>
      </c>
      <c r="L57" s="119">
        <v>3</v>
      </c>
      <c r="M57" s="119" t="s">
        <v>52</v>
      </c>
      <c r="N57" s="118" t="s">
        <v>95</v>
      </c>
      <c r="O57" s="119">
        <v>50</v>
      </c>
      <c r="P57" s="119">
        <v>0.7</v>
      </c>
      <c r="Q57" s="119">
        <v>0</v>
      </c>
      <c r="R57" s="119">
        <v>1</v>
      </c>
      <c r="S57" s="80" t="b">
        <v>1</v>
      </c>
      <c r="T57" s="119">
        <v>117</v>
      </c>
      <c r="U57" s="118">
        <v>1755</v>
      </c>
      <c r="V57" s="118">
        <v>2340</v>
      </c>
      <c r="W57" s="119">
        <v>0</v>
      </c>
      <c r="X57" s="119">
        <v>9</v>
      </c>
      <c r="Y57" s="119" t="s">
        <v>38</v>
      </c>
      <c r="Z57" s="388" t="s">
        <v>2916</v>
      </c>
      <c r="AA57" s="388" t="s">
        <v>2916</v>
      </c>
      <c r="AB57" s="80" t="s">
        <v>269</v>
      </c>
      <c r="AC57" s="119">
        <v>100000</v>
      </c>
      <c r="AD57" s="92">
        <v>1</v>
      </c>
      <c r="AE57" s="92">
        <v>1</v>
      </c>
      <c r="AF57">
        <v>0</v>
      </c>
      <c r="AG57" s="403">
        <v>9</v>
      </c>
    </row>
    <row r="58" spans="1:33" x14ac:dyDescent="0.15">
      <c r="A58" s="119">
        <v>102310</v>
      </c>
      <c r="B58" s="114" t="s">
        <v>323</v>
      </c>
      <c r="C58" s="114" t="s">
        <v>323</v>
      </c>
      <c r="D58" s="119" t="s">
        <v>33</v>
      </c>
      <c r="E58" s="119">
        <v>2</v>
      </c>
      <c r="F58" s="119" t="s">
        <v>134</v>
      </c>
      <c r="G58" s="119" t="s">
        <v>272</v>
      </c>
      <c r="H58" s="119" t="s">
        <v>51</v>
      </c>
      <c r="I58" s="119">
        <v>1</v>
      </c>
      <c r="J58" s="118">
        <v>4</v>
      </c>
      <c r="K58" s="119">
        <v>0</v>
      </c>
      <c r="L58" s="119">
        <v>3</v>
      </c>
      <c r="M58" s="119" t="s">
        <v>52</v>
      </c>
      <c r="N58" s="118" t="s">
        <v>101</v>
      </c>
      <c r="O58" s="119">
        <v>50</v>
      </c>
      <c r="P58" s="119">
        <v>0.7</v>
      </c>
      <c r="Q58" s="119">
        <v>0</v>
      </c>
      <c r="R58" s="119">
        <v>1</v>
      </c>
      <c r="S58" s="80" t="b">
        <v>1</v>
      </c>
      <c r="T58" s="119">
        <v>130</v>
      </c>
      <c r="U58" s="118">
        <v>1950</v>
      </c>
      <c r="V58" s="118">
        <v>2600</v>
      </c>
      <c r="W58" s="119">
        <v>0</v>
      </c>
      <c r="X58" s="119">
        <v>10</v>
      </c>
      <c r="Y58" s="119" t="s">
        <v>38</v>
      </c>
      <c r="Z58" s="388" t="s">
        <v>2917</v>
      </c>
      <c r="AA58" s="388" t="s">
        <v>2917</v>
      </c>
      <c r="AB58" s="80" t="s">
        <v>275</v>
      </c>
      <c r="AC58" s="119">
        <v>100000</v>
      </c>
      <c r="AD58" s="92">
        <v>1</v>
      </c>
      <c r="AE58" s="92">
        <v>1</v>
      </c>
      <c r="AF58">
        <v>0</v>
      </c>
      <c r="AG58" s="403">
        <v>10</v>
      </c>
    </row>
    <row r="59" spans="1:33" x14ac:dyDescent="0.15">
      <c r="A59" s="396">
        <v>102209</v>
      </c>
      <c r="B59" s="396" t="s">
        <v>326</v>
      </c>
      <c r="C59" s="396" t="s">
        <v>326</v>
      </c>
      <c r="D59" s="395" t="s">
        <v>33</v>
      </c>
      <c r="E59" s="20">
        <v>2</v>
      </c>
      <c r="F59" s="20" t="s">
        <v>134</v>
      </c>
      <c r="G59" s="20" t="s">
        <v>167</v>
      </c>
      <c r="H59" s="20" t="s">
        <v>309</v>
      </c>
      <c r="I59" s="20">
        <v>1</v>
      </c>
      <c r="J59" s="118">
        <v>1</v>
      </c>
      <c r="K59" s="20">
        <v>0</v>
      </c>
      <c r="L59" s="20">
        <v>3</v>
      </c>
      <c r="M59" s="20">
        <v>7</v>
      </c>
      <c r="N59" s="118" t="s">
        <v>95</v>
      </c>
      <c r="O59" s="395">
        <v>50</v>
      </c>
      <c r="P59" s="395">
        <v>0.7</v>
      </c>
      <c r="Q59" s="395">
        <v>0</v>
      </c>
      <c r="R59" s="20">
        <v>1</v>
      </c>
      <c r="S59" s="20" t="b">
        <v>1</v>
      </c>
      <c r="T59" s="395">
        <v>117</v>
      </c>
      <c r="U59" s="118">
        <v>1755</v>
      </c>
      <c r="V59" s="118">
        <v>2340</v>
      </c>
      <c r="W59" s="395">
        <v>0</v>
      </c>
      <c r="X59" s="118">
        <v>9</v>
      </c>
      <c r="Y59" s="20" t="s">
        <v>38</v>
      </c>
      <c r="Z59" s="388" t="s">
        <v>2925</v>
      </c>
      <c r="AA59" s="388" t="s">
        <v>2925</v>
      </c>
      <c r="AB59" s="400" t="s">
        <v>329</v>
      </c>
      <c r="AC59" s="20">
        <v>100000</v>
      </c>
      <c r="AD59" s="197">
        <v>1</v>
      </c>
      <c r="AE59" s="197">
        <v>1</v>
      </c>
      <c r="AF59">
        <v>0</v>
      </c>
      <c r="AG59" s="409">
        <v>9</v>
      </c>
    </row>
    <row r="60" spans="1:33" x14ac:dyDescent="0.15">
      <c r="A60" s="84">
        <v>102302</v>
      </c>
      <c r="B60" s="105" t="s">
        <v>331</v>
      </c>
      <c r="C60" s="105" t="s">
        <v>331</v>
      </c>
      <c r="D60" s="84" t="s">
        <v>33</v>
      </c>
      <c r="E60" s="84">
        <v>2</v>
      </c>
      <c r="F60" s="84" t="s">
        <v>134</v>
      </c>
      <c r="G60" s="118" t="s">
        <v>215</v>
      </c>
      <c r="H60" s="84" t="s">
        <v>107</v>
      </c>
      <c r="I60" s="84">
        <v>4</v>
      </c>
      <c r="J60" s="118">
        <v>4</v>
      </c>
      <c r="K60" s="84">
        <v>0</v>
      </c>
      <c r="L60" s="84">
        <v>3</v>
      </c>
      <c r="M60" s="84">
        <v>4</v>
      </c>
      <c r="N60" s="118" t="s">
        <v>45</v>
      </c>
      <c r="O60" s="84">
        <v>50</v>
      </c>
      <c r="P60" s="84">
        <v>0.7</v>
      </c>
      <c r="Q60" s="84">
        <v>0</v>
      </c>
      <c r="R60" s="84">
        <v>1</v>
      </c>
      <c r="S60" s="43" t="b">
        <v>1</v>
      </c>
      <c r="T60" s="84">
        <v>26</v>
      </c>
      <c r="U60" s="118">
        <v>390</v>
      </c>
      <c r="V60" s="118">
        <v>520</v>
      </c>
      <c r="W60" s="84">
        <v>0</v>
      </c>
      <c r="X60" s="84">
        <v>2</v>
      </c>
      <c r="Y60" s="84" t="s">
        <v>38</v>
      </c>
      <c r="Z60" s="388" t="s">
        <v>2894</v>
      </c>
      <c r="AA60" s="388" t="s">
        <v>2894</v>
      </c>
      <c r="AB60" s="43" t="s">
        <v>218</v>
      </c>
      <c r="AC60" s="84">
        <v>100000</v>
      </c>
      <c r="AD60" s="197">
        <v>1</v>
      </c>
      <c r="AE60" s="197">
        <v>1</v>
      </c>
      <c r="AF60">
        <v>0</v>
      </c>
      <c r="AG60" s="404">
        <v>2</v>
      </c>
    </row>
    <row r="61" spans="1:33" x14ac:dyDescent="0.15">
      <c r="A61" s="391">
        <v>102303</v>
      </c>
      <c r="B61" s="392" t="s">
        <v>334</v>
      </c>
      <c r="C61" s="392" t="s">
        <v>334</v>
      </c>
      <c r="D61" s="391" t="s">
        <v>33</v>
      </c>
      <c r="E61" s="391">
        <v>2</v>
      </c>
      <c r="F61" s="391" t="s">
        <v>134</v>
      </c>
      <c r="G61" s="118" t="s">
        <v>224</v>
      </c>
      <c r="H61" s="391" t="s">
        <v>112</v>
      </c>
      <c r="I61" s="391">
        <v>4</v>
      </c>
      <c r="J61" s="118">
        <v>4</v>
      </c>
      <c r="K61" s="391">
        <v>0</v>
      </c>
      <c r="L61" s="391">
        <v>3</v>
      </c>
      <c r="M61" s="391">
        <v>4</v>
      </c>
      <c r="N61" s="118" t="s">
        <v>57</v>
      </c>
      <c r="O61" s="391">
        <v>50</v>
      </c>
      <c r="P61" s="391">
        <v>0.7</v>
      </c>
      <c r="Q61" s="391">
        <v>0</v>
      </c>
      <c r="R61" s="391">
        <v>1</v>
      </c>
      <c r="S61" s="397" t="b">
        <v>1</v>
      </c>
      <c r="T61" s="391">
        <v>39</v>
      </c>
      <c r="U61" s="118">
        <v>585</v>
      </c>
      <c r="V61" s="118">
        <v>780</v>
      </c>
      <c r="W61" s="391">
        <v>0</v>
      </c>
      <c r="X61" s="391">
        <v>3</v>
      </c>
      <c r="Y61" s="391" t="s">
        <v>38</v>
      </c>
      <c r="Z61" s="388" t="s">
        <v>2926</v>
      </c>
      <c r="AA61" s="388" t="s">
        <v>2926</v>
      </c>
      <c r="AB61" s="397" t="s">
        <v>233</v>
      </c>
      <c r="AC61" s="391">
        <v>100000</v>
      </c>
      <c r="AD61" s="197">
        <v>1</v>
      </c>
      <c r="AE61" s="197">
        <v>1</v>
      </c>
      <c r="AF61">
        <v>0</v>
      </c>
      <c r="AG61" s="405">
        <v>3</v>
      </c>
    </row>
    <row r="62" spans="1:33" x14ac:dyDescent="0.15">
      <c r="A62" s="393">
        <v>102304</v>
      </c>
      <c r="B62" s="394" t="s">
        <v>289</v>
      </c>
      <c r="C62" s="394" t="s">
        <v>289</v>
      </c>
      <c r="D62" s="393" t="s">
        <v>33</v>
      </c>
      <c r="E62" s="393">
        <v>2</v>
      </c>
      <c r="F62" s="393" t="s">
        <v>134</v>
      </c>
      <c r="G62" s="393" t="s">
        <v>248</v>
      </c>
      <c r="H62" s="393"/>
      <c r="I62" s="393">
        <v>5</v>
      </c>
      <c r="J62" s="118">
        <v>5</v>
      </c>
      <c r="K62" s="393">
        <v>0</v>
      </c>
      <c r="L62" s="393">
        <v>3</v>
      </c>
      <c r="M62" s="393">
        <v>5</v>
      </c>
      <c r="N62" s="118" t="s">
        <v>64</v>
      </c>
      <c r="O62" s="393">
        <v>50</v>
      </c>
      <c r="P62" s="393">
        <v>0.7</v>
      </c>
      <c r="Q62" s="393">
        <v>0</v>
      </c>
      <c r="R62" s="393">
        <v>1</v>
      </c>
      <c r="S62" s="399" t="b">
        <v>1</v>
      </c>
      <c r="T62" s="393">
        <v>52</v>
      </c>
      <c r="U62" s="118">
        <v>780</v>
      </c>
      <c r="V62" s="118">
        <v>1040</v>
      </c>
      <c r="W62" s="393">
        <v>0</v>
      </c>
      <c r="X62" s="393">
        <v>4</v>
      </c>
      <c r="Y62" s="393" t="s">
        <v>38</v>
      </c>
      <c r="Z62" s="388" t="s">
        <v>2927</v>
      </c>
      <c r="AA62" s="388" t="s">
        <v>2927</v>
      </c>
      <c r="AB62" s="399" t="s">
        <v>339</v>
      </c>
      <c r="AC62" s="393">
        <v>100000</v>
      </c>
      <c r="AD62" s="197">
        <v>1</v>
      </c>
      <c r="AE62" s="197">
        <v>1</v>
      </c>
      <c r="AF62">
        <v>0</v>
      </c>
      <c r="AG62" s="407">
        <v>4</v>
      </c>
    </row>
    <row r="63" spans="1:33" x14ac:dyDescent="0.15">
      <c r="A63" s="105">
        <v>102305</v>
      </c>
      <c r="B63" s="105" t="s">
        <v>341</v>
      </c>
      <c r="C63" s="105" t="s">
        <v>341</v>
      </c>
      <c r="D63" s="84" t="s">
        <v>33</v>
      </c>
      <c r="E63" s="43">
        <v>2</v>
      </c>
      <c r="F63" s="43" t="s">
        <v>134</v>
      </c>
      <c r="G63" s="118" t="s">
        <v>173</v>
      </c>
      <c r="H63" s="84" t="s">
        <v>107</v>
      </c>
      <c r="I63" s="43">
        <v>1</v>
      </c>
      <c r="J63" s="118">
        <v>1</v>
      </c>
      <c r="K63" s="43">
        <v>0</v>
      </c>
      <c r="L63" s="43">
        <v>3</v>
      </c>
      <c r="M63" s="43">
        <v>5</v>
      </c>
      <c r="N63" s="118" t="s">
        <v>71</v>
      </c>
      <c r="O63" s="84">
        <v>50</v>
      </c>
      <c r="P63" s="84">
        <v>0.7</v>
      </c>
      <c r="Q63" s="84">
        <v>0</v>
      </c>
      <c r="R63" s="43">
        <v>1</v>
      </c>
      <c r="S63" s="43" t="b">
        <v>1</v>
      </c>
      <c r="T63" s="84">
        <v>65</v>
      </c>
      <c r="U63" s="118">
        <v>975</v>
      </c>
      <c r="V63" s="118">
        <v>1300</v>
      </c>
      <c r="W63" s="84">
        <v>0</v>
      </c>
      <c r="X63" s="43">
        <v>5</v>
      </c>
      <c r="Y63" s="43" t="s">
        <v>38</v>
      </c>
      <c r="Z63" s="388" t="s">
        <v>2928</v>
      </c>
      <c r="AA63" s="388" t="s">
        <v>2928</v>
      </c>
      <c r="AB63" s="157" t="s">
        <v>176</v>
      </c>
      <c r="AC63" s="43">
        <v>100000</v>
      </c>
      <c r="AD63" s="197">
        <v>1</v>
      </c>
      <c r="AE63" s="197">
        <v>1</v>
      </c>
      <c r="AF63">
        <v>0</v>
      </c>
      <c r="AG63" s="293">
        <v>5</v>
      </c>
    </row>
    <row r="64" spans="1:33" x14ac:dyDescent="0.15">
      <c r="A64" s="84">
        <v>102314</v>
      </c>
      <c r="B64" s="105" t="s">
        <v>281</v>
      </c>
      <c r="C64" s="105" t="s">
        <v>281</v>
      </c>
      <c r="D64" s="84" t="s">
        <v>33</v>
      </c>
      <c r="E64" s="84">
        <v>2</v>
      </c>
      <c r="F64" s="84" t="s">
        <v>134</v>
      </c>
      <c r="G64" s="118" t="s">
        <v>230</v>
      </c>
      <c r="H64" s="84" t="s">
        <v>295</v>
      </c>
      <c r="I64" s="84">
        <v>4</v>
      </c>
      <c r="J64" s="118">
        <v>4</v>
      </c>
      <c r="K64" s="84">
        <v>0</v>
      </c>
      <c r="L64" s="84">
        <v>3</v>
      </c>
      <c r="M64" s="84">
        <v>4</v>
      </c>
      <c r="N64" s="118" t="s">
        <v>64</v>
      </c>
      <c r="O64" s="84">
        <v>50</v>
      </c>
      <c r="P64" s="84">
        <v>0.7</v>
      </c>
      <c r="Q64" s="84">
        <v>0</v>
      </c>
      <c r="R64" s="84">
        <v>1</v>
      </c>
      <c r="S64" s="43" t="b">
        <v>1</v>
      </c>
      <c r="T64" s="84">
        <v>52</v>
      </c>
      <c r="U64" s="118">
        <v>780</v>
      </c>
      <c r="V64" s="118">
        <v>1040</v>
      </c>
      <c r="W64" s="84">
        <v>0</v>
      </c>
      <c r="X64" s="84">
        <v>4</v>
      </c>
      <c r="Y64" s="84" t="s">
        <v>38</v>
      </c>
      <c r="Z64" s="388" t="s">
        <v>2929</v>
      </c>
      <c r="AA64" s="388" t="s">
        <v>2929</v>
      </c>
      <c r="AB64" s="43" t="s">
        <v>284</v>
      </c>
      <c r="AC64" s="84">
        <v>100000</v>
      </c>
      <c r="AD64" s="197">
        <v>1</v>
      </c>
      <c r="AE64" s="197">
        <v>1</v>
      </c>
      <c r="AF64">
        <v>0</v>
      </c>
      <c r="AG64" s="404">
        <v>4</v>
      </c>
    </row>
    <row r="65" spans="1:33" x14ac:dyDescent="0.15">
      <c r="A65" s="393">
        <v>102402</v>
      </c>
      <c r="B65" s="394" t="s">
        <v>289</v>
      </c>
      <c r="C65" s="394" t="s">
        <v>289</v>
      </c>
      <c r="D65" s="393" t="s">
        <v>33</v>
      </c>
      <c r="E65" s="393">
        <v>2</v>
      </c>
      <c r="F65" s="393" t="s">
        <v>134</v>
      </c>
      <c r="G65" s="393" t="s">
        <v>242</v>
      </c>
      <c r="H65" s="393"/>
      <c r="I65" s="393">
        <v>4</v>
      </c>
      <c r="J65" s="118">
        <v>4</v>
      </c>
      <c r="K65" s="393">
        <v>0</v>
      </c>
      <c r="L65" s="393">
        <v>3</v>
      </c>
      <c r="M65" s="393">
        <v>4</v>
      </c>
      <c r="N65" s="118" t="s">
        <v>45</v>
      </c>
      <c r="O65" s="393">
        <v>50</v>
      </c>
      <c r="P65" s="393">
        <v>0.7</v>
      </c>
      <c r="Q65" s="393">
        <v>0</v>
      </c>
      <c r="R65" s="393">
        <v>1</v>
      </c>
      <c r="S65" s="399" t="b">
        <v>1</v>
      </c>
      <c r="T65" s="393">
        <v>26</v>
      </c>
      <c r="U65" s="118">
        <v>390</v>
      </c>
      <c r="V65" s="118">
        <v>520</v>
      </c>
      <c r="W65" s="393">
        <v>0</v>
      </c>
      <c r="X65" s="393">
        <v>2</v>
      </c>
      <c r="Y65" s="393" t="s">
        <v>38</v>
      </c>
      <c r="Z65" s="388" t="s">
        <v>2930</v>
      </c>
      <c r="AA65" s="388" t="s">
        <v>2930</v>
      </c>
      <c r="AB65" s="399" t="s">
        <v>348</v>
      </c>
      <c r="AC65" s="393">
        <v>100000</v>
      </c>
      <c r="AD65" s="197">
        <v>1</v>
      </c>
      <c r="AE65" s="197">
        <v>1</v>
      </c>
      <c r="AF65">
        <v>0</v>
      </c>
      <c r="AG65" s="407">
        <v>2</v>
      </c>
    </row>
    <row r="66" spans="1:33" x14ac:dyDescent="0.15">
      <c r="A66" s="84">
        <v>102404</v>
      </c>
      <c r="B66" s="105" t="s">
        <v>350</v>
      </c>
      <c r="C66" s="105" t="s">
        <v>350</v>
      </c>
      <c r="D66" s="84" t="s">
        <v>33</v>
      </c>
      <c r="E66" s="84">
        <v>2</v>
      </c>
      <c r="F66" s="84" t="s">
        <v>134</v>
      </c>
      <c r="G66" s="118" t="s">
        <v>161</v>
      </c>
      <c r="H66" s="84" t="s">
        <v>107</v>
      </c>
      <c r="I66" s="84">
        <v>4</v>
      </c>
      <c r="J66" s="118">
        <v>4</v>
      </c>
      <c r="K66" s="84">
        <v>0</v>
      </c>
      <c r="L66" s="84">
        <v>3</v>
      </c>
      <c r="M66" s="84">
        <v>4</v>
      </c>
      <c r="N66" s="118" t="s">
        <v>45</v>
      </c>
      <c r="O66" s="84">
        <v>50</v>
      </c>
      <c r="P66" s="84">
        <v>0.7</v>
      </c>
      <c r="Q66" s="84">
        <v>0</v>
      </c>
      <c r="R66" s="84">
        <v>1</v>
      </c>
      <c r="S66" s="43" t="b">
        <v>1</v>
      </c>
      <c r="T66" s="84">
        <v>-2</v>
      </c>
      <c r="U66" s="118">
        <v>-30</v>
      </c>
      <c r="V66" s="118">
        <v>-40</v>
      </c>
      <c r="W66" s="84">
        <v>0</v>
      </c>
      <c r="X66" s="84">
        <v>2</v>
      </c>
      <c r="Y66" s="84" t="s">
        <v>38</v>
      </c>
      <c r="Z66" s="388" t="s">
        <v>2931</v>
      </c>
      <c r="AA66" s="388" t="s">
        <v>2931</v>
      </c>
      <c r="AB66" s="43" t="s">
        <v>164</v>
      </c>
      <c r="AC66" s="84">
        <v>100000</v>
      </c>
      <c r="AD66" s="197">
        <v>1</v>
      </c>
      <c r="AE66" s="197">
        <v>1</v>
      </c>
      <c r="AF66">
        <v>0</v>
      </c>
      <c r="AG66" s="404">
        <v>2</v>
      </c>
    </row>
    <row r="67" spans="1:33" x14ac:dyDescent="0.15">
      <c r="A67" s="105">
        <v>102405</v>
      </c>
      <c r="B67" s="105" t="s">
        <v>354</v>
      </c>
      <c r="C67" s="105" t="s">
        <v>354</v>
      </c>
      <c r="D67" s="84" t="s">
        <v>33</v>
      </c>
      <c r="E67" s="43">
        <v>2</v>
      </c>
      <c r="F67" s="43" t="s">
        <v>134</v>
      </c>
      <c r="G67" s="118" t="s">
        <v>179</v>
      </c>
      <c r="H67" s="84" t="s">
        <v>107</v>
      </c>
      <c r="I67" s="43">
        <v>1</v>
      </c>
      <c r="J67" s="118">
        <v>1</v>
      </c>
      <c r="K67" s="43">
        <v>0</v>
      </c>
      <c r="L67" s="43">
        <v>3</v>
      </c>
      <c r="M67" s="43">
        <v>5</v>
      </c>
      <c r="N67" s="118" t="s">
        <v>71</v>
      </c>
      <c r="O67" s="84">
        <v>50</v>
      </c>
      <c r="P67" s="84">
        <v>0.7</v>
      </c>
      <c r="Q67" s="84">
        <v>0</v>
      </c>
      <c r="R67" s="43">
        <v>1</v>
      </c>
      <c r="S67" s="43" t="b">
        <v>1</v>
      </c>
      <c r="T67" s="84">
        <v>65</v>
      </c>
      <c r="U67" s="118">
        <v>975</v>
      </c>
      <c r="V67" s="118">
        <v>1300</v>
      </c>
      <c r="W67" s="84">
        <v>0</v>
      </c>
      <c r="X67" s="43">
        <v>5</v>
      </c>
      <c r="Y67" s="43" t="s">
        <v>38</v>
      </c>
      <c r="Z67" s="388" t="s">
        <v>2932</v>
      </c>
      <c r="AA67" s="388" t="s">
        <v>2932</v>
      </c>
      <c r="AB67" s="193" t="s">
        <v>306</v>
      </c>
      <c r="AC67" s="43">
        <v>100000</v>
      </c>
      <c r="AD67" s="197">
        <v>1</v>
      </c>
      <c r="AE67" s="197">
        <v>1</v>
      </c>
      <c r="AF67">
        <v>0</v>
      </c>
      <c r="AG67" s="293">
        <v>5</v>
      </c>
    </row>
    <row r="68" spans="1:33" x14ac:dyDescent="0.15">
      <c r="A68" s="105">
        <v>102504</v>
      </c>
      <c r="B68" s="105" t="s">
        <v>358</v>
      </c>
      <c r="C68" s="105" t="s">
        <v>358</v>
      </c>
      <c r="D68" s="84" t="s">
        <v>33</v>
      </c>
      <c r="E68" s="43">
        <v>2</v>
      </c>
      <c r="F68" s="43" t="s">
        <v>134</v>
      </c>
      <c r="G68" s="118" t="s">
        <v>179</v>
      </c>
      <c r="H68" s="84" t="s">
        <v>107</v>
      </c>
      <c r="I68" s="43">
        <v>1</v>
      </c>
      <c r="J68" s="118">
        <v>1</v>
      </c>
      <c r="K68" s="43">
        <v>0</v>
      </c>
      <c r="L68" s="43">
        <v>3</v>
      </c>
      <c r="M68" s="43">
        <v>5</v>
      </c>
      <c r="N68" s="118" t="s">
        <v>64</v>
      </c>
      <c r="O68" s="84">
        <v>50</v>
      </c>
      <c r="P68" s="84">
        <v>0.7</v>
      </c>
      <c r="Q68" s="84">
        <v>0</v>
      </c>
      <c r="R68" s="43">
        <v>1</v>
      </c>
      <c r="S68" s="43" t="b">
        <v>1</v>
      </c>
      <c r="T68" s="84">
        <v>52</v>
      </c>
      <c r="U68" s="118">
        <v>780</v>
      </c>
      <c r="V68" s="118">
        <v>1040</v>
      </c>
      <c r="W68" s="84">
        <v>0</v>
      </c>
      <c r="X68" s="43">
        <v>4</v>
      </c>
      <c r="Y68" s="43" t="s">
        <v>38</v>
      </c>
      <c r="Z68" s="388" t="s">
        <v>2933</v>
      </c>
      <c r="AA68" s="388" t="s">
        <v>2933</v>
      </c>
      <c r="AB68" s="193" t="s">
        <v>306</v>
      </c>
      <c r="AC68" s="43">
        <v>100000</v>
      </c>
      <c r="AD68" s="197">
        <v>1</v>
      </c>
      <c r="AE68" s="197">
        <v>1</v>
      </c>
      <c r="AF68">
        <v>0</v>
      </c>
      <c r="AG68" s="293">
        <v>4</v>
      </c>
    </row>
    <row r="69" spans="1:33" x14ac:dyDescent="0.15">
      <c r="A69" s="118">
        <v>103001</v>
      </c>
      <c r="B69" s="17" t="s">
        <v>362</v>
      </c>
      <c r="C69" s="17" t="s">
        <v>362</v>
      </c>
      <c r="D69" s="118" t="s">
        <v>33</v>
      </c>
      <c r="E69" s="118">
        <v>3</v>
      </c>
      <c r="F69" s="118" t="s">
        <v>363</v>
      </c>
      <c r="G69" s="118" t="s">
        <v>364</v>
      </c>
      <c r="H69" s="118" t="s">
        <v>35</v>
      </c>
      <c r="I69" s="118">
        <v>1</v>
      </c>
      <c r="J69" s="118">
        <v>1</v>
      </c>
      <c r="K69" s="118">
        <v>1</v>
      </c>
      <c r="L69" s="118">
        <v>3</v>
      </c>
      <c r="M69" s="118" t="s">
        <v>36</v>
      </c>
      <c r="N69" s="118" t="s">
        <v>37</v>
      </c>
      <c r="O69" s="118">
        <v>99</v>
      </c>
      <c r="P69" s="118">
        <v>0.9</v>
      </c>
      <c r="Q69" s="118">
        <v>0</v>
      </c>
      <c r="R69" s="118">
        <v>1</v>
      </c>
      <c r="S69" s="25" t="b">
        <v>1</v>
      </c>
      <c r="T69" s="118">
        <v>13</v>
      </c>
      <c r="U69" s="118">
        <v>195</v>
      </c>
      <c r="V69" s="118">
        <v>260</v>
      </c>
      <c r="W69" s="118">
        <v>0</v>
      </c>
      <c r="X69" s="118">
        <v>1</v>
      </c>
      <c r="Y69" s="118" t="s">
        <v>38</v>
      </c>
      <c r="Z69" s="388" t="s">
        <v>2934</v>
      </c>
      <c r="AA69" s="388" t="s">
        <v>2934</v>
      </c>
      <c r="AB69" s="25" t="s">
        <v>367</v>
      </c>
      <c r="AC69" s="118">
        <v>200000</v>
      </c>
      <c r="AD69" s="197">
        <v>1</v>
      </c>
      <c r="AE69" s="197">
        <v>1</v>
      </c>
      <c r="AF69">
        <v>0</v>
      </c>
      <c r="AG69" s="402">
        <v>1</v>
      </c>
    </row>
    <row r="70" spans="1:33" x14ac:dyDescent="0.15">
      <c r="A70" s="118">
        <v>103002</v>
      </c>
      <c r="B70" s="17" t="s">
        <v>369</v>
      </c>
      <c r="C70" s="17" t="s">
        <v>369</v>
      </c>
      <c r="D70" s="118" t="s">
        <v>33</v>
      </c>
      <c r="E70" s="118">
        <v>3</v>
      </c>
      <c r="F70" s="118" t="s">
        <v>363</v>
      </c>
      <c r="G70" s="118" t="s">
        <v>370</v>
      </c>
      <c r="H70" s="118" t="s">
        <v>35</v>
      </c>
      <c r="I70" s="118">
        <v>1</v>
      </c>
      <c r="J70" s="118">
        <v>1</v>
      </c>
      <c r="K70" s="118">
        <v>1</v>
      </c>
      <c r="L70" s="118">
        <v>3</v>
      </c>
      <c r="M70" s="118" t="s">
        <v>44</v>
      </c>
      <c r="N70" s="118" t="s">
        <v>45</v>
      </c>
      <c r="O70" s="118">
        <v>99</v>
      </c>
      <c r="P70" s="118">
        <v>0.9</v>
      </c>
      <c r="Q70" s="118">
        <v>0</v>
      </c>
      <c r="R70" s="118">
        <v>1</v>
      </c>
      <c r="S70" s="25" t="b">
        <v>1</v>
      </c>
      <c r="T70" s="118">
        <v>26</v>
      </c>
      <c r="U70" s="118">
        <v>390</v>
      </c>
      <c r="V70" s="118">
        <v>520</v>
      </c>
      <c r="W70" s="118">
        <v>0</v>
      </c>
      <c r="X70" s="118">
        <v>2</v>
      </c>
      <c r="Y70" s="118" t="s">
        <v>38</v>
      </c>
      <c r="Z70" s="388" t="s">
        <v>2935</v>
      </c>
      <c r="AA70" s="388" t="s">
        <v>2935</v>
      </c>
      <c r="AB70" s="25" t="s">
        <v>373</v>
      </c>
      <c r="AC70" s="118">
        <v>100000</v>
      </c>
      <c r="AD70" s="197">
        <v>1</v>
      </c>
      <c r="AE70" s="197">
        <v>1</v>
      </c>
      <c r="AF70">
        <v>0</v>
      </c>
      <c r="AG70" s="402">
        <v>2</v>
      </c>
    </row>
    <row r="71" spans="1:33" x14ac:dyDescent="0.15">
      <c r="A71" s="118">
        <v>103003</v>
      </c>
      <c r="B71" s="21" t="s">
        <v>375</v>
      </c>
      <c r="C71" s="21" t="s">
        <v>375</v>
      </c>
      <c r="D71" s="118" t="s">
        <v>33</v>
      </c>
      <c r="E71" s="118">
        <v>3</v>
      </c>
      <c r="F71" s="118" t="s">
        <v>363</v>
      </c>
      <c r="G71" s="118" t="s">
        <v>376</v>
      </c>
      <c r="H71" s="118" t="s">
        <v>35</v>
      </c>
      <c r="I71" s="118">
        <v>1</v>
      </c>
      <c r="J71" s="118">
        <v>1</v>
      </c>
      <c r="K71" s="118">
        <v>1</v>
      </c>
      <c r="L71" s="118">
        <v>3</v>
      </c>
      <c r="M71" s="118" t="s">
        <v>56</v>
      </c>
      <c r="N71" s="118" t="s">
        <v>57</v>
      </c>
      <c r="O71" s="118">
        <v>99</v>
      </c>
      <c r="P71" s="118">
        <v>0.9</v>
      </c>
      <c r="Q71" s="118">
        <v>0</v>
      </c>
      <c r="R71" s="118">
        <v>1</v>
      </c>
      <c r="S71" s="25" t="b">
        <v>1</v>
      </c>
      <c r="T71" s="118">
        <v>39</v>
      </c>
      <c r="U71" s="118">
        <v>585</v>
      </c>
      <c r="V71" s="118">
        <v>780</v>
      </c>
      <c r="W71" s="118">
        <v>0</v>
      </c>
      <c r="X71" s="118">
        <v>3</v>
      </c>
      <c r="Y71" s="118" t="s">
        <v>38</v>
      </c>
      <c r="Z71" s="388" t="s">
        <v>2936</v>
      </c>
      <c r="AA71" s="388" t="s">
        <v>2936</v>
      </c>
      <c r="AB71" s="25" t="s">
        <v>379</v>
      </c>
      <c r="AC71" s="118">
        <v>300000</v>
      </c>
      <c r="AD71" s="197">
        <v>1</v>
      </c>
      <c r="AE71" s="197">
        <v>1</v>
      </c>
      <c r="AF71">
        <v>0</v>
      </c>
      <c r="AG71" s="402">
        <v>3</v>
      </c>
    </row>
    <row r="72" spans="1:33" x14ac:dyDescent="0.15">
      <c r="A72" s="118">
        <v>103004</v>
      </c>
      <c r="B72" s="72" t="s">
        <v>381</v>
      </c>
      <c r="C72" s="72" t="s">
        <v>381</v>
      </c>
      <c r="D72" s="118" t="s">
        <v>33</v>
      </c>
      <c r="E72" s="118">
        <v>3</v>
      </c>
      <c r="F72" s="118" t="s">
        <v>363</v>
      </c>
      <c r="G72" s="118" t="s">
        <v>382</v>
      </c>
      <c r="H72" s="118" t="s">
        <v>35</v>
      </c>
      <c r="I72" s="118">
        <v>1</v>
      </c>
      <c r="J72" s="118">
        <v>1</v>
      </c>
      <c r="K72" s="118">
        <v>1</v>
      </c>
      <c r="L72" s="118">
        <v>3</v>
      </c>
      <c r="M72" s="118" t="s">
        <v>63</v>
      </c>
      <c r="N72" s="118" t="s">
        <v>64</v>
      </c>
      <c r="O72" s="118">
        <v>99</v>
      </c>
      <c r="P72" s="118">
        <v>0.9</v>
      </c>
      <c r="Q72" s="118">
        <v>0</v>
      </c>
      <c r="R72" s="118">
        <v>1</v>
      </c>
      <c r="S72" s="25" t="b">
        <v>1</v>
      </c>
      <c r="T72" s="118">
        <v>52</v>
      </c>
      <c r="U72" s="118">
        <v>780</v>
      </c>
      <c r="V72" s="118">
        <v>1040</v>
      </c>
      <c r="W72" s="118">
        <v>0</v>
      </c>
      <c r="X72" s="118">
        <v>4</v>
      </c>
      <c r="Y72" s="118" t="s">
        <v>38</v>
      </c>
      <c r="Z72" s="388" t="s">
        <v>2937</v>
      </c>
      <c r="AA72" s="388" t="s">
        <v>2937</v>
      </c>
      <c r="AB72" s="25" t="s">
        <v>385</v>
      </c>
      <c r="AC72" s="118">
        <v>300000</v>
      </c>
      <c r="AD72" s="197">
        <v>1</v>
      </c>
      <c r="AE72" s="197">
        <v>1</v>
      </c>
      <c r="AF72">
        <v>0</v>
      </c>
      <c r="AG72" s="402">
        <v>4</v>
      </c>
    </row>
    <row r="73" spans="1:33" x14ac:dyDescent="0.15">
      <c r="A73" s="118">
        <v>103005</v>
      </c>
      <c r="B73" s="21" t="s">
        <v>387</v>
      </c>
      <c r="C73" s="21" t="s">
        <v>387</v>
      </c>
      <c r="D73" s="118" t="s">
        <v>33</v>
      </c>
      <c r="E73" s="118">
        <v>3</v>
      </c>
      <c r="F73" s="118" t="s">
        <v>363</v>
      </c>
      <c r="G73" s="118" t="s">
        <v>388</v>
      </c>
      <c r="H73" s="118" t="s">
        <v>35</v>
      </c>
      <c r="I73" s="118">
        <v>1</v>
      </c>
      <c r="J73" s="118">
        <v>1</v>
      </c>
      <c r="K73" s="118">
        <v>1</v>
      </c>
      <c r="L73" s="118">
        <v>3</v>
      </c>
      <c r="M73" s="118" t="s">
        <v>70</v>
      </c>
      <c r="N73" s="118" t="s">
        <v>71</v>
      </c>
      <c r="O73" s="118">
        <v>99</v>
      </c>
      <c r="P73" s="118">
        <v>0.9</v>
      </c>
      <c r="Q73" s="118">
        <v>0</v>
      </c>
      <c r="R73" s="118">
        <v>1</v>
      </c>
      <c r="S73" s="25" t="b">
        <v>1</v>
      </c>
      <c r="T73" s="118">
        <v>65</v>
      </c>
      <c r="U73" s="118">
        <v>975</v>
      </c>
      <c r="V73" s="118">
        <v>1300</v>
      </c>
      <c r="W73" s="118">
        <v>0</v>
      </c>
      <c r="X73" s="118">
        <v>5</v>
      </c>
      <c r="Y73" s="118" t="s">
        <v>38</v>
      </c>
      <c r="Z73" s="388" t="s">
        <v>2938</v>
      </c>
      <c r="AA73" s="388" t="s">
        <v>2938</v>
      </c>
      <c r="AB73" s="118" t="s">
        <v>391</v>
      </c>
      <c r="AC73" s="118">
        <v>300000</v>
      </c>
      <c r="AD73" s="197">
        <v>1</v>
      </c>
      <c r="AE73" s="197">
        <v>1</v>
      </c>
      <c r="AF73">
        <v>0</v>
      </c>
      <c r="AG73" s="402">
        <v>5</v>
      </c>
    </row>
    <row r="74" spans="1:33" x14ac:dyDescent="0.15">
      <c r="A74" s="118">
        <v>103006</v>
      </c>
      <c r="B74" s="17" t="s">
        <v>393</v>
      </c>
      <c r="C74" s="17" t="s">
        <v>393</v>
      </c>
      <c r="D74" s="118" t="s">
        <v>33</v>
      </c>
      <c r="E74" s="118">
        <v>3</v>
      </c>
      <c r="F74" s="118" t="s">
        <v>363</v>
      </c>
      <c r="G74" s="118" t="s">
        <v>394</v>
      </c>
      <c r="H74" s="118" t="s">
        <v>35</v>
      </c>
      <c r="I74" s="118">
        <v>1</v>
      </c>
      <c r="J74" s="118">
        <v>1</v>
      </c>
      <c r="K74" s="118">
        <v>1</v>
      </c>
      <c r="L74" s="118">
        <v>3</v>
      </c>
      <c r="M74" s="118" t="s">
        <v>70</v>
      </c>
      <c r="N74" s="118" t="s">
        <v>77</v>
      </c>
      <c r="O74" s="118">
        <v>99</v>
      </c>
      <c r="P74" s="118">
        <v>0.9</v>
      </c>
      <c r="Q74" s="118">
        <v>0</v>
      </c>
      <c r="R74" s="118">
        <v>1</v>
      </c>
      <c r="S74" s="25" t="b">
        <v>1</v>
      </c>
      <c r="T74" s="118">
        <v>78</v>
      </c>
      <c r="U74" s="118">
        <v>1170</v>
      </c>
      <c r="V74" s="118">
        <v>1560</v>
      </c>
      <c r="W74" s="118">
        <v>0</v>
      </c>
      <c r="X74" s="118">
        <v>6</v>
      </c>
      <c r="Y74" s="118" t="s">
        <v>38</v>
      </c>
      <c r="Z74" s="388" t="s">
        <v>2939</v>
      </c>
      <c r="AA74" s="388" t="s">
        <v>2939</v>
      </c>
      <c r="AB74" s="118" t="s">
        <v>397</v>
      </c>
      <c r="AC74" s="118">
        <v>200000</v>
      </c>
      <c r="AD74" s="197">
        <v>1</v>
      </c>
      <c r="AE74" s="197">
        <v>1</v>
      </c>
      <c r="AF74">
        <v>0</v>
      </c>
      <c r="AG74" s="402">
        <v>6</v>
      </c>
    </row>
    <row r="75" spans="1:33" x14ac:dyDescent="0.15">
      <c r="A75" s="118">
        <v>103007</v>
      </c>
      <c r="B75" s="21" t="s">
        <v>399</v>
      </c>
      <c r="C75" s="21" t="s">
        <v>399</v>
      </c>
      <c r="D75" s="118" t="s">
        <v>33</v>
      </c>
      <c r="E75" s="118">
        <v>3</v>
      </c>
      <c r="F75" s="118" t="s">
        <v>363</v>
      </c>
      <c r="G75" s="118" t="s">
        <v>400</v>
      </c>
      <c r="H75" s="118" t="s">
        <v>35</v>
      </c>
      <c r="I75" s="118">
        <v>1</v>
      </c>
      <c r="J75" s="118">
        <v>1</v>
      </c>
      <c r="K75" s="118">
        <v>1</v>
      </c>
      <c r="L75" s="118">
        <v>3</v>
      </c>
      <c r="M75" s="118" t="s">
        <v>70</v>
      </c>
      <c r="N75" s="118" t="s">
        <v>83</v>
      </c>
      <c r="O75" s="118">
        <v>99</v>
      </c>
      <c r="P75" s="118">
        <v>0.9</v>
      </c>
      <c r="Q75" s="118">
        <v>0</v>
      </c>
      <c r="R75" s="118">
        <v>1</v>
      </c>
      <c r="S75" s="25" t="b">
        <v>1</v>
      </c>
      <c r="T75" s="118">
        <v>91</v>
      </c>
      <c r="U75" s="118">
        <v>1365</v>
      </c>
      <c r="V75" s="118">
        <v>1820</v>
      </c>
      <c r="W75" s="118">
        <v>0</v>
      </c>
      <c r="X75" s="118">
        <v>7</v>
      </c>
      <c r="Y75" s="118" t="s">
        <v>38</v>
      </c>
      <c r="Z75" s="388" t="s">
        <v>2940</v>
      </c>
      <c r="AA75" s="388" t="s">
        <v>2940</v>
      </c>
      <c r="AB75" s="118" t="s">
        <v>403</v>
      </c>
      <c r="AC75" s="118">
        <v>100000</v>
      </c>
      <c r="AD75" s="197">
        <v>1</v>
      </c>
      <c r="AE75" s="197">
        <v>1</v>
      </c>
      <c r="AF75">
        <v>0</v>
      </c>
      <c r="AG75" s="402">
        <v>7</v>
      </c>
    </row>
    <row r="76" spans="1:33" x14ac:dyDescent="0.15">
      <c r="A76" s="114">
        <v>103207</v>
      </c>
      <c r="B76" s="359" t="s">
        <v>405</v>
      </c>
      <c r="C76" s="359" t="s">
        <v>405</v>
      </c>
      <c r="D76" s="119" t="s">
        <v>33</v>
      </c>
      <c r="E76" s="119">
        <v>3</v>
      </c>
      <c r="F76" s="119" t="s">
        <v>363</v>
      </c>
      <c r="G76" s="118" t="s">
        <v>400</v>
      </c>
      <c r="H76" s="119" t="s">
        <v>51</v>
      </c>
      <c r="I76" s="119">
        <v>1</v>
      </c>
      <c r="J76" s="118">
        <v>4</v>
      </c>
      <c r="K76" s="119">
        <v>0</v>
      </c>
      <c r="L76" s="119">
        <v>3</v>
      </c>
      <c r="M76" s="119" t="s">
        <v>52</v>
      </c>
      <c r="N76" s="118" t="s">
        <v>83</v>
      </c>
      <c r="O76" s="119">
        <v>99</v>
      </c>
      <c r="P76" s="119">
        <v>0.9</v>
      </c>
      <c r="Q76" s="119">
        <v>0</v>
      </c>
      <c r="R76" s="119">
        <v>1</v>
      </c>
      <c r="S76" s="80" t="b">
        <v>1</v>
      </c>
      <c r="T76" s="119">
        <v>91</v>
      </c>
      <c r="U76" s="118">
        <v>1365</v>
      </c>
      <c r="V76" s="118">
        <v>1820</v>
      </c>
      <c r="W76" s="119">
        <v>0</v>
      </c>
      <c r="X76" s="119">
        <v>7</v>
      </c>
      <c r="Y76" s="119" t="s">
        <v>38</v>
      </c>
      <c r="Z76" s="388" t="s">
        <v>2940</v>
      </c>
      <c r="AA76" s="388" t="s">
        <v>2940</v>
      </c>
      <c r="AB76" s="119" t="s">
        <v>403</v>
      </c>
      <c r="AC76" s="119">
        <v>100000</v>
      </c>
      <c r="AD76" s="197">
        <v>1</v>
      </c>
      <c r="AE76" s="197">
        <v>1</v>
      </c>
      <c r="AF76">
        <v>0</v>
      </c>
      <c r="AG76" s="403">
        <v>7</v>
      </c>
    </row>
    <row r="77" spans="1:33" x14ac:dyDescent="0.15">
      <c r="A77" s="17">
        <v>103008</v>
      </c>
      <c r="B77" s="17" t="s">
        <v>408</v>
      </c>
      <c r="C77" s="17" t="s">
        <v>408</v>
      </c>
      <c r="D77" s="118" t="s">
        <v>33</v>
      </c>
      <c r="E77" s="118">
        <v>3</v>
      </c>
      <c r="F77" s="118" t="s">
        <v>363</v>
      </c>
      <c r="G77" s="118" t="s">
        <v>409</v>
      </c>
      <c r="H77" s="118" t="s">
        <v>35</v>
      </c>
      <c r="I77" s="118">
        <v>1</v>
      </c>
      <c r="J77" s="118">
        <v>1</v>
      </c>
      <c r="K77" s="118">
        <v>1</v>
      </c>
      <c r="L77" s="118">
        <v>3</v>
      </c>
      <c r="M77" s="118" t="s">
        <v>70</v>
      </c>
      <c r="N77" s="118" t="s">
        <v>89</v>
      </c>
      <c r="O77" s="118">
        <v>99</v>
      </c>
      <c r="P77" s="118">
        <v>0.9</v>
      </c>
      <c r="Q77" s="118">
        <v>0</v>
      </c>
      <c r="R77" s="118">
        <v>1</v>
      </c>
      <c r="S77" s="25" t="b">
        <v>1</v>
      </c>
      <c r="T77" s="118">
        <v>104</v>
      </c>
      <c r="U77" s="118">
        <v>1560</v>
      </c>
      <c r="V77" s="118">
        <v>2080</v>
      </c>
      <c r="W77" s="118">
        <v>0</v>
      </c>
      <c r="X77" s="118">
        <v>8</v>
      </c>
      <c r="Y77" s="118" t="s">
        <v>38</v>
      </c>
      <c r="Z77" s="388" t="s">
        <v>2941</v>
      </c>
      <c r="AA77" s="388" t="s">
        <v>2941</v>
      </c>
      <c r="AB77" s="118" t="s">
        <v>412</v>
      </c>
      <c r="AC77" s="118">
        <v>100000</v>
      </c>
      <c r="AD77" s="191">
        <v>1</v>
      </c>
      <c r="AE77" s="191">
        <v>1</v>
      </c>
      <c r="AF77">
        <v>0</v>
      </c>
      <c r="AG77" s="402">
        <v>8</v>
      </c>
    </row>
    <row r="78" spans="1:33" x14ac:dyDescent="0.15">
      <c r="A78" s="17">
        <v>103009</v>
      </c>
      <c r="B78" s="17" t="s">
        <v>414</v>
      </c>
      <c r="C78" s="17" t="s">
        <v>414</v>
      </c>
      <c r="D78" s="118" t="s">
        <v>33</v>
      </c>
      <c r="E78" s="118">
        <v>3</v>
      </c>
      <c r="F78" s="118" t="s">
        <v>363</v>
      </c>
      <c r="G78" s="118" t="s">
        <v>415</v>
      </c>
      <c r="H78" s="118" t="s">
        <v>35</v>
      </c>
      <c r="I78" s="118">
        <v>1</v>
      </c>
      <c r="J78" s="118">
        <v>1</v>
      </c>
      <c r="K78" s="118">
        <v>1</v>
      </c>
      <c r="L78" s="118">
        <v>3</v>
      </c>
      <c r="M78" s="118" t="s">
        <v>70</v>
      </c>
      <c r="N78" s="118" t="s">
        <v>95</v>
      </c>
      <c r="O78" s="118">
        <v>99</v>
      </c>
      <c r="P78" s="118">
        <v>0.9</v>
      </c>
      <c r="Q78" s="118">
        <v>0</v>
      </c>
      <c r="R78" s="118">
        <v>1</v>
      </c>
      <c r="S78" s="25" t="b">
        <v>1</v>
      </c>
      <c r="T78" s="118">
        <v>117</v>
      </c>
      <c r="U78" s="118">
        <v>1755</v>
      </c>
      <c r="V78" s="118">
        <v>2340</v>
      </c>
      <c r="W78" s="118">
        <v>0</v>
      </c>
      <c r="X78" s="118">
        <v>9</v>
      </c>
      <c r="Y78" s="118" t="s">
        <v>38</v>
      </c>
      <c r="Z78" s="388" t="s">
        <v>2942</v>
      </c>
      <c r="AA78" s="388" t="s">
        <v>2942</v>
      </c>
      <c r="AB78" s="118" t="s">
        <v>418</v>
      </c>
      <c r="AC78" s="118">
        <v>100000</v>
      </c>
      <c r="AD78" s="191">
        <v>1</v>
      </c>
      <c r="AE78" s="191">
        <v>1</v>
      </c>
      <c r="AF78">
        <v>0</v>
      </c>
      <c r="AG78" s="402">
        <v>9</v>
      </c>
    </row>
    <row r="79" spans="1:33" x14ac:dyDescent="0.15">
      <c r="A79" s="17">
        <v>103010</v>
      </c>
      <c r="B79" s="17" t="s">
        <v>420</v>
      </c>
      <c r="C79" s="17" t="s">
        <v>420</v>
      </c>
      <c r="D79" s="118" t="s">
        <v>33</v>
      </c>
      <c r="E79" s="118">
        <v>3</v>
      </c>
      <c r="F79" s="118" t="s">
        <v>363</v>
      </c>
      <c r="G79" s="118" t="s">
        <v>421</v>
      </c>
      <c r="H79" s="118" t="s">
        <v>35</v>
      </c>
      <c r="I79" s="118">
        <v>1</v>
      </c>
      <c r="J79" s="118">
        <v>1</v>
      </c>
      <c r="K79" s="118">
        <v>1</v>
      </c>
      <c r="L79" s="118">
        <v>3</v>
      </c>
      <c r="M79" s="118" t="s">
        <v>70</v>
      </c>
      <c r="N79" s="118" t="s">
        <v>101</v>
      </c>
      <c r="O79" s="118">
        <v>99</v>
      </c>
      <c r="P79" s="118">
        <v>0.9</v>
      </c>
      <c r="Q79" s="118">
        <v>0</v>
      </c>
      <c r="R79" s="118">
        <v>1</v>
      </c>
      <c r="S79" s="25" t="b">
        <v>1</v>
      </c>
      <c r="T79" s="118">
        <v>130</v>
      </c>
      <c r="U79" s="118">
        <v>1950</v>
      </c>
      <c r="V79" s="118">
        <v>2600</v>
      </c>
      <c r="W79" s="118">
        <v>0</v>
      </c>
      <c r="X79" s="118">
        <v>10</v>
      </c>
      <c r="Y79" s="118" t="s">
        <v>38</v>
      </c>
      <c r="Z79" s="388" t="s">
        <v>2943</v>
      </c>
      <c r="AA79" s="388" t="s">
        <v>2943</v>
      </c>
      <c r="AB79" s="118" t="s">
        <v>424</v>
      </c>
      <c r="AC79" s="118">
        <v>100000</v>
      </c>
      <c r="AD79" s="191">
        <v>1</v>
      </c>
      <c r="AE79" s="191">
        <v>1</v>
      </c>
      <c r="AF79">
        <v>0</v>
      </c>
      <c r="AG79" s="402">
        <v>10</v>
      </c>
    </row>
    <row r="80" spans="1:33" x14ac:dyDescent="0.15">
      <c r="A80" s="119">
        <v>103208</v>
      </c>
      <c r="B80" s="114" t="s">
        <v>426</v>
      </c>
      <c r="C80" s="114" t="s">
        <v>426</v>
      </c>
      <c r="D80" s="119" t="s">
        <v>33</v>
      </c>
      <c r="E80" s="119">
        <v>3</v>
      </c>
      <c r="F80" s="119" t="s">
        <v>363</v>
      </c>
      <c r="G80" s="119" t="s">
        <v>409</v>
      </c>
      <c r="H80" s="119" t="s">
        <v>51</v>
      </c>
      <c r="I80" s="119">
        <v>1</v>
      </c>
      <c r="J80" s="118">
        <v>4</v>
      </c>
      <c r="K80" s="119">
        <v>0</v>
      </c>
      <c r="L80" s="119">
        <v>3</v>
      </c>
      <c r="M80" s="119" t="s">
        <v>52</v>
      </c>
      <c r="N80" s="118" t="s">
        <v>89</v>
      </c>
      <c r="O80" s="119">
        <v>99</v>
      </c>
      <c r="P80" s="119">
        <v>0.9</v>
      </c>
      <c r="Q80" s="119">
        <v>0</v>
      </c>
      <c r="R80" s="119">
        <v>1</v>
      </c>
      <c r="S80" s="80" t="b">
        <v>1</v>
      </c>
      <c r="T80" s="119">
        <v>104</v>
      </c>
      <c r="U80" s="118">
        <v>1560</v>
      </c>
      <c r="V80" s="118">
        <v>2080</v>
      </c>
      <c r="W80" s="119">
        <v>0</v>
      </c>
      <c r="X80" s="119">
        <v>8</v>
      </c>
      <c r="Y80" s="119" t="s">
        <v>38</v>
      </c>
      <c r="Z80" s="388" t="s">
        <v>2941</v>
      </c>
      <c r="AA80" s="388" t="s">
        <v>2941</v>
      </c>
      <c r="AB80" s="80" t="s">
        <v>412</v>
      </c>
      <c r="AC80" s="119">
        <v>100000</v>
      </c>
      <c r="AD80" s="92">
        <v>1</v>
      </c>
      <c r="AE80" s="92">
        <v>1</v>
      </c>
      <c r="AF80">
        <v>0</v>
      </c>
      <c r="AG80" s="403">
        <v>8</v>
      </c>
    </row>
    <row r="81" spans="1:33" x14ac:dyDescent="0.15">
      <c r="A81" s="119">
        <v>103209</v>
      </c>
      <c r="B81" s="114" t="s">
        <v>429</v>
      </c>
      <c r="C81" s="114" t="s">
        <v>429</v>
      </c>
      <c r="D81" s="119" t="s">
        <v>33</v>
      </c>
      <c r="E81" s="119">
        <v>3</v>
      </c>
      <c r="F81" s="119" t="s">
        <v>363</v>
      </c>
      <c r="G81" s="119" t="s">
        <v>415</v>
      </c>
      <c r="H81" s="119" t="s">
        <v>51</v>
      </c>
      <c r="I81" s="119">
        <v>1</v>
      </c>
      <c r="J81" s="118">
        <v>4</v>
      </c>
      <c r="K81" s="119">
        <v>0</v>
      </c>
      <c r="L81" s="119">
        <v>3</v>
      </c>
      <c r="M81" s="119" t="s">
        <v>52</v>
      </c>
      <c r="N81" s="118" t="s">
        <v>95</v>
      </c>
      <c r="O81" s="119">
        <v>99</v>
      </c>
      <c r="P81" s="119">
        <v>0.9</v>
      </c>
      <c r="Q81" s="119">
        <v>0</v>
      </c>
      <c r="R81" s="119">
        <v>1</v>
      </c>
      <c r="S81" s="80" t="b">
        <v>1</v>
      </c>
      <c r="T81" s="119">
        <v>117</v>
      </c>
      <c r="U81" s="118">
        <v>1755</v>
      </c>
      <c r="V81" s="118">
        <v>2340</v>
      </c>
      <c r="W81" s="119">
        <v>0</v>
      </c>
      <c r="X81" s="119">
        <v>9</v>
      </c>
      <c r="Y81" s="119" t="s">
        <v>38</v>
      </c>
      <c r="Z81" s="388" t="s">
        <v>2942</v>
      </c>
      <c r="AA81" s="388" t="s">
        <v>2942</v>
      </c>
      <c r="AB81" s="80" t="s">
        <v>418</v>
      </c>
      <c r="AC81" s="119">
        <v>100000</v>
      </c>
      <c r="AD81" s="92">
        <v>1</v>
      </c>
      <c r="AE81" s="92">
        <v>1</v>
      </c>
      <c r="AF81">
        <v>0</v>
      </c>
      <c r="AG81" s="403">
        <v>9</v>
      </c>
    </row>
    <row r="82" spans="1:33" x14ac:dyDescent="0.15">
      <c r="A82" s="119">
        <v>103210</v>
      </c>
      <c r="B82" s="114" t="s">
        <v>432</v>
      </c>
      <c r="C82" s="114" t="s">
        <v>432</v>
      </c>
      <c r="D82" s="119" t="s">
        <v>33</v>
      </c>
      <c r="E82" s="119">
        <v>3</v>
      </c>
      <c r="F82" s="119" t="s">
        <v>363</v>
      </c>
      <c r="G82" s="119" t="s">
        <v>421</v>
      </c>
      <c r="H82" s="119" t="s">
        <v>51</v>
      </c>
      <c r="I82" s="119">
        <v>1</v>
      </c>
      <c r="J82" s="118">
        <v>4</v>
      </c>
      <c r="K82" s="119">
        <v>0</v>
      </c>
      <c r="L82" s="119">
        <v>3</v>
      </c>
      <c r="M82" s="119" t="s">
        <v>52</v>
      </c>
      <c r="N82" s="118" t="s">
        <v>101</v>
      </c>
      <c r="O82" s="119">
        <v>99</v>
      </c>
      <c r="P82" s="119">
        <v>0.9</v>
      </c>
      <c r="Q82" s="119">
        <v>0</v>
      </c>
      <c r="R82" s="119">
        <v>1</v>
      </c>
      <c r="S82" s="80" t="b">
        <v>1</v>
      </c>
      <c r="T82" s="119">
        <v>130</v>
      </c>
      <c r="U82" s="118">
        <v>1950</v>
      </c>
      <c r="V82" s="118">
        <v>2600</v>
      </c>
      <c r="W82" s="119">
        <v>0</v>
      </c>
      <c r="X82" s="119">
        <v>10</v>
      </c>
      <c r="Y82" s="119" t="s">
        <v>38</v>
      </c>
      <c r="Z82" s="388" t="s">
        <v>2943</v>
      </c>
      <c r="AA82" s="388" t="s">
        <v>2943</v>
      </c>
      <c r="AB82" s="80" t="s">
        <v>424</v>
      </c>
      <c r="AC82" s="119">
        <v>100000</v>
      </c>
      <c r="AD82" s="92">
        <v>1</v>
      </c>
      <c r="AE82" s="92">
        <v>1</v>
      </c>
      <c r="AF82">
        <v>0</v>
      </c>
      <c r="AG82" s="403">
        <v>10</v>
      </c>
    </row>
    <row r="83" spans="1:33" x14ac:dyDescent="0.15">
      <c r="A83" s="84">
        <v>103202</v>
      </c>
      <c r="B83" s="105" t="s">
        <v>435</v>
      </c>
      <c r="C83" s="105" t="s">
        <v>435</v>
      </c>
      <c r="D83" s="84" t="s">
        <v>33</v>
      </c>
      <c r="E83" s="84">
        <v>3</v>
      </c>
      <c r="F83" s="84" t="s">
        <v>363</v>
      </c>
      <c r="G83" s="118" t="s">
        <v>394</v>
      </c>
      <c r="H83" s="84" t="s">
        <v>107</v>
      </c>
      <c r="I83" s="84">
        <v>4</v>
      </c>
      <c r="J83" s="118">
        <v>4</v>
      </c>
      <c r="K83" s="84">
        <v>0</v>
      </c>
      <c r="L83" s="84">
        <v>3</v>
      </c>
      <c r="M83" s="84">
        <v>4</v>
      </c>
      <c r="N83" s="118" t="s">
        <v>45</v>
      </c>
      <c r="O83" s="84">
        <v>99</v>
      </c>
      <c r="P83" s="84">
        <v>0.9</v>
      </c>
      <c r="Q83" s="84">
        <v>0</v>
      </c>
      <c r="R83" s="84">
        <v>1</v>
      </c>
      <c r="S83" s="43" t="b">
        <v>1</v>
      </c>
      <c r="T83" s="84">
        <v>26</v>
      </c>
      <c r="U83" s="118">
        <v>390</v>
      </c>
      <c r="V83" s="118">
        <v>520</v>
      </c>
      <c r="W83" s="84">
        <v>0</v>
      </c>
      <c r="X83" s="84">
        <v>2</v>
      </c>
      <c r="Y83" s="84" t="s">
        <v>38</v>
      </c>
      <c r="Z83" s="388" t="s">
        <v>2894</v>
      </c>
      <c r="AA83" s="388" t="s">
        <v>2894</v>
      </c>
      <c r="AB83" s="43" t="s">
        <v>397</v>
      </c>
      <c r="AC83" s="84">
        <v>100000</v>
      </c>
      <c r="AD83" s="197">
        <v>1</v>
      </c>
      <c r="AE83" s="197">
        <v>1</v>
      </c>
      <c r="AF83">
        <v>0</v>
      </c>
      <c r="AG83" s="404">
        <v>2</v>
      </c>
    </row>
    <row r="84" spans="1:33" x14ac:dyDescent="0.15">
      <c r="A84" s="391">
        <v>103203</v>
      </c>
      <c r="B84" s="392" t="s">
        <v>438</v>
      </c>
      <c r="C84" s="392" t="s">
        <v>438</v>
      </c>
      <c r="D84" s="391" t="s">
        <v>33</v>
      </c>
      <c r="E84" s="391">
        <v>3</v>
      </c>
      <c r="F84" s="391" t="s">
        <v>363</v>
      </c>
      <c r="G84" s="118" t="s">
        <v>364</v>
      </c>
      <c r="H84" s="391" t="s">
        <v>112</v>
      </c>
      <c r="I84" s="391">
        <v>4</v>
      </c>
      <c r="J84" s="118">
        <v>4</v>
      </c>
      <c r="K84" s="391">
        <v>0</v>
      </c>
      <c r="L84" s="391">
        <v>3</v>
      </c>
      <c r="M84" s="391">
        <v>4</v>
      </c>
      <c r="N84" s="118" t="s">
        <v>57</v>
      </c>
      <c r="O84" s="391">
        <v>99</v>
      </c>
      <c r="P84" s="391">
        <v>0.9</v>
      </c>
      <c r="Q84" s="391">
        <v>0</v>
      </c>
      <c r="R84" s="391">
        <v>1</v>
      </c>
      <c r="S84" s="397" t="b">
        <v>1</v>
      </c>
      <c r="T84" s="391">
        <v>39</v>
      </c>
      <c r="U84" s="118">
        <v>585</v>
      </c>
      <c r="V84" s="118">
        <v>780</v>
      </c>
      <c r="W84" s="391">
        <v>0</v>
      </c>
      <c r="X84" s="391">
        <v>3</v>
      </c>
      <c r="Y84" s="391" t="s">
        <v>38</v>
      </c>
      <c r="Z84" s="388" t="s">
        <v>2944</v>
      </c>
      <c r="AA84" s="388" t="s">
        <v>2944</v>
      </c>
      <c r="AB84" s="397" t="s">
        <v>367</v>
      </c>
      <c r="AC84" s="391">
        <v>100000</v>
      </c>
      <c r="AD84" s="197">
        <v>1</v>
      </c>
      <c r="AE84" s="197">
        <v>1</v>
      </c>
      <c r="AF84">
        <v>0</v>
      </c>
      <c r="AG84" s="405">
        <v>3</v>
      </c>
    </row>
    <row r="85" spans="1:33" x14ac:dyDescent="0.15">
      <c r="A85" s="391">
        <v>103204</v>
      </c>
      <c r="B85" s="123" t="s">
        <v>442</v>
      </c>
      <c r="C85" s="123" t="s">
        <v>442</v>
      </c>
      <c r="D85" s="391" t="s">
        <v>33</v>
      </c>
      <c r="E85" s="391">
        <v>3</v>
      </c>
      <c r="F85" s="391" t="s">
        <v>363</v>
      </c>
      <c r="G85" s="118" t="s">
        <v>382</v>
      </c>
      <c r="H85" s="391" t="s">
        <v>112</v>
      </c>
      <c r="I85" s="391">
        <v>5</v>
      </c>
      <c r="J85" s="118">
        <v>5</v>
      </c>
      <c r="K85" s="391">
        <v>0</v>
      </c>
      <c r="L85" s="391">
        <v>3</v>
      </c>
      <c r="M85" s="391">
        <v>5</v>
      </c>
      <c r="N85" s="118" t="s">
        <v>64</v>
      </c>
      <c r="O85" s="391">
        <v>99</v>
      </c>
      <c r="P85" s="391">
        <v>0.9</v>
      </c>
      <c r="Q85" s="391">
        <v>0</v>
      </c>
      <c r="R85" s="391">
        <v>1</v>
      </c>
      <c r="S85" s="397" t="b">
        <v>1</v>
      </c>
      <c r="T85" s="391">
        <v>52</v>
      </c>
      <c r="U85" s="118">
        <v>780</v>
      </c>
      <c r="V85" s="118">
        <v>1040</v>
      </c>
      <c r="W85" s="391">
        <v>0</v>
      </c>
      <c r="X85" s="391">
        <v>4</v>
      </c>
      <c r="Y85" s="391" t="s">
        <v>38</v>
      </c>
      <c r="Z85" s="388" t="s">
        <v>2945</v>
      </c>
      <c r="AA85" s="388" t="s">
        <v>2945</v>
      </c>
      <c r="AB85" s="397" t="s">
        <v>385</v>
      </c>
      <c r="AC85" s="391">
        <v>100000</v>
      </c>
      <c r="AD85" s="197">
        <v>1</v>
      </c>
      <c r="AE85" s="197">
        <v>1</v>
      </c>
      <c r="AF85">
        <v>0</v>
      </c>
      <c r="AG85" s="405">
        <v>4</v>
      </c>
    </row>
    <row r="86" spans="1:33" x14ac:dyDescent="0.15">
      <c r="A86" s="118">
        <v>104001</v>
      </c>
      <c r="B86" s="17" t="s">
        <v>446</v>
      </c>
      <c r="C86" s="17" t="s">
        <v>446</v>
      </c>
      <c r="D86" s="118" t="s">
        <v>33</v>
      </c>
      <c r="E86" s="118">
        <v>4</v>
      </c>
      <c r="F86" s="118" t="s">
        <v>447</v>
      </c>
      <c r="G86" s="118" t="s">
        <v>448</v>
      </c>
      <c r="H86" s="118" t="s">
        <v>35</v>
      </c>
      <c r="I86" s="118">
        <v>1</v>
      </c>
      <c r="J86" s="118">
        <v>1</v>
      </c>
      <c r="K86" s="118">
        <v>1</v>
      </c>
      <c r="L86" s="118">
        <v>3</v>
      </c>
      <c r="M86" s="118" t="s">
        <v>36</v>
      </c>
      <c r="N86" s="118" t="s">
        <v>37</v>
      </c>
      <c r="O86" s="118">
        <v>50</v>
      </c>
      <c r="P86" s="118">
        <v>0.6</v>
      </c>
      <c r="Q86" s="118">
        <v>0</v>
      </c>
      <c r="R86" s="118">
        <v>1</v>
      </c>
      <c r="S86" s="25" t="b">
        <v>1</v>
      </c>
      <c r="T86" s="118">
        <v>13</v>
      </c>
      <c r="U86" s="118">
        <v>195</v>
      </c>
      <c r="V86" s="118">
        <v>260</v>
      </c>
      <c r="W86" s="118">
        <v>0</v>
      </c>
      <c r="X86" s="118">
        <v>1</v>
      </c>
      <c r="Y86" s="118" t="s">
        <v>38</v>
      </c>
      <c r="Z86" s="388" t="s">
        <v>2946</v>
      </c>
      <c r="AA86" s="388" t="s">
        <v>2946</v>
      </c>
      <c r="AB86" s="25" t="s">
        <v>451</v>
      </c>
      <c r="AC86" s="118">
        <v>100000</v>
      </c>
      <c r="AD86" s="197">
        <v>1</v>
      </c>
      <c r="AE86" s="197">
        <v>1</v>
      </c>
      <c r="AF86">
        <v>0</v>
      </c>
      <c r="AG86" s="402">
        <v>1</v>
      </c>
    </row>
    <row r="87" spans="1:33" x14ac:dyDescent="0.15">
      <c r="A87" s="119">
        <v>104201</v>
      </c>
      <c r="B87" s="114" t="s">
        <v>453</v>
      </c>
      <c r="C87" s="114" t="s">
        <v>453</v>
      </c>
      <c r="D87" s="119" t="s">
        <v>33</v>
      </c>
      <c r="E87" s="119">
        <v>4</v>
      </c>
      <c r="F87" s="119" t="s">
        <v>447</v>
      </c>
      <c r="G87" s="119" t="s">
        <v>448</v>
      </c>
      <c r="H87" s="119" t="s">
        <v>51</v>
      </c>
      <c r="I87" s="119">
        <v>1</v>
      </c>
      <c r="J87" s="118">
        <v>3</v>
      </c>
      <c r="K87" s="119">
        <v>0</v>
      </c>
      <c r="L87" s="119">
        <v>3</v>
      </c>
      <c r="M87" s="119" t="s">
        <v>52</v>
      </c>
      <c r="N87" s="118" t="s">
        <v>37</v>
      </c>
      <c r="O87" s="119">
        <v>50</v>
      </c>
      <c r="P87" s="119">
        <v>0.6</v>
      </c>
      <c r="Q87" s="119">
        <v>0</v>
      </c>
      <c r="R87" s="119">
        <v>1</v>
      </c>
      <c r="S87" s="80" t="b">
        <v>1</v>
      </c>
      <c r="T87" s="119">
        <v>13</v>
      </c>
      <c r="U87" s="118">
        <v>195</v>
      </c>
      <c r="V87" s="118">
        <v>260</v>
      </c>
      <c r="W87" s="119">
        <v>0</v>
      </c>
      <c r="X87" s="119">
        <v>1</v>
      </c>
      <c r="Y87" s="119" t="s">
        <v>38</v>
      </c>
      <c r="Z87" s="388" t="s">
        <v>2946</v>
      </c>
      <c r="AA87" s="388" t="s">
        <v>2946</v>
      </c>
      <c r="AB87" s="80" t="s">
        <v>451</v>
      </c>
      <c r="AC87" s="119">
        <v>100000</v>
      </c>
      <c r="AD87" s="92">
        <v>1</v>
      </c>
      <c r="AE87" s="92">
        <v>1</v>
      </c>
      <c r="AF87">
        <v>0</v>
      </c>
      <c r="AG87" s="403">
        <v>1</v>
      </c>
    </row>
    <row r="88" spans="1:33" x14ac:dyDescent="0.15">
      <c r="A88" s="118">
        <v>104002</v>
      </c>
      <c r="B88" s="17" t="s">
        <v>456</v>
      </c>
      <c r="C88" s="17" t="s">
        <v>456</v>
      </c>
      <c r="D88" s="118" t="s">
        <v>33</v>
      </c>
      <c r="E88" s="118">
        <v>4</v>
      </c>
      <c r="F88" s="118" t="s">
        <v>447</v>
      </c>
      <c r="G88" s="118" t="s">
        <v>457</v>
      </c>
      <c r="H88" s="118" t="s">
        <v>35</v>
      </c>
      <c r="I88" s="118">
        <v>1</v>
      </c>
      <c r="J88" s="118">
        <v>1</v>
      </c>
      <c r="K88" s="118">
        <v>1</v>
      </c>
      <c r="L88" s="118">
        <v>3</v>
      </c>
      <c r="M88" s="118" t="s">
        <v>44</v>
      </c>
      <c r="N88" s="118" t="s">
        <v>45</v>
      </c>
      <c r="O88" s="118">
        <v>50</v>
      </c>
      <c r="P88" s="118">
        <v>0.6</v>
      </c>
      <c r="Q88" s="118">
        <v>0</v>
      </c>
      <c r="R88" s="118">
        <v>1</v>
      </c>
      <c r="S88" s="25" t="b">
        <v>1</v>
      </c>
      <c r="T88" s="118">
        <v>26</v>
      </c>
      <c r="U88" s="118">
        <v>390</v>
      </c>
      <c r="V88" s="118">
        <v>520</v>
      </c>
      <c r="W88" s="118">
        <v>0</v>
      </c>
      <c r="X88" s="118">
        <v>2</v>
      </c>
      <c r="Y88" s="118" t="s">
        <v>38</v>
      </c>
      <c r="Z88" s="388" t="s">
        <v>2947</v>
      </c>
      <c r="AA88" s="388" t="s">
        <v>2947</v>
      </c>
      <c r="AB88" s="25" t="s">
        <v>460</v>
      </c>
      <c r="AC88" s="118">
        <v>100000</v>
      </c>
      <c r="AD88" s="197">
        <v>1</v>
      </c>
      <c r="AE88" s="197">
        <v>1</v>
      </c>
      <c r="AF88">
        <v>0</v>
      </c>
      <c r="AG88" s="402">
        <v>2</v>
      </c>
    </row>
    <row r="89" spans="1:33" x14ac:dyDescent="0.15">
      <c r="A89" s="118">
        <v>104003</v>
      </c>
      <c r="B89" s="17" t="s">
        <v>462</v>
      </c>
      <c r="C89" s="17" t="s">
        <v>462</v>
      </c>
      <c r="D89" s="118" t="s">
        <v>33</v>
      </c>
      <c r="E89" s="118">
        <v>4</v>
      </c>
      <c r="F89" s="118" t="s">
        <v>447</v>
      </c>
      <c r="G89" s="118" t="s">
        <v>463</v>
      </c>
      <c r="H89" s="118" t="s">
        <v>35</v>
      </c>
      <c r="I89" s="118">
        <v>1</v>
      </c>
      <c r="J89" s="118">
        <v>1</v>
      </c>
      <c r="K89" s="118">
        <v>1</v>
      </c>
      <c r="L89" s="118">
        <v>3</v>
      </c>
      <c r="M89" s="118" t="s">
        <v>56</v>
      </c>
      <c r="N89" s="118" t="s">
        <v>57</v>
      </c>
      <c r="O89" s="118">
        <v>50</v>
      </c>
      <c r="P89" s="118">
        <v>0.6</v>
      </c>
      <c r="Q89" s="118">
        <v>0</v>
      </c>
      <c r="R89" s="118">
        <v>1</v>
      </c>
      <c r="S89" s="25" t="b">
        <v>1</v>
      </c>
      <c r="T89" s="118">
        <v>39</v>
      </c>
      <c r="U89" s="118">
        <v>585</v>
      </c>
      <c r="V89" s="118">
        <v>780</v>
      </c>
      <c r="W89" s="118">
        <v>0</v>
      </c>
      <c r="X89" s="118">
        <v>3</v>
      </c>
      <c r="Y89" s="118" t="s">
        <v>38</v>
      </c>
      <c r="Z89" s="388" t="s">
        <v>2948</v>
      </c>
      <c r="AA89" s="388" t="s">
        <v>2948</v>
      </c>
      <c r="AB89" s="25" t="s">
        <v>466</v>
      </c>
      <c r="AC89" s="118">
        <v>300000</v>
      </c>
      <c r="AD89" s="197">
        <v>1</v>
      </c>
      <c r="AE89" s="197">
        <v>1</v>
      </c>
      <c r="AF89">
        <v>0</v>
      </c>
      <c r="AG89" s="402">
        <v>3</v>
      </c>
    </row>
    <row r="90" spans="1:33" x14ac:dyDescent="0.15">
      <c r="A90" s="118">
        <v>104004</v>
      </c>
      <c r="B90" s="71" t="s">
        <v>468</v>
      </c>
      <c r="C90" s="71" t="s">
        <v>468</v>
      </c>
      <c r="D90" s="118" t="s">
        <v>33</v>
      </c>
      <c r="E90" s="118">
        <v>4</v>
      </c>
      <c r="F90" s="118" t="s">
        <v>447</v>
      </c>
      <c r="G90" s="118" t="s">
        <v>469</v>
      </c>
      <c r="H90" s="118" t="s">
        <v>35</v>
      </c>
      <c r="I90" s="118">
        <v>1</v>
      </c>
      <c r="J90" s="118">
        <v>1</v>
      </c>
      <c r="K90" s="118">
        <v>1</v>
      </c>
      <c r="L90" s="118">
        <v>3</v>
      </c>
      <c r="M90" s="118" t="s">
        <v>63</v>
      </c>
      <c r="N90" s="118" t="s">
        <v>64</v>
      </c>
      <c r="O90" s="118">
        <v>50</v>
      </c>
      <c r="P90" s="118">
        <v>0.6</v>
      </c>
      <c r="Q90" s="118">
        <v>0</v>
      </c>
      <c r="R90" s="118">
        <v>1</v>
      </c>
      <c r="S90" s="25" t="b">
        <v>1</v>
      </c>
      <c r="T90" s="118">
        <v>52</v>
      </c>
      <c r="U90" s="118">
        <v>780</v>
      </c>
      <c r="V90" s="118">
        <v>1040</v>
      </c>
      <c r="W90" s="118">
        <v>0</v>
      </c>
      <c r="X90" s="118">
        <v>4</v>
      </c>
      <c r="Y90" s="118" t="s">
        <v>38</v>
      </c>
      <c r="Z90" s="388" t="s">
        <v>2949</v>
      </c>
      <c r="AA90" s="388" t="s">
        <v>2949</v>
      </c>
      <c r="AB90" s="25" t="s">
        <v>472</v>
      </c>
      <c r="AC90" s="118">
        <v>300000</v>
      </c>
      <c r="AD90" s="197">
        <v>1</v>
      </c>
      <c r="AE90" s="197">
        <v>1</v>
      </c>
      <c r="AF90">
        <v>0</v>
      </c>
      <c r="AG90" s="402">
        <v>4</v>
      </c>
    </row>
    <row r="91" spans="1:33" x14ac:dyDescent="0.15">
      <c r="A91" s="118">
        <v>104005</v>
      </c>
      <c r="B91" s="21" t="s">
        <v>474</v>
      </c>
      <c r="C91" s="21" t="s">
        <v>474</v>
      </c>
      <c r="D91" s="118" t="s">
        <v>33</v>
      </c>
      <c r="E91" s="118">
        <v>4</v>
      </c>
      <c r="F91" s="118" t="s">
        <v>447</v>
      </c>
      <c r="G91" s="118" t="s">
        <v>475</v>
      </c>
      <c r="H91" s="118" t="s">
        <v>35</v>
      </c>
      <c r="I91" s="118">
        <v>1</v>
      </c>
      <c r="J91" s="118">
        <v>1</v>
      </c>
      <c r="K91" s="118">
        <v>1</v>
      </c>
      <c r="L91" s="118">
        <v>3</v>
      </c>
      <c r="M91" s="118" t="s">
        <v>70</v>
      </c>
      <c r="N91" s="118" t="s">
        <v>71</v>
      </c>
      <c r="O91" s="118">
        <v>50</v>
      </c>
      <c r="P91" s="118">
        <v>0.6</v>
      </c>
      <c r="Q91" s="118">
        <v>0</v>
      </c>
      <c r="R91" s="118">
        <v>1</v>
      </c>
      <c r="S91" s="25" t="b">
        <v>1</v>
      </c>
      <c r="T91" s="118">
        <v>65</v>
      </c>
      <c r="U91" s="118">
        <v>975</v>
      </c>
      <c r="V91" s="118">
        <v>1300</v>
      </c>
      <c r="W91" s="118">
        <v>0</v>
      </c>
      <c r="X91" s="118">
        <v>5</v>
      </c>
      <c r="Y91" s="118" t="s">
        <v>38</v>
      </c>
      <c r="Z91" s="388" t="s">
        <v>2950</v>
      </c>
      <c r="AA91" s="388" t="s">
        <v>2950</v>
      </c>
      <c r="AB91" s="118" t="s">
        <v>478</v>
      </c>
      <c r="AC91" s="118">
        <v>300000</v>
      </c>
      <c r="AD91" s="197">
        <v>1</v>
      </c>
      <c r="AE91" s="197">
        <v>1</v>
      </c>
      <c r="AF91">
        <v>0</v>
      </c>
      <c r="AG91" s="402">
        <v>5</v>
      </c>
    </row>
    <row r="92" spans="1:33" x14ac:dyDescent="0.15">
      <c r="A92" s="118">
        <v>104006</v>
      </c>
      <c r="B92" s="17" t="s">
        <v>480</v>
      </c>
      <c r="C92" s="17" t="s">
        <v>480</v>
      </c>
      <c r="D92" s="118" t="s">
        <v>33</v>
      </c>
      <c r="E92" s="118">
        <v>4</v>
      </c>
      <c r="F92" s="118" t="s">
        <v>447</v>
      </c>
      <c r="G92" s="118" t="s">
        <v>481</v>
      </c>
      <c r="H92" s="118" t="s">
        <v>35</v>
      </c>
      <c r="I92" s="118">
        <v>1</v>
      </c>
      <c r="J92" s="118">
        <v>1</v>
      </c>
      <c r="K92" s="118">
        <v>1</v>
      </c>
      <c r="L92" s="118">
        <v>3</v>
      </c>
      <c r="M92" s="118" t="s">
        <v>70</v>
      </c>
      <c r="N92" s="118" t="s">
        <v>77</v>
      </c>
      <c r="O92" s="118">
        <v>50</v>
      </c>
      <c r="P92" s="118">
        <v>0.6</v>
      </c>
      <c r="Q92" s="118">
        <v>0</v>
      </c>
      <c r="R92" s="118">
        <v>1</v>
      </c>
      <c r="S92" s="25" t="b">
        <v>1</v>
      </c>
      <c r="T92" s="118">
        <v>78</v>
      </c>
      <c r="U92" s="118">
        <v>1170</v>
      </c>
      <c r="V92" s="118">
        <v>1560</v>
      </c>
      <c r="W92" s="118">
        <v>0</v>
      </c>
      <c r="X92" s="118">
        <v>6</v>
      </c>
      <c r="Y92" s="118" t="s">
        <v>38</v>
      </c>
      <c r="Z92" s="388" t="s">
        <v>2951</v>
      </c>
      <c r="AA92" s="388" t="s">
        <v>2951</v>
      </c>
      <c r="AB92" s="118" t="s">
        <v>484</v>
      </c>
      <c r="AC92" s="118">
        <v>200000</v>
      </c>
      <c r="AD92" s="197">
        <v>1</v>
      </c>
      <c r="AE92" s="197">
        <v>1</v>
      </c>
      <c r="AF92">
        <v>0</v>
      </c>
      <c r="AG92" s="402">
        <v>6</v>
      </c>
    </row>
    <row r="93" spans="1:33" x14ac:dyDescent="0.15">
      <c r="A93" s="118">
        <v>104007</v>
      </c>
      <c r="B93" s="21" t="s">
        <v>486</v>
      </c>
      <c r="C93" s="21" t="s">
        <v>486</v>
      </c>
      <c r="D93" s="118" t="s">
        <v>33</v>
      </c>
      <c r="E93" s="118">
        <v>4</v>
      </c>
      <c r="F93" s="118" t="s">
        <v>447</v>
      </c>
      <c r="G93" s="118" t="s">
        <v>487</v>
      </c>
      <c r="H93" s="118" t="s">
        <v>35</v>
      </c>
      <c r="I93" s="118">
        <v>1</v>
      </c>
      <c r="J93" s="118">
        <v>1</v>
      </c>
      <c r="K93" s="118">
        <v>1</v>
      </c>
      <c r="L93" s="118">
        <v>3</v>
      </c>
      <c r="M93" s="118" t="s">
        <v>70</v>
      </c>
      <c r="N93" s="118" t="s">
        <v>83</v>
      </c>
      <c r="O93" s="118">
        <v>50</v>
      </c>
      <c r="P93" s="118">
        <v>0.6</v>
      </c>
      <c r="Q93" s="118">
        <v>0</v>
      </c>
      <c r="R93" s="118">
        <v>1</v>
      </c>
      <c r="S93" s="25" t="b">
        <v>1</v>
      </c>
      <c r="T93" s="118">
        <v>91</v>
      </c>
      <c r="U93" s="118">
        <v>1365</v>
      </c>
      <c r="V93" s="118">
        <v>1820</v>
      </c>
      <c r="W93" s="118">
        <v>0</v>
      </c>
      <c r="X93" s="118">
        <v>7</v>
      </c>
      <c r="Y93" s="118" t="s">
        <v>38</v>
      </c>
      <c r="Z93" s="388" t="s">
        <v>2952</v>
      </c>
      <c r="AA93" s="388" t="s">
        <v>2952</v>
      </c>
      <c r="AB93" s="118" t="s">
        <v>490</v>
      </c>
      <c r="AC93" s="118">
        <v>100000</v>
      </c>
      <c r="AD93" s="197">
        <v>1</v>
      </c>
      <c r="AE93" s="197">
        <v>1</v>
      </c>
      <c r="AF93">
        <v>0</v>
      </c>
      <c r="AG93" s="402">
        <v>7</v>
      </c>
    </row>
    <row r="94" spans="1:33" x14ac:dyDescent="0.15">
      <c r="A94" s="17">
        <v>104008</v>
      </c>
      <c r="B94" s="17" t="s">
        <v>492</v>
      </c>
      <c r="C94" s="17" t="s">
        <v>492</v>
      </c>
      <c r="D94" s="118" t="s">
        <v>33</v>
      </c>
      <c r="E94" s="118">
        <v>4</v>
      </c>
      <c r="F94" s="118" t="s">
        <v>447</v>
      </c>
      <c r="G94" s="118" t="s">
        <v>493</v>
      </c>
      <c r="H94" s="17" t="s">
        <v>35</v>
      </c>
      <c r="I94" s="118">
        <v>1</v>
      </c>
      <c r="J94" s="118">
        <v>1</v>
      </c>
      <c r="K94" s="118">
        <v>1</v>
      </c>
      <c r="L94" s="118">
        <v>3</v>
      </c>
      <c r="M94" s="118" t="s">
        <v>70</v>
      </c>
      <c r="N94" s="118" t="s">
        <v>89</v>
      </c>
      <c r="O94" s="118">
        <v>50</v>
      </c>
      <c r="P94" s="118">
        <v>0.6</v>
      </c>
      <c r="Q94" s="118">
        <v>0</v>
      </c>
      <c r="R94" s="118">
        <v>1</v>
      </c>
      <c r="S94" s="25" t="b">
        <v>1</v>
      </c>
      <c r="T94" s="118">
        <v>104</v>
      </c>
      <c r="U94" s="118">
        <v>1560</v>
      </c>
      <c r="V94" s="118">
        <v>2080</v>
      </c>
      <c r="W94" s="118">
        <v>0</v>
      </c>
      <c r="X94" s="118">
        <v>8</v>
      </c>
      <c r="Y94" s="118" t="s">
        <v>38</v>
      </c>
      <c r="Z94" s="388" t="s">
        <v>2953</v>
      </c>
      <c r="AA94" s="388" t="s">
        <v>2953</v>
      </c>
      <c r="AB94" s="118" t="s">
        <v>496</v>
      </c>
      <c r="AC94" s="118">
        <v>100000</v>
      </c>
      <c r="AD94" s="191">
        <v>1</v>
      </c>
      <c r="AE94" s="191">
        <v>1</v>
      </c>
      <c r="AF94">
        <v>0</v>
      </c>
      <c r="AG94" s="402">
        <v>8</v>
      </c>
    </row>
    <row r="95" spans="1:33" x14ac:dyDescent="0.15">
      <c r="A95" s="17">
        <v>104009</v>
      </c>
      <c r="B95" s="17" t="s">
        <v>498</v>
      </c>
      <c r="C95" s="17" t="s">
        <v>498</v>
      </c>
      <c r="D95" s="118" t="s">
        <v>33</v>
      </c>
      <c r="E95" s="118">
        <v>4</v>
      </c>
      <c r="F95" s="118" t="s">
        <v>447</v>
      </c>
      <c r="G95" s="118" t="s">
        <v>499</v>
      </c>
      <c r="H95" s="17" t="s">
        <v>35</v>
      </c>
      <c r="I95" s="118">
        <v>1</v>
      </c>
      <c r="J95" s="118">
        <v>1</v>
      </c>
      <c r="K95" s="118">
        <v>1</v>
      </c>
      <c r="L95" s="118">
        <v>3</v>
      </c>
      <c r="M95" s="118" t="s">
        <v>70</v>
      </c>
      <c r="N95" s="118" t="s">
        <v>95</v>
      </c>
      <c r="O95" s="118">
        <v>50</v>
      </c>
      <c r="P95" s="118">
        <v>0.6</v>
      </c>
      <c r="Q95" s="118">
        <v>0</v>
      </c>
      <c r="R95" s="118">
        <v>1</v>
      </c>
      <c r="S95" s="25" t="b">
        <v>1</v>
      </c>
      <c r="T95" s="118">
        <v>117</v>
      </c>
      <c r="U95" s="118">
        <v>1755</v>
      </c>
      <c r="V95" s="118">
        <v>2340</v>
      </c>
      <c r="W95" s="118">
        <v>0</v>
      </c>
      <c r="X95" s="118">
        <v>9</v>
      </c>
      <c r="Y95" s="118" t="s">
        <v>38</v>
      </c>
      <c r="Z95" s="388" t="s">
        <v>2954</v>
      </c>
      <c r="AA95" s="388" t="s">
        <v>2954</v>
      </c>
      <c r="AB95" s="118" t="s">
        <v>502</v>
      </c>
      <c r="AC95" s="118">
        <v>100000</v>
      </c>
      <c r="AD95" s="191">
        <v>1</v>
      </c>
      <c r="AE95" s="191">
        <v>1</v>
      </c>
      <c r="AF95">
        <v>0</v>
      </c>
      <c r="AG95" s="402">
        <v>9</v>
      </c>
    </row>
    <row r="96" spans="1:33" x14ac:dyDescent="0.15">
      <c r="A96" s="17">
        <v>104010</v>
      </c>
      <c r="B96" s="17" t="s">
        <v>504</v>
      </c>
      <c r="C96" s="17" t="s">
        <v>504</v>
      </c>
      <c r="D96" s="118" t="s">
        <v>33</v>
      </c>
      <c r="E96" s="118">
        <v>4</v>
      </c>
      <c r="F96" s="118" t="s">
        <v>447</v>
      </c>
      <c r="G96" s="118" t="s">
        <v>505</v>
      </c>
      <c r="H96" s="17" t="s">
        <v>35</v>
      </c>
      <c r="I96" s="118">
        <v>1</v>
      </c>
      <c r="J96" s="118">
        <v>1</v>
      </c>
      <c r="K96" s="118">
        <v>1</v>
      </c>
      <c r="L96" s="118">
        <v>3</v>
      </c>
      <c r="M96" s="118" t="s">
        <v>70</v>
      </c>
      <c r="N96" s="118" t="s">
        <v>101</v>
      </c>
      <c r="O96" s="118">
        <v>50</v>
      </c>
      <c r="P96" s="118">
        <v>0.6</v>
      </c>
      <c r="Q96" s="118">
        <v>0</v>
      </c>
      <c r="R96" s="118">
        <v>1</v>
      </c>
      <c r="S96" s="25" t="b">
        <v>1</v>
      </c>
      <c r="T96" s="118">
        <v>130</v>
      </c>
      <c r="U96" s="118">
        <v>1950</v>
      </c>
      <c r="V96" s="118">
        <v>2600</v>
      </c>
      <c r="W96" s="118">
        <v>0</v>
      </c>
      <c r="X96" s="118">
        <v>10</v>
      </c>
      <c r="Y96" s="118" t="s">
        <v>38</v>
      </c>
      <c r="Z96" s="388" t="s">
        <v>2955</v>
      </c>
      <c r="AA96" s="388" t="s">
        <v>2955</v>
      </c>
      <c r="AB96" s="118" t="s">
        <v>508</v>
      </c>
      <c r="AC96" s="118">
        <v>100000</v>
      </c>
      <c r="AD96" s="191">
        <v>1</v>
      </c>
      <c r="AE96" s="191">
        <v>1</v>
      </c>
      <c r="AF96">
        <v>0</v>
      </c>
      <c r="AG96" s="402">
        <v>10</v>
      </c>
    </row>
    <row r="97" spans="1:33" x14ac:dyDescent="0.15">
      <c r="A97" s="119">
        <v>104208</v>
      </c>
      <c r="B97" s="114" t="s">
        <v>510</v>
      </c>
      <c r="C97" s="114" t="s">
        <v>510</v>
      </c>
      <c r="D97" s="119" t="s">
        <v>33</v>
      </c>
      <c r="E97" s="119">
        <v>4</v>
      </c>
      <c r="F97" s="119" t="s">
        <v>447</v>
      </c>
      <c r="G97" s="119" t="s">
        <v>493</v>
      </c>
      <c r="H97" s="119" t="s">
        <v>51</v>
      </c>
      <c r="I97" s="119">
        <v>1</v>
      </c>
      <c r="J97" s="118">
        <v>4</v>
      </c>
      <c r="K97" s="119">
        <v>0</v>
      </c>
      <c r="L97" s="119">
        <v>3</v>
      </c>
      <c r="M97" s="119" t="s">
        <v>52</v>
      </c>
      <c r="N97" s="118" t="s">
        <v>89</v>
      </c>
      <c r="O97" s="119">
        <v>50</v>
      </c>
      <c r="P97" s="119">
        <v>0.6</v>
      </c>
      <c r="Q97" s="119">
        <v>0</v>
      </c>
      <c r="R97" s="119">
        <v>1</v>
      </c>
      <c r="S97" s="80" t="b">
        <v>1</v>
      </c>
      <c r="T97" s="119">
        <v>104</v>
      </c>
      <c r="U97" s="118">
        <v>1560</v>
      </c>
      <c r="V97" s="118">
        <v>2080</v>
      </c>
      <c r="W97" s="119">
        <v>0</v>
      </c>
      <c r="X97" s="119">
        <v>8</v>
      </c>
      <c r="Y97" s="119" t="s">
        <v>38</v>
      </c>
      <c r="Z97" s="388" t="s">
        <v>2953</v>
      </c>
      <c r="AA97" s="388" t="s">
        <v>2953</v>
      </c>
      <c r="AB97" s="119" t="s">
        <v>496</v>
      </c>
      <c r="AC97" s="119">
        <v>100000</v>
      </c>
      <c r="AD97" s="92">
        <v>1</v>
      </c>
      <c r="AE97" s="92">
        <v>1</v>
      </c>
      <c r="AF97">
        <v>0</v>
      </c>
      <c r="AG97" s="403">
        <v>8</v>
      </c>
    </row>
    <row r="98" spans="1:33" x14ac:dyDescent="0.15">
      <c r="A98" s="119">
        <v>104209</v>
      </c>
      <c r="B98" s="114" t="s">
        <v>513</v>
      </c>
      <c r="C98" s="114" t="s">
        <v>513</v>
      </c>
      <c r="D98" s="119" t="s">
        <v>33</v>
      </c>
      <c r="E98" s="119">
        <v>4</v>
      </c>
      <c r="F98" s="119" t="s">
        <v>447</v>
      </c>
      <c r="G98" s="119" t="s">
        <v>499</v>
      </c>
      <c r="H98" s="119" t="s">
        <v>51</v>
      </c>
      <c r="I98" s="119">
        <v>1</v>
      </c>
      <c r="J98" s="118">
        <v>4</v>
      </c>
      <c r="K98" s="119">
        <v>0</v>
      </c>
      <c r="L98" s="119">
        <v>3</v>
      </c>
      <c r="M98" s="119" t="s">
        <v>52</v>
      </c>
      <c r="N98" s="118" t="s">
        <v>95</v>
      </c>
      <c r="O98" s="119">
        <v>50</v>
      </c>
      <c r="P98" s="119">
        <v>0.6</v>
      </c>
      <c r="Q98" s="119">
        <v>0</v>
      </c>
      <c r="R98" s="119">
        <v>1</v>
      </c>
      <c r="S98" s="80" t="b">
        <v>1</v>
      </c>
      <c r="T98" s="119">
        <v>117</v>
      </c>
      <c r="U98" s="118">
        <v>1755</v>
      </c>
      <c r="V98" s="118">
        <v>2340</v>
      </c>
      <c r="W98" s="119">
        <v>0</v>
      </c>
      <c r="X98" s="119">
        <v>9</v>
      </c>
      <c r="Y98" s="119" t="s">
        <v>38</v>
      </c>
      <c r="Z98" s="388" t="s">
        <v>2954</v>
      </c>
      <c r="AA98" s="388" t="s">
        <v>2954</v>
      </c>
      <c r="AB98" s="119" t="s">
        <v>502</v>
      </c>
      <c r="AC98" s="119">
        <v>100000</v>
      </c>
      <c r="AD98" s="92">
        <v>1</v>
      </c>
      <c r="AE98" s="92">
        <v>1</v>
      </c>
      <c r="AF98">
        <v>0</v>
      </c>
      <c r="AG98" s="403">
        <v>9</v>
      </c>
    </row>
    <row r="99" spans="1:33" x14ac:dyDescent="0.15">
      <c r="A99" s="119">
        <v>104210</v>
      </c>
      <c r="B99" s="114" t="s">
        <v>516</v>
      </c>
      <c r="C99" s="114" t="s">
        <v>516</v>
      </c>
      <c r="D99" s="119" t="s">
        <v>33</v>
      </c>
      <c r="E99" s="119">
        <v>4</v>
      </c>
      <c r="F99" s="119" t="s">
        <v>447</v>
      </c>
      <c r="G99" s="119" t="s">
        <v>505</v>
      </c>
      <c r="H99" s="119" t="s">
        <v>51</v>
      </c>
      <c r="I99" s="119">
        <v>1</v>
      </c>
      <c r="J99" s="118">
        <v>4</v>
      </c>
      <c r="K99" s="119">
        <v>0</v>
      </c>
      <c r="L99" s="119">
        <v>3</v>
      </c>
      <c r="M99" s="119" t="s">
        <v>52</v>
      </c>
      <c r="N99" s="118" t="s">
        <v>101</v>
      </c>
      <c r="O99" s="119">
        <v>50</v>
      </c>
      <c r="P99" s="119">
        <v>0.6</v>
      </c>
      <c r="Q99" s="119">
        <v>0</v>
      </c>
      <c r="R99" s="119">
        <v>1</v>
      </c>
      <c r="S99" s="80" t="b">
        <v>1</v>
      </c>
      <c r="T99" s="119">
        <v>130</v>
      </c>
      <c r="U99" s="118">
        <v>1950</v>
      </c>
      <c r="V99" s="118">
        <v>2600</v>
      </c>
      <c r="W99" s="119">
        <v>0</v>
      </c>
      <c r="X99" s="119">
        <v>10</v>
      </c>
      <c r="Y99" s="119" t="s">
        <v>38</v>
      </c>
      <c r="Z99" s="388" t="s">
        <v>2955</v>
      </c>
      <c r="AA99" s="388" t="s">
        <v>2955</v>
      </c>
      <c r="AB99" s="119" t="s">
        <v>508</v>
      </c>
      <c r="AC99" s="119">
        <v>100000</v>
      </c>
      <c r="AD99" s="92">
        <v>1</v>
      </c>
      <c r="AE99" s="92">
        <v>1</v>
      </c>
      <c r="AF99">
        <v>0</v>
      </c>
      <c r="AG99" s="403">
        <v>10</v>
      </c>
    </row>
    <row r="100" spans="1:33" x14ac:dyDescent="0.15">
      <c r="A100" s="118">
        <v>104101</v>
      </c>
      <c r="B100" s="17" t="s">
        <v>519</v>
      </c>
      <c r="C100" s="17" t="s">
        <v>519</v>
      </c>
      <c r="D100" s="118" t="s">
        <v>33</v>
      </c>
      <c r="E100" s="118">
        <v>4</v>
      </c>
      <c r="F100" s="118" t="s">
        <v>447</v>
      </c>
      <c r="G100" s="118" t="s">
        <v>520</v>
      </c>
      <c r="H100" s="118" t="s">
        <v>35</v>
      </c>
      <c r="I100" s="118">
        <v>1</v>
      </c>
      <c r="J100" s="118">
        <v>1</v>
      </c>
      <c r="K100" s="118">
        <v>1</v>
      </c>
      <c r="L100" s="118">
        <v>3</v>
      </c>
      <c r="M100" s="118" t="s">
        <v>36</v>
      </c>
      <c r="N100" s="118" t="s">
        <v>37</v>
      </c>
      <c r="O100" s="118">
        <v>50</v>
      </c>
      <c r="P100" s="118">
        <v>0.6</v>
      </c>
      <c r="Q100" s="118">
        <v>0</v>
      </c>
      <c r="R100" s="118">
        <v>1</v>
      </c>
      <c r="S100" s="25" t="b">
        <v>1</v>
      </c>
      <c r="T100" s="118">
        <v>13</v>
      </c>
      <c r="U100" s="118">
        <v>195</v>
      </c>
      <c r="V100" s="118">
        <v>260</v>
      </c>
      <c r="W100" s="118">
        <v>0</v>
      </c>
      <c r="X100" s="118">
        <v>1</v>
      </c>
      <c r="Y100" s="118" t="s">
        <v>38</v>
      </c>
      <c r="Z100" s="388" t="s">
        <v>2956</v>
      </c>
      <c r="AA100" s="388" t="s">
        <v>2956</v>
      </c>
      <c r="AB100" s="25" t="s">
        <v>523</v>
      </c>
      <c r="AC100" s="118">
        <v>100000</v>
      </c>
      <c r="AD100" s="197">
        <v>1</v>
      </c>
      <c r="AE100" s="197">
        <v>1</v>
      </c>
      <c r="AF100">
        <v>0</v>
      </c>
      <c r="AG100" s="402">
        <v>1</v>
      </c>
    </row>
    <row r="101" spans="1:33" x14ac:dyDescent="0.15">
      <c r="A101" s="118">
        <v>104102</v>
      </c>
      <c r="B101" s="17" t="s">
        <v>525</v>
      </c>
      <c r="C101" s="17" t="s">
        <v>525</v>
      </c>
      <c r="D101" s="118" t="s">
        <v>33</v>
      </c>
      <c r="E101" s="118">
        <v>4</v>
      </c>
      <c r="F101" s="118" t="s">
        <v>447</v>
      </c>
      <c r="G101" s="118" t="s">
        <v>526</v>
      </c>
      <c r="H101" s="118" t="s">
        <v>35</v>
      </c>
      <c r="I101" s="118">
        <v>1</v>
      </c>
      <c r="J101" s="118">
        <v>1</v>
      </c>
      <c r="K101" s="118">
        <v>1</v>
      </c>
      <c r="L101" s="118">
        <v>3</v>
      </c>
      <c r="M101" s="118" t="s">
        <v>44</v>
      </c>
      <c r="N101" s="118" t="s">
        <v>45</v>
      </c>
      <c r="O101" s="118">
        <v>50</v>
      </c>
      <c r="P101" s="118">
        <v>0.6</v>
      </c>
      <c r="Q101" s="118">
        <v>0</v>
      </c>
      <c r="R101" s="118">
        <v>1</v>
      </c>
      <c r="S101" s="25" t="b">
        <v>1</v>
      </c>
      <c r="T101" s="118">
        <v>26</v>
      </c>
      <c r="U101" s="118">
        <v>390</v>
      </c>
      <c r="V101" s="118">
        <v>520</v>
      </c>
      <c r="W101" s="118">
        <v>0</v>
      </c>
      <c r="X101" s="118">
        <v>2</v>
      </c>
      <c r="Y101" s="118" t="s">
        <v>38</v>
      </c>
      <c r="Z101" s="388" t="s">
        <v>2957</v>
      </c>
      <c r="AA101" s="388" t="s">
        <v>2957</v>
      </c>
      <c r="AB101" s="25" t="s">
        <v>529</v>
      </c>
      <c r="AC101" s="118">
        <v>100000</v>
      </c>
      <c r="AD101" s="197">
        <v>1</v>
      </c>
      <c r="AE101" s="197">
        <v>1</v>
      </c>
      <c r="AF101">
        <v>0</v>
      </c>
      <c r="AG101" s="402">
        <v>2</v>
      </c>
    </row>
    <row r="102" spans="1:33" x14ac:dyDescent="0.15">
      <c r="A102" s="118">
        <v>104103</v>
      </c>
      <c r="B102" s="21" t="s">
        <v>531</v>
      </c>
      <c r="C102" s="21" t="s">
        <v>531</v>
      </c>
      <c r="D102" s="118" t="s">
        <v>33</v>
      </c>
      <c r="E102" s="118">
        <v>4</v>
      </c>
      <c r="F102" s="118" t="s">
        <v>447</v>
      </c>
      <c r="G102" s="118" t="s">
        <v>532</v>
      </c>
      <c r="H102" s="118" t="s">
        <v>35</v>
      </c>
      <c r="I102" s="118">
        <v>1</v>
      </c>
      <c r="J102" s="118">
        <v>1</v>
      </c>
      <c r="K102" s="118">
        <v>1</v>
      </c>
      <c r="L102" s="118">
        <v>3</v>
      </c>
      <c r="M102" s="118" t="s">
        <v>56</v>
      </c>
      <c r="N102" s="118" t="s">
        <v>57</v>
      </c>
      <c r="O102" s="118">
        <v>50</v>
      </c>
      <c r="P102" s="118">
        <v>0.6</v>
      </c>
      <c r="Q102" s="118">
        <v>0</v>
      </c>
      <c r="R102" s="118">
        <v>1</v>
      </c>
      <c r="S102" s="25" t="b">
        <v>1</v>
      </c>
      <c r="T102" s="118">
        <v>39</v>
      </c>
      <c r="U102" s="118">
        <v>585</v>
      </c>
      <c r="V102" s="118">
        <v>780</v>
      </c>
      <c r="W102" s="118">
        <v>0</v>
      </c>
      <c r="X102" s="118">
        <v>3</v>
      </c>
      <c r="Y102" s="118" t="s">
        <v>38</v>
      </c>
      <c r="Z102" s="388" t="s">
        <v>2958</v>
      </c>
      <c r="AA102" s="388" t="s">
        <v>2958</v>
      </c>
      <c r="AB102" s="25" t="s">
        <v>535</v>
      </c>
      <c r="AC102" s="118">
        <v>300000</v>
      </c>
      <c r="AD102" s="197">
        <v>1</v>
      </c>
      <c r="AE102" s="197">
        <v>1</v>
      </c>
      <c r="AF102">
        <v>0</v>
      </c>
      <c r="AG102" s="402">
        <v>3</v>
      </c>
    </row>
    <row r="103" spans="1:33" x14ac:dyDescent="0.15">
      <c r="A103" s="119">
        <v>104503</v>
      </c>
      <c r="B103" s="359" t="s">
        <v>537</v>
      </c>
      <c r="C103" s="359" t="s">
        <v>537</v>
      </c>
      <c r="D103" s="119" t="s">
        <v>33</v>
      </c>
      <c r="E103" s="119">
        <v>4</v>
      </c>
      <c r="F103" s="119" t="s">
        <v>447</v>
      </c>
      <c r="G103" s="119" t="s">
        <v>532</v>
      </c>
      <c r="H103" s="119" t="s">
        <v>51</v>
      </c>
      <c r="I103" s="119">
        <v>1</v>
      </c>
      <c r="J103" s="118">
        <v>3</v>
      </c>
      <c r="K103" s="119">
        <v>0</v>
      </c>
      <c r="L103" s="119">
        <v>3</v>
      </c>
      <c r="M103" s="119" t="s">
        <v>52</v>
      </c>
      <c r="N103" s="118" t="s">
        <v>57</v>
      </c>
      <c r="O103" s="119">
        <v>50</v>
      </c>
      <c r="P103" s="119">
        <v>0.6</v>
      </c>
      <c r="Q103" s="119">
        <v>0</v>
      </c>
      <c r="R103" s="119">
        <v>1</v>
      </c>
      <c r="S103" s="80" t="b">
        <v>1</v>
      </c>
      <c r="T103" s="119">
        <v>39</v>
      </c>
      <c r="U103" s="118">
        <v>585</v>
      </c>
      <c r="V103" s="118">
        <v>780</v>
      </c>
      <c r="W103" s="119">
        <v>0</v>
      </c>
      <c r="X103" s="119">
        <v>3</v>
      </c>
      <c r="Y103" s="119" t="s">
        <v>38</v>
      </c>
      <c r="Z103" s="388" t="s">
        <v>2958</v>
      </c>
      <c r="AA103" s="388" t="s">
        <v>2958</v>
      </c>
      <c r="AB103" s="80" t="s">
        <v>535</v>
      </c>
      <c r="AC103" s="119">
        <v>300000</v>
      </c>
      <c r="AD103" s="92">
        <v>1</v>
      </c>
      <c r="AE103" s="92">
        <v>1</v>
      </c>
      <c r="AF103">
        <v>0</v>
      </c>
      <c r="AG103" s="403">
        <v>3</v>
      </c>
    </row>
    <row r="104" spans="1:33" x14ac:dyDescent="0.15">
      <c r="A104" s="118">
        <v>104104</v>
      </c>
      <c r="B104" s="72" t="s">
        <v>540</v>
      </c>
      <c r="C104" s="72" t="s">
        <v>540</v>
      </c>
      <c r="D104" s="118" t="s">
        <v>33</v>
      </c>
      <c r="E104" s="118">
        <v>4</v>
      </c>
      <c r="F104" s="118" t="s">
        <v>447</v>
      </c>
      <c r="G104" s="118" t="s">
        <v>541</v>
      </c>
      <c r="H104" s="118" t="s">
        <v>35</v>
      </c>
      <c r="I104" s="118">
        <v>1</v>
      </c>
      <c r="J104" s="118">
        <v>1</v>
      </c>
      <c r="K104" s="118">
        <v>1</v>
      </c>
      <c r="L104" s="118">
        <v>3</v>
      </c>
      <c r="M104" s="118" t="s">
        <v>63</v>
      </c>
      <c r="N104" s="118" t="s">
        <v>64</v>
      </c>
      <c r="O104" s="118">
        <v>50</v>
      </c>
      <c r="P104" s="118">
        <v>0.6</v>
      </c>
      <c r="Q104" s="118">
        <v>0</v>
      </c>
      <c r="R104" s="118">
        <v>1</v>
      </c>
      <c r="S104" s="25" t="b">
        <v>1</v>
      </c>
      <c r="T104" s="118">
        <v>52</v>
      </c>
      <c r="U104" s="118">
        <v>780</v>
      </c>
      <c r="V104" s="118">
        <v>1040</v>
      </c>
      <c r="W104" s="118">
        <v>0</v>
      </c>
      <c r="X104" s="118">
        <v>4</v>
      </c>
      <c r="Y104" s="118" t="s">
        <v>38</v>
      </c>
      <c r="Z104" s="388" t="s">
        <v>2959</v>
      </c>
      <c r="AA104" s="388" t="s">
        <v>2959</v>
      </c>
      <c r="AB104" s="25" t="s">
        <v>544</v>
      </c>
      <c r="AC104" s="118">
        <v>300000</v>
      </c>
      <c r="AD104" s="197">
        <v>1</v>
      </c>
      <c r="AE104" s="197">
        <v>1</v>
      </c>
      <c r="AF104">
        <v>0</v>
      </c>
      <c r="AG104" s="402">
        <v>4</v>
      </c>
    </row>
    <row r="105" spans="1:33" x14ac:dyDescent="0.15">
      <c r="A105" s="118">
        <v>104105</v>
      </c>
      <c r="B105" s="21" t="s">
        <v>546</v>
      </c>
      <c r="C105" s="21" t="s">
        <v>546</v>
      </c>
      <c r="D105" s="118" t="s">
        <v>33</v>
      </c>
      <c r="E105" s="118">
        <v>4</v>
      </c>
      <c r="F105" s="118" t="s">
        <v>447</v>
      </c>
      <c r="G105" s="118" t="s">
        <v>547</v>
      </c>
      <c r="H105" s="118" t="s">
        <v>35</v>
      </c>
      <c r="I105" s="118">
        <v>1</v>
      </c>
      <c r="J105" s="118">
        <v>1</v>
      </c>
      <c r="K105" s="118">
        <v>1</v>
      </c>
      <c r="L105" s="118">
        <v>3</v>
      </c>
      <c r="M105" s="118" t="s">
        <v>70</v>
      </c>
      <c r="N105" s="118" t="s">
        <v>71</v>
      </c>
      <c r="O105" s="118">
        <v>50</v>
      </c>
      <c r="P105" s="118">
        <v>0.6</v>
      </c>
      <c r="Q105" s="118">
        <v>0</v>
      </c>
      <c r="R105" s="118">
        <v>1</v>
      </c>
      <c r="S105" s="25" t="b">
        <v>1</v>
      </c>
      <c r="T105" s="118">
        <v>65</v>
      </c>
      <c r="U105" s="118">
        <v>975</v>
      </c>
      <c r="V105" s="118">
        <v>1300</v>
      </c>
      <c r="W105" s="118">
        <v>0</v>
      </c>
      <c r="X105" s="118">
        <v>5</v>
      </c>
      <c r="Y105" s="118" t="s">
        <v>38</v>
      </c>
      <c r="Z105" s="388" t="s">
        <v>2960</v>
      </c>
      <c r="AA105" s="388" t="s">
        <v>2960</v>
      </c>
      <c r="AB105" s="118" t="s">
        <v>550</v>
      </c>
      <c r="AC105" s="118">
        <v>100000</v>
      </c>
      <c r="AD105" s="197">
        <v>1</v>
      </c>
      <c r="AE105" s="197">
        <v>1</v>
      </c>
      <c r="AF105">
        <v>0</v>
      </c>
      <c r="AG105" s="402">
        <v>5</v>
      </c>
    </row>
    <row r="106" spans="1:33" x14ac:dyDescent="0.15">
      <c r="A106" s="118">
        <v>104106</v>
      </c>
      <c r="B106" s="17" t="s">
        <v>552</v>
      </c>
      <c r="C106" s="17" t="s">
        <v>552</v>
      </c>
      <c r="D106" s="118" t="s">
        <v>33</v>
      </c>
      <c r="E106" s="118">
        <v>4</v>
      </c>
      <c r="F106" s="118" t="s">
        <v>447</v>
      </c>
      <c r="G106" s="118" t="s">
        <v>553</v>
      </c>
      <c r="H106" s="118" t="s">
        <v>35</v>
      </c>
      <c r="I106" s="118">
        <v>1</v>
      </c>
      <c r="J106" s="118">
        <v>1</v>
      </c>
      <c r="K106" s="118">
        <v>1</v>
      </c>
      <c r="L106" s="118">
        <v>3</v>
      </c>
      <c r="M106" s="118" t="s">
        <v>70</v>
      </c>
      <c r="N106" s="118" t="s">
        <v>77</v>
      </c>
      <c r="O106" s="118">
        <v>50</v>
      </c>
      <c r="P106" s="118">
        <v>0.6</v>
      </c>
      <c r="Q106" s="118">
        <v>0</v>
      </c>
      <c r="R106" s="118">
        <v>1</v>
      </c>
      <c r="S106" s="25" t="b">
        <v>1</v>
      </c>
      <c r="T106" s="118">
        <v>78</v>
      </c>
      <c r="U106" s="118">
        <v>1170</v>
      </c>
      <c r="V106" s="118">
        <v>1560</v>
      </c>
      <c r="W106" s="118">
        <v>0</v>
      </c>
      <c r="X106" s="118">
        <v>6</v>
      </c>
      <c r="Y106" s="118" t="s">
        <v>38</v>
      </c>
      <c r="Z106" s="388" t="s">
        <v>2961</v>
      </c>
      <c r="AA106" s="388" t="s">
        <v>2961</v>
      </c>
      <c r="AB106" s="118" t="s">
        <v>556</v>
      </c>
      <c r="AC106" s="118">
        <v>200000</v>
      </c>
      <c r="AD106" s="197">
        <v>1</v>
      </c>
      <c r="AE106" s="197">
        <v>1</v>
      </c>
      <c r="AF106">
        <v>0</v>
      </c>
      <c r="AG106" s="402">
        <v>6</v>
      </c>
    </row>
    <row r="107" spans="1:33" x14ac:dyDescent="0.15">
      <c r="A107" s="118">
        <v>104107</v>
      </c>
      <c r="B107" s="21" t="s">
        <v>558</v>
      </c>
      <c r="C107" s="21" t="s">
        <v>558</v>
      </c>
      <c r="D107" s="118" t="s">
        <v>33</v>
      </c>
      <c r="E107" s="118">
        <v>4</v>
      </c>
      <c r="F107" s="118" t="s">
        <v>447</v>
      </c>
      <c r="G107" s="118" t="s">
        <v>559</v>
      </c>
      <c r="H107" s="118" t="s">
        <v>35</v>
      </c>
      <c r="I107" s="118">
        <v>1</v>
      </c>
      <c r="J107" s="118">
        <v>1</v>
      </c>
      <c r="K107" s="118">
        <v>1</v>
      </c>
      <c r="L107" s="118">
        <v>3</v>
      </c>
      <c r="M107" s="118" t="s">
        <v>70</v>
      </c>
      <c r="N107" s="118" t="s">
        <v>83</v>
      </c>
      <c r="O107" s="118">
        <v>50</v>
      </c>
      <c r="P107" s="118">
        <v>0.6</v>
      </c>
      <c r="Q107" s="118">
        <v>0</v>
      </c>
      <c r="R107" s="118">
        <v>1</v>
      </c>
      <c r="S107" s="25" t="b">
        <v>1</v>
      </c>
      <c r="T107" s="118">
        <v>91</v>
      </c>
      <c r="U107" s="118">
        <v>1365</v>
      </c>
      <c r="V107" s="118">
        <v>1820</v>
      </c>
      <c r="W107" s="118">
        <v>0</v>
      </c>
      <c r="X107" s="118">
        <v>7</v>
      </c>
      <c r="Y107" s="118" t="s">
        <v>38</v>
      </c>
      <c r="Z107" s="388" t="s">
        <v>2962</v>
      </c>
      <c r="AA107" s="388" t="s">
        <v>2962</v>
      </c>
      <c r="AB107" s="118" t="s">
        <v>562</v>
      </c>
      <c r="AC107" s="118">
        <v>100000</v>
      </c>
      <c r="AD107" s="197">
        <v>1</v>
      </c>
      <c r="AE107" s="197">
        <v>1</v>
      </c>
      <c r="AF107">
        <v>0</v>
      </c>
      <c r="AG107" s="402">
        <v>7</v>
      </c>
    </row>
    <row r="108" spans="1:33" x14ac:dyDescent="0.15">
      <c r="A108" s="114">
        <v>104207</v>
      </c>
      <c r="B108" s="359" t="s">
        <v>564</v>
      </c>
      <c r="C108" s="359" t="s">
        <v>564</v>
      </c>
      <c r="D108" s="119" t="s">
        <v>33</v>
      </c>
      <c r="E108" s="119">
        <v>4</v>
      </c>
      <c r="F108" s="119" t="s">
        <v>447</v>
      </c>
      <c r="G108" s="118" t="s">
        <v>487</v>
      </c>
      <c r="H108" s="119" t="s">
        <v>51</v>
      </c>
      <c r="I108" s="119">
        <v>1</v>
      </c>
      <c r="J108" s="118">
        <v>4</v>
      </c>
      <c r="K108" s="119">
        <v>0</v>
      </c>
      <c r="L108" s="119">
        <v>3</v>
      </c>
      <c r="M108" s="119" t="s">
        <v>52</v>
      </c>
      <c r="N108" s="118" t="s">
        <v>83</v>
      </c>
      <c r="O108" s="119">
        <v>50</v>
      </c>
      <c r="P108" s="119">
        <v>0.6</v>
      </c>
      <c r="Q108" s="119">
        <v>0</v>
      </c>
      <c r="R108" s="119">
        <v>1</v>
      </c>
      <c r="S108" s="80" t="b">
        <v>1</v>
      </c>
      <c r="T108" s="119">
        <v>91</v>
      </c>
      <c r="U108" s="118">
        <v>1365</v>
      </c>
      <c r="V108" s="118">
        <v>1820</v>
      </c>
      <c r="W108" s="119">
        <v>0</v>
      </c>
      <c r="X108" s="119">
        <v>7</v>
      </c>
      <c r="Y108" s="119" t="s">
        <v>38</v>
      </c>
      <c r="Z108" s="388" t="s">
        <v>2952</v>
      </c>
      <c r="AA108" s="388" t="s">
        <v>2952</v>
      </c>
      <c r="AB108" s="119" t="s">
        <v>490</v>
      </c>
      <c r="AC108" s="119">
        <v>100000</v>
      </c>
      <c r="AD108" s="197">
        <v>1</v>
      </c>
      <c r="AE108" s="197">
        <v>1</v>
      </c>
      <c r="AF108">
        <v>0</v>
      </c>
      <c r="AG108" s="403">
        <v>7</v>
      </c>
    </row>
    <row r="109" spans="1:33" x14ac:dyDescent="0.15">
      <c r="A109" s="114">
        <v>104307</v>
      </c>
      <c r="B109" s="359" t="s">
        <v>567</v>
      </c>
      <c r="C109" s="359" t="s">
        <v>567</v>
      </c>
      <c r="D109" s="119" t="s">
        <v>33</v>
      </c>
      <c r="E109" s="119">
        <v>4</v>
      </c>
      <c r="F109" s="119" t="s">
        <v>447</v>
      </c>
      <c r="G109" s="118" t="s">
        <v>559</v>
      </c>
      <c r="H109" s="119" t="s">
        <v>51</v>
      </c>
      <c r="I109" s="119">
        <v>1</v>
      </c>
      <c r="J109" s="118">
        <v>4</v>
      </c>
      <c r="K109" s="119">
        <v>0</v>
      </c>
      <c r="L109" s="119">
        <v>3</v>
      </c>
      <c r="M109" s="119" t="s">
        <v>52</v>
      </c>
      <c r="N109" s="118" t="s">
        <v>83</v>
      </c>
      <c r="O109" s="119">
        <v>50</v>
      </c>
      <c r="P109" s="119">
        <v>0.6</v>
      </c>
      <c r="Q109" s="119">
        <v>0</v>
      </c>
      <c r="R109" s="119">
        <v>1</v>
      </c>
      <c r="S109" s="80" t="b">
        <v>1</v>
      </c>
      <c r="T109" s="119">
        <v>91</v>
      </c>
      <c r="U109" s="118">
        <v>1365</v>
      </c>
      <c r="V109" s="118">
        <v>1820</v>
      </c>
      <c r="W109" s="119">
        <v>0</v>
      </c>
      <c r="X109" s="119">
        <v>7</v>
      </c>
      <c r="Y109" s="119" t="s">
        <v>38</v>
      </c>
      <c r="Z109" s="388" t="s">
        <v>2962</v>
      </c>
      <c r="AA109" s="388" t="s">
        <v>2962</v>
      </c>
      <c r="AB109" s="119" t="s">
        <v>562</v>
      </c>
      <c r="AC109" s="119">
        <v>100000</v>
      </c>
      <c r="AD109" s="197">
        <v>1</v>
      </c>
      <c r="AE109" s="197">
        <v>1</v>
      </c>
      <c r="AF109">
        <v>0</v>
      </c>
      <c r="AG109" s="403">
        <v>7</v>
      </c>
    </row>
    <row r="110" spans="1:33" x14ac:dyDescent="0.15">
      <c r="A110" s="17">
        <v>104108</v>
      </c>
      <c r="B110" s="17" t="s">
        <v>570</v>
      </c>
      <c r="C110" s="17" t="s">
        <v>570</v>
      </c>
      <c r="D110" s="118" t="s">
        <v>33</v>
      </c>
      <c r="E110" s="118">
        <v>4</v>
      </c>
      <c r="F110" s="118" t="s">
        <v>447</v>
      </c>
      <c r="G110" s="118" t="s">
        <v>571</v>
      </c>
      <c r="H110" s="17" t="s">
        <v>35</v>
      </c>
      <c r="I110" s="118">
        <v>1</v>
      </c>
      <c r="J110" s="118">
        <v>1</v>
      </c>
      <c r="K110" s="118">
        <v>1</v>
      </c>
      <c r="L110" s="118">
        <v>3</v>
      </c>
      <c r="M110" s="118" t="s">
        <v>70</v>
      </c>
      <c r="N110" s="118" t="s">
        <v>89</v>
      </c>
      <c r="O110" s="118">
        <v>50</v>
      </c>
      <c r="P110" s="118">
        <v>0.6</v>
      </c>
      <c r="Q110" s="118">
        <v>0</v>
      </c>
      <c r="R110" s="118">
        <v>1</v>
      </c>
      <c r="S110" s="25" t="b">
        <v>1</v>
      </c>
      <c r="T110" s="118">
        <v>104</v>
      </c>
      <c r="U110" s="118">
        <v>1560</v>
      </c>
      <c r="V110" s="118">
        <v>2080</v>
      </c>
      <c r="W110" s="118">
        <v>0</v>
      </c>
      <c r="X110" s="118">
        <v>8</v>
      </c>
      <c r="Y110" s="118" t="s">
        <v>38</v>
      </c>
      <c r="Z110" s="388" t="s">
        <v>2963</v>
      </c>
      <c r="AA110" s="388" t="s">
        <v>2963</v>
      </c>
      <c r="AB110" s="118" t="s">
        <v>574</v>
      </c>
      <c r="AC110" s="118">
        <v>100000</v>
      </c>
      <c r="AD110" s="191">
        <v>1</v>
      </c>
      <c r="AE110" s="191">
        <v>1</v>
      </c>
      <c r="AF110">
        <v>0</v>
      </c>
      <c r="AG110" s="402">
        <v>8</v>
      </c>
    </row>
    <row r="111" spans="1:33" x14ac:dyDescent="0.15">
      <c r="A111" s="17">
        <v>104109</v>
      </c>
      <c r="B111" s="17" t="s">
        <v>576</v>
      </c>
      <c r="C111" s="17" t="s">
        <v>576</v>
      </c>
      <c r="D111" s="118" t="s">
        <v>33</v>
      </c>
      <c r="E111" s="118">
        <v>4</v>
      </c>
      <c r="F111" s="118" t="s">
        <v>447</v>
      </c>
      <c r="G111" s="118" t="s">
        <v>577</v>
      </c>
      <c r="H111" s="17" t="s">
        <v>35</v>
      </c>
      <c r="I111" s="118">
        <v>1</v>
      </c>
      <c r="J111" s="118">
        <v>1</v>
      </c>
      <c r="K111" s="118">
        <v>1</v>
      </c>
      <c r="L111" s="118">
        <v>3</v>
      </c>
      <c r="M111" s="118" t="s">
        <v>70</v>
      </c>
      <c r="N111" s="118" t="s">
        <v>95</v>
      </c>
      <c r="O111" s="118">
        <v>50</v>
      </c>
      <c r="P111" s="118">
        <v>0.6</v>
      </c>
      <c r="Q111" s="118">
        <v>0</v>
      </c>
      <c r="R111" s="118">
        <v>1</v>
      </c>
      <c r="S111" s="25" t="b">
        <v>1</v>
      </c>
      <c r="T111" s="118">
        <v>117</v>
      </c>
      <c r="U111" s="118">
        <v>1755</v>
      </c>
      <c r="V111" s="118">
        <v>2340</v>
      </c>
      <c r="W111" s="118">
        <v>0</v>
      </c>
      <c r="X111" s="118">
        <v>9</v>
      </c>
      <c r="Y111" s="118" t="s">
        <v>38</v>
      </c>
      <c r="Z111" s="388" t="s">
        <v>2964</v>
      </c>
      <c r="AA111" s="388" t="s">
        <v>2964</v>
      </c>
      <c r="AB111" s="118" t="s">
        <v>580</v>
      </c>
      <c r="AC111" s="118">
        <v>100000</v>
      </c>
      <c r="AD111" s="191">
        <v>1</v>
      </c>
      <c r="AE111" s="191">
        <v>1</v>
      </c>
      <c r="AF111">
        <v>0</v>
      </c>
      <c r="AG111" s="402">
        <v>9</v>
      </c>
    </row>
    <row r="112" spans="1:33" x14ac:dyDescent="0.15">
      <c r="A112" s="17">
        <v>104110</v>
      </c>
      <c r="B112" s="17" t="s">
        <v>582</v>
      </c>
      <c r="C112" s="17" t="s">
        <v>582</v>
      </c>
      <c r="D112" s="118" t="s">
        <v>33</v>
      </c>
      <c r="E112" s="118">
        <v>4</v>
      </c>
      <c r="F112" s="118" t="s">
        <v>447</v>
      </c>
      <c r="G112" s="118" t="s">
        <v>583</v>
      </c>
      <c r="H112" s="17" t="s">
        <v>35</v>
      </c>
      <c r="I112" s="118">
        <v>1</v>
      </c>
      <c r="J112" s="118">
        <v>1</v>
      </c>
      <c r="K112" s="118">
        <v>1</v>
      </c>
      <c r="L112" s="118">
        <v>3</v>
      </c>
      <c r="M112" s="118" t="s">
        <v>70</v>
      </c>
      <c r="N112" s="118" t="s">
        <v>101</v>
      </c>
      <c r="O112" s="118">
        <v>50</v>
      </c>
      <c r="P112" s="118">
        <v>0.6</v>
      </c>
      <c r="Q112" s="118">
        <v>0</v>
      </c>
      <c r="R112" s="118">
        <v>1</v>
      </c>
      <c r="S112" s="25" t="b">
        <v>1</v>
      </c>
      <c r="T112" s="118">
        <v>130</v>
      </c>
      <c r="U112" s="118">
        <v>1950</v>
      </c>
      <c r="V112" s="118">
        <v>2600</v>
      </c>
      <c r="W112" s="118">
        <v>0</v>
      </c>
      <c r="X112" s="118">
        <v>10</v>
      </c>
      <c r="Y112" s="118" t="s">
        <v>38</v>
      </c>
      <c r="Z112" s="388" t="s">
        <v>2965</v>
      </c>
      <c r="AA112" s="388" t="s">
        <v>2965</v>
      </c>
      <c r="AB112" s="118" t="s">
        <v>586</v>
      </c>
      <c r="AC112" s="118">
        <v>100000</v>
      </c>
      <c r="AD112" s="191">
        <v>1</v>
      </c>
      <c r="AE112" s="191">
        <v>1</v>
      </c>
      <c r="AF112">
        <v>0</v>
      </c>
      <c r="AG112" s="402">
        <v>10</v>
      </c>
    </row>
    <row r="113" spans="1:33" x14ac:dyDescent="0.15">
      <c r="A113" s="119">
        <v>104308</v>
      </c>
      <c r="B113" s="114" t="s">
        <v>588</v>
      </c>
      <c r="C113" s="114" t="s">
        <v>588</v>
      </c>
      <c r="D113" s="119" t="s">
        <v>33</v>
      </c>
      <c r="E113" s="119">
        <v>4</v>
      </c>
      <c r="F113" s="119" t="s">
        <v>447</v>
      </c>
      <c r="G113" s="119" t="s">
        <v>571</v>
      </c>
      <c r="H113" s="119" t="s">
        <v>51</v>
      </c>
      <c r="I113" s="119">
        <v>1</v>
      </c>
      <c r="J113" s="118">
        <v>4</v>
      </c>
      <c r="K113" s="119">
        <v>0</v>
      </c>
      <c r="L113" s="119">
        <v>3</v>
      </c>
      <c r="M113" s="119" t="s">
        <v>52</v>
      </c>
      <c r="N113" s="118" t="s">
        <v>89</v>
      </c>
      <c r="O113" s="119">
        <v>50</v>
      </c>
      <c r="P113" s="119">
        <v>0.6</v>
      </c>
      <c r="Q113" s="119">
        <v>0</v>
      </c>
      <c r="R113" s="119">
        <v>1</v>
      </c>
      <c r="S113" s="80" t="b">
        <v>1</v>
      </c>
      <c r="T113" s="119">
        <v>104</v>
      </c>
      <c r="U113" s="118">
        <v>1560</v>
      </c>
      <c r="V113" s="118">
        <v>2080</v>
      </c>
      <c r="W113" s="119">
        <v>0</v>
      </c>
      <c r="X113" s="119">
        <v>8</v>
      </c>
      <c r="Y113" s="119" t="s">
        <v>38</v>
      </c>
      <c r="Z113" s="388" t="s">
        <v>2963</v>
      </c>
      <c r="AA113" s="388" t="s">
        <v>2963</v>
      </c>
      <c r="AB113" s="119" t="s">
        <v>574</v>
      </c>
      <c r="AC113" s="119">
        <v>100000</v>
      </c>
      <c r="AD113" s="92">
        <v>1</v>
      </c>
      <c r="AE113" s="92">
        <v>1</v>
      </c>
      <c r="AF113">
        <v>0</v>
      </c>
      <c r="AG113" s="403">
        <v>8</v>
      </c>
    </row>
    <row r="114" spans="1:33" x14ac:dyDescent="0.15">
      <c r="A114" s="119">
        <v>104309</v>
      </c>
      <c r="B114" s="114" t="s">
        <v>591</v>
      </c>
      <c r="C114" s="114" t="s">
        <v>591</v>
      </c>
      <c r="D114" s="119" t="s">
        <v>33</v>
      </c>
      <c r="E114" s="119">
        <v>4</v>
      </c>
      <c r="F114" s="119" t="s">
        <v>447</v>
      </c>
      <c r="G114" s="119" t="s">
        <v>577</v>
      </c>
      <c r="H114" s="119" t="s">
        <v>51</v>
      </c>
      <c r="I114" s="119">
        <v>1</v>
      </c>
      <c r="J114" s="118">
        <v>4</v>
      </c>
      <c r="K114" s="119">
        <v>0</v>
      </c>
      <c r="L114" s="119">
        <v>3</v>
      </c>
      <c r="M114" s="119" t="s">
        <v>52</v>
      </c>
      <c r="N114" s="118" t="s">
        <v>95</v>
      </c>
      <c r="O114" s="119">
        <v>50</v>
      </c>
      <c r="P114" s="119">
        <v>0.6</v>
      </c>
      <c r="Q114" s="119">
        <v>0</v>
      </c>
      <c r="R114" s="119">
        <v>1</v>
      </c>
      <c r="S114" s="80" t="b">
        <v>1</v>
      </c>
      <c r="T114" s="119">
        <v>117</v>
      </c>
      <c r="U114" s="118">
        <v>1755</v>
      </c>
      <c r="V114" s="118">
        <v>2340</v>
      </c>
      <c r="W114" s="119">
        <v>0</v>
      </c>
      <c r="X114" s="119">
        <v>9</v>
      </c>
      <c r="Y114" s="119" t="s">
        <v>38</v>
      </c>
      <c r="Z114" s="388" t="s">
        <v>2964</v>
      </c>
      <c r="AA114" s="388" t="s">
        <v>2964</v>
      </c>
      <c r="AB114" s="119" t="s">
        <v>580</v>
      </c>
      <c r="AC114" s="119">
        <v>100000</v>
      </c>
      <c r="AD114" s="92">
        <v>1</v>
      </c>
      <c r="AE114" s="92">
        <v>1</v>
      </c>
      <c r="AF114">
        <v>0</v>
      </c>
      <c r="AG114" s="403">
        <v>9</v>
      </c>
    </row>
    <row r="115" spans="1:33" x14ac:dyDescent="0.15">
      <c r="A115" s="119">
        <v>104310</v>
      </c>
      <c r="B115" s="114" t="s">
        <v>594</v>
      </c>
      <c r="C115" s="114" t="s">
        <v>594</v>
      </c>
      <c r="D115" s="119" t="s">
        <v>33</v>
      </c>
      <c r="E115" s="119">
        <v>4</v>
      </c>
      <c r="F115" s="119" t="s">
        <v>447</v>
      </c>
      <c r="G115" s="119" t="s">
        <v>583</v>
      </c>
      <c r="H115" s="119" t="s">
        <v>51</v>
      </c>
      <c r="I115" s="119">
        <v>1</v>
      </c>
      <c r="J115" s="118">
        <v>4</v>
      </c>
      <c r="K115" s="119">
        <v>0</v>
      </c>
      <c r="L115" s="119">
        <v>3</v>
      </c>
      <c r="M115" s="119" t="s">
        <v>52</v>
      </c>
      <c r="N115" s="118" t="s">
        <v>101</v>
      </c>
      <c r="O115" s="119">
        <v>50</v>
      </c>
      <c r="P115" s="119">
        <v>0.6</v>
      </c>
      <c r="Q115" s="119">
        <v>0</v>
      </c>
      <c r="R115" s="119">
        <v>1</v>
      </c>
      <c r="S115" s="80" t="b">
        <v>1</v>
      </c>
      <c r="T115" s="119">
        <v>130</v>
      </c>
      <c r="U115" s="118">
        <v>1950</v>
      </c>
      <c r="V115" s="118">
        <v>2600</v>
      </c>
      <c r="W115" s="119">
        <v>0</v>
      </c>
      <c r="X115" s="119">
        <v>10</v>
      </c>
      <c r="Y115" s="119" t="s">
        <v>38</v>
      </c>
      <c r="Z115" s="388" t="s">
        <v>2965</v>
      </c>
      <c r="AA115" s="388" t="s">
        <v>2965</v>
      </c>
      <c r="AB115" s="119" t="s">
        <v>586</v>
      </c>
      <c r="AC115" s="119">
        <v>100000</v>
      </c>
      <c r="AD115" s="92">
        <v>1</v>
      </c>
      <c r="AE115" s="92">
        <v>1</v>
      </c>
      <c r="AF115">
        <v>0</v>
      </c>
      <c r="AG115" s="403">
        <v>10</v>
      </c>
    </row>
    <row r="116" spans="1:33" x14ac:dyDescent="0.15">
      <c r="A116" s="84">
        <v>104202</v>
      </c>
      <c r="B116" s="105" t="s">
        <v>597</v>
      </c>
      <c r="C116" s="105" t="s">
        <v>597</v>
      </c>
      <c r="D116" s="84" t="s">
        <v>33</v>
      </c>
      <c r="E116" s="84">
        <v>4</v>
      </c>
      <c r="F116" s="84" t="s">
        <v>447</v>
      </c>
      <c r="G116" s="118" t="s">
        <v>469</v>
      </c>
      <c r="H116" s="84" t="s">
        <v>107</v>
      </c>
      <c r="I116" s="84">
        <v>4</v>
      </c>
      <c r="J116" s="118">
        <v>4</v>
      </c>
      <c r="K116" s="84">
        <v>0</v>
      </c>
      <c r="L116" s="84">
        <v>3</v>
      </c>
      <c r="M116" s="84">
        <v>4</v>
      </c>
      <c r="N116" s="118" t="s">
        <v>45</v>
      </c>
      <c r="O116" s="84">
        <v>50</v>
      </c>
      <c r="P116" s="84">
        <v>0.6</v>
      </c>
      <c r="Q116" s="84">
        <v>0</v>
      </c>
      <c r="R116" s="84">
        <v>1</v>
      </c>
      <c r="S116" s="43" t="b">
        <v>1</v>
      </c>
      <c r="T116" s="84">
        <v>26</v>
      </c>
      <c r="U116" s="118">
        <v>390</v>
      </c>
      <c r="V116" s="118">
        <v>520</v>
      </c>
      <c r="W116" s="84">
        <v>0</v>
      </c>
      <c r="X116" s="84">
        <v>2</v>
      </c>
      <c r="Y116" s="84" t="s">
        <v>38</v>
      </c>
      <c r="Z116" s="388" t="s">
        <v>2894</v>
      </c>
      <c r="AA116" s="388" t="s">
        <v>2894</v>
      </c>
      <c r="AB116" s="43" t="s">
        <v>472</v>
      </c>
      <c r="AC116" s="84">
        <v>100000</v>
      </c>
      <c r="AD116" s="197">
        <v>1</v>
      </c>
      <c r="AE116" s="197">
        <v>1</v>
      </c>
      <c r="AF116">
        <v>0</v>
      </c>
      <c r="AG116" s="404">
        <v>2</v>
      </c>
    </row>
    <row r="117" spans="1:33" x14ac:dyDescent="0.15">
      <c r="A117" s="391">
        <v>104203</v>
      </c>
      <c r="B117" s="392" t="s">
        <v>600</v>
      </c>
      <c r="C117" s="392" t="s">
        <v>600</v>
      </c>
      <c r="D117" s="391" t="s">
        <v>33</v>
      </c>
      <c r="E117" s="391">
        <v>4</v>
      </c>
      <c r="F117" s="391" t="s">
        <v>447</v>
      </c>
      <c r="G117" s="118" t="s">
        <v>526</v>
      </c>
      <c r="H117" s="391" t="s">
        <v>112</v>
      </c>
      <c r="I117" s="391">
        <v>4</v>
      </c>
      <c r="J117" s="118">
        <v>4</v>
      </c>
      <c r="K117" s="391">
        <v>0</v>
      </c>
      <c r="L117" s="391">
        <v>3</v>
      </c>
      <c r="M117" s="391">
        <v>4</v>
      </c>
      <c r="N117" s="118" t="s">
        <v>57</v>
      </c>
      <c r="O117" s="391">
        <v>50</v>
      </c>
      <c r="P117" s="391">
        <v>0.6</v>
      </c>
      <c r="Q117" s="391">
        <v>0</v>
      </c>
      <c r="R117" s="391">
        <v>1</v>
      </c>
      <c r="S117" s="397" t="b">
        <v>1</v>
      </c>
      <c r="T117" s="391">
        <v>39</v>
      </c>
      <c r="U117" s="118">
        <v>585</v>
      </c>
      <c r="V117" s="118">
        <v>780</v>
      </c>
      <c r="W117" s="391">
        <v>0</v>
      </c>
      <c r="X117" s="391">
        <v>3</v>
      </c>
      <c r="Y117" s="391" t="s">
        <v>38</v>
      </c>
      <c r="Z117" s="388" t="s">
        <v>2966</v>
      </c>
      <c r="AA117" s="388" t="s">
        <v>2966</v>
      </c>
      <c r="AB117" s="397" t="s">
        <v>529</v>
      </c>
      <c r="AC117" s="391">
        <v>100000</v>
      </c>
      <c r="AD117" s="197">
        <v>1</v>
      </c>
      <c r="AE117" s="197">
        <v>1</v>
      </c>
      <c r="AF117">
        <v>0</v>
      </c>
      <c r="AG117" s="405">
        <v>3</v>
      </c>
    </row>
    <row r="118" spans="1:33" x14ac:dyDescent="0.15">
      <c r="A118" s="84">
        <v>104204</v>
      </c>
      <c r="B118" s="105" t="s">
        <v>604</v>
      </c>
      <c r="C118" s="105" t="s">
        <v>604</v>
      </c>
      <c r="D118" s="84" t="s">
        <v>33</v>
      </c>
      <c r="E118" s="84">
        <v>4</v>
      </c>
      <c r="F118" s="84" t="s">
        <v>447</v>
      </c>
      <c r="G118" s="84" t="s">
        <v>547</v>
      </c>
      <c r="H118" s="84" t="s">
        <v>107</v>
      </c>
      <c r="I118" s="84">
        <v>5</v>
      </c>
      <c r="J118" s="118">
        <v>5</v>
      </c>
      <c r="K118" s="84">
        <v>0</v>
      </c>
      <c r="L118" s="84">
        <v>3</v>
      </c>
      <c r="M118" s="84">
        <v>5</v>
      </c>
      <c r="N118" s="118" t="s">
        <v>64</v>
      </c>
      <c r="O118" s="84">
        <v>50</v>
      </c>
      <c r="P118" s="84">
        <v>0.6</v>
      </c>
      <c r="Q118" s="84">
        <v>0</v>
      </c>
      <c r="R118" s="84">
        <v>1</v>
      </c>
      <c r="S118" s="43" t="b">
        <v>1</v>
      </c>
      <c r="T118" s="84">
        <v>52</v>
      </c>
      <c r="U118" s="118">
        <v>780</v>
      </c>
      <c r="V118" s="118">
        <v>1040</v>
      </c>
      <c r="W118" s="84">
        <v>0</v>
      </c>
      <c r="X118" s="84">
        <v>4</v>
      </c>
      <c r="Y118" s="84" t="s">
        <v>38</v>
      </c>
      <c r="Z118" s="388" t="s">
        <v>2967</v>
      </c>
      <c r="AA118" s="388" t="s">
        <v>2967</v>
      </c>
      <c r="AB118" s="43" t="s">
        <v>607</v>
      </c>
      <c r="AC118" s="84">
        <v>100000</v>
      </c>
      <c r="AD118" s="197">
        <v>1</v>
      </c>
      <c r="AE118" s="197">
        <v>1</v>
      </c>
      <c r="AF118">
        <v>0</v>
      </c>
      <c r="AG118" s="404">
        <v>4</v>
      </c>
    </row>
    <row r="119" spans="1:33" x14ac:dyDescent="0.15">
      <c r="A119" s="410">
        <v>104404</v>
      </c>
      <c r="B119" s="411" t="s">
        <v>609</v>
      </c>
      <c r="C119" s="411" t="s">
        <v>609</v>
      </c>
      <c r="D119" s="410" t="s">
        <v>33</v>
      </c>
      <c r="E119" s="410">
        <v>4</v>
      </c>
      <c r="F119" s="410" t="s">
        <v>447</v>
      </c>
      <c r="G119" s="410" t="s">
        <v>610</v>
      </c>
      <c r="H119" s="410" t="s">
        <v>611</v>
      </c>
      <c r="I119" s="410">
        <v>5</v>
      </c>
      <c r="J119" s="118">
        <v>5</v>
      </c>
      <c r="K119" s="410">
        <v>0</v>
      </c>
      <c r="L119" s="410">
        <v>3</v>
      </c>
      <c r="M119" s="410">
        <v>5</v>
      </c>
      <c r="N119" s="118" t="s">
        <v>612</v>
      </c>
      <c r="O119" s="410">
        <v>50</v>
      </c>
      <c r="P119" s="410">
        <v>0.6</v>
      </c>
      <c r="Q119" s="410">
        <v>0</v>
      </c>
      <c r="R119" s="410">
        <v>1</v>
      </c>
      <c r="S119" s="412" t="b">
        <v>1</v>
      </c>
      <c r="T119" s="410">
        <v>52</v>
      </c>
      <c r="U119" s="118">
        <v>780</v>
      </c>
      <c r="V119" s="118">
        <v>1040</v>
      </c>
      <c r="W119" s="410">
        <v>0</v>
      </c>
      <c r="X119" s="410">
        <v>4</v>
      </c>
      <c r="Y119" s="410" t="s">
        <v>38</v>
      </c>
      <c r="Z119" s="388" t="s">
        <v>2968</v>
      </c>
      <c r="AA119" s="388" t="s">
        <v>2968</v>
      </c>
      <c r="AB119" s="412" t="s">
        <v>615</v>
      </c>
      <c r="AC119" s="410">
        <v>100000</v>
      </c>
      <c r="AD119" s="197">
        <v>1</v>
      </c>
      <c r="AE119" s="197">
        <v>1</v>
      </c>
      <c r="AF119">
        <v>0</v>
      </c>
      <c r="AG119" s="413">
        <v>4</v>
      </c>
    </row>
    <row r="120" spans="1:33" x14ac:dyDescent="0.15">
      <c r="A120" s="84">
        <v>104302</v>
      </c>
      <c r="B120" s="105" t="s">
        <v>617</v>
      </c>
      <c r="C120" s="105" t="s">
        <v>617</v>
      </c>
      <c r="D120" s="84" t="s">
        <v>33</v>
      </c>
      <c r="E120" s="84">
        <v>4</v>
      </c>
      <c r="F120" s="84" t="s">
        <v>447</v>
      </c>
      <c r="G120" s="84" t="s">
        <v>618</v>
      </c>
      <c r="H120" s="84" t="s">
        <v>107</v>
      </c>
      <c r="I120" s="84">
        <v>4</v>
      </c>
      <c r="J120" s="118">
        <v>4</v>
      </c>
      <c r="K120" s="84">
        <v>0</v>
      </c>
      <c r="L120" s="84">
        <v>3</v>
      </c>
      <c r="M120" s="84">
        <v>4</v>
      </c>
      <c r="N120" s="118" t="s">
        <v>45</v>
      </c>
      <c r="O120" s="84">
        <v>50</v>
      </c>
      <c r="P120" s="84">
        <v>0.6</v>
      </c>
      <c r="Q120" s="84">
        <v>0</v>
      </c>
      <c r="R120" s="84">
        <v>1</v>
      </c>
      <c r="S120" s="43" t="b">
        <v>1</v>
      </c>
      <c r="T120" s="84">
        <v>26</v>
      </c>
      <c r="U120" s="118">
        <v>390</v>
      </c>
      <c r="V120" s="118">
        <v>520</v>
      </c>
      <c r="W120" s="84">
        <v>0</v>
      </c>
      <c r="X120" s="84">
        <v>2</v>
      </c>
      <c r="Y120" s="84" t="s">
        <v>38</v>
      </c>
      <c r="Z120" s="388" t="s">
        <v>2894</v>
      </c>
      <c r="AA120" s="388" t="s">
        <v>2894</v>
      </c>
      <c r="AB120" s="43" t="s">
        <v>620</v>
      </c>
      <c r="AC120" s="84">
        <v>100000</v>
      </c>
      <c r="AD120" s="197">
        <v>1</v>
      </c>
      <c r="AE120" s="197">
        <v>1</v>
      </c>
      <c r="AF120">
        <v>0</v>
      </c>
      <c r="AG120" s="404">
        <v>2</v>
      </c>
    </row>
    <row r="121" spans="1:33" x14ac:dyDescent="0.15">
      <c r="A121" s="391">
        <v>104303</v>
      </c>
      <c r="B121" s="392" t="s">
        <v>622</v>
      </c>
      <c r="C121" s="392" t="s">
        <v>622</v>
      </c>
      <c r="D121" s="391" t="s">
        <v>33</v>
      </c>
      <c r="E121" s="391">
        <v>4</v>
      </c>
      <c r="F121" s="391" t="s">
        <v>447</v>
      </c>
      <c r="G121" s="118" t="s">
        <v>463</v>
      </c>
      <c r="H121" s="391" t="s">
        <v>112</v>
      </c>
      <c r="I121" s="391">
        <v>4</v>
      </c>
      <c r="J121" s="118">
        <v>4</v>
      </c>
      <c r="K121" s="391">
        <v>0</v>
      </c>
      <c r="L121" s="391">
        <v>3</v>
      </c>
      <c r="M121" s="391">
        <v>4</v>
      </c>
      <c r="N121" s="118" t="s">
        <v>45</v>
      </c>
      <c r="O121" s="391">
        <v>50</v>
      </c>
      <c r="P121" s="391">
        <v>0.6</v>
      </c>
      <c r="Q121" s="391">
        <v>0</v>
      </c>
      <c r="R121" s="391">
        <v>1</v>
      </c>
      <c r="S121" s="397" t="b">
        <v>1</v>
      </c>
      <c r="T121" s="391">
        <v>26</v>
      </c>
      <c r="U121" s="118">
        <v>390</v>
      </c>
      <c r="V121" s="118">
        <v>520</v>
      </c>
      <c r="W121" s="391">
        <v>0</v>
      </c>
      <c r="X121" s="391">
        <v>2</v>
      </c>
      <c r="Y121" s="391" t="s">
        <v>38</v>
      </c>
      <c r="Z121" s="388" t="s">
        <v>2969</v>
      </c>
      <c r="AA121" s="388" t="s">
        <v>2969</v>
      </c>
      <c r="AB121" s="397" t="s">
        <v>466</v>
      </c>
      <c r="AC121" s="391">
        <v>100000</v>
      </c>
      <c r="AD121" s="197">
        <v>1</v>
      </c>
      <c r="AE121" s="197">
        <v>1</v>
      </c>
      <c r="AF121">
        <v>0</v>
      </c>
      <c r="AG121" s="405">
        <v>2</v>
      </c>
    </row>
    <row r="122" spans="1:33" x14ac:dyDescent="0.15">
      <c r="A122" s="391">
        <v>104304</v>
      </c>
      <c r="B122" s="123" t="s">
        <v>626</v>
      </c>
      <c r="C122" s="123" t="s">
        <v>626</v>
      </c>
      <c r="D122" s="391" t="s">
        <v>33</v>
      </c>
      <c r="E122" s="391">
        <v>4</v>
      </c>
      <c r="F122" s="391" t="s">
        <v>447</v>
      </c>
      <c r="G122" s="118" t="s">
        <v>526</v>
      </c>
      <c r="H122" s="391" t="s">
        <v>112</v>
      </c>
      <c r="I122" s="391">
        <v>5</v>
      </c>
      <c r="J122" s="118">
        <v>5</v>
      </c>
      <c r="K122" s="391">
        <v>0</v>
      </c>
      <c r="L122" s="391">
        <v>3</v>
      </c>
      <c r="M122" s="391">
        <v>5</v>
      </c>
      <c r="N122" s="118" t="s">
        <v>64</v>
      </c>
      <c r="O122" s="391">
        <v>50</v>
      </c>
      <c r="P122" s="391">
        <v>0.6</v>
      </c>
      <c r="Q122" s="391">
        <v>0</v>
      </c>
      <c r="R122" s="391">
        <v>1</v>
      </c>
      <c r="S122" s="397" t="b">
        <v>1</v>
      </c>
      <c r="T122" s="391">
        <v>52</v>
      </c>
      <c r="U122" s="118">
        <v>780</v>
      </c>
      <c r="V122" s="118">
        <v>1040</v>
      </c>
      <c r="W122" s="391">
        <v>0</v>
      </c>
      <c r="X122" s="391">
        <v>4</v>
      </c>
      <c r="Y122" s="391" t="s">
        <v>38</v>
      </c>
      <c r="Z122" s="388" t="s">
        <v>2970</v>
      </c>
      <c r="AA122" s="388" t="s">
        <v>2970</v>
      </c>
      <c r="AB122" s="397" t="s">
        <v>529</v>
      </c>
      <c r="AC122" s="391">
        <v>100000</v>
      </c>
      <c r="AD122" s="197">
        <v>1</v>
      </c>
      <c r="AE122" s="197">
        <v>1</v>
      </c>
      <c r="AF122">
        <v>0</v>
      </c>
      <c r="AG122" s="405">
        <v>4</v>
      </c>
    </row>
    <row r="123" spans="1:33" x14ac:dyDescent="0.15">
      <c r="A123" s="118">
        <v>105001</v>
      </c>
      <c r="B123" s="17" t="s">
        <v>630</v>
      </c>
      <c r="C123" s="17" t="s">
        <v>630</v>
      </c>
      <c r="D123" s="118" t="s">
        <v>33</v>
      </c>
      <c r="E123" s="118">
        <v>5</v>
      </c>
      <c r="F123" s="118" t="s">
        <v>631</v>
      </c>
      <c r="G123" s="118" t="s">
        <v>632</v>
      </c>
      <c r="H123" s="118" t="s">
        <v>35</v>
      </c>
      <c r="I123" s="118">
        <v>1</v>
      </c>
      <c r="J123" s="118">
        <v>1</v>
      </c>
      <c r="K123" s="118">
        <v>1</v>
      </c>
      <c r="L123" s="118">
        <v>3</v>
      </c>
      <c r="M123" s="118" t="s">
        <v>36</v>
      </c>
      <c r="N123" s="118" t="s">
        <v>37</v>
      </c>
      <c r="O123" s="118">
        <v>1</v>
      </c>
      <c r="P123" s="118">
        <v>0.9</v>
      </c>
      <c r="Q123" s="118">
        <v>0</v>
      </c>
      <c r="R123" s="118">
        <v>1</v>
      </c>
      <c r="S123" s="25" t="b">
        <v>1</v>
      </c>
      <c r="T123" s="118">
        <v>13</v>
      </c>
      <c r="U123" s="118">
        <v>195</v>
      </c>
      <c r="V123" s="118">
        <v>260</v>
      </c>
      <c r="W123" s="118">
        <v>0</v>
      </c>
      <c r="X123" s="118">
        <v>1</v>
      </c>
      <c r="Y123" s="118" t="s">
        <v>38</v>
      </c>
      <c r="Z123" s="388" t="s">
        <v>2971</v>
      </c>
      <c r="AA123" s="388" t="s">
        <v>2971</v>
      </c>
      <c r="AB123" s="25" t="s">
        <v>635</v>
      </c>
      <c r="AC123" s="118">
        <v>200000</v>
      </c>
      <c r="AD123" s="197">
        <v>1</v>
      </c>
      <c r="AE123" s="197">
        <v>1</v>
      </c>
      <c r="AF123">
        <v>0</v>
      </c>
      <c r="AG123" s="402">
        <v>1</v>
      </c>
    </row>
    <row r="124" spans="1:33" x14ac:dyDescent="0.15">
      <c r="A124" s="119">
        <v>105201</v>
      </c>
      <c r="B124" s="114" t="s">
        <v>637</v>
      </c>
      <c r="C124" s="114" t="s">
        <v>637</v>
      </c>
      <c r="D124" s="119" t="s">
        <v>33</v>
      </c>
      <c r="E124" s="119">
        <v>5</v>
      </c>
      <c r="F124" s="119" t="s">
        <v>631</v>
      </c>
      <c r="G124" s="119" t="s">
        <v>632</v>
      </c>
      <c r="H124" s="119" t="s">
        <v>51</v>
      </c>
      <c r="I124" s="119">
        <v>1</v>
      </c>
      <c r="J124" s="118">
        <v>3</v>
      </c>
      <c r="K124" s="119">
        <v>0</v>
      </c>
      <c r="L124" s="119">
        <v>3</v>
      </c>
      <c r="M124" s="119" t="s">
        <v>52</v>
      </c>
      <c r="N124" s="118" t="s">
        <v>37</v>
      </c>
      <c r="O124" s="119">
        <v>1</v>
      </c>
      <c r="P124" s="119">
        <v>0.9</v>
      </c>
      <c r="Q124" s="119">
        <v>0</v>
      </c>
      <c r="R124" s="119">
        <v>1</v>
      </c>
      <c r="S124" s="80" t="b">
        <v>1</v>
      </c>
      <c r="T124" s="119">
        <v>13</v>
      </c>
      <c r="U124" s="118">
        <v>195</v>
      </c>
      <c r="V124" s="118">
        <v>260</v>
      </c>
      <c r="W124" s="119">
        <v>0</v>
      </c>
      <c r="X124" s="119">
        <v>1</v>
      </c>
      <c r="Y124" s="119" t="s">
        <v>38</v>
      </c>
      <c r="Z124" s="388" t="s">
        <v>2971</v>
      </c>
      <c r="AA124" s="388" t="s">
        <v>2971</v>
      </c>
      <c r="AB124" s="80" t="s">
        <v>635</v>
      </c>
      <c r="AC124" s="119">
        <v>200000</v>
      </c>
      <c r="AD124" s="92">
        <v>1</v>
      </c>
      <c r="AE124" s="92">
        <v>1</v>
      </c>
      <c r="AF124">
        <v>0</v>
      </c>
      <c r="AG124" s="403">
        <v>1</v>
      </c>
    </row>
    <row r="125" spans="1:33" x14ac:dyDescent="0.15">
      <c r="A125" s="118">
        <v>105002</v>
      </c>
      <c r="B125" s="17" t="s">
        <v>640</v>
      </c>
      <c r="C125" s="17" t="s">
        <v>640</v>
      </c>
      <c r="D125" s="118" t="s">
        <v>33</v>
      </c>
      <c r="E125" s="118">
        <v>5</v>
      </c>
      <c r="F125" s="118" t="s">
        <v>631</v>
      </c>
      <c r="G125" s="118" t="s">
        <v>641</v>
      </c>
      <c r="H125" s="118" t="s">
        <v>35</v>
      </c>
      <c r="I125" s="118">
        <v>1</v>
      </c>
      <c r="J125" s="118">
        <v>1</v>
      </c>
      <c r="K125" s="118">
        <v>1</v>
      </c>
      <c r="L125" s="118">
        <v>3</v>
      </c>
      <c r="M125" s="118" t="s">
        <v>44</v>
      </c>
      <c r="N125" s="118" t="s">
        <v>45</v>
      </c>
      <c r="O125" s="118">
        <v>1</v>
      </c>
      <c r="P125" s="118">
        <v>0.9</v>
      </c>
      <c r="Q125" s="118">
        <v>0</v>
      </c>
      <c r="R125" s="118">
        <v>1</v>
      </c>
      <c r="S125" s="25" t="b">
        <v>1</v>
      </c>
      <c r="T125" s="118">
        <v>26</v>
      </c>
      <c r="U125" s="118">
        <v>390</v>
      </c>
      <c r="V125" s="118">
        <v>520</v>
      </c>
      <c r="W125" s="118">
        <v>0</v>
      </c>
      <c r="X125" s="118">
        <v>2</v>
      </c>
      <c r="Y125" s="118" t="s">
        <v>38</v>
      </c>
      <c r="Z125" s="388" t="s">
        <v>2972</v>
      </c>
      <c r="AA125" s="388" t="s">
        <v>2972</v>
      </c>
      <c r="AB125" s="25" t="s">
        <v>644</v>
      </c>
      <c r="AC125" s="118">
        <v>100000</v>
      </c>
      <c r="AD125" s="197">
        <v>1</v>
      </c>
      <c r="AE125" s="197">
        <v>1</v>
      </c>
      <c r="AF125">
        <v>0</v>
      </c>
      <c r="AG125" s="402">
        <v>2</v>
      </c>
    </row>
    <row r="126" spans="1:33" x14ac:dyDescent="0.15">
      <c r="A126" s="119">
        <v>105302</v>
      </c>
      <c r="B126" s="114" t="s">
        <v>646</v>
      </c>
      <c r="C126" s="114" t="s">
        <v>646</v>
      </c>
      <c r="D126" s="119" t="s">
        <v>33</v>
      </c>
      <c r="E126" s="119">
        <v>5</v>
      </c>
      <c r="F126" s="119" t="s">
        <v>631</v>
      </c>
      <c r="G126" s="119" t="s">
        <v>641</v>
      </c>
      <c r="H126" s="119" t="s">
        <v>51</v>
      </c>
      <c r="I126" s="119">
        <v>1</v>
      </c>
      <c r="J126" s="118">
        <v>3</v>
      </c>
      <c r="K126" s="119">
        <v>0</v>
      </c>
      <c r="L126" s="119">
        <v>3</v>
      </c>
      <c r="M126" s="119" t="s">
        <v>52</v>
      </c>
      <c r="N126" s="118" t="s">
        <v>45</v>
      </c>
      <c r="O126" s="119">
        <v>1</v>
      </c>
      <c r="P126" s="119">
        <v>0.9</v>
      </c>
      <c r="Q126" s="119">
        <v>0</v>
      </c>
      <c r="R126" s="119">
        <v>1</v>
      </c>
      <c r="S126" s="80" t="b">
        <v>1</v>
      </c>
      <c r="T126" s="119">
        <v>26</v>
      </c>
      <c r="U126" s="118">
        <v>390</v>
      </c>
      <c r="V126" s="118">
        <v>520</v>
      </c>
      <c r="W126" s="119">
        <v>0</v>
      </c>
      <c r="X126" s="119">
        <v>2</v>
      </c>
      <c r="Y126" s="119" t="s">
        <v>38</v>
      </c>
      <c r="Z126" s="388" t="s">
        <v>2972</v>
      </c>
      <c r="AA126" s="388" t="s">
        <v>2972</v>
      </c>
      <c r="AB126" s="80" t="s">
        <v>644</v>
      </c>
      <c r="AC126" s="119">
        <v>100000</v>
      </c>
      <c r="AD126" s="92">
        <v>1</v>
      </c>
      <c r="AE126" s="92">
        <v>1</v>
      </c>
      <c r="AF126">
        <v>0</v>
      </c>
      <c r="AG126" s="403">
        <v>2</v>
      </c>
    </row>
    <row r="127" spans="1:33" x14ac:dyDescent="0.15">
      <c r="A127" s="118">
        <v>105003</v>
      </c>
      <c r="B127" s="21" t="s">
        <v>649</v>
      </c>
      <c r="C127" s="21" t="s">
        <v>649</v>
      </c>
      <c r="D127" s="118" t="s">
        <v>33</v>
      </c>
      <c r="E127" s="118">
        <v>5</v>
      </c>
      <c r="F127" s="118" t="s">
        <v>631</v>
      </c>
      <c r="G127" s="118" t="s">
        <v>650</v>
      </c>
      <c r="H127" s="118" t="s">
        <v>35</v>
      </c>
      <c r="I127" s="118">
        <v>1</v>
      </c>
      <c r="J127" s="118">
        <v>1</v>
      </c>
      <c r="K127" s="118">
        <v>1</v>
      </c>
      <c r="L127" s="118">
        <v>3</v>
      </c>
      <c r="M127" s="118" t="s">
        <v>56</v>
      </c>
      <c r="N127" s="118" t="s">
        <v>57</v>
      </c>
      <c r="O127" s="118">
        <v>1</v>
      </c>
      <c r="P127" s="118">
        <v>0.9</v>
      </c>
      <c r="Q127" s="118">
        <v>0</v>
      </c>
      <c r="R127" s="118">
        <v>1</v>
      </c>
      <c r="S127" s="25" t="b">
        <v>1</v>
      </c>
      <c r="T127" s="118">
        <v>39</v>
      </c>
      <c r="U127" s="118">
        <v>585</v>
      </c>
      <c r="V127" s="118">
        <v>780</v>
      </c>
      <c r="W127" s="118">
        <v>0</v>
      </c>
      <c r="X127" s="118">
        <v>3</v>
      </c>
      <c r="Y127" s="118" t="s">
        <v>38</v>
      </c>
      <c r="Z127" s="388" t="s">
        <v>2973</v>
      </c>
      <c r="AA127" s="388" t="s">
        <v>2973</v>
      </c>
      <c r="AB127" s="25" t="s">
        <v>653</v>
      </c>
      <c r="AC127" s="118">
        <v>300000</v>
      </c>
      <c r="AD127" s="197">
        <v>1</v>
      </c>
      <c r="AE127" s="197">
        <v>1</v>
      </c>
      <c r="AF127">
        <v>0</v>
      </c>
      <c r="AG127" s="402">
        <v>3</v>
      </c>
    </row>
    <row r="128" spans="1:33" x14ac:dyDescent="0.15">
      <c r="A128" s="118">
        <v>105004</v>
      </c>
      <c r="B128" s="72" t="s">
        <v>655</v>
      </c>
      <c r="C128" s="72" t="s">
        <v>655</v>
      </c>
      <c r="D128" s="118" t="s">
        <v>33</v>
      </c>
      <c r="E128" s="118">
        <v>5</v>
      </c>
      <c r="F128" s="118" t="s">
        <v>631</v>
      </c>
      <c r="G128" s="118" t="s">
        <v>656</v>
      </c>
      <c r="H128" s="118" t="s">
        <v>35</v>
      </c>
      <c r="I128" s="118">
        <v>1</v>
      </c>
      <c r="J128" s="118">
        <v>1</v>
      </c>
      <c r="K128" s="118">
        <v>1</v>
      </c>
      <c r="L128" s="118">
        <v>3</v>
      </c>
      <c r="M128" s="118" t="s">
        <v>63</v>
      </c>
      <c r="N128" s="118" t="s">
        <v>64</v>
      </c>
      <c r="O128" s="118">
        <v>1</v>
      </c>
      <c r="P128" s="118">
        <v>0.9</v>
      </c>
      <c r="Q128" s="118">
        <v>0</v>
      </c>
      <c r="R128" s="118">
        <v>1</v>
      </c>
      <c r="S128" s="25" t="b">
        <v>1</v>
      </c>
      <c r="T128" s="118">
        <v>52</v>
      </c>
      <c r="U128" s="118">
        <v>780</v>
      </c>
      <c r="V128" s="118">
        <v>1040</v>
      </c>
      <c r="W128" s="118">
        <v>0</v>
      </c>
      <c r="X128" s="118">
        <v>4</v>
      </c>
      <c r="Y128" s="118" t="s">
        <v>38</v>
      </c>
      <c r="Z128" s="388" t="s">
        <v>2974</v>
      </c>
      <c r="AA128" s="388" t="s">
        <v>2974</v>
      </c>
      <c r="AB128" s="25" t="s">
        <v>659</v>
      </c>
      <c r="AC128" s="118">
        <v>300000</v>
      </c>
      <c r="AD128" s="197">
        <v>1</v>
      </c>
      <c r="AE128" s="197">
        <v>1</v>
      </c>
      <c r="AF128">
        <v>0</v>
      </c>
      <c r="AG128" s="402">
        <v>4</v>
      </c>
    </row>
    <row r="129" spans="1:33" x14ac:dyDescent="0.15">
      <c r="A129" s="118">
        <v>105005</v>
      </c>
      <c r="B129" s="21" t="s">
        <v>661</v>
      </c>
      <c r="C129" s="21" t="s">
        <v>661</v>
      </c>
      <c r="D129" s="118" t="s">
        <v>33</v>
      </c>
      <c r="E129" s="118">
        <v>5</v>
      </c>
      <c r="F129" s="118" t="s">
        <v>631</v>
      </c>
      <c r="G129" s="118" t="s">
        <v>662</v>
      </c>
      <c r="H129" s="118" t="s">
        <v>35</v>
      </c>
      <c r="I129" s="118">
        <v>1</v>
      </c>
      <c r="J129" s="118">
        <v>1</v>
      </c>
      <c r="K129" s="118">
        <v>1</v>
      </c>
      <c r="L129" s="118">
        <v>3</v>
      </c>
      <c r="M129" s="118" t="s">
        <v>70</v>
      </c>
      <c r="N129" s="118" t="s">
        <v>71</v>
      </c>
      <c r="O129" s="118">
        <v>1</v>
      </c>
      <c r="P129" s="118">
        <v>0.9</v>
      </c>
      <c r="Q129" s="118">
        <v>0</v>
      </c>
      <c r="R129" s="118">
        <v>1</v>
      </c>
      <c r="S129" s="25" t="b">
        <v>1</v>
      </c>
      <c r="T129" s="118">
        <v>65</v>
      </c>
      <c r="U129" s="118">
        <v>975</v>
      </c>
      <c r="V129" s="118">
        <v>1300</v>
      </c>
      <c r="W129" s="118">
        <v>0</v>
      </c>
      <c r="X129" s="118">
        <v>5</v>
      </c>
      <c r="Y129" s="118" t="s">
        <v>38</v>
      </c>
      <c r="Z129" s="388" t="s">
        <v>2975</v>
      </c>
      <c r="AA129" s="388" t="s">
        <v>2975</v>
      </c>
      <c r="AB129" s="118" t="s">
        <v>665</v>
      </c>
      <c r="AC129" s="118">
        <v>300000</v>
      </c>
      <c r="AD129" s="197">
        <v>1</v>
      </c>
      <c r="AE129" s="197">
        <v>1</v>
      </c>
      <c r="AF129">
        <v>0</v>
      </c>
      <c r="AG129" s="402">
        <v>5</v>
      </c>
    </row>
    <row r="130" spans="1:33" x14ac:dyDescent="0.15">
      <c r="A130" s="118">
        <v>105006</v>
      </c>
      <c r="B130" s="21" t="s">
        <v>667</v>
      </c>
      <c r="C130" s="21" t="s">
        <v>667</v>
      </c>
      <c r="D130" s="118" t="s">
        <v>33</v>
      </c>
      <c r="E130" s="118">
        <v>5</v>
      </c>
      <c r="F130" s="118" t="s">
        <v>631</v>
      </c>
      <c r="G130" s="118" t="s">
        <v>668</v>
      </c>
      <c r="H130" s="118" t="s">
        <v>35</v>
      </c>
      <c r="I130" s="118">
        <v>1</v>
      </c>
      <c r="J130" s="118">
        <v>1</v>
      </c>
      <c r="K130" s="118">
        <v>1</v>
      </c>
      <c r="L130" s="118">
        <v>3</v>
      </c>
      <c r="M130" s="118" t="s">
        <v>70</v>
      </c>
      <c r="N130" s="118" t="s">
        <v>77</v>
      </c>
      <c r="O130" s="118">
        <v>1</v>
      </c>
      <c r="P130" s="118">
        <v>0.9</v>
      </c>
      <c r="Q130" s="118">
        <v>0</v>
      </c>
      <c r="R130" s="118">
        <v>1</v>
      </c>
      <c r="S130" s="25" t="b">
        <v>1</v>
      </c>
      <c r="T130" s="118">
        <v>78</v>
      </c>
      <c r="U130" s="118">
        <v>1170</v>
      </c>
      <c r="V130" s="118">
        <v>1560</v>
      </c>
      <c r="W130" s="118">
        <v>0</v>
      </c>
      <c r="X130" s="118">
        <v>6</v>
      </c>
      <c r="Y130" s="118" t="s">
        <v>38</v>
      </c>
      <c r="Z130" s="388" t="s">
        <v>2976</v>
      </c>
      <c r="AA130" s="388" t="s">
        <v>2976</v>
      </c>
      <c r="AB130" s="118" t="s">
        <v>671</v>
      </c>
      <c r="AC130" s="118">
        <v>200000</v>
      </c>
      <c r="AD130" s="197">
        <v>1</v>
      </c>
      <c r="AE130" s="197">
        <v>1</v>
      </c>
      <c r="AF130">
        <v>0</v>
      </c>
      <c r="AG130" s="402">
        <v>6</v>
      </c>
    </row>
    <row r="131" spans="1:33" x14ac:dyDescent="0.15">
      <c r="A131" s="118">
        <v>105007</v>
      </c>
      <c r="B131" s="21" t="s">
        <v>673</v>
      </c>
      <c r="C131" s="21" t="s">
        <v>673</v>
      </c>
      <c r="D131" s="118" t="s">
        <v>33</v>
      </c>
      <c r="E131" s="118">
        <v>5</v>
      </c>
      <c r="F131" s="118" t="s">
        <v>631</v>
      </c>
      <c r="G131" s="118" t="s">
        <v>674</v>
      </c>
      <c r="H131" s="118" t="s">
        <v>35</v>
      </c>
      <c r="I131" s="118">
        <v>1</v>
      </c>
      <c r="J131" s="118">
        <v>1</v>
      </c>
      <c r="K131" s="118">
        <v>1</v>
      </c>
      <c r="L131" s="118">
        <v>3</v>
      </c>
      <c r="M131" s="118" t="s">
        <v>70</v>
      </c>
      <c r="N131" s="118" t="s">
        <v>83</v>
      </c>
      <c r="O131" s="118">
        <v>1</v>
      </c>
      <c r="P131" s="118">
        <v>0.9</v>
      </c>
      <c r="Q131" s="118">
        <v>0</v>
      </c>
      <c r="R131" s="118">
        <v>1</v>
      </c>
      <c r="S131" s="25" t="b">
        <v>1</v>
      </c>
      <c r="T131" s="118">
        <v>91</v>
      </c>
      <c r="U131" s="118">
        <v>1365</v>
      </c>
      <c r="V131" s="118">
        <v>1820</v>
      </c>
      <c r="W131" s="118">
        <v>0</v>
      </c>
      <c r="X131" s="118">
        <v>7</v>
      </c>
      <c r="Y131" s="118" t="s">
        <v>38</v>
      </c>
      <c r="Z131" s="388" t="s">
        <v>2977</v>
      </c>
      <c r="AA131" s="388" t="s">
        <v>2977</v>
      </c>
      <c r="AB131" s="118" t="s">
        <v>677</v>
      </c>
      <c r="AC131" s="118">
        <v>100000</v>
      </c>
      <c r="AD131" s="197">
        <v>1</v>
      </c>
      <c r="AE131" s="197">
        <v>1</v>
      </c>
      <c r="AF131">
        <v>0</v>
      </c>
      <c r="AG131" s="402">
        <v>7</v>
      </c>
    </row>
    <row r="132" spans="1:33" x14ac:dyDescent="0.15">
      <c r="A132" s="114">
        <v>105307</v>
      </c>
      <c r="B132" s="359" t="s">
        <v>679</v>
      </c>
      <c r="C132" s="359" t="s">
        <v>679</v>
      </c>
      <c r="D132" s="119" t="s">
        <v>33</v>
      </c>
      <c r="E132" s="119">
        <v>5</v>
      </c>
      <c r="F132" s="119" t="s">
        <v>631</v>
      </c>
      <c r="G132" s="119" t="s">
        <v>674</v>
      </c>
      <c r="H132" s="119" t="s">
        <v>51</v>
      </c>
      <c r="I132" s="119">
        <v>1</v>
      </c>
      <c r="J132" s="118">
        <v>4</v>
      </c>
      <c r="K132" s="119">
        <v>0</v>
      </c>
      <c r="L132" s="119">
        <v>3</v>
      </c>
      <c r="M132" s="119" t="s">
        <v>52</v>
      </c>
      <c r="N132" s="118" t="s">
        <v>83</v>
      </c>
      <c r="O132" s="119">
        <v>1</v>
      </c>
      <c r="P132" s="119">
        <v>0.9</v>
      </c>
      <c r="Q132" s="119">
        <v>0</v>
      </c>
      <c r="R132" s="119">
        <v>1</v>
      </c>
      <c r="S132" s="80" t="b">
        <v>1</v>
      </c>
      <c r="T132" s="119">
        <v>91</v>
      </c>
      <c r="U132" s="118">
        <v>1365</v>
      </c>
      <c r="V132" s="118">
        <v>1820</v>
      </c>
      <c r="W132" s="119">
        <v>0</v>
      </c>
      <c r="X132" s="119">
        <v>7</v>
      </c>
      <c r="Y132" s="119" t="s">
        <v>38</v>
      </c>
      <c r="Z132" s="388" t="s">
        <v>2977</v>
      </c>
      <c r="AA132" s="388" t="s">
        <v>2977</v>
      </c>
      <c r="AB132" s="119" t="s">
        <v>677</v>
      </c>
      <c r="AC132" s="119">
        <v>100000</v>
      </c>
      <c r="AD132" s="197">
        <v>1</v>
      </c>
      <c r="AE132" s="197">
        <v>1</v>
      </c>
      <c r="AF132">
        <v>0</v>
      </c>
      <c r="AG132" s="403">
        <v>7</v>
      </c>
    </row>
    <row r="133" spans="1:33" x14ac:dyDescent="0.15">
      <c r="A133" s="17">
        <v>105008</v>
      </c>
      <c r="B133" s="17" t="s">
        <v>682</v>
      </c>
      <c r="C133" s="17" t="s">
        <v>682</v>
      </c>
      <c r="D133" s="118" t="s">
        <v>33</v>
      </c>
      <c r="E133" s="118">
        <v>5</v>
      </c>
      <c r="F133" s="118" t="s">
        <v>631</v>
      </c>
      <c r="G133" s="118" t="s">
        <v>683</v>
      </c>
      <c r="H133" s="17" t="s">
        <v>35</v>
      </c>
      <c r="I133" s="118">
        <v>1</v>
      </c>
      <c r="J133" s="118">
        <v>1</v>
      </c>
      <c r="K133" s="118">
        <v>1</v>
      </c>
      <c r="L133" s="118">
        <v>3</v>
      </c>
      <c r="M133" s="118" t="s">
        <v>70</v>
      </c>
      <c r="N133" s="118" t="s">
        <v>89</v>
      </c>
      <c r="O133" s="118">
        <v>1</v>
      </c>
      <c r="P133" s="118">
        <v>0.9</v>
      </c>
      <c r="Q133" s="118">
        <v>0</v>
      </c>
      <c r="R133" s="118">
        <v>1</v>
      </c>
      <c r="S133" s="25" t="b">
        <v>1</v>
      </c>
      <c r="T133" s="118">
        <v>104</v>
      </c>
      <c r="U133" s="118">
        <v>1560</v>
      </c>
      <c r="V133" s="118">
        <v>2080</v>
      </c>
      <c r="W133" s="118">
        <v>0</v>
      </c>
      <c r="X133" s="118">
        <v>8</v>
      </c>
      <c r="Y133" s="118" t="s">
        <v>38</v>
      </c>
      <c r="Z133" s="388" t="s">
        <v>2978</v>
      </c>
      <c r="AA133" s="388" t="s">
        <v>2978</v>
      </c>
      <c r="AB133" s="118" t="s">
        <v>686</v>
      </c>
      <c r="AC133" s="118">
        <v>100000</v>
      </c>
      <c r="AD133" s="191">
        <v>1</v>
      </c>
      <c r="AE133" s="191">
        <v>1</v>
      </c>
      <c r="AF133">
        <v>0</v>
      </c>
      <c r="AG133" s="402">
        <v>8</v>
      </c>
    </row>
    <row r="134" spans="1:33" x14ac:dyDescent="0.15">
      <c r="A134" s="17">
        <v>105009</v>
      </c>
      <c r="B134" s="17" t="s">
        <v>688</v>
      </c>
      <c r="C134" s="17" t="s">
        <v>688</v>
      </c>
      <c r="D134" s="118" t="s">
        <v>33</v>
      </c>
      <c r="E134" s="118">
        <v>5</v>
      </c>
      <c r="F134" s="118" t="s">
        <v>631</v>
      </c>
      <c r="G134" s="118" t="s">
        <v>689</v>
      </c>
      <c r="H134" s="17" t="s">
        <v>35</v>
      </c>
      <c r="I134" s="118">
        <v>1</v>
      </c>
      <c r="J134" s="118">
        <v>1</v>
      </c>
      <c r="K134" s="118">
        <v>1</v>
      </c>
      <c r="L134" s="118">
        <v>3</v>
      </c>
      <c r="M134" s="118" t="s">
        <v>70</v>
      </c>
      <c r="N134" s="118" t="s">
        <v>95</v>
      </c>
      <c r="O134" s="118">
        <v>1</v>
      </c>
      <c r="P134" s="118">
        <v>0.9</v>
      </c>
      <c r="Q134" s="118">
        <v>0</v>
      </c>
      <c r="R134" s="118">
        <v>1</v>
      </c>
      <c r="S134" s="25" t="b">
        <v>1</v>
      </c>
      <c r="T134" s="118">
        <v>117</v>
      </c>
      <c r="U134" s="118">
        <v>1755</v>
      </c>
      <c r="V134" s="118">
        <v>2340</v>
      </c>
      <c r="W134" s="118">
        <v>0</v>
      </c>
      <c r="X134" s="118">
        <v>9</v>
      </c>
      <c r="Y134" s="118" t="s">
        <v>38</v>
      </c>
      <c r="Z134" s="388" t="s">
        <v>2979</v>
      </c>
      <c r="AA134" s="388" t="s">
        <v>2979</v>
      </c>
      <c r="AB134" s="118" t="s">
        <v>692</v>
      </c>
      <c r="AC134" s="118">
        <v>100000</v>
      </c>
      <c r="AD134" s="191">
        <v>1</v>
      </c>
      <c r="AE134" s="191">
        <v>1</v>
      </c>
      <c r="AF134">
        <v>0</v>
      </c>
      <c r="AG134" s="402">
        <v>9</v>
      </c>
    </row>
    <row r="135" spans="1:33" x14ac:dyDescent="0.15">
      <c r="A135" s="17">
        <v>105010</v>
      </c>
      <c r="B135" s="17" t="s">
        <v>694</v>
      </c>
      <c r="C135" s="17" t="s">
        <v>694</v>
      </c>
      <c r="D135" s="118" t="s">
        <v>33</v>
      </c>
      <c r="E135" s="118">
        <v>5</v>
      </c>
      <c r="F135" s="118" t="s">
        <v>631</v>
      </c>
      <c r="G135" s="118" t="s">
        <v>695</v>
      </c>
      <c r="H135" s="17" t="s">
        <v>35</v>
      </c>
      <c r="I135" s="118">
        <v>1</v>
      </c>
      <c r="J135" s="118">
        <v>1</v>
      </c>
      <c r="K135" s="118">
        <v>1</v>
      </c>
      <c r="L135" s="118">
        <v>3</v>
      </c>
      <c r="M135" s="118" t="s">
        <v>70</v>
      </c>
      <c r="N135" s="118" t="s">
        <v>101</v>
      </c>
      <c r="O135" s="118">
        <v>1</v>
      </c>
      <c r="P135" s="118">
        <v>0.9</v>
      </c>
      <c r="Q135" s="118">
        <v>0</v>
      </c>
      <c r="R135" s="118">
        <v>1</v>
      </c>
      <c r="S135" s="25" t="b">
        <v>1</v>
      </c>
      <c r="T135" s="118">
        <v>130</v>
      </c>
      <c r="U135" s="118">
        <v>1950</v>
      </c>
      <c r="V135" s="118">
        <v>2600</v>
      </c>
      <c r="W135" s="118">
        <v>0</v>
      </c>
      <c r="X135" s="118">
        <v>10</v>
      </c>
      <c r="Y135" s="118" t="s">
        <v>38</v>
      </c>
      <c r="Z135" s="388" t="s">
        <v>2980</v>
      </c>
      <c r="AA135" s="388" t="s">
        <v>2980</v>
      </c>
      <c r="AB135" s="118" t="s">
        <v>698</v>
      </c>
      <c r="AC135" s="118">
        <v>100000</v>
      </c>
      <c r="AD135" s="191">
        <v>1</v>
      </c>
      <c r="AE135" s="191">
        <v>1</v>
      </c>
      <c r="AF135">
        <v>0</v>
      </c>
      <c r="AG135" s="402">
        <v>10</v>
      </c>
    </row>
    <row r="136" spans="1:33" x14ac:dyDescent="0.15">
      <c r="A136" s="119">
        <v>105208</v>
      </c>
      <c r="B136" s="114" t="s">
        <v>700</v>
      </c>
      <c r="C136" s="114" t="s">
        <v>700</v>
      </c>
      <c r="D136" s="119" t="s">
        <v>33</v>
      </c>
      <c r="E136" s="119">
        <v>5</v>
      </c>
      <c r="F136" s="119" t="s">
        <v>631</v>
      </c>
      <c r="G136" s="119" t="s">
        <v>683</v>
      </c>
      <c r="H136" s="119" t="s">
        <v>51</v>
      </c>
      <c r="I136" s="119">
        <v>1</v>
      </c>
      <c r="J136" s="118">
        <v>4</v>
      </c>
      <c r="K136" s="119">
        <v>0</v>
      </c>
      <c r="L136" s="119">
        <v>3</v>
      </c>
      <c r="M136" s="119" t="s">
        <v>52</v>
      </c>
      <c r="N136" s="118" t="s">
        <v>89</v>
      </c>
      <c r="O136" s="119">
        <v>1</v>
      </c>
      <c r="P136" s="119">
        <v>0.9</v>
      </c>
      <c r="Q136" s="119">
        <v>0</v>
      </c>
      <c r="R136" s="119">
        <v>1</v>
      </c>
      <c r="S136" s="80" t="b">
        <v>1</v>
      </c>
      <c r="T136" s="119">
        <v>104</v>
      </c>
      <c r="U136" s="118">
        <v>1560</v>
      </c>
      <c r="V136" s="118">
        <v>2080</v>
      </c>
      <c r="W136" s="119">
        <v>0</v>
      </c>
      <c r="X136" s="119">
        <v>8</v>
      </c>
      <c r="Y136" s="119" t="s">
        <v>38</v>
      </c>
      <c r="Z136" s="388" t="s">
        <v>2978</v>
      </c>
      <c r="AA136" s="388" t="s">
        <v>2978</v>
      </c>
      <c r="AB136" s="80" t="s">
        <v>686</v>
      </c>
      <c r="AC136" s="119">
        <v>100000</v>
      </c>
      <c r="AD136" s="92">
        <v>1</v>
      </c>
      <c r="AE136" s="92">
        <v>1</v>
      </c>
      <c r="AF136">
        <v>0</v>
      </c>
      <c r="AG136" s="403">
        <v>8</v>
      </c>
    </row>
    <row r="137" spans="1:33" x14ac:dyDescent="0.15">
      <c r="A137" s="119">
        <v>105209</v>
      </c>
      <c r="B137" s="114" t="s">
        <v>703</v>
      </c>
      <c r="C137" s="114" t="s">
        <v>703</v>
      </c>
      <c r="D137" s="119" t="s">
        <v>33</v>
      </c>
      <c r="E137" s="119">
        <v>5</v>
      </c>
      <c r="F137" s="119" t="s">
        <v>631</v>
      </c>
      <c r="G137" s="119" t="s">
        <v>689</v>
      </c>
      <c r="H137" s="119" t="s">
        <v>51</v>
      </c>
      <c r="I137" s="119">
        <v>1</v>
      </c>
      <c r="J137" s="118">
        <v>4</v>
      </c>
      <c r="K137" s="119">
        <v>0</v>
      </c>
      <c r="L137" s="119">
        <v>3</v>
      </c>
      <c r="M137" s="119" t="s">
        <v>52</v>
      </c>
      <c r="N137" s="118" t="s">
        <v>95</v>
      </c>
      <c r="O137" s="119">
        <v>1</v>
      </c>
      <c r="P137" s="119">
        <v>0.9</v>
      </c>
      <c r="Q137" s="119">
        <v>0</v>
      </c>
      <c r="R137" s="119">
        <v>1</v>
      </c>
      <c r="S137" s="80" t="b">
        <v>1</v>
      </c>
      <c r="T137" s="119">
        <v>117</v>
      </c>
      <c r="U137" s="118">
        <v>1755</v>
      </c>
      <c r="V137" s="118">
        <v>2340</v>
      </c>
      <c r="W137" s="119">
        <v>0</v>
      </c>
      <c r="X137" s="119">
        <v>9</v>
      </c>
      <c r="Y137" s="119" t="s">
        <v>38</v>
      </c>
      <c r="Z137" s="388" t="s">
        <v>2979</v>
      </c>
      <c r="AA137" s="388" t="s">
        <v>2979</v>
      </c>
      <c r="AB137" s="80" t="s">
        <v>692</v>
      </c>
      <c r="AC137" s="119">
        <v>100000</v>
      </c>
      <c r="AD137" s="92">
        <v>1</v>
      </c>
      <c r="AE137" s="92">
        <v>1</v>
      </c>
      <c r="AF137">
        <v>0</v>
      </c>
      <c r="AG137" s="403">
        <v>9</v>
      </c>
    </row>
    <row r="138" spans="1:33" x14ac:dyDescent="0.15">
      <c r="A138" s="119">
        <v>105210</v>
      </c>
      <c r="B138" s="114" t="s">
        <v>706</v>
      </c>
      <c r="C138" s="114" t="s">
        <v>706</v>
      </c>
      <c r="D138" s="119" t="s">
        <v>33</v>
      </c>
      <c r="E138" s="119">
        <v>5</v>
      </c>
      <c r="F138" s="119" t="s">
        <v>631</v>
      </c>
      <c r="G138" s="119" t="s">
        <v>695</v>
      </c>
      <c r="H138" s="119" t="s">
        <v>51</v>
      </c>
      <c r="I138" s="119">
        <v>1</v>
      </c>
      <c r="J138" s="118">
        <v>4</v>
      </c>
      <c r="K138" s="119">
        <v>0</v>
      </c>
      <c r="L138" s="119">
        <v>3</v>
      </c>
      <c r="M138" s="119" t="s">
        <v>52</v>
      </c>
      <c r="N138" s="118" t="s">
        <v>101</v>
      </c>
      <c r="O138" s="119">
        <v>1</v>
      </c>
      <c r="P138" s="119">
        <v>0.9</v>
      </c>
      <c r="Q138" s="119">
        <v>0</v>
      </c>
      <c r="R138" s="119">
        <v>1</v>
      </c>
      <c r="S138" s="80" t="b">
        <v>1</v>
      </c>
      <c r="T138" s="119">
        <v>130</v>
      </c>
      <c r="U138" s="118">
        <v>1950</v>
      </c>
      <c r="V138" s="118">
        <v>2600</v>
      </c>
      <c r="W138" s="119">
        <v>0</v>
      </c>
      <c r="X138" s="119">
        <v>10</v>
      </c>
      <c r="Y138" s="119" t="s">
        <v>38</v>
      </c>
      <c r="Z138" s="388" t="s">
        <v>2980</v>
      </c>
      <c r="AA138" s="388" t="s">
        <v>2980</v>
      </c>
      <c r="AB138" s="80" t="s">
        <v>698</v>
      </c>
      <c r="AC138" s="119">
        <v>100000</v>
      </c>
      <c r="AD138" s="92">
        <v>1</v>
      </c>
      <c r="AE138" s="92">
        <v>1</v>
      </c>
      <c r="AF138">
        <v>0</v>
      </c>
      <c r="AG138" s="403">
        <v>10</v>
      </c>
    </row>
    <row r="139" spans="1:33" x14ac:dyDescent="0.15">
      <c r="A139" s="84">
        <v>105202</v>
      </c>
      <c r="B139" s="105" t="s">
        <v>709</v>
      </c>
      <c r="C139" s="105" t="s">
        <v>709</v>
      </c>
      <c r="D139" s="84" t="s">
        <v>33</v>
      </c>
      <c r="E139" s="84">
        <v>5</v>
      </c>
      <c r="F139" s="84" t="s">
        <v>631</v>
      </c>
      <c r="G139" s="84" t="s">
        <v>632</v>
      </c>
      <c r="H139" s="84" t="s">
        <v>107</v>
      </c>
      <c r="I139" s="84">
        <v>4</v>
      </c>
      <c r="J139" s="118">
        <v>4</v>
      </c>
      <c r="K139" s="84">
        <v>0</v>
      </c>
      <c r="L139" s="84">
        <v>3</v>
      </c>
      <c r="M139" s="84">
        <v>4</v>
      </c>
      <c r="N139" s="118" t="s">
        <v>45</v>
      </c>
      <c r="O139" s="84">
        <v>1</v>
      </c>
      <c r="P139" s="84">
        <v>0.9</v>
      </c>
      <c r="Q139" s="84">
        <v>0</v>
      </c>
      <c r="R139" s="84">
        <v>1</v>
      </c>
      <c r="S139" s="43" t="b">
        <v>1</v>
      </c>
      <c r="T139" s="84">
        <v>26</v>
      </c>
      <c r="U139" s="118">
        <v>390</v>
      </c>
      <c r="V139" s="118">
        <v>520</v>
      </c>
      <c r="W139" s="84">
        <v>0</v>
      </c>
      <c r="X139" s="84">
        <v>2</v>
      </c>
      <c r="Y139" s="84" t="s">
        <v>38</v>
      </c>
      <c r="Z139" s="388" t="s">
        <v>2894</v>
      </c>
      <c r="AA139" s="388" t="s">
        <v>2894</v>
      </c>
      <c r="AB139" s="43" t="s">
        <v>711</v>
      </c>
      <c r="AC139" s="84">
        <v>100000</v>
      </c>
      <c r="AD139" s="197">
        <v>1</v>
      </c>
      <c r="AE139" s="197">
        <v>1</v>
      </c>
      <c r="AF139">
        <v>0</v>
      </c>
      <c r="AG139" s="404">
        <v>2</v>
      </c>
    </row>
    <row r="140" spans="1:33" x14ac:dyDescent="0.15">
      <c r="A140" s="391">
        <v>105203</v>
      </c>
      <c r="B140" s="392" t="s">
        <v>713</v>
      </c>
      <c r="C140" s="392" t="s">
        <v>713</v>
      </c>
      <c r="D140" s="391" t="s">
        <v>33</v>
      </c>
      <c r="E140" s="391">
        <v>5</v>
      </c>
      <c r="F140" s="391" t="s">
        <v>631</v>
      </c>
      <c r="G140" s="118" t="s">
        <v>641</v>
      </c>
      <c r="H140" s="391" t="s">
        <v>112</v>
      </c>
      <c r="I140" s="391">
        <v>4</v>
      </c>
      <c r="J140" s="118">
        <v>4</v>
      </c>
      <c r="K140" s="391">
        <v>0</v>
      </c>
      <c r="L140" s="391">
        <v>3</v>
      </c>
      <c r="M140" s="391">
        <v>4</v>
      </c>
      <c r="N140" s="118" t="s">
        <v>57</v>
      </c>
      <c r="O140" s="391">
        <v>1</v>
      </c>
      <c r="P140" s="391">
        <v>0.9</v>
      </c>
      <c r="Q140" s="391">
        <v>0</v>
      </c>
      <c r="R140" s="391">
        <v>1</v>
      </c>
      <c r="S140" s="397" t="b">
        <v>1</v>
      </c>
      <c r="T140" s="391">
        <v>39</v>
      </c>
      <c r="U140" s="118">
        <v>585</v>
      </c>
      <c r="V140" s="118">
        <v>780</v>
      </c>
      <c r="W140" s="391">
        <v>0</v>
      </c>
      <c r="X140" s="391">
        <v>3</v>
      </c>
      <c r="Y140" s="391" t="s">
        <v>38</v>
      </c>
      <c r="Z140" s="388" t="s">
        <v>2981</v>
      </c>
      <c r="AA140" s="388" t="s">
        <v>2981</v>
      </c>
      <c r="AB140" s="397" t="s">
        <v>644</v>
      </c>
      <c r="AC140" s="391">
        <v>100000</v>
      </c>
      <c r="AD140" s="197">
        <v>1</v>
      </c>
      <c r="AE140" s="197">
        <v>1</v>
      </c>
      <c r="AF140">
        <v>0</v>
      </c>
      <c r="AG140" s="405">
        <v>3</v>
      </c>
    </row>
    <row r="141" spans="1:33" x14ac:dyDescent="0.15">
      <c r="A141" s="393">
        <v>105204</v>
      </c>
      <c r="B141" s="394" t="s">
        <v>289</v>
      </c>
      <c r="C141" s="394" t="s">
        <v>289</v>
      </c>
      <c r="D141" s="393" t="s">
        <v>33</v>
      </c>
      <c r="E141" s="393">
        <v>5</v>
      </c>
      <c r="F141" s="393" t="s">
        <v>631</v>
      </c>
      <c r="G141" s="393" t="s">
        <v>650</v>
      </c>
      <c r="H141" s="393"/>
      <c r="I141" s="393">
        <v>5</v>
      </c>
      <c r="J141" s="118">
        <v>5</v>
      </c>
      <c r="K141" s="393">
        <v>0</v>
      </c>
      <c r="L141" s="393">
        <v>3</v>
      </c>
      <c r="M141" s="393">
        <v>5</v>
      </c>
      <c r="N141" s="118" t="s">
        <v>64</v>
      </c>
      <c r="O141" s="393">
        <v>1</v>
      </c>
      <c r="P141" s="393">
        <v>0.9</v>
      </c>
      <c r="Q141" s="393">
        <v>0</v>
      </c>
      <c r="R141" s="393">
        <v>1</v>
      </c>
      <c r="S141" s="399" t="b">
        <v>1</v>
      </c>
      <c r="T141" s="393">
        <v>52</v>
      </c>
      <c r="U141" s="118">
        <v>780</v>
      </c>
      <c r="V141" s="118">
        <v>1040</v>
      </c>
      <c r="W141" s="393">
        <v>0</v>
      </c>
      <c r="X141" s="393">
        <v>4</v>
      </c>
      <c r="Y141" s="393" t="s">
        <v>38</v>
      </c>
      <c r="Z141" s="388" t="s">
        <v>2982</v>
      </c>
      <c r="AA141" s="388" t="s">
        <v>2982</v>
      </c>
      <c r="AB141" s="399" t="s">
        <v>718</v>
      </c>
      <c r="AC141" s="393">
        <v>100000</v>
      </c>
      <c r="AD141" s="197">
        <v>1</v>
      </c>
      <c r="AE141" s="197">
        <v>1</v>
      </c>
      <c r="AF141">
        <v>0</v>
      </c>
      <c r="AG141" s="407">
        <v>4</v>
      </c>
    </row>
    <row r="142" spans="1:33" x14ac:dyDescent="0.15">
      <c r="A142" s="128">
        <v>105206</v>
      </c>
      <c r="B142" s="128" t="s">
        <v>720</v>
      </c>
      <c r="C142" s="128" t="s">
        <v>720</v>
      </c>
      <c r="D142" s="130" t="s">
        <v>33</v>
      </c>
      <c r="E142" s="130">
        <v>5</v>
      </c>
      <c r="F142" s="130" t="s">
        <v>631</v>
      </c>
      <c r="G142" s="130" t="s">
        <v>721</v>
      </c>
      <c r="H142" s="130" t="s">
        <v>611</v>
      </c>
      <c r="I142" s="130">
        <v>1</v>
      </c>
      <c r="J142" s="118">
        <v>1</v>
      </c>
      <c r="K142" s="130">
        <v>0</v>
      </c>
      <c r="L142" s="130">
        <v>14</v>
      </c>
      <c r="M142" s="130">
        <v>5</v>
      </c>
      <c r="N142" s="118" t="s">
        <v>77</v>
      </c>
      <c r="O142" s="134">
        <v>1</v>
      </c>
      <c r="P142" s="134">
        <v>0.9</v>
      </c>
      <c r="Q142" s="134">
        <v>0</v>
      </c>
      <c r="R142" s="130">
        <v>1</v>
      </c>
      <c r="S142" s="130" t="b">
        <v>1</v>
      </c>
      <c r="T142" s="134">
        <v>78</v>
      </c>
      <c r="U142" s="118">
        <v>1170</v>
      </c>
      <c r="V142" s="118">
        <v>1560</v>
      </c>
      <c r="W142" s="134">
        <v>0</v>
      </c>
      <c r="X142" s="130">
        <v>6</v>
      </c>
      <c r="Y142" s="130" t="s">
        <v>38</v>
      </c>
      <c r="Z142" s="388" t="s">
        <v>2983</v>
      </c>
      <c r="AA142" s="388" t="s">
        <v>2983</v>
      </c>
      <c r="AB142" s="414" t="s">
        <v>724</v>
      </c>
      <c r="AC142" s="130">
        <v>100000</v>
      </c>
      <c r="AD142" s="197">
        <v>1</v>
      </c>
      <c r="AE142" s="197">
        <v>1</v>
      </c>
      <c r="AF142">
        <v>0</v>
      </c>
      <c r="AG142" s="416">
        <v>6</v>
      </c>
    </row>
    <row r="143" spans="1:33" x14ac:dyDescent="0.15">
      <c r="A143" s="118">
        <v>106001</v>
      </c>
      <c r="B143" s="17" t="s">
        <v>726</v>
      </c>
      <c r="C143" s="17" t="s">
        <v>726</v>
      </c>
      <c r="D143" s="118" t="s">
        <v>33</v>
      </c>
      <c r="E143" s="118">
        <v>6</v>
      </c>
      <c r="F143" s="118" t="s">
        <v>727</v>
      </c>
      <c r="G143" s="118" t="s">
        <v>728</v>
      </c>
      <c r="H143" s="118" t="s">
        <v>35</v>
      </c>
      <c r="I143" s="118">
        <v>1</v>
      </c>
      <c r="J143" s="118">
        <v>1</v>
      </c>
      <c r="K143" s="118">
        <v>1</v>
      </c>
      <c r="L143" s="118">
        <v>3</v>
      </c>
      <c r="M143" s="118" t="s">
        <v>36</v>
      </c>
      <c r="N143" s="118" t="s">
        <v>37</v>
      </c>
      <c r="O143" s="118">
        <v>50</v>
      </c>
      <c r="P143" s="118">
        <v>0.7</v>
      </c>
      <c r="Q143" s="118">
        <v>0</v>
      </c>
      <c r="R143" s="118">
        <v>1</v>
      </c>
      <c r="S143" s="25" t="b">
        <v>1</v>
      </c>
      <c r="T143" s="118">
        <v>13</v>
      </c>
      <c r="U143" s="118">
        <v>195</v>
      </c>
      <c r="V143" s="118">
        <v>260</v>
      </c>
      <c r="W143" s="118">
        <v>0</v>
      </c>
      <c r="X143" s="118">
        <v>1</v>
      </c>
      <c r="Y143" s="118" t="s">
        <v>38</v>
      </c>
      <c r="Z143" s="388" t="s">
        <v>2984</v>
      </c>
      <c r="AA143" s="388" t="s">
        <v>2984</v>
      </c>
      <c r="AB143" s="25" t="s">
        <v>731</v>
      </c>
      <c r="AC143" s="118">
        <v>200000</v>
      </c>
      <c r="AD143" s="197">
        <v>1</v>
      </c>
      <c r="AE143" s="197">
        <v>1</v>
      </c>
      <c r="AF143">
        <v>0</v>
      </c>
      <c r="AG143" s="402">
        <v>1</v>
      </c>
    </row>
    <row r="144" spans="1:33" x14ac:dyDescent="0.15">
      <c r="A144" s="118">
        <v>106002</v>
      </c>
      <c r="B144" s="17" t="s">
        <v>733</v>
      </c>
      <c r="C144" s="17" t="s">
        <v>733</v>
      </c>
      <c r="D144" s="118" t="s">
        <v>33</v>
      </c>
      <c r="E144" s="118">
        <v>6</v>
      </c>
      <c r="F144" s="118" t="s">
        <v>727</v>
      </c>
      <c r="G144" s="118" t="s">
        <v>734</v>
      </c>
      <c r="H144" s="118" t="s">
        <v>35</v>
      </c>
      <c r="I144" s="118">
        <v>1</v>
      </c>
      <c r="J144" s="118">
        <v>1</v>
      </c>
      <c r="K144" s="118">
        <v>1</v>
      </c>
      <c r="L144" s="118">
        <v>3</v>
      </c>
      <c r="M144" s="118" t="s">
        <v>44</v>
      </c>
      <c r="N144" s="118" t="s">
        <v>45</v>
      </c>
      <c r="O144" s="118">
        <v>50</v>
      </c>
      <c r="P144" s="118">
        <v>0.7</v>
      </c>
      <c r="Q144" s="118">
        <v>0</v>
      </c>
      <c r="R144" s="118">
        <v>1</v>
      </c>
      <c r="S144" s="25" t="b">
        <v>1</v>
      </c>
      <c r="T144" s="118">
        <v>26</v>
      </c>
      <c r="U144" s="118">
        <v>390</v>
      </c>
      <c r="V144" s="118">
        <v>520</v>
      </c>
      <c r="W144" s="118">
        <v>0</v>
      </c>
      <c r="X144" s="118">
        <v>2</v>
      </c>
      <c r="Y144" s="118" t="s">
        <v>38</v>
      </c>
      <c r="Z144" s="388" t="s">
        <v>2985</v>
      </c>
      <c r="AA144" s="388" t="s">
        <v>2985</v>
      </c>
      <c r="AB144" s="25" t="s">
        <v>737</v>
      </c>
      <c r="AC144" s="118">
        <v>100000</v>
      </c>
      <c r="AD144" s="197">
        <v>1</v>
      </c>
      <c r="AE144" s="197">
        <v>1</v>
      </c>
      <c r="AF144">
        <v>0</v>
      </c>
      <c r="AG144" s="402">
        <v>2</v>
      </c>
    </row>
    <row r="145" spans="1:33" x14ac:dyDescent="0.15">
      <c r="A145" s="118">
        <v>106003</v>
      </c>
      <c r="B145" s="17" t="s">
        <v>739</v>
      </c>
      <c r="C145" s="17" t="s">
        <v>739</v>
      </c>
      <c r="D145" s="118" t="s">
        <v>33</v>
      </c>
      <c r="E145" s="118">
        <v>6</v>
      </c>
      <c r="F145" s="118" t="s">
        <v>727</v>
      </c>
      <c r="G145" s="118" t="s">
        <v>740</v>
      </c>
      <c r="H145" s="118" t="s">
        <v>35</v>
      </c>
      <c r="I145" s="118">
        <v>1</v>
      </c>
      <c r="J145" s="118">
        <v>1</v>
      </c>
      <c r="K145" s="118">
        <v>1</v>
      </c>
      <c r="L145" s="118">
        <v>3</v>
      </c>
      <c r="M145" s="118" t="s">
        <v>56</v>
      </c>
      <c r="N145" s="118" t="s">
        <v>57</v>
      </c>
      <c r="O145" s="118">
        <v>50</v>
      </c>
      <c r="P145" s="118">
        <v>0.7</v>
      </c>
      <c r="Q145" s="118">
        <v>0</v>
      </c>
      <c r="R145" s="118">
        <v>1</v>
      </c>
      <c r="S145" s="25" t="b">
        <v>1</v>
      </c>
      <c r="T145" s="118">
        <v>39</v>
      </c>
      <c r="U145" s="118">
        <v>585</v>
      </c>
      <c r="V145" s="118">
        <v>780</v>
      </c>
      <c r="W145" s="118">
        <v>0</v>
      </c>
      <c r="X145" s="118">
        <v>3</v>
      </c>
      <c r="Y145" s="118" t="s">
        <v>38</v>
      </c>
      <c r="Z145" s="388" t="s">
        <v>2986</v>
      </c>
      <c r="AA145" s="388" t="s">
        <v>2986</v>
      </c>
      <c r="AB145" s="25" t="s">
        <v>743</v>
      </c>
      <c r="AC145" s="118">
        <v>300000</v>
      </c>
      <c r="AD145" s="197">
        <v>1</v>
      </c>
      <c r="AE145" s="197">
        <v>1</v>
      </c>
      <c r="AF145">
        <v>0</v>
      </c>
      <c r="AG145" s="402">
        <v>3</v>
      </c>
    </row>
    <row r="146" spans="1:33" x14ac:dyDescent="0.15">
      <c r="A146" s="118">
        <v>106004</v>
      </c>
      <c r="B146" s="71" t="s">
        <v>745</v>
      </c>
      <c r="C146" s="71" t="s">
        <v>745</v>
      </c>
      <c r="D146" s="118" t="s">
        <v>33</v>
      </c>
      <c r="E146" s="118">
        <v>6</v>
      </c>
      <c r="F146" s="118" t="s">
        <v>727</v>
      </c>
      <c r="G146" s="118" t="s">
        <v>746</v>
      </c>
      <c r="H146" s="118" t="s">
        <v>35</v>
      </c>
      <c r="I146" s="118">
        <v>1</v>
      </c>
      <c r="J146" s="118">
        <v>1</v>
      </c>
      <c r="K146" s="118">
        <v>1</v>
      </c>
      <c r="L146" s="118">
        <v>3</v>
      </c>
      <c r="M146" s="118" t="s">
        <v>63</v>
      </c>
      <c r="N146" s="118" t="s">
        <v>64</v>
      </c>
      <c r="O146" s="118">
        <v>50</v>
      </c>
      <c r="P146" s="118">
        <v>0.7</v>
      </c>
      <c r="Q146" s="118">
        <v>0</v>
      </c>
      <c r="R146" s="118">
        <v>1</v>
      </c>
      <c r="S146" s="25" t="b">
        <v>1</v>
      </c>
      <c r="T146" s="118">
        <v>52</v>
      </c>
      <c r="U146" s="118">
        <v>780</v>
      </c>
      <c r="V146" s="118">
        <v>1040</v>
      </c>
      <c r="W146" s="118">
        <v>0</v>
      </c>
      <c r="X146" s="118">
        <v>4</v>
      </c>
      <c r="Y146" s="118" t="s">
        <v>38</v>
      </c>
      <c r="Z146" s="388" t="s">
        <v>2987</v>
      </c>
      <c r="AA146" s="388" t="s">
        <v>2987</v>
      </c>
      <c r="AB146" s="25" t="s">
        <v>749</v>
      </c>
      <c r="AC146" s="118">
        <v>300000</v>
      </c>
      <c r="AD146" s="197">
        <v>1</v>
      </c>
      <c r="AE146" s="197">
        <v>1</v>
      </c>
      <c r="AF146">
        <v>0</v>
      </c>
      <c r="AG146" s="402">
        <v>4</v>
      </c>
    </row>
    <row r="147" spans="1:33" x14ac:dyDescent="0.15">
      <c r="A147" s="118">
        <v>106005</v>
      </c>
      <c r="B147" s="17" t="s">
        <v>751</v>
      </c>
      <c r="C147" s="17" t="s">
        <v>751</v>
      </c>
      <c r="D147" s="118" t="s">
        <v>33</v>
      </c>
      <c r="E147" s="118">
        <v>6</v>
      </c>
      <c r="F147" s="118" t="s">
        <v>727</v>
      </c>
      <c r="G147" s="118" t="s">
        <v>752</v>
      </c>
      <c r="H147" s="118" t="s">
        <v>35</v>
      </c>
      <c r="I147" s="118">
        <v>1</v>
      </c>
      <c r="J147" s="118">
        <v>1</v>
      </c>
      <c r="K147" s="118">
        <v>1</v>
      </c>
      <c r="L147" s="118">
        <v>3</v>
      </c>
      <c r="M147" s="118" t="s">
        <v>70</v>
      </c>
      <c r="N147" s="118" t="s">
        <v>71</v>
      </c>
      <c r="O147" s="118">
        <v>50</v>
      </c>
      <c r="P147" s="118">
        <v>0.7</v>
      </c>
      <c r="Q147" s="118">
        <v>0</v>
      </c>
      <c r="R147" s="118">
        <v>1</v>
      </c>
      <c r="S147" s="25" t="b">
        <v>1</v>
      </c>
      <c r="T147" s="118">
        <v>65</v>
      </c>
      <c r="U147" s="118">
        <v>975</v>
      </c>
      <c r="V147" s="118">
        <v>1300</v>
      </c>
      <c r="W147" s="118">
        <v>0</v>
      </c>
      <c r="X147" s="118">
        <v>5</v>
      </c>
      <c r="Y147" s="118" t="s">
        <v>38</v>
      </c>
      <c r="Z147" s="388" t="s">
        <v>2988</v>
      </c>
      <c r="AA147" s="388" t="s">
        <v>2988</v>
      </c>
      <c r="AB147" s="118" t="s">
        <v>755</v>
      </c>
      <c r="AC147" s="118">
        <v>300000</v>
      </c>
      <c r="AD147" s="197">
        <v>1</v>
      </c>
      <c r="AE147" s="197">
        <v>1</v>
      </c>
      <c r="AF147">
        <v>0</v>
      </c>
      <c r="AG147" s="402">
        <v>5</v>
      </c>
    </row>
    <row r="148" spans="1:33" x14ac:dyDescent="0.15">
      <c r="A148" s="118">
        <v>106006</v>
      </c>
      <c r="B148" s="17" t="s">
        <v>757</v>
      </c>
      <c r="C148" s="17" t="s">
        <v>757</v>
      </c>
      <c r="D148" s="118" t="s">
        <v>33</v>
      </c>
      <c r="E148" s="118">
        <v>6</v>
      </c>
      <c r="F148" s="118" t="s">
        <v>727</v>
      </c>
      <c r="G148" s="118" t="s">
        <v>758</v>
      </c>
      <c r="H148" s="118" t="s">
        <v>35</v>
      </c>
      <c r="I148" s="118">
        <v>1</v>
      </c>
      <c r="J148" s="118">
        <v>1</v>
      </c>
      <c r="K148" s="118">
        <v>1</v>
      </c>
      <c r="L148" s="118">
        <v>3</v>
      </c>
      <c r="M148" s="118" t="s">
        <v>70</v>
      </c>
      <c r="N148" s="118" t="s">
        <v>77</v>
      </c>
      <c r="O148" s="118">
        <v>50</v>
      </c>
      <c r="P148" s="118">
        <v>0.7</v>
      </c>
      <c r="Q148" s="118">
        <v>0</v>
      </c>
      <c r="R148" s="118">
        <v>1</v>
      </c>
      <c r="S148" s="25" t="b">
        <v>1</v>
      </c>
      <c r="T148" s="118">
        <v>78</v>
      </c>
      <c r="U148" s="118">
        <v>1170</v>
      </c>
      <c r="V148" s="118">
        <v>1560</v>
      </c>
      <c r="W148" s="118">
        <v>0</v>
      </c>
      <c r="X148" s="118">
        <v>6</v>
      </c>
      <c r="Y148" s="118" t="s">
        <v>38</v>
      </c>
      <c r="Z148" s="388" t="s">
        <v>2989</v>
      </c>
      <c r="AA148" s="388" t="s">
        <v>2989</v>
      </c>
      <c r="AB148" s="118" t="s">
        <v>761</v>
      </c>
      <c r="AC148" s="118">
        <v>300000</v>
      </c>
      <c r="AD148" s="197">
        <v>1</v>
      </c>
      <c r="AE148" s="197">
        <v>1</v>
      </c>
      <c r="AF148">
        <v>0</v>
      </c>
      <c r="AG148" s="402">
        <v>6</v>
      </c>
    </row>
    <row r="149" spans="1:33" x14ac:dyDescent="0.15">
      <c r="A149" s="118">
        <v>106007</v>
      </c>
      <c r="B149" s="21" t="s">
        <v>763</v>
      </c>
      <c r="C149" s="21" t="s">
        <v>763</v>
      </c>
      <c r="D149" s="118" t="s">
        <v>33</v>
      </c>
      <c r="E149" s="118">
        <v>6</v>
      </c>
      <c r="F149" s="118" t="s">
        <v>727</v>
      </c>
      <c r="G149" s="118" t="s">
        <v>764</v>
      </c>
      <c r="H149" s="118" t="s">
        <v>35</v>
      </c>
      <c r="I149" s="118">
        <v>1</v>
      </c>
      <c r="J149" s="118">
        <v>1</v>
      </c>
      <c r="K149" s="118">
        <v>1</v>
      </c>
      <c r="L149" s="118">
        <v>3</v>
      </c>
      <c r="M149" s="118" t="s">
        <v>70</v>
      </c>
      <c r="N149" s="118" t="s">
        <v>83</v>
      </c>
      <c r="O149" s="118">
        <v>50</v>
      </c>
      <c r="P149" s="118">
        <v>0.7</v>
      </c>
      <c r="Q149" s="118">
        <v>0</v>
      </c>
      <c r="R149" s="118">
        <v>1</v>
      </c>
      <c r="S149" s="25" t="b">
        <v>1</v>
      </c>
      <c r="T149" s="118">
        <v>91</v>
      </c>
      <c r="U149" s="118">
        <v>1365</v>
      </c>
      <c r="V149" s="118">
        <v>1820</v>
      </c>
      <c r="W149" s="118">
        <v>0</v>
      </c>
      <c r="X149" s="118">
        <v>7</v>
      </c>
      <c r="Y149" s="118" t="s">
        <v>38</v>
      </c>
      <c r="Z149" s="388" t="s">
        <v>2990</v>
      </c>
      <c r="AA149" s="388" t="s">
        <v>2990</v>
      </c>
      <c r="AB149" s="118" t="s">
        <v>767</v>
      </c>
      <c r="AC149" s="118">
        <v>100000</v>
      </c>
      <c r="AD149" s="197">
        <v>1</v>
      </c>
      <c r="AE149" s="197">
        <v>1</v>
      </c>
      <c r="AF149">
        <v>0</v>
      </c>
      <c r="AG149" s="402">
        <v>7</v>
      </c>
    </row>
    <row r="150" spans="1:33" x14ac:dyDescent="0.15">
      <c r="A150" s="114">
        <v>106207</v>
      </c>
      <c r="B150" s="359" t="s">
        <v>769</v>
      </c>
      <c r="C150" s="359" t="s">
        <v>769</v>
      </c>
      <c r="D150" s="119" t="s">
        <v>33</v>
      </c>
      <c r="E150" s="119">
        <v>6</v>
      </c>
      <c r="F150" s="119" t="s">
        <v>727</v>
      </c>
      <c r="G150" s="118" t="s">
        <v>764</v>
      </c>
      <c r="H150" s="119" t="s">
        <v>51</v>
      </c>
      <c r="I150" s="119">
        <v>1</v>
      </c>
      <c r="J150" s="118">
        <v>4</v>
      </c>
      <c r="K150" s="119">
        <v>0</v>
      </c>
      <c r="L150" s="119">
        <v>3</v>
      </c>
      <c r="M150" s="119" t="s">
        <v>52</v>
      </c>
      <c r="N150" s="118" t="s">
        <v>83</v>
      </c>
      <c r="O150" s="119">
        <v>50</v>
      </c>
      <c r="P150" s="119">
        <v>0.7</v>
      </c>
      <c r="Q150" s="119">
        <v>0</v>
      </c>
      <c r="R150" s="119">
        <v>1</v>
      </c>
      <c r="S150" s="80" t="b">
        <v>1</v>
      </c>
      <c r="T150" s="119">
        <v>91</v>
      </c>
      <c r="U150" s="118">
        <v>1365</v>
      </c>
      <c r="V150" s="118">
        <v>1820</v>
      </c>
      <c r="W150" s="119">
        <v>0</v>
      </c>
      <c r="X150" s="119">
        <v>7</v>
      </c>
      <c r="Y150" s="119" t="s">
        <v>38</v>
      </c>
      <c r="Z150" s="388" t="s">
        <v>2990</v>
      </c>
      <c r="AA150" s="388" t="s">
        <v>2990</v>
      </c>
      <c r="AB150" s="119" t="s">
        <v>767</v>
      </c>
      <c r="AC150" s="119">
        <v>100000</v>
      </c>
      <c r="AD150" s="197">
        <v>1</v>
      </c>
      <c r="AE150" s="197">
        <v>1</v>
      </c>
      <c r="AF150">
        <v>0</v>
      </c>
      <c r="AG150" s="403">
        <v>7</v>
      </c>
    </row>
    <row r="151" spans="1:33" x14ac:dyDescent="0.15">
      <c r="A151" s="17">
        <v>106008</v>
      </c>
      <c r="B151" s="17" t="s">
        <v>772</v>
      </c>
      <c r="C151" s="17" t="s">
        <v>772</v>
      </c>
      <c r="D151" s="118" t="s">
        <v>33</v>
      </c>
      <c r="E151" s="118">
        <v>6</v>
      </c>
      <c r="F151" s="118" t="s">
        <v>727</v>
      </c>
      <c r="G151" s="118" t="s">
        <v>773</v>
      </c>
      <c r="H151" s="17" t="s">
        <v>35</v>
      </c>
      <c r="I151" s="118">
        <v>1</v>
      </c>
      <c r="J151" s="118">
        <v>1</v>
      </c>
      <c r="K151" s="118">
        <v>1</v>
      </c>
      <c r="L151" s="118">
        <v>3</v>
      </c>
      <c r="M151" s="118" t="s">
        <v>70</v>
      </c>
      <c r="N151" s="118" t="s">
        <v>89</v>
      </c>
      <c r="O151" s="118">
        <v>50</v>
      </c>
      <c r="P151" s="118">
        <v>0.7</v>
      </c>
      <c r="Q151" s="118">
        <v>0</v>
      </c>
      <c r="R151" s="118">
        <v>1</v>
      </c>
      <c r="S151" s="25" t="b">
        <v>1</v>
      </c>
      <c r="T151" s="118">
        <v>104</v>
      </c>
      <c r="U151" s="118">
        <v>1560</v>
      </c>
      <c r="V151" s="118">
        <v>2080</v>
      </c>
      <c r="W151" s="118">
        <v>0</v>
      </c>
      <c r="X151" s="118">
        <v>8</v>
      </c>
      <c r="Y151" s="118" t="s">
        <v>38</v>
      </c>
      <c r="Z151" s="388" t="s">
        <v>2991</v>
      </c>
      <c r="AA151" s="388" t="s">
        <v>2991</v>
      </c>
      <c r="AB151" s="118" t="s">
        <v>776</v>
      </c>
      <c r="AC151" s="118">
        <v>100000</v>
      </c>
      <c r="AD151" s="191">
        <v>1</v>
      </c>
      <c r="AE151" s="191">
        <v>1</v>
      </c>
      <c r="AF151">
        <v>0</v>
      </c>
      <c r="AG151" s="402">
        <v>8</v>
      </c>
    </row>
    <row r="152" spans="1:33" x14ac:dyDescent="0.15">
      <c r="A152" s="17">
        <v>106009</v>
      </c>
      <c r="B152" s="17" t="s">
        <v>778</v>
      </c>
      <c r="C152" s="17" t="s">
        <v>778</v>
      </c>
      <c r="D152" s="118" t="s">
        <v>33</v>
      </c>
      <c r="E152" s="118">
        <v>6</v>
      </c>
      <c r="F152" s="118" t="s">
        <v>727</v>
      </c>
      <c r="G152" s="118" t="s">
        <v>779</v>
      </c>
      <c r="H152" s="17" t="s">
        <v>35</v>
      </c>
      <c r="I152" s="118">
        <v>1</v>
      </c>
      <c r="J152" s="118">
        <v>1</v>
      </c>
      <c r="K152" s="118">
        <v>1</v>
      </c>
      <c r="L152" s="118">
        <v>3</v>
      </c>
      <c r="M152" s="118" t="s">
        <v>70</v>
      </c>
      <c r="N152" s="118" t="s">
        <v>95</v>
      </c>
      <c r="O152" s="118">
        <v>50</v>
      </c>
      <c r="P152" s="118">
        <v>0.7</v>
      </c>
      <c r="Q152" s="118">
        <v>0</v>
      </c>
      <c r="R152" s="118">
        <v>1</v>
      </c>
      <c r="S152" s="25" t="b">
        <v>1</v>
      </c>
      <c r="T152" s="118">
        <v>117</v>
      </c>
      <c r="U152" s="118">
        <v>1755</v>
      </c>
      <c r="V152" s="118">
        <v>2340</v>
      </c>
      <c r="W152" s="118">
        <v>0</v>
      </c>
      <c r="X152" s="118">
        <v>9</v>
      </c>
      <c r="Y152" s="118" t="s">
        <v>38</v>
      </c>
      <c r="Z152" s="388" t="s">
        <v>2992</v>
      </c>
      <c r="AA152" s="388" t="s">
        <v>2992</v>
      </c>
      <c r="AB152" s="118" t="s">
        <v>782</v>
      </c>
      <c r="AC152" s="118">
        <v>100000</v>
      </c>
      <c r="AD152" s="191">
        <v>1</v>
      </c>
      <c r="AE152" s="191">
        <v>1</v>
      </c>
      <c r="AF152">
        <v>0</v>
      </c>
      <c r="AG152" s="402">
        <v>9</v>
      </c>
    </row>
    <row r="153" spans="1:33" x14ac:dyDescent="0.15">
      <c r="A153" s="17">
        <v>106010</v>
      </c>
      <c r="B153" s="17" t="s">
        <v>784</v>
      </c>
      <c r="C153" s="17" t="s">
        <v>784</v>
      </c>
      <c r="D153" s="118" t="s">
        <v>33</v>
      </c>
      <c r="E153" s="118">
        <v>6</v>
      </c>
      <c r="F153" s="118" t="s">
        <v>727</v>
      </c>
      <c r="G153" s="118" t="s">
        <v>785</v>
      </c>
      <c r="H153" s="17" t="s">
        <v>35</v>
      </c>
      <c r="I153" s="118">
        <v>1</v>
      </c>
      <c r="J153" s="118">
        <v>1</v>
      </c>
      <c r="K153" s="118">
        <v>1</v>
      </c>
      <c r="L153" s="118">
        <v>3</v>
      </c>
      <c r="M153" s="118" t="s">
        <v>70</v>
      </c>
      <c r="N153" s="118" t="s">
        <v>101</v>
      </c>
      <c r="O153" s="118">
        <v>50</v>
      </c>
      <c r="P153" s="118">
        <v>0.7</v>
      </c>
      <c r="Q153" s="118">
        <v>0</v>
      </c>
      <c r="R153" s="118">
        <v>1</v>
      </c>
      <c r="S153" s="25" t="b">
        <v>1</v>
      </c>
      <c r="T153" s="118">
        <v>130</v>
      </c>
      <c r="U153" s="118">
        <v>1950</v>
      </c>
      <c r="V153" s="118">
        <v>2600</v>
      </c>
      <c r="W153" s="118">
        <v>0</v>
      </c>
      <c r="X153" s="118">
        <v>10</v>
      </c>
      <c r="Y153" s="118" t="s">
        <v>38</v>
      </c>
      <c r="Z153" s="388" t="s">
        <v>2993</v>
      </c>
      <c r="AA153" s="388" t="s">
        <v>2993</v>
      </c>
      <c r="AB153" s="118" t="s">
        <v>788</v>
      </c>
      <c r="AC153" s="118">
        <v>100000</v>
      </c>
      <c r="AD153" s="191">
        <v>1</v>
      </c>
      <c r="AE153" s="191">
        <v>1</v>
      </c>
      <c r="AF153">
        <v>0</v>
      </c>
      <c r="AG153" s="402">
        <v>10</v>
      </c>
    </row>
    <row r="154" spans="1:33" x14ac:dyDescent="0.15">
      <c r="A154" s="119">
        <v>106208</v>
      </c>
      <c r="B154" s="114" t="s">
        <v>790</v>
      </c>
      <c r="C154" s="114" t="s">
        <v>790</v>
      </c>
      <c r="D154" s="119" t="s">
        <v>33</v>
      </c>
      <c r="E154" s="119">
        <v>6</v>
      </c>
      <c r="F154" s="119" t="s">
        <v>727</v>
      </c>
      <c r="G154" s="119" t="s">
        <v>773</v>
      </c>
      <c r="H154" s="119" t="s">
        <v>51</v>
      </c>
      <c r="I154" s="119">
        <v>1</v>
      </c>
      <c r="J154" s="118">
        <v>4</v>
      </c>
      <c r="K154" s="119">
        <v>0</v>
      </c>
      <c r="L154" s="119">
        <v>3</v>
      </c>
      <c r="M154" s="119" t="s">
        <v>52</v>
      </c>
      <c r="N154" s="118" t="s">
        <v>89</v>
      </c>
      <c r="O154" s="119">
        <v>50</v>
      </c>
      <c r="P154" s="119">
        <v>0.7</v>
      </c>
      <c r="Q154" s="119">
        <v>0</v>
      </c>
      <c r="R154" s="119">
        <v>1</v>
      </c>
      <c r="S154" s="80" t="b">
        <v>1</v>
      </c>
      <c r="T154" s="119">
        <v>104</v>
      </c>
      <c r="U154" s="118">
        <v>1560</v>
      </c>
      <c r="V154" s="118">
        <v>2080</v>
      </c>
      <c r="W154" s="119">
        <v>0</v>
      </c>
      <c r="X154" s="119">
        <v>8</v>
      </c>
      <c r="Y154" s="119" t="s">
        <v>38</v>
      </c>
      <c r="Z154" s="388" t="s">
        <v>2991</v>
      </c>
      <c r="AA154" s="388" t="s">
        <v>2991</v>
      </c>
      <c r="AB154" s="80" t="s">
        <v>776</v>
      </c>
      <c r="AC154" s="119">
        <v>100000</v>
      </c>
      <c r="AD154" s="92">
        <v>1</v>
      </c>
      <c r="AE154" s="92">
        <v>1</v>
      </c>
      <c r="AF154">
        <v>0</v>
      </c>
      <c r="AG154" s="403">
        <v>8</v>
      </c>
    </row>
    <row r="155" spans="1:33" x14ac:dyDescent="0.15">
      <c r="A155" s="119">
        <v>106209</v>
      </c>
      <c r="B155" s="114" t="s">
        <v>793</v>
      </c>
      <c r="C155" s="114" t="s">
        <v>793</v>
      </c>
      <c r="D155" s="119" t="s">
        <v>33</v>
      </c>
      <c r="E155" s="119">
        <v>6</v>
      </c>
      <c r="F155" s="119" t="s">
        <v>727</v>
      </c>
      <c r="G155" s="119" t="s">
        <v>779</v>
      </c>
      <c r="H155" s="119" t="s">
        <v>51</v>
      </c>
      <c r="I155" s="119">
        <v>1</v>
      </c>
      <c r="J155" s="118">
        <v>4</v>
      </c>
      <c r="K155" s="119">
        <v>0</v>
      </c>
      <c r="L155" s="119">
        <v>3</v>
      </c>
      <c r="M155" s="119" t="s">
        <v>52</v>
      </c>
      <c r="N155" s="118" t="s">
        <v>95</v>
      </c>
      <c r="O155" s="119">
        <v>50</v>
      </c>
      <c r="P155" s="119">
        <v>0.7</v>
      </c>
      <c r="Q155" s="119">
        <v>0</v>
      </c>
      <c r="R155" s="119">
        <v>1</v>
      </c>
      <c r="S155" s="80" t="b">
        <v>1</v>
      </c>
      <c r="T155" s="119">
        <v>117</v>
      </c>
      <c r="U155" s="118">
        <v>1755</v>
      </c>
      <c r="V155" s="118">
        <v>2340</v>
      </c>
      <c r="W155" s="119">
        <v>0</v>
      </c>
      <c r="X155" s="119">
        <v>9</v>
      </c>
      <c r="Y155" s="119" t="s">
        <v>38</v>
      </c>
      <c r="Z155" s="388" t="s">
        <v>2992</v>
      </c>
      <c r="AA155" s="388" t="s">
        <v>2992</v>
      </c>
      <c r="AB155" s="80" t="s">
        <v>782</v>
      </c>
      <c r="AC155" s="119">
        <v>100000</v>
      </c>
      <c r="AD155" s="92">
        <v>1</v>
      </c>
      <c r="AE155" s="92">
        <v>1</v>
      </c>
      <c r="AF155">
        <v>0</v>
      </c>
      <c r="AG155" s="403">
        <v>9</v>
      </c>
    </row>
    <row r="156" spans="1:33" x14ac:dyDescent="0.15">
      <c r="A156" s="119">
        <v>106210</v>
      </c>
      <c r="B156" s="114" t="s">
        <v>796</v>
      </c>
      <c r="C156" s="114" t="s">
        <v>796</v>
      </c>
      <c r="D156" s="119" t="s">
        <v>33</v>
      </c>
      <c r="E156" s="119">
        <v>6</v>
      </c>
      <c r="F156" s="119" t="s">
        <v>727</v>
      </c>
      <c r="G156" s="119" t="s">
        <v>785</v>
      </c>
      <c r="H156" s="119" t="s">
        <v>51</v>
      </c>
      <c r="I156" s="119">
        <v>1</v>
      </c>
      <c r="J156" s="118">
        <v>4</v>
      </c>
      <c r="K156" s="119">
        <v>0</v>
      </c>
      <c r="L156" s="119">
        <v>3</v>
      </c>
      <c r="M156" s="119" t="s">
        <v>52</v>
      </c>
      <c r="N156" s="118" t="s">
        <v>101</v>
      </c>
      <c r="O156" s="119">
        <v>50</v>
      </c>
      <c r="P156" s="119">
        <v>0.7</v>
      </c>
      <c r="Q156" s="119">
        <v>0</v>
      </c>
      <c r="R156" s="119">
        <v>1</v>
      </c>
      <c r="S156" s="80" t="b">
        <v>1</v>
      </c>
      <c r="T156" s="119">
        <v>130</v>
      </c>
      <c r="U156" s="118">
        <v>1950</v>
      </c>
      <c r="V156" s="118">
        <v>2600</v>
      </c>
      <c r="W156" s="119">
        <v>0</v>
      </c>
      <c r="X156" s="119">
        <v>10</v>
      </c>
      <c r="Y156" s="119" t="s">
        <v>38</v>
      </c>
      <c r="Z156" s="388" t="s">
        <v>2993</v>
      </c>
      <c r="AA156" s="388" t="s">
        <v>2993</v>
      </c>
      <c r="AB156" s="80" t="s">
        <v>788</v>
      </c>
      <c r="AC156" s="119">
        <v>100000</v>
      </c>
      <c r="AD156" s="92">
        <v>1</v>
      </c>
      <c r="AE156" s="92">
        <v>1</v>
      </c>
      <c r="AF156">
        <v>0</v>
      </c>
      <c r="AG156" s="403">
        <v>10</v>
      </c>
    </row>
    <row r="157" spans="1:33" x14ac:dyDescent="0.15">
      <c r="A157" s="84">
        <v>106202</v>
      </c>
      <c r="B157" s="105" t="s">
        <v>799</v>
      </c>
      <c r="C157" s="105" t="s">
        <v>799</v>
      </c>
      <c r="D157" s="84" t="s">
        <v>33</v>
      </c>
      <c r="E157" s="84">
        <v>6</v>
      </c>
      <c r="F157" s="84" t="s">
        <v>727</v>
      </c>
      <c r="G157" s="118" t="s">
        <v>728</v>
      </c>
      <c r="H157" s="84" t="s">
        <v>107</v>
      </c>
      <c r="I157" s="84">
        <v>4</v>
      </c>
      <c r="J157" s="118">
        <v>4</v>
      </c>
      <c r="K157" s="84">
        <v>0</v>
      </c>
      <c r="L157" s="84">
        <v>3</v>
      </c>
      <c r="M157" s="84">
        <v>4</v>
      </c>
      <c r="N157" s="118" t="s">
        <v>45</v>
      </c>
      <c r="O157" s="84">
        <v>50</v>
      </c>
      <c r="P157" s="84">
        <v>0.7</v>
      </c>
      <c r="Q157" s="84">
        <v>0</v>
      </c>
      <c r="R157" s="84">
        <v>1</v>
      </c>
      <c r="S157" s="43" t="b">
        <v>1</v>
      </c>
      <c r="T157" s="84">
        <v>26</v>
      </c>
      <c r="U157" s="118">
        <v>390</v>
      </c>
      <c r="V157" s="118">
        <v>520</v>
      </c>
      <c r="W157" s="84">
        <v>0</v>
      </c>
      <c r="X157" s="84">
        <v>2</v>
      </c>
      <c r="Y157" s="84" t="s">
        <v>38</v>
      </c>
      <c r="Z157" s="388" t="s">
        <v>2894</v>
      </c>
      <c r="AA157" s="388" t="s">
        <v>2894</v>
      </c>
      <c r="AB157" s="43" t="s">
        <v>731</v>
      </c>
      <c r="AC157" s="84">
        <v>100000</v>
      </c>
      <c r="AD157" s="197">
        <v>1</v>
      </c>
      <c r="AE157" s="197">
        <v>1</v>
      </c>
      <c r="AF157">
        <v>0</v>
      </c>
      <c r="AG157" s="404">
        <v>2</v>
      </c>
    </row>
    <row r="158" spans="1:33" x14ac:dyDescent="0.15">
      <c r="A158" s="391">
        <v>106203</v>
      </c>
      <c r="B158" s="392" t="s">
        <v>802</v>
      </c>
      <c r="C158" s="392" t="s">
        <v>802</v>
      </c>
      <c r="D158" s="391" t="s">
        <v>33</v>
      </c>
      <c r="E158" s="391">
        <v>6</v>
      </c>
      <c r="F158" s="391" t="s">
        <v>727</v>
      </c>
      <c r="G158" s="118" t="s">
        <v>752</v>
      </c>
      <c r="H158" s="391" t="s">
        <v>112</v>
      </c>
      <c r="I158" s="391">
        <v>4</v>
      </c>
      <c r="J158" s="118">
        <v>4</v>
      </c>
      <c r="K158" s="391">
        <v>0</v>
      </c>
      <c r="L158" s="391">
        <v>3</v>
      </c>
      <c r="M158" s="391">
        <v>4</v>
      </c>
      <c r="N158" s="118" t="s">
        <v>57</v>
      </c>
      <c r="O158" s="391">
        <v>50</v>
      </c>
      <c r="P158" s="391">
        <v>0.7</v>
      </c>
      <c r="Q158" s="391">
        <v>0</v>
      </c>
      <c r="R158" s="391">
        <v>1</v>
      </c>
      <c r="S158" s="397" t="b">
        <v>1</v>
      </c>
      <c r="T158" s="391">
        <v>39</v>
      </c>
      <c r="U158" s="118">
        <v>585</v>
      </c>
      <c r="V158" s="118">
        <v>780</v>
      </c>
      <c r="W158" s="391">
        <v>0</v>
      </c>
      <c r="X158" s="391">
        <v>3</v>
      </c>
      <c r="Y158" s="391" t="s">
        <v>38</v>
      </c>
      <c r="Z158" s="388" t="s">
        <v>2994</v>
      </c>
      <c r="AA158" s="388" t="s">
        <v>2994</v>
      </c>
      <c r="AB158" s="397" t="s">
        <v>755</v>
      </c>
      <c r="AC158" s="391">
        <v>100000</v>
      </c>
      <c r="AD158" s="197">
        <v>1</v>
      </c>
      <c r="AE158" s="197">
        <v>1</v>
      </c>
      <c r="AF158">
        <v>0</v>
      </c>
      <c r="AG158" s="405">
        <v>3</v>
      </c>
    </row>
    <row r="159" spans="1:33" x14ac:dyDescent="0.15">
      <c r="A159" s="391">
        <v>106204</v>
      </c>
      <c r="B159" s="392" t="s">
        <v>806</v>
      </c>
      <c r="C159" s="392" t="s">
        <v>806</v>
      </c>
      <c r="D159" s="391" t="s">
        <v>33</v>
      </c>
      <c r="E159" s="391">
        <v>6</v>
      </c>
      <c r="F159" s="391" t="s">
        <v>727</v>
      </c>
      <c r="G159" s="118" t="s">
        <v>764</v>
      </c>
      <c r="H159" s="391" t="s">
        <v>112</v>
      </c>
      <c r="I159" s="391">
        <v>5</v>
      </c>
      <c r="J159" s="118">
        <v>5</v>
      </c>
      <c r="K159" s="391">
        <v>0</v>
      </c>
      <c r="L159" s="391">
        <v>3</v>
      </c>
      <c r="M159" s="391">
        <v>5</v>
      </c>
      <c r="N159" s="118" t="s">
        <v>64</v>
      </c>
      <c r="O159" s="391">
        <v>50</v>
      </c>
      <c r="P159" s="391">
        <v>0.7</v>
      </c>
      <c r="Q159" s="391">
        <v>0</v>
      </c>
      <c r="R159" s="391">
        <v>1</v>
      </c>
      <c r="S159" s="397" t="b">
        <v>1</v>
      </c>
      <c r="T159" s="391">
        <v>52</v>
      </c>
      <c r="U159" s="118">
        <v>780</v>
      </c>
      <c r="V159" s="118">
        <v>1040</v>
      </c>
      <c r="W159" s="391">
        <v>0</v>
      </c>
      <c r="X159" s="391">
        <v>4</v>
      </c>
      <c r="Y159" s="391" t="s">
        <v>38</v>
      </c>
      <c r="Z159" s="388" t="s">
        <v>2995</v>
      </c>
      <c r="AA159" s="388" t="s">
        <v>2995</v>
      </c>
      <c r="AB159" s="397" t="s">
        <v>809</v>
      </c>
      <c r="AC159" s="391">
        <v>100000</v>
      </c>
      <c r="AD159" s="197">
        <v>1</v>
      </c>
      <c r="AE159" s="197">
        <v>1</v>
      </c>
      <c r="AF159">
        <v>0</v>
      </c>
      <c r="AG159" s="405">
        <v>4</v>
      </c>
    </row>
    <row r="160" spans="1:33" x14ac:dyDescent="0.15">
      <c r="A160" s="118">
        <v>109001</v>
      </c>
      <c r="B160" s="17" t="s">
        <v>811</v>
      </c>
      <c r="C160" s="17" t="s">
        <v>811</v>
      </c>
      <c r="D160" s="118" t="s">
        <v>33</v>
      </c>
      <c r="E160" s="118">
        <v>9</v>
      </c>
      <c r="F160" s="118" t="s">
        <v>812</v>
      </c>
      <c r="G160" s="118"/>
      <c r="H160" s="118" t="s">
        <v>35</v>
      </c>
      <c r="I160" s="118">
        <v>1</v>
      </c>
      <c r="J160" s="118">
        <v>1</v>
      </c>
      <c r="K160" s="118">
        <v>1</v>
      </c>
      <c r="L160" s="118">
        <v>3</v>
      </c>
      <c r="M160" s="118" t="s">
        <v>36</v>
      </c>
      <c r="N160" s="118" t="s">
        <v>37</v>
      </c>
      <c r="O160" s="118">
        <v>99</v>
      </c>
      <c r="P160" s="118">
        <v>0.8</v>
      </c>
      <c r="Q160" s="118">
        <v>0</v>
      </c>
      <c r="R160" s="118">
        <v>1</v>
      </c>
      <c r="S160" s="25" t="b">
        <v>1</v>
      </c>
      <c r="T160" s="118">
        <v>13</v>
      </c>
      <c r="U160" s="118">
        <v>195</v>
      </c>
      <c r="V160" s="118">
        <v>260</v>
      </c>
      <c r="W160" s="118">
        <v>0</v>
      </c>
      <c r="X160" s="118">
        <v>1</v>
      </c>
      <c r="Y160" s="118" t="s">
        <v>38</v>
      </c>
      <c r="Z160" s="388" t="s">
        <v>2996</v>
      </c>
      <c r="AA160" s="388" t="s">
        <v>2996</v>
      </c>
      <c r="AB160" s="25" t="s">
        <v>815</v>
      </c>
      <c r="AC160" s="118">
        <v>200000</v>
      </c>
      <c r="AD160" s="197">
        <v>1</v>
      </c>
      <c r="AE160" s="197">
        <v>1</v>
      </c>
      <c r="AF160">
        <v>0</v>
      </c>
      <c r="AG160" s="402">
        <v>1</v>
      </c>
    </row>
    <row r="161" spans="1:33" x14ac:dyDescent="0.15">
      <c r="A161" s="118">
        <v>109002</v>
      </c>
      <c r="B161" s="17" t="s">
        <v>817</v>
      </c>
      <c r="C161" s="17" t="s">
        <v>817</v>
      </c>
      <c r="D161" s="118" t="s">
        <v>33</v>
      </c>
      <c r="E161" s="118">
        <v>9</v>
      </c>
      <c r="F161" s="118" t="s">
        <v>812</v>
      </c>
      <c r="G161" s="118"/>
      <c r="H161" s="118" t="s">
        <v>35</v>
      </c>
      <c r="I161" s="118">
        <v>1</v>
      </c>
      <c r="J161" s="118">
        <v>1</v>
      </c>
      <c r="K161" s="118">
        <v>1</v>
      </c>
      <c r="L161" s="118">
        <v>3</v>
      </c>
      <c r="M161" s="118" t="s">
        <v>44</v>
      </c>
      <c r="N161" s="118" t="s">
        <v>45</v>
      </c>
      <c r="O161" s="118">
        <v>99</v>
      </c>
      <c r="P161" s="118">
        <v>0.8</v>
      </c>
      <c r="Q161" s="118">
        <v>0</v>
      </c>
      <c r="R161" s="118">
        <v>1</v>
      </c>
      <c r="S161" s="25" t="b">
        <v>1</v>
      </c>
      <c r="T161" s="118">
        <v>26</v>
      </c>
      <c r="U161" s="118">
        <v>390</v>
      </c>
      <c r="V161" s="118">
        <v>520</v>
      </c>
      <c r="W161" s="118">
        <v>0</v>
      </c>
      <c r="X161" s="118">
        <v>2</v>
      </c>
      <c r="Y161" s="118" t="s">
        <v>38</v>
      </c>
      <c r="Z161" s="388" t="s">
        <v>2997</v>
      </c>
      <c r="AA161" s="388" t="s">
        <v>2997</v>
      </c>
      <c r="AB161" s="25" t="s">
        <v>820</v>
      </c>
      <c r="AC161" s="118">
        <v>100000</v>
      </c>
      <c r="AD161" s="197">
        <v>1</v>
      </c>
      <c r="AE161" s="197">
        <v>1</v>
      </c>
      <c r="AF161">
        <v>0</v>
      </c>
      <c r="AG161" s="402">
        <v>2</v>
      </c>
    </row>
    <row r="162" spans="1:33" x14ac:dyDescent="0.15">
      <c r="A162" s="118">
        <v>109003</v>
      </c>
      <c r="B162" s="17" t="s">
        <v>822</v>
      </c>
      <c r="C162" s="17" t="s">
        <v>822</v>
      </c>
      <c r="D162" s="118" t="s">
        <v>33</v>
      </c>
      <c r="E162" s="118">
        <v>9</v>
      </c>
      <c r="F162" s="118" t="s">
        <v>812</v>
      </c>
      <c r="G162" s="118"/>
      <c r="H162" s="118" t="s">
        <v>35</v>
      </c>
      <c r="I162" s="118">
        <v>1</v>
      </c>
      <c r="J162" s="118">
        <v>1</v>
      </c>
      <c r="K162" s="118">
        <v>1</v>
      </c>
      <c r="L162" s="118">
        <v>3</v>
      </c>
      <c r="M162" s="118" t="s">
        <v>56</v>
      </c>
      <c r="N162" s="118" t="s">
        <v>57</v>
      </c>
      <c r="O162" s="118">
        <v>99</v>
      </c>
      <c r="P162" s="118">
        <v>0.8</v>
      </c>
      <c r="Q162" s="118">
        <v>0</v>
      </c>
      <c r="R162" s="118">
        <v>1</v>
      </c>
      <c r="S162" s="25" t="b">
        <v>1</v>
      </c>
      <c r="T162" s="118">
        <v>39</v>
      </c>
      <c r="U162" s="118">
        <v>585</v>
      </c>
      <c r="V162" s="118">
        <v>780</v>
      </c>
      <c r="W162" s="118">
        <v>0</v>
      </c>
      <c r="X162" s="118">
        <v>3</v>
      </c>
      <c r="Y162" s="118" t="s">
        <v>38</v>
      </c>
      <c r="Z162" s="388" t="s">
        <v>2998</v>
      </c>
      <c r="AA162" s="388" t="s">
        <v>2998</v>
      </c>
      <c r="AB162" s="25" t="s">
        <v>825</v>
      </c>
      <c r="AC162" s="118">
        <v>300000</v>
      </c>
      <c r="AD162" s="197">
        <v>1</v>
      </c>
      <c r="AE162" s="197">
        <v>1</v>
      </c>
      <c r="AF162">
        <v>0</v>
      </c>
      <c r="AG162" s="402">
        <v>3</v>
      </c>
    </row>
    <row r="163" spans="1:33" x14ac:dyDescent="0.15">
      <c r="A163" s="118">
        <v>109004</v>
      </c>
      <c r="B163" s="71" t="s">
        <v>827</v>
      </c>
      <c r="C163" s="71" t="s">
        <v>827</v>
      </c>
      <c r="D163" s="118" t="s">
        <v>33</v>
      </c>
      <c r="E163" s="118">
        <v>9</v>
      </c>
      <c r="F163" s="118" t="s">
        <v>812</v>
      </c>
      <c r="G163" s="118"/>
      <c r="H163" s="118" t="s">
        <v>35</v>
      </c>
      <c r="I163" s="118">
        <v>1</v>
      </c>
      <c r="J163" s="118">
        <v>1</v>
      </c>
      <c r="K163" s="118">
        <v>1</v>
      </c>
      <c r="L163" s="118">
        <v>3</v>
      </c>
      <c r="M163" s="118" t="s">
        <v>63</v>
      </c>
      <c r="N163" s="118" t="s">
        <v>64</v>
      </c>
      <c r="O163" s="118">
        <v>99</v>
      </c>
      <c r="P163" s="118">
        <v>0.8</v>
      </c>
      <c r="Q163" s="118">
        <v>0</v>
      </c>
      <c r="R163" s="118">
        <v>1</v>
      </c>
      <c r="S163" s="25" t="b">
        <v>1</v>
      </c>
      <c r="T163" s="118">
        <v>52</v>
      </c>
      <c r="U163" s="118">
        <v>780</v>
      </c>
      <c r="V163" s="118">
        <v>1040</v>
      </c>
      <c r="W163" s="118">
        <v>0</v>
      </c>
      <c r="X163" s="118">
        <v>4</v>
      </c>
      <c r="Y163" s="118" t="s">
        <v>38</v>
      </c>
      <c r="Z163" s="388" t="s">
        <v>2999</v>
      </c>
      <c r="AA163" s="388" t="s">
        <v>2999</v>
      </c>
      <c r="AB163" s="25" t="s">
        <v>830</v>
      </c>
      <c r="AC163" s="118">
        <v>200000</v>
      </c>
      <c r="AD163" s="197">
        <v>1</v>
      </c>
      <c r="AE163" s="197">
        <v>1</v>
      </c>
      <c r="AF163">
        <v>0</v>
      </c>
      <c r="AG163" s="402">
        <v>4</v>
      </c>
    </row>
    <row r="164" spans="1:33" x14ac:dyDescent="0.15">
      <c r="A164" s="118">
        <v>109005</v>
      </c>
      <c r="B164" s="17" t="s">
        <v>832</v>
      </c>
      <c r="C164" s="17" t="s">
        <v>832</v>
      </c>
      <c r="D164" s="118" t="s">
        <v>33</v>
      </c>
      <c r="E164" s="118">
        <v>9</v>
      </c>
      <c r="F164" s="118" t="s">
        <v>812</v>
      </c>
      <c r="G164" s="118"/>
      <c r="H164" s="118" t="s">
        <v>35</v>
      </c>
      <c r="I164" s="118">
        <v>1</v>
      </c>
      <c r="J164" s="118">
        <v>1</v>
      </c>
      <c r="K164" s="118">
        <v>1</v>
      </c>
      <c r="L164" s="118">
        <v>3</v>
      </c>
      <c r="M164" s="118" t="s">
        <v>70</v>
      </c>
      <c r="N164" s="118" t="s">
        <v>71</v>
      </c>
      <c r="O164" s="118">
        <v>99</v>
      </c>
      <c r="P164" s="118">
        <v>0.8</v>
      </c>
      <c r="Q164" s="118">
        <v>0</v>
      </c>
      <c r="R164" s="118">
        <v>1</v>
      </c>
      <c r="S164" s="25" t="b">
        <v>1</v>
      </c>
      <c r="T164" s="118">
        <v>65</v>
      </c>
      <c r="U164" s="118">
        <v>975</v>
      </c>
      <c r="V164" s="118">
        <v>1300</v>
      </c>
      <c r="W164" s="118">
        <v>0</v>
      </c>
      <c r="X164" s="118">
        <v>5</v>
      </c>
      <c r="Y164" s="118" t="s">
        <v>38</v>
      </c>
      <c r="Z164" s="388" t="s">
        <v>3000</v>
      </c>
      <c r="AA164" s="388" t="s">
        <v>3000</v>
      </c>
      <c r="AB164" s="118" t="s">
        <v>835</v>
      </c>
      <c r="AC164" s="118">
        <v>300000</v>
      </c>
      <c r="AD164" s="197">
        <v>1</v>
      </c>
      <c r="AE164" s="197">
        <v>1</v>
      </c>
      <c r="AF164">
        <v>0</v>
      </c>
      <c r="AG164" s="402">
        <v>5</v>
      </c>
    </row>
    <row r="165" spans="1:33" x14ac:dyDescent="0.15">
      <c r="A165" s="118">
        <v>109006</v>
      </c>
      <c r="B165" s="17" t="s">
        <v>837</v>
      </c>
      <c r="C165" s="17" t="s">
        <v>837</v>
      </c>
      <c r="D165" s="118" t="s">
        <v>33</v>
      </c>
      <c r="E165" s="118">
        <v>9</v>
      </c>
      <c r="F165" s="118" t="s">
        <v>812</v>
      </c>
      <c r="G165" s="118"/>
      <c r="H165" s="118" t="s">
        <v>35</v>
      </c>
      <c r="I165" s="118">
        <v>1</v>
      </c>
      <c r="J165" s="118">
        <v>1</v>
      </c>
      <c r="K165" s="118">
        <v>1</v>
      </c>
      <c r="L165" s="118">
        <v>3</v>
      </c>
      <c r="M165" s="118" t="s">
        <v>70</v>
      </c>
      <c r="N165" s="118" t="s">
        <v>77</v>
      </c>
      <c r="O165" s="118">
        <v>99</v>
      </c>
      <c r="P165" s="118">
        <v>0.8</v>
      </c>
      <c r="Q165" s="118">
        <v>0</v>
      </c>
      <c r="R165" s="118">
        <v>1</v>
      </c>
      <c r="S165" s="25" t="b">
        <v>1</v>
      </c>
      <c r="T165" s="118">
        <v>78</v>
      </c>
      <c r="U165" s="118">
        <v>1170</v>
      </c>
      <c r="V165" s="118">
        <v>1560</v>
      </c>
      <c r="W165" s="118">
        <v>0</v>
      </c>
      <c r="X165" s="118">
        <v>6</v>
      </c>
      <c r="Y165" s="118" t="s">
        <v>38</v>
      </c>
      <c r="Z165" s="388" t="s">
        <v>3001</v>
      </c>
      <c r="AA165" s="388" t="s">
        <v>3001</v>
      </c>
      <c r="AB165" s="118" t="s">
        <v>840</v>
      </c>
      <c r="AC165" s="118">
        <v>300000</v>
      </c>
      <c r="AD165" s="197">
        <v>1</v>
      </c>
      <c r="AE165" s="197">
        <v>1</v>
      </c>
      <c r="AF165">
        <v>0</v>
      </c>
      <c r="AG165" s="402">
        <v>6</v>
      </c>
    </row>
    <row r="166" spans="1:33" x14ac:dyDescent="0.15">
      <c r="A166" s="118">
        <v>109007</v>
      </c>
      <c r="B166" s="21" t="s">
        <v>842</v>
      </c>
      <c r="C166" s="21" t="s">
        <v>842</v>
      </c>
      <c r="D166" s="118" t="s">
        <v>33</v>
      </c>
      <c r="E166" s="118">
        <v>9</v>
      </c>
      <c r="F166" s="118" t="s">
        <v>812</v>
      </c>
      <c r="G166" s="118"/>
      <c r="H166" s="118" t="s">
        <v>35</v>
      </c>
      <c r="I166" s="118">
        <v>1</v>
      </c>
      <c r="J166" s="118">
        <v>1</v>
      </c>
      <c r="K166" s="118">
        <v>1</v>
      </c>
      <c r="L166" s="118">
        <v>3</v>
      </c>
      <c r="M166" s="118" t="s">
        <v>70</v>
      </c>
      <c r="N166" s="118" t="s">
        <v>83</v>
      </c>
      <c r="O166" s="118">
        <v>99</v>
      </c>
      <c r="P166" s="118">
        <v>0.8</v>
      </c>
      <c r="Q166" s="118">
        <v>0</v>
      </c>
      <c r="R166" s="118">
        <v>1</v>
      </c>
      <c r="S166" s="25" t="b">
        <v>1</v>
      </c>
      <c r="T166" s="118">
        <v>91</v>
      </c>
      <c r="U166" s="118">
        <v>1365</v>
      </c>
      <c r="V166" s="118">
        <v>1820</v>
      </c>
      <c r="W166" s="118">
        <v>0</v>
      </c>
      <c r="X166" s="118">
        <v>7</v>
      </c>
      <c r="Y166" s="118" t="s">
        <v>38</v>
      </c>
      <c r="Z166" s="388" t="s">
        <v>3002</v>
      </c>
      <c r="AA166" s="388" t="s">
        <v>3002</v>
      </c>
      <c r="AB166" s="118" t="s">
        <v>845</v>
      </c>
      <c r="AC166" s="118">
        <v>100000</v>
      </c>
      <c r="AD166" s="197">
        <v>1</v>
      </c>
      <c r="AE166" s="197">
        <v>1</v>
      </c>
      <c r="AF166">
        <v>0</v>
      </c>
      <c r="AG166" s="402">
        <v>7</v>
      </c>
    </row>
    <row r="167" spans="1:33" x14ac:dyDescent="0.15">
      <c r="A167" s="114">
        <v>109207</v>
      </c>
      <c r="B167" s="359" t="s">
        <v>847</v>
      </c>
      <c r="C167" s="359" t="s">
        <v>847</v>
      </c>
      <c r="D167" s="119" t="s">
        <v>33</v>
      </c>
      <c r="E167" s="119">
        <v>9</v>
      </c>
      <c r="F167" s="119" t="s">
        <v>812</v>
      </c>
      <c r="G167" s="118"/>
      <c r="H167" s="119" t="s">
        <v>51</v>
      </c>
      <c r="I167" s="119">
        <v>1</v>
      </c>
      <c r="J167" s="118">
        <v>4</v>
      </c>
      <c r="K167" s="119">
        <v>0</v>
      </c>
      <c r="L167" s="119">
        <v>3</v>
      </c>
      <c r="M167" s="119" t="s">
        <v>52</v>
      </c>
      <c r="N167" s="118" t="s">
        <v>83</v>
      </c>
      <c r="O167" s="119">
        <v>99</v>
      </c>
      <c r="P167" s="119">
        <v>0.8</v>
      </c>
      <c r="Q167" s="119">
        <v>0</v>
      </c>
      <c r="R167" s="119">
        <v>1</v>
      </c>
      <c r="S167" s="80" t="b">
        <v>1</v>
      </c>
      <c r="T167" s="119">
        <v>91</v>
      </c>
      <c r="U167" s="118">
        <v>1365</v>
      </c>
      <c r="V167" s="118">
        <v>1820</v>
      </c>
      <c r="W167" s="119">
        <v>0</v>
      </c>
      <c r="X167" s="119">
        <v>7</v>
      </c>
      <c r="Y167" s="119" t="s">
        <v>38</v>
      </c>
      <c r="Z167" s="388" t="s">
        <v>3002</v>
      </c>
      <c r="AA167" s="388" t="s">
        <v>3002</v>
      </c>
      <c r="AB167" s="119" t="s">
        <v>845</v>
      </c>
      <c r="AC167" s="119">
        <v>100000</v>
      </c>
      <c r="AD167" s="197">
        <v>1</v>
      </c>
      <c r="AE167" s="197">
        <v>1</v>
      </c>
      <c r="AF167">
        <v>0</v>
      </c>
      <c r="AG167" s="403">
        <v>7</v>
      </c>
    </row>
    <row r="168" spans="1:33" x14ac:dyDescent="0.15">
      <c r="A168" s="17">
        <v>109008</v>
      </c>
      <c r="B168" s="17" t="s">
        <v>850</v>
      </c>
      <c r="C168" s="17" t="s">
        <v>850</v>
      </c>
      <c r="D168" s="118" t="s">
        <v>33</v>
      </c>
      <c r="E168" s="118">
        <v>9</v>
      </c>
      <c r="F168" s="118" t="s">
        <v>812</v>
      </c>
      <c r="G168" s="118"/>
      <c r="H168" s="17" t="s">
        <v>35</v>
      </c>
      <c r="I168" s="118">
        <v>1</v>
      </c>
      <c r="J168" s="118">
        <v>1</v>
      </c>
      <c r="K168" s="118">
        <v>1</v>
      </c>
      <c r="L168" s="118">
        <v>3</v>
      </c>
      <c r="M168" s="118" t="s">
        <v>70</v>
      </c>
      <c r="N168" s="118" t="s">
        <v>89</v>
      </c>
      <c r="O168" s="118">
        <v>99</v>
      </c>
      <c r="P168" s="118">
        <v>0.8</v>
      </c>
      <c r="Q168" s="118">
        <v>0</v>
      </c>
      <c r="R168" s="118">
        <v>1</v>
      </c>
      <c r="S168" s="25" t="b">
        <v>1</v>
      </c>
      <c r="T168" s="118">
        <v>104</v>
      </c>
      <c r="U168" s="118">
        <v>1560</v>
      </c>
      <c r="V168" s="118">
        <v>2080</v>
      </c>
      <c r="W168" s="118">
        <v>0</v>
      </c>
      <c r="X168" s="118">
        <v>8</v>
      </c>
      <c r="Y168" s="118" t="s">
        <v>38</v>
      </c>
      <c r="Z168" s="388" t="s">
        <v>3003</v>
      </c>
      <c r="AA168" s="388" t="s">
        <v>3003</v>
      </c>
      <c r="AB168" s="118" t="s">
        <v>853</v>
      </c>
      <c r="AC168" s="118">
        <v>100000</v>
      </c>
      <c r="AD168" s="191">
        <v>1</v>
      </c>
      <c r="AE168" s="191">
        <v>1</v>
      </c>
      <c r="AF168">
        <v>0</v>
      </c>
      <c r="AG168" s="402">
        <v>8</v>
      </c>
    </row>
    <row r="169" spans="1:33" x14ac:dyDescent="0.15">
      <c r="A169" s="17">
        <v>109009</v>
      </c>
      <c r="B169" s="17" t="s">
        <v>855</v>
      </c>
      <c r="C169" s="17" t="s">
        <v>855</v>
      </c>
      <c r="D169" s="118" t="s">
        <v>33</v>
      </c>
      <c r="E169" s="118">
        <v>9</v>
      </c>
      <c r="F169" s="118" t="s">
        <v>812</v>
      </c>
      <c r="G169" s="118"/>
      <c r="H169" s="17" t="s">
        <v>35</v>
      </c>
      <c r="I169" s="118">
        <v>1</v>
      </c>
      <c r="J169" s="118">
        <v>1</v>
      </c>
      <c r="K169" s="118">
        <v>1</v>
      </c>
      <c r="L169" s="118">
        <v>3</v>
      </c>
      <c r="M169" s="118" t="s">
        <v>70</v>
      </c>
      <c r="N169" s="118" t="s">
        <v>95</v>
      </c>
      <c r="O169" s="118">
        <v>99</v>
      </c>
      <c r="P169" s="118">
        <v>0.8</v>
      </c>
      <c r="Q169" s="118">
        <v>0</v>
      </c>
      <c r="R169" s="118">
        <v>1</v>
      </c>
      <c r="S169" s="25" t="b">
        <v>1</v>
      </c>
      <c r="T169" s="118">
        <v>117</v>
      </c>
      <c r="U169" s="118">
        <v>1755</v>
      </c>
      <c r="V169" s="118">
        <v>2340</v>
      </c>
      <c r="W169" s="118">
        <v>0</v>
      </c>
      <c r="X169" s="118">
        <v>9</v>
      </c>
      <c r="Y169" s="118" t="s">
        <v>38</v>
      </c>
      <c r="Z169" s="388" t="s">
        <v>3004</v>
      </c>
      <c r="AA169" s="388" t="s">
        <v>3004</v>
      </c>
      <c r="AB169" s="118" t="s">
        <v>858</v>
      </c>
      <c r="AC169" s="118">
        <v>100000</v>
      </c>
      <c r="AD169" s="191">
        <v>1</v>
      </c>
      <c r="AE169" s="191">
        <v>1</v>
      </c>
      <c r="AF169">
        <v>0</v>
      </c>
      <c r="AG169" s="402">
        <v>9</v>
      </c>
    </row>
    <row r="170" spans="1:33" x14ac:dyDescent="0.15">
      <c r="A170" s="17">
        <v>109010</v>
      </c>
      <c r="B170" s="17" t="s">
        <v>860</v>
      </c>
      <c r="C170" s="17" t="s">
        <v>860</v>
      </c>
      <c r="D170" s="118" t="s">
        <v>33</v>
      </c>
      <c r="E170" s="118">
        <v>9</v>
      </c>
      <c r="F170" s="118" t="s">
        <v>812</v>
      </c>
      <c r="G170" s="118"/>
      <c r="H170" s="17" t="s">
        <v>35</v>
      </c>
      <c r="I170" s="118">
        <v>1</v>
      </c>
      <c r="J170" s="118">
        <v>1</v>
      </c>
      <c r="K170" s="118">
        <v>1</v>
      </c>
      <c r="L170" s="118">
        <v>3</v>
      </c>
      <c r="M170" s="118" t="s">
        <v>70</v>
      </c>
      <c r="N170" s="118" t="s">
        <v>101</v>
      </c>
      <c r="O170" s="118">
        <v>99</v>
      </c>
      <c r="P170" s="118">
        <v>0.8</v>
      </c>
      <c r="Q170" s="118">
        <v>0</v>
      </c>
      <c r="R170" s="118">
        <v>1</v>
      </c>
      <c r="S170" s="25" t="b">
        <v>1</v>
      </c>
      <c r="T170" s="118">
        <v>130</v>
      </c>
      <c r="U170" s="118">
        <v>1950</v>
      </c>
      <c r="V170" s="118">
        <v>2600</v>
      </c>
      <c r="W170" s="118">
        <v>0</v>
      </c>
      <c r="X170" s="118">
        <v>10</v>
      </c>
      <c r="Y170" s="118" t="s">
        <v>38</v>
      </c>
      <c r="Z170" s="388" t="s">
        <v>3005</v>
      </c>
      <c r="AA170" s="388" t="s">
        <v>3005</v>
      </c>
      <c r="AB170" s="118" t="s">
        <v>863</v>
      </c>
      <c r="AC170" s="118">
        <v>100000</v>
      </c>
      <c r="AD170" s="191">
        <v>1</v>
      </c>
      <c r="AE170" s="191">
        <v>1</v>
      </c>
      <c r="AF170">
        <v>0</v>
      </c>
      <c r="AG170" s="402">
        <v>10</v>
      </c>
    </row>
    <row r="171" spans="1:33" x14ac:dyDescent="0.15">
      <c r="A171" s="119">
        <v>109208</v>
      </c>
      <c r="B171" s="114" t="s">
        <v>865</v>
      </c>
      <c r="C171" s="114" t="s">
        <v>865</v>
      </c>
      <c r="D171" s="119" t="s">
        <v>33</v>
      </c>
      <c r="E171" s="119">
        <v>9</v>
      </c>
      <c r="F171" s="119" t="s">
        <v>812</v>
      </c>
      <c r="G171" s="119"/>
      <c r="H171" s="119" t="s">
        <v>51</v>
      </c>
      <c r="I171" s="119">
        <v>1</v>
      </c>
      <c r="J171" s="118">
        <v>4</v>
      </c>
      <c r="K171" s="119">
        <v>0</v>
      </c>
      <c r="L171" s="119">
        <v>3</v>
      </c>
      <c r="M171" s="119" t="s">
        <v>52</v>
      </c>
      <c r="N171" s="118" t="s">
        <v>89</v>
      </c>
      <c r="O171" s="119">
        <v>99</v>
      </c>
      <c r="P171" s="119">
        <v>0.8</v>
      </c>
      <c r="Q171" s="119">
        <v>0</v>
      </c>
      <c r="R171" s="119">
        <v>1</v>
      </c>
      <c r="S171" s="80" t="b">
        <v>1</v>
      </c>
      <c r="T171" s="119">
        <v>104</v>
      </c>
      <c r="U171" s="118">
        <v>1560</v>
      </c>
      <c r="V171" s="118">
        <v>2080</v>
      </c>
      <c r="W171" s="119">
        <v>0</v>
      </c>
      <c r="X171" s="119">
        <v>8</v>
      </c>
      <c r="Y171" s="119" t="s">
        <v>38</v>
      </c>
      <c r="Z171" s="388" t="s">
        <v>3003</v>
      </c>
      <c r="AA171" s="388" t="s">
        <v>3003</v>
      </c>
      <c r="AB171" s="80" t="s">
        <v>853</v>
      </c>
      <c r="AC171" s="119">
        <v>100000</v>
      </c>
      <c r="AD171" s="92">
        <v>1</v>
      </c>
      <c r="AE171" s="92">
        <v>1</v>
      </c>
      <c r="AF171">
        <v>0</v>
      </c>
      <c r="AG171" s="403">
        <v>8</v>
      </c>
    </row>
    <row r="172" spans="1:33" x14ac:dyDescent="0.15">
      <c r="A172" s="119">
        <v>109209</v>
      </c>
      <c r="B172" s="114" t="s">
        <v>868</v>
      </c>
      <c r="C172" s="114" t="s">
        <v>868</v>
      </c>
      <c r="D172" s="119" t="s">
        <v>33</v>
      </c>
      <c r="E172" s="119">
        <v>9</v>
      </c>
      <c r="F172" s="119" t="s">
        <v>812</v>
      </c>
      <c r="G172" s="119"/>
      <c r="H172" s="119" t="s">
        <v>51</v>
      </c>
      <c r="I172" s="119">
        <v>1</v>
      </c>
      <c r="J172" s="118">
        <v>4</v>
      </c>
      <c r="K172" s="119">
        <v>0</v>
      </c>
      <c r="L172" s="119">
        <v>3</v>
      </c>
      <c r="M172" s="119" t="s">
        <v>52</v>
      </c>
      <c r="N172" s="118" t="s">
        <v>95</v>
      </c>
      <c r="O172" s="119">
        <v>99</v>
      </c>
      <c r="P172" s="119">
        <v>0.8</v>
      </c>
      <c r="Q172" s="119">
        <v>0</v>
      </c>
      <c r="R172" s="119">
        <v>1</v>
      </c>
      <c r="S172" s="80" t="b">
        <v>1</v>
      </c>
      <c r="T172" s="119">
        <v>117</v>
      </c>
      <c r="U172" s="118">
        <v>1755</v>
      </c>
      <c r="V172" s="118">
        <v>2340</v>
      </c>
      <c r="W172" s="119">
        <v>0</v>
      </c>
      <c r="X172" s="119">
        <v>8</v>
      </c>
      <c r="Y172" s="119" t="s">
        <v>38</v>
      </c>
      <c r="Z172" s="388" t="s">
        <v>3004</v>
      </c>
      <c r="AA172" s="388" t="s">
        <v>3004</v>
      </c>
      <c r="AB172" s="80" t="s">
        <v>858</v>
      </c>
      <c r="AC172" s="119">
        <v>100000</v>
      </c>
      <c r="AD172" s="92">
        <v>1</v>
      </c>
      <c r="AE172" s="92">
        <v>1</v>
      </c>
      <c r="AF172">
        <v>0</v>
      </c>
      <c r="AG172" s="403">
        <v>9</v>
      </c>
    </row>
    <row r="173" spans="1:33" x14ac:dyDescent="0.15">
      <c r="A173" s="119">
        <v>109210</v>
      </c>
      <c r="B173" s="114" t="s">
        <v>871</v>
      </c>
      <c r="C173" s="114" t="s">
        <v>871</v>
      </c>
      <c r="D173" s="119" t="s">
        <v>33</v>
      </c>
      <c r="E173" s="119">
        <v>9</v>
      </c>
      <c r="F173" s="119" t="s">
        <v>812</v>
      </c>
      <c r="G173" s="119"/>
      <c r="H173" s="119" t="s">
        <v>51</v>
      </c>
      <c r="I173" s="119">
        <v>1</v>
      </c>
      <c r="J173" s="118">
        <v>4</v>
      </c>
      <c r="K173" s="119">
        <v>0</v>
      </c>
      <c r="L173" s="119">
        <v>3</v>
      </c>
      <c r="M173" s="119" t="s">
        <v>52</v>
      </c>
      <c r="N173" s="118" t="s">
        <v>101</v>
      </c>
      <c r="O173" s="119">
        <v>99</v>
      </c>
      <c r="P173" s="119">
        <v>0.8</v>
      </c>
      <c r="Q173" s="119">
        <v>0</v>
      </c>
      <c r="R173" s="119">
        <v>1</v>
      </c>
      <c r="S173" s="80" t="b">
        <v>1</v>
      </c>
      <c r="T173" s="119">
        <v>130</v>
      </c>
      <c r="U173" s="118">
        <v>1950</v>
      </c>
      <c r="V173" s="118">
        <v>2600</v>
      </c>
      <c r="W173" s="119">
        <v>0</v>
      </c>
      <c r="X173" s="119">
        <v>10</v>
      </c>
      <c r="Y173" s="119" t="s">
        <v>38</v>
      </c>
      <c r="Z173" s="388" t="s">
        <v>3005</v>
      </c>
      <c r="AA173" s="388" t="s">
        <v>3005</v>
      </c>
      <c r="AB173" s="80" t="s">
        <v>863</v>
      </c>
      <c r="AC173" s="119">
        <v>100000</v>
      </c>
      <c r="AD173" s="92">
        <v>1</v>
      </c>
      <c r="AE173" s="92">
        <v>1</v>
      </c>
      <c r="AF173">
        <v>0</v>
      </c>
      <c r="AG173" s="403">
        <v>10</v>
      </c>
    </row>
    <row r="174" spans="1:33" x14ac:dyDescent="0.15">
      <c r="A174" s="84">
        <v>109202</v>
      </c>
      <c r="B174" s="105" t="s">
        <v>874</v>
      </c>
      <c r="C174" s="105" t="s">
        <v>874</v>
      </c>
      <c r="D174" s="84" t="s">
        <v>33</v>
      </c>
      <c r="E174" s="84">
        <v>9</v>
      </c>
      <c r="F174" s="84" t="s">
        <v>812</v>
      </c>
      <c r="G174" s="118"/>
      <c r="H174" s="84" t="s">
        <v>107</v>
      </c>
      <c r="I174" s="84">
        <v>4</v>
      </c>
      <c r="J174" s="118">
        <v>4</v>
      </c>
      <c r="K174" s="84">
        <v>0</v>
      </c>
      <c r="L174" s="84">
        <v>3</v>
      </c>
      <c r="M174" s="84">
        <v>4</v>
      </c>
      <c r="N174" s="118" t="s">
        <v>45</v>
      </c>
      <c r="O174" s="84">
        <v>99</v>
      </c>
      <c r="P174" s="84">
        <v>0.8</v>
      </c>
      <c r="Q174" s="84">
        <v>0</v>
      </c>
      <c r="R174" s="84">
        <v>1</v>
      </c>
      <c r="S174" s="43" t="b">
        <v>1</v>
      </c>
      <c r="T174" s="84">
        <v>26</v>
      </c>
      <c r="U174" s="118">
        <v>390</v>
      </c>
      <c r="V174" s="118">
        <v>520</v>
      </c>
      <c r="W174" s="84">
        <v>0</v>
      </c>
      <c r="X174" s="84">
        <v>2</v>
      </c>
      <c r="Y174" s="84" t="s">
        <v>38</v>
      </c>
      <c r="Z174" s="388" t="s">
        <v>2894</v>
      </c>
      <c r="AA174" s="388" t="s">
        <v>2894</v>
      </c>
      <c r="AB174" s="43" t="s">
        <v>820</v>
      </c>
      <c r="AC174" s="84">
        <v>100000</v>
      </c>
      <c r="AD174" s="197">
        <v>1</v>
      </c>
      <c r="AE174" s="197">
        <v>1</v>
      </c>
      <c r="AF174">
        <v>0</v>
      </c>
      <c r="AG174" s="404">
        <v>2</v>
      </c>
    </row>
    <row r="175" spans="1:33" x14ac:dyDescent="0.15">
      <c r="A175" s="391">
        <v>109203</v>
      </c>
      <c r="B175" s="392" t="s">
        <v>877</v>
      </c>
      <c r="C175" s="392" t="s">
        <v>877</v>
      </c>
      <c r="D175" s="391" t="s">
        <v>33</v>
      </c>
      <c r="E175" s="391">
        <v>9</v>
      </c>
      <c r="F175" s="391" t="s">
        <v>812</v>
      </c>
      <c r="G175" s="118"/>
      <c r="H175" s="391" t="s">
        <v>112</v>
      </c>
      <c r="I175" s="391">
        <v>4</v>
      </c>
      <c r="J175" s="118">
        <v>4</v>
      </c>
      <c r="K175" s="391">
        <v>0</v>
      </c>
      <c r="L175" s="391">
        <v>3</v>
      </c>
      <c r="M175" s="391">
        <v>4</v>
      </c>
      <c r="N175" s="118" t="s">
        <v>57</v>
      </c>
      <c r="O175" s="391">
        <v>99</v>
      </c>
      <c r="P175" s="391">
        <v>0.8</v>
      </c>
      <c r="Q175" s="391">
        <v>0</v>
      </c>
      <c r="R175" s="391">
        <v>1</v>
      </c>
      <c r="S175" s="397" t="b">
        <v>1</v>
      </c>
      <c r="T175" s="391">
        <v>39</v>
      </c>
      <c r="U175" s="118">
        <v>585</v>
      </c>
      <c r="V175" s="118">
        <v>780</v>
      </c>
      <c r="W175" s="391">
        <v>0</v>
      </c>
      <c r="X175" s="391">
        <v>3</v>
      </c>
      <c r="Y175" s="391" t="s">
        <v>38</v>
      </c>
      <c r="Z175" s="388" t="s">
        <v>3006</v>
      </c>
      <c r="AA175" s="388" t="s">
        <v>3006</v>
      </c>
      <c r="AB175" s="397" t="s">
        <v>825</v>
      </c>
      <c r="AC175" s="391">
        <v>100000</v>
      </c>
      <c r="AD175" s="197">
        <v>1</v>
      </c>
      <c r="AE175" s="197">
        <v>1</v>
      </c>
      <c r="AF175">
        <v>0</v>
      </c>
      <c r="AG175" s="405">
        <v>3</v>
      </c>
    </row>
    <row r="176" spans="1:33" s="388" customFormat="1" x14ac:dyDescent="0.15">
      <c r="A176" s="391">
        <v>109204</v>
      </c>
      <c r="B176" s="392" t="s">
        <v>881</v>
      </c>
      <c r="C176" s="392" t="s">
        <v>881</v>
      </c>
      <c r="D176" s="391" t="s">
        <v>33</v>
      </c>
      <c r="E176" s="391">
        <v>9</v>
      </c>
      <c r="F176" s="391" t="s">
        <v>812</v>
      </c>
      <c r="G176" s="118"/>
      <c r="H176" s="391" t="s">
        <v>112</v>
      </c>
      <c r="I176" s="391">
        <v>5</v>
      </c>
      <c r="J176" s="118">
        <v>5</v>
      </c>
      <c r="K176" s="391">
        <v>0</v>
      </c>
      <c r="L176" s="391">
        <v>3</v>
      </c>
      <c r="M176" s="391">
        <v>5</v>
      </c>
      <c r="N176" s="118" t="s">
        <v>64</v>
      </c>
      <c r="O176" s="391">
        <v>99</v>
      </c>
      <c r="P176" s="391">
        <v>0.8</v>
      </c>
      <c r="Q176" s="391">
        <v>0</v>
      </c>
      <c r="R176" s="391">
        <v>1</v>
      </c>
      <c r="S176" s="397" t="b">
        <v>1</v>
      </c>
      <c r="T176" s="391">
        <v>52</v>
      </c>
      <c r="U176" s="118">
        <v>780</v>
      </c>
      <c r="V176" s="118">
        <v>1040</v>
      </c>
      <c r="W176" s="391">
        <v>0</v>
      </c>
      <c r="X176" s="391">
        <v>4</v>
      </c>
      <c r="Y176" s="391" t="s">
        <v>38</v>
      </c>
      <c r="Z176" s="388" t="s">
        <v>3007</v>
      </c>
      <c r="AA176" s="388" t="s">
        <v>3007</v>
      </c>
      <c r="AB176" s="397" t="s">
        <v>884</v>
      </c>
      <c r="AC176" s="391">
        <v>100000</v>
      </c>
      <c r="AD176" s="197">
        <v>1</v>
      </c>
      <c r="AE176" s="197">
        <v>1</v>
      </c>
      <c r="AF176">
        <v>0</v>
      </c>
      <c r="AG176" s="405">
        <v>4</v>
      </c>
    </row>
    <row r="177" spans="1:33" x14ac:dyDescent="0.15">
      <c r="A177" s="118">
        <v>110001</v>
      </c>
      <c r="B177" s="17" t="s">
        <v>886</v>
      </c>
      <c r="C177" s="17" t="s">
        <v>886</v>
      </c>
      <c r="D177" s="118" t="s">
        <v>33</v>
      </c>
      <c r="E177" s="118">
        <v>10</v>
      </c>
      <c r="F177" s="118" t="s">
        <v>887</v>
      </c>
      <c r="G177" s="118" t="s">
        <v>888</v>
      </c>
      <c r="H177" s="118" t="s">
        <v>35</v>
      </c>
      <c r="I177" s="118">
        <v>1</v>
      </c>
      <c r="J177" s="118">
        <v>1</v>
      </c>
      <c r="K177" s="118">
        <v>1</v>
      </c>
      <c r="L177" s="118">
        <v>3</v>
      </c>
      <c r="M177" s="118" t="s">
        <v>36</v>
      </c>
      <c r="N177" s="118" t="s">
        <v>37</v>
      </c>
      <c r="O177" s="118">
        <v>90</v>
      </c>
      <c r="P177" s="118">
        <v>0.9</v>
      </c>
      <c r="Q177" s="118">
        <v>0</v>
      </c>
      <c r="R177" s="118">
        <v>1</v>
      </c>
      <c r="S177" s="25" t="b">
        <v>1</v>
      </c>
      <c r="T177" s="118">
        <v>13</v>
      </c>
      <c r="U177" s="118">
        <v>195</v>
      </c>
      <c r="V177" s="118">
        <v>260</v>
      </c>
      <c r="W177" s="118">
        <v>0</v>
      </c>
      <c r="X177" s="118">
        <v>1</v>
      </c>
      <c r="Y177" s="118" t="s">
        <v>38</v>
      </c>
      <c r="Z177" s="388" t="s">
        <v>3008</v>
      </c>
      <c r="AA177" s="388" t="s">
        <v>3008</v>
      </c>
      <c r="AB177" s="25" t="s">
        <v>891</v>
      </c>
      <c r="AC177" s="118">
        <v>200000</v>
      </c>
      <c r="AD177" s="197">
        <v>1</v>
      </c>
      <c r="AE177" s="197">
        <v>1</v>
      </c>
      <c r="AF177">
        <v>0</v>
      </c>
      <c r="AG177" s="402">
        <v>1</v>
      </c>
    </row>
    <row r="178" spans="1:33" x14ac:dyDescent="0.15">
      <c r="A178" s="118">
        <v>110002</v>
      </c>
      <c r="B178" s="17" t="s">
        <v>893</v>
      </c>
      <c r="C178" s="17" t="s">
        <v>893</v>
      </c>
      <c r="D178" s="118" t="s">
        <v>33</v>
      </c>
      <c r="E178" s="118">
        <v>10</v>
      </c>
      <c r="F178" s="118" t="s">
        <v>887</v>
      </c>
      <c r="G178" s="118" t="s">
        <v>894</v>
      </c>
      <c r="H178" s="118" t="s">
        <v>35</v>
      </c>
      <c r="I178" s="118">
        <v>1</v>
      </c>
      <c r="J178" s="118">
        <v>1</v>
      </c>
      <c r="K178" s="118">
        <v>1</v>
      </c>
      <c r="L178" s="118">
        <v>3</v>
      </c>
      <c r="M178" s="118" t="s">
        <v>44</v>
      </c>
      <c r="N178" s="118" t="s">
        <v>45</v>
      </c>
      <c r="O178" s="118">
        <v>90</v>
      </c>
      <c r="P178" s="118">
        <v>0.9</v>
      </c>
      <c r="Q178" s="118">
        <v>0</v>
      </c>
      <c r="R178" s="118">
        <v>1</v>
      </c>
      <c r="S178" s="25" t="b">
        <v>1</v>
      </c>
      <c r="T178" s="118">
        <v>26</v>
      </c>
      <c r="U178" s="118">
        <v>390</v>
      </c>
      <c r="V178" s="118">
        <v>520</v>
      </c>
      <c r="W178" s="118">
        <v>0</v>
      </c>
      <c r="X178" s="118">
        <v>2</v>
      </c>
      <c r="Y178" s="118" t="s">
        <v>38</v>
      </c>
      <c r="Z178" s="388" t="s">
        <v>3009</v>
      </c>
      <c r="AA178" s="388" t="s">
        <v>3009</v>
      </c>
      <c r="AB178" s="25" t="s">
        <v>897</v>
      </c>
      <c r="AC178" s="118">
        <v>100000</v>
      </c>
      <c r="AD178" s="197">
        <v>1</v>
      </c>
      <c r="AE178" s="197">
        <v>1</v>
      </c>
      <c r="AF178">
        <v>0</v>
      </c>
      <c r="AG178" s="402">
        <v>2</v>
      </c>
    </row>
    <row r="179" spans="1:33" x14ac:dyDescent="0.15">
      <c r="A179" s="118">
        <v>110003</v>
      </c>
      <c r="B179" s="17" t="s">
        <v>899</v>
      </c>
      <c r="C179" s="17" t="s">
        <v>899</v>
      </c>
      <c r="D179" s="118" t="s">
        <v>33</v>
      </c>
      <c r="E179" s="118">
        <v>10</v>
      </c>
      <c r="F179" s="118" t="s">
        <v>887</v>
      </c>
      <c r="G179" s="118" t="s">
        <v>900</v>
      </c>
      <c r="H179" s="118" t="s">
        <v>35</v>
      </c>
      <c r="I179" s="118">
        <v>1</v>
      </c>
      <c r="J179" s="118">
        <v>1</v>
      </c>
      <c r="K179" s="118">
        <v>1</v>
      </c>
      <c r="L179" s="118">
        <v>3</v>
      </c>
      <c r="M179" s="118" t="s">
        <v>56</v>
      </c>
      <c r="N179" s="118" t="s">
        <v>57</v>
      </c>
      <c r="O179" s="118">
        <v>90</v>
      </c>
      <c r="P179" s="118">
        <v>0.9</v>
      </c>
      <c r="Q179" s="118">
        <v>0</v>
      </c>
      <c r="R179" s="118">
        <v>1</v>
      </c>
      <c r="S179" s="25" t="b">
        <v>1</v>
      </c>
      <c r="T179" s="118">
        <v>39</v>
      </c>
      <c r="U179" s="118">
        <v>585</v>
      </c>
      <c r="V179" s="118">
        <v>780</v>
      </c>
      <c r="W179" s="118">
        <v>0</v>
      </c>
      <c r="X179" s="118">
        <v>3</v>
      </c>
      <c r="Y179" s="118" t="s">
        <v>38</v>
      </c>
      <c r="Z179" s="388" t="s">
        <v>3010</v>
      </c>
      <c r="AA179" s="388" t="s">
        <v>3010</v>
      </c>
      <c r="AB179" s="25" t="s">
        <v>903</v>
      </c>
      <c r="AC179" s="118">
        <v>100000</v>
      </c>
      <c r="AD179" s="197">
        <v>1</v>
      </c>
      <c r="AE179" s="197">
        <v>1</v>
      </c>
      <c r="AF179">
        <v>0</v>
      </c>
      <c r="AG179" s="402">
        <v>3</v>
      </c>
    </row>
    <row r="180" spans="1:33" x14ac:dyDescent="0.15">
      <c r="A180" s="118">
        <v>110004</v>
      </c>
      <c r="B180" s="71" t="s">
        <v>905</v>
      </c>
      <c r="C180" s="71" t="s">
        <v>905</v>
      </c>
      <c r="D180" s="118" t="s">
        <v>33</v>
      </c>
      <c r="E180" s="118">
        <v>10</v>
      </c>
      <c r="F180" s="118" t="s">
        <v>887</v>
      </c>
      <c r="G180" s="118" t="s">
        <v>906</v>
      </c>
      <c r="H180" s="118" t="s">
        <v>35</v>
      </c>
      <c r="I180" s="118">
        <v>1</v>
      </c>
      <c r="J180" s="118">
        <v>1</v>
      </c>
      <c r="K180" s="118">
        <v>1</v>
      </c>
      <c r="L180" s="118">
        <v>3</v>
      </c>
      <c r="M180" s="118" t="s">
        <v>63</v>
      </c>
      <c r="N180" s="118" t="s">
        <v>64</v>
      </c>
      <c r="O180" s="118">
        <v>90</v>
      </c>
      <c r="P180" s="118">
        <v>0.9</v>
      </c>
      <c r="Q180" s="118">
        <v>0</v>
      </c>
      <c r="R180" s="118">
        <v>1</v>
      </c>
      <c r="S180" s="25" t="b">
        <v>1</v>
      </c>
      <c r="T180" s="118">
        <v>52</v>
      </c>
      <c r="U180" s="118">
        <v>780</v>
      </c>
      <c r="V180" s="118">
        <v>1040</v>
      </c>
      <c r="W180" s="118">
        <v>0</v>
      </c>
      <c r="X180" s="118">
        <v>4</v>
      </c>
      <c r="Y180" s="118" t="s">
        <v>38</v>
      </c>
      <c r="Z180" s="388" t="s">
        <v>3011</v>
      </c>
      <c r="AA180" s="388" t="s">
        <v>3011</v>
      </c>
      <c r="AB180" s="25" t="s">
        <v>909</v>
      </c>
      <c r="AC180" s="118">
        <v>100000</v>
      </c>
      <c r="AD180" s="197">
        <v>1</v>
      </c>
      <c r="AE180" s="197">
        <v>1</v>
      </c>
      <c r="AF180">
        <v>0</v>
      </c>
      <c r="AG180" s="402">
        <v>4</v>
      </c>
    </row>
    <row r="181" spans="1:33" x14ac:dyDescent="0.15">
      <c r="A181" s="118">
        <v>110005</v>
      </c>
      <c r="B181" s="17" t="s">
        <v>911</v>
      </c>
      <c r="C181" s="17" t="s">
        <v>911</v>
      </c>
      <c r="D181" s="118" t="s">
        <v>33</v>
      </c>
      <c r="E181" s="118">
        <v>10</v>
      </c>
      <c r="F181" s="118" t="s">
        <v>887</v>
      </c>
      <c r="G181" s="118" t="s">
        <v>912</v>
      </c>
      <c r="H181" s="118" t="s">
        <v>35</v>
      </c>
      <c r="I181" s="118">
        <v>1</v>
      </c>
      <c r="J181" s="118">
        <v>1</v>
      </c>
      <c r="K181" s="118">
        <v>1</v>
      </c>
      <c r="L181" s="118">
        <v>3</v>
      </c>
      <c r="M181" s="118" t="s">
        <v>70</v>
      </c>
      <c r="N181" s="118" t="s">
        <v>71</v>
      </c>
      <c r="O181" s="118">
        <v>90</v>
      </c>
      <c r="P181" s="118">
        <v>0.9</v>
      </c>
      <c r="Q181" s="118">
        <v>0</v>
      </c>
      <c r="R181" s="118">
        <v>1</v>
      </c>
      <c r="S181" s="25" t="b">
        <v>1</v>
      </c>
      <c r="T181" s="118">
        <v>65</v>
      </c>
      <c r="U181" s="118">
        <v>975</v>
      </c>
      <c r="V181" s="118">
        <v>1300</v>
      </c>
      <c r="W181" s="118">
        <v>0</v>
      </c>
      <c r="X181" s="118">
        <v>5</v>
      </c>
      <c r="Y181" s="118" t="s">
        <v>38</v>
      </c>
      <c r="Z181" s="388" t="s">
        <v>3012</v>
      </c>
      <c r="AA181" s="388" t="s">
        <v>3012</v>
      </c>
      <c r="AB181" s="118" t="s">
        <v>915</v>
      </c>
      <c r="AC181" s="118">
        <v>300000</v>
      </c>
      <c r="AD181" s="197">
        <v>1</v>
      </c>
      <c r="AE181" s="197">
        <v>1</v>
      </c>
      <c r="AF181">
        <v>0</v>
      </c>
      <c r="AG181" s="402">
        <v>5</v>
      </c>
    </row>
    <row r="182" spans="1:33" x14ac:dyDescent="0.15">
      <c r="A182" s="118">
        <v>110006</v>
      </c>
      <c r="B182" s="17" t="s">
        <v>917</v>
      </c>
      <c r="C182" s="17" t="s">
        <v>917</v>
      </c>
      <c r="D182" s="118" t="s">
        <v>33</v>
      </c>
      <c r="E182" s="118">
        <v>10</v>
      </c>
      <c r="F182" s="118" t="s">
        <v>887</v>
      </c>
      <c r="G182" s="118" t="s">
        <v>918</v>
      </c>
      <c r="H182" s="118" t="s">
        <v>35</v>
      </c>
      <c r="I182" s="118">
        <v>1</v>
      </c>
      <c r="J182" s="118">
        <v>1</v>
      </c>
      <c r="K182" s="118">
        <v>1</v>
      </c>
      <c r="L182" s="118">
        <v>3</v>
      </c>
      <c r="M182" s="118" t="s">
        <v>70</v>
      </c>
      <c r="N182" s="118" t="s">
        <v>77</v>
      </c>
      <c r="O182" s="118">
        <v>90</v>
      </c>
      <c r="P182" s="118">
        <v>0.9</v>
      </c>
      <c r="Q182" s="118">
        <v>0</v>
      </c>
      <c r="R182" s="118">
        <v>1</v>
      </c>
      <c r="S182" s="25" t="b">
        <v>1</v>
      </c>
      <c r="T182" s="118">
        <v>78</v>
      </c>
      <c r="U182" s="118">
        <v>1170</v>
      </c>
      <c r="V182" s="118">
        <v>1560</v>
      </c>
      <c r="W182" s="118">
        <v>0</v>
      </c>
      <c r="X182" s="118">
        <v>6</v>
      </c>
      <c r="Y182" s="118" t="s">
        <v>38</v>
      </c>
      <c r="Z182" s="388" t="s">
        <v>3013</v>
      </c>
      <c r="AA182" s="388" t="s">
        <v>3013</v>
      </c>
      <c r="AB182" s="118" t="s">
        <v>921</v>
      </c>
      <c r="AC182" s="118">
        <v>300000</v>
      </c>
      <c r="AD182" s="197">
        <v>1</v>
      </c>
      <c r="AE182" s="197">
        <v>1</v>
      </c>
      <c r="AF182">
        <v>0</v>
      </c>
      <c r="AG182" s="402">
        <v>6</v>
      </c>
    </row>
    <row r="183" spans="1:33" x14ac:dyDescent="0.15">
      <c r="A183" s="118">
        <v>110007</v>
      </c>
      <c r="B183" s="21" t="s">
        <v>923</v>
      </c>
      <c r="C183" s="21" t="s">
        <v>923</v>
      </c>
      <c r="D183" s="118" t="s">
        <v>33</v>
      </c>
      <c r="E183" s="118">
        <v>10</v>
      </c>
      <c r="F183" s="118" t="s">
        <v>887</v>
      </c>
      <c r="G183" s="118" t="s">
        <v>924</v>
      </c>
      <c r="H183" s="118" t="s">
        <v>35</v>
      </c>
      <c r="I183" s="118">
        <v>1</v>
      </c>
      <c r="J183" s="118">
        <v>1</v>
      </c>
      <c r="K183" s="118">
        <v>1</v>
      </c>
      <c r="L183" s="118">
        <v>3</v>
      </c>
      <c r="M183" s="118" t="s">
        <v>70</v>
      </c>
      <c r="N183" s="118" t="s">
        <v>83</v>
      </c>
      <c r="O183" s="118">
        <v>90</v>
      </c>
      <c r="P183" s="118">
        <v>0.9</v>
      </c>
      <c r="Q183" s="118">
        <v>0</v>
      </c>
      <c r="R183" s="118">
        <v>1</v>
      </c>
      <c r="S183" s="25" t="b">
        <v>1</v>
      </c>
      <c r="T183" s="118">
        <v>91</v>
      </c>
      <c r="U183" s="118">
        <v>1365</v>
      </c>
      <c r="V183" s="118">
        <v>1820</v>
      </c>
      <c r="W183" s="118">
        <v>0</v>
      </c>
      <c r="X183" s="118">
        <v>7</v>
      </c>
      <c r="Y183" s="118" t="s">
        <v>38</v>
      </c>
      <c r="Z183" s="388" t="s">
        <v>3014</v>
      </c>
      <c r="AA183" s="388" t="s">
        <v>3014</v>
      </c>
      <c r="AB183" s="118" t="s">
        <v>927</v>
      </c>
      <c r="AC183" s="118">
        <v>100000</v>
      </c>
      <c r="AD183" s="197">
        <v>1</v>
      </c>
      <c r="AE183" s="197">
        <v>1</v>
      </c>
      <c r="AF183">
        <v>0</v>
      </c>
      <c r="AG183" s="402">
        <v>7</v>
      </c>
    </row>
    <row r="184" spans="1:33" x14ac:dyDescent="0.15">
      <c r="A184" s="114">
        <v>110207</v>
      </c>
      <c r="B184" s="359" t="s">
        <v>929</v>
      </c>
      <c r="C184" s="359" t="s">
        <v>929</v>
      </c>
      <c r="D184" s="119" t="s">
        <v>33</v>
      </c>
      <c r="E184" s="119">
        <v>10</v>
      </c>
      <c r="F184" s="119" t="s">
        <v>887</v>
      </c>
      <c r="G184" s="118" t="s">
        <v>924</v>
      </c>
      <c r="H184" s="119" t="s">
        <v>51</v>
      </c>
      <c r="I184" s="119">
        <v>1</v>
      </c>
      <c r="J184" s="118">
        <v>4</v>
      </c>
      <c r="K184" s="119">
        <v>0</v>
      </c>
      <c r="L184" s="119">
        <v>3</v>
      </c>
      <c r="M184" s="119" t="s">
        <v>70</v>
      </c>
      <c r="N184" s="118" t="s">
        <v>83</v>
      </c>
      <c r="O184" s="119">
        <v>90</v>
      </c>
      <c r="P184" s="119">
        <v>0.9</v>
      </c>
      <c r="Q184" s="119">
        <v>0</v>
      </c>
      <c r="R184" s="119">
        <v>1</v>
      </c>
      <c r="S184" s="80" t="b">
        <v>1</v>
      </c>
      <c r="T184" s="119">
        <v>91</v>
      </c>
      <c r="U184" s="118">
        <v>1365</v>
      </c>
      <c r="V184" s="118">
        <v>1820</v>
      </c>
      <c r="W184" s="119">
        <v>0</v>
      </c>
      <c r="X184" s="119">
        <v>7</v>
      </c>
      <c r="Y184" s="119" t="s">
        <v>38</v>
      </c>
      <c r="Z184" s="388" t="s">
        <v>3014</v>
      </c>
      <c r="AA184" s="388" t="s">
        <v>3014</v>
      </c>
      <c r="AB184" s="119" t="s">
        <v>927</v>
      </c>
      <c r="AC184" s="119">
        <v>100000</v>
      </c>
      <c r="AD184" s="197">
        <v>1</v>
      </c>
      <c r="AE184" s="197">
        <v>1</v>
      </c>
      <c r="AF184">
        <v>0</v>
      </c>
      <c r="AG184" s="403">
        <v>7</v>
      </c>
    </row>
    <row r="185" spans="1:33" x14ac:dyDescent="0.15">
      <c r="A185" s="17">
        <v>110008</v>
      </c>
      <c r="B185" s="17" t="s">
        <v>932</v>
      </c>
      <c r="C185" s="17" t="s">
        <v>932</v>
      </c>
      <c r="D185" s="118" t="s">
        <v>33</v>
      </c>
      <c r="E185" s="118">
        <v>10</v>
      </c>
      <c r="F185" s="118" t="s">
        <v>887</v>
      </c>
      <c r="G185" s="118" t="s">
        <v>933</v>
      </c>
      <c r="H185" s="17" t="s">
        <v>35</v>
      </c>
      <c r="I185" s="118">
        <v>1</v>
      </c>
      <c r="J185" s="118">
        <v>1</v>
      </c>
      <c r="K185" s="118">
        <v>1</v>
      </c>
      <c r="L185" s="118">
        <v>3</v>
      </c>
      <c r="M185" s="118" t="s">
        <v>70</v>
      </c>
      <c r="N185" s="118" t="s">
        <v>89</v>
      </c>
      <c r="O185" s="118">
        <v>90</v>
      </c>
      <c r="P185" s="118">
        <v>0.9</v>
      </c>
      <c r="Q185" s="118">
        <v>0</v>
      </c>
      <c r="R185" s="118">
        <v>1</v>
      </c>
      <c r="S185" s="25" t="b">
        <v>1</v>
      </c>
      <c r="T185" s="118">
        <v>104</v>
      </c>
      <c r="U185" s="118">
        <v>1560</v>
      </c>
      <c r="V185" s="118">
        <v>2080</v>
      </c>
      <c r="W185" s="118">
        <v>0</v>
      </c>
      <c r="X185" s="118">
        <v>8</v>
      </c>
      <c r="Y185" s="118" t="s">
        <v>38</v>
      </c>
      <c r="Z185" s="388" t="s">
        <v>3015</v>
      </c>
      <c r="AA185" s="388" t="s">
        <v>3015</v>
      </c>
      <c r="AB185" s="415" t="s">
        <v>936</v>
      </c>
      <c r="AC185" s="118">
        <v>100000</v>
      </c>
      <c r="AD185" s="191">
        <v>1</v>
      </c>
      <c r="AE185" s="191">
        <v>1</v>
      </c>
      <c r="AF185">
        <v>0</v>
      </c>
      <c r="AG185" s="402">
        <v>8</v>
      </c>
    </row>
    <row r="186" spans="1:33" x14ac:dyDescent="0.15">
      <c r="A186" s="17">
        <v>110009</v>
      </c>
      <c r="B186" s="17" t="s">
        <v>938</v>
      </c>
      <c r="C186" s="17" t="s">
        <v>938</v>
      </c>
      <c r="D186" s="118" t="s">
        <v>33</v>
      </c>
      <c r="E186" s="118">
        <v>10</v>
      </c>
      <c r="F186" s="118" t="s">
        <v>887</v>
      </c>
      <c r="G186" s="118" t="s">
        <v>939</v>
      </c>
      <c r="H186" s="17" t="s">
        <v>35</v>
      </c>
      <c r="I186" s="118">
        <v>1</v>
      </c>
      <c r="J186" s="118">
        <v>1</v>
      </c>
      <c r="K186" s="118">
        <v>1</v>
      </c>
      <c r="L186" s="118">
        <v>3</v>
      </c>
      <c r="M186" s="118" t="s">
        <v>70</v>
      </c>
      <c r="N186" s="118" t="s">
        <v>95</v>
      </c>
      <c r="O186" s="118">
        <v>90</v>
      </c>
      <c r="P186" s="118">
        <v>0.9</v>
      </c>
      <c r="Q186" s="118">
        <v>0</v>
      </c>
      <c r="R186" s="118">
        <v>1</v>
      </c>
      <c r="S186" s="25" t="b">
        <v>1</v>
      </c>
      <c r="T186" s="118">
        <v>117</v>
      </c>
      <c r="U186" s="118">
        <v>1755</v>
      </c>
      <c r="V186" s="118">
        <v>2340</v>
      </c>
      <c r="W186" s="118">
        <v>0</v>
      </c>
      <c r="X186" s="118">
        <v>9</v>
      </c>
      <c r="Y186" s="118" t="s">
        <v>38</v>
      </c>
      <c r="Z186" s="388" t="s">
        <v>3016</v>
      </c>
      <c r="AA186" s="388" t="s">
        <v>3016</v>
      </c>
      <c r="AB186" s="415" t="s">
        <v>942</v>
      </c>
      <c r="AC186" s="118">
        <v>100000</v>
      </c>
      <c r="AD186" s="191">
        <v>1</v>
      </c>
      <c r="AE186" s="191">
        <v>1</v>
      </c>
      <c r="AF186">
        <v>0</v>
      </c>
      <c r="AG186" s="402">
        <v>9</v>
      </c>
    </row>
    <row r="187" spans="1:33" x14ac:dyDescent="0.15">
      <c r="A187" s="17">
        <v>110010</v>
      </c>
      <c r="B187" s="17" t="s">
        <v>944</v>
      </c>
      <c r="C187" s="17" t="s">
        <v>944</v>
      </c>
      <c r="D187" s="118" t="s">
        <v>33</v>
      </c>
      <c r="E187" s="118">
        <v>10</v>
      </c>
      <c r="F187" s="118" t="s">
        <v>887</v>
      </c>
      <c r="G187" s="118" t="s">
        <v>945</v>
      </c>
      <c r="H187" s="17" t="s">
        <v>35</v>
      </c>
      <c r="I187" s="118">
        <v>1</v>
      </c>
      <c r="J187" s="118">
        <v>1</v>
      </c>
      <c r="K187" s="118">
        <v>1</v>
      </c>
      <c r="L187" s="118">
        <v>3</v>
      </c>
      <c r="M187" s="118" t="s">
        <v>70</v>
      </c>
      <c r="N187" s="118" t="s">
        <v>101</v>
      </c>
      <c r="O187" s="118">
        <v>90</v>
      </c>
      <c r="P187" s="118">
        <v>0.9</v>
      </c>
      <c r="Q187" s="118">
        <v>0</v>
      </c>
      <c r="R187" s="118">
        <v>1</v>
      </c>
      <c r="S187" s="25" t="b">
        <v>1</v>
      </c>
      <c r="T187" s="118">
        <v>130</v>
      </c>
      <c r="U187" s="118">
        <v>1950</v>
      </c>
      <c r="V187" s="118">
        <v>2600</v>
      </c>
      <c r="W187" s="118">
        <v>0</v>
      </c>
      <c r="X187" s="118">
        <v>10</v>
      </c>
      <c r="Y187" s="118" t="s">
        <v>38</v>
      </c>
      <c r="Z187" s="388" t="s">
        <v>3017</v>
      </c>
      <c r="AA187" s="388" t="s">
        <v>3017</v>
      </c>
      <c r="AB187" s="415" t="s">
        <v>948</v>
      </c>
      <c r="AC187" s="118">
        <v>100000</v>
      </c>
      <c r="AD187" s="191">
        <v>1</v>
      </c>
      <c r="AE187" s="191">
        <v>1</v>
      </c>
      <c r="AF187">
        <v>0</v>
      </c>
      <c r="AG187" s="402">
        <v>10</v>
      </c>
    </row>
    <row r="188" spans="1:33" x14ac:dyDescent="0.15">
      <c r="A188" s="119">
        <v>110208</v>
      </c>
      <c r="B188" s="114" t="s">
        <v>950</v>
      </c>
      <c r="C188" s="114" t="s">
        <v>950</v>
      </c>
      <c r="D188" s="119" t="s">
        <v>33</v>
      </c>
      <c r="E188" s="119">
        <v>10</v>
      </c>
      <c r="F188" s="119" t="s">
        <v>887</v>
      </c>
      <c r="G188" s="119" t="s">
        <v>933</v>
      </c>
      <c r="H188" s="119" t="s">
        <v>51</v>
      </c>
      <c r="I188" s="119">
        <v>1</v>
      </c>
      <c r="J188" s="118">
        <v>4</v>
      </c>
      <c r="K188" s="119">
        <v>0</v>
      </c>
      <c r="L188" s="119">
        <v>3</v>
      </c>
      <c r="M188" s="119" t="s">
        <v>52</v>
      </c>
      <c r="N188" s="118" t="s">
        <v>89</v>
      </c>
      <c r="O188" s="119">
        <v>90</v>
      </c>
      <c r="P188" s="119">
        <v>0.9</v>
      </c>
      <c r="Q188" s="119">
        <v>0</v>
      </c>
      <c r="R188" s="119">
        <v>1</v>
      </c>
      <c r="S188" s="80" t="b">
        <v>1</v>
      </c>
      <c r="T188" s="119">
        <v>104</v>
      </c>
      <c r="U188" s="118">
        <v>1560</v>
      </c>
      <c r="V188" s="118">
        <v>2080</v>
      </c>
      <c r="W188" s="119">
        <v>0</v>
      </c>
      <c r="X188" s="119">
        <v>8</v>
      </c>
      <c r="Y188" s="119" t="s">
        <v>38</v>
      </c>
      <c r="Z188" s="388" t="s">
        <v>3015</v>
      </c>
      <c r="AA188" s="388" t="s">
        <v>3015</v>
      </c>
      <c r="AB188" s="119" t="s">
        <v>936</v>
      </c>
      <c r="AC188" s="119">
        <v>100000</v>
      </c>
      <c r="AD188" s="92">
        <v>1</v>
      </c>
      <c r="AE188" s="92">
        <v>1</v>
      </c>
      <c r="AF188">
        <v>0</v>
      </c>
      <c r="AG188" s="403">
        <v>8</v>
      </c>
    </row>
    <row r="189" spans="1:33" x14ac:dyDescent="0.15">
      <c r="A189" s="119">
        <v>110209</v>
      </c>
      <c r="B189" s="114" t="s">
        <v>953</v>
      </c>
      <c r="C189" s="114" t="s">
        <v>953</v>
      </c>
      <c r="D189" s="119" t="s">
        <v>33</v>
      </c>
      <c r="E189" s="119">
        <v>10</v>
      </c>
      <c r="F189" s="119" t="s">
        <v>887</v>
      </c>
      <c r="G189" s="119" t="s">
        <v>939</v>
      </c>
      <c r="H189" s="119" t="s">
        <v>51</v>
      </c>
      <c r="I189" s="119">
        <v>1</v>
      </c>
      <c r="J189" s="118">
        <v>4</v>
      </c>
      <c r="K189" s="119">
        <v>0</v>
      </c>
      <c r="L189" s="119">
        <v>3</v>
      </c>
      <c r="M189" s="119" t="s">
        <v>52</v>
      </c>
      <c r="N189" s="118" t="s">
        <v>95</v>
      </c>
      <c r="O189" s="119">
        <v>90</v>
      </c>
      <c r="P189" s="119">
        <v>0.9</v>
      </c>
      <c r="Q189" s="119">
        <v>0</v>
      </c>
      <c r="R189" s="119">
        <v>1</v>
      </c>
      <c r="S189" s="80" t="b">
        <v>1</v>
      </c>
      <c r="T189" s="119">
        <v>117</v>
      </c>
      <c r="U189" s="118">
        <v>1755</v>
      </c>
      <c r="V189" s="118">
        <v>2340</v>
      </c>
      <c r="W189" s="119">
        <v>0</v>
      </c>
      <c r="X189" s="119">
        <v>9</v>
      </c>
      <c r="Y189" s="119" t="s">
        <v>38</v>
      </c>
      <c r="Z189" s="388" t="s">
        <v>3016</v>
      </c>
      <c r="AA189" s="388" t="s">
        <v>3016</v>
      </c>
      <c r="AB189" s="119" t="s">
        <v>942</v>
      </c>
      <c r="AC189" s="119">
        <v>100000</v>
      </c>
      <c r="AD189" s="92">
        <v>1</v>
      </c>
      <c r="AE189" s="92">
        <v>1</v>
      </c>
      <c r="AF189">
        <v>0</v>
      </c>
      <c r="AG189" s="403">
        <v>9</v>
      </c>
    </row>
    <row r="190" spans="1:33" x14ac:dyDescent="0.15">
      <c r="A190" s="119">
        <v>110210</v>
      </c>
      <c r="B190" s="114" t="s">
        <v>956</v>
      </c>
      <c r="C190" s="114" t="s">
        <v>956</v>
      </c>
      <c r="D190" s="119" t="s">
        <v>33</v>
      </c>
      <c r="E190" s="119">
        <v>10</v>
      </c>
      <c r="F190" s="119" t="s">
        <v>887</v>
      </c>
      <c r="G190" s="119" t="s">
        <v>945</v>
      </c>
      <c r="H190" s="119" t="s">
        <v>51</v>
      </c>
      <c r="I190" s="119">
        <v>1</v>
      </c>
      <c r="J190" s="118">
        <v>4</v>
      </c>
      <c r="K190" s="119">
        <v>0</v>
      </c>
      <c r="L190" s="119">
        <v>3</v>
      </c>
      <c r="M190" s="119" t="s">
        <v>52</v>
      </c>
      <c r="N190" s="118" t="s">
        <v>101</v>
      </c>
      <c r="O190" s="119">
        <v>90</v>
      </c>
      <c r="P190" s="119">
        <v>0.9</v>
      </c>
      <c r="Q190" s="119">
        <v>0</v>
      </c>
      <c r="R190" s="119">
        <v>1</v>
      </c>
      <c r="S190" s="80" t="b">
        <v>1</v>
      </c>
      <c r="T190" s="119">
        <v>130</v>
      </c>
      <c r="U190" s="118">
        <v>1950</v>
      </c>
      <c r="V190" s="118">
        <v>2600</v>
      </c>
      <c r="W190" s="119">
        <v>0</v>
      </c>
      <c r="X190" s="119">
        <v>10</v>
      </c>
      <c r="Y190" s="119" t="s">
        <v>38</v>
      </c>
      <c r="Z190" s="388" t="s">
        <v>3017</v>
      </c>
      <c r="AA190" s="388" t="s">
        <v>3017</v>
      </c>
      <c r="AB190" s="119" t="s">
        <v>948</v>
      </c>
      <c r="AC190" s="119">
        <v>100000</v>
      </c>
      <c r="AD190" s="92">
        <v>1</v>
      </c>
      <c r="AE190" s="92">
        <v>1</v>
      </c>
      <c r="AF190">
        <v>0</v>
      </c>
      <c r="AG190" s="403">
        <v>10</v>
      </c>
    </row>
    <row r="191" spans="1:33" x14ac:dyDescent="0.15">
      <c r="A191" s="84">
        <v>110202</v>
      </c>
      <c r="B191" s="105" t="s">
        <v>959</v>
      </c>
      <c r="C191" s="105" t="s">
        <v>959</v>
      </c>
      <c r="D191" s="84" t="s">
        <v>33</v>
      </c>
      <c r="E191" s="84">
        <v>10</v>
      </c>
      <c r="F191" s="84" t="s">
        <v>887</v>
      </c>
      <c r="G191" s="118" t="s">
        <v>888</v>
      </c>
      <c r="H191" s="84" t="s">
        <v>107</v>
      </c>
      <c r="I191" s="84">
        <v>4</v>
      </c>
      <c r="J191" s="118">
        <v>4</v>
      </c>
      <c r="K191" s="84">
        <v>0</v>
      </c>
      <c r="L191" s="84">
        <v>3</v>
      </c>
      <c r="M191" s="84">
        <v>4</v>
      </c>
      <c r="N191" s="118" t="s">
        <v>45</v>
      </c>
      <c r="O191" s="84">
        <v>90</v>
      </c>
      <c r="P191" s="84">
        <v>0.9</v>
      </c>
      <c r="Q191" s="84">
        <v>0</v>
      </c>
      <c r="R191" s="84">
        <v>1</v>
      </c>
      <c r="S191" s="43" t="b">
        <v>1</v>
      </c>
      <c r="T191" s="84">
        <v>26</v>
      </c>
      <c r="U191" s="118">
        <v>390</v>
      </c>
      <c r="V191" s="118">
        <v>520</v>
      </c>
      <c r="W191" s="84">
        <v>0</v>
      </c>
      <c r="X191" s="84">
        <v>2</v>
      </c>
      <c r="Y191" s="84" t="s">
        <v>38</v>
      </c>
      <c r="Z191" s="388" t="s">
        <v>2894</v>
      </c>
      <c r="AA191" s="388" t="s">
        <v>2894</v>
      </c>
      <c r="AB191" s="43" t="s">
        <v>891</v>
      </c>
      <c r="AC191" s="84">
        <v>100000</v>
      </c>
      <c r="AD191" s="197">
        <v>1</v>
      </c>
      <c r="AE191" s="197">
        <v>1</v>
      </c>
      <c r="AF191">
        <v>0</v>
      </c>
      <c r="AG191" s="404">
        <v>2</v>
      </c>
    </row>
    <row r="192" spans="1:33" x14ac:dyDescent="0.15">
      <c r="A192" s="391">
        <v>110203</v>
      </c>
      <c r="B192" s="392" t="s">
        <v>962</v>
      </c>
      <c r="C192" s="392" t="s">
        <v>962</v>
      </c>
      <c r="D192" s="391" t="s">
        <v>33</v>
      </c>
      <c r="E192" s="391">
        <v>10</v>
      </c>
      <c r="F192" s="391" t="s">
        <v>887</v>
      </c>
      <c r="G192" s="118" t="s">
        <v>900</v>
      </c>
      <c r="H192" s="391" t="s">
        <v>112</v>
      </c>
      <c r="I192" s="391">
        <v>4</v>
      </c>
      <c r="J192" s="118">
        <v>4</v>
      </c>
      <c r="K192" s="391">
        <v>0</v>
      </c>
      <c r="L192" s="391">
        <v>3</v>
      </c>
      <c r="M192" s="391">
        <v>4</v>
      </c>
      <c r="N192" s="118" t="s">
        <v>57</v>
      </c>
      <c r="O192" s="391">
        <v>90</v>
      </c>
      <c r="P192" s="391">
        <v>0.9</v>
      </c>
      <c r="Q192" s="391">
        <v>0</v>
      </c>
      <c r="R192" s="391">
        <v>1</v>
      </c>
      <c r="S192" s="397" t="b">
        <v>1</v>
      </c>
      <c r="T192" s="391">
        <v>39</v>
      </c>
      <c r="U192" s="118">
        <v>585</v>
      </c>
      <c r="V192" s="118">
        <v>780</v>
      </c>
      <c r="W192" s="391">
        <v>0</v>
      </c>
      <c r="X192" s="391">
        <v>3</v>
      </c>
      <c r="Y192" s="391" t="s">
        <v>38</v>
      </c>
      <c r="Z192" s="388" t="s">
        <v>3018</v>
      </c>
      <c r="AA192" s="388" t="s">
        <v>3018</v>
      </c>
      <c r="AB192" s="397" t="s">
        <v>903</v>
      </c>
      <c r="AC192" s="391">
        <v>100000</v>
      </c>
      <c r="AD192" s="197">
        <v>1</v>
      </c>
      <c r="AE192" s="197">
        <v>1</v>
      </c>
      <c r="AF192">
        <v>0</v>
      </c>
      <c r="AG192" s="405">
        <v>3</v>
      </c>
    </row>
    <row r="193" spans="1:33" x14ac:dyDescent="0.15">
      <c r="A193" s="391">
        <v>110204</v>
      </c>
      <c r="B193" s="392" t="s">
        <v>966</v>
      </c>
      <c r="C193" s="392" t="s">
        <v>966</v>
      </c>
      <c r="D193" s="391" t="s">
        <v>33</v>
      </c>
      <c r="E193" s="391">
        <v>10</v>
      </c>
      <c r="F193" s="391" t="s">
        <v>887</v>
      </c>
      <c r="G193" s="118" t="s">
        <v>912</v>
      </c>
      <c r="H193" s="391" t="s">
        <v>112</v>
      </c>
      <c r="I193" s="391">
        <v>5</v>
      </c>
      <c r="J193" s="118">
        <v>5</v>
      </c>
      <c r="K193" s="391">
        <v>0</v>
      </c>
      <c r="L193" s="391">
        <v>3</v>
      </c>
      <c r="M193" s="391">
        <v>5</v>
      </c>
      <c r="N193" s="118" t="s">
        <v>64</v>
      </c>
      <c r="O193" s="391">
        <v>90</v>
      </c>
      <c r="P193" s="391">
        <v>0.9</v>
      </c>
      <c r="Q193" s="391">
        <v>0</v>
      </c>
      <c r="R193" s="391">
        <v>1</v>
      </c>
      <c r="S193" s="397" t="b">
        <v>1</v>
      </c>
      <c r="T193" s="391">
        <v>52</v>
      </c>
      <c r="U193" s="118">
        <v>780</v>
      </c>
      <c r="V193" s="118">
        <v>1040</v>
      </c>
      <c r="W193" s="391">
        <v>0</v>
      </c>
      <c r="X193" s="391">
        <v>4</v>
      </c>
      <c r="Y193" s="391" t="s">
        <v>38</v>
      </c>
      <c r="Z193" s="388" t="s">
        <v>3019</v>
      </c>
      <c r="AA193" s="388" t="s">
        <v>3019</v>
      </c>
      <c r="AB193" s="397" t="s">
        <v>915</v>
      </c>
      <c r="AC193" s="391">
        <v>100000</v>
      </c>
      <c r="AD193" s="197">
        <v>1</v>
      </c>
      <c r="AE193" s="197">
        <v>1</v>
      </c>
      <c r="AF193">
        <v>0</v>
      </c>
      <c r="AG193" s="405">
        <v>4</v>
      </c>
    </row>
    <row r="194" spans="1:33" x14ac:dyDescent="0.15">
      <c r="A194" s="417">
        <v>111001</v>
      </c>
      <c r="B194" s="17" t="s">
        <v>970</v>
      </c>
      <c r="C194" s="17" t="s">
        <v>970</v>
      </c>
      <c r="D194" s="118" t="s">
        <v>33</v>
      </c>
      <c r="E194" s="118">
        <v>11</v>
      </c>
      <c r="F194" s="118" t="s">
        <v>971</v>
      </c>
      <c r="G194" s="118" t="s">
        <v>972</v>
      </c>
      <c r="H194" s="118" t="s">
        <v>35</v>
      </c>
      <c r="I194" s="118">
        <v>1</v>
      </c>
      <c r="J194" s="118">
        <v>1</v>
      </c>
      <c r="K194" s="118">
        <v>1</v>
      </c>
      <c r="L194" s="118">
        <v>3</v>
      </c>
      <c r="M194" s="118" t="s">
        <v>36</v>
      </c>
      <c r="N194" s="118" t="s">
        <v>37</v>
      </c>
      <c r="O194" s="118">
        <v>99</v>
      </c>
      <c r="P194" s="118">
        <v>0.9</v>
      </c>
      <c r="Q194" s="118">
        <v>0</v>
      </c>
      <c r="R194" s="118">
        <v>1</v>
      </c>
      <c r="S194" s="25" t="b">
        <v>1</v>
      </c>
      <c r="T194" s="118">
        <v>13</v>
      </c>
      <c r="U194" s="118">
        <v>195</v>
      </c>
      <c r="V194" s="118">
        <v>260</v>
      </c>
      <c r="W194" s="118">
        <v>0</v>
      </c>
      <c r="X194" s="118">
        <v>1</v>
      </c>
      <c r="Y194" s="118" t="s">
        <v>38</v>
      </c>
      <c r="Z194" s="388" t="s">
        <v>3020</v>
      </c>
      <c r="AA194" s="388" t="s">
        <v>3020</v>
      </c>
      <c r="AB194" s="25" t="s">
        <v>975</v>
      </c>
      <c r="AC194" s="118">
        <v>200000</v>
      </c>
      <c r="AD194" s="197">
        <v>1</v>
      </c>
      <c r="AE194" s="197">
        <v>1</v>
      </c>
      <c r="AF194">
        <v>0</v>
      </c>
      <c r="AG194" s="402">
        <v>1</v>
      </c>
    </row>
    <row r="195" spans="1:33" x14ac:dyDescent="0.15">
      <c r="A195" s="118">
        <v>111002</v>
      </c>
      <c r="B195" s="17" t="s">
        <v>977</v>
      </c>
      <c r="C195" s="17" t="s">
        <v>977</v>
      </c>
      <c r="D195" s="118" t="s">
        <v>33</v>
      </c>
      <c r="E195" s="118">
        <v>11</v>
      </c>
      <c r="F195" s="118" t="s">
        <v>971</v>
      </c>
      <c r="G195" s="118" t="s">
        <v>978</v>
      </c>
      <c r="H195" s="118" t="s">
        <v>35</v>
      </c>
      <c r="I195" s="118">
        <v>1</v>
      </c>
      <c r="J195" s="118">
        <v>1</v>
      </c>
      <c r="K195" s="118">
        <v>1</v>
      </c>
      <c r="L195" s="118">
        <v>3</v>
      </c>
      <c r="M195" s="118" t="s">
        <v>44</v>
      </c>
      <c r="N195" s="118" t="s">
        <v>45</v>
      </c>
      <c r="O195" s="118">
        <v>99</v>
      </c>
      <c r="P195" s="118">
        <v>0.9</v>
      </c>
      <c r="Q195" s="118">
        <v>0</v>
      </c>
      <c r="R195" s="118">
        <v>1</v>
      </c>
      <c r="S195" s="25" t="b">
        <v>1</v>
      </c>
      <c r="T195" s="118">
        <v>26</v>
      </c>
      <c r="U195" s="118">
        <v>390</v>
      </c>
      <c r="V195" s="118">
        <v>520</v>
      </c>
      <c r="W195" s="118">
        <v>0</v>
      </c>
      <c r="X195" s="118">
        <v>2</v>
      </c>
      <c r="Y195" s="118" t="s">
        <v>38</v>
      </c>
      <c r="Z195" s="388" t="s">
        <v>3021</v>
      </c>
      <c r="AA195" s="388" t="s">
        <v>3021</v>
      </c>
      <c r="AB195" s="25" t="s">
        <v>981</v>
      </c>
      <c r="AC195" s="118">
        <v>100000</v>
      </c>
      <c r="AD195" s="197">
        <v>1</v>
      </c>
      <c r="AE195" s="197">
        <v>1</v>
      </c>
      <c r="AF195">
        <v>0</v>
      </c>
      <c r="AG195" s="402">
        <v>2</v>
      </c>
    </row>
    <row r="196" spans="1:33" x14ac:dyDescent="0.15">
      <c r="A196" s="118">
        <v>111003</v>
      </c>
      <c r="B196" s="17" t="s">
        <v>983</v>
      </c>
      <c r="C196" s="17" t="s">
        <v>983</v>
      </c>
      <c r="D196" s="118" t="s">
        <v>33</v>
      </c>
      <c r="E196" s="118">
        <v>11</v>
      </c>
      <c r="F196" s="118" t="s">
        <v>971</v>
      </c>
      <c r="G196" s="118" t="s">
        <v>984</v>
      </c>
      <c r="H196" s="118" t="s">
        <v>35</v>
      </c>
      <c r="I196" s="118">
        <v>1</v>
      </c>
      <c r="J196" s="118">
        <v>1</v>
      </c>
      <c r="K196" s="118">
        <v>1</v>
      </c>
      <c r="L196" s="118">
        <v>3</v>
      </c>
      <c r="M196" s="118" t="s">
        <v>56</v>
      </c>
      <c r="N196" s="118" t="s">
        <v>57</v>
      </c>
      <c r="O196" s="118">
        <v>99</v>
      </c>
      <c r="P196" s="118">
        <v>0.9</v>
      </c>
      <c r="Q196" s="118">
        <v>0</v>
      </c>
      <c r="R196" s="118">
        <v>1</v>
      </c>
      <c r="S196" s="25" t="b">
        <v>1</v>
      </c>
      <c r="T196" s="118">
        <v>39</v>
      </c>
      <c r="U196" s="118">
        <v>585</v>
      </c>
      <c r="V196" s="118">
        <v>780</v>
      </c>
      <c r="W196" s="118">
        <v>0</v>
      </c>
      <c r="X196" s="118">
        <v>3</v>
      </c>
      <c r="Y196" s="118" t="s">
        <v>38</v>
      </c>
      <c r="Z196" s="388" t="s">
        <v>3022</v>
      </c>
      <c r="AA196" s="388" t="s">
        <v>3022</v>
      </c>
      <c r="AB196" s="25" t="s">
        <v>987</v>
      </c>
      <c r="AC196" s="118">
        <v>200000</v>
      </c>
      <c r="AD196" s="197">
        <v>1</v>
      </c>
      <c r="AE196" s="197">
        <v>1</v>
      </c>
      <c r="AF196">
        <v>0</v>
      </c>
      <c r="AG196" s="402">
        <v>3</v>
      </c>
    </row>
    <row r="197" spans="1:33" x14ac:dyDescent="0.15">
      <c r="A197" s="118">
        <v>111004</v>
      </c>
      <c r="B197" s="71" t="s">
        <v>989</v>
      </c>
      <c r="C197" s="71" t="s">
        <v>989</v>
      </c>
      <c r="D197" s="118" t="s">
        <v>33</v>
      </c>
      <c r="E197" s="118">
        <v>11</v>
      </c>
      <c r="F197" s="118" t="s">
        <v>971</v>
      </c>
      <c r="G197" s="118" t="s">
        <v>990</v>
      </c>
      <c r="H197" s="118" t="s">
        <v>35</v>
      </c>
      <c r="I197" s="118">
        <v>1</v>
      </c>
      <c r="J197" s="118">
        <v>1</v>
      </c>
      <c r="K197" s="118">
        <v>1</v>
      </c>
      <c r="L197" s="118">
        <v>3</v>
      </c>
      <c r="M197" s="118" t="s">
        <v>63</v>
      </c>
      <c r="N197" s="118" t="s">
        <v>64</v>
      </c>
      <c r="O197" s="118">
        <v>99</v>
      </c>
      <c r="P197" s="118">
        <v>0.9</v>
      </c>
      <c r="Q197" s="118">
        <v>0</v>
      </c>
      <c r="R197" s="118">
        <v>1</v>
      </c>
      <c r="S197" s="25" t="b">
        <v>1</v>
      </c>
      <c r="T197" s="118">
        <v>52</v>
      </c>
      <c r="U197" s="118">
        <v>780</v>
      </c>
      <c r="V197" s="118">
        <v>1040</v>
      </c>
      <c r="W197" s="118">
        <v>0</v>
      </c>
      <c r="X197" s="118">
        <v>4</v>
      </c>
      <c r="Y197" s="118" t="s">
        <v>38</v>
      </c>
      <c r="Z197" s="388" t="s">
        <v>3023</v>
      </c>
      <c r="AA197" s="388" t="s">
        <v>3023</v>
      </c>
      <c r="AB197" s="25" t="s">
        <v>993</v>
      </c>
      <c r="AC197" s="118">
        <v>100000</v>
      </c>
      <c r="AD197" s="197">
        <v>1</v>
      </c>
      <c r="AE197" s="197">
        <v>1</v>
      </c>
      <c r="AF197">
        <v>0</v>
      </c>
      <c r="AG197" s="402">
        <v>4</v>
      </c>
    </row>
    <row r="198" spans="1:33" x14ac:dyDescent="0.15">
      <c r="A198" s="118">
        <v>111005</v>
      </c>
      <c r="B198" s="17" t="s">
        <v>995</v>
      </c>
      <c r="C198" s="17" t="s">
        <v>995</v>
      </c>
      <c r="D198" s="118" t="s">
        <v>33</v>
      </c>
      <c r="E198" s="118">
        <v>11</v>
      </c>
      <c r="F198" s="118" t="s">
        <v>971</v>
      </c>
      <c r="G198" s="118" t="s">
        <v>996</v>
      </c>
      <c r="H198" s="118" t="s">
        <v>35</v>
      </c>
      <c r="I198" s="118">
        <v>1</v>
      </c>
      <c r="J198" s="118">
        <v>1</v>
      </c>
      <c r="K198" s="118">
        <v>1</v>
      </c>
      <c r="L198" s="118">
        <v>3</v>
      </c>
      <c r="M198" s="118" t="s">
        <v>70</v>
      </c>
      <c r="N198" s="118" t="s">
        <v>71</v>
      </c>
      <c r="O198" s="118">
        <v>99</v>
      </c>
      <c r="P198" s="118">
        <v>0.9</v>
      </c>
      <c r="Q198" s="118">
        <v>0</v>
      </c>
      <c r="R198" s="118">
        <v>1</v>
      </c>
      <c r="S198" s="25" t="b">
        <v>1</v>
      </c>
      <c r="T198" s="118">
        <v>65</v>
      </c>
      <c r="U198" s="118">
        <v>975</v>
      </c>
      <c r="V198" s="118">
        <v>1300</v>
      </c>
      <c r="W198" s="118">
        <v>0</v>
      </c>
      <c r="X198" s="118">
        <v>5</v>
      </c>
      <c r="Y198" s="118" t="s">
        <v>38</v>
      </c>
      <c r="Z198" s="388" t="s">
        <v>3024</v>
      </c>
      <c r="AA198" s="388" t="s">
        <v>3024</v>
      </c>
      <c r="AB198" s="118" t="s">
        <v>999</v>
      </c>
      <c r="AC198" s="118">
        <v>100000</v>
      </c>
      <c r="AD198" s="197">
        <v>1</v>
      </c>
      <c r="AE198" s="197">
        <v>1</v>
      </c>
      <c r="AF198">
        <v>0</v>
      </c>
      <c r="AG198" s="402">
        <v>5</v>
      </c>
    </row>
    <row r="199" spans="1:33" x14ac:dyDescent="0.15">
      <c r="A199" s="118">
        <v>111006</v>
      </c>
      <c r="B199" s="17" t="s">
        <v>1001</v>
      </c>
      <c r="C199" s="17" t="s">
        <v>1001</v>
      </c>
      <c r="D199" s="118" t="s">
        <v>33</v>
      </c>
      <c r="E199" s="118">
        <v>11</v>
      </c>
      <c r="F199" s="118" t="s">
        <v>971</v>
      </c>
      <c r="G199" s="118" t="s">
        <v>1002</v>
      </c>
      <c r="H199" s="118" t="s">
        <v>35</v>
      </c>
      <c r="I199" s="118">
        <v>1</v>
      </c>
      <c r="J199" s="118">
        <v>1</v>
      </c>
      <c r="K199" s="118">
        <v>1</v>
      </c>
      <c r="L199" s="118">
        <v>3</v>
      </c>
      <c r="M199" s="118" t="s">
        <v>70</v>
      </c>
      <c r="N199" s="118" t="s">
        <v>77</v>
      </c>
      <c r="O199" s="118">
        <v>99</v>
      </c>
      <c r="P199" s="118">
        <v>0.9</v>
      </c>
      <c r="Q199" s="118">
        <v>0</v>
      </c>
      <c r="R199" s="118">
        <v>1</v>
      </c>
      <c r="S199" s="25" t="b">
        <v>1</v>
      </c>
      <c r="T199" s="118">
        <v>78</v>
      </c>
      <c r="U199" s="118">
        <v>1170</v>
      </c>
      <c r="V199" s="118">
        <v>1560</v>
      </c>
      <c r="W199" s="118">
        <v>0</v>
      </c>
      <c r="X199" s="118">
        <v>6</v>
      </c>
      <c r="Y199" s="118" t="s">
        <v>38</v>
      </c>
      <c r="Z199" s="388" t="s">
        <v>3025</v>
      </c>
      <c r="AA199" s="388" t="s">
        <v>3025</v>
      </c>
      <c r="AB199" s="118" t="s">
        <v>1005</v>
      </c>
      <c r="AC199" s="118">
        <v>100000</v>
      </c>
      <c r="AD199" s="197">
        <v>1</v>
      </c>
      <c r="AE199" s="197">
        <v>1</v>
      </c>
      <c r="AF199">
        <v>0</v>
      </c>
      <c r="AG199" s="402">
        <v>6</v>
      </c>
    </row>
    <row r="200" spans="1:33" s="389" customFormat="1" x14ac:dyDescent="0.15">
      <c r="A200" s="118">
        <v>111007</v>
      </c>
      <c r="B200" s="17" t="s">
        <v>1007</v>
      </c>
      <c r="C200" s="17" t="s">
        <v>1007</v>
      </c>
      <c r="D200" s="118" t="s">
        <v>33</v>
      </c>
      <c r="E200" s="118">
        <v>11</v>
      </c>
      <c r="F200" s="118" t="s">
        <v>971</v>
      </c>
      <c r="G200" s="118" t="s">
        <v>1008</v>
      </c>
      <c r="H200" s="118" t="s">
        <v>35</v>
      </c>
      <c r="I200" s="118">
        <v>1</v>
      </c>
      <c r="J200" s="118">
        <v>1</v>
      </c>
      <c r="K200" s="118">
        <v>1</v>
      </c>
      <c r="L200" s="118">
        <v>3</v>
      </c>
      <c r="M200" s="118" t="s">
        <v>70</v>
      </c>
      <c r="N200" s="118" t="s">
        <v>83</v>
      </c>
      <c r="O200" s="118">
        <v>99</v>
      </c>
      <c r="P200" s="118">
        <v>0.9</v>
      </c>
      <c r="Q200" s="118">
        <v>0</v>
      </c>
      <c r="R200" s="118">
        <v>1</v>
      </c>
      <c r="S200" s="25" t="b">
        <v>1</v>
      </c>
      <c r="T200" s="118">
        <v>91</v>
      </c>
      <c r="U200" s="118">
        <v>1365</v>
      </c>
      <c r="V200" s="118">
        <v>1820</v>
      </c>
      <c r="W200" s="118">
        <v>0</v>
      </c>
      <c r="X200" s="118">
        <v>7</v>
      </c>
      <c r="Y200" s="118" t="s">
        <v>38</v>
      </c>
      <c r="Z200" s="388" t="s">
        <v>3026</v>
      </c>
      <c r="AA200" s="388" t="s">
        <v>3026</v>
      </c>
      <c r="AB200" s="118" t="s">
        <v>1011</v>
      </c>
      <c r="AC200" s="118">
        <v>100000</v>
      </c>
      <c r="AD200" s="197">
        <v>1</v>
      </c>
      <c r="AE200" s="197">
        <v>1</v>
      </c>
      <c r="AF200">
        <v>0</v>
      </c>
      <c r="AG200" s="402">
        <v>7</v>
      </c>
    </row>
    <row r="201" spans="1:33" x14ac:dyDescent="0.15">
      <c r="A201" s="118">
        <v>111008</v>
      </c>
      <c r="B201" s="17" t="s">
        <v>1013</v>
      </c>
      <c r="C201" s="17" t="s">
        <v>1013</v>
      </c>
      <c r="D201" s="118" t="s">
        <v>33</v>
      </c>
      <c r="E201" s="118">
        <v>11</v>
      </c>
      <c r="F201" s="118" t="s">
        <v>971</v>
      </c>
      <c r="G201" s="118" t="s">
        <v>1014</v>
      </c>
      <c r="H201" s="17" t="s">
        <v>35</v>
      </c>
      <c r="I201" s="118">
        <v>1</v>
      </c>
      <c r="J201" s="118">
        <v>1</v>
      </c>
      <c r="K201" s="118">
        <v>1</v>
      </c>
      <c r="L201" s="118">
        <v>3</v>
      </c>
      <c r="M201" s="118" t="s">
        <v>70</v>
      </c>
      <c r="N201" s="118" t="s">
        <v>89</v>
      </c>
      <c r="O201" s="118">
        <v>99</v>
      </c>
      <c r="P201" s="118">
        <v>0.9</v>
      </c>
      <c r="Q201" s="118">
        <v>0</v>
      </c>
      <c r="R201" s="118">
        <v>0</v>
      </c>
      <c r="S201" s="25" t="b">
        <v>1</v>
      </c>
      <c r="T201" s="118">
        <v>65</v>
      </c>
      <c r="U201" s="118">
        <v>975</v>
      </c>
      <c r="V201" s="118">
        <v>1300</v>
      </c>
      <c r="W201" s="118">
        <v>0</v>
      </c>
      <c r="X201" s="118">
        <v>8</v>
      </c>
      <c r="Y201" s="118" t="s">
        <v>38</v>
      </c>
      <c r="Z201" s="388" t="s">
        <v>3027</v>
      </c>
      <c r="AA201" s="388" t="s">
        <v>3027</v>
      </c>
      <c r="AB201" s="118" t="s">
        <v>1017</v>
      </c>
      <c r="AC201" s="118">
        <v>100000</v>
      </c>
      <c r="AD201" s="191">
        <v>1</v>
      </c>
      <c r="AE201" s="191">
        <v>1</v>
      </c>
      <c r="AF201">
        <v>0</v>
      </c>
      <c r="AG201" s="402">
        <v>5</v>
      </c>
    </row>
    <row r="202" spans="1:33" x14ac:dyDescent="0.15">
      <c r="A202" s="118">
        <v>111009</v>
      </c>
      <c r="B202" s="17" t="s">
        <v>1019</v>
      </c>
      <c r="C202" s="17" t="s">
        <v>1019</v>
      </c>
      <c r="D202" s="118" t="s">
        <v>33</v>
      </c>
      <c r="E202" s="118">
        <v>11</v>
      </c>
      <c r="F202" s="118" t="s">
        <v>971</v>
      </c>
      <c r="G202" s="118" t="s">
        <v>1020</v>
      </c>
      <c r="H202" s="17" t="s">
        <v>35</v>
      </c>
      <c r="I202" s="118">
        <v>1</v>
      </c>
      <c r="J202" s="118">
        <v>1</v>
      </c>
      <c r="K202" s="118">
        <v>1</v>
      </c>
      <c r="L202" s="118">
        <v>3</v>
      </c>
      <c r="M202" s="118" t="s">
        <v>70</v>
      </c>
      <c r="N202" s="118" t="s">
        <v>95</v>
      </c>
      <c r="O202" s="118">
        <v>99</v>
      </c>
      <c r="P202" s="118">
        <v>0.9</v>
      </c>
      <c r="Q202" s="118">
        <v>0</v>
      </c>
      <c r="R202" s="118">
        <v>0</v>
      </c>
      <c r="S202" s="25" t="b">
        <v>1</v>
      </c>
      <c r="T202" s="118">
        <v>78</v>
      </c>
      <c r="U202" s="118">
        <v>1170</v>
      </c>
      <c r="V202" s="118">
        <v>1560</v>
      </c>
      <c r="W202" s="118">
        <v>0</v>
      </c>
      <c r="X202" s="118">
        <v>9</v>
      </c>
      <c r="Y202" s="118" t="s">
        <v>38</v>
      </c>
      <c r="Z202" s="388" t="s">
        <v>3028</v>
      </c>
      <c r="AA202" s="388" t="s">
        <v>3028</v>
      </c>
      <c r="AB202" s="118" t="s">
        <v>1023</v>
      </c>
      <c r="AC202" s="118">
        <v>100000</v>
      </c>
      <c r="AD202" s="191">
        <v>1</v>
      </c>
      <c r="AE202" s="191">
        <v>1</v>
      </c>
      <c r="AF202">
        <v>0</v>
      </c>
      <c r="AG202" s="402">
        <v>6</v>
      </c>
    </row>
    <row r="203" spans="1:33" s="389" customFormat="1" x14ac:dyDescent="0.15">
      <c r="A203" s="118">
        <v>111010</v>
      </c>
      <c r="B203" s="17" t="s">
        <v>1025</v>
      </c>
      <c r="C203" s="17" t="s">
        <v>1025</v>
      </c>
      <c r="D203" s="118" t="s">
        <v>33</v>
      </c>
      <c r="E203" s="118">
        <v>11</v>
      </c>
      <c r="F203" s="118" t="s">
        <v>971</v>
      </c>
      <c r="G203" s="118" t="s">
        <v>1026</v>
      </c>
      <c r="H203" s="17" t="s">
        <v>35</v>
      </c>
      <c r="I203" s="118">
        <v>1</v>
      </c>
      <c r="J203" s="118">
        <v>1</v>
      </c>
      <c r="K203" s="118">
        <v>1</v>
      </c>
      <c r="L203" s="118">
        <v>3</v>
      </c>
      <c r="M203" s="118" t="s">
        <v>70</v>
      </c>
      <c r="N203" s="118" t="s">
        <v>101</v>
      </c>
      <c r="O203" s="118">
        <v>99</v>
      </c>
      <c r="P203" s="118">
        <v>0.9</v>
      </c>
      <c r="Q203" s="118">
        <v>0</v>
      </c>
      <c r="R203" s="118">
        <v>0</v>
      </c>
      <c r="S203" s="25" t="b">
        <v>1</v>
      </c>
      <c r="T203" s="118">
        <v>91</v>
      </c>
      <c r="U203" s="118">
        <v>1365</v>
      </c>
      <c r="V203" s="118">
        <v>1820</v>
      </c>
      <c r="W203" s="118">
        <v>0</v>
      </c>
      <c r="X203" s="118">
        <v>10</v>
      </c>
      <c r="Y203" s="118" t="s">
        <v>38</v>
      </c>
      <c r="Z203" s="388" t="s">
        <v>3029</v>
      </c>
      <c r="AA203" s="388" t="s">
        <v>3029</v>
      </c>
      <c r="AB203" s="118" t="s">
        <v>1029</v>
      </c>
      <c r="AC203" s="118">
        <v>100000</v>
      </c>
      <c r="AD203" s="191">
        <v>1</v>
      </c>
      <c r="AE203" s="191">
        <v>1</v>
      </c>
      <c r="AF203">
        <v>0</v>
      </c>
      <c r="AG203" s="402">
        <v>7</v>
      </c>
    </row>
    <row r="204" spans="1:33" x14ac:dyDescent="0.15">
      <c r="A204" s="119">
        <v>111207</v>
      </c>
      <c r="B204" s="114" t="s">
        <v>1031</v>
      </c>
      <c r="C204" s="114" t="s">
        <v>1031</v>
      </c>
      <c r="D204" s="119" t="s">
        <v>33</v>
      </c>
      <c r="E204" s="119">
        <v>11</v>
      </c>
      <c r="F204" s="119" t="s">
        <v>971</v>
      </c>
      <c r="G204" s="118" t="s">
        <v>1008</v>
      </c>
      <c r="H204" s="119" t="s">
        <v>51</v>
      </c>
      <c r="I204" s="119">
        <v>1</v>
      </c>
      <c r="J204" s="118">
        <v>4</v>
      </c>
      <c r="K204" s="119">
        <v>0</v>
      </c>
      <c r="L204" s="119">
        <v>3</v>
      </c>
      <c r="M204" s="119" t="s">
        <v>52</v>
      </c>
      <c r="N204" s="118" t="s">
        <v>83</v>
      </c>
      <c r="O204" s="119">
        <v>99</v>
      </c>
      <c r="P204" s="119">
        <v>0.9</v>
      </c>
      <c r="Q204" s="119">
        <v>0</v>
      </c>
      <c r="R204" s="119">
        <v>1</v>
      </c>
      <c r="S204" s="80" t="b">
        <v>1</v>
      </c>
      <c r="T204" s="119">
        <v>91</v>
      </c>
      <c r="U204" s="118">
        <v>1365</v>
      </c>
      <c r="V204" s="118">
        <v>1820</v>
      </c>
      <c r="W204" s="119">
        <v>0</v>
      </c>
      <c r="X204" s="119">
        <v>7</v>
      </c>
      <c r="Y204" s="119" t="s">
        <v>38</v>
      </c>
      <c r="Z204" s="388" t="s">
        <v>3026</v>
      </c>
      <c r="AA204" s="388" t="s">
        <v>3026</v>
      </c>
      <c r="AB204" s="119" t="s">
        <v>1011</v>
      </c>
      <c r="AC204" s="119">
        <v>100000</v>
      </c>
      <c r="AD204" s="197">
        <v>1</v>
      </c>
      <c r="AE204" s="197">
        <v>1</v>
      </c>
      <c r="AF204">
        <v>0</v>
      </c>
      <c r="AG204" s="403">
        <v>7</v>
      </c>
    </row>
    <row r="205" spans="1:33" x14ac:dyDescent="0.15">
      <c r="A205" s="119">
        <v>111208</v>
      </c>
      <c r="B205" s="114" t="s">
        <v>1034</v>
      </c>
      <c r="C205" s="114" t="s">
        <v>1034</v>
      </c>
      <c r="D205" s="119" t="s">
        <v>33</v>
      </c>
      <c r="E205" s="119">
        <v>11</v>
      </c>
      <c r="F205" s="119" t="s">
        <v>971</v>
      </c>
      <c r="G205" s="119" t="s">
        <v>1014</v>
      </c>
      <c r="H205" s="119" t="s">
        <v>51</v>
      </c>
      <c r="I205" s="119">
        <v>1</v>
      </c>
      <c r="J205" s="118">
        <v>4</v>
      </c>
      <c r="K205" s="119">
        <v>0</v>
      </c>
      <c r="L205" s="119">
        <v>3</v>
      </c>
      <c r="M205" s="119" t="s">
        <v>52</v>
      </c>
      <c r="N205" s="118" t="s">
        <v>89</v>
      </c>
      <c r="O205" s="119">
        <v>99</v>
      </c>
      <c r="P205" s="119">
        <v>0.9</v>
      </c>
      <c r="Q205" s="119">
        <v>0</v>
      </c>
      <c r="R205" s="119">
        <v>0</v>
      </c>
      <c r="S205" s="80" t="b">
        <v>1</v>
      </c>
      <c r="T205" s="119">
        <v>104</v>
      </c>
      <c r="U205" s="118">
        <v>1560</v>
      </c>
      <c r="V205" s="118">
        <v>2080</v>
      </c>
      <c r="W205" s="119">
        <v>0</v>
      </c>
      <c r="X205" s="119">
        <v>8</v>
      </c>
      <c r="Y205" s="119" t="s">
        <v>38</v>
      </c>
      <c r="Z205" s="388" t="s">
        <v>3027</v>
      </c>
      <c r="AA205" s="388" t="s">
        <v>3027</v>
      </c>
      <c r="AB205" s="119" t="s">
        <v>1017</v>
      </c>
      <c r="AC205" s="119">
        <v>100000</v>
      </c>
      <c r="AD205" s="424">
        <v>1</v>
      </c>
      <c r="AE205" s="424">
        <v>1</v>
      </c>
      <c r="AF205">
        <v>0</v>
      </c>
      <c r="AG205" s="403">
        <v>8</v>
      </c>
    </row>
    <row r="206" spans="1:33" x14ac:dyDescent="0.15">
      <c r="A206" s="119">
        <v>111209</v>
      </c>
      <c r="B206" s="114" t="s">
        <v>1037</v>
      </c>
      <c r="C206" s="114" t="s">
        <v>1037</v>
      </c>
      <c r="D206" s="119" t="s">
        <v>33</v>
      </c>
      <c r="E206" s="119">
        <v>11</v>
      </c>
      <c r="F206" s="119" t="s">
        <v>971</v>
      </c>
      <c r="G206" s="119" t="s">
        <v>1020</v>
      </c>
      <c r="H206" s="119" t="s">
        <v>51</v>
      </c>
      <c r="I206" s="119">
        <v>1</v>
      </c>
      <c r="J206" s="118">
        <v>4</v>
      </c>
      <c r="K206" s="119">
        <v>0</v>
      </c>
      <c r="L206" s="119">
        <v>3</v>
      </c>
      <c r="M206" s="119" t="s">
        <v>52</v>
      </c>
      <c r="N206" s="118" t="s">
        <v>95</v>
      </c>
      <c r="O206" s="119">
        <v>99</v>
      </c>
      <c r="P206" s="119">
        <v>0.9</v>
      </c>
      <c r="Q206" s="119">
        <v>0</v>
      </c>
      <c r="R206" s="119">
        <v>0</v>
      </c>
      <c r="S206" s="80" t="b">
        <v>1</v>
      </c>
      <c r="T206" s="119">
        <v>117</v>
      </c>
      <c r="U206" s="118">
        <v>1755</v>
      </c>
      <c r="V206" s="118">
        <v>2340</v>
      </c>
      <c r="W206" s="119">
        <v>0</v>
      </c>
      <c r="X206" s="119">
        <v>9</v>
      </c>
      <c r="Y206" s="119" t="s">
        <v>38</v>
      </c>
      <c r="Z206" s="388" t="s">
        <v>3028</v>
      </c>
      <c r="AA206" s="388" t="s">
        <v>3028</v>
      </c>
      <c r="AB206" s="119" t="s">
        <v>1023</v>
      </c>
      <c r="AC206" s="119">
        <v>100000</v>
      </c>
      <c r="AD206" s="424">
        <v>1</v>
      </c>
      <c r="AE206" s="424">
        <v>1</v>
      </c>
      <c r="AF206">
        <v>0</v>
      </c>
      <c r="AG206" s="403">
        <v>9</v>
      </c>
    </row>
    <row r="207" spans="1:33" x14ac:dyDescent="0.15">
      <c r="A207" s="119">
        <v>111210</v>
      </c>
      <c r="B207" s="114" t="s">
        <v>1040</v>
      </c>
      <c r="C207" s="114" t="s">
        <v>1040</v>
      </c>
      <c r="D207" s="119" t="s">
        <v>33</v>
      </c>
      <c r="E207" s="119">
        <v>11</v>
      </c>
      <c r="F207" s="119" t="s">
        <v>971</v>
      </c>
      <c r="G207" s="119" t="s">
        <v>1026</v>
      </c>
      <c r="H207" s="119" t="s">
        <v>51</v>
      </c>
      <c r="I207" s="119">
        <v>1</v>
      </c>
      <c r="J207" s="118">
        <v>4</v>
      </c>
      <c r="K207" s="119">
        <v>0</v>
      </c>
      <c r="L207" s="119">
        <v>3</v>
      </c>
      <c r="M207" s="119" t="s">
        <v>52</v>
      </c>
      <c r="N207" s="118" t="s">
        <v>101</v>
      </c>
      <c r="O207" s="119">
        <v>99</v>
      </c>
      <c r="P207" s="119">
        <v>0.9</v>
      </c>
      <c r="Q207" s="119">
        <v>0</v>
      </c>
      <c r="R207" s="119">
        <v>0</v>
      </c>
      <c r="S207" s="80" t="b">
        <v>1</v>
      </c>
      <c r="T207" s="119">
        <v>130</v>
      </c>
      <c r="U207" s="118">
        <v>1950</v>
      </c>
      <c r="V207" s="118">
        <v>2600</v>
      </c>
      <c r="W207" s="119">
        <v>0</v>
      </c>
      <c r="X207" s="119">
        <v>10</v>
      </c>
      <c r="Y207" s="119" t="s">
        <v>38</v>
      </c>
      <c r="Z207" s="388" t="s">
        <v>3029</v>
      </c>
      <c r="AA207" s="388" t="s">
        <v>3029</v>
      </c>
      <c r="AB207" s="119" t="s">
        <v>1029</v>
      </c>
      <c r="AC207" s="119">
        <v>100000</v>
      </c>
      <c r="AD207" s="197">
        <v>1</v>
      </c>
      <c r="AE207" s="197">
        <v>1</v>
      </c>
      <c r="AF207">
        <v>0</v>
      </c>
      <c r="AG207" s="403">
        <v>10</v>
      </c>
    </row>
    <row r="208" spans="1:33" x14ac:dyDescent="0.15">
      <c r="A208" s="391">
        <v>111202</v>
      </c>
      <c r="B208" s="392" t="s">
        <v>1043</v>
      </c>
      <c r="C208" s="392" t="s">
        <v>1043</v>
      </c>
      <c r="D208" s="391" t="s">
        <v>33</v>
      </c>
      <c r="E208" s="391">
        <v>11</v>
      </c>
      <c r="F208" s="391" t="s">
        <v>971</v>
      </c>
      <c r="G208" s="118" t="s">
        <v>1008</v>
      </c>
      <c r="H208" s="391" t="s">
        <v>112</v>
      </c>
      <c r="I208" s="391">
        <v>4</v>
      </c>
      <c r="J208" s="118">
        <v>4</v>
      </c>
      <c r="K208" s="391">
        <v>0</v>
      </c>
      <c r="L208" s="391">
        <v>3</v>
      </c>
      <c r="M208" s="391">
        <v>4</v>
      </c>
      <c r="N208" s="118" t="s">
        <v>45</v>
      </c>
      <c r="O208" s="391">
        <v>99</v>
      </c>
      <c r="P208" s="391">
        <v>0.9</v>
      </c>
      <c r="Q208" s="391">
        <v>0</v>
      </c>
      <c r="R208" s="391">
        <v>1</v>
      </c>
      <c r="S208" s="397" t="b">
        <v>1</v>
      </c>
      <c r="T208" s="391">
        <v>26</v>
      </c>
      <c r="U208" s="118">
        <v>390</v>
      </c>
      <c r="V208" s="118">
        <v>520</v>
      </c>
      <c r="W208" s="391">
        <v>0</v>
      </c>
      <c r="X208" s="391">
        <v>2</v>
      </c>
      <c r="Y208" s="391" t="s">
        <v>38</v>
      </c>
      <c r="Z208" s="388" t="s">
        <v>3030</v>
      </c>
      <c r="AA208" s="388" t="s">
        <v>3030</v>
      </c>
      <c r="AB208" s="397" t="s">
        <v>987</v>
      </c>
      <c r="AC208" s="391">
        <v>300000</v>
      </c>
      <c r="AD208" s="197">
        <v>1</v>
      </c>
      <c r="AE208" s="197">
        <v>1</v>
      </c>
      <c r="AF208">
        <v>0</v>
      </c>
      <c r="AG208" s="405">
        <v>2</v>
      </c>
    </row>
    <row r="209" spans="1:33" x14ac:dyDescent="0.15">
      <c r="A209" s="391">
        <v>111203</v>
      </c>
      <c r="B209" s="392" t="s">
        <v>1047</v>
      </c>
      <c r="C209" s="392" t="s">
        <v>1047</v>
      </c>
      <c r="D209" s="391" t="s">
        <v>33</v>
      </c>
      <c r="E209" s="391">
        <v>11</v>
      </c>
      <c r="F209" s="391" t="s">
        <v>971</v>
      </c>
      <c r="G209" s="118" t="s">
        <v>1008</v>
      </c>
      <c r="H209" s="391" t="s">
        <v>112</v>
      </c>
      <c r="I209" s="391">
        <v>4</v>
      </c>
      <c r="J209" s="118">
        <v>4</v>
      </c>
      <c r="K209" s="391">
        <v>0</v>
      </c>
      <c r="L209" s="391">
        <v>3</v>
      </c>
      <c r="M209" s="391">
        <v>4</v>
      </c>
      <c r="N209" s="118" t="s">
        <v>57</v>
      </c>
      <c r="O209" s="391">
        <v>99</v>
      </c>
      <c r="P209" s="391">
        <v>0.9</v>
      </c>
      <c r="Q209" s="391">
        <v>0</v>
      </c>
      <c r="R209" s="391">
        <v>1</v>
      </c>
      <c r="S209" s="397" t="b">
        <v>1</v>
      </c>
      <c r="T209" s="391">
        <v>39</v>
      </c>
      <c r="U209" s="118">
        <v>585</v>
      </c>
      <c r="V209" s="118">
        <v>780</v>
      </c>
      <c r="W209" s="391">
        <v>0</v>
      </c>
      <c r="X209" s="391">
        <v>3</v>
      </c>
      <c r="Y209" s="391" t="s">
        <v>38</v>
      </c>
      <c r="Z209" s="388" t="s">
        <v>3031</v>
      </c>
      <c r="AA209" s="388" t="s">
        <v>3031</v>
      </c>
      <c r="AB209" s="397" t="s">
        <v>999</v>
      </c>
      <c r="AC209" s="391">
        <v>300000</v>
      </c>
      <c r="AD209" s="197">
        <v>1</v>
      </c>
      <c r="AE209" s="197">
        <v>1</v>
      </c>
      <c r="AF209">
        <v>0</v>
      </c>
      <c r="AG209" s="405">
        <v>3</v>
      </c>
    </row>
    <row r="210" spans="1:33" s="388" customFormat="1" x14ac:dyDescent="0.15">
      <c r="A210" s="391">
        <v>111204</v>
      </c>
      <c r="B210" s="392" t="s">
        <v>1051</v>
      </c>
      <c r="C210" s="392" t="s">
        <v>1051</v>
      </c>
      <c r="D210" s="391" t="s">
        <v>33</v>
      </c>
      <c r="E210" s="391">
        <v>11</v>
      </c>
      <c r="F210" s="391" t="s">
        <v>971</v>
      </c>
      <c r="G210" s="118" t="s">
        <v>1008</v>
      </c>
      <c r="H210" s="391" t="s">
        <v>112</v>
      </c>
      <c r="I210" s="391">
        <v>5</v>
      </c>
      <c r="J210" s="118">
        <v>5</v>
      </c>
      <c r="K210" s="391">
        <v>0</v>
      </c>
      <c r="L210" s="391">
        <v>3</v>
      </c>
      <c r="M210" s="391">
        <v>5</v>
      </c>
      <c r="N210" s="118" t="s">
        <v>64</v>
      </c>
      <c r="O210" s="391">
        <v>99</v>
      </c>
      <c r="P210" s="391">
        <v>0.9</v>
      </c>
      <c r="Q210" s="391">
        <v>0</v>
      </c>
      <c r="R210" s="391">
        <v>1</v>
      </c>
      <c r="S210" s="397" t="b">
        <v>1</v>
      </c>
      <c r="T210" s="391">
        <v>52</v>
      </c>
      <c r="U210" s="118">
        <v>780</v>
      </c>
      <c r="V210" s="118">
        <v>1040</v>
      </c>
      <c r="W210" s="391">
        <v>0</v>
      </c>
      <c r="X210" s="391">
        <v>4</v>
      </c>
      <c r="Y210" s="391" t="s">
        <v>38</v>
      </c>
      <c r="Z210" s="388" t="s">
        <v>3032</v>
      </c>
      <c r="AA210" s="388" t="s">
        <v>3032</v>
      </c>
      <c r="AB210" s="397" t="s">
        <v>1005</v>
      </c>
      <c r="AC210" s="391">
        <v>300000</v>
      </c>
      <c r="AD210" s="197">
        <v>1</v>
      </c>
      <c r="AE210" s="197">
        <v>1</v>
      </c>
      <c r="AF210">
        <v>0</v>
      </c>
      <c r="AG210" s="405">
        <v>4</v>
      </c>
    </row>
    <row r="211" spans="1:33" x14ac:dyDescent="0.15">
      <c r="A211" s="128">
        <v>111303</v>
      </c>
      <c r="B211" s="128" t="s">
        <v>1055</v>
      </c>
      <c r="C211" s="128" t="s">
        <v>1055</v>
      </c>
      <c r="D211" s="134" t="s">
        <v>33</v>
      </c>
      <c r="E211" s="130">
        <v>11</v>
      </c>
      <c r="F211" s="130" t="s">
        <v>971</v>
      </c>
      <c r="G211" s="118" t="s">
        <v>1056</v>
      </c>
      <c r="H211" s="130" t="s">
        <v>611</v>
      </c>
      <c r="I211" s="130">
        <v>1</v>
      </c>
      <c r="J211" s="118">
        <v>1</v>
      </c>
      <c r="K211" s="130">
        <v>0</v>
      </c>
      <c r="L211" s="130">
        <v>3</v>
      </c>
      <c r="M211" s="130">
        <v>5</v>
      </c>
      <c r="N211" s="118" t="s">
        <v>1057</v>
      </c>
      <c r="O211" s="134">
        <v>99</v>
      </c>
      <c r="P211" s="134">
        <v>0.9</v>
      </c>
      <c r="Q211" s="134">
        <v>0</v>
      </c>
      <c r="R211" s="130">
        <v>1</v>
      </c>
      <c r="S211" s="130" t="b">
        <v>1</v>
      </c>
      <c r="T211" s="134">
        <v>39</v>
      </c>
      <c r="U211" s="118">
        <v>585</v>
      </c>
      <c r="V211" s="118">
        <v>780</v>
      </c>
      <c r="W211" s="134">
        <v>0</v>
      </c>
      <c r="X211" s="130">
        <v>3</v>
      </c>
      <c r="Y211" s="130" t="s">
        <v>38</v>
      </c>
      <c r="Z211" s="388" t="s">
        <v>3033</v>
      </c>
      <c r="AA211" s="388" t="s">
        <v>3033</v>
      </c>
      <c r="AB211" s="414" t="s">
        <v>1060</v>
      </c>
      <c r="AC211" s="130">
        <v>100000</v>
      </c>
      <c r="AD211" s="197">
        <v>1</v>
      </c>
      <c r="AE211" s="197">
        <v>1</v>
      </c>
      <c r="AF211">
        <v>0</v>
      </c>
      <c r="AG211" s="416">
        <v>3</v>
      </c>
    </row>
    <row r="212" spans="1:33" x14ac:dyDescent="0.15">
      <c r="A212" s="417">
        <v>112001</v>
      </c>
      <c r="B212" s="17" t="s">
        <v>1062</v>
      </c>
      <c r="C212" s="17" t="s">
        <v>1062</v>
      </c>
      <c r="D212" s="118" t="s">
        <v>33</v>
      </c>
      <c r="E212" s="118">
        <v>12</v>
      </c>
      <c r="F212" s="118" t="s">
        <v>1063</v>
      </c>
      <c r="G212" s="118" t="s">
        <v>1064</v>
      </c>
      <c r="H212" s="118" t="s">
        <v>35</v>
      </c>
      <c r="I212" s="118">
        <v>1</v>
      </c>
      <c r="J212" s="118">
        <v>1</v>
      </c>
      <c r="K212" s="118">
        <v>1</v>
      </c>
      <c r="L212" s="118">
        <v>3</v>
      </c>
      <c r="M212" s="118" t="s">
        <v>36</v>
      </c>
      <c r="N212" s="118" t="s">
        <v>37</v>
      </c>
      <c r="O212" s="118">
        <v>99</v>
      </c>
      <c r="P212" s="118">
        <v>0.9</v>
      </c>
      <c r="Q212" s="118">
        <v>0</v>
      </c>
      <c r="R212" s="118">
        <v>1</v>
      </c>
      <c r="S212" s="25" t="b">
        <v>1</v>
      </c>
      <c r="T212" s="118">
        <v>13</v>
      </c>
      <c r="U212" s="118">
        <v>195</v>
      </c>
      <c r="V212" s="118">
        <v>260</v>
      </c>
      <c r="W212" s="118">
        <v>0</v>
      </c>
      <c r="X212" s="118">
        <v>1</v>
      </c>
      <c r="Y212" s="118" t="s">
        <v>38</v>
      </c>
      <c r="Z212" s="388" t="s">
        <v>3034</v>
      </c>
      <c r="AA212" s="388" t="s">
        <v>3034</v>
      </c>
      <c r="AB212" s="25" t="s">
        <v>1067</v>
      </c>
      <c r="AC212" s="118">
        <v>200000</v>
      </c>
      <c r="AD212" s="197">
        <v>1</v>
      </c>
      <c r="AE212" s="197">
        <v>1</v>
      </c>
      <c r="AF212">
        <v>0</v>
      </c>
      <c r="AG212" s="402">
        <v>1</v>
      </c>
    </row>
    <row r="213" spans="1:33" x14ac:dyDescent="0.15">
      <c r="A213" s="417">
        <v>112002</v>
      </c>
      <c r="B213" s="17" t="s">
        <v>1069</v>
      </c>
      <c r="C213" s="17" t="s">
        <v>1069</v>
      </c>
      <c r="D213" s="118" t="s">
        <v>33</v>
      </c>
      <c r="E213" s="118">
        <v>12</v>
      </c>
      <c r="F213" s="118" t="s">
        <v>1063</v>
      </c>
      <c r="G213" s="118" t="s">
        <v>1070</v>
      </c>
      <c r="H213" s="118" t="s">
        <v>35</v>
      </c>
      <c r="I213" s="118">
        <v>1</v>
      </c>
      <c r="J213" s="118">
        <v>1</v>
      </c>
      <c r="K213" s="118">
        <v>1</v>
      </c>
      <c r="L213" s="118">
        <v>3</v>
      </c>
      <c r="M213" s="118" t="s">
        <v>44</v>
      </c>
      <c r="N213" s="118" t="s">
        <v>45</v>
      </c>
      <c r="O213" s="118">
        <v>99</v>
      </c>
      <c r="P213" s="118">
        <v>0.9</v>
      </c>
      <c r="Q213" s="118">
        <v>0</v>
      </c>
      <c r="R213" s="118">
        <v>1</v>
      </c>
      <c r="S213" s="25" t="b">
        <v>1</v>
      </c>
      <c r="T213" s="118">
        <v>26</v>
      </c>
      <c r="U213" s="118">
        <v>390</v>
      </c>
      <c r="V213" s="118">
        <v>520</v>
      </c>
      <c r="W213" s="118">
        <v>0</v>
      </c>
      <c r="X213" s="118">
        <v>2</v>
      </c>
      <c r="Y213" s="118" t="s">
        <v>38</v>
      </c>
      <c r="Z213" s="388" t="s">
        <v>3035</v>
      </c>
      <c r="AA213" s="388" t="s">
        <v>3035</v>
      </c>
      <c r="AB213" s="25" t="s">
        <v>1073</v>
      </c>
      <c r="AC213" s="118">
        <v>100000</v>
      </c>
      <c r="AD213" s="197">
        <v>1</v>
      </c>
      <c r="AE213" s="197">
        <v>1</v>
      </c>
      <c r="AF213">
        <v>0</v>
      </c>
      <c r="AG213" s="402">
        <v>2</v>
      </c>
    </row>
    <row r="214" spans="1:33" x14ac:dyDescent="0.15">
      <c r="A214" s="417">
        <v>112003</v>
      </c>
      <c r="B214" s="17" t="s">
        <v>1075</v>
      </c>
      <c r="C214" s="17" t="s">
        <v>1075</v>
      </c>
      <c r="D214" s="118" t="s">
        <v>33</v>
      </c>
      <c r="E214" s="118">
        <v>12</v>
      </c>
      <c r="F214" s="118" t="s">
        <v>1063</v>
      </c>
      <c r="G214" s="118" t="s">
        <v>1076</v>
      </c>
      <c r="H214" s="118" t="s">
        <v>35</v>
      </c>
      <c r="I214" s="118">
        <v>1</v>
      </c>
      <c r="J214" s="118">
        <v>1</v>
      </c>
      <c r="K214" s="118">
        <v>1</v>
      </c>
      <c r="L214" s="118">
        <v>3</v>
      </c>
      <c r="M214" s="118" t="s">
        <v>56</v>
      </c>
      <c r="N214" s="118" t="s">
        <v>57</v>
      </c>
      <c r="O214" s="118">
        <v>99</v>
      </c>
      <c r="P214" s="118">
        <v>0.9</v>
      </c>
      <c r="Q214" s="118">
        <v>0</v>
      </c>
      <c r="R214" s="118">
        <v>1</v>
      </c>
      <c r="S214" s="25" t="b">
        <v>1</v>
      </c>
      <c r="T214" s="118">
        <v>39</v>
      </c>
      <c r="U214" s="118">
        <v>585</v>
      </c>
      <c r="V214" s="118">
        <v>780</v>
      </c>
      <c r="W214" s="118">
        <v>0</v>
      </c>
      <c r="X214" s="118">
        <v>3</v>
      </c>
      <c r="Y214" s="118" t="s">
        <v>38</v>
      </c>
      <c r="Z214" s="388" t="s">
        <v>3036</v>
      </c>
      <c r="AA214" s="388" t="s">
        <v>3036</v>
      </c>
      <c r="AB214" s="25" t="s">
        <v>1079</v>
      </c>
      <c r="AC214" s="118">
        <v>200000</v>
      </c>
      <c r="AD214" s="197">
        <v>1</v>
      </c>
      <c r="AE214" s="197">
        <v>1</v>
      </c>
      <c r="AF214">
        <v>0</v>
      </c>
      <c r="AG214" s="402">
        <v>3</v>
      </c>
    </row>
    <row r="215" spans="1:33" x14ac:dyDescent="0.15">
      <c r="A215" s="417">
        <v>112004</v>
      </c>
      <c r="B215" s="71" t="s">
        <v>1081</v>
      </c>
      <c r="C215" s="71" t="s">
        <v>1081</v>
      </c>
      <c r="D215" s="118" t="s">
        <v>33</v>
      </c>
      <c r="E215" s="118">
        <v>12</v>
      </c>
      <c r="F215" s="118" t="s">
        <v>1063</v>
      </c>
      <c r="G215" s="118" t="s">
        <v>1082</v>
      </c>
      <c r="H215" s="118" t="s">
        <v>35</v>
      </c>
      <c r="I215" s="118">
        <v>1</v>
      </c>
      <c r="J215" s="118">
        <v>1</v>
      </c>
      <c r="K215" s="118">
        <v>1</v>
      </c>
      <c r="L215" s="118">
        <v>3</v>
      </c>
      <c r="M215" s="118" t="s">
        <v>63</v>
      </c>
      <c r="N215" s="118" t="s">
        <v>64</v>
      </c>
      <c r="O215" s="118">
        <v>99</v>
      </c>
      <c r="P215" s="118">
        <v>0.9</v>
      </c>
      <c r="Q215" s="118">
        <v>0</v>
      </c>
      <c r="R215" s="118">
        <v>1</v>
      </c>
      <c r="S215" s="25" t="b">
        <v>1</v>
      </c>
      <c r="T215" s="118">
        <v>52</v>
      </c>
      <c r="U215" s="118">
        <v>780</v>
      </c>
      <c r="V215" s="118">
        <v>1040</v>
      </c>
      <c r="W215" s="118">
        <v>0</v>
      </c>
      <c r="X215" s="118">
        <v>4</v>
      </c>
      <c r="Y215" s="118" t="s">
        <v>38</v>
      </c>
      <c r="Z215" s="388" t="s">
        <v>3037</v>
      </c>
      <c r="AA215" s="388" t="s">
        <v>3037</v>
      </c>
      <c r="AB215" s="25" t="s">
        <v>1085</v>
      </c>
      <c r="AC215" s="118">
        <v>100000</v>
      </c>
      <c r="AD215" s="197">
        <v>1</v>
      </c>
      <c r="AE215" s="197">
        <v>1</v>
      </c>
      <c r="AF215">
        <v>0</v>
      </c>
      <c r="AG215" s="402">
        <v>4</v>
      </c>
    </row>
    <row r="216" spans="1:33" x14ac:dyDescent="0.15">
      <c r="A216" s="417">
        <v>112005</v>
      </c>
      <c r="B216" s="17" t="s">
        <v>1087</v>
      </c>
      <c r="C216" s="17" t="s">
        <v>1087</v>
      </c>
      <c r="D216" s="118" t="s">
        <v>33</v>
      </c>
      <c r="E216" s="118">
        <v>12</v>
      </c>
      <c r="F216" s="118" t="s">
        <v>1063</v>
      </c>
      <c r="G216" s="118" t="s">
        <v>1088</v>
      </c>
      <c r="H216" s="118" t="s">
        <v>35</v>
      </c>
      <c r="I216" s="118">
        <v>1</v>
      </c>
      <c r="J216" s="118">
        <v>1</v>
      </c>
      <c r="K216" s="118">
        <v>1</v>
      </c>
      <c r="L216" s="118">
        <v>3</v>
      </c>
      <c r="M216" s="118" t="s">
        <v>70</v>
      </c>
      <c r="N216" s="118" t="s">
        <v>71</v>
      </c>
      <c r="O216" s="118">
        <v>99</v>
      </c>
      <c r="P216" s="118">
        <v>0.9</v>
      </c>
      <c r="Q216" s="118">
        <v>0</v>
      </c>
      <c r="R216" s="118">
        <v>1</v>
      </c>
      <c r="S216" s="25" t="b">
        <v>1</v>
      </c>
      <c r="T216" s="118">
        <v>65</v>
      </c>
      <c r="U216" s="118">
        <v>975</v>
      </c>
      <c r="V216" s="118">
        <v>1300</v>
      </c>
      <c r="W216" s="118">
        <v>0</v>
      </c>
      <c r="X216" s="118">
        <v>5</v>
      </c>
      <c r="Y216" s="118" t="s">
        <v>38</v>
      </c>
      <c r="Z216" s="388" t="s">
        <v>3038</v>
      </c>
      <c r="AA216" s="388" t="s">
        <v>3038</v>
      </c>
      <c r="AB216" s="25" t="s">
        <v>1091</v>
      </c>
      <c r="AC216" s="118">
        <v>100000</v>
      </c>
      <c r="AD216" s="197">
        <v>1</v>
      </c>
      <c r="AE216" s="197">
        <v>1</v>
      </c>
      <c r="AF216">
        <v>0</v>
      </c>
      <c r="AG216" s="402">
        <v>5</v>
      </c>
    </row>
    <row r="217" spans="1:33" s="389" customFormat="1" x14ac:dyDescent="0.15">
      <c r="A217" s="417">
        <v>112006</v>
      </c>
      <c r="B217" s="17" t="s">
        <v>1093</v>
      </c>
      <c r="C217" s="17" t="s">
        <v>1093</v>
      </c>
      <c r="D217" s="118" t="s">
        <v>33</v>
      </c>
      <c r="E217" s="118">
        <v>12</v>
      </c>
      <c r="F217" s="118" t="s">
        <v>1063</v>
      </c>
      <c r="G217" s="118" t="s">
        <v>1094</v>
      </c>
      <c r="H217" s="118" t="s">
        <v>35</v>
      </c>
      <c r="I217" s="118">
        <v>1</v>
      </c>
      <c r="J217" s="118">
        <v>1</v>
      </c>
      <c r="K217" s="118">
        <v>1</v>
      </c>
      <c r="L217" s="118">
        <v>3</v>
      </c>
      <c r="M217" s="118" t="s">
        <v>70</v>
      </c>
      <c r="N217" s="118" t="s">
        <v>77</v>
      </c>
      <c r="O217" s="118">
        <v>99</v>
      </c>
      <c r="P217" s="118">
        <v>0.9</v>
      </c>
      <c r="Q217" s="118">
        <v>0</v>
      </c>
      <c r="R217" s="118">
        <v>1</v>
      </c>
      <c r="S217" s="25" t="b">
        <v>1</v>
      </c>
      <c r="T217" s="118">
        <v>78</v>
      </c>
      <c r="U217" s="118">
        <v>1170</v>
      </c>
      <c r="V217" s="118">
        <v>1560</v>
      </c>
      <c r="W217" s="118">
        <v>0</v>
      </c>
      <c r="X217" s="118">
        <v>6</v>
      </c>
      <c r="Y217" s="118" t="s">
        <v>38</v>
      </c>
      <c r="Z217" s="388" t="s">
        <v>3039</v>
      </c>
      <c r="AA217" s="388" t="s">
        <v>3039</v>
      </c>
      <c r="AB217" s="25" t="s">
        <v>1097</v>
      </c>
      <c r="AC217" s="118">
        <v>100000</v>
      </c>
      <c r="AD217" s="197">
        <v>1</v>
      </c>
      <c r="AE217" s="197">
        <v>1</v>
      </c>
      <c r="AF217">
        <v>0</v>
      </c>
      <c r="AG217" s="402">
        <v>6</v>
      </c>
    </row>
    <row r="218" spans="1:33" x14ac:dyDescent="0.15">
      <c r="A218" s="417">
        <v>112007</v>
      </c>
      <c r="B218" s="17" t="s">
        <v>1099</v>
      </c>
      <c r="C218" s="17" t="s">
        <v>1099</v>
      </c>
      <c r="D218" s="118" t="s">
        <v>33</v>
      </c>
      <c r="E218" s="118">
        <v>12</v>
      </c>
      <c r="F218" s="118" t="s">
        <v>1063</v>
      </c>
      <c r="G218" s="118" t="s">
        <v>1100</v>
      </c>
      <c r="H218" s="118" t="s">
        <v>35</v>
      </c>
      <c r="I218" s="118">
        <v>1</v>
      </c>
      <c r="J218" s="118">
        <v>1</v>
      </c>
      <c r="K218" s="118">
        <v>1</v>
      </c>
      <c r="L218" s="118">
        <v>3</v>
      </c>
      <c r="M218" s="118" t="s">
        <v>70</v>
      </c>
      <c r="N218" s="118" t="s">
        <v>83</v>
      </c>
      <c r="O218" s="118">
        <v>99</v>
      </c>
      <c r="P218" s="118">
        <v>0.9</v>
      </c>
      <c r="Q218" s="118">
        <v>0</v>
      </c>
      <c r="R218" s="118">
        <v>1</v>
      </c>
      <c r="S218" s="25" t="b">
        <v>1</v>
      </c>
      <c r="T218" s="118">
        <v>91</v>
      </c>
      <c r="U218" s="118">
        <v>1365</v>
      </c>
      <c r="V218" s="118">
        <v>1820</v>
      </c>
      <c r="W218" s="118">
        <v>0</v>
      </c>
      <c r="X218" s="118">
        <v>7</v>
      </c>
      <c r="Y218" s="118" t="s">
        <v>38</v>
      </c>
      <c r="Z218" s="388" t="s">
        <v>3040</v>
      </c>
      <c r="AA218" s="388" t="s">
        <v>3040</v>
      </c>
      <c r="AB218" s="25" t="s">
        <v>1103</v>
      </c>
      <c r="AC218" s="118">
        <v>100000</v>
      </c>
      <c r="AD218" s="197">
        <v>1</v>
      </c>
      <c r="AE218" s="197">
        <v>1</v>
      </c>
      <c r="AF218">
        <v>0</v>
      </c>
      <c r="AG218" s="402">
        <v>7</v>
      </c>
    </row>
    <row r="219" spans="1:33" x14ac:dyDescent="0.15">
      <c r="A219" s="119">
        <v>112207</v>
      </c>
      <c r="B219" s="114" t="s">
        <v>1105</v>
      </c>
      <c r="C219" s="114" t="s">
        <v>1105</v>
      </c>
      <c r="D219" s="119" t="s">
        <v>33</v>
      </c>
      <c r="E219" s="119">
        <v>12</v>
      </c>
      <c r="F219" s="119" t="s">
        <v>1063</v>
      </c>
      <c r="G219" s="118" t="s">
        <v>1100</v>
      </c>
      <c r="H219" s="119" t="s">
        <v>51</v>
      </c>
      <c r="I219" s="119">
        <v>1</v>
      </c>
      <c r="J219" s="118">
        <v>4</v>
      </c>
      <c r="K219" s="119">
        <v>0</v>
      </c>
      <c r="L219" s="119">
        <v>3</v>
      </c>
      <c r="M219" s="119" t="s">
        <v>52</v>
      </c>
      <c r="N219" s="118" t="s">
        <v>83</v>
      </c>
      <c r="O219" s="119">
        <v>99</v>
      </c>
      <c r="P219" s="119">
        <v>0.9</v>
      </c>
      <c r="Q219" s="119">
        <v>0</v>
      </c>
      <c r="R219" s="119">
        <v>1</v>
      </c>
      <c r="S219" s="80" t="b">
        <v>1</v>
      </c>
      <c r="T219" s="119">
        <v>91</v>
      </c>
      <c r="U219" s="118">
        <v>1365</v>
      </c>
      <c r="V219" s="118">
        <v>1820</v>
      </c>
      <c r="W219" s="119">
        <v>0</v>
      </c>
      <c r="X219" s="119">
        <v>7</v>
      </c>
      <c r="Y219" s="119" t="s">
        <v>38</v>
      </c>
      <c r="Z219" s="388" t="s">
        <v>3040</v>
      </c>
      <c r="AA219" s="388" t="s">
        <v>3040</v>
      </c>
      <c r="AB219" s="80" t="s">
        <v>1103</v>
      </c>
      <c r="AC219" s="119">
        <v>100000</v>
      </c>
      <c r="AD219" s="197">
        <v>1</v>
      </c>
      <c r="AE219" s="197">
        <v>1</v>
      </c>
      <c r="AF219">
        <v>0</v>
      </c>
      <c r="AG219" s="403">
        <v>7</v>
      </c>
    </row>
    <row r="220" spans="1:33" x14ac:dyDescent="0.15">
      <c r="A220" s="417">
        <v>112008</v>
      </c>
      <c r="B220" s="17" t="s">
        <v>1108</v>
      </c>
      <c r="C220" s="17" t="s">
        <v>1108</v>
      </c>
      <c r="D220" s="118" t="s">
        <v>33</v>
      </c>
      <c r="E220" s="118">
        <v>12</v>
      </c>
      <c r="F220" s="118" t="s">
        <v>1063</v>
      </c>
      <c r="G220" s="118" t="s">
        <v>1109</v>
      </c>
      <c r="H220" s="17" t="s">
        <v>35</v>
      </c>
      <c r="I220" s="118">
        <v>1</v>
      </c>
      <c r="J220" s="118">
        <v>1</v>
      </c>
      <c r="K220" s="118">
        <v>1</v>
      </c>
      <c r="L220" s="118">
        <v>3</v>
      </c>
      <c r="M220" s="118" t="s">
        <v>70</v>
      </c>
      <c r="N220" s="118" t="s">
        <v>89</v>
      </c>
      <c r="O220" s="118">
        <v>99</v>
      </c>
      <c r="P220" s="118">
        <v>0.9</v>
      </c>
      <c r="Q220" s="118">
        <v>0</v>
      </c>
      <c r="R220" s="118">
        <v>1</v>
      </c>
      <c r="S220" s="415" t="b">
        <v>1</v>
      </c>
      <c r="T220" s="415">
        <v>104</v>
      </c>
      <c r="U220" s="118">
        <v>1560</v>
      </c>
      <c r="V220" s="118">
        <v>2080</v>
      </c>
      <c r="W220" s="415">
        <v>0</v>
      </c>
      <c r="X220" s="415">
        <v>8</v>
      </c>
      <c r="Y220" s="415" t="s">
        <v>38</v>
      </c>
      <c r="Z220" s="388" t="s">
        <v>3041</v>
      </c>
      <c r="AA220" s="388" t="s">
        <v>3041</v>
      </c>
      <c r="AB220" s="415" t="s">
        <v>1112</v>
      </c>
      <c r="AC220" s="415">
        <v>300000</v>
      </c>
      <c r="AD220" s="191">
        <v>1</v>
      </c>
      <c r="AE220" s="191">
        <v>1</v>
      </c>
      <c r="AF220">
        <v>0</v>
      </c>
      <c r="AG220" s="402">
        <v>2</v>
      </c>
    </row>
    <row r="221" spans="1:33" s="388" customFormat="1" x14ac:dyDescent="0.15">
      <c r="A221" s="417">
        <v>112009</v>
      </c>
      <c r="B221" s="17" t="s">
        <v>1114</v>
      </c>
      <c r="C221" s="17" t="s">
        <v>1114</v>
      </c>
      <c r="D221" s="118" t="s">
        <v>33</v>
      </c>
      <c r="E221" s="118">
        <v>12</v>
      </c>
      <c r="F221" s="118" t="s">
        <v>1063</v>
      </c>
      <c r="G221" s="118" t="s">
        <v>1115</v>
      </c>
      <c r="H221" s="17" t="s">
        <v>35</v>
      </c>
      <c r="I221" s="118">
        <v>1</v>
      </c>
      <c r="J221" s="118">
        <v>1</v>
      </c>
      <c r="K221" s="118">
        <v>1</v>
      </c>
      <c r="L221" s="118">
        <v>3</v>
      </c>
      <c r="M221" s="118" t="s">
        <v>70</v>
      </c>
      <c r="N221" s="118" t="s">
        <v>95</v>
      </c>
      <c r="O221" s="118">
        <v>99</v>
      </c>
      <c r="P221" s="118">
        <v>0.9</v>
      </c>
      <c r="Q221" s="118">
        <v>0</v>
      </c>
      <c r="R221" s="118">
        <v>1</v>
      </c>
      <c r="S221" s="415" t="b">
        <v>1</v>
      </c>
      <c r="T221" s="415">
        <v>117</v>
      </c>
      <c r="U221" s="118">
        <v>1755</v>
      </c>
      <c r="V221" s="118">
        <v>2340</v>
      </c>
      <c r="W221" s="415">
        <v>0</v>
      </c>
      <c r="X221" s="415">
        <v>9</v>
      </c>
      <c r="Y221" s="415" t="s">
        <v>38</v>
      </c>
      <c r="Z221" s="388" t="s">
        <v>3042</v>
      </c>
      <c r="AA221" s="388" t="s">
        <v>3042</v>
      </c>
      <c r="AB221" s="415" t="s">
        <v>1118</v>
      </c>
      <c r="AC221" s="415">
        <v>300000</v>
      </c>
      <c r="AD221" s="191">
        <v>1</v>
      </c>
      <c r="AE221" s="191">
        <v>1</v>
      </c>
      <c r="AF221">
        <v>0</v>
      </c>
      <c r="AG221" s="402">
        <v>3</v>
      </c>
    </row>
    <row r="222" spans="1:33" x14ac:dyDescent="0.15">
      <c r="A222" s="417">
        <v>112010</v>
      </c>
      <c r="B222" s="17" t="s">
        <v>1120</v>
      </c>
      <c r="C222" s="17" t="s">
        <v>1120</v>
      </c>
      <c r="D222" s="118" t="s">
        <v>33</v>
      </c>
      <c r="E222" s="118">
        <v>12</v>
      </c>
      <c r="F222" s="118" t="s">
        <v>1063</v>
      </c>
      <c r="G222" s="118" t="s">
        <v>1121</v>
      </c>
      <c r="H222" s="17" t="s">
        <v>35</v>
      </c>
      <c r="I222" s="118">
        <v>1</v>
      </c>
      <c r="J222" s="118">
        <v>1</v>
      </c>
      <c r="K222" s="118">
        <v>1</v>
      </c>
      <c r="L222" s="118">
        <v>3</v>
      </c>
      <c r="M222" s="118" t="s">
        <v>70</v>
      </c>
      <c r="N222" s="118" t="s">
        <v>101</v>
      </c>
      <c r="O222" s="118">
        <v>99</v>
      </c>
      <c r="P222" s="118">
        <v>0.9</v>
      </c>
      <c r="Q222" s="118">
        <v>0</v>
      </c>
      <c r="R222" s="118">
        <v>1</v>
      </c>
      <c r="S222" s="415" t="b">
        <v>1</v>
      </c>
      <c r="T222" s="415">
        <v>130</v>
      </c>
      <c r="U222" s="118">
        <v>1950</v>
      </c>
      <c r="V222" s="118">
        <v>2600</v>
      </c>
      <c r="W222" s="415">
        <v>0</v>
      </c>
      <c r="X222" s="415">
        <v>10</v>
      </c>
      <c r="Y222" s="415" t="s">
        <v>38</v>
      </c>
      <c r="Z222" s="388" t="s">
        <v>3043</v>
      </c>
      <c r="AA222" s="388" t="s">
        <v>3043</v>
      </c>
      <c r="AB222" s="415" t="s">
        <v>1124</v>
      </c>
      <c r="AC222" s="415">
        <v>300000</v>
      </c>
      <c r="AD222" s="191">
        <v>1</v>
      </c>
      <c r="AE222" s="191">
        <v>1</v>
      </c>
      <c r="AF222">
        <v>0</v>
      </c>
      <c r="AG222" s="402">
        <v>4</v>
      </c>
    </row>
    <row r="223" spans="1:33" x14ac:dyDescent="0.15">
      <c r="A223" s="418">
        <v>112208</v>
      </c>
      <c r="B223" s="114" t="s">
        <v>1126</v>
      </c>
      <c r="C223" s="114" t="s">
        <v>1126</v>
      </c>
      <c r="D223" s="119" t="s">
        <v>33</v>
      </c>
      <c r="E223" s="119">
        <v>12</v>
      </c>
      <c r="F223" s="119" t="s">
        <v>1063</v>
      </c>
      <c r="G223" s="119" t="s">
        <v>1109</v>
      </c>
      <c r="H223" s="119" t="s">
        <v>51</v>
      </c>
      <c r="I223" s="119">
        <v>1</v>
      </c>
      <c r="J223" s="118">
        <v>4</v>
      </c>
      <c r="K223" s="119">
        <v>0</v>
      </c>
      <c r="L223" s="119">
        <v>3</v>
      </c>
      <c r="M223" s="119" t="s">
        <v>52</v>
      </c>
      <c r="N223" s="118" t="s">
        <v>89</v>
      </c>
      <c r="O223" s="119">
        <v>99</v>
      </c>
      <c r="P223" s="119">
        <v>0.9</v>
      </c>
      <c r="Q223" s="119">
        <v>0</v>
      </c>
      <c r="R223" s="119">
        <v>1</v>
      </c>
      <c r="S223" s="80" t="b">
        <v>1</v>
      </c>
      <c r="T223" s="119">
        <v>104</v>
      </c>
      <c r="U223" s="118">
        <v>1560</v>
      </c>
      <c r="V223" s="118">
        <v>2080</v>
      </c>
      <c r="W223" s="119">
        <v>0</v>
      </c>
      <c r="X223" s="119">
        <v>8</v>
      </c>
      <c r="Y223" s="119" t="s">
        <v>38</v>
      </c>
      <c r="Z223" s="388" t="s">
        <v>3041</v>
      </c>
      <c r="AA223" s="388" t="s">
        <v>3041</v>
      </c>
      <c r="AB223" s="80" t="s">
        <v>1112</v>
      </c>
      <c r="AC223" s="119">
        <v>300000</v>
      </c>
      <c r="AD223" s="92">
        <v>1</v>
      </c>
      <c r="AE223" s="92">
        <v>1</v>
      </c>
      <c r="AF223">
        <v>0</v>
      </c>
      <c r="AG223" s="403">
        <v>2</v>
      </c>
    </row>
    <row r="224" spans="1:33" x14ac:dyDescent="0.15">
      <c r="A224" s="418">
        <v>112209</v>
      </c>
      <c r="B224" s="114" t="s">
        <v>1129</v>
      </c>
      <c r="C224" s="114" t="s">
        <v>1129</v>
      </c>
      <c r="D224" s="119" t="s">
        <v>33</v>
      </c>
      <c r="E224" s="119">
        <v>12</v>
      </c>
      <c r="F224" s="119" t="s">
        <v>1063</v>
      </c>
      <c r="G224" s="119" t="s">
        <v>1115</v>
      </c>
      <c r="H224" s="119" t="s">
        <v>51</v>
      </c>
      <c r="I224" s="119">
        <v>1</v>
      </c>
      <c r="J224" s="118">
        <v>4</v>
      </c>
      <c r="K224" s="119">
        <v>0</v>
      </c>
      <c r="L224" s="119">
        <v>3</v>
      </c>
      <c r="M224" s="119" t="s">
        <v>52</v>
      </c>
      <c r="N224" s="118" t="s">
        <v>95</v>
      </c>
      <c r="O224" s="119">
        <v>99</v>
      </c>
      <c r="P224" s="119">
        <v>0.9</v>
      </c>
      <c r="Q224" s="119">
        <v>0</v>
      </c>
      <c r="R224" s="119">
        <v>1</v>
      </c>
      <c r="S224" s="80" t="b">
        <v>1</v>
      </c>
      <c r="T224" s="119">
        <v>117</v>
      </c>
      <c r="U224" s="118">
        <v>1755</v>
      </c>
      <c r="V224" s="118">
        <v>2340</v>
      </c>
      <c r="W224" s="119">
        <v>0</v>
      </c>
      <c r="X224" s="119">
        <v>9</v>
      </c>
      <c r="Y224" s="119" t="s">
        <v>38</v>
      </c>
      <c r="Z224" s="388" t="s">
        <v>3042</v>
      </c>
      <c r="AA224" s="388" t="s">
        <v>3042</v>
      </c>
      <c r="AB224" s="80" t="s">
        <v>1118</v>
      </c>
      <c r="AC224" s="119">
        <v>300000</v>
      </c>
      <c r="AD224" s="92">
        <v>1</v>
      </c>
      <c r="AE224" s="92">
        <v>1</v>
      </c>
      <c r="AF224">
        <v>0</v>
      </c>
      <c r="AG224" s="403">
        <v>3</v>
      </c>
    </row>
    <row r="225" spans="1:33" x14ac:dyDescent="0.15">
      <c r="A225" s="418">
        <v>112210</v>
      </c>
      <c r="B225" s="114" t="s">
        <v>1132</v>
      </c>
      <c r="C225" s="114" t="s">
        <v>1132</v>
      </c>
      <c r="D225" s="119" t="s">
        <v>33</v>
      </c>
      <c r="E225" s="119">
        <v>12</v>
      </c>
      <c r="F225" s="119" t="s">
        <v>1063</v>
      </c>
      <c r="G225" s="119" t="s">
        <v>1121</v>
      </c>
      <c r="H225" s="119" t="s">
        <v>51</v>
      </c>
      <c r="I225" s="119">
        <v>1</v>
      </c>
      <c r="J225" s="118">
        <v>4</v>
      </c>
      <c r="K225" s="119">
        <v>0</v>
      </c>
      <c r="L225" s="119">
        <v>3</v>
      </c>
      <c r="M225" s="119" t="s">
        <v>52</v>
      </c>
      <c r="N225" s="118" t="s">
        <v>101</v>
      </c>
      <c r="O225" s="119">
        <v>99</v>
      </c>
      <c r="P225" s="119">
        <v>0.9</v>
      </c>
      <c r="Q225" s="119">
        <v>0</v>
      </c>
      <c r="R225" s="119">
        <v>1</v>
      </c>
      <c r="S225" s="80" t="b">
        <v>1</v>
      </c>
      <c r="T225" s="119">
        <v>130</v>
      </c>
      <c r="U225" s="118">
        <v>1950</v>
      </c>
      <c r="V225" s="118">
        <v>2600</v>
      </c>
      <c r="W225" s="119">
        <v>0</v>
      </c>
      <c r="X225" s="119">
        <v>10</v>
      </c>
      <c r="Y225" s="119" t="s">
        <v>38</v>
      </c>
      <c r="Z225" s="388" t="s">
        <v>3043</v>
      </c>
      <c r="AA225" s="388" t="s">
        <v>3043</v>
      </c>
      <c r="AB225" s="80" t="s">
        <v>1124</v>
      </c>
      <c r="AC225" s="119">
        <v>300000</v>
      </c>
      <c r="AD225" s="92">
        <v>1</v>
      </c>
      <c r="AE225" s="92">
        <v>1</v>
      </c>
      <c r="AF225">
        <v>0</v>
      </c>
      <c r="AG225" s="403">
        <v>4</v>
      </c>
    </row>
    <row r="226" spans="1:33" x14ac:dyDescent="0.15">
      <c r="A226" s="417">
        <v>113001</v>
      </c>
      <c r="B226" s="17" t="s">
        <v>1135</v>
      </c>
      <c r="C226" s="17" t="s">
        <v>1135</v>
      </c>
      <c r="D226" s="118" t="s">
        <v>33</v>
      </c>
      <c r="E226" s="118">
        <v>13</v>
      </c>
      <c r="F226" s="118" t="s">
        <v>1136</v>
      </c>
      <c r="G226" s="118" t="s">
        <v>1137</v>
      </c>
      <c r="H226" s="118" t="s">
        <v>35</v>
      </c>
      <c r="I226" s="118">
        <v>1</v>
      </c>
      <c r="J226" s="118">
        <v>1</v>
      </c>
      <c r="K226" s="118">
        <v>1</v>
      </c>
      <c r="L226" s="118">
        <v>3</v>
      </c>
      <c r="M226" s="118" t="s">
        <v>36</v>
      </c>
      <c r="N226" s="118" t="s">
        <v>37</v>
      </c>
      <c r="O226" s="118">
        <v>99</v>
      </c>
      <c r="P226" s="118">
        <v>0.9</v>
      </c>
      <c r="Q226" s="118">
        <v>0</v>
      </c>
      <c r="R226" s="118">
        <v>1</v>
      </c>
      <c r="S226" s="25" t="b">
        <v>1</v>
      </c>
      <c r="T226" s="118">
        <v>13</v>
      </c>
      <c r="U226" s="118">
        <v>195</v>
      </c>
      <c r="V226" s="118">
        <v>260</v>
      </c>
      <c r="W226" s="118">
        <v>0</v>
      </c>
      <c r="X226" s="118">
        <v>1</v>
      </c>
      <c r="Y226" s="118" t="s">
        <v>38</v>
      </c>
      <c r="Z226" s="388" t="s">
        <v>3044</v>
      </c>
      <c r="AA226" s="388" t="s">
        <v>3044</v>
      </c>
      <c r="AB226" s="25" t="s">
        <v>1140</v>
      </c>
      <c r="AC226" s="118">
        <v>200000</v>
      </c>
      <c r="AD226" s="197">
        <v>1</v>
      </c>
      <c r="AE226" s="197">
        <v>1</v>
      </c>
      <c r="AF226">
        <v>0</v>
      </c>
      <c r="AG226" s="402">
        <v>1</v>
      </c>
    </row>
    <row r="227" spans="1:33" x14ac:dyDescent="0.15">
      <c r="A227" s="417">
        <v>113002</v>
      </c>
      <c r="B227" s="17" t="s">
        <v>1142</v>
      </c>
      <c r="C227" s="17" t="s">
        <v>1142</v>
      </c>
      <c r="D227" s="118" t="s">
        <v>33</v>
      </c>
      <c r="E227" s="118">
        <v>13</v>
      </c>
      <c r="F227" s="118" t="s">
        <v>1136</v>
      </c>
      <c r="G227" s="118" t="s">
        <v>1143</v>
      </c>
      <c r="H227" s="118" t="s">
        <v>35</v>
      </c>
      <c r="I227" s="118">
        <v>1</v>
      </c>
      <c r="J227" s="118">
        <v>1</v>
      </c>
      <c r="K227" s="118">
        <v>1</v>
      </c>
      <c r="L227" s="118">
        <v>3</v>
      </c>
      <c r="M227" s="118" t="s">
        <v>44</v>
      </c>
      <c r="N227" s="118" t="s">
        <v>45</v>
      </c>
      <c r="O227" s="118">
        <v>99</v>
      </c>
      <c r="P227" s="118">
        <v>0.9</v>
      </c>
      <c r="Q227" s="118">
        <v>0</v>
      </c>
      <c r="R227" s="118">
        <v>1</v>
      </c>
      <c r="S227" s="25" t="b">
        <v>1</v>
      </c>
      <c r="T227" s="118">
        <v>26</v>
      </c>
      <c r="U227" s="118">
        <v>390</v>
      </c>
      <c r="V227" s="118">
        <v>520</v>
      </c>
      <c r="W227" s="118">
        <v>0</v>
      </c>
      <c r="X227" s="118">
        <v>2</v>
      </c>
      <c r="Y227" s="118" t="s">
        <v>38</v>
      </c>
      <c r="Z227" s="388" t="s">
        <v>3045</v>
      </c>
      <c r="AA227" s="388" t="s">
        <v>3045</v>
      </c>
      <c r="AB227" s="25" t="s">
        <v>1146</v>
      </c>
      <c r="AC227" s="118">
        <v>100000</v>
      </c>
      <c r="AD227" s="197">
        <v>1</v>
      </c>
      <c r="AE227" s="197">
        <v>1</v>
      </c>
      <c r="AF227">
        <v>0</v>
      </c>
      <c r="AG227" s="402">
        <v>2</v>
      </c>
    </row>
    <row r="228" spans="1:33" x14ac:dyDescent="0.15">
      <c r="A228" s="417">
        <v>113003</v>
      </c>
      <c r="B228" s="17" t="s">
        <v>1148</v>
      </c>
      <c r="C228" s="17" t="s">
        <v>1148</v>
      </c>
      <c r="D228" s="118" t="s">
        <v>33</v>
      </c>
      <c r="E228" s="118">
        <v>13</v>
      </c>
      <c r="F228" s="118" t="s">
        <v>1136</v>
      </c>
      <c r="G228" s="118" t="s">
        <v>1149</v>
      </c>
      <c r="H228" s="118" t="s">
        <v>35</v>
      </c>
      <c r="I228" s="118">
        <v>1</v>
      </c>
      <c r="J228" s="118">
        <v>1</v>
      </c>
      <c r="K228" s="118">
        <v>1</v>
      </c>
      <c r="L228" s="118">
        <v>3</v>
      </c>
      <c r="M228" s="118" t="s">
        <v>56</v>
      </c>
      <c r="N228" s="118" t="s">
        <v>57</v>
      </c>
      <c r="O228" s="118">
        <v>99</v>
      </c>
      <c r="P228" s="118">
        <v>0.9</v>
      </c>
      <c r="Q228" s="118">
        <v>0</v>
      </c>
      <c r="R228" s="118">
        <v>1</v>
      </c>
      <c r="S228" s="25" t="b">
        <v>1</v>
      </c>
      <c r="T228" s="118">
        <v>39</v>
      </c>
      <c r="U228" s="118">
        <v>585</v>
      </c>
      <c r="V228" s="118">
        <v>780</v>
      </c>
      <c r="W228" s="118">
        <v>0</v>
      </c>
      <c r="X228" s="118">
        <v>3</v>
      </c>
      <c r="Y228" s="118" t="s">
        <v>38</v>
      </c>
      <c r="Z228" s="388" t="s">
        <v>3046</v>
      </c>
      <c r="AA228" s="388" t="s">
        <v>3046</v>
      </c>
      <c r="AB228" s="25" t="s">
        <v>1152</v>
      </c>
      <c r="AC228" s="118">
        <v>200000</v>
      </c>
      <c r="AD228" s="197">
        <v>1</v>
      </c>
      <c r="AE228" s="197">
        <v>1</v>
      </c>
      <c r="AF228">
        <v>0</v>
      </c>
      <c r="AG228" s="402">
        <v>3</v>
      </c>
    </row>
    <row r="229" spans="1:33" x14ac:dyDescent="0.15">
      <c r="A229" s="417">
        <v>113004</v>
      </c>
      <c r="B229" s="71" t="s">
        <v>1154</v>
      </c>
      <c r="C229" s="71" t="s">
        <v>1154</v>
      </c>
      <c r="D229" s="118" t="s">
        <v>33</v>
      </c>
      <c r="E229" s="118">
        <v>13</v>
      </c>
      <c r="F229" s="118" t="s">
        <v>1136</v>
      </c>
      <c r="G229" s="118" t="s">
        <v>1155</v>
      </c>
      <c r="H229" s="118" t="s">
        <v>35</v>
      </c>
      <c r="I229" s="118">
        <v>1</v>
      </c>
      <c r="J229" s="118">
        <v>1</v>
      </c>
      <c r="K229" s="118">
        <v>1</v>
      </c>
      <c r="L229" s="118">
        <v>3</v>
      </c>
      <c r="M229" s="118" t="s">
        <v>63</v>
      </c>
      <c r="N229" s="118" t="s">
        <v>64</v>
      </c>
      <c r="O229" s="118">
        <v>99</v>
      </c>
      <c r="P229" s="118">
        <v>0.9</v>
      </c>
      <c r="Q229" s="118">
        <v>0</v>
      </c>
      <c r="R229" s="118">
        <v>1</v>
      </c>
      <c r="S229" s="25" t="b">
        <v>1</v>
      </c>
      <c r="T229" s="118">
        <v>52</v>
      </c>
      <c r="U229" s="118">
        <v>780</v>
      </c>
      <c r="V229" s="118">
        <v>1040</v>
      </c>
      <c r="W229" s="118">
        <v>0</v>
      </c>
      <c r="X229" s="118">
        <v>4</v>
      </c>
      <c r="Y229" s="118" t="s">
        <v>38</v>
      </c>
      <c r="Z229" s="388" t="s">
        <v>3047</v>
      </c>
      <c r="AA229" s="388" t="s">
        <v>3047</v>
      </c>
      <c r="AB229" s="25" t="s">
        <v>1158</v>
      </c>
      <c r="AC229" s="118">
        <v>100000</v>
      </c>
      <c r="AD229" s="197">
        <v>1</v>
      </c>
      <c r="AE229" s="197">
        <v>1</v>
      </c>
      <c r="AF229">
        <v>0</v>
      </c>
      <c r="AG229" s="402">
        <v>4</v>
      </c>
    </row>
    <row r="230" spans="1:33" x14ac:dyDescent="0.15">
      <c r="A230" s="417">
        <v>113005</v>
      </c>
      <c r="B230" s="17" t="s">
        <v>1160</v>
      </c>
      <c r="C230" s="17" t="s">
        <v>1160</v>
      </c>
      <c r="D230" s="118" t="s">
        <v>33</v>
      </c>
      <c r="E230" s="118">
        <v>13</v>
      </c>
      <c r="F230" s="118" t="s">
        <v>1136</v>
      </c>
      <c r="G230" s="118" t="s">
        <v>1161</v>
      </c>
      <c r="H230" s="118" t="s">
        <v>35</v>
      </c>
      <c r="I230" s="118">
        <v>1</v>
      </c>
      <c r="J230" s="118">
        <v>1</v>
      </c>
      <c r="K230" s="118">
        <v>1</v>
      </c>
      <c r="L230" s="118">
        <v>3</v>
      </c>
      <c r="M230" s="118" t="s">
        <v>70</v>
      </c>
      <c r="N230" s="118" t="s">
        <v>71</v>
      </c>
      <c r="O230" s="118">
        <v>99</v>
      </c>
      <c r="P230" s="118">
        <v>0.9</v>
      </c>
      <c r="Q230" s="118">
        <v>0</v>
      </c>
      <c r="R230" s="118">
        <v>1</v>
      </c>
      <c r="S230" s="25" t="b">
        <v>1</v>
      </c>
      <c r="T230" s="118">
        <v>65</v>
      </c>
      <c r="U230" s="118">
        <v>975</v>
      </c>
      <c r="V230" s="118">
        <v>1300</v>
      </c>
      <c r="W230" s="118">
        <v>0</v>
      </c>
      <c r="X230" s="118">
        <v>5</v>
      </c>
      <c r="Y230" s="118" t="s">
        <v>38</v>
      </c>
      <c r="Z230" s="388" t="s">
        <v>3048</v>
      </c>
      <c r="AA230" s="388" t="s">
        <v>3048</v>
      </c>
      <c r="AB230" s="25" t="s">
        <v>1164</v>
      </c>
      <c r="AC230" s="118">
        <v>100000</v>
      </c>
      <c r="AD230" s="197">
        <v>1</v>
      </c>
      <c r="AE230" s="197">
        <v>1</v>
      </c>
      <c r="AF230">
        <v>0</v>
      </c>
      <c r="AG230" s="402">
        <v>5</v>
      </c>
    </row>
    <row r="231" spans="1:33" s="389" customFormat="1" x14ac:dyDescent="0.15">
      <c r="A231" s="417">
        <v>113006</v>
      </c>
      <c r="B231" s="17" t="s">
        <v>1166</v>
      </c>
      <c r="C231" s="17" t="s">
        <v>1166</v>
      </c>
      <c r="D231" s="118" t="s">
        <v>33</v>
      </c>
      <c r="E231" s="118">
        <v>13</v>
      </c>
      <c r="F231" s="118" t="s">
        <v>1136</v>
      </c>
      <c r="G231" s="118" t="s">
        <v>1167</v>
      </c>
      <c r="H231" s="118" t="s">
        <v>35</v>
      </c>
      <c r="I231" s="118">
        <v>1</v>
      </c>
      <c r="J231" s="118">
        <v>1</v>
      </c>
      <c r="K231" s="118">
        <v>1</v>
      </c>
      <c r="L231" s="118">
        <v>3</v>
      </c>
      <c r="M231" s="118" t="s">
        <v>70</v>
      </c>
      <c r="N231" s="118" t="s">
        <v>77</v>
      </c>
      <c r="O231" s="118">
        <v>99</v>
      </c>
      <c r="P231" s="118">
        <v>0.9</v>
      </c>
      <c r="Q231" s="118">
        <v>0</v>
      </c>
      <c r="R231" s="118">
        <v>1</v>
      </c>
      <c r="S231" s="25" t="b">
        <v>1</v>
      </c>
      <c r="T231" s="118">
        <v>78</v>
      </c>
      <c r="U231" s="118">
        <v>1170</v>
      </c>
      <c r="V231" s="118">
        <v>1560</v>
      </c>
      <c r="W231" s="118">
        <v>0</v>
      </c>
      <c r="X231" s="118">
        <v>6</v>
      </c>
      <c r="Y231" s="118" t="s">
        <v>38</v>
      </c>
      <c r="Z231" s="388" t="s">
        <v>3049</v>
      </c>
      <c r="AA231" s="388" t="s">
        <v>3049</v>
      </c>
      <c r="AB231" s="25" t="s">
        <v>1170</v>
      </c>
      <c r="AC231" s="118">
        <v>100000</v>
      </c>
      <c r="AD231" s="197">
        <v>1</v>
      </c>
      <c r="AE231" s="197">
        <v>1</v>
      </c>
      <c r="AF231">
        <v>0</v>
      </c>
      <c r="AG231" s="402">
        <v>6</v>
      </c>
    </row>
    <row r="232" spans="1:33" x14ac:dyDescent="0.15">
      <c r="A232" s="417">
        <v>113007</v>
      </c>
      <c r="B232" s="17" t="s">
        <v>1172</v>
      </c>
      <c r="C232" s="17" t="s">
        <v>1172</v>
      </c>
      <c r="D232" s="118" t="s">
        <v>33</v>
      </c>
      <c r="E232" s="118">
        <v>13</v>
      </c>
      <c r="F232" s="118" t="s">
        <v>1136</v>
      </c>
      <c r="G232" s="118" t="s">
        <v>1173</v>
      </c>
      <c r="H232" s="118" t="s">
        <v>35</v>
      </c>
      <c r="I232" s="118">
        <v>1</v>
      </c>
      <c r="J232" s="118">
        <v>1</v>
      </c>
      <c r="K232" s="118">
        <v>1</v>
      </c>
      <c r="L232" s="118">
        <v>3</v>
      </c>
      <c r="M232" s="118" t="s">
        <v>70</v>
      </c>
      <c r="N232" s="118" t="s">
        <v>83</v>
      </c>
      <c r="O232" s="118">
        <v>99</v>
      </c>
      <c r="P232" s="118">
        <v>0.9</v>
      </c>
      <c r="Q232" s="118">
        <v>0</v>
      </c>
      <c r="R232" s="118">
        <v>1</v>
      </c>
      <c r="S232" s="25" t="b">
        <v>1</v>
      </c>
      <c r="T232" s="118">
        <v>91</v>
      </c>
      <c r="U232" s="118">
        <v>1365</v>
      </c>
      <c r="V232" s="118">
        <v>1820</v>
      </c>
      <c r="W232" s="118">
        <v>0</v>
      </c>
      <c r="X232" s="118">
        <v>7</v>
      </c>
      <c r="Y232" s="118" t="s">
        <v>38</v>
      </c>
      <c r="Z232" s="388" t="s">
        <v>3050</v>
      </c>
      <c r="AA232" s="388" t="s">
        <v>3050</v>
      </c>
      <c r="AB232" s="25" t="s">
        <v>1176</v>
      </c>
      <c r="AC232" s="118">
        <v>100000</v>
      </c>
      <c r="AD232" s="197">
        <v>1</v>
      </c>
      <c r="AE232" s="197">
        <v>1</v>
      </c>
      <c r="AF232">
        <v>0</v>
      </c>
      <c r="AG232" s="402">
        <v>7</v>
      </c>
    </row>
    <row r="233" spans="1:33" x14ac:dyDescent="0.15">
      <c r="A233" s="419">
        <v>113008</v>
      </c>
      <c r="B233" s="420" t="s">
        <v>1178</v>
      </c>
      <c r="C233" s="420" t="s">
        <v>1178</v>
      </c>
      <c r="D233" s="421" t="s">
        <v>33</v>
      </c>
      <c r="E233" s="422">
        <v>13</v>
      </c>
      <c r="F233" s="422" t="s">
        <v>1136</v>
      </c>
      <c r="G233" s="422" t="s">
        <v>1179</v>
      </c>
      <c r="H233" s="422" t="s">
        <v>35</v>
      </c>
      <c r="I233" s="422">
        <v>1</v>
      </c>
      <c r="J233" s="118">
        <v>1</v>
      </c>
      <c r="K233" s="422">
        <v>1</v>
      </c>
      <c r="L233" s="422">
        <v>3</v>
      </c>
      <c r="M233" s="422" t="s">
        <v>70</v>
      </c>
      <c r="N233" s="118" t="s">
        <v>89</v>
      </c>
      <c r="O233" s="422">
        <v>99</v>
      </c>
      <c r="P233" s="422">
        <v>0.9</v>
      </c>
      <c r="Q233" s="422">
        <v>0</v>
      </c>
      <c r="R233" s="422">
        <v>1</v>
      </c>
      <c r="S233" s="422" t="b">
        <v>1</v>
      </c>
      <c r="T233" s="422">
        <v>104</v>
      </c>
      <c r="U233" s="118">
        <v>1560</v>
      </c>
      <c r="V233" s="118">
        <v>2080</v>
      </c>
      <c r="W233" s="422">
        <v>0</v>
      </c>
      <c r="X233" s="422">
        <v>8</v>
      </c>
      <c r="Y233" s="422" t="s">
        <v>38</v>
      </c>
      <c r="Z233" s="388" t="s">
        <v>3051</v>
      </c>
      <c r="AA233" s="388" t="s">
        <v>3051</v>
      </c>
      <c r="AB233" s="25" t="s">
        <v>1182</v>
      </c>
      <c r="AC233" s="422">
        <v>100000</v>
      </c>
      <c r="AD233" s="424">
        <v>1</v>
      </c>
      <c r="AE233" s="424">
        <v>1</v>
      </c>
      <c r="AF233">
        <v>0</v>
      </c>
      <c r="AG233" s="425">
        <v>8</v>
      </c>
    </row>
    <row r="234" spans="1:33" x14ac:dyDescent="0.15">
      <c r="A234" s="419">
        <v>113009</v>
      </c>
      <c r="B234" s="420" t="s">
        <v>1184</v>
      </c>
      <c r="C234" s="420" t="s">
        <v>1184</v>
      </c>
      <c r="D234" s="421" t="s">
        <v>33</v>
      </c>
      <c r="E234" s="422">
        <v>13</v>
      </c>
      <c r="F234" s="422" t="s">
        <v>1136</v>
      </c>
      <c r="G234" s="422" t="s">
        <v>1185</v>
      </c>
      <c r="H234" s="422" t="s">
        <v>35</v>
      </c>
      <c r="I234" s="422">
        <v>1</v>
      </c>
      <c r="J234" s="118">
        <v>1</v>
      </c>
      <c r="K234" s="422">
        <v>1</v>
      </c>
      <c r="L234" s="422">
        <v>3</v>
      </c>
      <c r="M234" s="422" t="s">
        <v>70</v>
      </c>
      <c r="N234" s="118" t="s">
        <v>95</v>
      </c>
      <c r="O234" s="422">
        <v>99</v>
      </c>
      <c r="P234" s="422">
        <v>0.9</v>
      </c>
      <c r="Q234" s="422">
        <v>0</v>
      </c>
      <c r="R234" s="422">
        <v>1</v>
      </c>
      <c r="S234" s="422" t="b">
        <v>1</v>
      </c>
      <c r="T234" s="422">
        <v>117</v>
      </c>
      <c r="U234" s="118">
        <v>1755</v>
      </c>
      <c r="V234" s="118">
        <v>2340</v>
      </c>
      <c r="W234" s="422">
        <v>0</v>
      </c>
      <c r="X234" s="422">
        <v>9</v>
      </c>
      <c r="Y234" s="422" t="s">
        <v>38</v>
      </c>
      <c r="Z234" s="388" t="s">
        <v>3052</v>
      </c>
      <c r="AA234" s="388" t="s">
        <v>3052</v>
      </c>
      <c r="AB234" s="25" t="s">
        <v>1188</v>
      </c>
      <c r="AC234" s="422">
        <v>100000</v>
      </c>
      <c r="AD234" s="424">
        <v>1</v>
      </c>
      <c r="AE234" s="424">
        <v>1</v>
      </c>
      <c r="AF234">
        <v>0</v>
      </c>
      <c r="AG234" s="425">
        <v>9</v>
      </c>
    </row>
    <row r="235" spans="1:33" x14ac:dyDescent="0.15">
      <c r="A235" s="419">
        <v>113010</v>
      </c>
      <c r="B235" s="420" t="s">
        <v>1190</v>
      </c>
      <c r="C235" s="420" t="s">
        <v>1190</v>
      </c>
      <c r="D235" s="421" t="s">
        <v>33</v>
      </c>
      <c r="E235" s="422">
        <v>13</v>
      </c>
      <c r="F235" s="422" t="s">
        <v>1136</v>
      </c>
      <c r="G235" s="422" t="s">
        <v>1191</v>
      </c>
      <c r="H235" s="422" t="s">
        <v>35</v>
      </c>
      <c r="I235" s="422">
        <v>1</v>
      </c>
      <c r="J235" s="118">
        <v>1</v>
      </c>
      <c r="K235" s="422">
        <v>1</v>
      </c>
      <c r="L235" s="422">
        <v>3</v>
      </c>
      <c r="M235" s="422" t="s">
        <v>70</v>
      </c>
      <c r="N235" s="118" t="s">
        <v>101</v>
      </c>
      <c r="O235" s="422">
        <v>99</v>
      </c>
      <c r="P235" s="422">
        <v>0.9</v>
      </c>
      <c r="Q235" s="422">
        <v>0</v>
      </c>
      <c r="R235" s="422">
        <v>1</v>
      </c>
      <c r="S235" s="422" t="b">
        <v>1</v>
      </c>
      <c r="T235" s="422">
        <v>130</v>
      </c>
      <c r="U235" s="118">
        <v>1950</v>
      </c>
      <c r="V235" s="118">
        <v>2600</v>
      </c>
      <c r="W235" s="422">
        <v>0</v>
      </c>
      <c r="X235" s="422">
        <v>10</v>
      </c>
      <c r="Y235" s="422" t="s">
        <v>38</v>
      </c>
      <c r="Z235" s="388" t="s">
        <v>3053</v>
      </c>
      <c r="AA235" s="388" t="s">
        <v>3053</v>
      </c>
      <c r="AB235" s="25" t="s">
        <v>1194</v>
      </c>
      <c r="AC235" s="422">
        <v>100000</v>
      </c>
      <c r="AD235" s="424">
        <v>1</v>
      </c>
      <c r="AE235" s="424">
        <v>1</v>
      </c>
      <c r="AF235">
        <v>0</v>
      </c>
      <c r="AG235" s="425">
        <v>10</v>
      </c>
    </row>
    <row r="236" spans="1:33" x14ac:dyDescent="0.15">
      <c r="A236" s="119">
        <v>113208</v>
      </c>
      <c r="B236" s="114" t="s">
        <v>1196</v>
      </c>
      <c r="C236" s="114" t="s">
        <v>1196</v>
      </c>
      <c r="D236" s="119" t="s">
        <v>33</v>
      </c>
      <c r="E236" s="119">
        <v>13</v>
      </c>
      <c r="F236" s="119" t="s">
        <v>1136</v>
      </c>
      <c r="G236" s="119" t="s">
        <v>1179</v>
      </c>
      <c r="H236" s="119" t="s">
        <v>51</v>
      </c>
      <c r="I236" s="119">
        <v>1</v>
      </c>
      <c r="J236" s="118">
        <v>4</v>
      </c>
      <c r="K236" s="119">
        <v>0</v>
      </c>
      <c r="L236" s="119">
        <v>3</v>
      </c>
      <c r="M236" s="119" t="s">
        <v>52</v>
      </c>
      <c r="N236" s="118" t="s">
        <v>89</v>
      </c>
      <c r="O236" s="119">
        <v>99</v>
      </c>
      <c r="P236" s="119">
        <v>0.9</v>
      </c>
      <c r="Q236" s="119">
        <v>0</v>
      </c>
      <c r="R236" s="119">
        <v>1</v>
      </c>
      <c r="S236" s="80" t="b">
        <v>1</v>
      </c>
      <c r="T236" s="119">
        <v>104</v>
      </c>
      <c r="U236" s="118">
        <v>1560</v>
      </c>
      <c r="V236" s="118">
        <v>2080</v>
      </c>
      <c r="W236" s="119">
        <v>0</v>
      </c>
      <c r="X236" s="119">
        <v>8</v>
      </c>
      <c r="Y236" s="119" t="s">
        <v>38</v>
      </c>
      <c r="Z236" s="388" t="s">
        <v>3051</v>
      </c>
      <c r="AA236" s="388" t="s">
        <v>3051</v>
      </c>
      <c r="AB236" s="25" t="s">
        <v>1182</v>
      </c>
      <c r="AC236" s="119">
        <v>100000</v>
      </c>
      <c r="AD236" s="424">
        <v>1</v>
      </c>
      <c r="AE236" s="424">
        <v>1</v>
      </c>
      <c r="AF236">
        <v>0</v>
      </c>
      <c r="AG236" s="403">
        <v>8</v>
      </c>
    </row>
    <row r="237" spans="1:33" x14ac:dyDescent="0.15">
      <c r="A237" s="119">
        <v>113209</v>
      </c>
      <c r="B237" s="114" t="s">
        <v>1199</v>
      </c>
      <c r="C237" s="114" t="s">
        <v>1199</v>
      </c>
      <c r="D237" s="119" t="s">
        <v>33</v>
      </c>
      <c r="E237" s="119">
        <v>13</v>
      </c>
      <c r="F237" s="119" t="s">
        <v>1136</v>
      </c>
      <c r="G237" s="119" t="s">
        <v>1185</v>
      </c>
      <c r="H237" s="119" t="s">
        <v>51</v>
      </c>
      <c r="I237" s="119">
        <v>1</v>
      </c>
      <c r="J237" s="118">
        <v>4</v>
      </c>
      <c r="K237" s="119">
        <v>0</v>
      </c>
      <c r="L237" s="119">
        <v>3</v>
      </c>
      <c r="M237" s="119" t="s">
        <v>52</v>
      </c>
      <c r="N237" s="118" t="s">
        <v>95</v>
      </c>
      <c r="O237" s="119">
        <v>99</v>
      </c>
      <c r="P237" s="119">
        <v>0.9</v>
      </c>
      <c r="Q237" s="119">
        <v>0</v>
      </c>
      <c r="R237" s="119">
        <v>1</v>
      </c>
      <c r="S237" s="80" t="b">
        <v>1</v>
      </c>
      <c r="T237" s="119">
        <v>117</v>
      </c>
      <c r="U237" s="118">
        <v>1755</v>
      </c>
      <c r="V237" s="118">
        <v>2340</v>
      </c>
      <c r="W237" s="119">
        <v>0</v>
      </c>
      <c r="X237" s="119">
        <v>9</v>
      </c>
      <c r="Y237" s="119" t="s">
        <v>38</v>
      </c>
      <c r="Z237" s="388" t="s">
        <v>3052</v>
      </c>
      <c r="AA237" s="388" t="s">
        <v>3052</v>
      </c>
      <c r="AB237" s="25" t="s">
        <v>1188</v>
      </c>
      <c r="AC237" s="119">
        <v>100000</v>
      </c>
      <c r="AD237" s="424">
        <v>1</v>
      </c>
      <c r="AE237" s="424">
        <v>1</v>
      </c>
      <c r="AF237">
        <v>0</v>
      </c>
      <c r="AG237" s="403">
        <v>9</v>
      </c>
    </row>
    <row r="238" spans="1:33" x14ac:dyDescent="0.15">
      <c r="A238" s="119">
        <v>113210</v>
      </c>
      <c r="B238" s="114" t="s">
        <v>1202</v>
      </c>
      <c r="C238" s="114" t="s">
        <v>1202</v>
      </c>
      <c r="D238" s="119" t="s">
        <v>33</v>
      </c>
      <c r="E238" s="119">
        <v>13</v>
      </c>
      <c r="F238" s="119" t="s">
        <v>1136</v>
      </c>
      <c r="G238" s="119" t="s">
        <v>1191</v>
      </c>
      <c r="H238" s="119" t="s">
        <v>51</v>
      </c>
      <c r="I238" s="119">
        <v>1</v>
      </c>
      <c r="J238" s="118">
        <v>4</v>
      </c>
      <c r="K238" s="119">
        <v>0</v>
      </c>
      <c r="L238" s="119">
        <v>3</v>
      </c>
      <c r="M238" s="119" t="s">
        <v>52</v>
      </c>
      <c r="N238" s="118" t="s">
        <v>101</v>
      </c>
      <c r="O238" s="119">
        <v>99</v>
      </c>
      <c r="P238" s="119">
        <v>0.9</v>
      </c>
      <c r="Q238" s="119">
        <v>0</v>
      </c>
      <c r="R238" s="119">
        <v>1</v>
      </c>
      <c r="S238" s="80" t="b">
        <v>1</v>
      </c>
      <c r="T238" s="119">
        <v>130</v>
      </c>
      <c r="U238" s="118">
        <v>1950</v>
      </c>
      <c r="V238" s="118">
        <v>2600</v>
      </c>
      <c r="W238" s="119">
        <v>0</v>
      </c>
      <c r="X238" s="119">
        <v>10</v>
      </c>
      <c r="Y238" s="119" t="s">
        <v>38</v>
      </c>
      <c r="Z238" s="388" t="s">
        <v>3053</v>
      </c>
      <c r="AA238" s="388" t="s">
        <v>3053</v>
      </c>
      <c r="AB238" s="25" t="s">
        <v>1194</v>
      </c>
      <c r="AC238" s="119">
        <v>100000</v>
      </c>
      <c r="AD238" s="424">
        <v>1</v>
      </c>
      <c r="AE238" s="424">
        <v>1</v>
      </c>
      <c r="AF238">
        <v>0</v>
      </c>
      <c r="AG238" s="403">
        <v>10</v>
      </c>
    </row>
    <row r="239" spans="1:33" x14ac:dyDescent="0.15">
      <c r="A239" s="84">
        <v>113202</v>
      </c>
      <c r="B239" s="105" t="s">
        <v>1205</v>
      </c>
      <c r="C239" s="105" t="s">
        <v>1205</v>
      </c>
      <c r="D239" s="84" t="s">
        <v>33</v>
      </c>
      <c r="E239" s="84">
        <v>13</v>
      </c>
      <c r="F239" s="84" t="s">
        <v>1136</v>
      </c>
      <c r="G239" s="118" t="s">
        <v>1173</v>
      </c>
      <c r="H239" s="84"/>
      <c r="I239" s="84">
        <v>1</v>
      </c>
      <c r="J239" s="118">
        <v>1</v>
      </c>
      <c r="K239" s="84">
        <v>0</v>
      </c>
      <c r="L239" s="84">
        <v>3</v>
      </c>
      <c r="M239" s="84">
        <v>4</v>
      </c>
      <c r="N239" s="118" t="s">
        <v>45</v>
      </c>
      <c r="O239" s="84">
        <v>99</v>
      </c>
      <c r="P239" s="84">
        <v>0.9</v>
      </c>
      <c r="Q239" s="84">
        <v>0</v>
      </c>
      <c r="R239" s="84">
        <v>1</v>
      </c>
      <c r="S239" s="43" t="b">
        <v>1</v>
      </c>
      <c r="T239" s="84">
        <v>26</v>
      </c>
      <c r="U239" s="118">
        <v>390</v>
      </c>
      <c r="V239" s="118">
        <v>520</v>
      </c>
      <c r="W239" s="84">
        <v>0</v>
      </c>
      <c r="X239" s="84">
        <v>2</v>
      </c>
      <c r="Y239" s="84" t="s">
        <v>38</v>
      </c>
      <c r="AB239" s="43" t="s">
        <v>1207</v>
      </c>
      <c r="AC239" s="84">
        <v>300000</v>
      </c>
      <c r="AD239" s="197">
        <v>1</v>
      </c>
      <c r="AE239" s="197">
        <v>1</v>
      </c>
      <c r="AF239">
        <v>0</v>
      </c>
      <c r="AG239" s="404">
        <v>2</v>
      </c>
    </row>
    <row r="240" spans="1:33" s="388" customFormat="1" x14ac:dyDescent="0.15">
      <c r="A240" s="84">
        <v>113203</v>
      </c>
      <c r="B240" s="105" t="s">
        <v>1209</v>
      </c>
      <c r="C240" s="105" t="s">
        <v>1209</v>
      </c>
      <c r="D240" s="84" t="s">
        <v>33</v>
      </c>
      <c r="E240" s="84">
        <v>13</v>
      </c>
      <c r="F240" s="84" t="s">
        <v>1136</v>
      </c>
      <c r="G240" s="118" t="s">
        <v>1173</v>
      </c>
      <c r="H240" s="84"/>
      <c r="I240" s="84">
        <v>1</v>
      </c>
      <c r="J240" s="118">
        <v>1</v>
      </c>
      <c r="K240" s="84">
        <v>0</v>
      </c>
      <c r="L240" s="84">
        <v>3</v>
      </c>
      <c r="M240" s="84">
        <v>4</v>
      </c>
      <c r="N240" s="118" t="s">
        <v>57</v>
      </c>
      <c r="O240" s="84">
        <v>99</v>
      </c>
      <c r="P240" s="84">
        <v>0.9</v>
      </c>
      <c r="Q240" s="84">
        <v>0</v>
      </c>
      <c r="R240" s="84">
        <v>1</v>
      </c>
      <c r="S240" s="43" t="b">
        <v>1</v>
      </c>
      <c r="T240" s="84">
        <v>39</v>
      </c>
      <c r="U240" s="118">
        <v>585</v>
      </c>
      <c r="V240" s="118">
        <v>780</v>
      </c>
      <c r="W240" s="84">
        <v>0</v>
      </c>
      <c r="X240" s="84">
        <v>3</v>
      </c>
      <c r="Y240" s="84" t="s">
        <v>38</v>
      </c>
      <c r="AB240" s="43" t="s">
        <v>1207</v>
      </c>
      <c r="AC240" s="84">
        <v>300000</v>
      </c>
      <c r="AD240" s="197">
        <v>1</v>
      </c>
      <c r="AE240" s="197">
        <v>1</v>
      </c>
      <c r="AF240">
        <v>0</v>
      </c>
      <c r="AG240" s="404">
        <v>3</v>
      </c>
    </row>
    <row r="241" spans="1:33" x14ac:dyDescent="0.15">
      <c r="A241" s="84">
        <v>113204</v>
      </c>
      <c r="B241" s="105" t="s">
        <v>1212</v>
      </c>
      <c r="C241" s="105" t="s">
        <v>1212</v>
      </c>
      <c r="D241" s="84" t="s">
        <v>33</v>
      </c>
      <c r="E241" s="84">
        <v>13</v>
      </c>
      <c r="F241" s="84" t="s">
        <v>1136</v>
      </c>
      <c r="G241" s="118" t="s">
        <v>1173</v>
      </c>
      <c r="H241" s="84"/>
      <c r="I241" s="84">
        <v>1</v>
      </c>
      <c r="J241" s="118">
        <v>1</v>
      </c>
      <c r="K241" s="84">
        <v>0</v>
      </c>
      <c r="L241" s="84">
        <v>3</v>
      </c>
      <c r="M241" s="84">
        <v>5</v>
      </c>
      <c r="N241" s="118" t="s">
        <v>64</v>
      </c>
      <c r="O241" s="84">
        <v>99</v>
      </c>
      <c r="P241" s="84">
        <v>0.9</v>
      </c>
      <c r="Q241" s="84">
        <v>0</v>
      </c>
      <c r="R241" s="84">
        <v>1</v>
      </c>
      <c r="S241" s="43" t="b">
        <v>1</v>
      </c>
      <c r="T241" s="84">
        <v>52</v>
      </c>
      <c r="U241" s="118">
        <v>780</v>
      </c>
      <c r="V241" s="118">
        <v>1040</v>
      </c>
      <c r="W241" s="84">
        <v>0</v>
      </c>
      <c r="X241" s="84">
        <v>4</v>
      </c>
      <c r="Y241" s="84" t="s">
        <v>38</v>
      </c>
      <c r="AB241" s="43" t="s">
        <v>1207</v>
      </c>
      <c r="AC241" s="84">
        <v>300000</v>
      </c>
      <c r="AD241" s="197">
        <v>1</v>
      </c>
      <c r="AE241" s="197">
        <v>1</v>
      </c>
      <c r="AF241">
        <v>0</v>
      </c>
      <c r="AG241" s="404">
        <v>4</v>
      </c>
    </row>
    <row r="242" spans="1:33" x14ac:dyDescent="0.15">
      <c r="A242" s="105">
        <v>113206</v>
      </c>
      <c r="B242" s="105" t="s">
        <v>1215</v>
      </c>
      <c r="C242" s="105" t="s">
        <v>1215</v>
      </c>
      <c r="D242" s="84" t="s">
        <v>33</v>
      </c>
      <c r="E242" s="43">
        <v>13</v>
      </c>
      <c r="F242" s="43" t="s">
        <v>1136</v>
      </c>
      <c r="G242" s="118" t="s">
        <v>1173</v>
      </c>
      <c r="H242" s="84" t="s">
        <v>107</v>
      </c>
      <c r="I242" s="43">
        <v>1</v>
      </c>
      <c r="J242" s="118">
        <v>1</v>
      </c>
      <c r="K242" s="43">
        <v>0</v>
      </c>
      <c r="L242" s="43">
        <v>3</v>
      </c>
      <c r="M242" s="43">
        <v>6</v>
      </c>
      <c r="N242" s="118" t="s">
        <v>77</v>
      </c>
      <c r="O242" s="84">
        <v>99</v>
      </c>
      <c r="P242" s="43">
        <v>0.9</v>
      </c>
      <c r="Q242" s="84">
        <v>0</v>
      </c>
      <c r="R242" s="43">
        <v>1</v>
      </c>
      <c r="S242" s="43" t="b">
        <v>1</v>
      </c>
      <c r="T242" s="84">
        <v>78</v>
      </c>
      <c r="U242" s="118">
        <v>1170</v>
      </c>
      <c r="V242" s="118">
        <v>1560</v>
      </c>
      <c r="W242" s="84">
        <v>0</v>
      </c>
      <c r="X242" s="43">
        <v>6</v>
      </c>
      <c r="Y242" s="43" t="s">
        <v>38</v>
      </c>
      <c r="Z242" s="388" t="s">
        <v>3054</v>
      </c>
      <c r="AA242" s="388" t="s">
        <v>3054</v>
      </c>
      <c r="AB242" s="157" t="s">
        <v>1207</v>
      </c>
      <c r="AC242" s="43">
        <v>100000</v>
      </c>
      <c r="AD242" s="197">
        <v>1</v>
      </c>
      <c r="AE242" s="197">
        <v>1</v>
      </c>
      <c r="AF242">
        <v>0</v>
      </c>
      <c r="AG242" s="293">
        <v>6</v>
      </c>
    </row>
    <row r="243" spans="1:33" x14ac:dyDescent="0.15">
      <c r="A243" s="417">
        <v>114001</v>
      </c>
      <c r="B243" s="71" t="s">
        <v>1219</v>
      </c>
      <c r="C243" s="71" t="s">
        <v>1219</v>
      </c>
      <c r="D243" s="118" t="s">
        <v>33</v>
      </c>
      <c r="E243" s="118">
        <v>14</v>
      </c>
      <c r="F243" s="118" t="s">
        <v>1220</v>
      </c>
      <c r="G243" s="118" t="s">
        <v>1221</v>
      </c>
      <c r="H243" s="118" t="s">
        <v>35</v>
      </c>
      <c r="I243" s="118">
        <v>1</v>
      </c>
      <c r="J243" s="118">
        <v>1</v>
      </c>
      <c r="K243" s="118">
        <v>1</v>
      </c>
      <c r="L243" s="118">
        <v>3</v>
      </c>
      <c r="M243" s="118" t="s">
        <v>36</v>
      </c>
      <c r="N243" s="118" t="s">
        <v>37</v>
      </c>
      <c r="O243" s="118">
        <v>99</v>
      </c>
      <c r="P243" s="118">
        <v>0.9</v>
      </c>
      <c r="Q243" s="118">
        <v>0</v>
      </c>
      <c r="R243" s="118">
        <v>1</v>
      </c>
      <c r="S243" s="25" t="b">
        <v>1</v>
      </c>
      <c r="T243" s="118">
        <v>13</v>
      </c>
      <c r="U243" s="118">
        <v>195</v>
      </c>
      <c r="V243" s="118">
        <v>260</v>
      </c>
      <c r="W243" s="118">
        <v>0</v>
      </c>
      <c r="X243" s="118">
        <v>1</v>
      </c>
      <c r="Y243" s="118" t="s">
        <v>38</v>
      </c>
      <c r="Z243" s="388" t="s">
        <v>3055</v>
      </c>
      <c r="AA243" s="388" t="s">
        <v>3055</v>
      </c>
      <c r="AB243" s="25" t="s">
        <v>1224</v>
      </c>
      <c r="AC243" s="118">
        <v>200000</v>
      </c>
      <c r="AD243" s="197">
        <v>1</v>
      </c>
      <c r="AE243" s="197">
        <v>1</v>
      </c>
      <c r="AF243">
        <v>0</v>
      </c>
      <c r="AG243" s="402">
        <v>1</v>
      </c>
    </row>
    <row r="244" spans="1:33" x14ac:dyDescent="0.15">
      <c r="A244" s="417">
        <v>114002</v>
      </c>
      <c r="B244" s="17" t="s">
        <v>1226</v>
      </c>
      <c r="C244" s="17" t="s">
        <v>1226</v>
      </c>
      <c r="D244" s="118" t="s">
        <v>33</v>
      </c>
      <c r="E244" s="118">
        <v>14</v>
      </c>
      <c r="F244" s="118" t="s">
        <v>1220</v>
      </c>
      <c r="G244" s="118" t="s">
        <v>1227</v>
      </c>
      <c r="H244" s="118" t="s">
        <v>35</v>
      </c>
      <c r="I244" s="118">
        <v>1</v>
      </c>
      <c r="J244" s="118">
        <v>1</v>
      </c>
      <c r="K244" s="118">
        <v>1</v>
      </c>
      <c r="L244" s="118">
        <v>3</v>
      </c>
      <c r="M244" s="118" t="s">
        <v>44</v>
      </c>
      <c r="N244" s="118" t="s">
        <v>45</v>
      </c>
      <c r="O244" s="118">
        <v>99</v>
      </c>
      <c r="P244" s="118">
        <v>0.9</v>
      </c>
      <c r="Q244" s="118">
        <v>0</v>
      </c>
      <c r="R244" s="118">
        <v>1</v>
      </c>
      <c r="S244" s="25" t="b">
        <v>1</v>
      </c>
      <c r="T244" s="118">
        <v>26</v>
      </c>
      <c r="U244" s="118">
        <v>390</v>
      </c>
      <c r="V244" s="118">
        <v>520</v>
      </c>
      <c r="W244" s="118">
        <v>0</v>
      </c>
      <c r="X244" s="118">
        <v>2</v>
      </c>
      <c r="Y244" s="118" t="s">
        <v>38</v>
      </c>
      <c r="Z244" s="388" t="s">
        <v>3056</v>
      </c>
      <c r="AA244" s="388" t="s">
        <v>3056</v>
      </c>
      <c r="AB244" s="25" t="s">
        <v>1230</v>
      </c>
      <c r="AC244" s="118">
        <v>100000</v>
      </c>
      <c r="AD244" s="197">
        <v>1</v>
      </c>
      <c r="AE244" s="197">
        <v>1</v>
      </c>
      <c r="AF244">
        <v>0</v>
      </c>
      <c r="AG244" s="402">
        <v>2</v>
      </c>
    </row>
    <row r="245" spans="1:33" x14ac:dyDescent="0.15">
      <c r="A245" s="417">
        <v>114003</v>
      </c>
      <c r="B245" s="118" t="s">
        <v>1232</v>
      </c>
      <c r="C245" s="118" t="s">
        <v>1232</v>
      </c>
      <c r="D245" s="118" t="s">
        <v>33</v>
      </c>
      <c r="E245" s="118">
        <v>14</v>
      </c>
      <c r="F245" s="118" t="s">
        <v>1220</v>
      </c>
      <c r="G245" s="118" t="s">
        <v>1233</v>
      </c>
      <c r="H245" s="118" t="s">
        <v>35</v>
      </c>
      <c r="I245" s="118">
        <v>1</v>
      </c>
      <c r="J245" s="118">
        <v>1</v>
      </c>
      <c r="K245" s="118">
        <v>1</v>
      </c>
      <c r="L245" s="118">
        <v>3</v>
      </c>
      <c r="M245" s="118" t="s">
        <v>56</v>
      </c>
      <c r="N245" s="118" t="s">
        <v>57</v>
      </c>
      <c r="O245" s="118">
        <v>99</v>
      </c>
      <c r="P245" s="118">
        <v>0.9</v>
      </c>
      <c r="Q245" s="118">
        <v>0</v>
      </c>
      <c r="R245" s="118">
        <v>1</v>
      </c>
      <c r="S245" s="25" t="b">
        <v>1</v>
      </c>
      <c r="T245" s="118">
        <v>39</v>
      </c>
      <c r="U245" s="118">
        <v>585</v>
      </c>
      <c r="V245" s="118">
        <v>780</v>
      </c>
      <c r="W245" s="118">
        <v>0</v>
      </c>
      <c r="X245" s="118">
        <v>3</v>
      </c>
      <c r="Y245" s="118" t="s">
        <v>38</v>
      </c>
      <c r="Z245" s="388" t="s">
        <v>3057</v>
      </c>
      <c r="AA245" s="388" t="s">
        <v>3057</v>
      </c>
      <c r="AB245" s="25" t="s">
        <v>1236</v>
      </c>
      <c r="AC245" s="118">
        <v>200000</v>
      </c>
      <c r="AD245" s="197">
        <v>1</v>
      </c>
      <c r="AE245" s="197">
        <v>1</v>
      </c>
      <c r="AF245">
        <v>0</v>
      </c>
      <c r="AG245" s="402">
        <v>3</v>
      </c>
    </row>
    <row r="246" spans="1:33" x14ac:dyDescent="0.15">
      <c r="A246" s="417">
        <v>114004</v>
      </c>
      <c r="B246" s="17" t="s">
        <v>1238</v>
      </c>
      <c r="C246" s="17" t="s">
        <v>1238</v>
      </c>
      <c r="D246" s="118" t="s">
        <v>33</v>
      </c>
      <c r="E246" s="118">
        <v>14</v>
      </c>
      <c r="F246" s="118" t="s">
        <v>1220</v>
      </c>
      <c r="G246" s="118" t="s">
        <v>1239</v>
      </c>
      <c r="H246" s="118" t="s">
        <v>35</v>
      </c>
      <c r="I246" s="118">
        <v>1</v>
      </c>
      <c r="J246" s="118">
        <v>1</v>
      </c>
      <c r="K246" s="118">
        <v>1</v>
      </c>
      <c r="L246" s="118">
        <v>3</v>
      </c>
      <c r="M246" s="118" t="s">
        <v>63</v>
      </c>
      <c r="N246" s="118" t="s">
        <v>64</v>
      </c>
      <c r="O246" s="118">
        <v>99</v>
      </c>
      <c r="P246" s="118">
        <v>0.9</v>
      </c>
      <c r="Q246" s="118">
        <v>0</v>
      </c>
      <c r="R246" s="118">
        <v>1</v>
      </c>
      <c r="S246" s="25" t="b">
        <v>1</v>
      </c>
      <c r="T246" s="118">
        <v>52</v>
      </c>
      <c r="U246" s="118">
        <v>780</v>
      </c>
      <c r="V246" s="118">
        <v>1040</v>
      </c>
      <c r="W246" s="118">
        <v>0</v>
      </c>
      <c r="X246" s="118">
        <v>4</v>
      </c>
      <c r="Y246" s="118" t="s">
        <v>38</v>
      </c>
      <c r="Z246" s="388" t="s">
        <v>3058</v>
      </c>
      <c r="AA246" s="388" t="s">
        <v>3058</v>
      </c>
      <c r="AB246" s="25" t="s">
        <v>1242</v>
      </c>
      <c r="AC246" s="118">
        <v>100000</v>
      </c>
      <c r="AD246" s="197">
        <v>1</v>
      </c>
      <c r="AE246" s="197">
        <v>1</v>
      </c>
      <c r="AF246">
        <v>0</v>
      </c>
      <c r="AG246" s="402">
        <v>4</v>
      </c>
    </row>
    <row r="247" spans="1:33" s="389" customFormat="1" x14ac:dyDescent="0.15">
      <c r="A247" s="417">
        <v>114005</v>
      </c>
      <c r="B247" s="423" t="s">
        <v>1244</v>
      </c>
      <c r="C247" s="423" t="s">
        <v>1244</v>
      </c>
      <c r="D247" s="118" t="s">
        <v>33</v>
      </c>
      <c r="E247" s="118">
        <v>14</v>
      </c>
      <c r="F247" s="118" t="s">
        <v>1220</v>
      </c>
      <c r="G247" s="118" t="s">
        <v>1245</v>
      </c>
      <c r="H247" s="118" t="s">
        <v>35</v>
      </c>
      <c r="I247" s="118">
        <v>1</v>
      </c>
      <c r="J247" s="118">
        <v>1</v>
      </c>
      <c r="K247" s="118">
        <v>1</v>
      </c>
      <c r="L247" s="118">
        <v>3</v>
      </c>
      <c r="M247" s="118" t="s">
        <v>70</v>
      </c>
      <c r="N247" s="118" t="s">
        <v>71</v>
      </c>
      <c r="O247" s="118">
        <v>99</v>
      </c>
      <c r="P247" s="118">
        <v>0.9</v>
      </c>
      <c r="Q247" s="118">
        <v>0</v>
      </c>
      <c r="R247" s="118">
        <v>1</v>
      </c>
      <c r="S247" s="25" t="b">
        <v>1</v>
      </c>
      <c r="T247" s="118">
        <v>65</v>
      </c>
      <c r="U247" s="118">
        <v>975</v>
      </c>
      <c r="V247" s="118">
        <v>1300</v>
      </c>
      <c r="W247" s="118">
        <v>0</v>
      </c>
      <c r="X247" s="118">
        <v>5</v>
      </c>
      <c r="Y247" s="118" t="s">
        <v>38</v>
      </c>
      <c r="Z247" s="388" t="s">
        <v>3059</v>
      </c>
      <c r="AA247" s="388" t="s">
        <v>3059</v>
      </c>
      <c r="AB247" s="25" t="s">
        <v>1248</v>
      </c>
      <c r="AC247" s="118">
        <v>100000</v>
      </c>
      <c r="AD247" s="197">
        <v>1</v>
      </c>
      <c r="AE247" s="197">
        <v>1</v>
      </c>
      <c r="AF247">
        <v>0</v>
      </c>
      <c r="AG247" s="402">
        <v>5</v>
      </c>
    </row>
    <row r="248" spans="1:33" x14ac:dyDescent="0.15">
      <c r="A248" s="417">
        <v>114006</v>
      </c>
      <c r="B248" s="17" t="s">
        <v>1250</v>
      </c>
      <c r="C248" s="17" t="s">
        <v>1250</v>
      </c>
      <c r="D248" s="118" t="s">
        <v>33</v>
      </c>
      <c r="E248" s="118">
        <v>14</v>
      </c>
      <c r="F248" s="118" t="s">
        <v>1220</v>
      </c>
      <c r="G248" s="118" t="s">
        <v>1251</v>
      </c>
      <c r="H248" s="118" t="s">
        <v>35</v>
      </c>
      <c r="I248" s="118">
        <v>1</v>
      </c>
      <c r="J248" s="118">
        <v>1</v>
      </c>
      <c r="K248" s="118">
        <v>1</v>
      </c>
      <c r="L248" s="118">
        <v>3</v>
      </c>
      <c r="M248" s="118" t="s">
        <v>70</v>
      </c>
      <c r="N248" s="118" t="s">
        <v>77</v>
      </c>
      <c r="O248" s="118">
        <v>99</v>
      </c>
      <c r="P248" s="118">
        <v>0.9</v>
      </c>
      <c r="Q248" s="118">
        <v>0</v>
      </c>
      <c r="R248" s="118">
        <v>1</v>
      </c>
      <c r="S248" s="25" t="b">
        <v>1</v>
      </c>
      <c r="T248" s="118">
        <v>78</v>
      </c>
      <c r="U248" s="118">
        <v>1170</v>
      </c>
      <c r="V248" s="118">
        <v>1560</v>
      </c>
      <c r="W248" s="118">
        <v>0</v>
      </c>
      <c r="X248" s="118">
        <v>6</v>
      </c>
      <c r="Y248" s="118" t="s">
        <v>38</v>
      </c>
      <c r="Z248" s="388" t="s">
        <v>3060</v>
      </c>
      <c r="AA248" s="388" t="s">
        <v>3060</v>
      </c>
      <c r="AB248" s="25" t="s">
        <v>1254</v>
      </c>
      <c r="AC248" s="118">
        <v>100000</v>
      </c>
      <c r="AD248" s="197">
        <v>1</v>
      </c>
      <c r="AE248" s="197">
        <v>1</v>
      </c>
      <c r="AF248">
        <v>0</v>
      </c>
      <c r="AG248" s="402">
        <v>6</v>
      </c>
    </row>
    <row r="249" spans="1:33" x14ac:dyDescent="0.15">
      <c r="A249" s="417">
        <v>114007</v>
      </c>
      <c r="B249" s="17" t="s">
        <v>1256</v>
      </c>
      <c r="C249" s="17" t="s">
        <v>1256</v>
      </c>
      <c r="D249" s="118" t="s">
        <v>33</v>
      </c>
      <c r="E249" s="118">
        <v>14</v>
      </c>
      <c r="F249" s="118" t="s">
        <v>1220</v>
      </c>
      <c r="G249" s="118" t="s">
        <v>1257</v>
      </c>
      <c r="H249" s="118" t="s">
        <v>35</v>
      </c>
      <c r="I249" s="118">
        <v>1</v>
      </c>
      <c r="J249" s="118">
        <v>1</v>
      </c>
      <c r="K249" s="118">
        <v>1</v>
      </c>
      <c r="L249" s="118">
        <v>3</v>
      </c>
      <c r="M249" s="118" t="s">
        <v>70</v>
      </c>
      <c r="N249" s="118" t="s">
        <v>83</v>
      </c>
      <c r="O249" s="118">
        <v>99</v>
      </c>
      <c r="P249" s="118">
        <v>0.9</v>
      </c>
      <c r="Q249" s="118">
        <v>0</v>
      </c>
      <c r="R249" s="118">
        <v>1</v>
      </c>
      <c r="S249" s="25" t="b">
        <v>1</v>
      </c>
      <c r="T249" s="118">
        <v>91</v>
      </c>
      <c r="U249" s="118">
        <v>1365</v>
      </c>
      <c r="V249" s="118">
        <v>1820</v>
      </c>
      <c r="W249" s="118">
        <v>0</v>
      </c>
      <c r="X249" s="118">
        <v>7</v>
      </c>
      <c r="Y249" s="118" t="s">
        <v>38</v>
      </c>
      <c r="Z249" s="388" t="s">
        <v>3061</v>
      </c>
      <c r="AA249" s="388" t="s">
        <v>3061</v>
      </c>
      <c r="AB249" s="25" t="s">
        <v>1260</v>
      </c>
      <c r="AC249" s="118">
        <v>100000</v>
      </c>
      <c r="AD249" s="197">
        <v>1</v>
      </c>
      <c r="AE249" s="197">
        <v>1</v>
      </c>
      <c r="AF249">
        <v>0</v>
      </c>
      <c r="AG249" s="402">
        <v>7</v>
      </c>
    </row>
    <row r="250" spans="1:33" s="388" customFormat="1" x14ac:dyDescent="0.15">
      <c r="A250" s="118">
        <v>114008</v>
      </c>
      <c r="B250" s="17" t="s">
        <v>1262</v>
      </c>
      <c r="C250" s="17" t="s">
        <v>1262</v>
      </c>
      <c r="D250" s="118" t="s">
        <v>33</v>
      </c>
      <c r="E250" s="118">
        <v>14</v>
      </c>
      <c r="F250" s="118" t="s">
        <v>1220</v>
      </c>
      <c r="G250" s="118" t="s">
        <v>1263</v>
      </c>
      <c r="H250" s="17" t="s">
        <v>35</v>
      </c>
      <c r="I250" s="118">
        <v>1</v>
      </c>
      <c r="J250" s="118">
        <v>1</v>
      </c>
      <c r="K250" s="118">
        <v>1</v>
      </c>
      <c r="L250" s="118">
        <v>3</v>
      </c>
      <c r="M250" s="118" t="s">
        <v>70</v>
      </c>
      <c r="N250" s="118" t="s">
        <v>89</v>
      </c>
      <c r="O250" s="118">
        <v>99</v>
      </c>
      <c r="P250" s="118">
        <v>0.9</v>
      </c>
      <c r="Q250" s="118">
        <v>0</v>
      </c>
      <c r="R250" s="118">
        <v>1</v>
      </c>
      <c r="S250" s="25" t="b">
        <v>1</v>
      </c>
      <c r="T250" s="118">
        <v>104</v>
      </c>
      <c r="U250" s="118">
        <v>1560</v>
      </c>
      <c r="V250" s="118">
        <v>2080</v>
      </c>
      <c r="W250" s="118">
        <v>0</v>
      </c>
      <c r="X250" s="118">
        <v>8</v>
      </c>
      <c r="Y250" s="118" t="s">
        <v>38</v>
      </c>
      <c r="Z250" s="388" t="s">
        <v>3062</v>
      </c>
      <c r="AA250" s="388" t="s">
        <v>3062</v>
      </c>
      <c r="AB250" s="25" t="s">
        <v>1266</v>
      </c>
      <c r="AC250" s="118">
        <v>100000</v>
      </c>
      <c r="AD250" s="191">
        <v>1</v>
      </c>
      <c r="AE250" s="191">
        <v>1</v>
      </c>
      <c r="AF250">
        <v>0</v>
      </c>
      <c r="AG250" s="402">
        <v>8</v>
      </c>
    </row>
    <row r="251" spans="1:33" x14ac:dyDescent="0.15">
      <c r="A251" s="118">
        <v>114009</v>
      </c>
      <c r="B251" s="17" t="s">
        <v>1268</v>
      </c>
      <c r="C251" s="17" t="s">
        <v>1268</v>
      </c>
      <c r="D251" s="118" t="s">
        <v>33</v>
      </c>
      <c r="E251" s="118">
        <v>14</v>
      </c>
      <c r="F251" s="118" t="s">
        <v>1220</v>
      </c>
      <c r="G251" s="118" t="s">
        <v>1269</v>
      </c>
      <c r="H251" s="17" t="s">
        <v>35</v>
      </c>
      <c r="I251" s="118">
        <v>1</v>
      </c>
      <c r="J251" s="118">
        <v>1</v>
      </c>
      <c r="K251" s="118">
        <v>1</v>
      </c>
      <c r="L251" s="118">
        <v>3</v>
      </c>
      <c r="M251" s="118" t="s">
        <v>70</v>
      </c>
      <c r="N251" s="118" t="s">
        <v>95</v>
      </c>
      <c r="O251" s="118">
        <v>99</v>
      </c>
      <c r="P251" s="118">
        <v>0.9</v>
      </c>
      <c r="Q251" s="118">
        <v>0</v>
      </c>
      <c r="R251" s="118">
        <v>1</v>
      </c>
      <c r="S251" s="25" t="b">
        <v>1</v>
      </c>
      <c r="T251" s="118">
        <v>117</v>
      </c>
      <c r="U251" s="118">
        <v>1755</v>
      </c>
      <c r="V251" s="118">
        <v>2340</v>
      </c>
      <c r="W251" s="118">
        <v>0</v>
      </c>
      <c r="X251" s="118">
        <v>9</v>
      </c>
      <c r="Y251" s="118" t="s">
        <v>38</v>
      </c>
      <c r="Z251" s="388" t="s">
        <v>3063</v>
      </c>
      <c r="AA251" s="388" t="s">
        <v>3063</v>
      </c>
      <c r="AB251" s="25" t="s">
        <v>1272</v>
      </c>
      <c r="AC251" s="118">
        <v>100000</v>
      </c>
      <c r="AD251" s="191">
        <v>1</v>
      </c>
      <c r="AE251" s="191">
        <v>1</v>
      </c>
      <c r="AF251">
        <v>0</v>
      </c>
      <c r="AG251" s="402">
        <v>9</v>
      </c>
    </row>
    <row r="252" spans="1:33" x14ac:dyDescent="0.15">
      <c r="A252" s="118">
        <v>114010</v>
      </c>
      <c r="B252" s="17" t="s">
        <v>1274</v>
      </c>
      <c r="C252" s="17" t="s">
        <v>1274</v>
      </c>
      <c r="D252" s="118" t="s">
        <v>33</v>
      </c>
      <c r="E252" s="118">
        <v>14</v>
      </c>
      <c r="F252" s="118" t="s">
        <v>1220</v>
      </c>
      <c r="G252" s="118" t="s">
        <v>1275</v>
      </c>
      <c r="H252" s="17" t="s">
        <v>35</v>
      </c>
      <c r="I252" s="118">
        <v>1</v>
      </c>
      <c r="J252" s="118">
        <v>1</v>
      </c>
      <c r="K252" s="118">
        <v>1</v>
      </c>
      <c r="L252" s="118">
        <v>3</v>
      </c>
      <c r="M252" s="118" t="s">
        <v>70</v>
      </c>
      <c r="N252" s="118" t="s">
        <v>101</v>
      </c>
      <c r="O252" s="118">
        <v>99</v>
      </c>
      <c r="P252" s="118">
        <v>0.9</v>
      </c>
      <c r="Q252" s="118">
        <v>0</v>
      </c>
      <c r="R252" s="118">
        <v>1</v>
      </c>
      <c r="S252" s="25" t="b">
        <v>1</v>
      </c>
      <c r="T252" s="118">
        <v>130</v>
      </c>
      <c r="U252" s="118">
        <v>1950</v>
      </c>
      <c r="V252" s="118">
        <v>2600</v>
      </c>
      <c r="W252" s="118">
        <v>0</v>
      </c>
      <c r="X252" s="118">
        <v>10</v>
      </c>
      <c r="Y252" s="118" t="s">
        <v>38</v>
      </c>
      <c r="Z252" s="388" t="s">
        <v>3064</v>
      </c>
      <c r="AA252" s="388" t="s">
        <v>3064</v>
      </c>
      <c r="AB252" s="25" t="s">
        <v>1278</v>
      </c>
      <c r="AC252" s="118">
        <v>100000</v>
      </c>
      <c r="AD252" s="191">
        <v>1</v>
      </c>
      <c r="AE252" s="191">
        <v>1</v>
      </c>
      <c r="AF252">
        <v>0</v>
      </c>
      <c r="AG252" s="402">
        <v>10</v>
      </c>
    </row>
    <row r="253" spans="1:33" x14ac:dyDescent="0.15">
      <c r="A253" s="114">
        <v>114201</v>
      </c>
      <c r="B253" s="114" t="s">
        <v>1280</v>
      </c>
      <c r="C253" s="114" t="s">
        <v>1280</v>
      </c>
      <c r="D253" s="114" t="s">
        <v>33</v>
      </c>
      <c r="E253" s="114">
        <v>14</v>
      </c>
      <c r="F253" s="114" t="s">
        <v>1220</v>
      </c>
      <c r="G253" s="114" t="s">
        <v>1221</v>
      </c>
      <c r="H253" s="114" t="s">
        <v>51</v>
      </c>
      <c r="I253" s="114">
        <v>1</v>
      </c>
      <c r="J253" s="118">
        <v>3</v>
      </c>
      <c r="K253" s="119">
        <v>0</v>
      </c>
      <c r="L253" s="114">
        <v>3</v>
      </c>
      <c r="M253" s="114" t="s">
        <v>52</v>
      </c>
      <c r="N253" s="118" t="s">
        <v>37</v>
      </c>
      <c r="O253" s="114">
        <v>99</v>
      </c>
      <c r="P253" s="114">
        <v>0.9</v>
      </c>
      <c r="Q253" s="114">
        <v>0</v>
      </c>
      <c r="R253" s="114">
        <v>1</v>
      </c>
      <c r="S253" s="114" t="b">
        <v>1</v>
      </c>
      <c r="T253" s="114">
        <v>13</v>
      </c>
      <c r="U253" s="118">
        <v>195</v>
      </c>
      <c r="V253" s="118">
        <v>260</v>
      </c>
      <c r="W253" s="114">
        <v>0</v>
      </c>
      <c r="X253" s="114">
        <v>1</v>
      </c>
      <c r="Y253" s="114" t="s">
        <v>38</v>
      </c>
      <c r="Z253" s="388" t="s">
        <v>3055</v>
      </c>
      <c r="AA253" s="388" t="s">
        <v>3055</v>
      </c>
      <c r="AB253" s="114" t="s">
        <v>1224</v>
      </c>
      <c r="AC253" s="114">
        <v>200000</v>
      </c>
      <c r="AD253" s="197">
        <v>1</v>
      </c>
      <c r="AE253" s="197">
        <v>1</v>
      </c>
      <c r="AF253">
        <v>0</v>
      </c>
      <c r="AG253" s="426">
        <v>1</v>
      </c>
    </row>
    <row r="254" spans="1:33" x14ac:dyDescent="0.15">
      <c r="A254" s="114">
        <v>114202</v>
      </c>
      <c r="B254" s="114" t="s">
        <v>1283</v>
      </c>
      <c r="C254" s="114" t="s">
        <v>1283</v>
      </c>
      <c r="D254" s="114" t="s">
        <v>33</v>
      </c>
      <c r="E254" s="114">
        <v>14</v>
      </c>
      <c r="F254" s="114" t="s">
        <v>1220</v>
      </c>
      <c r="G254" s="118" t="s">
        <v>1227</v>
      </c>
      <c r="H254" s="114" t="s">
        <v>51</v>
      </c>
      <c r="I254" s="114">
        <v>1</v>
      </c>
      <c r="J254" s="118">
        <v>3</v>
      </c>
      <c r="K254" s="119">
        <v>0</v>
      </c>
      <c r="L254" s="114">
        <v>3</v>
      </c>
      <c r="M254" s="114" t="s">
        <v>52</v>
      </c>
      <c r="N254" s="118" t="s">
        <v>45</v>
      </c>
      <c r="O254" s="114">
        <v>99</v>
      </c>
      <c r="P254" s="114">
        <v>0.9</v>
      </c>
      <c r="Q254" s="114">
        <v>0</v>
      </c>
      <c r="R254" s="114">
        <v>1</v>
      </c>
      <c r="S254" s="114" t="b">
        <v>1</v>
      </c>
      <c r="T254" s="114">
        <v>26</v>
      </c>
      <c r="U254" s="118">
        <v>390</v>
      </c>
      <c r="V254" s="118">
        <v>520</v>
      </c>
      <c r="W254" s="114">
        <v>0</v>
      </c>
      <c r="X254" s="114">
        <v>2</v>
      </c>
      <c r="Y254" s="114" t="s">
        <v>38</v>
      </c>
      <c r="Z254" s="388" t="s">
        <v>3056</v>
      </c>
      <c r="AA254" s="388" t="s">
        <v>3056</v>
      </c>
      <c r="AB254" s="114" t="s">
        <v>1230</v>
      </c>
      <c r="AC254" s="114">
        <v>100000</v>
      </c>
      <c r="AD254" s="197">
        <v>1</v>
      </c>
      <c r="AE254" s="197">
        <v>1</v>
      </c>
      <c r="AF254">
        <v>0</v>
      </c>
      <c r="AG254" s="426">
        <v>2</v>
      </c>
    </row>
    <row r="255" spans="1:33" x14ac:dyDescent="0.15">
      <c r="A255" s="114">
        <v>114203</v>
      </c>
      <c r="B255" s="114" t="s">
        <v>1286</v>
      </c>
      <c r="C255" s="114" t="s">
        <v>1286</v>
      </c>
      <c r="D255" s="114" t="s">
        <v>33</v>
      </c>
      <c r="E255" s="114">
        <v>14</v>
      </c>
      <c r="F255" s="114" t="s">
        <v>1220</v>
      </c>
      <c r="G255" s="118" t="s">
        <v>1233</v>
      </c>
      <c r="H255" s="114" t="s">
        <v>51</v>
      </c>
      <c r="I255" s="114">
        <v>1</v>
      </c>
      <c r="J255" s="118">
        <v>3</v>
      </c>
      <c r="K255" s="119">
        <v>0</v>
      </c>
      <c r="L255" s="114">
        <v>3</v>
      </c>
      <c r="M255" s="114" t="s">
        <v>52</v>
      </c>
      <c r="N255" s="118" t="s">
        <v>57</v>
      </c>
      <c r="O255" s="114">
        <v>99</v>
      </c>
      <c r="P255" s="114">
        <v>0.9</v>
      </c>
      <c r="Q255" s="114">
        <v>0</v>
      </c>
      <c r="R255" s="114">
        <v>1</v>
      </c>
      <c r="S255" s="114" t="b">
        <v>1</v>
      </c>
      <c r="T255" s="114">
        <v>39</v>
      </c>
      <c r="U255" s="118">
        <v>585</v>
      </c>
      <c r="V255" s="118">
        <v>780</v>
      </c>
      <c r="W255" s="114">
        <v>0</v>
      </c>
      <c r="X255" s="114">
        <v>3</v>
      </c>
      <c r="Y255" s="114" t="s">
        <v>38</v>
      </c>
      <c r="Z255" s="388" t="s">
        <v>3057</v>
      </c>
      <c r="AA255" s="388" t="s">
        <v>3057</v>
      </c>
      <c r="AB255" s="114" t="s">
        <v>1236</v>
      </c>
      <c r="AC255" s="114">
        <v>200000</v>
      </c>
      <c r="AD255" s="197">
        <v>1</v>
      </c>
      <c r="AE255" s="197">
        <v>1</v>
      </c>
      <c r="AF255">
        <v>0</v>
      </c>
      <c r="AG255" s="426">
        <v>3</v>
      </c>
    </row>
    <row r="256" spans="1:33" x14ac:dyDescent="0.15">
      <c r="A256" s="114">
        <v>114204</v>
      </c>
      <c r="B256" s="114" t="s">
        <v>1289</v>
      </c>
      <c r="C256" s="114" t="s">
        <v>1289</v>
      </c>
      <c r="D256" s="114" t="s">
        <v>33</v>
      </c>
      <c r="E256" s="114">
        <v>14</v>
      </c>
      <c r="F256" s="114" t="s">
        <v>1220</v>
      </c>
      <c r="G256" s="118" t="s">
        <v>1239</v>
      </c>
      <c r="H256" s="114" t="s">
        <v>51</v>
      </c>
      <c r="I256" s="114">
        <v>1</v>
      </c>
      <c r="J256" s="118">
        <v>3</v>
      </c>
      <c r="K256" s="119">
        <v>0</v>
      </c>
      <c r="L256" s="114">
        <v>3</v>
      </c>
      <c r="M256" s="114" t="s">
        <v>52</v>
      </c>
      <c r="N256" s="118" t="s">
        <v>64</v>
      </c>
      <c r="O256" s="114">
        <v>99</v>
      </c>
      <c r="P256" s="114">
        <v>0.9</v>
      </c>
      <c r="Q256" s="114">
        <v>0</v>
      </c>
      <c r="R256" s="114">
        <v>1</v>
      </c>
      <c r="S256" s="114" t="b">
        <v>1</v>
      </c>
      <c r="T256" s="114">
        <v>52</v>
      </c>
      <c r="U256" s="118">
        <v>780</v>
      </c>
      <c r="V256" s="118">
        <v>1040</v>
      </c>
      <c r="W256" s="114">
        <v>0</v>
      </c>
      <c r="X256" s="114">
        <v>4</v>
      </c>
      <c r="Y256" s="114" t="s">
        <v>38</v>
      </c>
      <c r="Z256" s="388" t="s">
        <v>3058</v>
      </c>
      <c r="AA256" s="388" t="s">
        <v>3058</v>
      </c>
      <c r="AB256" s="114" t="s">
        <v>1242</v>
      </c>
      <c r="AC256" s="114">
        <v>100000</v>
      </c>
      <c r="AD256" s="197">
        <v>1</v>
      </c>
      <c r="AE256" s="197">
        <v>1</v>
      </c>
      <c r="AF256">
        <v>0</v>
      </c>
      <c r="AG256" s="426">
        <v>4</v>
      </c>
    </row>
    <row r="257" spans="1:33" x14ac:dyDescent="0.15">
      <c r="A257" s="114">
        <v>114205</v>
      </c>
      <c r="B257" s="114" t="s">
        <v>1292</v>
      </c>
      <c r="C257" s="114" t="s">
        <v>1292</v>
      </c>
      <c r="D257" s="114" t="s">
        <v>33</v>
      </c>
      <c r="E257" s="114">
        <v>14</v>
      </c>
      <c r="F257" s="114" t="s">
        <v>1220</v>
      </c>
      <c r="G257" s="118" t="s">
        <v>1245</v>
      </c>
      <c r="H257" s="114" t="s">
        <v>51</v>
      </c>
      <c r="I257" s="114">
        <v>1</v>
      </c>
      <c r="J257" s="118">
        <v>3</v>
      </c>
      <c r="K257" s="119">
        <v>0</v>
      </c>
      <c r="L257" s="114">
        <v>3</v>
      </c>
      <c r="M257" s="114" t="s">
        <v>52</v>
      </c>
      <c r="N257" s="118" t="s">
        <v>71</v>
      </c>
      <c r="O257" s="114">
        <v>99</v>
      </c>
      <c r="P257" s="114">
        <v>0.9</v>
      </c>
      <c r="Q257" s="114">
        <v>0</v>
      </c>
      <c r="R257" s="114">
        <v>1</v>
      </c>
      <c r="S257" s="114" t="b">
        <v>1</v>
      </c>
      <c r="T257" s="114">
        <v>65</v>
      </c>
      <c r="U257" s="118">
        <v>975</v>
      </c>
      <c r="V257" s="118">
        <v>1300</v>
      </c>
      <c r="W257" s="114">
        <v>0</v>
      </c>
      <c r="X257" s="114">
        <v>5</v>
      </c>
      <c r="Y257" s="114" t="s">
        <v>38</v>
      </c>
      <c r="Z257" s="388" t="s">
        <v>3059</v>
      </c>
      <c r="AA257" s="388" t="s">
        <v>3059</v>
      </c>
      <c r="AB257" s="114" t="s">
        <v>1248</v>
      </c>
      <c r="AC257" s="114">
        <v>100000</v>
      </c>
      <c r="AD257" s="197">
        <v>1</v>
      </c>
      <c r="AE257" s="197">
        <v>1</v>
      </c>
      <c r="AF257">
        <v>0</v>
      </c>
      <c r="AG257" s="426">
        <v>5</v>
      </c>
    </row>
    <row r="258" spans="1:33" x14ac:dyDescent="0.15">
      <c r="A258" s="114">
        <v>114206</v>
      </c>
      <c r="B258" s="114" t="s">
        <v>1295</v>
      </c>
      <c r="C258" s="114" t="s">
        <v>1295</v>
      </c>
      <c r="D258" s="114" t="s">
        <v>33</v>
      </c>
      <c r="E258" s="114">
        <v>14</v>
      </c>
      <c r="F258" s="114" t="s">
        <v>1220</v>
      </c>
      <c r="G258" s="118" t="s">
        <v>1251</v>
      </c>
      <c r="H258" s="114" t="s">
        <v>51</v>
      </c>
      <c r="I258" s="114">
        <v>1</v>
      </c>
      <c r="J258" s="118">
        <v>4</v>
      </c>
      <c r="K258" s="119">
        <v>0</v>
      </c>
      <c r="L258" s="114">
        <v>3</v>
      </c>
      <c r="M258" s="114" t="s">
        <v>52</v>
      </c>
      <c r="N258" s="118" t="s">
        <v>77</v>
      </c>
      <c r="O258" s="114">
        <v>99</v>
      </c>
      <c r="P258" s="114">
        <v>0.9</v>
      </c>
      <c r="Q258" s="114">
        <v>0</v>
      </c>
      <c r="R258" s="114">
        <v>1</v>
      </c>
      <c r="S258" s="114" t="b">
        <v>1</v>
      </c>
      <c r="T258" s="114">
        <v>78</v>
      </c>
      <c r="U258" s="118">
        <v>1170</v>
      </c>
      <c r="V258" s="118">
        <v>1560</v>
      </c>
      <c r="W258" s="114">
        <v>0</v>
      </c>
      <c r="X258" s="114">
        <v>6</v>
      </c>
      <c r="Y258" s="114" t="s">
        <v>38</v>
      </c>
      <c r="Z258" s="388" t="s">
        <v>3060</v>
      </c>
      <c r="AA258" s="388" t="s">
        <v>3060</v>
      </c>
      <c r="AB258" s="114" t="s">
        <v>1254</v>
      </c>
      <c r="AC258" s="114">
        <v>100000</v>
      </c>
      <c r="AD258" s="197">
        <v>1</v>
      </c>
      <c r="AE258" s="197">
        <v>1</v>
      </c>
      <c r="AF258">
        <v>0</v>
      </c>
      <c r="AG258" s="426">
        <v>6</v>
      </c>
    </row>
    <row r="259" spans="1:33" x14ac:dyDescent="0.15">
      <c r="A259" s="114">
        <v>114207</v>
      </c>
      <c r="B259" s="114" t="s">
        <v>1298</v>
      </c>
      <c r="C259" s="114" t="s">
        <v>1298</v>
      </c>
      <c r="D259" s="114" t="s">
        <v>33</v>
      </c>
      <c r="E259" s="114">
        <v>14</v>
      </c>
      <c r="F259" s="114" t="s">
        <v>1220</v>
      </c>
      <c r="G259" s="118" t="s">
        <v>1257</v>
      </c>
      <c r="H259" s="114" t="s">
        <v>51</v>
      </c>
      <c r="I259" s="114">
        <v>1</v>
      </c>
      <c r="J259" s="118">
        <v>4</v>
      </c>
      <c r="K259" s="119">
        <v>0</v>
      </c>
      <c r="L259" s="114">
        <v>3</v>
      </c>
      <c r="M259" s="114" t="s">
        <v>52</v>
      </c>
      <c r="N259" s="118" t="s">
        <v>83</v>
      </c>
      <c r="O259" s="114">
        <v>99</v>
      </c>
      <c r="P259" s="114">
        <v>0.9</v>
      </c>
      <c r="Q259" s="114">
        <v>0</v>
      </c>
      <c r="R259" s="114">
        <v>1</v>
      </c>
      <c r="S259" s="114" t="b">
        <v>1</v>
      </c>
      <c r="T259" s="114">
        <v>91</v>
      </c>
      <c r="U259" s="118">
        <v>1365</v>
      </c>
      <c r="V259" s="118">
        <v>1820</v>
      </c>
      <c r="W259" s="114">
        <v>0</v>
      </c>
      <c r="X259" s="114">
        <v>7</v>
      </c>
      <c r="Y259" s="114" t="s">
        <v>38</v>
      </c>
      <c r="Z259" s="388" t="s">
        <v>3061</v>
      </c>
      <c r="AA259" s="388" t="s">
        <v>3061</v>
      </c>
      <c r="AB259" s="114" t="s">
        <v>1260</v>
      </c>
      <c r="AC259" s="114">
        <v>100000</v>
      </c>
      <c r="AD259" s="197">
        <v>1</v>
      </c>
      <c r="AE259" s="197">
        <v>1</v>
      </c>
      <c r="AF259">
        <v>0</v>
      </c>
      <c r="AG259" s="426">
        <v>7</v>
      </c>
    </row>
    <row r="260" spans="1:33" x14ac:dyDescent="0.15">
      <c r="A260" s="114">
        <v>114208</v>
      </c>
      <c r="B260" s="114" t="s">
        <v>1301</v>
      </c>
      <c r="C260" s="114" t="s">
        <v>1301</v>
      </c>
      <c r="D260" s="114" t="s">
        <v>33</v>
      </c>
      <c r="E260" s="114">
        <v>14</v>
      </c>
      <c r="F260" s="114" t="s">
        <v>1220</v>
      </c>
      <c r="G260" s="119" t="s">
        <v>1263</v>
      </c>
      <c r="H260" s="114" t="s">
        <v>51</v>
      </c>
      <c r="I260" s="114">
        <v>1</v>
      </c>
      <c r="J260" s="118">
        <v>4</v>
      </c>
      <c r="K260" s="119">
        <v>0</v>
      </c>
      <c r="L260" s="114">
        <v>3</v>
      </c>
      <c r="M260" s="114" t="s">
        <v>52</v>
      </c>
      <c r="N260" s="118" t="s">
        <v>89</v>
      </c>
      <c r="O260" s="114">
        <v>99</v>
      </c>
      <c r="P260" s="114">
        <v>0.9</v>
      </c>
      <c r="Q260" s="114">
        <v>0</v>
      </c>
      <c r="R260" s="114">
        <v>1</v>
      </c>
      <c r="S260" s="114" t="b">
        <v>1</v>
      </c>
      <c r="T260" s="114">
        <v>104</v>
      </c>
      <c r="U260" s="118">
        <v>1560</v>
      </c>
      <c r="V260" s="118">
        <v>2080</v>
      </c>
      <c r="W260" s="114">
        <v>0</v>
      </c>
      <c r="X260" s="119">
        <v>8</v>
      </c>
      <c r="Y260" s="114" t="s">
        <v>38</v>
      </c>
      <c r="Z260" s="388" t="s">
        <v>3062</v>
      </c>
      <c r="AA260" s="388" t="s">
        <v>3062</v>
      </c>
      <c r="AB260" s="114" t="s">
        <v>1266</v>
      </c>
      <c r="AC260" s="114">
        <v>100000</v>
      </c>
      <c r="AD260" s="197">
        <v>1</v>
      </c>
      <c r="AE260" s="197">
        <v>1</v>
      </c>
      <c r="AF260">
        <v>0</v>
      </c>
      <c r="AG260" s="426">
        <v>8</v>
      </c>
    </row>
    <row r="261" spans="1:33" x14ac:dyDescent="0.15">
      <c r="A261" s="114">
        <v>114209</v>
      </c>
      <c r="B261" s="114" t="s">
        <v>1304</v>
      </c>
      <c r="C261" s="114" t="s">
        <v>1304</v>
      </c>
      <c r="D261" s="114" t="s">
        <v>33</v>
      </c>
      <c r="E261" s="114">
        <v>14</v>
      </c>
      <c r="F261" s="114" t="s">
        <v>1220</v>
      </c>
      <c r="G261" s="119" t="s">
        <v>1269</v>
      </c>
      <c r="H261" s="114" t="s">
        <v>51</v>
      </c>
      <c r="I261" s="114">
        <v>1</v>
      </c>
      <c r="J261" s="118">
        <v>4</v>
      </c>
      <c r="K261" s="119">
        <v>0</v>
      </c>
      <c r="L261" s="114">
        <v>3</v>
      </c>
      <c r="M261" s="114" t="s">
        <v>52</v>
      </c>
      <c r="N261" s="118" t="s">
        <v>95</v>
      </c>
      <c r="O261" s="114">
        <v>99</v>
      </c>
      <c r="P261" s="114">
        <v>0.9</v>
      </c>
      <c r="Q261" s="114">
        <v>0</v>
      </c>
      <c r="R261" s="114">
        <v>1</v>
      </c>
      <c r="S261" s="114" t="b">
        <v>1</v>
      </c>
      <c r="T261" s="114">
        <v>117</v>
      </c>
      <c r="U261" s="118">
        <v>1755</v>
      </c>
      <c r="V261" s="118">
        <v>2340</v>
      </c>
      <c r="W261" s="114">
        <v>0</v>
      </c>
      <c r="X261" s="119">
        <v>8</v>
      </c>
      <c r="Y261" s="114" t="s">
        <v>38</v>
      </c>
      <c r="Z261" s="388" t="s">
        <v>3063</v>
      </c>
      <c r="AA261" s="388" t="s">
        <v>3063</v>
      </c>
      <c r="AB261" s="114" t="s">
        <v>1272</v>
      </c>
      <c r="AC261" s="114">
        <v>100000</v>
      </c>
      <c r="AD261" s="197">
        <v>1</v>
      </c>
      <c r="AE261" s="197">
        <v>1</v>
      </c>
      <c r="AF261">
        <v>0</v>
      </c>
      <c r="AG261" s="426">
        <v>9</v>
      </c>
    </row>
    <row r="262" spans="1:33" x14ac:dyDescent="0.15">
      <c r="A262" s="114">
        <v>114310</v>
      </c>
      <c r="B262" s="114" t="s">
        <v>1307</v>
      </c>
      <c r="C262" s="114" t="s">
        <v>1307</v>
      </c>
      <c r="D262" s="114" t="s">
        <v>33</v>
      </c>
      <c r="E262" s="114">
        <v>14</v>
      </c>
      <c r="F262" s="114" t="s">
        <v>1220</v>
      </c>
      <c r="G262" s="119" t="s">
        <v>1275</v>
      </c>
      <c r="H262" s="114" t="s">
        <v>51</v>
      </c>
      <c r="I262" s="114">
        <v>1</v>
      </c>
      <c r="J262" s="118">
        <v>4</v>
      </c>
      <c r="K262" s="119">
        <v>0</v>
      </c>
      <c r="L262" s="114">
        <v>3</v>
      </c>
      <c r="M262" s="114" t="s">
        <v>52</v>
      </c>
      <c r="N262" s="118" t="s">
        <v>101</v>
      </c>
      <c r="O262" s="114">
        <v>99</v>
      </c>
      <c r="P262" s="114">
        <v>0.9</v>
      </c>
      <c r="Q262" s="114">
        <v>0</v>
      </c>
      <c r="R262" s="114">
        <v>1</v>
      </c>
      <c r="S262" s="114" t="b">
        <v>1</v>
      </c>
      <c r="T262" s="114">
        <v>130</v>
      </c>
      <c r="U262" s="118">
        <v>1950</v>
      </c>
      <c r="V262" s="118">
        <v>2600</v>
      </c>
      <c r="W262" s="114">
        <v>0</v>
      </c>
      <c r="X262" s="119">
        <v>10</v>
      </c>
      <c r="Y262" s="114" t="s">
        <v>38</v>
      </c>
      <c r="Z262" s="388" t="s">
        <v>3064</v>
      </c>
      <c r="AA262" s="388" t="s">
        <v>3064</v>
      </c>
      <c r="AB262" s="114" t="s">
        <v>1278</v>
      </c>
      <c r="AC262" s="114">
        <v>100000</v>
      </c>
      <c r="AD262" s="197">
        <v>1</v>
      </c>
      <c r="AE262" s="197">
        <v>1</v>
      </c>
      <c r="AF262">
        <v>0</v>
      </c>
      <c r="AG262" s="426">
        <v>10</v>
      </c>
    </row>
    <row r="263" spans="1:33" x14ac:dyDescent="0.15">
      <c r="A263" s="114">
        <v>114210</v>
      </c>
      <c r="B263" s="114" t="s">
        <v>1310</v>
      </c>
      <c r="C263" s="114" t="s">
        <v>1310</v>
      </c>
      <c r="D263" s="119" t="s">
        <v>33</v>
      </c>
      <c r="E263" s="80">
        <v>14</v>
      </c>
      <c r="F263" s="80" t="s">
        <v>1220</v>
      </c>
      <c r="G263" s="118" t="s">
        <v>1257</v>
      </c>
      <c r="H263" s="119" t="s">
        <v>51</v>
      </c>
      <c r="I263" s="80">
        <v>1</v>
      </c>
      <c r="J263" s="118">
        <v>7</v>
      </c>
      <c r="K263" s="119">
        <v>0</v>
      </c>
      <c r="L263" s="80">
        <v>3</v>
      </c>
      <c r="M263" s="80">
        <v>7</v>
      </c>
      <c r="N263" s="118" t="s">
        <v>89</v>
      </c>
      <c r="O263" s="119">
        <v>99</v>
      </c>
      <c r="P263" s="119">
        <v>0.9</v>
      </c>
      <c r="Q263" s="119">
        <v>0</v>
      </c>
      <c r="R263" s="80">
        <v>1</v>
      </c>
      <c r="S263" s="80" t="b">
        <v>1</v>
      </c>
      <c r="T263" s="119">
        <v>130</v>
      </c>
      <c r="U263" s="118">
        <v>1950</v>
      </c>
      <c r="V263" s="118">
        <v>2600</v>
      </c>
      <c r="W263" s="119">
        <v>0</v>
      </c>
      <c r="X263" s="118">
        <v>8</v>
      </c>
      <c r="Y263" s="80" t="s">
        <v>38</v>
      </c>
      <c r="Z263" s="388" t="s">
        <v>3065</v>
      </c>
      <c r="AA263" s="388" t="s">
        <v>3065</v>
      </c>
      <c r="AB263" s="428" t="s">
        <v>1313</v>
      </c>
      <c r="AC263" s="80">
        <v>100000</v>
      </c>
      <c r="AD263" s="197">
        <v>1</v>
      </c>
      <c r="AE263" s="197">
        <v>1</v>
      </c>
      <c r="AF263">
        <v>0</v>
      </c>
      <c r="AG263" s="432">
        <v>10</v>
      </c>
    </row>
    <row r="264" spans="1:33" ht="14.45" customHeight="1" x14ac:dyDescent="0.15">
      <c r="A264" s="417">
        <v>115001</v>
      </c>
      <c r="B264" s="17" t="s">
        <v>1315</v>
      </c>
      <c r="C264" s="17" t="s">
        <v>1315</v>
      </c>
      <c r="D264" s="118" t="s">
        <v>33</v>
      </c>
      <c r="E264" s="118">
        <v>15</v>
      </c>
      <c r="F264" s="118" t="s">
        <v>1316</v>
      </c>
      <c r="G264" s="118" t="s">
        <v>1317</v>
      </c>
      <c r="H264" s="118" t="s">
        <v>35</v>
      </c>
      <c r="I264" s="118">
        <v>1</v>
      </c>
      <c r="J264" s="118">
        <v>1</v>
      </c>
      <c r="K264" s="118">
        <v>1</v>
      </c>
      <c r="L264" s="118">
        <v>3</v>
      </c>
      <c r="M264" s="118" t="s">
        <v>36</v>
      </c>
      <c r="N264" s="118" t="s">
        <v>37</v>
      </c>
      <c r="O264" s="118">
        <v>1</v>
      </c>
      <c r="P264" s="118">
        <v>0.9</v>
      </c>
      <c r="Q264" s="118">
        <v>0</v>
      </c>
      <c r="R264" s="118">
        <v>1</v>
      </c>
      <c r="S264" s="25" t="b">
        <v>1</v>
      </c>
      <c r="T264" s="118">
        <v>13</v>
      </c>
      <c r="U264" s="118">
        <v>195</v>
      </c>
      <c r="V264" s="118">
        <v>260</v>
      </c>
      <c r="W264" s="118">
        <v>0</v>
      </c>
      <c r="X264" s="118">
        <v>1</v>
      </c>
      <c r="Y264" s="118" t="s">
        <v>38</v>
      </c>
      <c r="Z264" s="388" t="s">
        <v>3066</v>
      </c>
      <c r="AA264" s="388" t="s">
        <v>3066</v>
      </c>
      <c r="AB264" s="25" t="s">
        <v>1320</v>
      </c>
      <c r="AC264" s="118">
        <v>200000</v>
      </c>
      <c r="AD264" s="197">
        <v>1</v>
      </c>
      <c r="AE264" s="197">
        <v>1</v>
      </c>
      <c r="AF264">
        <v>0</v>
      </c>
      <c r="AG264" s="402">
        <v>1</v>
      </c>
    </row>
    <row r="265" spans="1:33" ht="14.45" customHeight="1" x14ac:dyDescent="0.15">
      <c r="A265" s="417">
        <v>115002</v>
      </c>
      <c r="B265" s="17" t="s">
        <v>1322</v>
      </c>
      <c r="C265" s="17" t="s">
        <v>1322</v>
      </c>
      <c r="D265" s="118" t="s">
        <v>33</v>
      </c>
      <c r="E265" s="118">
        <v>15</v>
      </c>
      <c r="F265" s="118" t="s">
        <v>1316</v>
      </c>
      <c r="G265" s="130" t="s">
        <v>1323</v>
      </c>
      <c r="H265" s="118" t="s">
        <v>35</v>
      </c>
      <c r="I265" s="118">
        <v>1</v>
      </c>
      <c r="J265" s="118">
        <v>1</v>
      </c>
      <c r="K265" s="118">
        <v>1</v>
      </c>
      <c r="L265" s="118">
        <v>3</v>
      </c>
      <c r="M265" s="118" t="s">
        <v>44</v>
      </c>
      <c r="N265" s="118" t="s">
        <v>45</v>
      </c>
      <c r="O265" s="118">
        <v>1</v>
      </c>
      <c r="P265" s="118">
        <v>0.9</v>
      </c>
      <c r="Q265" s="118">
        <v>0</v>
      </c>
      <c r="R265" s="118">
        <v>1</v>
      </c>
      <c r="S265" s="25" t="b">
        <v>1</v>
      </c>
      <c r="T265" s="118">
        <v>26</v>
      </c>
      <c r="U265" s="118">
        <v>390</v>
      </c>
      <c r="V265" s="118">
        <v>520</v>
      </c>
      <c r="W265" s="118">
        <v>0</v>
      </c>
      <c r="X265" s="118">
        <v>2</v>
      </c>
      <c r="Y265" s="118" t="s">
        <v>38</v>
      </c>
      <c r="Z265" s="388" t="s">
        <v>3067</v>
      </c>
      <c r="AA265" s="388" t="s">
        <v>3067</v>
      </c>
      <c r="AB265" s="25" t="s">
        <v>1326</v>
      </c>
      <c r="AC265" s="118">
        <v>100000</v>
      </c>
      <c r="AD265" s="197">
        <v>1</v>
      </c>
      <c r="AE265" s="197">
        <v>1</v>
      </c>
      <c r="AF265">
        <v>0</v>
      </c>
      <c r="AG265" s="402">
        <v>2</v>
      </c>
    </row>
    <row r="266" spans="1:33" ht="14.45" customHeight="1" x14ac:dyDescent="0.15">
      <c r="A266" s="417">
        <v>115003</v>
      </c>
      <c r="B266" s="17" t="s">
        <v>1328</v>
      </c>
      <c r="C266" s="17" t="s">
        <v>1328</v>
      </c>
      <c r="D266" s="118" t="s">
        <v>33</v>
      </c>
      <c r="E266" s="118">
        <v>15</v>
      </c>
      <c r="F266" s="118" t="s">
        <v>1316</v>
      </c>
      <c r="G266" s="130" t="s">
        <v>1329</v>
      </c>
      <c r="H266" s="118" t="s">
        <v>35</v>
      </c>
      <c r="I266" s="118">
        <v>1</v>
      </c>
      <c r="J266" s="118">
        <v>1</v>
      </c>
      <c r="K266" s="118">
        <v>1</v>
      </c>
      <c r="L266" s="118">
        <v>3</v>
      </c>
      <c r="M266" s="118" t="s">
        <v>56</v>
      </c>
      <c r="N266" s="118" t="s">
        <v>57</v>
      </c>
      <c r="O266" s="118">
        <v>1</v>
      </c>
      <c r="P266" s="118">
        <v>0.9</v>
      </c>
      <c r="Q266" s="118">
        <v>0</v>
      </c>
      <c r="R266" s="118">
        <v>1</v>
      </c>
      <c r="S266" s="25" t="b">
        <v>1</v>
      </c>
      <c r="T266" s="118">
        <v>39</v>
      </c>
      <c r="U266" s="118">
        <v>585</v>
      </c>
      <c r="V266" s="118">
        <v>780</v>
      </c>
      <c r="W266" s="118">
        <v>0</v>
      </c>
      <c r="X266" s="118">
        <v>3</v>
      </c>
      <c r="Y266" s="118" t="s">
        <v>38</v>
      </c>
      <c r="Z266" s="388" t="s">
        <v>3068</v>
      </c>
      <c r="AA266" s="388" t="s">
        <v>3068</v>
      </c>
      <c r="AB266" s="25" t="s">
        <v>1332</v>
      </c>
      <c r="AC266" s="118">
        <v>200000</v>
      </c>
      <c r="AD266" s="197">
        <v>1</v>
      </c>
      <c r="AE266" s="197">
        <v>1</v>
      </c>
      <c r="AF266">
        <v>0</v>
      </c>
      <c r="AG266" s="402">
        <v>3</v>
      </c>
    </row>
    <row r="267" spans="1:33" ht="14.45" customHeight="1" x14ac:dyDescent="0.15">
      <c r="A267" s="417">
        <v>115004</v>
      </c>
      <c r="B267" s="71" t="s">
        <v>1334</v>
      </c>
      <c r="C267" s="71" t="s">
        <v>1334</v>
      </c>
      <c r="D267" s="118" t="s">
        <v>33</v>
      </c>
      <c r="E267" s="118">
        <v>15</v>
      </c>
      <c r="F267" s="118" t="s">
        <v>1316</v>
      </c>
      <c r="G267" s="130" t="s">
        <v>1335</v>
      </c>
      <c r="H267" s="118" t="s">
        <v>35</v>
      </c>
      <c r="I267" s="118">
        <v>1</v>
      </c>
      <c r="J267" s="118">
        <v>1</v>
      </c>
      <c r="K267" s="118">
        <v>1</v>
      </c>
      <c r="L267" s="118">
        <v>3</v>
      </c>
      <c r="M267" s="118" t="s">
        <v>63</v>
      </c>
      <c r="N267" s="118" t="s">
        <v>64</v>
      </c>
      <c r="O267" s="118">
        <v>1</v>
      </c>
      <c r="P267" s="118">
        <v>0.9</v>
      </c>
      <c r="Q267" s="118">
        <v>0</v>
      </c>
      <c r="R267" s="118">
        <v>1</v>
      </c>
      <c r="S267" s="25" t="b">
        <v>1</v>
      </c>
      <c r="T267" s="118">
        <v>52</v>
      </c>
      <c r="U267" s="118">
        <v>780</v>
      </c>
      <c r="V267" s="118">
        <v>1040</v>
      </c>
      <c r="W267" s="118">
        <v>0</v>
      </c>
      <c r="X267" s="118">
        <v>4</v>
      </c>
      <c r="Y267" s="118" t="s">
        <v>38</v>
      </c>
      <c r="Z267" s="388" t="s">
        <v>3069</v>
      </c>
      <c r="AA267" s="388" t="s">
        <v>3069</v>
      </c>
      <c r="AB267" s="25" t="s">
        <v>1338</v>
      </c>
      <c r="AC267" s="118">
        <v>100000</v>
      </c>
      <c r="AD267" s="197">
        <v>1</v>
      </c>
      <c r="AE267" s="197">
        <v>1</v>
      </c>
      <c r="AF267">
        <v>0</v>
      </c>
      <c r="AG267" s="402">
        <v>4</v>
      </c>
    </row>
    <row r="268" spans="1:33" ht="14.45" customHeight="1" x14ac:dyDescent="0.15">
      <c r="A268" s="417">
        <v>115005</v>
      </c>
      <c r="B268" s="17" t="s">
        <v>1340</v>
      </c>
      <c r="C268" s="17" t="s">
        <v>1340</v>
      </c>
      <c r="D268" s="118" t="s">
        <v>33</v>
      </c>
      <c r="E268" s="118">
        <v>15</v>
      </c>
      <c r="F268" s="118" t="s">
        <v>1316</v>
      </c>
      <c r="G268" s="130" t="s">
        <v>1341</v>
      </c>
      <c r="H268" s="118" t="s">
        <v>35</v>
      </c>
      <c r="I268" s="118">
        <v>1</v>
      </c>
      <c r="J268" s="118">
        <v>1</v>
      </c>
      <c r="K268" s="118">
        <v>1</v>
      </c>
      <c r="L268" s="118">
        <v>3</v>
      </c>
      <c r="M268" s="118" t="s">
        <v>70</v>
      </c>
      <c r="N268" s="118" t="s">
        <v>71</v>
      </c>
      <c r="O268" s="118">
        <v>1</v>
      </c>
      <c r="P268" s="118">
        <v>0.9</v>
      </c>
      <c r="Q268" s="118">
        <v>0</v>
      </c>
      <c r="R268" s="118">
        <v>1</v>
      </c>
      <c r="S268" s="25" t="b">
        <v>1</v>
      </c>
      <c r="T268" s="118">
        <v>65</v>
      </c>
      <c r="U268" s="118">
        <v>975</v>
      </c>
      <c r="V268" s="118">
        <v>1300</v>
      </c>
      <c r="W268" s="118">
        <v>0</v>
      </c>
      <c r="X268" s="118">
        <v>5</v>
      </c>
      <c r="Y268" s="118" t="s">
        <v>38</v>
      </c>
      <c r="Z268" s="388" t="s">
        <v>3070</v>
      </c>
      <c r="AA268" s="388" t="s">
        <v>3070</v>
      </c>
      <c r="AB268" s="25" t="s">
        <v>1344</v>
      </c>
      <c r="AC268" s="118">
        <v>100000</v>
      </c>
      <c r="AD268" s="197">
        <v>1</v>
      </c>
      <c r="AE268" s="197">
        <v>1</v>
      </c>
      <c r="AF268">
        <v>0</v>
      </c>
      <c r="AG268" s="402">
        <v>5</v>
      </c>
    </row>
    <row r="269" spans="1:33" ht="14.45" customHeight="1" x14ac:dyDescent="0.15">
      <c r="A269" s="417">
        <v>115006</v>
      </c>
      <c r="B269" s="17" t="s">
        <v>1346</v>
      </c>
      <c r="C269" s="17" t="s">
        <v>1346</v>
      </c>
      <c r="D269" s="118" t="s">
        <v>33</v>
      </c>
      <c r="E269" s="118">
        <v>15</v>
      </c>
      <c r="F269" s="118" t="s">
        <v>1316</v>
      </c>
      <c r="G269" s="130" t="s">
        <v>1347</v>
      </c>
      <c r="H269" s="118" t="s">
        <v>35</v>
      </c>
      <c r="I269" s="118">
        <v>1</v>
      </c>
      <c r="J269" s="118">
        <v>1</v>
      </c>
      <c r="K269" s="118">
        <v>1</v>
      </c>
      <c r="L269" s="118">
        <v>3</v>
      </c>
      <c r="M269" s="118" t="s">
        <v>70</v>
      </c>
      <c r="N269" s="118" t="s">
        <v>77</v>
      </c>
      <c r="O269" s="118">
        <v>1</v>
      </c>
      <c r="P269" s="118">
        <v>0.9</v>
      </c>
      <c r="Q269" s="118">
        <v>0</v>
      </c>
      <c r="R269" s="118">
        <v>1</v>
      </c>
      <c r="S269" s="25" t="b">
        <v>1</v>
      </c>
      <c r="T269" s="118">
        <v>78</v>
      </c>
      <c r="U269" s="118">
        <v>1170</v>
      </c>
      <c r="V269" s="118">
        <v>1560</v>
      </c>
      <c r="W269" s="118">
        <v>0</v>
      </c>
      <c r="X269" s="118">
        <v>6</v>
      </c>
      <c r="Y269" s="118" t="s">
        <v>38</v>
      </c>
      <c r="Z269" s="388" t="s">
        <v>3071</v>
      </c>
      <c r="AA269" s="388" t="s">
        <v>3071</v>
      </c>
      <c r="AB269" s="25" t="s">
        <v>1350</v>
      </c>
      <c r="AC269" s="118">
        <v>100000</v>
      </c>
      <c r="AD269" s="197">
        <v>1</v>
      </c>
      <c r="AE269" s="197">
        <v>1</v>
      </c>
      <c r="AF269">
        <v>0</v>
      </c>
      <c r="AG269" s="402">
        <v>6</v>
      </c>
    </row>
    <row r="270" spans="1:33" ht="14.45" customHeight="1" x14ac:dyDescent="0.15">
      <c r="A270" s="417">
        <v>115007</v>
      </c>
      <c r="B270" s="17" t="s">
        <v>1352</v>
      </c>
      <c r="C270" s="17" t="s">
        <v>1352</v>
      </c>
      <c r="D270" s="118" t="s">
        <v>33</v>
      </c>
      <c r="E270" s="118">
        <v>15</v>
      </c>
      <c r="F270" s="118" t="s">
        <v>1316</v>
      </c>
      <c r="G270" s="130" t="s">
        <v>1353</v>
      </c>
      <c r="H270" s="118" t="s">
        <v>35</v>
      </c>
      <c r="I270" s="118">
        <v>1</v>
      </c>
      <c r="J270" s="118">
        <v>1</v>
      </c>
      <c r="K270" s="118">
        <v>1</v>
      </c>
      <c r="L270" s="118">
        <v>3</v>
      </c>
      <c r="M270" s="118" t="s">
        <v>70</v>
      </c>
      <c r="N270" s="118" t="s">
        <v>83</v>
      </c>
      <c r="O270" s="118">
        <v>1</v>
      </c>
      <c r="P270" s="118">
        <v>0.9</v>
      </c>
      <c r="Q270" s="118">
        <v>0</v>
      </c>
      <c r="R270" s="118">
        <v>1</v>
      </c>
      <c r="S270" s="25" t="b">
        <v>1</v>
      </c>
      <c r="T270" s="118">
        <v>91</v>
      </c>
      <c r="U270" s="118">
        <v>1365</v>
      </c>
      <c r="V270" s="118">
        <v>1820</v>
      </c>
      <c r="W270" s="118">
        <v>0</v>
      </c>
      <c r="X270" s="118">
        <v>7</v>
      </c>
      <c r="Y270" s="118" t="s">
        <v>38</v>
      </c>
      <c r="Z270" s="388" t="s">
        <v>3072</v>
      </c>
      <c r="AA270" s="388" t="s">
        <v>3072</v>
      </c>
      <c r="AB270" s="25" t="s">
        <v>1356</v>
      </c>
      <c r="AC270" s="118">
        <v>100000</v>
      </c>
      <c r="AD270" s="197">
        <v>1</v>
      </c>
      <c r="AE270" s="197">
        <v>1</v>
      </c>
      <c r="AF270">
        <v>0</v>
      </c>
      <c r="AG270" s="402">
        <v>7</v>
      </c>
    </row>
    <row r="271" spans="1:33" ht="14.45" customHeight="1" x14ac:dyDescent="0.2">
      <c r="A271" s="118">
        <v>115008</v>
      </c>
      <c r="B271" s="427" t="s">
        <v>1358</v>
      </c>
      <c r="C271" s="427" t="s">
        <v>1358</v>
      </c>
      <c r="D271" s="118" t="s">
        <v>33</v>
      </c>
      <c r="E271" s="118">
        <v>15</v>
      </c>
      <c r="F271" s="118" t="s">
        <v>1316</v>
      </c>
      <c r="G271" s="25" t="s">
        <v>1359</v>
      </c>
      <c r="H271" s="17" t="s">
        <v>35</v>
      </c>
      <c r="I271" s="118">
        <v>1</v>
      </c>
      <c r="J271" s="118">
        <v>1</v>
      </c>
      <c r="K271" s="118">
        <v>1</v>
      </c>
      <c r="L271" s="118">
        <v>3</v>
      </c>
      <c r="M271" s="118" t="s">
        <v>70</v>
      </c>
      <c r="N271" s="118" t="s">
        <v>89</v>
      </c>
      <c r="O271" s="118">
        <v>1</v>
      </c>
      <c r="P271" s="118">
        <v>0.9</v>
      </c>
      <c r="Q271" s="118">
        <v>0</v>
      </c>
      <c r="R271" s="118">
        <v>1</v>
      </c>
      <c r="S271" s="25" t="b">
        <v>1</v>
      </c>
      <c r="T271" s="118">
        <v>104</v>
      </c>
      <c r="U271" s="118">
        <v>1560</v>
      </c>
      <c r="V271" s="118">
        <v>2080</v>
      </c>
      <c r="W271" s="118">
        <v>0</v>
      </c>
      <c r="X271" s="118">
        <v>8</v>
      </c>
      <c r="Y271" s="118" t="s">
        <v>38</v>
      </c>
      <c r="Z271" s="388" t="s">
        <v>3073</v>
      </c>
      <c r="AA271" s="388" t="s">
        <v>3073</v>
      </c>
      <c r="AB271" s="429" t="s">
        <v>1362</v>
      </c>
      <c r="AC271" s="118">
        <v>100000</v>
      </c>
      <c r="AD271" s="191">
        <v>1</v>
      </c>
      <c r="AE271" s="191">
        <v>1</v>
      </c>
      <c r="AF271">
        <v>0</v>
      </c>
      <c r="AG271" s="402">
        <v>8</v>
      </c>
    </row>
    <row r="272" spans="1:33" ht="14.45" customHeight="1" x14ac:dyDescent="0.2">
      <c r="A272" s="118">
        <v>115009</v>
      </c>
      <c r="B272" s="17" t="s">
        <v>1364</v>
      </c>
      <c r="C272" s="17" t="s">
        <v>1364</v>
      </c>
      <c r="D272" s="118" t="s">
        <v>33</v>
      </c>
      <c r="E272" s="118">
        <v>15</v>
      </c>
      <c r="F272" s="118" t="s">
        <v>1316</v>
      </c>
      <c r="G272" s="25" t="s">
        <v>1365</v>
      </c>
      <c r="H272" s="17" t="s">
        <v>35</v>
      </c>
      <c r="I272" s="118">
        <v>1</v>
      </c>
      <c r="J272" s="118">
        <v>1</v>
      </c>
      <c r="K272" s="118">
        <v>1</v>
      </c>
      <c r="L272" s="118">
        <v>3</v>
      </c>
      <c r="M272" s="118" t="s">
        <v>70</v>
      </c>
      <c r="N272" s="118" t="s">
        <v>95</v>
      </c>
      <c r="O272" s="118">
        <v>1</v>
      </c>
      <c r="P272" s="118">
        <v>0.9</v>
      </c>
      <c r="Q272" s="118">
        <v>0</v>
      </c>
      <c r="R272" s="118">
        <v>1</v>
      </c>
      <c r="S272" s="25" t="b">
        <v>1</v>
      </c>
      <c r="T272" s="118">
        <v>117</v>
      </c>
      <c r="U272" s="118">
        <v>1755</v>
      </c>
      <c r="V272" s="118">
        <v>2340</v>
      </c>
      <c r="W272" s="118">
        <v>0</v>
      </c>
      <c r="X272" s="118">
        <v>9</v>
      </c>
      <c r="Y272" s="118" t="s">
        <v>38</v>
      </c>
      <c r="Z272" s="388" t="s">
        <v>3074</v>
      </c>
      <c r="AA272" s="388" t="s">
        <v>3074</v>
      </c>
      <c r="AB272" s="429" t="s">
        <v>1368</v>
      </c>
      <c r="AC272" s="118">
        <v>100000</v>
      </c>
      <c r="AD272" s="191">
        <v>1</v>
      </c>
      <c r="AE272" s="191">
        <v>1</v>
      </c>
      <c r="AF272">
        <v>0</v>
      </c>
      <c r="AG272" s="402">
        <v>7</v>
      </c>
    </row>
    <row r="273" spans="1:33" ht="14.45" customHeight="1" x14ac:dyDescent="0.2">
      <c r="A273" s="118">
        <v>115010</v>
      </c>
      <c r="B273" s="17" t="s">
        <v>1370</v>
      </c>
      <c r="C273" s="17" t="s">
        <v>1370</v>
      </c>
      <c r="D273" s="118" t="s">
        <v>33</v>
      </c>
      <c r="E273" s="118">
        <v>15</v>
      </c>
      <c r="F273" s="118" t="s">
        <v>1316</v>
      </c>
      <c r="G273" s="25" t="s">
        <v>1371</v>
      </c>
      <c r="H273" s="17" t="s">
        <v>35</v>
      </c>
      <c r="I273" s="118">
        <v>1</v>
      </c>
      <c r="J273" s="118">
        <v>1</v>
      </c>
      <c r="K273" s="118">
        <v>1</v>
      </c>
      <c r="L273" s="118">
        <v>3</v>
      </c>
      <c r="M273" s="118" t="s">
        <v>70</v>
      </c>
      <c r="N273" s="118" t="s">
        <v>101</v>
      </c>
      <c r="O273" s="118">
        <v>1</v>
      </c>
      <c r="P273" s="118">
        <v>0.9</v>
      </c>
      <c r="Q273" s="118">
        <v>0</v>
      </c>
      <c r="R273" s="118">
        <v>1</v>
      </c>
      <c r="S273" s="25" t="b">
        <v>1</v>
      </c>
      <c r="T273" s="118">
        <v>130</v>
      </c>
      <c r="U273" s="118">
        <v>1950</v>
      </c>
      <c r="V273" s="118">
        <v>2600</v>
      </c>
      <c r="W273" s="118">
        <v>0</v>
      </c>
      <c r="X273" s="118">
        <v>10</v>
      </c>
      <c r="Y273" s="118" t="s">
        <v>38</v>
      </c>
      <c r="Z273" s="388" t="s">
        <v>3075</v>
      </c>
      <c r="AA273" s="388" t="s">
        <v>3075</v>
      </c>
      <c r="AB273" s="429" t="s">
        <v>1374</v>
      </c>
      <c r="AC273" s="118">
        <v>100000</v>
      </c>
      <c r="AD273" s="191">
        <v>1</v>
      </c>
      <c r="AE273" s="191">
        <v>1</v>
      </c>
      <c r="AF273">
        <v>0</v>
      </c>
      <c r="AG273" s="402">
        <v>8</v>
      </c>
    </row>
    <row r="274" spans="1:33" ht="14.45" customHeight="1" x14ac:dyDescent="0.15">
      <c r="A274" s="119">
        <v>115307</v>
      </c>
      <c r="B274" s="114" t="s">
        <v>1376</v>
      </c>
      <c r="C274" s="114" t="s">
        <v>1376</v>
      </c>
      <c r="D274" s="119" t="s">
        <v>33</v>
      </c>
      <c r="E274" s="119">
        <v>15</v>
      </c>
      <c r="F274" s="119" t="s">
        <v>1316</v>
      </c>
      <c r="G274" s="130" t="s">
        <v>1353</v>
      </c>
      <c r="H274" s="119" t="s">
        <v>51</v>
      </c>
      <c r="I274" s="119">
        <v>1</v>
      </c>
      <c r="J274" s="118">
        <v>4</v>
      </c>
      <c r="K274" s="119">
        <v>0</v>
      </c>
      <c r="L274" s="119">
        <v>3</v>
      </c>
      <c r="M274" s="119" t="s">
        <v>52</v>
      </c>
      <c r="N274" s="118" t="s">
        <v>83</v>
      </c>
      <c r="O274" s="119">
        <v>1</v>
      </c>
      <c r="P274" s="119">
        <v>0.9</v>
      </c>
      <c r="Q274" s="119">
        <v>0</v>
      </c>
      <c r="R274" s="119">
        <v>1</v>
      </c>
      <c r="S274" s="80" t="b">
        <v>1</v>
      </c>
      <c r="T274" s="119">
        <v>91</v>
      </c>
      <c r="U274" s="118">
        <v>1365</v>
      </c>
      <c r="V274" s="118">
        <v>1820</v>
      </c>
      <c r="W274" s="119">
        <v>0</v>
      </c>
      <c r="X274" s="119">
        <v>7</v>
      </c>
      <c r="Y274" s="119" t="s">
        <v>38</v>
      </c>
      <c r="Z274" s="388" t="s">
        <v>3072</v>
      </c>
      <c r="AA274" s="388" t="s">
        <v>3072</v>
      </c>
      <c r="AB274" s="80" t="s">
        <v>1356</v>
      </c>
      <c r="AC274" s="119">
        <v>100000</v>
      </c>
      <c r="AD274" s="197">
        <v>1</v>
      </c>
      <c r="AE274" s="197">
        <v>1</v>
      </c>
      <c r="AF274">
        <v>0</v>
      </c>
      <c r="AG274" s="403">
        <v>7</v>
      </c>
    </row>
    <row r="275" spans="1:33" ht="14.45" customHeight="1" x14ac:dyDescent="0.15">
      <c r="A275" s="119">
        <v>115208</v>
      </c>
      <c r="B275" s="119" t="s">
        <v>1379</v>
      </c>
      <c r="C275" s="119" t="s">
        <v>1379</v>
      </c>
      <c r="D275" s="119" t="s">
        <v>33</v>
      </c>
      <c r="E275" s="119">
        <v>15</v>
      </c>
      <c r="F275" s="119" t="s">
        <v>1316</v>
      </c>
      <c r="G275" s="80" t="s">
        <v>1359</v>
      </c>
      <c r="H275" s="119" t="s">
        <v>51</v>
      </c>
      <c r="I275" s="119">
        <v>1</v>
      </c>
      <c r="J275" s="118">
        <v>4</v>
      </c>
      <c r="K275" s="119">
        <v>0</v>
      </c>
      <c r="L275" s="119">
        <v>3</v>
      </c>
      <c r="M275" s="114" t="s">
        <v>52</v>
      </c>
      <c r="N275" s="118" t="s">
        <v>89</v>
      </c>
      <c r="O275" s="119">
        <v>1</v>
      </c>
      <c r="P275" s="119">
        <v>0.9</v>
      </c>
      <c r="Q275" s="119">
        <v>0</v>
      </c>
      <c r="R275" s="119">
        <v>1</v>
      </c>
      <c r="S275" s="80" t="b">
        <v>1</v>
      </c>
      <c r="T275" s="119">
        <v>104</v>
      </c>
      <c r="U275" s="118">
        <v>1560</v>
      </c>
      <c r="V275" s="118">
        <v>2080</v>
      </c>
      <c r="W275" s="119">
        <v>0</v>
      </c>
      <c r="X275" s="119">
        <v>8</v>
      </c>
      <c r="Y275" s="119" t="s">
        <v>38</v>
      </c>
      <c r="Z275" s="388" t="s">
        <v>3073</v>
      </c>
      <c r="AA275" s="388" t="s">
        <v>3073</v>
      </c>
      <c r="AB275" s="430" t="s">
        <v>1362</v>
      </c>
      <c r="AC275" s="119">
        <v>100000</v>
      </c>
      <c r="AD275" s="92">
        <v>1</v>
      </c>
      <c r="AE275" s="92">
        <v>1</v>
      </c>
      <c r="AF275">
        <v>0</v>
      </c>
      <c r="AG275" s="403">
        <v>8</v>
      </c>
    </row>
    <row r="276" spans="1:33" ht="14.45" customHeight="1" x14ac:dyDescent="0.15">
      <c r="A276" s="119">
        <v>115209</v>
      </c>
      <c r="B276" s="114" t="s">
        <v>1382</v>
      </c>
      <c r="C276" s="114" t="s">
        <v>1382</v>
      </c>
      <c r="D276" s="119" t="s">
        <v>33</v>
      </c>
      <c r="E276" s="119">
        <v>15</v>
      </c>
      <c r="F276" s="119" t="s">
        <v>1316</v>
      </c>
      <c r="G276" s="80" t="s">
        <v>1365</v>
      </c>
      <c r="H276" s="119" t="s">
        <v>51</v>
      </c>
      <c r="I276" s="119">
        <v>1</v>
      </c>
      <c r="J276" s="118">
        <v>4</v>
      </c>
      <c r="K276" s="119">
        <v>0</v>
      </c>
      <c r="L276" s="119">
        <v>3</v>
      </c>
      <c r="M276" s="114" t="s">
        <v>52</v>
      </c>
      <c r="N276" s="118" t="s">
        <v>95</v>
      </c>
      <c r="O276" s="119">
        <v>1</v>
      </c>
      <c r="P276" s="119">
        <v>0.9</v>
      </c>
      <c r="Q276" s="119">
        <v>0</v>
      </c>
      <c r="R276" s="119">
        <v>1</v>
      </c>
      <c r="S276" s="80" t="b">
        <v>1</v>
      </c>
      <c r="T276" s="119">
        <v>117</v>
      </c>
      <c r="U276" s="118">
        <v>1755</v>
      </c>
      <c r="V276" s="118">
        <v>2340</v>
      </c>
      <c r="W276" s="119">
        <v>0</v>
      </c>
      <c r="X276" s="119">
        <v>9</v>
      </c>
      <c r="Y276" s="119" t="s">
        <v>38</v>
      </c>
      <c r="Z276" s="388" t="s">
        <v>3074</v>
      </c>
      <c r="AA276" s="388" t="s">
        <v>3074</v>
      </c>
      <c r="AB276" s="430" t="s">
        <v>1368</v>
      </c>
      <c r="AC276" s="119">
        <v>100000</v>
      </c>
      <c r="AD276" s="92">
        <v>1</v>
      </c>
      <c r="AE276" s="92">
        <v>1</v>
      </c>
      <c r="AF276">
        <v>0</v>
      </c>
      <c r="AG276" s="403">
        <v>7</v>
      </c>
    </row>
    <row r="277" spans="1:33" ht="14.45" customHeight="1" x14ac:dyDescent="0.15">
      <c r="A277" s="119">
        <v>115210</v>
      </c>
      <c r="B277" s="114" t="s">
        <v>1385</v>
      </c>
      <c r="C277" s="114" t="s">
        <v>1385</v>
      </c>
      <c r="D277" s="119" t="s">
        <v>33</v>
      </c>
      <c r="E277" s="119">
        <v>15</v>
      </c>
      <c r="F277" s="119" t="s">
        <v>1316</v>
      </c>
      <c r="G277" s="80" t="s">
        <v>1371</v>
      </c>
      <c r="H277" s="119" t="s">
        <v>51</v>
      </c>
      <c r="I277" s="119">
        <v>1</v>
      </c>
      <c r="J277" s="118">
        <v>4</v>
      </c>
      <c r="K277" s="119">
        <v>0</v>
      </c>
      <c r="L277" s="119">
        <v>3</v>
      </c>
      <c r="M277" s="114" t="s">
        <v>52</v>
      </c>
      <c r="N277" s="118" t="s">
        <v>101</v>
      </c>
      <c r="O277" s="119">
        <v>1</v>
      </c>
      <c r="P277" s="119">
        <v>0.9</v>
      </c>
      <c r="Q277" s="119">
        <v>0</v>
      </c>
      <c r="R277" s="119">
        <v>1</v>
      </c>
      <c r="S277" s="80" t="b">
        <v>1</v>
      </c>
      <c r="T277" s="119">
        <v>130</v>
      </c>
      <c r="U277" s="118">
        <v>1950</v>
      </c>
      <c r="V277" s="118">
        <v>2600</v>
      </c>
      <c r="W277" s="119">
        <v>0</v>
      </c>
      <c r="X277" s="119">
        <v>10</v>
      </c>
      <c r="Y277" s="119" t="s">
        <v>38</v>
      </c>
      <c r="Z277" s="388" t="s">
        <v>3075</v>
      </c>
      <c r="AA277" s="388" t="s">
        <v>3075</v>
      </c>
      <c r="AB277" s="430" t="s">
        <v>1374</v>
      </c>
      <c r="AC277" s="119">
        <v>100000</v>
      </c>
      <c r="AD277" s="92">
        <v>1</v>
      </c>
      <c r="AE277" s="92">
        <v>1</v>
      </c>
      <c r="AF277">
        <v>0</v>
      </c>
      <c r="AG277" s="403">
        <v>8</v>
      </c>
    </row>
    <row r="278" spans="1:33" ht="14.45" customHeight="1" x14ac:dyDescent="0.15">
      <c r="A278" s="84">
        <v>115102</v>
      </c>
      <c r="B278" s="84" t="s">
        <v>1388</v>
      </c>
      <c r="C278" s="84" t="s">
        <v>1388</v>
      </c>
      <c r="D278" s="84" t="s">
        <v>33</v>
      </c>
      <c r="E278" s="84">
        <v>15</v>
      </c>
      <c r="F278" s="84" t="s">
        <v>1316</v>
      </c>
      <c r="G278" s="130" t="s">
        <v>1317</v>
      </c>
      <c r="H278" s="84" t="s">
        <v>107</v>
      </c>
      <c r="I278" s="84">
        <v>4</v>
      </c>
      <c r="J278" s="118">
        <v>4</v>
      </c>
      <c r="K278" s="84">
        <v>0</v>
      </c>
      <c r="L278" s="84">
        <v>3</v>
      </c>
      <c r="M278" s="84">
        <v>4</v>
      </c>
      <c r="N278" s="118" t="s">
        <v>45</v>
      </c>
      <c r="O278" s="84">
        <v>1</v>
      </c>
      <c r="P278" s="84">
        <v>0.9</v>
      </c>
      <c r="Q278" s="84">
        <v>0</v>
      </c>
      <c r="R278" s="84">
        <v>1</v>
      </c>
      <c r="S278" s="43" t="b">
        <v>1</v>
      </c>
      <c r="T278" s="84">
        <v>26</v>
      </c>
      <c r="U278" s="118">
        <v>390</v>
      </c>
      <c r="V278" s="118">
        <v>520</v>
      </c>
      <c r="W278" s="84">
        <v>0</v>
      </c>
      <c r="X278" s="84">
        <v>2</v>
      </c>
      <c r="Y278" s="84" t="s">
        <v>38</v>
      </c>
      <c r="Z278" s="388" t="s">
        <v>2894</v>
      </c>
      <c r="AA278" s="388" t="s">
        <v>2894</v>
      </c>
      <c r="AB278" s="43" t="s">
        <v>1320</v>
      </c>
      <c r="AC278" s="84">
        <v>300000</v>
      </c>
      <c r="AD278" s="197">
        <v>1</v>
      </c>
      <c r="AE278" s="197">
        <v>1</v>
      </c>
      <c r="AF278">
        <v>0</v>
      </c>
      <c r="AG278" s="404">
        <v>2</v>
      </c>
    </row>
    <row r="279" spans="1:33" ht="14.45" customHeight="1" x14ac:dyDescent="0.15">
      <c r="A279" s="84">
        <v>115202</v>
      </c>
      <c r="B279" s="105" t="s">
        <v>1391</v>
      </c>
      <c r="C279" s="105" t="s">
        <v>1391</v>
      </c>
      <c r="D279" s="84" t="s">
        <v>33</v>
      </c>
      <c r="E279" s="84">
        <v>15</v>
      </c>
      <c r="F279" s="84" t="s">
        <v>1316</v>
      </c>
      <c r="G279" s="130" t="s">
        <v>1353</v>
      </c>
      <c r="H279" s="84" t="s">
        <v>107</v>
      </c>
      <c r="I279" s="84">
        <v>4</v>
      </c>
      <c r="J279" s="118">
        <v>4</v>
      </c>
      <c r="K279" s="84">
        <v>0</v>
      </c>
      <c r="L279" s="84">
        <v>3</v>
      </c>
      <c r="M279" s="84">
        <v>4</v>
      </c>
      <c r="N279" s="118" t="s">
        <v>57</v>
      </c>
      <c r="O279" s="84">
        <v>1</v>
      </c>
      <c r="P279" s="84">
        <v>0.9</v>
      </c>
      <c r="Q279" s="84">
        <v>0</v>
      </c>
      <c r="R279" s="84">
        <v>1</v>
      </c>
      <c r="S279" s="43" t="b">
        <v>1</v>
      </c>
      <c r="T279" s="84">
        <v>39</v>
      </c>
      <c r="U279" s="118">
        <v>585</v>
      </c>
      <c r="V279" s="118">
        <v>780</v>
      </c>
      <c r="W279" s="84">
        <v>0</v>
      </c>
      <c r="X279" s="84">
        <v>3</v>
      </c>
      <c r="Y279" s="84" t="s">
        <v>38</v>
      </c>
      <c r="Z279" s="388" t="s">
        <v>3076</v>
      </c>
      <c r="AA279" s="388" t="s">
        <v>3076</v>
      </c>
      <c r="AB279" s="431" t="s">
        <v>1394</v>
      </c>
      <c r="AC279" s="84">
        <v>300000</v>
      </c>
      <c r="AD279" s="197">
        <v>1</v>
      </c>
      <c r="AE279" s="197">
        <v>1</v>
      </c>
      <c r="AF279">
        <v>0</v>
      </c>
      <c r="AG279" s="404">
        <v>3</v>
      </c>
    </row>
    <row r="280" spans="1:33" ht="14.45" customHeight="1" x14ac:dyDescent="0.15">
      <c r="A280" s="84">
        <v>115304</v>
      </c>
      <c r="B280" s="105" t="s">
        <v>1396</v>
      </c>
      <c r="C280" s="105" t="s">
        <v>1396</v>
      </c>
      <c r="D280" s="84" t="s">
        <v>33</v>
      </c>
      <c r="E280" s="84">
        <v>15</v>
      </c>
      <c r="F280" s="84" t="s">
        <v>1316</v>
      </c>
      <c r="G280" s="130" t="s">
        <v>1323</v>
      </c>
      <c r="H280" s="84"/>
      <c r="I280" s="84">
        <v>5</v>
      </c>
      <c r="J280" s="118">
        <v>5</v>
      </c>
      <c r="K280" s="84">
        <v>0</v>
      </c>
      <c r="L280" s="84">
        <v>3</v>
      </c>
      <c r="M280" s="84">
        <v>5</v>
      </c>
      <c r="N280" s="118" t="s">
        <v>64</v>
      </c>
      <c r="O280" s="84">
        <v>1</v>
      </c>
      <c r="P280" s="84">
        <v>0.9</v>
      </c>
      <c r="Q280" s="84">
        <v>0</v>
      </c>
      <c r="R280" s="84">
        <v>1</v>
      </c>
      <c r="S280" s="43" t="b">
        <v>1</v>
      </c>
      <c r="T280" s="84">
        <v>52</v>
      </c>
      <c r="U280" s="118">
        <v>780</v>
      </c>
      <c r="V280" s="118">
        <v>1040</v>
      </c>
      <c r="W280" s="84">
        <v>0</v>
      </c>
      <c r="X280" s="84">
        <v>4</v>
      </c>
      <c r="Y280" s="84" t="s">
        <v>38</v>
      </c>
      <c r="Z280" s="388" t="s">
        <v>3077</v>
      </c>
      <c r="AA280" s="388" t="s">
        <v>3077</v>
      </c>
      <c r="AB280" s="43" t="s">
        <v>1399</v>
      </c>
      <c r="AC280" s="84">
        <v>300000</v>
      </c>
      <c r="AD280" s="197">
        <v>1</v>
      </c>
      <c r="AE280" s="197">
        <v>1</v>
      </c>
      <c r="AF280">
        <v>0</v>
      </c>
      <c r="AG280" s="404">
        <v>4</v>
      </c>
    </row>
    <row r="281" spans="1:33" ht="14.45" customHeight="1" x14ac:dyDescent="0.15">
      <c r="A281" s="128">
        <v>115406</v>
      </c>
      <c r="B281" s="128" t="s">
        <v>1401</v>
      </c>
      <c r="C281" s="128" t="s">
        <v>1401</v>
      </c>
      <c r="D281" s="134" t="s">
        <v>33</v>
      </c>
      <c r="E281" s="130">
        <v>15</v>
      </c>
      <c r="F281" s="130" t="s">
        <v>1316</v>
      </c>
      <c r="G281" s="130" t="s">
        <v>1402</v>
      </c>
      <c r="H281" s="130" t="s">
        <v>611</v>
      </c>
      <c r="I281" s="130">
        <v>1</v>
      </c>
      <c r="J281" s="118">
        <v>1</v>
      </c>
      <c r="K281" s="130">
        <v>0</v>
      </c>
      <c r="L281" s="130">
        <v>3</v>
      </c>
      <c r="M281" s="130">
        <v>6</v>
      </c>
      <c r="N281" s="118" t="s">
        <v>77</v>
      </c>
      <c r="O281" s="134">
        <v>1</v>
      </c>
      <c r="P281" s="134">
        <v>0.9</v>
      </c>
      <c r="Q281" s="134">
        <v>0</v>
      </c>
      <c r="R281" s="130">
        <v>1</v>
      </c>
      <c r="S281" s="130" t="b">
        <v>1</v>
      </c>
      <c r="T281" s="134">
        <v>78</v>
      </c>
      <c r="U281" s="118">
        <v>1170</v>
      </c>
      <c r="V281" s="118">
        <v>1560</v>
      </c>
      <c r="W281" s="134">
        <v>0</v>
      </c>
      <c r="X281" s="130">
        <v>6</v>
      </c>
      <c r="Y281" s="130" t="s">
        <v>38</v>
      </c>
      <c r="Z281" s="388" t="s">
        <v>3078</v>
      </c>
      <c r="AA281" s="388" t="s">
        <v>3078</v>
      </c>
      <c r="AB281" s="414" t="s">
        <v>1405</v>
      </c>
      <c r="AC281" s="130">
        <v>100000</v>
      </c>
      <c r="AD281" s="197">
        <v>1</v>
      </c>
      <c r="AE281" s="197">
        <v>1</v>
      </c>
      <c r="AF281">
        <v>0</v>
      </c>
      <c r="AG281" s="416">
        <v>6</v>
      </c>
    </row>
    <row r="282" spans="1:33" ht="14.45" customHeight="1" x14ac:dyDescent="0.15">
      <c r="A282" s="15">
        <v>200001</v>
      </c>
      <c r="B282" s="16" t="s">
        <v>1407</v>
      </c>
      <c r="C282" s="16" t="s">
        <v>1407</v>
      </c>
      <c r="D282" s="15" t="s">
        <v>1408</v>
      </c>
      <c r="E282" s="15">
        <v>0</v>
      </c>
      <c r="F282" s="15">
        <v>0</v>
      </c>
      <c r="G282" s="15"/>
      <c r="H282" s="118" t="s">
        <v>35</v>
      </c>
      <c r="I282" s="15">
        <v>1</v>
      </c>
      <c r="J282" s="118">
        <v>1</v>
      </c>
      <c r="K282" s="15">
        <v>1</v>
      </c>
      <c r="L282" s="15">
        <v>4</v>
      </c>
      <c r="M282" s="15" t="s">
        <v>36</v>
      </c>
      <c r="N282" s="118" t="s">
        <v>1409</v>
      </c>
      <c r="O282" s="15">
        <v>50</v>
      </c>
      <c r="P282" s="15">
        <v>0.5</v>
      </c>
      <c r="Q282" s="15">
        <v>0</v>
      </c>
      <c r="R282" s="15">
        <v>1</v>
      </c>
      <c r="S282" s="25" t="b">
        <v>1</v>
      </c>
      <c r="T282" s="15">
        <v>6</v>
      </c>
      <c r="U282" s="118">
        <v>90</v>
      </c>
      <c r="V282" s="118">
        <v>120</v>
      </c>
      <c r="W282" s="15">
        <v>0</v>
      </c>
      <c r="X282" s="15">
        <v>1</v>
      </c>
      <c r="Y282" s="15" t="s">
        <v>38</v>
      </c>
      <c r="Z282" s="388" t="s">
        <v>3079</v>
      </c>
      <c r="AA282" s="388" t="s">
        <v>3079</v>
      </c>
      <c r="AB282" s="25" t="s">
        <v>1412</v>
      </c>
      <c r="AC282" s="15">
        <v>300000</v>
      </c>
      <c r="AD282" s="197">
        <v>1</v>
      </c>
      <c r="AE282" s="197">
        <v>1</v>
      </c>
      <c r="AF282">
        <v>0</v>
      </c>
      <c r="AG282" s="433">
        <v>1</v>
      </c>
    </row>
    <row r="283" spans="1:33" ht="14.45" customHeight="1" x14ac:dyDescent="0.15">
      <c r="A283" s="15">
        <v>200002</v>
      </c>
      <c r="B283" s="16" t="s">
        <v>1414</v>
      </c>
      <c r="C283" s="16" t="s">
        <v>1414</v>
      </c>
      <c r="D283" s="15" t="s">
        <v>1408</v>
      </c>
      <c r="E283" s="15">
        <v>0</v>
      </c>
      <c r="F283" s="15">
        <v>0</v>
      </c>
      <c r="G283" s="15"/>
      <c r="H283" s="118" t="s">
        <v>35</v>
      </c>
      <c r="I283" s="15">
        <v>1</v>
      </c>
      <c r="J283" s="118">
        <v>1</v>
      </c>
      <c r="K283" s="15">
        <v>1</v>
      </c>
      <c r="L283" s="15">
        <v>4</v>
      </c>
      <c r="M283" s="15" t="s">
        <v>44</v>
      </c>
      <c r="N283" s="118" t="s">
        <v>1415</v>
      </c>
      <c r="O283" s="15">
        <v>50</v>
      </c>
      <c r="P283" s="15">
        <v>0.5</v>
      </c>
      <c r="Q283" s="15">
        <v>0</v>
      </c>
      <c r="R283" s="15">
        <v>1</v>
      </c>
      <c r="S283" s="25" t="b">
        <v>1</v>
      </c>
      <c r="T283" s="15">
        <v>13</v>
      </c>
      <c r="U283" s="118">
        <v>195</v>
      </c>
      <c r="V283" s="118">
        <v>260</v>
      </c>
      <c r="W283" s="15">
        <v>0</v>
      </c>
      <c r="X283" s="15">
        <v>2</v>
      </c>
      <c r="Y283" s="15" t="s">
        <v>38</v>
      </c>
      <c r="Z283" s="388" t="s">
        <v>3080</v>
      </c>
      <c r="AA283" s="388" t="s">
        <v>3080</v>
      </c>
      <c r="AB283" s="25" t="s">
        <v>1418</v>
      </c>
      <c r="AC283" s="15">
        <v>100000</v>
      </c>
      <c r="AD283" s="197">
        <v>1</v>
      </c>
      <c r="AE283" s="197">
        <v>1</v>
      </c>
      <c r="AF283">
        <v>0</v>
      </c>
      <c r="AG283" s="433">
        <v>2</v>
      </c>
    </row>
    <row r="284" spans="1:33" ht="14.45" customHeight="1" x14ac:dyDescent="0.15">
      <c r="A284" s="15">
        <v>200003</v>
      </c>
      <c r="B284" s="17" t="s">
        <v>1420</v>
      </c>
      <c r="C284" s="17" t="s">
        <v>1420</v>
      </c>
      <c r="D284" s="15" t="s">
        <v>1408</v>
      </c>
      <c r="E284" s="15">
        <v>0</v>
      </c>
      <c r="F284" s="15">
        <v>0</v>
      </c>
      <c r="G284" s="15"/>
      <c r="H284" s="118" t="s">
        <v>35</v>
      </c>
      <c r="I284" s="15">
        <v>1</v>
      </c>
      <c r="J284" s="118">
        <v>1</v>
      </c>
      <c r="K284" s="15">
        <v>1</v>
      </c>
      <c r="L284" s="15">
        <v>4</v>
      </c>
      <c r="M284" s="15" t="s">
        <v>56</v>
      </c>
      <c r="N284" s="118" t="s">
        <v>1421</v>
      </c>
      <c r="O284" s="15">
        <v>50</v>
      </c>
      <c r="P284" s="15">
        <v>0.5</v>
      </c>
      <c r="Q284" s="15">
        <v>0</v>
      </c>
      <c r="R284" s="15">
        <v>1</v>
      </c>
      <c r="S284" s="25" t="b">
        <v>1</v>
      </c>
      <c r="T284" s="15">
        <v>19</v>
      </c>
      <c r="U284" s="118">
        <v>285</v>
      </c>
      <c r="V284" s="118">
        <v>380</v>
      </c>
      <c r="W284" s="15">
        <v>0</v>
      </c>
      <c r="X284" s="15">
        <v>3</v>
      </c>
      <c r="Y284" s="15" t="s">
        <v>38</v>
      </c>
      <c r="Z284" s="388" t="s">
        <v>3081</v>
      </c>
      <c r="AA284" s="388" t="s">
        <v>3081</v>
      </c>
      <c r="AB284" s="25" t="s">
        <v>1424</v>
      </c>
      <c r="AC284" s="15">
        <v>100000</v>
      </c>
      <c r="AD284" s="197">
        <v>1</v>
      </c>
      <c r="AE284" s="197">
        <v>1</v>
      </c>
      <c r="AF284">
        <v>0</v>
      </c>
      <c r="AG284" s="433">
        <v>3</v>
      </c>
    </row>
    <row r="285" spans="1:33" ht="14.45" customHeight="1" x14ac:dyDescent="0.15">
      <c r="A285" s="79">
        <v>200503</v>
      </c>
      <c r="B285" s="114" t="s">
        <v>1426</v>
      </c>
      <c r="C285" s="114" t="s">
        <v>1426</v>
      </c>
      <c r="D285" s="79" t="s">
        <v>1408</v>
      </c>
      <c r="E285" s="79">
        <v>0</v>
      </c>
      <c r="F285" s="79">
        <v>0</v>
      </c>
      <c r="G285" s="79"/>
      <c r="H285" s="119" t="s">
        <v>51</v>
      </c>
      <c r="I285" s="79">
        <v>1</v>
      </c>
      <c r="J285" s="118">
        <v>3</v>
      </c>
      <c r="K285" s="119">
        <v>0</v>
      </c>
      <c r="L285" s="79">
        <v>4</v>
      </c>
      <c r="M285" s="119" t="s">
        <v>52</v>
      </c>
      <c r="N285" s="118" t="s">
        <v>1421</v>
      </c>
      <c r="O285" s="79">
        <v>50</v>
      </c>
      <c r="P285" s="79">
        <v>0.5</v>
      </c>
      <c r="Q285" s="79">
        <v>0</v>
      </c>
      <c r="R285" s="79">
        <v>1</v>
      </c>
      <c r="S285" s="80" t="b">
        <v>1</v>
      </c>
      <c r="T285" s="79">
        <v>19</v>
      </c>
      <c r="U285" s="118">
        <v>285</v>
      </c>
      <c r="V285" s="118">
        <v>380</v>
      </c>
      <c r="W285" s="79">
        <v>0</v>
      </c>
      <c r="X285" s="79">
        <v>3</v>
      </c>
      <c r="Y285" s="79" t="s">
        <v>38</v>
      </c>
      <c r="Z285" s="388" t="s">
        <v>3081</v>
      </c>
      <c r="AA285" s="388" t="s">
        <v>3081</v>
      </c>
      <c r="AB285" s="80" t="s">
        <v>1424</v>
      </c>
      <c r="AC285" s="79">
        <v>100000</v>
      </c>
      <c r="AD285" s="92">
        <v>1</v>
      </c>
      <c r="AE285" s="92">
        <v>1</v>
      </c>
      <c r="AF285">
        <v>0</v>
      </c>
      <c r="AG285" s="434">
        <v>3</v>
      </c>
    </row>
    <row r="286" spans="1:33" ht="14.45" customHeight="1" x14ac:dyDescent="0.15">
      <c r="A286" s="15">
        <v>200004</v>
      </c>
      <c r="B286" s="71" t="s">
        <v>1429</v>
      </c>
      <c r="C286" s="71" t="s">
        <v>1429</v>
      </c>
      <c r="D286" s="15" t="s">
        <v>1408</v>
      </c>
      <c r="E286" s="15">
        <v>0</v>
      </c>
      <c r="F286" s="15">
        <v>0</v>
      </c>
      <c r="G286" s="15"/>
      <c r="H286" s="118" t="s">
        <v>35</v>
      </c>
      <c r="I286" s="15">
        <v>1</v>
      </c>
      <c r="J286" s="118">
        <v>1</v>
      </c>
      <c r="K286" s="15">
        <v>1</v>
      </c>
      <c r="L286" s="15">
        <v>4</v>
      </c>
      <c r="M286" s="15" t="s">
        <v>63</v>
      </c>
      <c r="N286" s="118" t="s">
        <v>1430</v>
      </c>
      <c r="O286" s="15">
        <v>50</v>
      </c>
      <c r="P286" s="15">
        <v>0.5</v>
      </c>
      <c r="Q286" s="15">
        <v>0</v>
      </c>
      <c r="R286" s="15">
        <v>1</v>
      </c>
      <c r="S286" s="25" t="b">
        <v>1</v>
      </c>
      <c r="T286" s="15">
        <v>26</v>
      </c>
      <c r="U286" s="118">
        <v>390</v>
      </c>
      <c r="V286" s="118">
        <v>520</v>
      </c>
      <c r="W286" s="15">
        <v>0</v>
      </c>
      <c r="X286" s="15">
        <v>4</v>
      </c>
      <c r="Y286" s="15" t="s">
        <v>38</v>
      </c>
      <c r="Z286" s="388" t="s">
        <v>3082</v>
      </c>
      <c r="AA286" s="388" t="s">
        <v>3082</v>
      </c>
      <c r="AB286" s="25" t="s">
        <v>1433</v>
      </c>
      <c r="AC286" s="15">
        <v>100000</v>
      </c>
      <c r="AD286" s="197">
        <v>1</v>
      </c>
      <c r="AE286" s="197">
        <v>1</v>
      </c>
      <c r="AF286">
        <v>0</v>
      </c>
      <c r="AG286" s="433">
        <v>4</v>
      </c>
    </row>
    <row r="287" spans="1:33" ht="14.45" customHeight="1" x14ac:dyDescent="0.15">
      <c r="A287" s="17">
        <v>200005</v>
      </c>
      <c r="B287" s="17" t="s">
        <v>1435</v>
      </c>
      <c r="C287" s="17" t="s">
        <v>1435</v>
      </c>
      <c r="D287" s="118" t="s">
        <v>1408</v>
      </c>
      <c r="E287" s="118">
        <v>0</v>
      </c>
      <c r="F287" s="118">
        <v>0</v>
      </c>
      <c r="G287" s="118"/>
      <c r="H287" s="118" t="s">
        <v>35</v>
      </c>
      <c r="I287" s="118">
        <v>1</v>
      </c>
      <c r="J287" s="118">
        <v>1</v>
      </c>
      <c r="K287" s="118">
        <v>1</v>
      </c>
      <c r="L287" s="118">
        <v>4</v>
      </c>
      <c r="M287" s="118" t="s">
        <v>70</v>
      </c>
      <c r="N287" s="118" t="s">
        <v>1436</v>
      </c>
      <c r="O287" s="118">
        <v>50</v>
      </c>
      <c r="P287" s="118">
        <v>0.5</v>
      </c>
      <c r="Q287" s="118">
        <v>0</v>
      </c>
      <c r="R287" s="118">
        <v>1</v>
      </c>
      <c r="S287" s="25" t="b">
        <v>1</v>
      </c>
      <c r="T287" s="118">
        <v>32</v>
      </c>
      <c r="U287" s="118">
        <v>480</v>
      </c>
      <c r="V287" s="118">
        <v>640</v>
      </c>
      <c r="W287" s="118">
        <v>0</v>
      </c>
      <c r="X287" s="118">
        <v>5</v>
      </c>
      <c r="Y287" s="118" t="s">
        <v>38</v>
      </c>
      <c r="Z287" s="388" t="s">
        <v>3083</v>
      </c>
      <c r="AA287" s="388" t="s">
        <v>3083</v>
      </c>
      <c r="AB287" s="25" t="s">
        <v>1439</v>
      </c>
      <c r="AC287" s="118">
        <v>200000</v>
      </c>
      <c r="AD287" s="197">
        <v>1</v>
      </c>
      <c r="AE287" s="197">
        <v>1</v>
      </c>
      <c r="AF287">
        <v>0</v>
      </c>
      <c r="AG287" s="402">
        <v>5</v>
      </c>
    </row>
    <row r="288" spans="1:33" ht="14.45" customHeight="1" x14ac:dyDescent="0.15">
      <c r="A288" s="17">
        <v>200006</v>
      </c>
      <c r="B288" s="17" t="s">
        <v>1441</v>
      </c>
      <c r="C288" s="17" t="s">
        <v>1441</v>
      </c>
      <c r="D288" s="118" t="s">
        <v>1408</v>
      </c>
      <c r="E288" s="118">
        <v>0</v>
      </c>
      <c r="F288" s="118">
        <v>0</v>
      </c>
      <c r="G288" s="118"/>
      <c r="H288" s="118" t="s">
        <v>35</v>
      </c>
      <c r="I288" s="118">
        <v>1</v>
      </c>
      <c r="J288" s="118">
        <v>1</v>
      </c>
      <c r="K288" s="118">
        <v>1</v>
      </c>
      <c r="L288" s="118">
        <v>4</v>
      </c>
      <c r="M288" s="118" t="s">
        <v>70</v>
      </c>
      <c r="N288" s="118" t="s">
        <v>1442</v>
      </c>
      <c r="O288" s="118">
        <v>50</v>
      </c>
      <c r="P288" s="118">
        <v>0.5</v>
      </c>
      <c r="Q288" s="118">
        <v>0</v>
      </c>
      <c r="R288" s="118">
        <v>1</v>
      </c>
      <c r="S288" s="25" t="b">
        <v>1</v>
      </c>
      <c r="T288" s="118">
        <v>39</v>
      </c>
      <c r="U288" s="118">
        <v>585</v>
      </c>
      <c r="V288" s="118">
        <v>780</v>
      </c>
      <c r="W288" s="118">
        <v>0</v>
      </c>
      <c r="X288" s="118">
        <v>6</v>
      </c>
      <c r="Y288" s="118" t="s">
        <v>38</v>
      </c>
      <c r="Z288" s="388" t="s">
        <v>3084</v>
      </c>
      <c r="AA288" s="388" t="s">
        <v>3084</v>
      </c>
      <c r="AB288" s="25" t="s">
        <v>1445</v>
      </c>
      <c r="AC288" s="118">
        <v>200000</v>
      </c>
      <c r="AD288" s="197">
        <v>1</v>
      </c>
      <c r="AE288" s="197">
        <v>1</v>
      </c>
      <c r="AF288">
        <v>0</v>
      </c>
      <c r="AG288" s="402">
        <v>6</v>
      </c>
    </row>
    <row r="289" spans="1:33" ht="14.45" customHeight="1" x14ac:dyDescent="0.15">
      <c r="A289" s="17">
        <v>200007</v>
      </c>
      <c r="B289" s="17" t="s">
        <v>1447</v>
      </c>
      <c r="C289" s="17" t="s">
        <v>1447</v>
      </c>
      <c r="D289" s="118" t="s">
        <v>1408</v>
      </c>
      <c r="E289" s="118">
        <v>0</v>
      </c>
      <c r="F289" s="118">
        <v>0</v>
      </c>
      <c r="G289" s="118"/>
      <c r="H289" s="118" t="s">
        <v>35</v>
      </c>
      <c r="I289" s="118">
        <v>1</v>
      </c>
      <c r="J289" s="118">
        <v>1</v>
      </c>
      <c r="K289" s="118">
        <v>1</v>
      </c>
      <c r="L289" s="118">
        <v>4</v>
      </c>
      <c r="M289" s="118" t="s">
        <v>70</v>
      </c>
      <c r="N289" s="118" t="s">
        <v>1448</v>
      </c>
      <c r="O289" s="118">
        <v>50</v>
      </c>
      <c r="P289" s="118">
        <v>0.5</v>
      </c>
      <c r="Q289" s="118">
        <v>0</v>
      </c>
      <c r="R289" s="118">
        <v>1</v>
      </c>
      <c r="S289" s="25" t="b">
        <v>1</v>
      </c>
      <c r="T289" s="118">
        <v>45</v>
      </c>
      <c r="U289" s="118">
        <v>675</v>
      </c>
      <c r="V289" s="118">
        <v>900</v>
      </c>
      <c r="W289" s="118">
        <v>0</v>
      </c>
      <c r="X289" s="118">
        <v>7</v>
      </c>
      <c r="Y289" s="118" t="s">
        <v>38</v>
      </c>
      <c r="Z289" s="388" t="s">
        <v>3085</v>
      </c>
      <c r="AA289" s="388" t="s">
        <v>3085</v>
      </c>
      <c r="AB289" s="25" t="s">
        <v>1451</v>
      </c>
      <c r="AC289" s="118">
        <v>200000</v>
      </c>
      <c r="AD289" s="197">
        <v>1</v>
      </c>
      <c r="AE289" s="197">
        <v>1</v>
      </c>
      <c r="AF289">
        <v>0</v>
      </c>
      <c r="AG289" s="402">
        <v>7</v>
      </c>
    </row>
    <row r="290" spans="1:33" ht="14.45" customHeight="1" x14ac:dyDescent="0.15">
      <c r="A290" s="114">
        <v>200407</v>
      </c>
      <c r="B290" s="114" t="s">
        <v>1453</v>
      </c>
      <c r="C290" s="114" t="s">
        <v>1453</v>
      </c>
      <c r="D290" s="119" t="s">
        <v>1408</v>
      </c>
      <c r="E290" s="119">
        <v>0</v>
      </c>
      <c r="F290" s="119">
        <v>0</v>
      </c>
      <c r="G290" s="119"/>
      <c r="H290" s="119" t="s">
        <v>51</v>
      </c>
      <c r="I290" s="119">
        <v>1</v>
      </c>
      <c r="J290" s="118">
        <v>4</v>
      </c>
      <c r="K290" s="119">
        <v>0</v>
      </c>
      <c r="L290" s="119">
        <v>4</v>
      </c>
      <c r="M290" s="119" t="s">
        <v>52</v>
      </c>
      <c r="N290" s="118" t="s">
        <v>1448</v>
      </c>
      <c r="O290" s="119">
        <v>50</v>
      </c>
      <c r="P290" s="119">
        <v>0.5</v>
      </c>
      <c r="Q290" s="119">
        <v>0</v>
      </c>
      <c r="R290" s="119">
        <v>1</v>
      </c>
      <c r="S290" s="80" t="b">
        <v>1</v>
      </c>
      <c r="T290" s="119">
        <v>45</v>
      </c>
      <c r="U290" s="118">
        <v>675</v>
      </c>
      <c r="V290" s="118">
        <v>900</v>
      </c>
      <c r="W290" s="119">
        <v>0</v>
      </c>
      <c r="X290" s="119">
        <v>7</v>
      </c>
      <c r="Y290" s="119" t="s">
        <v>38</v>
      </c>
      <c r="Z290" s="388" t="s">
        <v>3085</v>
      </c>
      <c r="AA290" s="388" t="s">
        <v>3085</v>
      </c>
      <c r="AB290" s="80" t="s">
        <v>1451</v>
      </c>
      <c r="AC290" s="119">
        <v>200000</v>
      </c>
      <c r="AD290" s="197">
        <v>1</v>
      </c>
      <c r="AE290" s="197">
        <v>1</v>
      </c>
      <c r="AF290">
        <v>0</v>
      </c>
      <c r="AG290" s="403">
        <v>7</v>
      </c>
    </row>
    <row r="291" spans="1:33" ht="14.45" customHeight="1" x14ac:dyDescent="0.15">
      <c r="A291" s="17">
        <v>200008</v>
      </c>
      <c r="B291" s="17" t="s">
        <v>1456</v>
      </c>
      <c r="C291" s="17" t="s">
        <v>1456</v>
      </c>
      <c r="D291" s="118" t="s">
        <v>1408</v>
      </c>
      <c r="E291" s="118">
        <v>0</v>
      </c>
      <c r="F291" s="118">
        <v>0</v>
      </c>
      <c r="G291" s="118"/>
      <c r="H291" s="17" t="s">
        <v>35</v>
      </c>
      <c r="I291" s="118">
        <v>1</v>
      </c>
      <c r="J291" s="118">
        <v>1</v>
      </c>
      <c r="K291" s="118">
        <v>1</v>
      </c>
      <c r="L291" s="118">
        <v>4</v>
      </c>
      <c r="M291" s="118" t="s">
        <v>70</v>
      </c>
      <c r="N291" s="118" t="s">
        <v>1457</v>
      </c>
      <c r="O291" s="118">
        <v>50</v>
      </c>
      <c r="P291" s="118">
        <v>0.5</v>
      </c>
      <c r="Q291" s="118">
        <v>0</v>
      </c>
      <c r="R291" s="118">
        <v>1</v>
      </c>
      <c r="S291" s="25" t="b">
        <v>1</v>
      </c>
      <c r="T291" s="118">
        <v>52</v>
      </c>
      <c r="U291" s="118">
        <v>780</v>
      </c>
      <c r="V291" s="118">
        <v>1040</v>
      </c>
      <c r="W291" s="118">
        <v>0</v>
      </c>
      <c r="X291" s="118">
        <v>8</v>
      </c>
      <c r="Y291" s="118" t="s">
        <v>38</v>
      </c>
      <c r="Z291" s="388" t="s">
        <v>3086</v>
      </c>
      <c r="AA291" s="388" t="s">
        <v>3086</v>
      </c>
      <c r="AB291" s="25" t="s">
        <v>1460</v>
      </c>
      <c r="AC291" s="118">
        <v>200000</v>
      </c>
      <c r="AD291" s="191">
        <v>1</v>
      </c>
      <c r="AE291" s="191">
        <v>1</v>
      </c>
      <c r="AF291">
        <v>0</v>
      </c>
      <c r="AG291" s="402">
        <v>8</v>
      </c>
    </row>
    <row r="292" spans="1:33" ht="14.45" customHeight="1" x14ac:dyDescent="0.15">
      <c r="A292" s="17">
        <v>200009</v>
      </c>
      <c r="B292" s="17" t="s">
        <v>1462</v>
      </c>
      <c r="C292" s="17" t="s">
        <v>1462</v>
      </c>
      <c r="D292" s="118" t="s">
        <v>1408</v>
      </c>
      <c r="E292" s="118">
        <v>0</v>
      </c>
      <c r="F292" s="118">
        <v>0</v>
      </c>
      <c r="G292" s="118"/>
      <c r="H292" s="17" t="s">
        <v>35</v>
      </c>
      <c r="I292" s="118">
        <v>1</v>
      </c>
      <c r="J292" s="118">
        <v>1</v>
      </c>
      <c r="K292" s="118">
        <v>1</v>
      </c>
      <c r="L292" s="118">
        <v>4</v>
      </c>
      <c r="M292" s="118" t="s">
        <v>70</v>
      </c>
      <c r="N292" s="118" t="s">
        <v>1463</v>
      </c>
      <c r="O292" s="118">
        <v>50</v>
      </c>
      <c r="P292" s="118">
        <v>0.5</v>
      </c>
      <c r="Q292" s="118">
        <v>0</v>
      </c>
      <c r="R292" s="118">
        <v>1</v>
      </c>
      <c r="S292" s="25" t="b">
        <v>1</v>
      </c>
      <c r="T292" s="118">
        <v>58</v>
      </c>
      <c r="U292" s="118">
        <v>870</v>
      </c>
      <c r="V292" s="118">
        <v>1160</v>
      </c>
      <c r="W292" s="118">
        <v>0</v>
      </c>
      <c r="X292" s="118">
        <v>9</v>
      </c>
      <c r="Y292" s="118" t="s">
        <v>38</v>
      </c>
      <c r="Z292" s="388" t="s">
        <v>3087</v>
      </c>
      <c r="AA292" s="388" t="s">
        <v>3087</v>
      </c>
      <c r="AB292" s="25" t="s">
        <v>1466</v>
      </c>
      <c r="AC292" s="118">
        <v>200000</v>
      </c>
      <c r="AD292" s="191">
        <v>1</v>
      </c>
      <c r="AE292" s="191">
        <v>1</v>
      </c>
      <c r="AF292">
        <v>0</v>
      </c>
      <c r="AG292" s="402">
        <v>9</v>
      </c>
    </row>
    <row r="293" spans="1:33" ht="14.45" customHeight="1" x14ac:dyDescent="0.15">
      <c r="A293" s="17">
        <v>200010</v>
      </c>
      <c r="B293" s="120" t="s">
        <v>1468</v>
      </c>
      <c r="C293" s="120" t="s">
        <v>1468</v>
      </c>
      <c r="D293" s="118" t="s">
        <v>1408</v>
      </c>
      <c r="E293" s="118">
        <v>0</v>
      </c>
      <c r="F293" s="118">
        <v>0</v>
      </c>
      <c r="G293" s="118"/>
      <c r="H293" s="17" t="s">
        <v>35</v>
      </c>
      <c r="I293" s="118">
        <v>1</v>
      </c>
      <c r="J293" s="118">
        <v>1</v>
      </c>
      <c r="K293" s="118">
        <v>1</v>
      </c>
      <c r="L293" s="118">
        <v>4</v>
      </c>
      <c r="M293" s="118" t="s">
        <v>70</v>
      </c>
      <c r="N293" s="118" t="s">
        <v>1469</v>
      </c>
      <c r="O293" s="118">
        <v>50</v>
      </c>
      <c r="P293" s="118">
        <v>0.5</v>
      </c>
      <c r="Q293" s="118">
        <v>0</v>
      </c>
      <c r="R293" s="118">
        <v>1</v>
      </c>
      <c r="S293" s="25" t="b">
        <v>1</v>
      </c>
      <c r="T293" s="118">
        <v>65</v>
      </c>
      <c r="U293" s="118">
        <v>975</v>
      </c>
      <c r="V293" s="118">
        <v>1300</v>
      </c>
      <c r="W293" s="118">
        <v>0</v>
      </c>
      <c r="X293" s="118">
        <v>10</v>
      </c>
      <c r="Y293" s="118" t="s">
        <v>38</v>
      </c>
      <c r="Z293" s="388" t="s">
        <v>3088</v>
      </c>
      <c r="AA293" s="388" t="s">
        <v>3088</v>
      </c>
      <c r="AB293" s="25" t="s">
        <v>1472</v>
      </c>
      <c r="AC293" s="118">
        <v>200000</v>
      </c>
      <c r="AD293" s="191">
        <v>1</v>
      </c>
      <c r="AE293" s="191">
        <v>1</v>
      </c>
      <c r="AF293">
        <v>0</v>
      </c>
      <c r="AG293" s="402">
        <v>10</v>
      </c>
    </row>
    <row r="294" spans="1:33" ht="14.45" customHeight="1" x14ac:dyDescent="0.15">
      <c r="A294" s="79">
        <v>200108</v>
      </c>
      <c r="B294" s="359" t="s">
        <v>1474</v>
      </c>
      <c r="C294" s="359" t="s">
        <v>1474</v>
      </c>
      <c r="D294" s="79" t="s">
        <v>1408</v>
      </c>
      <c r="E294" s="79">
        <v>0</v>
      </c>
      <c r="F294" s="79">
        <v>0</v>
      </c>
      <c r="G294" s="79"/>
      <c r="H294" s="119" t="s">
        <v>51</v>
      </c>
      <c r="I294" s="79">
        <v>1</v>
      </c>
      <c r="J294" s="118">
        <v>4</v>
      </c>
      <c r="K294" s="119">
        <v>0</v>
      </c>
      <c r="L294" s="79">
        <v>4</v>
      </c>
      <c r="M294" s="114" t="s">
        <v>52</v>
      </c>
      <c r="N294" s="118" t="s">
        <v>1457</v>
      </c>
      <c r="O294" s="79">
        <v>50</v>
      </c>
      <c r="P294" s="79">
        <v>0.5</v>
      </c>
      <c r="Q294" s="79">
        <v>0</v>
      </c>
      <c r="R294" s="79">
        <v>1</v>
      </c>
      <c r="S294" s="80" t="b">
        <v>1</v>
      </c>
      <c r="T294" s="79">
        <v>52</v>
      </c>
      <c r="U294" s="118">
        <v>780</v>
      </c>
      <c r="V294" s="118">
        <v>1040</v>
      </c>
      <c r="W294" s="79">
        <v>0</v>
      </c>
      <c r="X294" s="79">
        <v>8</v>
      </c>
      <c r="Y294" s="79" t="s">
        <v>38</v>
      </c>
      <c r="Z294" s="388" t="s">
        <v>3086</v>
      </c>
      <c r="AA294" s="388" t="s">
        <v>3086</v>
      </c>
      <c r="AB294" s="80" t="s">
        <v>1460</v>
      </c>
      <c r="AC294" s="79">
        <v>200000</v>
      </c>
      <c r="AD294" s="92">
        <v>1</v>
      </c>
      <c r="AE294" s="92">
        <v>1</v>
      </c>
      <c r="AF294">
        <v>0</v>
      </c>
      <c r="AG294" s="434">
        <v>8</v>
      </c>
    </row>
    <row r="295" spans="1:33" ht="14.45" customHeight="1" x14ac:dyDescent="0.15">
      <c r="A295" s="79">
        <v>200109</v>
      </c>
      <c r="B295" s="359" t="s">
        <v>1477</v>
      </c>
      <c r="C295" s="359" t="s">
        <v>1477</v>
      </c>
      <c r="D295" s="79" t="s">
        <v>1408</v>
      </c>
      <c r="E295" s="79">
        <v>0</v>
      </c>
      <c r="F295" s="79">
        <v>0</v>
      </c>
      <c r="G295" s="79"/>
      <c r="H295" s="119" t="s">
        <v>51</v>
      </c>
      <c r="I295" s="79">
        <v>1</v>
      </c>
      <c r="J295" s="118">
        <v>4</v>
      </c>
      <c r="K295" s="119">
        <v>0</v>
      </c>
      <c r="L295" s="79">
        <v>4</v>
      </c>
      <c r="M295" s="114" t="s">
        <v>52</v>
      </c>
      <c r="N295" s="118" t="s">
        <v>1463</v>
      </c>
      <c r="O295" s="79">
        <v>50</v>
      </c>
      <c r="P295" s="79">
        <v>0.5</v>
      </c>
      <c r="Q295" s="79">
        <v>0</v>
      </c>
      <c r="R295" s="79">
        <v>1</v>
      </c>
      <c r="S295" s="80" t="b">
        <v>1</v>
      </c>
      <c r="T295" s="79">
        <v>58</v>
      </c>
      <c r="U295" s="118">
        <v>870</v>
      </c>
      <c r="V295" s="118">
        <v>1160</v>
      </c>
      <c r="W295" s="79">
        <v>0</v>
      </c>
      <c r="X295" s="79">
        <v>9</v>
      </c>
      <c r="Y295" s="79" t="s">
        <v>38</v>
      </c>
      <c r="Z295" s="388" t="s">
        <v>3087</v>
      </c>
      <c r="AA295" s="388" t="s">
        <v>3087</v>
      </c>
      <c r="AB295" s="80" t="s">
        <v>1466</v>
      </c>
      <c r="AC295" s="79">
        <v>200000</v>
      </c>
      <c r="AD295" s="92">
        <v>1</v>
      </c>
      <c r="AE295" s="92">
        <v>1</v>
      </c>
      <c r="AF295">
        <v>0</v>
      </c>
      <c r="AG295" s="434">
        <v>9</v>
      </c>
    </row>
    <row r="296" spans="1:33" ht="14.45" customHeight="1" x14ac:dyDescent="0.15">
      <c r="A296" s="79">
        <v>200110</v>
      </c>
      <c r="B296" s="359" t="s">
        <v>1480</v>
      </c>
      <c r="C296" s="359" t="s">
        <v>1480</v>
      </c>
      <c r="D296" s="79" t="s">
        <v>1408</v>
      </c>
      <c r="E296" s="79">
        <v>0</v>
      </c>
      <c r="F296" s="79">
        <v>0</v>
      </c>
      <c r="G296" s="79"/>
      <c r="H296" s="119" t="s">
        <v>51</v>
      </c>
      <c r="I296" s="79">
        <v>1</v>
      </c>
      <c r="J296" s="118">
        <v>4</v>
      </c>
      <c r="K296" s="119">
        <v>0</v>
      </c>
      <c r="L296" s="79">
        <v>4</v>
      </c>
      <c r="M296" s="114" t="s">
        <v>52</v>
      </c>
      <c r="N296" s="118" t="s">
        <v>1469</v>
      </c>
      <c r="O296" s="79">
        <v>50</v>
      </c>
      <c r="P296" s="79">
        <v>0.5</v>
      </c>
      <c r="Q296" s="79">
        <v>0</v>
      </c>
      <c r="R296" s="79">
        <v>1</v>
      </c>
      <c r="S296" s="80" t="b">
        <v>1</v>
      </c>
      <c r="T296" s="79">
        <v>65</v>
      </c>
      <c r="U296" s="118">
        <v>975</v>
      </c>
      <c r="V296" s="118">
        <v>1300</v>
      </c>
      <c r="W296" s="79">
        <v>0</v>
      </c>
      <c r="X296" s="79">
        <v>10</v>
      </c>
      <c r="Y296" s="79" t="s">
        <v>38</v>
      </c>
      <c r="Z296" s="388" t="s">
        <v>3088</v>
      </c>
      <c r="AA296" s="388" t="s">
        <v>3088</v>
      </c>
      <c r="AB296" s="80" t="s">
        <v>1472</v>
      </c>
      <c r="AC296" s="79">
        <v>200000</v>
      </c>
      <c r="AD296" s="92">
        <v>1</v>
      </c>
      <c r="AE296" s="92">
        <v>1</v>
      </c>
      <c r="AF296">
        <v>0</v>
      </c>
      <c r="AG296" s="434">
        <v>10</v>
      </c>
    </row>
    <row r="297" spans="1:33" ht="14.45" customHeight="1" x14ac:dyDescent="0.15">
      <c r="A297" s="41">
        <v>200101</v>
      </c>
      <c r="B297" s="42" t="s">
        <v>1483</v>
      </c>
      <c r="C297" s="42" t="s">
        <v>1483</v>
      </c>
      <c r="D297" s="41" t="s">
        <v>1408</v>
      </c>
      <c r="E297" s="41">
        <v>0</v>
      </c>
      <c r="F297" s="41">
        <v>0</v>
      </c>
      <c r="G297" s="41"/>
      <c r="H297" s="84" t="s">
        <v>107</v>
      </c>
      <c r="I297" s="41">
        <v>2</v>
      </c>
      <c r="J297" s="118">
        <v>2</v>
      </c>
      <c r="K297" s="41">
        <v>0</v>
      </c>
      <c r="L297" s="41">
        <v>4</v>
      </c>
      <c r="M297" s="41">
        <v>3</v>
      </c>
      <c r="N297" s="118" t="s">
        <v>1409</v>
      </c>
      <c r="O297" s="41">
        <v>50</v>
      </c>
      <c r="P297" s="41">
        <v>0.5</v>
      </c>
      <c r="Q297" s="41">
        <v>0</v>
      </c>
      <c r="R297" s="41">
        <v>1</v>
      </c>
      <c r="S297" s="43" t="b">
        <v>1</v>
      </c>
      <c r="T297" s="41">
        <v>6</v>
      </c>
      <c r="U297" s="118">
        <v>90</v>
      </c>
      <c r="V297" s="118">
        <v>120</v>
      </c>
      <c r="W297" s="41">
        <v>0</v>
      </c>
      <c r="X297" s="41">
        <v>1</v>
      </c>
      <c r="Y297" s="41" t="s">
        <v>38</v>
      </c>
      <c r="Z297" s="388" t="s">
        <v>3089</v>
      </c>
      <c r="AA297" s="388" t="s">
        <v>3089</v>
      </c>
      <c r="AB297" s="43" t="s">
        <v>1445</v>
      </c>
      <c r="AC297" s="13">
        <v>200000</v>
      </c>
      <c r="AD297" s="197">
        <v>0</v>
      </c>
      <c r="AE297" s="197">
        <v>0</v>
      </c>
      <c r="AF297">
        <v>0</v>
      </c>
      <c r="AG297" s="435">
        <v>1</v>
      </c>
    </row>
    <row r="298" spans="1:33" ht="14.45" customHeight="1" x14ac:dyDescent="0.15">
      <c r="A298" s="115">
        <v>200102</v>
      </c>
      <c r="B298" s="121" t="s">
        <v>1487</v>
      </c>
      <c r="C298" s="121" t="s">
        <v>1487</v>
      </c>
      <c r="D298" s="115" t="s">
        <v>1408</v>
      </c>
      <c r="E298" s="115">
        <v>0</v>
      </c>
      <c r="F298" s="115">
        <v>0</v>
      </c>
      <c r="G298" s="115"/>
      <c r="H298" s="115" t="s">
        <v>112</v>
      </c>
      <c r="I298" s="115">
        <v>4</v>
      </c>
      <c r="J298" s="118">
        <v>4</v>
      </c>
      <c r="K298" s="115">
        <v>0</v>
      </c>
      <c r="L298" s="115">
        <v>4</v>
      </c>
      <c r="M298" s="115">
        <v>4</v>
      </c>
      <c r="N298" s="118" t="s">
        <v>1415</v>
      </c>
      <c r="O298" s="115">
        <v>50</v>
      </c>
      <c r="P298" s="115">
        <v>0.5</v>
      </c>
      <c r="Q298" s="115">
        <v>0</v>
      </c>
      <c r="R298" s="115">
        <v>1</v>
      </c>
      <c r="S298" s="397" t="b">
        <v>1</v>
      </c>
      <c r="T298" s="115">
        <v>13</v>
      </c>
      <c r="U298" s="118">
        <v>195</v>
      </c>
      <c r="V298" s="118">
        <v>260</v>
      </c>
      <c r="W298" s="115">
        <v>0</v>
      </c>
      <c r="X298" s="115">
        <v>2</v>
      </c>
      <c r="Y298" s="115" t="s">
        <v>38</v>
      </c>
      <c r="Z298" s="388" t="s">
        <v>3090</v>
      </c>
      <c r="AA298" s="388" t="s">
        <v>3090</v>
      </c>
      <c r="AB298" s="397" t="s">
        <v>1418</v>
      </c>
      <c r="AC298" s="115">
        <v>300000</v>
      </c>
      <c r="AD298" s="197">
        <v>1</v>
      </c>
      <c r="AE298" s="197">
        <v>1</v>
      </c>
      <c r="AF298">
        <v>0</v>
      </c>
      <c r="AG298" s="436">
        <v>2</v>
      </c>
    </row>
    <row r="299" spans="1:33" ht="14.45" customHeight="1" x14ac:dyDescent="0.15">
      <c r="A299" s="115">
        <v>200103</v>
      </c>
      <c r="B299" s="121" t="s">
        <v>1491</v>
      </c>
      <c r="C299" s="121" t="s">
        <v>1491</v>
      </c>
      <c r="D299" s="115" t="s">
        <v>1408</v>
      </c>
      <c r="E299" s="115">
        <v>0</v>
      </c>
      <c r="F299" s="115">
        <v>0</v>
      </c>
      <c r="G299" s="115"/>
      <c r="H299" s="115" t="s">
        <v>112</v>
      </c>
      <c r="I299" s="115">
        <v>4</v>
      </c>
      <c r="J299" s="118">
        <v>4</v>
      </c>
      <c r="K299" s="115">
        <v>0</v>
      </c>
      <c r="L299" s="115">
        <v>4</v>
      </c>
      <c r="M299" s="115">
        <v>4</v>
      </c>
      <c r="N299" s="118" t="s">
        <v>1421</v>
      </c>
      <c r="O299" s="115">
        <v>50</v>
      </c>
      <c r="P299" s="115">
        <v>0.5</v>
      </c>
      <c r="Q299" s="115">
        <v>0</v>
      </c>
      <c r="R299" s="115">
        <v>1</v>
      </c>
      <c r="S299" s="397" t="b">
        <v>1</v>
      </c>
      <c r="T299" s="115">
        <v>19</v>
      </c>
      <c r="U299" s="118">
        <v>285</v>
      </c>
      <c r="V299" s="118">
        <v>380</v>
      </c>
      <c r="W299" s="115">
        <v>0</v>
      </c>
      <c r="X299" s="115">
        <v>3</v>
      </c>
      <c r="Y299" s="115" t="s">
        <v>38</v>
      </c>
      <c r="Z299" s="388" t="s">
        <v>3091</v>
      </c>
      <c r="AA299" s="388" t="s">
        <v>3091</v>
      </c>
      <c r="AB299" s="397" t="s">
        <v>1424</v>
      </c>
      <c r="AC299" s="115">
        <v>200000</v>
      </c>
      <c r="AD299" s="197">
        <v>1</v>
      </c>
      <c r="AE299" s="197">
        <v>1</v>
      </c>
      <c r="AF299">
        <v>0</v>
      </c>
      <c r="AG299" s="436">
        <v>3</v>
      </c>
    </row>
    <row r="300" spans="1:33" ht="14.45" customHeight="1" x14ac:dyDescent="0.15">
      <c r="A300" s="116">
        <v>200104</v>
      </c>
      <c r="B300" s="122" t="s">
        <v>1495</v>
      </c>
      <c r="C300" s="122" t="s">
        <v>1495</v>
      </c>
      <c r="D300" s="116" t="s">
        <v>1408</v>
      </c>
      <c r="E300" s="116">
        <v>0</v>
      </c>
      <c r="F300" s="116">
        <v>0</v>
      </c>
      <c r="G300" s="116"/>
      <c r="H300" s="116"/>
      <c r="I300" s="116">
        <v>5</v>
      </c>
      <c r="J300" s="118">
        <v>5</v>
      </c>
      <c r="K300" s="116">
        <v>0</v>
      </c>
      <c r="L300" s="116">
        <v>4</v>
      </c>
      <c r="M300" s="116">
        <v>5</v>
      </c>
      <c r="N300" s="118" t="s">
        <v>1430</v>
      </c>
      <c r="O300" s="116">
        <v>50</v>
      </c>
      <c r="P300" s="116">
        <v>0.5</v>
      </c>
      <c r="Q300" s="116">
        <v>0</v>
      </c>
      <c r="R300" s="116">
        <v>1</v>
      </c>
      <c r="S300" s="398" t="b">
        <v>1</v>
      </c>
      <c r="T300" s="116">
        <v>26</v>
      </c>
      <c r="U300" s="118">
        <v>390</v>
      </c>
      <c r="V300" s="118">
        <v>520</v>
      </c>
      <c r="W300" s="116">
        <v>0</v>
      </c>
      <c r="X300" s="116">
        <v>4</v>
      </c>
      <c r="Y300" s="116" t="s">
        <v>38</v>
      </c>
      <c r="Z300" s="388" t="s">
        <v>3092</v>
      </c>
      <c r="AA300" s="388" t="s">
        <v>3092</v>
      </c>
      <c r="AB300" s="398" t="s">
        <v>1451</v>
      </c>
      <c r="AC300" s="116">
        <v>200000</v>
      </c>
      <c r="AD300" s="197">
        <v>1</v>
      </c>
      <c r="AE300" s="197">
        <v>1</v>
      </c>
      <c r="AF300">
        <v>0</v>
      </c>
      <c r="AG300" s="406">
        <v>4</v>
      </c>
    </row>
    <row r="301" spans="1:33" ht="14.45" customHeight="1" x14ac:dyDescent="0.15">
      <c r="A301" s="105">
        <v>200106</v>
      </c>
      <c r="B301" s="105" t="s">
        <v>1499</v>
      </c>
      <c r="C301" s="105" t="s">
        <v>1499</v>
      </c>
      <c r="D301" s="43" t="s">
        <v>1408</v>
      </c>
      <c r="E301" s="43">
        <v>0</v>
      </c>
      <c r="F301" s="43">
        <v>0</v>
      </c>
      <c r="G301" s="43"/>
      <c r="H301" s="84" t="s">
        <v>107</v>
      </c>
      <c r="I301" s="43">
        <v>1</v>
      </c>
      <c r="J301" s="118">
        <v>1</v>
      </c>
      <c r="K301" s="43">
        <v>0</v>
      </c>
      <c r="L301" s="43">
        <v>4</v>
      </c>
      <c r="M301" s="43">
        <v>6</v>
      </c>
      <c r="N301" s="118" t="s">
        <v>1442</v>
      </c>
      <c r="O301" s="84">
        <v>-1</v>
      </c>
      <c r="P301" s="43">
        <v>0.5</v>
      </c>
      <c r="Q301" s="84">
        <v>0</v>
      </c>
      <c r="R301" s="43">
        <v>1</v>
      </c>
      <c r="S301" s="43" t="b">
        <v>1</v>
      </c>
      <c r="T301" s="84">
        <v>39</v>
      </c>
      <c r="U301" s="118">
        <v>585</v>
      </c>
      <c r="V301" s="118">
        <v>780</v>
      </c>
      <c r="W301" s="84">
        <v>0</v>
      </c>
      <c r="X301" s="43">
        <v>6</v>
      </c>
      <c r="Y301" s="43" t="s">
        <v>38</v>
      </c>
      <c r="Z301" s="388" t="s">
        <v>3093</v>
      </c>
      <c r="AA301" s="388" t="s">
        <v>3093</v>
      </c>
      <c r="AB301" s="157" t="s">
        <v>1502</v>
      </c>
      <c r="AC301" s="43">
        <v>100000</v>
      </c>
      <c r="AD301" s="197">
        <v>1</v>
      </c>
      <c r="AE301" s="197">
        <v>1</v>
      </c>
      <c r="AF301">
        <v>0</v>
      </c>
      <c r="AG301" s="293">
        <v>6</v>
      </c>
    </row>
    <row r="302" spans="1:33" ht="14.45" customHeight="1" x14ac:dyDescent="0.15">
      <c r="A302" s="41">
        <v>200201</v>
      </c>
      <c r="B302" s="84" t="s">
        <v>1504</v>
      </c>
      <c r="C302" s="84" t="s">
        <v>1504</v>
      </c>
      <c r="D302" s="105" t="s">
        <v>1408</v>
      </c>
      <c r="E302" s="84">
        <v>0</v>
      </c>
      <c r="F302" s="105">
        <v>0</v>
      </c>
      <c r="G302" s="84"/>
      <c r="H302" s="84" t="s">
        <v>107</v>
      </c>
      <c r="I302" s="105">
        <v>1</v>
      </c>
      <c r="J302" s="118">
        <v>1</v>
      </c>
      <c r="K302" s="84">
        <v>0</v>
      </c>
      <c r="L302" s="105">
        <v>4</v>
      </c>
      <c r="M302" s="84">
        <v>1</v>
      </c>
      <c r="N302" s="118" t="s">
        <v>1409</v>
      </c>
      <c r="O302" s="105">
        <v>50</v>
      </c>
      <c r="P302" s="105">
        <v>0.5</v>
      </c>
      <c r="Q302" s="105">
        <v>0</v>
      </c>
      <c r="R302" s="105">
        <v>1</v>
      </c>
      <c r="S302" s="43" t="b">
        <v>1</v>
      </c>
      <c r="T302" s="41">
        <v>6</v>
      </c>
      <c r="U302" s="118">
        <v>90</v>
      </c>
      <c r="V302" s="118">
        <v>120</v>
      </c>
      <c r="W302" s="41">
        <v>0</v>
      </c>
      <c r="X302" s="41">
        <v>1</v>
      </c>
      <c r="Y302" s="41" t="s">
        <v>38</v>
      </c>
      <c r="Z302" s="388" t="s">
        <v>3079</v>
      </c>
      <c r="AA302" s="388" t="s">
        <v>3079</v>
      </c>
      <c r="AB302" s="43" t="s">
        <v>1412</v>
      </c>
      <c r="AC302" s="41">
        <v>300000</v>
      </c>
      <c r="AD302" s="197">
        <v>1</v>
      </c>
      <c r="AE302" s="197">
        <v>1</v>
      </c>
      <c r="AF302">
        <v>0</v>
      </c>
      <c r="AG302" s="435">
        <v>1</v>
      </c>
    </row>
    <row r="303" spans="1:33" ht="14.45" customHeight="1" x14ac:dyDescent="0.15">
      <c r="A303" s="15">
        <v>300001</v>
      </c>
      <c r="B303" s="16" t="s">
        <v>1507</v>
      </c>
      <c r="C303" s="16" t="s">
        <v>1507</v>
      </c>
      <c r="D303" s="15" t="s">
        <v>1508</v>
      </c>
      <c r="E303" s="15">
        <v>0</v>
      </c>
      <c r="F303" s="15">
        <v>0</v>
      </c>
      <c r="G303" s="15"/>
      <c r="H303" s="118" t="s">
        <v>35</v>
      </c>
      <c r="I303" s="15">
        <v>1</v>
      </c>
      <c r="J303" s="118">
        <v>1</v>
      </c>
      <c r="K303" s="15">
        <v>1</v>
      </c>
      <c r="L303" s="15">
        <v>4</v>
      </c>
      <c r="M303" s="15" t="s">
        <v>36</v>
      </c>
      <c r="N303" s="118" t="s">
        <v>1509</v>
      </c>
      <c r="O303" s="15">
        <v>50</v>
      </c>
      <c r="P303" s="15">
        <v>0.5</v>
      </c>
      <c r="Q303" s="15">
        <v>0</v>
      </c>
      <c r="R303" s="15">
        <v>1</v>
      </c>
      <c r="S303" s="25" t="b">
        <v>1</v>
      </c>
      <c r="T303" s="15">
        <v>6</v>
      </c>
      <c r="U303" s="118">
        <v>90</v>
      </c>
      <c r="V303" s="118">
        <v>120</v>
      </c>
      <c r="W303" s="15">
        <v>0</v>
      </c>
      <c r="X303" s="15">
        <v>1</v>
      </c>
      <c r="Y303" s="15" t="s">
        <v>38</v>
      </c>
      <c r="Z303" s="388" t="s">
        <v>3094</v>
      </c>
      <c r="AA303" s="388" t="s">
        <v>3094</v>
      </c>
      <c r="AB303" s="25" t="s">
        <v>1512</v>
      </c>
      <c r="AC303" s="15">
        <v>300000</v>
      </c>
      <c r="AD303" s="197">
        <v>1</v>
      </c>
      <c r="AE303" s="197">
        <v>1</v>
      </c>
      <c r="AF303">
        <v>0</v>
      </c>
      <c r="AG303" s="433">
        <v>1</v>
      </c>
    </row>
    <row r="304" spans="1:33" ht="14.45" customHeight="1" x14ac:dyDescent="0.15">
      <c r="A304" s="15">
        <v>300002</v>
      </c>
      <c r="B304" s="16" t="s">
        <v>1514</v>
      </c>
      <c r="C304" s="16" t="s">
        <v>1514</v>
      </c>
      <c r="D304" s="15" t="s">
        <v>1508</v>
      </c>
      <c r="E304" s="15">
        <v>0</v>
      </c>
      <c r="F304" s="15">
        <v>0</v>
      </c>
      <c r="G304" s="15"/>
      <c r="H304" s="118" t="s">
        <v>35</v>
      </c>
      <c r="I304" s="15">
        <v>1</v>
      </c>
      <c r="J304" s="118">
        <v>1</v>
      </c>
      <c r="K304" s="15">
        <v>1</v>
      </c>
      <c r="L304" s="15">
        <v>4</v>
      </c>
      <c r="M304" s="15" t="s">
        <v>44</v>
      </c>
      <c r="N304" s="118" t="s">
        <v>1515</v>
      </c>
      <c r="O304" s="15">
        <v>50</v>
      </c>
      <c r="P304" s="15">
        <v>0.5</v>
      </c>
      <c r="Q304" s="15">
        <v>0</v>
      </c>
      <c r="R304" s="15">
        <v>1</v>
      </c>
      <c r="S304" s="25" t="b">
        <v>1</v>
      </c>
      <c r="T304" s="15">
        <v>13</v>
      </c>
      <c r="U304" s="118">
        <v>195</v>
      </c>
      <c r="V304" s="118">
        <v>260</v>
      </c>
      <c r="W304" s="15">
        <v>0</v>
      </c>
      <c r="X304" s="15">
        <v>2</v>
      </c>
      <c r="Y304" s="15" t="s">
        <v>38</v>
      </c>
      <c r="Z304" s="388" t="s">
        <v>3095</v>
      </c>
      <c r="AA304" s="388" t="s">
        <v>3095</v>
      </c>
      <c r="AB304" s="25" t="s">
        <v>1518</v>
      </c>
      <c r="AC304" s="15">
        <v>100000</v>
      </c>
      <c r="AD304" s="197">
        <v>1</v>
      </c>
      <c r="AE304" s="197">
        <v>1</v>
      </c>
      <c r="AF304">
        <v>0</v>
      </c>
      <c r="AG304" s="433">
        <v>2</v>
      </c>
    </row>
    <row r="305" spans="1:33" ht="14.45" customHeight="1" x14ac:dyDescent="0.15">
      <c r="A305" s="15">
        <v>300003</v>
      </c>
      <c r="B305" s="17" t="s">
        <v>1520</v>
      </c>
      <c r="C305" s="17" t="s">
        <v>1520</v>
      </c>
      <c r="D305" s="15" t="s">
        <v>1508</v>
      </c>
      <c r="E305" s="15">
        <v>0</v>
      </c>
      <c r="F305" s="15">
        <v>0</v>
      </c>
      <c r="G305" s="15"/>
      <c r="H305" s="118" t="s">
        <v>35</v>
      </c>
      <c r="I305" s="15">
        <v>1</v>
      </c>
      <c r="J305" s="118">
        <v>1</v>
      </c>
      <c r="K305" s="15">
        <v>1</v>
      </c>
      <c r="L305" s="15">
        <v>4</v>
      </c>
      <c r="M305" s="15" t="s">
        <v>56</v>
      </c>
      <c r="N305" s="118" t="s">
        <v>1521</v>
      </c>
      <c r="O305" s="15">
        <v>50</v>
      </c>
      <c r="P305" s="15">
        <v>0.5</v>
      </c>
      <c r="Q305" s="15">
        <v>0</v>
      </c>
      <c r="R305" s="15">
        <v>1</v>
      </c>
      <c r="S305" s="25" t="b">
        <v>1</v>
      </c>
      <c r="T305" s="15">
        <v>19</v>
      </c>
      <c r="U305" s="118">
        <v>285</v>
      </c>
      <c r="V305" s="118">
        <v>380</v>
      </c>
      <c r="W305" s="15">
        <v>0</v>
      </c>
      <c r="X305" s="15">
        <v>3</v>
      </c>
      <c r="Y305" s="15" t="s">
        <v>38</v>
      </c>
      <c r="Z305" s="388" t="s">
        <v>3096</v>
      </c>
      <c r="AA305" s="388" t="s">
        <v>3096</v>
      </c>
      <c r="AB305" s="25" t="s">
        <v>1524</v>
      </c>
      <c r="AC305" s="15">
        <v>100000</v>
      </c>
      <c r="AD305" s="197">
        <v>1</v>
      </c>
      <c r="AE305" s="197">
        <v>1</v>
      </c>
      <c r="AF305">
        <v>0</v>
      </c>
      <c r="AG305" s="433">
        <v>3</v>
      </c>
    </row>
    <row r="306" spans="1:33" ht="14.45" customHeight="1" x14ac:dyDescent="0.15">
      <c r="A306" s="15">
        <v>300004</v>
      </c>
      <c r="B306" s="71" t="s">
        <v>1526</v>
      </c>
      <c r="C306" s="71" t="s">
        <v>1526</v>
      </c>
      <c r="D306" s="15" t="s">
        <v>1508</v>
      </c>
      <c r="E306" s="15">
        <v>0</v>
      </c>
      <c r="F306" s="15">
        <v>0</v>
      </c>
      <c r="G306" s="15"/>
      <c r="H306" s="118" t="s">
        <v>35</v>
      </c>
      <c r="I306" s="15">
        <v>1</v>
      </c>
      <c r="J306" s="118">
        <v>1</v>
      </c>
      <c r="K306" s="15">
        <v>1</v>
      </c>
      <c r="L306" s="15">
        <v>4</v>
      </c>
      <c r="M306" s="15" t="s">
        <v>63</v>
      </c>
      <c r="N306" s="118" t="s">
        <v>1527</v>
      </c>
      <c r="O306" s="15">
        <v>50</v>
      </c>
      <c r="P306" s="15">
        <v>0.5</v>
      </c>
      <c r="Q306" s="15">
        <v>0</v>
      </c>
      <c r="R306" s="15">
        <v>1</v>
      </c>
      <c r="S306" s="25" t="b">
        <v>1</v>
      </c>
      <c r="T306" s="15">
        <v>26</v>
      </c>
      <c r="U306" s="118">
        <v>390</v>
      </c>
      <c r="V306" s="118">
        <v>520</v>
      </c>
      <c r="W306" s="15">
        <v>0</v>
      </c>
      <c r="X306" s="15">
        <v>4</v>
      </c>
      <c r="Y306" s="15" t="s">
        <v>38</v>
      </c>
      <c r="Z306" s="388" t="s">
        <v>3097</v>
      </c>
      <c r="AA306" s="388" t="s">
        <v>3097</v>
      </c>
      <c r="AB306" s="25" t="s">
        <v>1530</v>
      </c>
      <c r="AC306" s="15">
        <v>100000</v>
      </c>
      <c r="AD306" s="197">
        <v>1</v>
      </c>
      <c r="AE306" s="197">
        <v>1</v>
      </c>
      <c r="AF306">
        <v>0</v>
      </c>
      <c r="AG306" s="433">
        <v>4</v>
      </c>
    </row>
    <row r="307" spans="1:33" ht="14.45" customHeight="1" x14ac:dyDescent="0.15">
      <c r="A307" s="17">
        <v>300005</v>
      </c>
      <c r="B307" s="17" t="s">
        <v>1532</v>
      </c>
      <c r="C307" s="17" t="s">
        <v>1532</v>
      </c>
      <c r="D307" s="118" t="s">
        <v>1508</v>
      </c>
      <c r="E307" s="118">
        <v>0</v>
      </c>
      <c r="F307" s="118">
        <v>0</v>
      </c>
      <c r="G307" s="118"/>
      <c r="H307" s="118" t="s">
        <v>35</v>
      </c>
      <c r="I307" s="118">
        <v>1</v>
      </c>
      <c r="J307" s="118">
        <v>1</v>
      </c>
      <c r="K307" s="118">
        <v>1</v>
      </c>
      <c r="L307" s="118">
        <v>4</v>
      </c>
      <c r="M307" s="118" t="s">
        <v>70</v>
      </c>
      <c r="N307" s="118" t="s">
        <v>1533</v>
      </c>
      <c r="O307" s="118">
        <v>50</v>
      </c>
      <c r="P307" s="118">
        <v>0.5</v>
      </c>
      <c r="Q307" s="118">
        <v>0</v>
      </c>
      <c r="R307" s="118">
        <v>1</v>
      </c>
      <c r="S307" s="25" t="b">
        <v>1</v>
      </c>
      <c r="T307" s="118">
        <v>32</v>
      </c>
      <c r="U307" s="118">
        <v>480</v>
      </c>
      <c r="V307" s="118">
        <v>640</v>
      </c>
      <c r="W307" s="118">
        <v>0</v>
      </c>
      <c r="X307" s="118">
        <v>5</v>
      </c>
      <c r="Y307" s="118" t="s">
        <v>38</v>
      </c>
      <c r="Z307" s="388" t="s">
        <v>3098</v>
      </c>
      <c r="AA307" s="388" t="s">
        <v>3098</v>
      </c>
      <c r="AB307" s="25" t="s">
        <v>1536</v>
      </c>
      <c r="AC307" s="118">
        <v>200000</v>
      </c>
      <c r="AD307" s="197">
        <v>1</v>
      </c>
      <c r="AE307" s="197">
        <v>1</v>
      </c>
      <c r="AF307">
        <v>0</v>
      </c>
      <c r="AG307" s="402">
        <v>5</v>
      </c>
    </row>
    <row r="308" spans="1:33" ht="14.45" customHeight="1" x14ac:dyDescent="0.15">
      <c r="A308" s="17">
        <v>300006</v>
      </c>
      <c r="B308" s="17" t="s">
        <v>1538</v>
      </c>
      <c r="C308" s="17" t="s">
        <v>1538</v>
      </c>
      <c r="D308" s="118" t="s">
        <v>1508</v>
      </c>
      <c r="E308" s="118">
        <v>0</v>
      </c>
      <c r="F308" s="118">
        <v>0</v>
      </c>
      <c r="G308" s="118"/>
      <c r="H308" s="118" t="s">
        <v>35</v>
      </c>
      <c r="I308" s="118">
        <v>1</v>
      </c>
      <c r="J308" s="118">
        <v>1</v>
      </c>
      <c r="K308" s="118">
        <v>1</v>
      </c>
      <c r="L308" s="118">
        <v>4</v>
      </c>
      <c r="M308" s="118" t="s">
        <v>70</v>
      </c>
      <c r="N308" s="118" t="s">
        <v>1539</v>
      </c>
      <c r="O308" s="118">
        <v>50</v>
      </c>
      <c r="P308" s="118">
        <v>0.5</v>
      </c>
      <c r="Q308" s="118">
        <v>0</v>
      </c>
      <c r="R308" s="118">
        <v>1</v>
      </c>
      <c r="S308" s="25" t="b">
        <v>1</v>
      </c>
      <c r="T308" s="118">
        <v>39</v>
      </c>
      <c r="U308" s="118">
        <v>585</v>
      </c>
      <c r="V308" s="118">
        <v>780</v>
      </c>
      <c r="W308" s="118">
        <v>0</v>
      </c>
      <c r="X308" s="118">
        <v>6</v>
      </c>
      <c r="Y308" s="118" t="s">
        <v>38</v>
      </c>
      <c r="Z308" s="388" t="s">
        <v>3099</v>
      </c>
      <c r="AA308" s="388" t="s">
        <v>3099</v>
      </c>
      <c r="AB308" s="25" t="s">
        <v>1542</v>
      </c>
      <c r="AC308" s="118">
        <v>200000</v>
      </c>
      <c r="AD308" s="197">
        <v>1</v>
      </c>
      <c r="AE308" s="197">
        <v>1</v>
      </c>
      <c r="AF308">
        <v>0</v>
      </c>
      <c r="AG308" s="402">
        <v>6</v>
      </c>
    </row>
    <row r="309" spans="1:33" ht="14.45" customHeight="1" x14ac:dyDescent="0.15">
      <c r="A309" s="17">
        <v>300007</v>
      </c>
      <c r="B309" s="17" t="s">
        <v>1544</v>
      </c>
      <c r="C309" s="17" t="s">
        <v>1544</v>
      </c>
      <c r="D309" s="118" t="s">
        <v>1508</v>
      </c>
      <c r="E309" s="118">
        <v>0</v>
      </c>
      <c r="F309" s="118">
        <v>0</v>
      </c>
      <c r="G309" s="118"/>
      <c r="H309" s="118" t="s">
        <v>35</v>
      </c>
      <c r="I309" s="118">
        <v>1</v>
      </c>
      <c r="J309" s="118">
        <v>1</v>
      </c>
      <c r="K309" s="118">
        <v>1</v>
      </c>
      <c r="L309" s="118">
        <v>4</v>
      </c>
      <c r="M309" s="118" t="s">
        <v>70</v>
      </c>
      <c r="N309" s="118" t="s">
        <v>1545</v>
      </c>
      <c r="O309" s="118">
        <v>50</v>
      </c>
      <c r="P309" s="118">
        <v>0.5</v>
      </c>
      <c r="Q309" s="118">
        <v>0</v>
      </c>
      <c r="R309" s="118">
        <v>1</v>
      </c>
      <c r="S309" s="25" t="b">
        <v>1</v>
      </c>
      <c r="T309" s="118">
        <v>45</v>
      </c>
      <c r="U309" s="118">
        <v>675</v>
      </c>
      <c r="V309" s="118">
        <v>900</v>
      </c>
      <c r="W309" s="118">
        <v>0</v>
      </c>
      <c r="X309" s="118">
        <v>7</v>
      </c>
      <c r="Y309" s="118" t="s">
        <v>38</v>
      </c>
      <c r="Z309" s="388" t="s">
        <v>3100</v>
      </c>
      <c r="AA309" s="388" t="s">
        <v>3100</v>
      </c>
      <c r="AB309" s="25" t="s">
        <v>1548</v>
      </c>
      <c r="AC309" s="118">
        <v>200000</v>
      </c>
      <c r="AD309" s="197">
        <v>1</v>
      </c>
      <c r="AE309" s="197">
        <v>1</v>
      </c>
      <c r="AF309">
        <v>0</v>
      </c>
      <c r="AG309" s="402">
        <v>7</v>
      </c>
    </row>
    <row r="310" spans="1:33" ht="14.45" customHeight="1" x14ac:dyDescent="0.15">
      <c r="A310" s="114">
        <v>300107</v>
      </c>
      <c r="B310" s="114" t="s">
        <v>1550</v>
      </c>
      <c r="C310" s="114" t="s">
        <v>1550</v>
      </c>
      <c r="D310" s="119" t="s">
        <v>1508</v>
      </c>
      <c r="E310" s="119">
        <v>0</v>
      </c>
      <c r="F310" s="119">
        <v>0</v>
      </c>
      <c r="G310" s="119"/>
      <c r="H310" s="119" t="s">
        <v>1551</v>
      </c>
      <c r="I310" s="119">
        <v>1</v>
      </c>
      <c r="J310" s="118">
        <v>4</v>
      </c>
      <c r="K310" s="119">
        <v>0</v>
      </c>
      <c r="L310" s="119">
        <v>4</v>
      </c>
      <c r="M310" s="119" t="s">
        <v>52</v>
      </c>
      <c r="N310" s="118" t="s">
        <v>1545</v>
      </c>
      <c r="O310" s="119">
        <v>50</v>
      </c>
      <c r="P310" s="119">
        <v>0.5</v>
      </c>
      <c r="Q310" s="119">
        <v>0</v>
      </c>
      <c r="R310" s="119">
        <v>1</v>
      </c>
      <c r="S310" s="80" t="b">
        <v>1</v>
      </c>
      <c r="T310" s="119">
        <v>45</v>
      </c>
      <c r="U310" s="118">
        <v>675</v>
      </c>
      <c r="V310" s="118">
        <v>900</v>
      </c>
      <c r="W310" s="119">
        <v>0</v>
      </c>
      <c r="X310" s="119">
        <v>7</v>
      </c>
      <c r="Y310" s="119" t="s">
        <v>38</v>
      </c>
      <c r="Z310" s="388" t="s">
        <v>3100</v>
      </c>
      <c r="AA310" s="388" t="s">
        <v>3100</v>
      </c>
      <c r="AB310" s="80" t="s">
        <v>1548</v>
      </c>
      <c r="AC310" s="119">
        <v>200000</v>
      </c>
      <c r="AD310" s="197">
        <v>1</v>
      </c>
      <c r="AE310" s="197">
        <v>1</v>
      </c>
      <c r="AF310">
        <v>0</v>
      </c>
      <c r="AG310" s="403">
        <v>7</v>
      </c>
    </row>
    <row r="311" spans="1:33" ht="14.45" customHeight="1" x14ac:dyDescent="0.15">
      <c r="A311" s="17">
        <v>300008</v>
      </c>
      <c r="B311" t="s">
        <v>1554</v>
      </c>
      <c r="C311" t="s">
        <v>1554</v>
      </c>
      <c r="D311" s="118" t="s">
        <v>1508</v>
      </c>
      <c r="E311" s="118">
        <v>0</v>
      </c>
      <c r="F311" s="118">
        <v>0</v>
      </c>
      <c r="G311" s="118"/>
      <c r="H311" s="118" t="s">
        <v>35</v>
      </c>
      <c r="I311" s="118">
        <v>1</v>
      </c>
      <c r="J311" s="118">
        <v>1</v>
      </c>
      <c r="K311" s="118">
        <v>1</v>
      </c>
      <c r="L311" s="118">
        <v>4</v>
      </c>
      <c r="M311" s="118" t="s">
        <v>70</v>
      </c>
      <c r="N311" s="118" t="s">
        <v>1555</v>
      </c>
      <c r="O311" s="118">
        <v>50</v>
      </c>
      <c r="P311" s="118">
        <v>0.5</v>
      </c>
      <c r="Q311" s="118">
        <v>0</v>
      </c>
      <c r="R311" s="118">
        <v>1</v>
      </c>
      <c r="S311" s="25" t="b">
        <v>1</v>
      </c>
      <c r="T311" s="118">
        <v>52</v>
      </c>
      <c r="U311" s="118">
        <v>780</v>
      </c>
      <c r="V311" s="118">
        <v>1040</v>
      </c>
      <c r="W311" s="118">
        <v>0</v>
      </c>
      <c r="X311" s="118">
        <v>8</v>
      </c>
      <c r="Y311" s="118" t="s">
        <v>38</v>
      </c>
      <c r="Z311" s="388" t="s">
        <v>3101</v>
      </c>
      <c r="AA311" s="388" t="s">
        <v>3101</v>
      </c>
      <c r="AB311" s="25" t="s">
        <v>1558</v>
      </c>
      <c r="AC311" s="118">
        <v>200000</v>
      </c>
      <c r="AD311" s="197">
        <v>1</v>
      </c>
      <c r="AE311" s="197">
        <v>1</v>
      </c>
      <c r="AF311">
        <v>0</v>
      </c>
      <c r="AG311" s="402">
        <v>8</v>
      </c>
    </row>
    <row r="312" spans="1:33" ht="14.45" customHeight="1" x14ac:dyDescent="0.15">
      <c r="A312" s="17">
        <v>300009</v>
      </c>
      <c r="B312" s="17" t="s">
        <v>1560</v>
      </c>
      <c r="C312" s="17" t="s">
        <v>1560</v>
      </c>
      <c r="D312" s="118" t="s">
        <v>1508</v>
      </c>
      <c r="E312" s="118">
        <v>0</v>
      </c>
      <c r="F312" s="118">
        <v>0</v>
      </c>
      <c r="G312" s="118"/>
      <c r="H312" s="118" t="s">
        <v>35</v>
      </c>
      <c r="I312" s="118">
        <v>1</v>
      </c>
      <c r="J312" s="118">
        <v>1</v>
      </c>
      <c r="K312" s="118">
        <v>1</v>
      </c>
      <c r="L312" s="118">
        <v>4</v>
      </c>
      <c r="M312" s="118" t="s">
        <v>70</v>
      </c>
      <c r="N312" s="118" t="s">
        <v>1561</v>
      </c>
      <c r="O312" s="118">
        <v>50</v>
      </c>
      <c r="P312" s="118">
        <v>0.5</v>
      </c>
      <c r="Q312" s="118">
        <v>0</v>
      </c>
      <c r="R312" s="118">
        <v>1</v>
      </c>
      <c r="S312" s="25" t="b">
        <v>1</v>
      </c>
      <c r="T312" s="118">
        <v>58</v>
      </c>
      <c r="U312" s="118">
        <v>870</v>
      </c>
      <c r="V312" s="118">
        <v>1160</v>
      </c>
      <c r="W312" s="118">
        <v>0</v>
      </c>
      <c r="X312" s="118">
        <v>9</v>
      </c>
      <c r="Y312" s="118" t="s">
        <v>38</v>
      </c>
      <c r="Z312" s="388" t="s">
        <v>3102</v>
      </c>
      <c r="AA312" s="388" t="s">
        <v>3102</v>
      </c>
      <c r="AB312" s="25" t="s">
        <v>1564</v>
      </c>
      <c r="AC312" s="118">
        <v>200000</v>
      </c>
      <c r="AD312" s="197">
        <v>1</v>
      </c>
      <c r="AE312" s="197">
        <v>1</v>
      </c>
      <c r="AF312">
        <v>0</v>
      </c>
      <c r="AG312" s="402">
        <v>9</v>
      </c>
    </row>
    <row r="313" spans="1:33" ht="14.45" customHeight="1" x14ac:dyDescent="0.15">
      <c r="A313" s="17">
        <v>300010</v>
      </c>
      <c r="B313" s="17" t="s">
        <v>1566</v>
      </c>
      <c r="C313" s="17" t="s">
        <v>1566</v>
      </c>
      <c r="D313" s="118" t="s">
        <v>1508</v>
      </c>
      <c r="E313" s="118">
        <v>0</v>
      </c>
      <c r="F313" s="118">
        <v>0</v>
      </c>
      <c r="G313" s="118"/>
      <c r="H313" s="118" t="s">
        <v>35</v>
      </c>
      <c r="I313" s="118">
        <v>1</v>
      </c>
      <c r="J313" s="118">
        <v>1</v>
      </c>
      <c r="K313" s="118">
        <v>1</v>
      </c>
      <c r="L313" s="118">
        <v>4</v>
      </c>
      <c r="M313" s="118" t="s">
        <v>70</v>
      </c>
      <c r="N313" s="118" t="s">
        <v>1567</v>
      </c>
      <c r="O313" s="118">
        <v>50</v>
      </c>
      <c r="P313" s="118">
        <v>0.5</v>
      </c>
      <c r="Q313" s="118">
        <v>0</v>
      </c>
      <c r="R313" s="118">
        <v>1</v>
      </c>
      <c r="S313" s="25" t="b">
        <v>1</v>
      </c>
      <c r="T313" s="118">
        <v>65</v>
      </c>
      <c r="U313" s="118">
        <v>975</v>
      </c>
      <c r="V313" s="118">
        <v>1300</v>
      </c>
      <c r="W313" s="118">
        <v>0</v>
      </c>
      <c r="X313" s="118">
        <v>10</v>
      </c>
      <c r="Y313" s="118" t="s">
        <v>38</v>
      </c>
      <c r="Z313" s="388" t="s">
        <v>3103</v>
      </c>
      <c r="AA313" s="388" t="s">
        <v>3103</v>
      </c>
      <c r="AB313" s="25" t="s">
        <v>1570</v>
      </c>
      <c r="AC313" s="118">
        <v>200000</v>
      </c>
      <c r="AD313" s="197">
        <v>1</v>
      </c>
      <c r="AE313" s="197">
        <v>1</v>
      </c>
      <c r="AF313">
        <v>0</v>
      </c>
      <c r="AG313" s="402">
        <v>10</v>
      </c>
    </row>
    <row r="314" spans="1:33" ht="14.45" customHeight="1" x14ac:dyDescent="0.15">
      <c r="A314" s="79">
        <v>300108</v>
      </c>
      <c r="B314" s="360" t="s">
        <v>1572</v>
      </c>
      <c r="C314" s="360" t="s">
        <v>1572</v>
      </c>
      <c r="D314" s="360" t="s">
        <v>1508</v>
      </c>
      <c r="E314" s="79">
        <v>0</v>
      </c>
      <c r="F314" s="360">
        <v>0</v>
      </c>
      <c r="G314" s="79"/>
      <c r="H314" s="119" t="s">
        <v>51</v>
      </c>
      <c r="I314" s="360">
        <v>1</v>
      </c>
      <c r="J314" s="118">
        <v>4</v>
      </c>
      <c r="K314" s="119">
        <v>0</v>
      </c>
      <c r="L314" s="360">
        <v>4</v>
      </c>
      <c r="M314" s="119" t="s">
        <v>52</v>
      </c>
      <c r="N314" s="118" t="s">
        <v>1555</v>
      </c>
      <c r="O314" s="360">
        <v>50</v>
      </c>
      <c r="P314" s="360">
        <v>0.5</v>
      </c>
      <c r="Q314" s="360">
        <v>0</v>
      </c>
      <c r="R314" s="360">
        <v>1</v>
      </c>
      <c r="S314" s="80" t="b">
        <v>1</v>
      </c>
      <c r="T314" s="79">
        <v>52</v>
      </c>
      <c r="U314" s="118">
        <v>780</v>
      </c>
      <c r="V314" s="118">
        <v>1040</v>
      </c>
      <c r="W314" s="79">
        <v>0</v>
      </c>
      <c r="X314" s="79">
        <v>8</v>
      </c>
      <c r="Y314" s="79" t="s">
        <v>38</v>
      </c>
      <c r="Z314" s="388" t="s">
        <v>3101</v>
      </c>
      <c r="AA314" s="388" t="s">
        <v>3101</v>
      </c>
      <c r="AB314" s="25" t="s">
        <v>1558</v>
      </c>
      <c r="AC314" s="79">
        <v>200000</v>
      </c>
      <c r="AD314" s="92">
        <v>1</v>
      </c>
      <c r="AE314" s="92">
        <v>1</v>
      </c>
      <c r="AF314">
        <v>0</v>
      </c>
      <c r="AG314" s="434">
        <v>8</v>
      </c>
    </row>
    <row r="315" spans="1:33" ht="14.45" customHeight="1" x14ac:dyDescent="0.15">
      <c r="A315" s="79">
        <v>300109</v>
      </c>
      <c r="B315" s="360" t="s">
        <v>1575</v>
      </c>
      <c r="C315" s="360" t="s">
        <v>1575</v>
      </c>
      <c r="D315" s="360" t="s">
        <v>1508</v>
      </c>
      <c r="E315" s="79">
        <v>0</v>
      </c>
      <c r="F315" s="360">
        <v>0</v>
      </c>
      <c r="G315" s="79"/>
      <c r="H315" s="119" t="s">
        <v>51</v>
      </c>
      <c r="I315" s="360">
        <v>1</v>
      </c>
      <c r="J315" s="118">
        <v>4</v>
      </c>
      <c r="K315" s="119">
        <v>0</v>
      </c>
      <c r="L315" s="360">
        <v>4</v>
      </c>
      <c r="M315" s="119" t="s">
        <v>52</v>
      </c>
      <c r="N315" s="118" t="s">
        <v>1561</v>
      </c>
      <c r="O315" s="360">
        <v>50</v>
      </c>
      <c r="P315" s="360">
        <v>0.5</v>
      </c>
      <c r="Q315" s="360">
        <v>0</v>
      </c>
      <c r="R315" s="360">
        <v>1</v>
      </c>
      <c r="S315" s="80" t="b">
        <v>1</v>
      </c>
      <c r="T315" s="79">
        <v>58</v>
      </c>
      <c r="U315" s="118">
        <v>870</v>
      </c>
      <c r="V315" s="118">
        <v>1160</v>
      </c>
      <c r="W315" s="79">
        <v>0</v>
      </c>
      <c r="X315" s="79">
        <v>9</v>
      </c>
      <c r="Y315" s="79" t="s">
        <v>38</v>
      </c>
      <c r="Z315" s="388" t="s">
        <v>3102</v>
      </c>
      <c r="AA315" s="388" t="s">
        <v>3102</v>
      </c>
      <c r="AB315" s="25" t="s">
        <v>1564</v>
      </c>
      <c r="AC315" s="79">
        <v>200000</v>
      </c>
      <c r="AD315" s="92">
        <v>1</v>
      </c>
      <c r="AE315" s="92">
        <v>1</v>
      </c>
      <c r="AF315">
        <v>0</v>
      </c>
      <c r="AG315" s="434">
        <v>9</v>
      </c>
    </row>
    <row r="316" spans="1:33" ht="14.45" customHeight="1" x14ac:dyDescent="0.15">
      <c r="A316" s="79">
        <v>300110</v>
      </c>
      <c r="B316" s="360" t="s">
        <v>1578</v>
      </c>
      <c r="C316" s="360" t="s">
        <v>1578</v>
      </c>
      <c r="D316" s="360" t="s">
        <v>1508</v>
      </c>
      <c r="E316" s="79">
        <v>0</v>
      </c>
      <c r="F316" s="360">
        <v>0</v>
      </c>
      <c r="G316" s="79"/>
      <c r="H316" s="119" t="s">
        <v>51</v>
      </c>
      <c r="I316" s="360">
        <v>1</v>
      </c>
      <c r="J316" s="118">
        <v>4</v>
      </c>
      <c r="K316" s="119">
        <v>0</v>
      </c>
      <c r="L316" s="360">
        <v>4</v>
      </c>
      <c r="M316" s="119" t="s">
        <v>52</v>
      </c>
      <c r="N316" s="118" t="s">
        <v>1567</v>
      </c>
      <c r="O316" s="360">
        <v>50</v>
      </c>
      <c r="P316" s="360">
        <v>0.5</v>
      </c>
      <c r="Q316" s="360">
        <v>0</v>
      </c>
      <c r="R316" s="360">
        <v>1</v>
      </c>
      <c r="S316" s="80" t="b">
        <v>1</v>
      </c>
      <c r="T316" s="79">
        <v>65</v>
      </c>
      <c r="U316" s="118">
        <v>975</v>
      </c>
      <c r="V316" s="118">
        <v>1300</v>
      </c>
      <c r="W316" s="79">
        <v>0</v>
      </c>
      <c r="X316" s="79">
        <v>10</v>
      </c>
      <c r="Y316" s="79" t="s">
        <v>38</v>
      </c>
      <c r="Z316" s="388" t="s">
        <v>3103</v>
      </c>
      <c r="AA316" s="388" t="s">
        <v>3103</v>
      </c>
      <c r="AB316" s="25" t="s">
        <v>1570</v>
      </c>
      <c r="AC316" s="79">
        <v>200000</v>
      </c>
      <c r="AD316" s="92">
        <v>1</v>
      </c>
      <c r="AE316" s="92">
        <v>1</v>
      </c>
      <c r="AF316">
        <v>0</v>
      </c>
      <c r="AG316" s="434">
        <v>10</v>
      </c>
    </row>
    <row r="317" spans="1:33" ht="14.45" customHeight="1" x14ac:dyDescent="0.15">
      <c r="A317" s="115">
        <v>300102</v>
      </c>
      <c r="B317" s="121" t="s">
        <v>1581</v>
      </c>
      <c r="C317" s="121" t="s">
        <v>1581</v>
      </c>
      <c r="D317" s="121" t="s">
        <v>1508</v>
      </c>
      <c r="E317" s="115">
        <v>0</v>
      </c>
      <c r="F317" s="121">
        <v>0</v>
      </c>
      <c r="G317" s="115"/>
      <c r="H317" s="121" t="s">
        <v>112</v>
      </c>
      <c r="I317" s="121">
        <v>4</v>
      </c>
      <c r="J317" s="118">
        <v>4</v>
      </c>
      <c r="K317" s="115">
        <v>0</v>
      </c>
      <c r="L317" s="121">
        <v>4</v>
      </c>
      <c r="M317" s="115">
        <v>4</v>
      </c>
      <c r="N317" s="118" t="s">
        <v>1515</v>
      </c>
      <c r="O317" s="121">
        <v>50</v>
      </c>
      <c r="P317" s="121">
        <v>0.5</v>
      </c>
      <c r="Q317" s="121">
        <v>0</v>
      </c>
      <c r="R317" s="121">
        <v>1</v>
      </c>
      <c r="S317" s="397" t="b">
        <v>1</v>
      </c>
      <c r="T317" s="115">
        <v>13</v>
      </c>
      <c r="U317" s="118">
        <v>195</v>
      </c>
      <c r="V317" s="118">
        <v>260</v>
      </c>
      <c r="W317" s="115">
        <v>0</v>
      </c>
      <c r="X317" s="115">
        <v>2</v>
      </c>
      <c r="Y317" s="115" t="s">
        <v>38</v>
      </c>
      <c r="Z317" s="388" t="s">
        <v>3104</v>
      </c>
      <c r="AA317" s="388" t="s">
        <v>3104</v>
      </c>
      <c r="AB317" s="397" t="s">
        <v>1518</v>
      </c>
      <c r="AC317" s="115">
        <v>300000</v>
      </c>
      <c r="AD317" s="197">
        <v>1</v>
      </c>
      <c r="AE317" s="197">
        <v>1</v>
      </c>
      <c r="AF317">
        <v>0</v>
      </c>
      <c r="AG317" s="436">
        <v>2</v>
      </c>
    </row>
    <row r="318" spans="1:33" ht="14.45" customHeight="1" x14ac:dyDescent="0.15">
      <c r="A318" s="115">
        <v>300103</v>
      </c>
      <c r="B318" s="123" t="s">
        <v>1585</v>
      </c>
      <c r="C318" s="123" t="s">
        <v>1585</v>
      </c>
      <c r="D318" s="115" t="s">
        <v>1508</v>
      </c>
      <c r="E318" s="115">
        <v>0</v>
      </c>
      <c r="F318" s="115">
        <v>0</v>
      </c>
      <c r="G318" s="115"/>
      <c r="H318" s="115" t="s">
        <v>112</v>
      </c>
      <c r="I318" s="115">
        <v>5</v>
      </c>
      <c r="J318" s="118">
        <v>5</v>
      </c>
      <c r="K318" s="115">
        <v>0</v>
      </c>
      <c r="L318" s="115">
        <v>4</v>
      </c>
      <c r="M318" s="115">
        <v>5</v>
      </c>
      <c r="N318" s="118" t="s">
        <v>1521</v>
      </c>
      <c r="O318" s="115">
        <v>50</v>
      </c>
      <c r="P318" s="115">
        <v>0.5</v>
      </c>
      <c r="Q318" s="115">
        <v>0</v>
      </c>
      <c r="R318" s="115">
        <v>1</v>
      </c>
      <c r="S318" s="397" t="b">
        <v>1</v>
      </c>
      <c r="T318" s="115">
        <v>19</v>
      </c>
      <c r="U318" s="118">
        <v>285</v>
      </c>
      <c r="V318" s="118">
        <v>380</v>
      </c>
      <c r="W318" s="115">
        <v>0</v>
      </c>
      <c r="X318" s="115">
        <v>3</v>
      </c>
      <c r="Y318" s="115" t="s">
        <v>38</v>
      </c>
      <c r="Z318" s="388" t="s">
        <v>3105</v>
      </c>
      <c r="AA318" s="388" t="s">
        <v>3105</v>
      </c>
      <c r="AB318" s="397" t="s">
        <v>1536</v>
      </c>
      <c r="AC318" s="115">
        <v>200000</v>
      </c>
      <c r="AD318" s="197">
        <v>1</v>
      </c>
      <c r="AE318" s="197">
        <v>1</v>
      </c>
      <c r="AF318">
        <v>0</v>
      </c>
      <c r="AG318" s="436">
        <v>3</v>
      </c>
    </row>
    <row r="319" spans="1:33" ht="14.45" customHeight="1" x14ac:dyDescent="0.15">
      <c r="A319" s="117">
        <v>300104</v>
      </c>
      <c r="B319" s="122" t="s">
        <v>1589</v>
      </c>
      <c r="C319" s="122" t="s">
        <v>1589</v>
      </c>
      <c r="D319" s="117" t="s">
        <v>1508</v>
      </c>
      <c r="E319" s="117">
        <v>0</v>
      </c>
      <c r="F319" s="117">
        <v>0</v>
      </c>
      <c r="G319" s="117"/>
      <c r="H319" s="117"/>
      <c r="I319" s="117">
        <v>5</v>
      </c>
      <c r="J319" s="118">
        <v>5</v>
      </c>
      <c r="K319" s="117">
        <v>0</v>
      </c>
      <c r="L319" s="117">
        <v>4</v>
      </c>
      <c r="M319" s="117">
        <v>5</v>
      </c>
      <c r="N319" s="118" t="s">
        <v>1527</v>
      </c>
      <c r="O319" s="117">
        <v>50</v>
      </c>
      <c r="P319" s="117">
        <v>0.5</v>
      </c>
      <c r="Q319" s="117">
        <v>0</v>
      </c>
      <c r="R319" s="117">
        <v>1</v>
      </c>
      <c r="S319" s="398" t="b">
        <v>1</v>
      </c>
      <c r="T319" s="117">
        <v>26</v>
      </c>
      <c r="U319" s="118">
        <v>390</v>
      </c>
      <c r="V319" s="118">
        <v>520</v>
      </c>
      <c r="W319" s="117">
        <v>0</v>
      </c>
      <c r="X319" s="117">
        <v>4</v>
      </c>
      <c r="Y319" s="117" t="s">
        <v>38</v>
      </c>
      <c r="Z319" s="388" t="s">
        <v>3106</v>
      </c>
      <c r="AA319" s="388" t="s">
        <v>3106</v>
      </c>
      <c r="AB319" s="398" t="s">
        <v>1524</v>
      </c>
      <c r="AC319" s="117">
        <v>200000</v>
      </c>
      <c r="AD319" s="197">
        <v>1</v>
      </c>
      <c r="AE319" s="197">
        <v>1</v>
      </c>
      <c r="AF319">
        <v>0</v>
      </c>
      <c r="AG319" s="437">
        <v>4</v>
      </c>
    </row>
    <row r="320" spans="1:33" ht="14.45" customHeight="1" x14ac:dyDescent="0.15">
      <c r="A320" s="15">
        <v>400001</v>
      </c>
      <c r="B320" s="17" t="s">
        <v>1593</v>
      </c>
      <c r="C320" s="17" t="s">
        <v>1593</v>
      </c>
      <c r="D320" s="15" t="s">
        <v>1594</v>
      </c>
      <c r="E320" s="15">
        <v>0</v>
      </c>
      <c r="F320" s="15">
        <v>0</v>
      </c>
      <c r="G320" s="15"/>
      <c r="H320" s="118" t="s">
        <v>35</v>
      </c>
      <c r="I320" s="15">
        <v>1</v>
      </c>
      <c r="J320" s="118">
        <v>1</v>
      </c>
      <c r="K320" s="15">
        <v>1</v>
      </c>
      <c r="L320" s="15">
        <v>4</v>
      </c>
      <c r="M320" s="15" t="s">
        <v>36</v>
      </c>
      <c r="N320" s="118" t="s">
        <v>1509</v>
      </c>
      <c r="O320" s="15">
        <v>50</v>
      </c>
      <c r="P320" s="15">
        <v>0.5</v>
      </c>
      <c r="Q320" s="15">
        <v>0</v>
      </c>
      <c r="R320" s="15">
        <v>1</v>
      </c>
      <c r="S320" s="25" t="b">
        <v>1</v>
      </c>
      <c r="T320" s="15">
        <v>6</v>
      </c>
      <c r="U320" s="118">
        <v>90</v>
      </c>
      <c r="V320" s="118">
        <v>120</v>
      </c>
      <c r="W320" s="15">
        <v>0</v>
      </c>
      <c r="X320" s="15">
        <v>1</v>
      </c>
      <c r="Y320" s="15" t="s">
        <v>38</v>
      </c>
      <c r="Z320" s="388" t="s">
        <v>3107</v>
      </c>
      <c r="AA320" s="388" t="s">
        <v>3107</v>
      </c>
      <c r="AB320" s="25" t="s">
        <v>1597</v>
      </c>
      <c r="AC320" s="15">
        <v>300000</v>
      </c>
      <c r="AD320" s="197">
        <v>1</v>
      </c>
      <c r="AE320" s="197">
        <v>1</v>
      </c>
      <c r="AF320">
        <v>0</v>
      </c>
      <c r="AG320" s="433">
        <v>1</v>
      </c>
    </row>
    <row r="321" spans="1:33" ht="14.45" customHeight="1" x14ac:dyDescent="0.15">
      <c r="A321" s="15">
        <v>400002</v>
      </c>
      <c r="B321" s="17" t="s">
        <v>1599</v>
      </c>
      <c r="C321" s="17" t="s">
        <v>1599</v>
      </c>
      <c r="D321" s="15" t="s">
        <v>1594</v>
      </c>
      <c r="E321" s="15">
        <v>0</v>
      </c>
      <c r="F321" s="15">
        <v>0</v>
      </c>
      <c r="G321" s="15"/>
      <c r="H321" s="118" t="s">
        <v>35</v>
      </c>
      <c r="I321" s="15">
        <v>1</v>
      </c>
      <c r="J321" s="118">
        <v>1</v>
      </c>
      <c r="K321" s="15">
        <v>1</v>
      </c>
      <c r="L321" s="15">
        <v>4</v>
      </c>
      <c r="M321" s="15" t="s">
        <v>44</v>
      </c>
      <c r="N321" s="118" t="s">
        <v>1515</v>
      </c>
      <c r="O321" s="15">
        <v>50</v>
      </c>
      <c r="P321" s="15">
        <v>0.5</v>
      </c>
      <c r="Q321" s="15">
        <v>0</v>
      </c>
      <c r="R321" s="15">
        <v>1</v>
      </c>
      <c r="S321" s="25" t="b">
        <v>1</v>
      </c>
      <c r="T321" s="15">
        <v>13</v>
      </c>
      <c r="U321" s="118">
        <v>195</v>
      </c>
      <c r="V321" s="118">
        <v>260</v>
      </c>
      <c r="W321" s="15">
        <v>0</v>
      </c>
      <c r="X321" s="15">
        <v>2</v>
      </c>
      <c r="Y321" s="15" t="s">
        <v>38</v>
      </c>
      <c r="Z321" s="388" t="s">
        <v>3095</v>
      </c>
      <c r="AA321" s="388" t="s">
        <v>3095</v>
      </c>
      <c r="AB321" s="25" t="s">
        <v>1601</v>
      </c>
      <c r="AC321" s="15">
        <v>100000</v>
      </c>
      <c r="AD321" s="197">
        <v>1</v>
      </c>
      <c r="AE321" s="197">
        <v>1</v>
      </c>
      <c r="AF321">
        <v>0</v>
      </c>
      <c r="AG321" s="433">
        <v>2</v>
      </c>
    </row>
    <row r="322" spans="1:33" ht="14.45" customHeight="1" x14ac:dyDescent="0.15">
      <c r="A322" s="15">
        <v>400003</v>
      </c>
      <c r="B322" s="17" t="s">
        <v>1603</v>
      </c>
      <c r="C322" s="17" t="s">
        <v>1603</v>
      </c>
      <c r="D322" s="15" t="s">
        <v>1594</v>
      </c>
      <c r="E322" s="15">
        <v>0</v>
      </c>
      <c r="F322" s="15">
        <v>0</v>
      </c>
      <c r="G322" s="15"/>
      <c r="H322" s="118" t="s">
        <v>35</v>
      </c>
      <c r="I322" s="15">
        <v>1</v>
      </c>
      <c r="J322" s="118">
        <v>1</v>
      </c>
      <c r="K322" s="15">
        <v>1</v>
      </c>
      <c r="L322" s="15">
        <v>4</v>
      </c>
      <c r="M322" s="15" t="s">
        <v>56</v>
      </c>
      <c r="N322" s="118" t="s">
        <v>1521</v>
      </c>
      <c r="O322" s="15">
        <v>50</v>
      </c>
      <c r="P322" s="15">
        <v>0.5</v>
      </c>
      <c r="Q322" s="15">
        <v>0</v>
      </c>
      <c r="R322" s="15">
        <v>1</v>
      </c>
      <c r="S322" s="25" t="b">
        <v>1</v>
      </c>
      <c r="T322" s="15">
        <v>19</v>
      </c>
      <c r="U322" s="118">
        <v>285</v>
      </c>
      <c r="V322" s="118">
        <v>380</v>
      </c>
      <c r="W322" s="15">
        <v>0</v>
      </c>
      <c r="X322" s="15">
        <v>3</v>
      </c>
      <c r="Y322" s="15" t="s">
        <v>38</v>
      </c>
      <c r="Z322" s="388" t="s">
        <v>3108</v>
      </c>
      <c r="AA322" s="388" t="s">
        <v>3108</v>
      </c>
      <c r="AB322" s="25" t="s">
        <v>1606</v>
      </c>
      <c r="AC322" s="15">
        <v>100000</v>
      </c>
      <c r="AD322" s="197">
        <v>1</v>
      </c>
      <c r="AE322" s="197">
        <v>1</v>
      </c>
      <c r="AF322">
        <v>0</v>
      </c>
      <c r="AG322" s="433">
        <v>3</v>
      </c>
    </row>
    <row r="323" spans="1:33" ht="14.45" customHeight="1" x14ac:dyDescent="0.15">
      <c r="A323" s="79">
        <v>400503</v>
      </c>
      <c r="B323" s="114" t="s">
        <v>1608</v>
      </c>
      <c r="C323" s="114" t="s">
        <v>1608</v>
      </c>
      <c r="D323" s="79" t="s">
        <v>1594</v>
      </c>
      <c r="E323" s="79">
        <v>0</v>
      </c>
      <c r="F323" s="79">
        <v>0</v>
      </c>
      <c r="G323" s="79"/>
      <c r="H323" s="119" t="s">
        <v>51</v>
      </c>
      <c r="I323" s="79">
        <v>1</v>
      </c>
      <c r="J323" s="118">
        <v>3</v>
      </c>
      <c r="K323" s="119">
        <v>0</v>
      </c>
      <c r="L323" s="79">
        <v>4</v>
      </c>
      <c r="M323" s="119" t="s">
        <v>52</v>
      </c>
      <c r="N323" s="118" t="s">
        <v>1521</v>
      </c>
      <c r="O323" s="79">
        <v>50</v>
      </c>
      <c r="P323" s="79">
        <v>0.5</v>
      </c>
      <c r="Q323" s="79">
        <v>0</v>
      </c>
      <c r="R323" s="79">
        <v>1</v>
      </c>
      <c r="S323" s="80" t="b">
        <v>1</v>
      </c>
      <c r="T323" s="79">
        <v>19</v>
      </c>
      <c r="U323" s="118">
        <v>285</v>
      </c>
      <c r="V323" s="118">
        <v>380</v>
      </c>
      <c r="W323" s="79">
        <v>0</v>
      </c>
      <c r="X323" s="79">
        <v>3</v>
      </c>
      <c r="Y323" s="79" t="s">
        <v>38</v>
      </c>
      <c r="Z323" s="388" t="s">
        <v>3108</v>
      </c>
      <c r="AA323" s="388" t="s">
        <v>3108</v>
      </c>
      <c r="AB323" s="80" t="s">
        <v>1606</v>
      </c>
      <c r="AC323" s="79">
        <v>100000</v>
      </c>
      <c r="AD323" s="92">
        <v>1</v>
      </c>
      <c r="AE323" s="92">
        <v>1</v>
      </c>
      <c r="AF323">
        <v>0</v>
      </c>
      <c r="AG323" s="434">
        <v>3</v>
      </c>
    </row>
    <row r="324" spans="1:33" ht="14.45" customHeight="1" x14ac:dyDescent="0.15">
      <c r="A324" s="15">
        <v>400004</v>
      </c>
      <c r="B324" s="71" t="s">
        <v>1611</v>
      </c>
      <c r="C324" s="71" t="s">
        <v>1611</v>
      </c>
      <c r="D324" s="15" t="s">
        <v>1594</v>
      </c>
      <c r="E324" s="15">
        <v>0</v>
      </c>
      <c r="F324" s="15">
        <v>0</v>
      </c>
      <c r="G324" s="15"/>
      <c r="H324" s="118" t="s">
        <v>35</v>
      </c>
      <c r="I324" s="15">
        <v>1</v>
      </c>
      <c r="J324" s="118">
        <v>1</v>
      </c>
      <c r="K324" s="15">
        <v>1</v>
      </c>
      <c r="L324" s="15">
        <v>4</v>
      </c>
      <c r="M324" s="15" t="s">
        <v>63</v>
      </c>
      <c r="N324" s="118" t="s">
        <v>1527</v>
      </c>
      <c r="O324" s="15">
        <v>50</v>
      </c>
      <c r="P324" s="15">
        <v>0.5</v>
      </c>
      <c r="Q324" s="15">
        <v>0</v>
      </c>
      <c r="R324" s="15">
        <v>1</v>
      </c>
      <c r="S324" s="25" t="b">
        <v>1</v>
      </c>
      <c r="T324" s="15">
        <v>26</v>
      </c>
      <c r="U324" s="118">
        <v>390</v>
      </c>
      <c r="V324" s="118">
        <v>520</v>
      </c>
      <c r="W324" s="15">
        <v>0</v>
      </c>
      <c r="X324" s="15">
        <v>4</v>
      </c>
      <c r="Y324" s="15" t="s">
        <v>38</v>
      </c>
      <c r="Z324" s="388" t="s">
        <v>3109</v>
      </c>
      <c r="AA324" s="388" t="s">
        <v>3109</v>
      </c>
      <c r="AB324" s="25" t="s">
        <v>1614</v>
      </c>
      <c r="AC324" s="15">
        <v>100000</v>
      </c>
      <c r="AD324" s="197">
        <v>1</v>
      </c>
      <c r="AE324" s="197">
        <v>1</v>
      </c>
      <c r="AF324">
        <v>0</v>
      </c>
      <c r="AG324" s="433">
        <v>4</v>
      </c>
    </row>
    <row r="325" spans="1:33" ht="14.45" customHeight="1" x14ac:dyDescent="0.15">
      <c r="A325" s="17">
        <v>400005</v>
      </c>
      <c r="B325" s="17" t="s">
        <v>1616</v>
      </c>
      <c r="C325" s="17" t="s">
        <v>1616</v>
      </c>
      <c r="D325" s="118" t="s">
        <v>1594</v>
      </c>
      <c r="E325" s="118">
        <v>0</v>
      </c>
      <c r="F325" s="118">
        <v>0</v>
      </c>
      <c r="G325" s="118"/>
      <c r="H325" s="118" t="s">
        <v>35</v>
      </c>
      <c r="I325" s="118">
        <v>1</v>
      </c>
      <c r="J325" s="118">
        <v>1</v>
      </c>
      <c r="K325" s="118">
        <v>1</v>
      </c>
      <c r="L325" s="118">
        <v>4</v>
      </c>
      <c r="M325" s="118" t="s">
        <v>70</v>
      </c>
      <c r="N325" s="118" t="s">
        <v>1533</v>
      </c>
      <c r="O325" s="118">
        <v>50</v>
      </c>
      <c r="P325" s="118">
        <v>0.5</v>
      </c>
      <c r="Q325" s="118">
        <v>0</v>
      </c>
      <c r="R325" s="118">
        <v>1</v>
      </c>
      <c r="S325" s="25" t="b">
        <v>1</v>
      </c>
      <c r="T325" s="118">
        <v>32</v>
      </c>
      <c r="U325" s="118">
        <v>480</v>
      </c>
      <c r="V325" s="118">
        <v>640</v>
      </c>
      <c r="W325" s="118">
        <v>0</v>
      </c>
      <c r="X325" s="118">
        <v>5</v>
      </c>
      <c r="Y325" s="118" t="s">
        <v>38</v>
      </c>
      <c r="Z325" s="388" t="s">
        <v>3110</v>
      </c>
      <c r="AA325" s="388" t="s">
        <v>3110</v>
      </c>
      <c r="AB325" s="25" t="s">
        <v>1619</v>
      </c>
      <c r="AC325" s="118">
        <v>100000</v>
      </c>
      <c r="AD325" s="197">
        <v>1</v>
      </c>
      <c r="AE325" s="197">
        <v>1</v>
      </c>
      <c r="AF325">
        <v>0</v>
      </c>
      <c r="AG325" s="402">
        <v>5</v>
      </c>
    </row>
    <row r="326" spans="1:33" ht="14.45" customHeight="1" x14ac:dyDescent="0.15">
      <c r="A326" s="17">
        <v>400006</v>
      </c>
      <c r="B326" s="17" t="s">
        <v>1621</v>
      </c>
      <c r="C326" s="17" t="s">
        <v>1621</v>
      </c>
      <c r="D326" s="118" t="s">
        <v>1594</v>
      </c>
      <c r="E326" s="118">
        <v>0</v>
      </c>
      <c r="F326" s="118">
        <v>0</v>
      </c>
      <c r="G326" s="118"/>
      <c r="H326" s="118" t="s">
        <v>35</v>
      </c>
      <c r="I326" s="118">
        <v>1</v>
      </c>
      <c r="J326" s="118">
        <v>1</v>
      </c>
      <c r="K326" s="118">
        <v>1</v>
      </c>
      <c r="L326" s="118">
        <v>4</v>
      </c>
      <c r="M326" s="118" t="s">
        <v>70</v>
      </c>
      <c r="N326" s="118" t="s">
        <v>1539</v>
      </c>
      <c r="O326" s="118">
        <v>50</v>
      </c>
      <c r="P326" s="118">
        <v>0.5</v>
      </c>
      <c r="Q326" s="118">
        <v>0</v>
      </c>
      <c r="R326" s="118">
        <v>1</v>
      </c>
      <c r="S326" s="25" t="b">
        <v>1</v>
      </c>
      <c r="T326" s="118">
        <v>39</v>
      </c>
      <c r="U326" s="118">
        <v>585</v>
      </c>
      <c r="V326" s="118">
        <v>780</v>
      </c>
      <c r="W326" s="118">
        <v>0</v>
      </c>
      <c r="X326" s="118">
        <v>6</v>
      </c>
      <c r="Y326" s="118" t="s">
        <v>38</v>
      </c>
      <c r="Z326" s="388" t="s">
        <v>3111</v>
      </c>
      <c r="AA326" s="388" t="s">
        <v>3111</v>
      </c>
      <c r="AB326" s="25" t="s">
        <v>1624</v>
      </c>
      <c r="AC326" s="118">
        <v>100000</v>
      </c>
      <c r="AD326" s="197">
        <v>1</v>
      </c>
      <c r="AE326" s="197">
        <v>1</v>
      </c>
      <c r="AF326">
        <v>0</v>
      </c>
      <c r="AG326" s="402">
        <v>6</v>
      </c>
    </row>
    <row r="327" spans="1:33" ht="14.45" customHeight="1" x14ac:dyDescent="0.15">
      <c r="A327" s="17">
        <v>400007</v>
      </c>
      <c r="B327" s="17" t="s">
        <v>1626</v>
      </c>
      <c r="C327" s="17" t="s">
        <v>1626</v>
      </c>
      <c r="D327" s="118" t="s">
        <v>1594</v>
      </c>
      <c r="E327" s="118">
        <v>0</v>
      </c>
      <c r="F327" s="118">
        <v>0</v>
      </c>
      <c r="G327" s="118"/>
      <c r="H327" s="118" t="s">
        <v>35</v>
      </c>
      <c r="I327" s="118">
        <v>1</v>
      </c>
      <c r="J327" s="118">
        <v>1</v>
      </c>
      <c r="K327" s="118">
        <v>1</v>
      </c>
      <c r="L327" s="118">
        <v>4</v>
      </c>
      <c r="M327" s="118" t="s">
        <v>70</v>
      </c>
      <c r="N327" s="118" t="s">
        <v>1545</v>
      </c>
      <c r="O327" s="118">
        <v>50</v>
      </c>
      <c r="P327" s="118">
        <v>0.5</v>
      </c>
      <c r="Q327" s="118">
        <v>0</v>
      </c>
      <c r="R327" s="118">
        <v>1</v>
      </c>
      <c r="S327" s="25" t="b">
        <v>1</v>
      </c>
      <c r="T327" s="118">
        <v>45</v>
      </c>
      <c r="U327" s="118">
        <v>675</v>
      </c>
      <c r="V327" s="118">
        <v>900</v>
      </c>
      <c r="W327" s="118">
        <v>0</v>
      </c>
      <c r="X327" s="118">
        <v>7</v>
      </c>
      <c r="Y327" s="118" t="s">
        <v>38</v>
      </c>
      <c r="Z327" s="388" t="s">
        <v>3112</v>
      </c>
      <c r="AA327" s="388" t="s">
        <v>3112</v>
      </c>
      <c r="AB327" s="25" t="s">
        <v>1629</v>
      </c>
      <c r="AC327" s="118">
        <v>100000</v>
      </c>
      <c r="AD327" s="197">
        <v>1</v>
      </c>
      <c r="AE327" s="197">
        <v>1</v>
      </c>
      <c r="AF327">
        <v>0</v>
      </c>
      <c r="AG327" s="402">
        <v>7</v>
      </c>
    </row>
    <row r="328" spans="1:33" ht="14.45" customHeight="1" x14ac:dyDescent="0.15">
      <c r="A328" s="114">
        <v>400107</v>
      </c>
      <c r="B328" s="114" t="s">
        <v>1631</v>
      </c>
      <c r="C328" s="114" t="s">
        <v>1631</v>
      </c>
      <c r="D328" s="119" t="s">
        <v>1594</v>
      </c>
      <c r="E328" s="119">
        <v>0</v>
      </c>
      <c r="F328" s="119">
        <v>0</v>
      </c>
      <c r="G328" s="119"/>
      <c r="H328" s="119" t="s">
        <v>51</v>
      </c>
      <c r="I328" s="119">
        <v>1</v>
      </c>
      <c r="J328" s="118">
        <v>4</v>
      </c>
      <c r="K328" s="119">
        <v>0</v>
      </c>
      <c r="L328" s="119">
        <v>4</v>
      </c>
      <c r="M328" s="119" t="s">
        <v>52</v>
      </c>
      <c r="N328" s="118" t="s">
        <v>1545</v>
      </c>
      <c r="O328" s="119">
        <v>50</v>
      </c>
      <c r="P328" s="119">
        <v>0.5</v>
      </c>
      <c r="Q328" s="119">
        <v>0</v>
      </c>
      <c r="R328" s="119">
        <v>1</v>
      </c>
      <c r="S328" s="80" t="b">
        <v>1</v>
      </c>
      <c r="T328" s="119">
        <v>45</v>
      </c>
      <c r="U328" s="118">
        <v>675</v>
      </c>
      <c r="V328" s="118">
        <v>900</v>
      </c>
      <c r="W328" s="119">
        <v>0</v>
      </c>
      <c r="X328" s="119">
        <v>7</v>
      </c>
      <c r="Y328" s="119" t="s">
        <v>38</v>
      </c>
      <c r="Z328" s="388" t="s">
        <v>3112</v>
      </c>
      <c r="AA328" s="388" t="s">
        <v>3112</v>
      </c>
      <c r="AB328" s="80" t="s">
        <v>1629</v>
      </c>
      <c r="AC328" s="119">
        <v>100000</v>
      </c>
      <c r="AD328" s="197">
        <v>1</v>
      </c>
      <c r="AE328" s="197">
        <v>1</v>
      </c>
      <c r="AF328">
        <v>0</v>
      </c>
      <c r="AG328" s="403">
        <v>7</v>
      </c>
    </row>
    <row r="329" spans="1:33" ht="14.45" customHeight="1" x14ac:dyDescent="0.15">
      <c r="A329" s="17">
        <v>400008</v>
      </c>
      <c r="B329" s="17" t="s">
        <v>1634</v>
      </c>
      <c r="C329" s="17" t="s">
        <v>1634</v>
      </c>
      <c r="D329" s="118" t="s">
        <v>1594</v>
      </c>
      <c r="E329" s="118">
        <v>0</v>
      </c>
      <c r="F329" s="118">
        <v>0</v>
      </c>
      <c r="G329" s="118"/>
      <c r="H329" s="118" t="s">
        <v>35</v>
      </c>
      <c r="I329" s="118">
        <v>1</v>
      </c>
      <c r="J329" s="118">
        <v>1</v>
      </c>
      <c r="K329" s="118">
        <v>1</v>
      </c>
      <c r="L329" s="118">
        <v>4</v>
      </c>
      <c r="M329" s="118" t="s">
        <v>70</v>
      </c>
      <c r="N329" s="118" t="s">
        <v>1555</v>
      </c>
      <c r="O329" s="118">
        <v>50</v>
      </c>
      <c r="P329" s="118">
        <v>0.5</v>
      </c>
      <c r="Q329" s="118">
        <v>0</v>
      </c>
      <c r="R329" s="118">
        <v>1</v>
      </c>
      <c r="S329" s="25" t="b">
        <v>1</v>
      </c>
      <c r="T329" s="118">
        <v>52</v>
      </c>
      <c r="U329" s="118">
        <v>780</v>
      </c>
      <c r="V329" s="118">
        <v>1040</v>
      </c>
      <c r="W329" s="118">
        <v>0</v>
      </c>
      <c r="X329" s="118">
        <v>8</v>
      </c>
      <c r="Y329" s="118" t="s">
        <v>38</v>
      </c>
      <c r="Z329" s="388" t="s">
        <v>3113</v>
      </c>
      <c r="AA329" s="388" t="s">
        <v>3113</v>
      </c>
      <c r="AB329" s="118" t="s">
        <v>1637</v>
      </c>
      <c r="AC329" s="118">
        <v>100000</v>
      </c>
      <c r="AD329" s="197">
        <v>1</v>
      </c>
      <c r="AE329" s="197">
        <v>1</v>
      </c>
      <c r="AF329">
        <v>0</v>
      </c>
      <c r="AG329" s="402">
        <v>8</v>
      </c>
    </row>
    <row r="330" spans="1:33" ht="14.45" customHeight="1" x14ac:dyDescent="0.15">
      <c r="A330" s="17">
        <v>400009</v>
      </c>
      <c r="B330" s="17" t="s">
        <v>1639</v>
      </c>
      <c r="C330" s="17" t="s">
        <v>1639</v>
      </c>
      <c r="D330" s="118" t="s">
        <v>1594</v>
      </c>
      <c r="E330" s="118">
        <v>0</v>
      </c>
      <c r="F330" s="118">
        <v>0</v>
      </c>
      <c r="G330" s="118"/>
      <c r="H330" s="118" t="s">
        <v>35</v>
      </c>
      <c r="I330" s="118">
        <v>1</v>
      </c>
      <c r="J330" s="118">
        <v>1</v>
      </c>
      <c r="K330" s="118">
        <v>1</v>
      </c>
      <c r="L330" s="118">
        <v>4</v>
      </c>
      <c r="M330" s="118" t="s">
        <v>70</v>
      </c>
      <c r="N330" s="118" t="s">
        <v>1561</v>
      </c>
      <c r="O330" s="118">
        <v>50</v>
      </c>
      <c r="P330" s="118">
        <v>0.5</v>
      </c>
      <c r="Q330" s="118">
        <v>0</v>
      </c>
      <c r="R330" s="118">
        <v>1</v>
      </c>
      <c r="S330" s="25" t="b">
        <v>1</v>
      </c>
      <c r="T330" s="118">
        <v>58</v>
      </c>
      <c r="U330" s="118">
        <v>870</v>
      </c>
      <c r="V330" s="118">
        <v>1160</v>
      </c>
      <c r="W330" s="118">
        <v>0</v>
      </c>
      <c r="X330" s="118">
        <v>9</v>
      </c>
      <c r="Y330" s="118" t="s">
        <v>38</v>
      </c>
      <c r="Z330" s="388" t="s">
        <v>3114</v>
      </c>
      <c r="AA330" s="388" t="s">
        <v>3114</v>
      </c>
      <c r="AB330" s="118" t="s">
        <v>1642</v>
      </c>
      <c r="AC330" s="118">
        <v>100000</v>
      </c>
      <c r="AD330" s="197">
        <v>1</v>
      </c>
      <c r="AE330" s="197">
        <v>1</v>
      </c>
      <c r="AF330">
        <v>0</v>
      </c>
      <c r="AG330" s="402">
        <v>9</v>
      </c>
    </row>
    <row r="331" spans="1:33" ht="14.45" customHeight="1" x14ac:dyDescent="0.15">
      <c r="A331" s="17">
        <v>400010</v>
      </c>
      <c r="B331" s="17" t="s">
        <v>1644</v>
      </c>
      <c r="C331" s="17" t="s">
        <v>1644</v>
      </c>
      <c r="D331" s="118" t="s">
        <v>1594</v>
      </c>
      <c r="E331" s="118">
        <v>0</v>
      </c>
      <c r="F331" s="118">
        <v>0</v>
      </c>
      <c r="G331" s="118"/>
      <c r="H331" s="118" t="s">
        <v>35</v>
      </c>
      <c r="I331" s="118">
        <v>1</v>
      </c>
      <c r="J331" s="118">
        <v>1</v>
      </c>
      <c r="K331" s="118">
        <v>1</v>
      </c>
      <c r="L331" s="118">
        <v>4</v>
      </c>
      <c r="M331" s="118" t="s">
        <v>70</v>
      </c>
      <c r="N331" s="118" t="s">
        <v>1567</v>
      </c>
      <c r="O331" s="118">
        <v>50</v>
      </c>
      <c r="P331" s="118">
        <v>0.5</v>
      </c>
      <c r="Q331" s="118">
        <v>0</v>
      </c>
      <c r="R331" s="118">
        <v>1</v>
      </c>
      <c r="S331" s="25" t="b">
        <v>1</v>
      </c>
      <c r="T331" s="118">
        <v>65</v>
      </c>
      <c r="U331" s="118">
        <v>975</v>
      </c>
      <c r="V331" s="118">
        <v>1300</v>
      </c>
      <c r="W331" s="118">
        <v>0</v>
      </c>
      <c r="X331" s="118">
        <v>10</v>
      </c>
      <c r="Y331" s="118" t="s">
        <v>38</v>
      </c>
      <c r="Z331" s="388" t="s">
        <v>3115</v>
      </c>
      <c r="AA331" s="388" t="s">
        <v>3115</v>
      </c>
      <c r="AB331" s="118" t="s">
        <v>1647</v>
      </c>
      <c r="AC331" s="118">
        <v>100000</v>
      </c>
      <c r="AD331" s="197">
        <v>1</v>
      </c>
      <c r="AE331" s="197">
        <v>1</v>
      </c>
      <c r="AF331">
        <v>0</v>
      </c>
      <c r="AG331" s="402">
        <v>10</v>
      </c>
    </row>
    <row r="332" spans="1:33" ht="14.45" customHeight="1" x14ac:dyDescent="0.15">
      <c r="A332" s="79">
        <v>400108</v>
      </c>
      <c r="B332" s="360" t="s">
        <v>1649</v>
      </c>
      <c r="C332" s="360" t="s">
        <v>1649</v>
      </c>
      <c r="D332" s="360" t="s">
        <v>1594</v>
      </c>
      <c r="E332" s="79">
        <v>0</v>
      </c>
      <c r="F332" s="360">
        <v>0</v>
      </c>
      <c r="G332" s="79"/>
      <c r="H332" s="119" t="s">
        <v>51</v>
      </c>
      <c r="I332" s="360">
        <v>1</v>
      </c>
      <c r="J332" s="118">
        <v>4</v>
      </c>
      <c r="K332" s="119">
        <v>0</v>
      </c>
      <c r="L332" s="360">
        <v>4</v>
      </c>
      <c r="M332" s="119" t="s">
        <v>52</v>
      </c>
      <c r="N332" s="118" t="s">
        <v>1555</v>
      </c>
      <c r="O332" s="360">
        <v>50</v>
      </c>
      <c r="P332" s="360">
        <v>0.5</v>
      </c>
      <c r="Q332" s="360">
        <v>0</v>
      </c>
      <c r="R332" s="360">
        <v>1</v>
      </c>
      <c r="S332" s="80" t="b">
        <v>1</v>
      </c>
      <c r="T332" s="79">
        <v>52</v>
      </c>
      <c r="U332" s="118">
        <v>780</v>
      </c>
      <c r="V332" s="118">
        <v>1040</v>
      </c>
      <c r="W332" s="79">
        <v>0</v>
      </c>
      <c r="X332" s="79">
        <v>8</v>
      </c>
      <c r="Y332" s="79" t="s">
        <v>38</v>
      </c>
      <c r="Z332" s="388" t="s">
        <v>3113</v>
      </c>
      <c r="AA332" s="388" t="s">
        <v>3113</v>
      </c>
      <c r="AB332" s="80" t="s">
        <v>1637</v>
      </c>
      <c r="AC332" s="79">
        <v>100000</v>
      </c>
      <c r="AD332" s="92">
        <v>1</v>
      </c>
      <c r="AE332" s="92">
        <v>1</v>
      </c>
      <c r="AF332">
        <v>0</v>
      </c>
      <c r="AG332" s="434">
        <v>8</v>
      </c>
    </row>
    <row r="333" spans="1:33" ht="14.45" customHeight="1" x14ac:dyDescent="0.15">
      <c r="A333" s="79">
        <v>400109</v>
      </c>
      <c r="B333" s="360" t="s">
        <v>1652</v>
      </c>
      <c r="C333" s="360" t="s">
        <v>1652</v>
      </c>
      <c r="D333" s="360" t="s">
        <v>1594</v>
      </c>
      <c r="E333" s="79">
        <v>0</v>
      </c>
      <c r="F333" s="360">
        <v>0</v>
      </c>
      <c r="G333" s="79"/>
      <c r="H333" s="119" t="s">
        <v>51</v>
      </c>
      <c r="I333" s="360">
        <v>1</v>
      </c>
      <c r="J333" s="118">
        <v>4</v>
      </c>
      <c r="K333" s="119">
        <v>0</v>
      </c>
      <c r="L333" s="360">
        <v>4</v>
      </c>
      <c r="M333" s="119" t="s">
        <v>52</v>
      </c>
      <c r="N333" s="118" t="s">
        <v>1561</v>
      </c>
      <c r="O333" s="360">
        <v>50</v>
      </c>
      <c r="P333" s="360">
        <v>0.5</v>
      </c>
      <c r="Q333" s="360">
        <v>0</v>
      </c>
      <c r="R333" s="360">
        <v>1</v>
      </c>
      <c r="S333" s="80" t="b">
        <v>1</v>
      </c>
      <c r="T333" s="79">
        <v>58</v>
      </c>
      <c r="U333" s="118">
        <v>870</v>
      </c>
      <c r="V333" s="118">
        <v>1160</v>
      </c>
      <c r="W333" s="79">
        <v>0</v>
      </c>
      <c r="X333" s="79">
        <v>9</v>
      </c>
      <c r="Y333" s="79" t="s">
        <v>38</v>
      </c>
      <c r="Z333" s="388" t="s">
        <v>3114</v>
      </c>
      <c r="AA333" s="388" t="s">
        <v>3114</v>
      </c>
      <c r="AB333" s="80" t="s">
        <v>1642</v>
      </c>
      <c r="AC333" s="79">
        <v>100000</v>
      </c>
      <c r="AD333" s="92">
        <v>1</v>
      </c>
      <c r="AE333" s="92">
        <v>1</v>
      </c>
      <c r="AF333">
        <v>0</v>
      </c>
      <c r="AG333" s="434">
        <v>9</v>
      </c>
    </row>
    <row r="334" spans="1:33" ht="14.45" customHeight="1" x14ac:dyDescent="0.15">
      <c r="A334" s="79">
        <v>400110</v>
      </c>
      <c r="B334" s="360" t="s">
        <v>1655</v>
      </c>
      <c r="C334" s="360" t="s">
        <v>1655</v>
      </c>
      <c r="D334" s="360" t="s">
        <v>1594</v>
      </c>
      <c r="E334" s="79">
        <v>0</v>
      </c>
      <c r="F334" s="360">
        <v>0</v>
      </c>
      <c r="G334" s="79"/>
      <c r="H334" s="119" t="s">
        <v>51</v>
      </c>
      <c r="I334" s="360">
        <v>1</v>
      </c>
      <c r="J334" s="118">
        <v>4</v>
      </c>
      <c r="K334" s="119">
        <v>0</v>
      </c>
      <c r="L334" s="360">
        <v>4</v>
      </c>
      <c r="M334" s="119" t="s">
        <v>52</v>
      </c>
      <c r="N334" s="118" t="s">
        <v>1567</v>
      </c>
      <c r="O334" s="360">
        <v>50</v>
      </c>
      <c r="P334" s="360">
        <v>0.5</v>
      </c>
      <c r="Q334" s="360">
        <v>0</v>
      </c>
      <c r="R334" s="360">
        <v>1</v>
      </c>
      <c r="S334" s="80" t="b">
        <v>1</v>
      </c>
      <c r="T334" s="79">
        <v>65</v>
      </c>
      <c r="U334" s="118">
        <v>975</v>
      </c>
      <c r="V334" s="118">
        <v>1300</v>
      </c>
      <c r="W334" s="79">
        <v>0</v>
      </c>
      <c r="X334" s="79">
        <v>10</v>
      </c>
      <c r="Y334" s="79" t="s">
        <v>38</v>
      </c>
      <c r="Z334" s="388" t="s">
        <v>3115</v>
      </c>
      <c r="AA334" s="388" t="s">
        <v>3115</v>
      </c>
      <c r="AB334" s="80" t="s">
        <v>1647</v>
      </c>
      <c r="AC334" s="79">
        <v>100000</v>
      </c>
      <c r="AD334" s="92">
        <v>1</v>
      </c>
      <c r="AE334" s="92">
        <v>1</v>
      </c>
      <c r="AF334">
        <v>0</v>
      </c>
      <c r="AG334" s="434">
        <v>10</v>
      </c>
    </row>
    <row r="335" spans="1:33" ht="14.45" customHeight="1" x14ac:dyDescent="0.15">
      <c r="A335" s="115">
        <v>400102</v>
      </c>
      <c r="B335" s="121" t="s">
        <v>1658</v>
      </c>
      <c r="C335" s="121" t="s">
        <v>1658</v>
      </c>
      <c r="D335" s="121" t="s">
        <v>1594</v>
      </c>
      <c r="E335" s="115">
        <v>0</v>
      </c>
      <c r="F335" s="121">
        <v>0</v>
      </c>
      <c r="G335" s="115"/>
      <c r="H335" s="121" t="s">
        <v>112</v>
      </c>
      <c r="I335" s="121">
        <v>4</v>
      </c>
      <c r="J335" s="118">
        <v>4</v>
      </c>
      <c r="K335" s="115">
        <v>0</v>
      </c>
      <c r="L335" s="121">
        <v>4</v>
      </c>
      <c r="M335" s="115">
        <v>4</v>
      </c>
      <c r="N335" s="118" t="s">
        <v>1515</v>
      </c>
      <c r="O335" s="121">
        <v>50</v>
      </c>
      <c r="P335" s="121">
        <v>0.5</v>
      </c>
      <c r="Q335" s="121">
        <v>0</v>
      </c>
      <c r="R335" s="121">
        <v>1</v>
      </c>
      <c r="S335" s="397" t="b">
        <v>1</v>
      </c>
      <c r="T335" s="115">
        <v>13</v>
      </c>
      <c r="U335" s="118">
        <v>195</v>
      </c>
      <c r="V335" s="118">
        <v>260</v>
      </c>
      <c r="W335" s="115">
        <v>0</v>
      </c>
      <c r="X335" s="115">
        <v>2</v>
      </c>
      <c r="Y335" s="115" t="s">
        <v>38</v>
      </c>
      <c r="Z335" s="388" t="s">
        <v>3116</v>
      </c>
      <c r="AA335" s="388" t="s">
        <v>3116</v>
      </c>
      <c r="AB335" s="397" t="s">
        <v>1661</v>
      </c>
      <c r="AC335" s="115">
        <v>300000</v>
      </c>
      <c r="AD335" s="197">
        <v>1</v>
      </c>
      <c r="AE335" s="197">
        <v>1</v>
      </c>
      <c r="AF335">
        <v>0</v>
      </c>
      <c r="AG335" s="436">
        <v>2</v>
      </c>
    </row>
    <row r="336" spans="1:33" ht="14.45" customHeight="1" x14ac:dyDescent="0.15">
      <c r="A336" s="117">
        <v>400103</v>
      </c>
      <c r="B336" s="124" t="s">
        <v>1663</v>
      </c>
      <c r="C336" s="124" t="s">
        <v>1663</v>
      </c>
      <c r="D336" s="117" t="s">
        <v>1594</v>
      </c>
      <c r="E336" s="117">
        <v>0</v>
      </c>
      <c r="F336" s="117">
        <v>0</v>
      </c>
      <c r="G336" s="117"/>
      <c r="H336" s="117"/>
      <c r="I336" s="117">
        <v>5</v>
      </c>
      <c r="J336" s="118">
        <v>5</v>
      </c>
      <c r="K336" s="117">
        <v>0</v>
      </c>
      <c r="L336" s="117">
        <v>4</v>
      </c>
      <c r="M336" s="117">
        <v>5</v>
      </c>
      <c r="N336" s="118" t="s">
        <v>1521</v>
      </c>
      <c r="O336" s="117">
        <v>50</v>
      </c>
      <c r="P336" s="117">
        <v>0.5</v>
      </c>
      <c r="Q336" s="117">
        <v>0</v>
      </c>
      <c r="R336" s="117">
        <v>1</v>
      </c>
      <c r="S336" s="398" t="b">
        <v>1</v>
      </c>
      <c r="T336" s="117">
        <v>19</v>
      </c>
      <c r="U336" s="118">
        <v>285</v>
      </c>
      <c r="V336" s="118">
        <v>380</v>
      </c>
      <c r="W336" s="117">
        <v>0</v>
      </c>
      <c r="X336" s="117">
        <v>3</v>
      </c>
      <c r="Y336" s="117" t="s">
        <v>38</v>
      </c>
      <c r="Z336" s="388" t="s">
        <v>3117</v>
      </c>
      <c r="AA336" s="388" t="s">
        <v>3117</v>
      </c>
      <c r="AB336" s="398" t="s">
        <v>1619</v>
      </c>
      <c r="AC336" s="117">
        <v>300000</v>
      </c>
      <c r="AD336" s="197">
        <v>1</v>
      </c>
      <c r="AE336" s="197">
        <v>1</v>
      </c>
      <c r="AF336">
        <v>0</v>
      </c>
      <c r="AG336" s="437">
        <v>3</v>
      </c>
    </row>
    <row r="337" spans="1:33" ht="14.45" customHeight="1" x14ac:dyDescent="0.15">
      <c r="A337" s="117">
        <v>400104</v>
      </c>
      <c r="B337" s="125" t="s">
        <v>1667</v>
      </c>
      <c r="C337" s="125" t="s">
        <v>1667</v>
      </c>
      <c r="D337" s="117" t="s">
        <v>1594</v>
      </c>
      <c r="E337" s="117">
        <v>0</v>
      </c>
      <c r="F337" s="117">
        <v>0</v>
      </c>
      <c r="G337" s="117"/>
      <c r="H337" s="117"/>
      <c r="I337" s="117">
        <v>5</v>
      </c>
      <c r="J337" s="118">
        <v>5</v>
      </c>
      <c r="K337" s="117">
        <v>0</v>
      </c>
      <c r="L337" s="117">
        <v>4</v>
      </c>
      <c r="M337" s="117">
        <v>5</v>
      </c>
      <c r="N337" s="118" t="s">
        <v>1527</v>
      </c>
      <c r="O337" s="117">
        <v>50</v>
      </c>
      <c r="P337" s="117">
        <v>0.5</v>
      </c>
      <c r="Q337" s="117">
        <v>0</v>
      </c>
      <c r="R337" s="117">
        <v>1</v>
      </c>
      <c r="S337" s="398" t="b">
        <v>1</v>
      </c>
      <c r="T337" s="117">
        <v>26</v>
      </c>
      <c r="U337" s="118">
        <v>390</v>
      </c>
      <c r="V337" s="118">
        <v>520</v>
      </c>
      <c r="W337" s="117">
        <v>0</v>
      </c>
      <c r="X337" s="117">
        <v>4</v>
      </c>
      <c r="Y337" s="117" t="s">
        <v>38</v>
      </c>
      <c r="Z337" s="388" t="s">
        <v>3118</v>
      </c>
      <c r="AA337" s="388" t="s">
        <v>3118</v>
      </c>
      <c r="AB337" s="398" t="s">
        <v>1606</v>
      </c>
      <c r="AC337" s="117">
        <v>100000</v>
      </c>
      <c r="AD337" s="197">
        <v>1</v>
      </c>
      <c r="AE337" s="197">
        <v>1</v>
      </c>
      <c r="AF337">
        <v>0</v>
      </c>
      <c r="AG337" s="437">
        <v>4</v>
      </c>
    </row>
    <row r="338" spans="1:33" ht="14.45" customHeight="1" x14ac:dyDescent="0.15">
      <c r="A338" s="15">
        <v>500001</v>
      </c>
      <c r="B338" s="16" t="s">
        <v>1671</v>
      </c>
      <c r="C338" s="16" t="s">
        <v>1671</v>
      </c>
      <c r="D338" s="15" t="s">
        <v>1672</v>
      </c>
      <c r="E338" s="15">
        <v>0</v>
      </c>
      <c r="F338" s="15">
        <v>0</v>
      </c>
      <c r="G338" s="15"/>
      <c r="H338" s="118" t="s">
        <v>35</v>
      </c>
      <c r="I338" s="15">
        <v>1</v>
      </c>
      <c r="J338" s="118">
        <v>1</v>
      </c>
      <c r="K338" s="15">
        <v>1</v>
      </c>
      <c r="L338" s="15">
        <v>4</v>
      </c>
      <c r="M338" s="15" t="s">
        <v>36</v>
      </c>
      <c r="N338" s="118" t="s">
        <v>1509</v>
      </c>
      <c r="O338" s="15">
        <v>50</v>
      </c>
      <c r="P338" s="15">
        <v>0.5</v>
      </c>
      <c r="Q338" s="15">
        <v>0</v>
      </c>
      <c r="R338" s="15">
        <v>1</v>
      </c>
      <c r="S338" s="25" t="b">
        <v>1</v>
      </c>
      <c r="T338" s="15">
        <v>6</v>
      </c>
      <c r="U338" s="118">
        <v>90</v>
      </c>
      <c r="V338" s="118">
        <v>120</v>
      </c>
      <c r="W338" s="15">
        <v>0</v>
      </c>
      <c r="X338" s="15">
        <v>1</v>
      </c>
      <c r="Y338" s="15" t="s">
        <v>38</v>
      </c>
      <c r="Z338" s="388" t="s">
        <v>3119</v>
      </c>
      <c r="AA338" s="388" t="s">
        <v>3119</v>
      </c>
      <c r="AB338" s="25" t="s">
        <v>1675</v>
      </c>
      <c r="AC338" s="15">
        <v>300000</v>
      </c>
      <c r="AD338" s="197">
        <v>1</v>
      </c>
      <c r="AE338" s="197">
        <v>1</v>
      </c>
      <c r="AF338">
        <v>0</v>
      </c>
      <c r="AG338" s="433">
        <v>1</v>
      </c>
    </row>
    <row r="339" spans="1:33" ht="14.45" customHeight="1" x14ac:dyDescent="0.15">
      <c r="A339" s="15">
        <v>500002</v>
      </c>
      <c r="B339" s="16" t="s">
        <v>1677</v>
      </c>
      <c r="C339" s="16" t="s">
        <v>1677</v>
      </c>
      <c r="D339" s="15" t="s">
        <v>1672</v>
      </c>
      <c r="E339" s="15">
        <v>0</v>
      </c>
      <c r="F339" s="15">
        <v>0</v>
      </c>
      <c r="G339" s="15"/>
      <c r="H339" s="118" t="s">
        <v>35</v>
      </c>
      <c r="I339" s="15">
        <v>1</v>
      </c>
      <c r="J339" s="118">
        <v>1</v>
      </c>
      <c r="K339" s="15">
        <v>1</v>
      </c>
      <c r="L339" s="15">
        <v>4</v>
      </c>
      <c r="M339" s="15" t="s">
        <v>44</v>
      </c>
      <c r="N339" s="118" t="s">
        <v>1515</v>
      </c>
      <c r="O339" s="15">
        <v>50</v>
      </c>
      <c r="P339" s="15">
        <v>0.5</v>
      </c>
      <c r="Q339" s="15">
        <v>0</v>
      </c>
      <c r="R339" s="15">
        <v>1</v>
      </c>
      <c r="S339" s="25" t="b">
        <v>1</v>
      </c>
      <c r="T339" s="15">
        <v>13</v>
      </c>
      <c r="U339" s="118">
        <v>195</v>
      </c>
      <c r="V339" s="118">
        <v>260</v>
      </c>
      <c r="W339" s="15">
        <v>0</v>
      </c>
      <c r="X339" s="15">
        <v>2</v>
      </c>
      <c r="Y339" s="15" t="s">
        <v>38</v>
      </c>
      <c r="Z339" s="388" t="s">
        <v>3120</v>
      </c>
      <c r="AA339" s="388" t="s">
        <v>3120</v>
      </c>
      <c r="AB339" s="25" t="s">
        <v>1680</v>
      </c>
      <c r="AC339" s="15">
        <v>300000</v>
      </c>
      <c r="AD339" s="197">
        <v>1</v>
      </c>
      <c r="AE339" s="197">
        <v>1</v>
      </c>
      <c r="AF339">
        <v>0</v>
      </c>
      <c r="AG339" s="433">
        <v>2</v>
      </c>
    </row>
    <row r="340" spans="1:33" ht="14.45" customHeight="1" x14ac:dyDescent="0.15">
      <c r="A340" s="15">
        <v>500003</v>
      </c>
      <c r="B340" s="16" t="s">
        <v>1682</v>
      </c>
      <c r="C340" s="16" t="s">
        <v>1682</v>
      </c>
      <c r="D340" s="15" t="s">
        <v>1672</v>
      </c>
      <c r="E340" s="15">
        <v>0</v>
      </c>
      <c r="F340" s="15">
        <v>0</v>
      </c>
      <c r="G340" s="15"/>
      <c r="H340" s="118" t="s">
        <v>35</v>
      </c>
      <c r="I340" s="15">
        <v>1</v>
      </c>
      <c r="J340" s="118">
        <v>1</v>
      </c>
      <c r="K340" s="15">
        <v>1</v>
      </c>
      <c r="L340" s="15">
        <v>4</v>
      </c>
      <c r="M340" s="15" t="s">
        <v>56</v>
      </c>
      <c r="N340" s="118" t="s">
        <v>1521</v>
      </c>
      <c r="O340" s="15">
        <v>50</v>
      </c>
      <c r="P340" s="15">
        <v>0.5</v>
      </c>
      <c r="Q340" s="15">
        <v>0</v>
      </c>
      <c r="R340" s="15">
        <v>1</v>
      </c>
      <c r="S340" s="25" t="b">
        <v>1</v>
      </c>
      <c r="T340" s="15">
        <v>19</v>
      </c>
      <c r="U340" s="118">
        <v>285</v>
      </c>
      <c r="V340" s="118">
        <v>380</v>
      </c>
      <c r="W340" s="15">
        <v>0</v>
      </c>
      <c r="X340" s="15">
        <v>3</v>
      </c>
      <c r="Y340" s="15" t="s">
        <v>38</v>
      </c>
      <c r="Z340" s="388" t="s">
        <v>3121</v>
      </c>
      <c r="AA340" s="388" t="s">
        <v>3121</v>
      </c>
      <c r="AB340" s="25" t="s">
        <v>1685</v>
      </c>
      <c r="AC340" s="15">
        <v>300000</v>
      </c>
      <c r="AD340" s="197">
        <v>1</v>
      </c>
      <c r="AE340" s="197">
        <v>1</v>
      </c>
      <c r="AF340">
        <v>0</v>
      </c>
      <c r="AG340" s="433">
        <v>3</v>
      </c>
    </row>
    <row r="341" spans="1:33" ht="14.45" customHeight="1" x14ac:dyDescent="0.15">
      <c r="A341" s="15">
        <v>500004</v>
      </c>
      <c r="B341" s="73" t="s">
        <v>1687</v>
      </c>
      <c r="C341" s="73" t="s">
        <v>1687</v>
      </c>
      <c r="D341" s="15" t="s">
        <v>1672</v>
      </c>
      <c r="E341" s="15">
        <v>0</v>
      </c>
      <c r="F341" s="15">
        <v>0</v>
      </c>
      <c r="G341" s="15"/>
      <c r="H341" s="118" t="s">
        <v>35</v>
      </c>
      <c r="I341" s="15">
        <v>1</v>
      </c>
      <c r="J341" s="118">
        <v>1</v>
      </c>
      <c r="K341" s="15">
        <v>1</v>
      </c>
      <c r="L341" s="15">
        <v>4</v>
      </c>
      <c r="M341" s="15" t="s">
        <v>63</v>
      </c>
      <c r="N341" s="118" t="s">
        <v>1527</v>
      </c>
      <c r="O341" s="15">
        <v>50</v>
      </c>
      <c r="P341" s="15">
        <v>0.5</v>
      </c>
      <c r="Q341" s="15">
        <v>0</v>
      </c>
      <c r="R341" s="15">
        <v>1</v>
      </c>
      <c r="S341" s="25" t="b">
        <v>1</v>
      </c>
      <c r="T341" s="15">
        <v>26</v>
      </c>
      <c r="U341" s="118">
        <v>390</v>
      </c>
      <c r="V341" s="118">
        <v>520</v>
      </c>
      <c r="W341" s="15">
        <v>0</v>
      </c>
      <c r="X341" s="15">
        <v>4</v>
      </c>
      <c r="Y341" s="15" t="s">
        <v>38</v>
      </c>
      <c r="Z341" s="388" t="s">
        <v>3122</v>
      </c>
      <c r="AA341" s="388" t="s">
        <v>3122</v>
      </c>
      <c r="AB341" s="25" t="s">
        <v>1690</v>
      </c>
      <c r="AC341" s="15">
        <v>300000</v>
      </c>
      <c r="AD341" s="197">
        <v>1</v>
      </c>
      <c r="AE341" s="197">
        <v>1</v>
      </c>
      <c r="AF341">
        <v>0</v>
      </c>
      <c r="AG341" s="433">
        <v>4</v>
      </c>
    </row>
    <row r="342" spans="1:33" ht="14.45" customHeight="1" x14ac:dyDescent="0.15">
      <c r="A342" s="17">
        <v>500005</v>
      </c>
      <c r="B342" s="17" t="s">
        <v>1692</v>
      </c>
      <c r="C342" s="17" t="s">
        <v>1692</v>
      </c>
      <c r="D342" s="118" t="s">
        <v>1672</v>
      </c>
      <c r="E342" s="118">
        <v>0</v>
      </c>
      <c r="F342" s="118">
        <v>0</v>
      </c>
      <c r="G342" s="118"/>
      <c r="H342" s="118" t="s">
        <v>35</v>
      </c>
      <c r="I342" s="118">
        <v>1</v>
      </c>
      <c r="J342" s="118">
        <v>1</v>
      </c>
      <c r="K342" s="118">
        <v>1</v>
      </c>
      <c r="L342" s="118">
        <v>4</v>
      </c>
      <c r="M342" s="118" t="s">
        <v>70</v>
      </c>
      <c r="N342" s="118" t="s">
        <v>1533</v>
      </c>
      <c r="O342" s="118">
        <v>50</v>
      </c>
      <c r="P342" s="118">
        <v>0.5</v>
      </c>
      <c r="Q342" s="118">
        <v>0</v>
      </c>
      <c r="R342" s="118">
        <v>1</v>
      </c>
      <c r="S342" s="25" t="b">
        <v>1</v>
      </c>
      <c r="T342" s="118">
        <v>32</v>
      </c>
      <c r="U342" s="118">
        <v>480</v>
      </c>
      <c r="V342" s="118">
        <v>640</v>
      </c>
      <c r="W342" s="118">
        <v>0</v>
      </c>
      <c r="X342" s="118">
        <v>5</v>
      </c>
      <c r="Y342" s="118" t="s">
        <v>38</v>
      </c>
      <c r="Z342" s="388" t="s">
        <v>3123</v>
      </c>
      <c r="AA342" s="388" t="s">
        <v>3123</v>
      </c>
      <c r="AB342" s="25" t="s">
        <v>1695</v>
      </c>
      <c r="AC342" s="118">
        <v>300000</v>
      </c>
      <c r="AD342" s="197">
        <v>1</v>
      </c>
      <c r="AE342" s="197">
        <v>1</v>
      </c>
      <c r="AF342">
        <v>0</v>
      </c>
      <c r="AG342" s="402">
        <v>5</v>
      </c>
    </row>
    <row r="343" spans="1:33" ht="14.45" customHeight="1" x14ac:dyDescent="0.15">
      <c r="A343" s="17">
        <v>500006</v>
      </c>
      <c r="B343" s="17" t="s">
        <v>1697</v>
      </c>
      <c r="C343" s="17" t="s">
        <v>1697</v>
      </c>
      <c r="D343" s="118" t="s">
        <v>1672</v>
      </c>
      <c r="E343" s="118">
        <v>0</v>
      </c>
      <c r="F343" s="118">
        <v>0</v>
      </c>
      <c r="G343" s="118"/>
      <c r="H343" s="118" t="s">
        <v>35</v>
      </c>
      <c r="I343" s="118">
        <v>1</v>
      </c>
      <c r="J343" s="118">
        <v>1</v>
      </c>
      <c r="K343" s="118">
        <v>1</v>
      </c>
      <c r="L343" s="118">
        <v>4</v>
      </c>
      <c r="M343" s="118" t="s">
        <v>70</v>
      </c>
      <c r="N343" s="118" t="s">
        <v>1539</v>
      </c>
      <c r="O343" s="118">
        <v>50</v>
      </c>
      <c r="P343" s="118">
        <v>0.5</v>
      </c>
      <c r="Q343" s="118">
        <v>0</v>
      </c>
      <c r="R343" s="118">
        <v>1</v>
      </c>
      <c r="S343" s="25" t="b">
        <v>1</v>
      </c>
      <c r="T343" s="118">
        <v>39</v>
      </c>
      <c r="U343" s="118">
        <v>585</v>
      </c>
      <c r="V343" s="118">
        <v>780</v>
      </c>
      <c r="W343" s="118">
        <v>0</v>
      </c>
      <c r="X343" s="118">
        <v>6</v>
      </c>
      <c r="Y343" s="118" t="s">
        <v>38</v>
      </c>
      <c r="Z343" s="388" t="s">
        <v>3124</v>
      </c>
      <c r="AA343" s="388" t="s">
        <v>3124</v>
      </c>
      <c r="AB343" s="25" t="s">
        <v>1700</v>
      </c>
      <c r="AC343" s="118">
        <v>300000</v>
      </c>
      <c r="AD343" s="197">
        <v>1</v>
      </c>
      <c r="AE343" s="197">
        <v>1</v>
      </c>
      <c r="AF343">
        <v>0</v>
      </c>
      <c r="AG343" s="402">
        <v>6</v>
      </c>
    </row>
    <row r="344" spans="1:33" ht="14.45" customHeight="1" x14ac:dyDescent="0.15">
      <c r="A344" s="17">
        <v>500007</v>
      </c>
      <c r="B344" s="17" t="s">
        <v>1702</v>
      </c>
      <c r="C344" s="17" t="s">
        <v>1702</v>
      </c>
      <c r="D344" s="118" t="s">
        <v>1672</v>
      </c>
      <c r="E344" s="118">
        <v>0</v>
      </c>
      <c r="F344" s="118">
        <v>0</v>
      </c>
      <c r="G344" s="118"/>
      <c r="H344" s="118" t="s">
        <v>35</v>
      </c>
      <c r="I344" s="118">
        <v>1</v>
      </c>
      <c r="J344" s="118">
        <v>1</v>
      </c>
      <c r="K344" s="118">
        <v>1</v>
      </c>
      <c r="L344" s="118">
        <v>4</v>
      </c>
      <c r="M344" s="118" t="s">
        <v>70</v>
      </c>
      <c r="N344" s="118" t="s">
        <v>1545</v>
      </c>
      <c r="O344" s="118">
        <v>50</v>
      </c>
      <c r="P344" s="118">
        <v>0.5</v>
      </c>
      <c r="Q344" s="118">
        <v>0</v>
      </c>
      <c r="R344" s="118">
        <v>1</v>
      </c>
      <c r="S344" s="25" t="b">
        <v>1</v>
      </c>
      <c r="T344" s="118">
        <v>45</v>
      </c>
      <c r="U344" s="118">
        <v>675</v>
      </c>
      <c r="V344" s="118">
        <v>900</v>
      </c>
      <c r="W344" s="118">
        <v>0</v>
      </c>
      <c r="X344" s="118">
        <v>7</v>
      </c>
      <c r="Y344" s="118" t="s">
        <v>38</v>
      </c>
      <c r="Z344" s="388" t="s">
        <v>3125</v>
      </c>
      <c r="AA344" s="388" t="s">
        <v>3125</v>
      </c>
      <c r="AB344" s="25" t="s">
        <v>1705</v>
      </c>
      <c r="AC344" s="118">
        <v>300000</v>
      </c>
      <c r="AD344" s="197">
        <v>1</v>
      </c>
      <c r="AE344" s="197">
        <v>1</v>
      </c>
      <c r="AF344">
        <v>0</v>
      </c>
      <c r="AG344" s="402">
        <v>7</v>
      </c>
    </row>
    <row r="345" spans="1:33" ht="14.45" customHeight="1" x14ac:dyDescent="0.15">
      <c r="A345" s="114">
        <v>500107</v>
      </c>
      <c r="B345" s="114" t="s">
        <v>1707</v>
      </c>
      <c r="C345" s="114" t="s">
        <v>1707</v>
      </c>
      <c r="D345" s="119" t="s">
        <v>1672</v>
      </c>
      <c r="E345" s="119">
        <v>0</v>
      </c>
      <c r="F345" s="119">
        <v>0</v>
      </c>
      <c r="G345" s="119"/>
      <c r="H345" s="119"/>
      <c r="I345" s="119">
        <v>1</v>
      </c>
      <c r="J345" s="118">
        <v>4</v>
      </c>
      <c r="K345" s="119">
        <v>0</v>
      </c>
      <c r="L345" s="119">
        <v>4</v>
      </c>
      <c r="M345" s="119" t="s">
        <v>52</v>
      </c>
      <c r="N345" s="118" t="s">
        <v>1545</v>
      </c>
      <c r="O345" s="119">
        <v>50</v>
      </c>
      <c r="P345" s="119">
        <v>0.5</v>
      </c>
      <c r="Q345" s="119">
        <v>0</v>
      </c>
      <c r="R345" s="119">
        <v>1</v>
      </c>
      <c r="S345" s="80" t="b">
        <v>1</v>
      </c>
      <c r="T345" s="119">
        <v>45</v>
      </c>
      <c r="U345" s="118">
        <v>675</v>
      </c>
      <c r="V345" s="118">
        <v>900</v>
      </c>
      <c r="W345" s="119">
        <v>0</v>
      </c>
      <c r="X345" s="119">
        <v>7</v>
      </c>
      <c r="Y345" s="119" t="s">
        <v>38</v>
      </c>
      <c r="Z345" s="388" t="s">
        <v>3125</v>
      </c>
      <c r="AA345" s="388" t="s">
        <v>3125</v>
      </c>
      <c r="AB345" s="80" t="s">
        <v>1705</v>
      </c>
      <c r="AC345" s="119">
        <v>300000</v>
      </c>
      <c r="AD345" s="197">
        <v>1</v>
      </c>
      <c r="AE345" s="197">
        <v>1</v>
      </c>
      <c r="AF345">
        <v>0</v>
      </c>
      <c r="AG345" s="403">
        <v>7</v>
      </c>
    </row>
    <row r="346" spans="1:33" ht="14.45" customHeight="1" x14ac:dyDescent="0.15">
      <c r="A346" s="17">
        <v>500008</v>
      </c>
      <c r="B346" s="17" t="s">
        <v>1710</v>
      </c>
      <c r="C346" s="17" t="s">
        <v>1710</v>
      </c>
      <c r="D346" s="118" t="s">
        <v>1672</v>
      </c>
      <c r="E346" s="118">
        <v>0</v>
      </c>
      <c r="F346" s="118">
        <v>0</v>
      </c>
      <c r="G346" s="118"/>
      <c r="H346" s="118" t="s">
        <v>35</v>
      </c>
      <c r="I346" s="118">
        <v>1</v>
      </c>
      <c r="J346" s="118">
        <v>1</v>
      </c>
      <c r="K346" s="118">
        <v>1</v>
      </c>
      <c r="L346" s="118">
        <v>4</v>
      </c>
      <c r="M346" s="118" t="s">
        <v>70</v>
      </c>
      <c r="N346" s="118" t="s">
        <v>1555</v>
      </c>
      <c r="O346" s="118">
        <v>50</v>
      </c>
      <c r="P346" s="118">
        <v>0.5</v>
      </c>
      <c r="Q346" s="118">
        <v>0</v>
      </c>
      <c r="R346" s="118">
        <v>1</v>
      </c>
      <c r="S346" s="25" t="b">
        <v>1</v>
      </c>
      <c r="T346" s="118">
        <v>52</v>
      </c>
      <c r="U346" s="118">
        <v>780</v>
      </c>
      <c r="V346" s="118">
        <v>1040</v>
      </c>
      <c r="W346" s="118">
        <v>0</v>
      </c>
      <c r="X346" s="118">
        <v>8</v>
      </c>
      <c r="Y346" s="118" t="s">
        <v>38</v>
      </c>
      <c r="Z346" s="388" t="s">
        <v>3126</v>
      </c>
      <c r="AA346" s="388" t="s">
        <v>3126</v>
      </c>
      <c r="AB346" s="25" t="s">
        <v>1713</v>
      </c>
      <c r="AC346" s="118">
        <v>300000</v>
      </c>
      <c r="AD346" s="197">
        <v>1</v>
      </c>
      <c r="AE346" s="197">
        <v>1</v>
      </c>
      <c r="AF346">
        <v>0</v>
      </c>
      <c r="AG346" s="402">
        <v>8</v>
      </c>
    </row>
    <row r="347" spans="1:33" ht="14.45" customHeight="1" x14ac:dyDescent="0.15">
      <c r="A347" s="17">
        <v>500009</v>
      </c>
      <c r="B347" s="17" t="s">
        <v>1715</v>
      </c>
      <c r="C347" s="17" t="s">
        <v>1715</v>
      </c>
      <c r="D347" s="118" t="s">
        <v>1672</v>
      </c>
      <c r="E347" s="118">
        <v>0</v>
      </c>
      <c r="F347" s="118">
        <v>0</v>
      </c>
      <c r="G347" s="118"/>
      <c r="H347" s="118" t="s">
        <v>35</v>
      </c>
      <c r="I347" s="118">
        <v>1</v>
      </c>
      <c r="J347" s="118">
        <v>1</v>
      </c>
      <c r="K347" s="118">
        <v>1</v>
      </c>
      <c r="L347" s="118">
        <v>4</v>
      </c>
      <c r="M347" s="118" t="s">
        <v>70</v>
      </c>
      <c r="N347" s="118" t="s">
        <v>1561</v>
      </c>
      <c r="O347" s="118">
        <v>50</v>
      </c>
      <c r="P347" s="118">
        <v>0.5</v>
      </c>
      <c r="Q347" s="118">
        <v>0</v>
      </c>
      <c r="R347" s="118">
        <v>1</v>
      </c>
      <c r="S347" s="25" t="b">
        <v>1</v>
      </c>
      <c r="T347" s="118">
        <v>58</v>
      </c>
      <c r="U347" s="118">
        <v>870</v>
      </c>
      <c r="V347" s="118">
        <v>1160</v>
      </c>
      <c r="W347" s="118">
        <v>0</v>
      </c>
      <c r="X347" s="118">
        <v>9</v>
      </c>
      <c r="Y347" s="118" t="s">
        <v>38</v>
      </c>
      <c r="Z347" s="388" t="s">
        <v>3127</v>
      </c>
      <c r="AA347" s="388" t="s">
        <v>3127</v>
      </c>
      <c r="AB347" s="25" t="s">
        <v>1718</v>
      </c>
      <c r="AC347" s="118">
        <v>300000</v>
      </c>
      <c r="AD347" s="197">
        <v>1</v>
      </c>
      <c r="AE347" s="197">
        <v>1</v>
      </c>
      <c r="AF347">
        <v>0</v>
      </c>
      <c r="AG347" s="402">
        <v>9</v>
      </c>
    </row>
    <row r="348" spans="1:33" ht="14.45" customHeight="1" x14ac:dyDescent="0.15">
      <c r="A348" s="17">
        <v>500010</v>
      </c>
      <c r="B348" s="17" t="s">
        <v>1720</v>
      </c>
      <c r="C348" s="17" t="s">
        <v>1720</v>
      </c>
      <c r="D348" s="118" t="s">
        <v>1672</v>
      </c>
      <c r="E348" s="118">
        <v>0</v>
      </c>
      <c r="F348" s="118">
        <v>0</v>
      </c>
      <c r="G348" s="118"/>
      <c r="H348" s="118" t="s">
        <v>35</v>
      </c>
      <c r="I348" s="118">
        <v>1</v>
      </c>
      <c r="J348" s="118">
        <v>1</v>
      </c>
      <c r="K348" s="118">
        <v>1</v>
      </c>
      <c r="L348" s="118">
        <v>4</v>
      </c>
      <c r="M348" s="118" t="s">
        <v>70</v>
      </c>
      <c r="N348" s="118" t="s">
        <v>1567</v>
      </c>
      <c r="O348" s="118">
        <v>50</v>
      </c>
      <c r="P348" s="118">
        <v>0.5</v>
      </c>
      <c r="Q348" s="118">
        <v>0</v>
      </c>
      <c r="R348" s="118">
        <v>1</v>
      </c>
      <c r="S348" s="25" t="b">
        <v>1</v>
      </c>
      <c r="T348" s="118">
        <v>65</v>
      </c>
      <c r="U348" s="118">
        <v>975</v>
      </c>
      <c r="V348" s="118">
        <v>1300</v>
      </c>
      <c r="W348" s="118">
        <v>0</v>
      </c>
      <c r="X348" s="118">
        <v>10</v>
      </c>
      <c r="Y348" s="118" t="s">
        <v>38</v>
      </c>
      <c r="Z348" s="388" t="s">
        <v>3128</v>
      </c>
      <c r="AA348" s="388" t="s">
        <v>3128</v>
      </c>
      <c r="AB348" s="25" t="s">
        <v>1723</v>
      </c>
      <c r="AC348" s="118">
        <v>300000</v>
      </c>
      <c r="AD348" s="197">
        <v>1</v>
      </c>
      <c r="AE348" s="197">
        <v>1</v>
      </c>
      <c r="AF348">
        <v>0</v>
      </c>
      <c r="AG348" s="402">
        <v>10</v>
      </c>
    </row>
    <row r="349" spans="1:33" ht="14.45" customHeight="1" x14ac:dyDescent="0.15">
      <c r="A349" s="79">
        <v>500108</v>
      </c>
      <c r="B349" s="360" t="s">
        <v>1725</v>
      </c>
      <c r="C349" s="360" t="s">
        <v>1725</v>
      </c>
      <c r="D349" s="360" t="s">
        <v>1672</v>
      </c>
      <c r="E349" s="79">
        <v>0</v>
      </c>
      <c r="F349" s="360">
        <v>0</v>
      </c>
      <c r="G349" s="79"/>
      <c r="H349" s="119" t="s">
        <v>51</v>
      </c>
      <c r="I349" s="360">
        <v>1</v>
      </c>
      <c r="J349" s="118">
        <v>4</v>
      </c>
      <c r="K349" s="119">
        <v>0</v>
      </c>
      <c r="L349" s="360">
        <v>4</v>
      </c>
      <c r="M349" s="119" t="s">
        <v>52</v>
      </c>
      <c r="N349" s="118" t="s">
        <v>1555</v>
      </c>
      <c r="O349" s="360">
        <v>50</v>
      </c>
      <c r="P349" s="360">
        <v>0.5</v>
      </c>
      <c r="Q349" s="360">
        <v>0</v>
      </c>
      <c r="R349" s="360">
        <v>1</v>
      </c>
      <c r="S349" s="80" t="b">
        <v>1</v>
      </c>
      <c r="T349" s="79">
        <v>52</v>
      </c>
      <c r="U349" s="118">
        <v>780</v>
      </c>
      <c r="V349" s="118">
        <v>1040</v>
      </c>
      <c r="W349" s="79">
        <v>0</v>
      </c>
      <c r="X349" s="79">
        <v>8</v>
      </c>
      <c r="Y349" s="79" t="s">
        <v>38</v>
      </c>
      <c r="Z349" s="388" t="s">
        <v>3126</v>
      </c>
      <c r="AA349" s="388" t="s">
        <v>3126</v>
      </c>
      <c r="AB349" s="80" t="s">
        <v>1713</v>
      </c>
      <c r="AC349" s="79">
        <v>300000</v>
      </c>
      <c r="AD349" s="92">
        <v>1</v>
      </c>
      <c r="AE349" s="92">
        <v>1</v>
      </c>
      <c r="AF349">
        <v>0</v>
      </c>
      <c r="AG349" s="434">
        <v>8</v>
      </c>
    </row>
    <row r="350" spans="1:33" ht="14.45" customHeight="1" x14ac:dyDescent="0.15">
      <c r="A350" s="79">
        <v>500109</v>
      </c>
      <c r="B350" s="360" t="s">
        <v>1728</v>
      </c>
      <c r="C350" s="360" t="s">
        <v>1728</v>
      </c>
      <c r="D350" s="360" t="s">
        <v>1672</v>
      </c>
      <c r="E350" s="79">
        <v>0</v>
      </c>
      <c r="F350" s="360">
        <v>0</v>
      </c>
      <c r="G350" s="79"/>
      <c r="H350" s="119" t="s">
        <v>51</v>
      </c>
      <c r="I350" s="360">
        <v>1</v>
      </c>
      <c r="J350" s="118">
        <v>4</v>
      </c>
      <c r="K350" s="119">
        <v>0</v>
      </c>
      <c r="L350" s="360">
        <v>4</v>
      </c>
      <c r="M350" s="119" t="s">
        <v>52</v>
      </c>
      <c r="N350" s="118" t="s">
        <v>1561</v>
      </c>
      <c r="O350" s="360">
        <v>50</v>
      </c>
      <c r="P350" s="360">
        <v>0.5</v>
      </c>
      <c r="Q350" s="360">
        <v>0</v>
      </c>
      <c r="R350" s="360">
        <v>1</v>
      </c>
      <c r="S350" s="80" t="b">
        <v>1</v>
      </c>
      <c r="T350" s="79">
        <v>58</v>
      </c>
      <c r="U350" s="118">
        <v>870</v>
      </c>
      <c r="V350" s="118">
        <v>1160</v>
      </c>
      <c r="W350" s="79">
        <v>0</v>
      </c>
      <c r="X350" s="79">
        <v>9</v>
      </c>
      <c r="Y350" s="79" t="s">
        <v>38</v>
      </c>
      <c r="Z350" s="388" t="s">
        <v>3127</v>
      </c>
      <c r="AA350" s="388" t="s">
        <v>3127</v>
      </c>
      <c r="AB350" s="80" t="s">
        <v>1718</v>
      </c>
      <c r="AC350" s="79">
        <v>300000</v>
      </c>
      <c r="AD350" s="92">
        <v>1</v>
      </c>
      <c r="AE350" s="92">
        <v>1</v>
      </c>
      <c r="AF350">
        <v>0</v>
      </c>
      <c r="AG350" s="434">
        <v>9</v>
      </c>
    </row>
    <row r="351" spans="1:33" ht="14.45" customHeight="1" x14ac:dyDescent="0.15">
      <c r="A351" s="79">
        <v>500110</v>
      </c>
      <c r="B351" s="360" t="s">
        <v>1731</v>
      </c>
      <c r="C351" s="360" t="s">
        <v>1731</v>
      </c>
      <c r="D351" s="360" t="s">
        <v>1672</v>
      </c>
      <c r="E351" s="79">
        <v>0</v>
      </c>
      <c r="F351" s="360">
        <v>0</v>
      </c>
      <c r="G351" s="79"/>
      <c r="H351" s="119" t="s">
        <v>51</v>
      </c>
      <c r="I351" s="360">
        <v>1</v>
      </c>
      <c r="J351" s="118">
        <v>4</v>
      </c>
      <c r="K351" s="119">
        <v>0</v>
      </c>
      <c r="L351" s="360">
        <v>4</v>
      </c>
      <c r="M351" s="119" t="s">
        <v>52</v>
      </c>
      <c r="N351" s="118" t="s">
        <v>1567</v>
      </c>
      <c r="O351" s="360">
        <v>50</v>
      </c>
      <c r="P351" s="360">
        <v>0.5</v>
      </c>
      <c r="Q351" s="360">
        <v>0</v>
      </c>
      <c r="R351" s="360">
        <v>1</v>
      </c>
      <c r="S351" s="80" t="b">
        <v>1</v>
      </c>
      <c r="T351" s="79">
        <v>65</v>
      </c>
      <c r="U351" s="118">
        <v>975</v>
      </c>
      <c r="V351" s="118">
        <v>1300</v>
      </c>
      <c r="W351" s="79">
        <v>0</v>
      </c>
      <c r="X351" s="79">
        <v>10</v>
      </c>
      <c r="Y351" s="79" t="s">
        <v>38</v>
      </c>
      <c r="Z351" s="388" t="s">
        <v>3128</v>
      </c>
      <c r="AA351" s="388" t="s">
        <v>3128</v>
      </c>
      <c r="AB351" s="80" t="s">
        <v>1723</v>
      </c>
      <c r="AC351" s="79">
        <v>300000</v>
      </c>
      <c r="AD351" s="92">
        <v>1</v>
      </c>
      <c r="AE351" s="92">
        <v>1</v>
      </c>
      <c r="AF351">
        <v>0</v>
      </c>
      <c r="AG351" s="434">
        <v>10</v>
      </c>
    </row>
    <row r="352" spans="1:33" ht="14.45" customHeight="1" x14ac:dyDescent="0.15">
      <c r="A352" s="115">
        <v>500102</v>
      </c>
      <c r="B352" s="121" t="s">
        <v>1734</v>
      </c>
      <c r="C352" s="121" t="s">
        <v>1734</v>
      </c>
      <c r="D352" s="121" t="s">
        <v>1672</v>
      </c>
      <c r="E352" s="115">
        <v>0</v>
      </c>
      <c r="F352" s="121">
        <v>0</v>
      </c>
      <c r="G352" s="115"/>
      <c r="H352" s="121" t="s">
        <v>112</v>
      </c>
      <c r="I352" s="121">
        <v>4</v>
      </c>
      <c r="J352" s="118">
        <v>4</v>
      </c>
      <c r="K352" s="115">
        <v>0</v>
      </c>
      <c r="L352" s="121">
        <v>4</v>
      </c>
      <c r="M352" s="115">
        <v>4</v>
      </c>
      <c r="N352" s="118" t="s">
        <v>1515</v>
      </c>
      <c r="O352" s="121">
        <v>50</v>
      </c>
      <c r="P352" s="121">
        <v>0.5</v>
      </c>
      <c r="Q352" s="121">
        <v>0</v>
      </c>
      <c r="R352" s="121">
        <v>1</v>
      </c>
      <c r="S352" s="397" t="b">
        <v>1</v>
      </c>
      <c r="T352" s="115">
        <v>13</v>
      </c>
      <c r="U352" s="118">
        <v>195</v>
      </c>
      <c r="V352" s="118">
        <v>260</v>
      </c>
      <c r="W352" s="115">
        <v>0</v>
      </c>
      <c r="X352" s="115">
        <v>2</v>
      </c>
      <c r="Y352" s="115" t="s">
        <v>38</v>
      </c>
      <c r="Z352" s="388" t="s">
        <v>3129</v>
      </c>
      <c r="AA352" s="388" t="s">
        <v>3129</v>
      </c>
      <c r="AB352" s="397" t="s">
        <v>1675</v>
      </c>
      <c r="AC352" s="115">
        <v>300000</v>
      </c>
      <c r="AD352" s="197">
        <v>1</v>
      </c>
      <c r="AE352" s="197">
        <v>1</v>
      </c>
      <c r="AF352">
        <v>0</v>
      </c>
      <c r="AG352" s="436">
        <v>2</v>
      </c>
    </row>
    <row r="353" spans="1:33" ht="14.45" customHeight="1" x14ac:dyDescent="0.15">
      <c r="A353" s="117">
        <v>500103</v>
      </c>
      <c r="B353" s="125" t="s">
        <v>1738</v>
      </c>
      <c r="C353" s="125" t="s">
        <v>1738</v>
      </c>
      <c r="D353" s="125" t="s">
        <v>1672</v>
      </c>
      <c r="E353" s="117">
        <v>0</v>
      </c>
      <c r="F353" s="125">
        <v>0</v>
      </c>
      <c r="G353" s="117"/>
      <c r="H353" s="125"/>
      <c r="I353" s="125">
        <v>4</v>
      </c>
      <c r="J353" s="118">
        <v>4</v>
      </c>
      <c r="K353" s="117">
        <v>0</v>
      </c>
      <c r="L353" s="125">
        <v>4</v>
      </c>
      <c r="M353" s="117">
        <v>4</v>
      </c>
      <c r="N353" s="118" t="s">
        <v>1521</v>
      </c>
      <c r="O353" s="125">
        <v>50</v>
      </c>
      <c r="P353" s="125">
        <v>0.5</v>
      </c>
      <c r="Q353" s="125">
        <v>0</v>
      </c>
      <c r="R353" s="125">
        <v>1</v>
      </c>
      <c r="S353" s="398" t="b">
        <v>1</v>
      </c>
      <c r="T353" s="117">
        <v>19</v>
      </c>
      <c r="U353" s="118">
        <v>285</v>
      </c>
      <c r="V353" s="118">
        <v>380</v>
      </c>
      <c r="W353" s="117">
        <v>0</v>
      </c>
      <c r="X353" s="117">
        <v>3</v>
      </c>
      <c r="Y353" s="117" t="s">
        <v>38</v>
      </c>
      <c r="Z353" s="388" t="s">
        <v>3117</v>
      </c>
      <c r="AA353" s="388" t="s">
        <v>3117</v>
      </c>
      <c r="AB353" s="398" t="s">
        <v>1685</v>
      </c>
      <c r="AC353" s="117">
        <v>300000</v>
      </c>
      <c r="AD353" s="197">
        <v>1</v>
      </c>
      <c r="AE353" s="197">
        <v>1</v>
      </c>
      <c r="AF353">
        <v>0</v>
      </c>
      <c r="AG353" s="437">
        <v>3</v>
      </c>
    </row>
    <row r="354" spans="1:33" ht="14.45" customHeight="1" x14ac:dyDescent="0.15">
      <c r="A354" s="117">
        <v>500104</v>
      </c>
      <c r="B354" s="122" t="s">
        <v>1741</v>
      </c>
      <c r="C354" s="122" t="s">
        <v>1741</v>
      </c>
      <c r="D354" s="117" t="s">
        <v>1672</v>
      </c>
      <c r="E354" s="117">
        <v>0</v>
      </c>
      <c r="F354" s="117">
        <v>0</v>
      </c>
      <c r="G354" s="117"/>
      <c r="H354" s="117"/>
      <c r="I354" s="117">
        <v>5</v>
      </c>
      <c r="J354" s="118">
        <v>5</v>
      </c>
      <c r="K354" s="117">
        <v>0</v>
      </c>
      <c r="L354" s="117">
        <v>4</v>
      </c>
      <c r="M354" s="117">
        <v>5</v>
      </c>
      <c r="N354" s="118" t="s">
        <v>1527</v>
      </c>
      <c r="O354" s="117">
        <v>50</v>
      </c>
      <c r="P354" s="117">
        <v>0.5</v>
      </c>
      <c r="Q354" s="117">
        <v>0</v>
      </c>
      <c r="R354" s="117">
        <v>1</v>
      </c>
      <c r="S354" s="398" t="b">
        <v>1</v>
      </c>
      <c r="T354" s="117">
        <v>26</v>
      </c>
      <c r="U354" s="118">
        <v>390</v>
      </c>
      <c r="V354" s="118">
        <v>520</v>
      </c>
      <c r="W354" s="117">
        <v>0</v>
      </c>
      <c r="X354" s="117">
        <v>4</v>
      </c>
      <c r="Y354" s="117" t="s">
        <v>38</v>
      </c>
      <c r="Z354" s="388" t="s">
        <v>3130</v>
      </c>
      <c r="AA354" s="388" t="s">
        <v>3130</v>
      </c>
      <c r="AB354" s="398" t="s">
        <v>1695</v>
      </c>
      <c r="AC354" s="117">
        <v>300000</v>
      </c>
      <c r="AD354" s="197">
        <v>1</v>
      </c>
      <c r="AE354" s="197">
        <v>1</v>
      </c>
      <c r="AF354">
        <v>0</v>
      </c>
      <c r="AG354" s="437">
        <v>4</v>
      </c>
    </row>
    <row r="355" spans="1:33" ht="14.45" customHeight="1" x14ac:dyDescent="0.15">
      <c r="A355" s="15">
        <v>600001</v>
      </c>
      <c r="B355" s="16" t="s">
        <v>1745</v>
      </c>
      <c r="C355" s="16" t="s">
        <v>1745</v>
      </c>
      <c r="D355" s="15" t="s">
        <v>1746</v>
      </c>
      <c r="E355" s="15">
        <v>0</v>
      </c>
      <c r="F355" s="15">
        <v>0</v>
      </c>
      <c r="G355" s="15"/>
      <c r="H355" s="118" t="s">
        <v>35</v>
      </c>
      <c r="I355" s="15">
        <v>1</v>
      </c>
      <c r="J355" s="118">
        <v>1</v>
      </c>
      <c r="K355" s="15">
        <v>1</v>
      </c>
      <c r="L355" s="15">
        <v>2</v>
      </c>
      <c r="M355" s="15" t="s">
        <v>36</v>
      </c>
      <c r="N355" s="118" t="s">
        <v>1747</v>
      </c>
      <c r="O355" s="15">
        <v>50</v>
      </c>
      <c r="P355" s="15">
        <v>0.5</v>
      </c>
      <c r="Q355" s="15">
        <v>0</v>
      </c>
      <c r="R355" s="15">
        <v>1</v>
      </c>
      <c r="S355" s="25" t="b">
        <v>1</v>
      </c>
      <c r="T355" s="15">
        <v>9</v>
      </c>
      <c r="U355" s="118">
        <v>135</v>
      </c>
      <c r="V355" s="118">
        <v>180</v>
      </c>
      <c r="W355" s="15">
        <v>0</v>
      </c>
      <c r="X355" s="15">
        <v>1</v>
      </c>
      <c r="Y355" s="15" t="s">
        <v>38</v>
      </c>
      <c r="Z355" s="388" t="s">
        <v>3131</v>
      </c>
      <c r="AA355" s="388" t="s">
        <v>3131</v>
      </c>
      <c r="AB355" s="25" t="s">
        <v>1750</v>
      </c>
      <c r="AC355" s="15">
        <v>300000</v>
      </c>
      <c r="AD355" s="197">
        <v>1</v>
      </c>
      <c r="AE355" s="197">
        <v>1</v>
      </c>
      <c r="AF355">
        <v>0</v>
      </c>
      <c r="AG355" s="433">
        <v>1</v>
      </c>
    </row>
    <row r="356" spans="1:33" ht="14.45" customHeight="1" x14ac:dyDescent="0.15">
      <c r="A356" s="15">
        <v>600002</v>
      </c>
      <c r="B356" s="16" t="s">
        <v>1752</v>
      </c>
      <c r="C356" s="16" t="s">
        <v>1752</v>
      </c>
      <c r="D356" s="15" t="s">
        <v>1746</v>
      </c>
      <c r="E356" s="15">
        <v>0</v>
      </c>
      <c r="F356" s="15">
        <v>0</v>
      </c>
      <c r="G356" s="15"/>
      <c r="H356" s="118" t="s">
        <v>35</v>
      </c>
      <c r="I356" s="15">
        <v>1</v>
      </c>
      <c r="J356" s="118">
        <v>1</v>
      </c>
      <c r="K356" s="15">
        <v>1</v>
      </c>
      <c r="L356" s="15">
        <v>2</v>
      </c>
      <c r="M356" s="15" t="s">
        <v>44</v>
      </c>
      <c r="N356" s="118" t="s">
        <v>1753</v>
      </c>
      <c r="O356" s="15">
        <v>50</v>
      </c>
      <c r="P356" s="15">
        <v>0.5</v>
      </c>
      <c r="Q356" s="15">
        <v>0</v>
      </c>
      <c r="R356" s="15">
        <v>1</v>
      </c>
      <c r="S356" s="25" t="b">
        <v>1</v>
      </c>
      <c r="T356" s="15">
        <v>19</v>
      </c>
      <c r="U356" s="118">
        <v>285</v>
      </c>
      <c r="V356" s="118">
        <v>380</v>
      </c>
      <c r="W356" s="15">
        <v>0</v>
      </c>
      <c r="X356" s="15">
        <v>2</v>
      </c>
      <c r="Y356" s="15" t="s">
        <v>38</v>
      </c>
      <c r="Z356" s="388" t="s">
        <v>3132</v>
      </c>
      <c r="AA356" s="388" t="s">
        <v>3132</v>
      </c>
      <c r="AB356" s="25" t="s">
        <v>1756</v>
      </c>
      <c r="AC356" s="15">
        <v>100000</v>
      </c>
      <c r="AD356" s="197">
        <v>1</v>
      </c>
      <c r="AE356" s="197">
        <v>1</v>
      </c>
      <c r="AF356">
        <v>0</v>
      </c>
      <c r="AG356" s="433">
        <v>2</v>
      </c>
    </row>
    <row r="357" spans="1:33" ht="14.45" customHeight="1" x14ac:dyDescent="0.15">
      <c r="A357" s="15">
        <v>600003</v>
      </c>
      <c r="B357" s="21" t="s">
        <v>1758</v>
      </c>
      <c r="C357" s="21" t="s">
        <v>1758</v>
      </c>
      <c r="D357" s="15" t="s">
        <v>1746</v>
      </c>
      <c r="E357" s="15">
        <v>0</v>
      </c>
      <c r="F357" s="15">
        <v>0</v>
      </c>
      <c r="G357" s="15"/>
      <c r="H357" s="118" t="s">
        <v>35</v>
      </c>
      <c r="I357" s="15">
        <v>1</v>
      </c>
      <c r="J357" s="118">
        <v>1</v>
      </c>
      <c r="K357" s="15">
        <v>1</v>
      </c>
      <c r="L357" s="15">
        <v>2</v>
      </c>
      <c r="M357" s="15" t="s">
        <v>56</v>
      </c>
      <c r="N357" s="118" t="s">
        <v>1759</v>
      </c>
      <c r="O357" s="15">
        <v>50</v>
      </c>
      <c r="P357" s="15">
        <v>0.5</v>
      </c>
      <c r="Q357" s="15">
        <v>0</v>
      </c>
      <c r="R357" s="15">
        <v>1</v>
      </c>
      <c r="S357" s="25" t="b">
        <v>1</v>
      </c>
      <c r="T357" s="15">
        <v>28</v>
      </c>
      <c r="U357" s="118">
        <v>420</v>
      </c>
      <c r="V357" s="118">
        <v>560</v>
      </c>
      <c r="W357" s="15">
        <v>0</v>
      </c>
      <c r="X357" s="15">
        <v>3</v>
      </c>
      <c r="Y357" s="15" t="s">
        <v>38</v>
      </c>
      <c r="Z357" s="388" t="s">
        <v>3133</v>
      </c>
      <c r="AA357" s="388" t="s">
        <v>3133</v>
      </c>
      <c r="AB357" s="25" t="s">
        <v>1762</v>
      </c>
      <c r="AC357" s="15">
        <v>200000</v>
      </c>
      <c r="AD357" s="197">
        <v>1</v>
      </c>
      <c r="AE357" s="197">
        <v>1</v>
      </c>
      <c r="AF357">
        <v>0</v>
      </c>
      <c r="AG357" s="433">
        <v>3</v>
      </c>
    </row>
    <row r="358" spans="1:33" ht="14.45" customHeight="1" x14ac:dyDescent="0.15">
      <c r="A358" s="15">
        <v>600004</v>
      </c>
      <c r="B358" s="72" t="s">
        <v>1764</v>
      </c>
      <c r="C358" s="72" t="s">
        <v>1764</v>
      </c>
      <c r="D358" s="15" t="s">
        <v>1746</v>
      </c>
      <c r="E358" s="15">
        <v>0</v>
      </c>
      <c r="F358" s="15">
        <v>0</v>
      </c>
      <c r="G358" s="15"/>
      <c r="H358" s="118" t="s">
        <v>35</v>
      </c>
      <c r="I358" s="15">
        <v>1</v>
      </c>
      <c r="J358" s="118">
        <v>1</v>
      </c>
      <c r="K358" s="15">
        <v>1</v>
      </c>
      <c r="L358" s="15">
        <v>2</v>
      </c>
      <c r="M358" s="15" t="s">
        <v>63</v>
      </c>
      <c r="N358" s="118" t="s">
        <v>1765</v>
      </c>
      <c r="O358" s="15">
        <v>50</v>
      </c>
      <c r="P358" s="15">
        <v>0.5</v>
      </c>
      <c r="Q358" s="15">
        <v>0</v>
      </c>
      <c r="R358" s="15">
        <v>1</v>
      </c>
      <c r="S358" s="25" t="b">
        <v>1</v>
      </c>
      <c r="T358" s="15">
        <v>39</v>
      </c>
      <c r="U358" s="118">
        <v>585</v>
      </c>
      <c r="V358" s="118">
        <v>780</v>
      </c>
      <c r="W358" s="15">
        <v>0</v>
      </c>
      <c r="X358" s="15">
        <v>4</v>
      </c>
      <c r="Y358" s="15" t="s">
        <v>38</v>
      </c>
      <c r="Z358" s="388" t="s">
        <v>3134</v>
      </c>
      <c r="AA358" s="388" t="s">
        <v>3134</v>
      </c>
      <c r="AB358" s="25" t="s">
        <v>1768</v>
      </c>
      <c r="AC358" s="15">
        <v>100000</v>
      </c>
      <c r="AD358" s="197">
        <v>1</v>
      </c>
      <c r="AE358" s="197">
        <v>1</v>
      </c>
      <c r="AF358">
        <v>0</v>
      </c>
      <c r="AG358" s="433">
        <v>4</v>
      </c>
    </row>
    <row r="359" spans="1:33" ht="14.45" customHeight="1" x14ac:dyDescent="0.15">
      <c r="A359" s="17">
        <v>600005</v>
      </c>
      <c r="B359" s="17" t="s">
        <v>1770</v>
      </c>
      <c r="C359" s="17" t="s">
        <v>1770</v>
      </c>
      <c r="D359" s="118" t="s">
        <v>1746</v>
      </c>
      <c r="E359" s="118">
        <v>0</v>
      </c>
      <c r="F359" s="118">
        <v>0</v>
      </c>
      <c r="G359" s="118"/>
      <c r="H359" s="118" t="s">
        <v>35</v>
      </c>
      <c r="I359" s="118">
        <v>1</v>
      </c>
      <c r="J359" s="118">
        <v>1</v>
      </c>
      <c r="K359" s="118">
        <v>1</v>
      </c>
      <c r="L359" s="118">
        <v>2</v>
      </c>
      <c r="M359" s="118" t="s">
        <v>70</v>
      </c>
      <c r="N359" s="118" t="s">
        <v>37</v>
      </c>
      <c r="O359" s="118">
        <v>50</v>
      </c>
      <c r="P359" s="118">
        <v>0.5</v>
      </c>
      <c r="Q359" s="118">
        <v>0</v>
      </c>
      <c r="R359" s="118">
        <v>1</v>
      </c>
      <c r="S359" s="25" t="b">
        <v>1</v>
      </c>
      <c r="T359" s="118">
        <v>48</v>
      </c>
      <c r="U359" s="118">
        <v>720</v>
      </c>
      <c r="V359" s="118">
        <v>960</v>
      </c>
      <c r="W359" s="118">
        <v>0</v>
      </c>
      <c r="X359" s="118">
        <v>5</v>
      </c>
      <c r="Y359" s="118" t="s">
        <v>38</v>
      </c>
      <c r="Z359" s="388" t="s">
        <v>3135</v>
      </c>
      <c r="AA359" s="388" t="s">
        <v>3135</v>
      </c>
      <c r="AB359" s="25" t="s">
        <v>1773</v>
      </c>
      <c r="AC359" s="118">
        <v>100000</v>
      </c>
      <c r="AD359" s="197">
        <v>1</v>
      </c>
      <c r="AE359" s="197">
        <v>1</v>
      </c>
      <c r="AF359">
        <v>0</v>
      </c>
      <c r="AG359" s="402">
        <v>5</v>
      </c>
    </row>
    <row r="360" spans="1:33" ht="14.45" customHeight="1" x14ac:dyDescent="0.15">
      <c r="A360" s="17">
        <v>600006</v>
      </c>
      <c r="B360" s="17" t="s">
        <v>1775</v>
      </c>
      <c r="C360" s="17" t="s">
        <v>1775</v>
      </c>
      <c r="D360" s="118" t="s">
        <v>1746</v>
      </c>
      <c r="E360" s="118">
        <v>0</v>
      </c>
      <c r="F360" s="118">
        <v>0</v>
      </c>
      <c r="G360" s="118"/>
      <c r="H360" s="118" t="s">
        <v>35</v>
      </c>
      <c r="I360" s="118">
        <v>1</v>
      </c>
      <c r="J360" s="118">
        <v>1</v>
      </c>
      <c r="K360" s="118">
        <v>1</v>
      </c>
      <c r="L360" s="118">
        <v>2</v>
      </c>
      <c r="M360" s="118" t="s">
        <v>70</v>
      </c>
      <c r="N360" s="118" t="s">
        <v>1776</v>
      </c>
      <c r="O360" s="118">
        <v>50</v>
      </c>
      <c r="P360" s="118">
        <v>0.5</v>
      </c>
      <c r="Q360" s="118">
        <v>0</v>
      </c>
      <c r="R360" s="118">
        <v>1</v>
      </c>
      <c r="S360" s="25" t="b">
        <v>1</v>
      </c>
      <c r="T360" s="118">
        <v>58</v>
      </c>
      <c r="U360" s="118">
        <v>870</v>
      </c>
      <c r="V360" s="118">
        <v>1160</v>
      </c>
      <c r="W360" s="118">
        <v>0</v>
      </c>
      <c r="X360" s="118">
        <v>6</v>
      </c>
      <c r="Y360" s="118" t="s">
        <v>38</v>
      </c>
      <c r="Z360" s="388" t="s">
        <v>3136</v>
      </c>
      <c r="AA360" s="388" t="s">
        <v>3136</v>
      </c>
      <c r="AB360" s="25" t="s">
        <v>1779</v>
      </c>
      <c r="AC360" s="118">
        <v>100000</v>
      </c>
      <c r="AD360" s="197">
        <v>1</v>
      </c>
      <c r="AE360" s="197">
        <v>1</v>
      </c>
      <c r="AF360">
        <v>0</v>
      </c>
      <c r="AG360" s="402">
        <v>6</v>
      </c>
    </row>
    <row r="361" spans="1:33" ht="14.45" customHeight="1" x14ac:dyDescent="0.15">
      <c r="A361" s="17">
        <v>600007</v>
      </c>
      <c r="B361" s="17" t="s">
        <v>1781</v>
      </c>
      <c r="C361" s="17" t="s">
        <v>1781</v>
      </c>
      <c r="D361" s="118" t="s">
        <v>1746</v>
      </c>
      <c r="E361" s="118">
        <v>0</v>
      </c>
      <c r="F361" s="118">
        <v>0</v>
      </c>
      <c r="G361" s="118"/>
      <c r="H361" s="118" t="s">
        <v>35</v>
      </c>
      <c r="I361" s="118">
        <v>1</v>
      </c>
      <c r="J361" s="118">
        <v>1</v>
      </c>
      <c r="K361" s="118">
        <v>1</v>
      </c>
      <c r="L361" s="118">
        <v>2</v>
      </c>
      <c r="M361" s="118" t="s">
        <v>70</v>
      </c>
      <c r="N361" s="118" t="s">
        <v>1782</v>
      </c>
      <c r="O361" s="118">
        <v>50</v>
      </c>
      <c r="P361" s="118">
        <v>0.5</v>
      </c>
      <c r="Q361" s="118">
        <v>0</v>
      </c>
      <c r="R361" s="118">
        <v>1</v>
      </c>
      <c r="S361" s="25" t="b">
        <v>1</v>
      </c>
      <c r="T361" s="118">
        <v>67</v>
      </c>
      <c r="U361" s="118">
        <v>1005</v>
      </c>
      <c r="V361" s="118">
        <v>1340</v>
      </c>
      <c r="W361" s="118">
        <v>0</v>
      </c>
      <c r="X361" s="118">
        <v>7</v>
      </c>
      <c r="Y361" s="118" t="s">
        <v>38</v>
      </c>
      <c r="Z361" s="388" t="s">
        <v>3137</v>
      </c>
      <c r="AA361" s="388" t="s">
        <v>3137</v>
      </c>
      <c r="AB361" s="25" t="s">
        <v>1785</v>
      </c>
      <c r="AC361" s="118">
        <v>100000</v>
      </c>
      <c r="AD361" s="197">
        <v>1</v>
      </c>
      <c r="AE361" s="197">
        <v>1</v>
      </c>
      <c r="AF361">
        <v>0</v>
      </c>
      <c r="AG361" s="402">
        <v>7</v>
      </c>
    </row>
    <row r="362" spans="1:33" ht="14.45" customHeight="1" x14ac:dyDescent="0.15">
      <c r="A362" s="17">
        <v>600008</v>
      </c>
      <c r="B362" t="s">
        <v>1787</v>
      </c>
      <c r="C362" t="s">
        <v>1787</v>
      </c>
      <c r="D362" s="118" t="s">
        <v>1746</v>
      </c>
      <c r="E362" s="118">
        <v>0</v>
      </c>
      <c r="F362" s="118">
        <v>0</v>
      </c>
      <c r="G362" s="118"/>
      <c r="H362" s="17" t="s">
        <v>35</v>
      </c>
      <c r="I362" s="118">
        <v>1</v>
      </c>
      <c r="J362" s="118">
        <v>1</v>
      </c>
      <c r="K362" s="118">
        <v>1</v>
      </c>
      <c r="L362" s="118">
        <v>2</v>
      </c>
      <c r="M362" s="118" t="s">
        <v>70</v>
      </c>
      <c r="N362" s="118" t="s">
        <v>1788</v>
      </c>
      <c r="O362" s="118">
        <v>50</v>
      </c>
      <c r="P362" s="118">
        <v>0.5</v>
      </c>
      <c r="Q362" s="118">
        <v>0</v>
      </c>
      <c r="R362" s="118">
        <v>1</v>
      </c>
      <c r="S362" s="25" t="b">
        <v>1</v>
      </c>
      <c r="T362" s="118">
        <v>78</v>
      </c>
      <c r="U362" s="118">
        <v>1170</v>
      </c>
      <c r="V362" s="118">
        <v>1560</v>
      </c>
      <c r="W362" s="118">
        <v>0</v>
      </c>
      <c r="X362" s="118">
        <v>8</v>
      </c>
      <c r="Y362" s="118" t="s">
        <v>38</v>
      </c>
      <c r="Z362" s="388" t="s">
        <v>3138</v>
      </c>
      <c r="AA362" s="388" t="s">
        <v>3138</v>
      </c>
      <c r="AB362" s="25" t="s">
        <v>1791</v>
      </c>
      <c r="AC362" s="118">
        <v>100000</v>
      </c>
      <c r="AD362" s="191">
        <v>1</v>
      </c>
      <c r="AE362" s="191">
        <v>1</v>
      </c>
      <c r="AF362">
        <v>0</v>
      </c>
      <c r="AG362" s="402">
        <v>8</v>
      </c>
    </row>
    <row r="363" spans="1:33" ht="14.45" customHeight="1" x14ac:dyDescent="0.15">
      <c r="A363" s="17">
        <v>600009</v>
      </c>
      <c r="B363" s="17" t="s">
        <v>1793</v>
      </c>
      <c r="C363" s="17" t="s">
        <v>1793</v>
      </c>
      <c r="D363" s="118" t="s">
        <v>1746</v>
      </c>
      <c r="E363" s="118">
        <v>0</v>
      </c>
      <c r="F363" s="118">
        <v>0</v>
      </c>
      <c r="G363" s="118"/>
      <c r="H363" s="17" t="s">
        <v>35</v>
      </c>
      <c r="I363" s="118">
        <v>1</v>
      </c>
      <c r="J363" s="118">
        <v>1</v>
      </c>
      <c r="K363" s="118">
        <v>1</v>
      </c>
      <c r="L363" s="118">
        <v>2</v>
      </c>
      <c r="M363" s="118" t="s">
        <v>70</v>
      </c>
      <c r="N363" s="118" t="s">
        <v>1794</v>
      </c>
      <c r="O363" s="118">
        <v>50</v>
      </c>
      <c r="P363" s="118">
        <v>0.5</v>
      </c>
      <c r="Q363" s="118">
        <v>0</v>
      </c>
      <c r="R363" s="118">
        <v>1</v>
      </c>
      <c r="S363" s="25" t="b">
        <v>1</v>
      </c>
      <c r="T363" s="118">
        <v>87</v>
      </c>
      <c r="U363" s="118">
        <v>1305</v>
      </c>
      <c r="V363" s="118">
        <v>1740</v>
      </c>
      <c r="W363" s="118">
        <v>0</v>
      </c>
      <c r="X363" s="118">
        <v>9</v>
      </c>
      <c r="Y363" s="118" t="s">
        <v>38</v>
      </c>
      <c r="Z363" s="388" t="s">
        <v>3139</v>
      </c>
      <c r="AA363" s="388" t="s">
        <v>3139</v>
      </c>
      <c r="AB363" s="25" t="s">
        <v>1797</v>
      </c>
      <c r="AC363" s="118">
        <v>100000</v>
      </c>
      <c r="AD363" s="191">
        <v>1</v>
      </c>
      <c r="AE363" s="191">
        <v>1</v>
      </c>
      <c r="AF363">
        <v>0</v>
      </c>
      <c r="AG363" s="402">
        <v>9</v>
      </c>
    </row>
    <row r="364" spans="1:33" ht="14.45" customHeight="1" x14ac:dyDescent="0.15">
      <c r="A364" s="17">
        <v>600010</v>
      </c>
      <c r="B364" s="17" t="s">
        <v>1799</v>
      </c>
      <c r="C364" s="17" t="s">
        <v>1799</v>
      </c>
      <c r="D364" s="118" t="s">
        <v>1746</v>
      </c>
      <c r="E364" s="118">
        <v>0</v>
      </c>
      <c r="F364" s="118">
        <v>0</v>
      </c>
      <c r="G364" s="118"/>
      <c r="H364" s="17" t="s">
        <v>35</v>
      </c>
      <c r="I364" s="118">
        <v>1</v>
      </c>
      <c r="J364" s="118">
        <v>1</v>
      </c>
      <c r="K364" s="118">
        <v>1</v>
      </c>
      <c r="L364" s="118">
        <v>2</v>
      </c>
      <c r="M364" s="118" t="s">
        <v>70</v>
      </c>
      <c r="N364" s="118" t="s">
        <v>1800</v>
      </c>
      <c r="O364" s="118">
        <v>50</v>
      </c>
      <c r="P364" s="118">
        <v>0.5</v>
      </c>
      <c r="Q364" s="118">
        <v>0</v>
      </c>
      <c r="R364" s="118">
        <v>1</v>
      </c>
      <c r="S364" s="25" t="b">
        <v>1</v>
      </c>
      <c r="T364" s="118">
        <v>97</v>
      </c>
      <c r="U364" s="118">
        <v>1455</v>
      </c>
      <c r="V364" s="118">
        <v>1940</v>
      </c>
      <c r="W364" s="118">
        <v>0</v>
      </c>
      <c r="X364" s="118">
        <v>10</v>
      </c>
      <c r="Y364" s="118" t="s">
        <v>38</v>
      </c>
      <c r="Z364" s="388" t="s">
        <v>3140</v>
      </c>
      <c r="AA364" s="388" t="s">
        <v>3140</v>
      </c>
      <c r="AB364" s="25" t="s">
        <v>1803</v>
      </c>
      <c r="AC364" s="118">
        <v>100000</v>
      </c>
      <c r="AD364" s="191">
        <v>1</v>
      </c>
      <c r="AE364" s="191">
        <v>1</v>
      </c>
      <c r="AF364">
        <v>0</v>
      </c>
      <c r="AG364" s="402">
        <v>10</v>
      </c>
    </row>
    <row r="365" spans="1:33" ht="14.45" customHeight="1" x14ac:dyDescent="0.15">
      <c r="A365" s="41">
        <v>600101</v>
      </c>
      <c r="B365" s="42" t="s">
        <v>1805</v>
      </c>
      <c r="C365" s="42" t="s">
        <v>1805</v>
      </c>
      <c r="D365" s="41" t="s">
        <v>1746</v>
      </c>
      <c r="E365" s="41">
        <v>0</v>
      </c>
      <c r="F365" s="41">
        <v>0</v>
      </c>
      <c r="G365" s="41"/>
      <c r="H365" s="84" t="s">
        <v>107</v>
      </c>
      <c r="I365" s="41">
        <v>2</v>
      </c>
      <c r="J365" s="118">
        <v>2</v>
      </c>
      <c r="K365" s="41">
        <v>0</v>
      </c>
      <c r="L365" s="41">
        <v>2</v>
      </c>
      <c r="M365" s="41">
        <v>3</v>
      </c>
      <c r="N365" s="118" t="s">
        <v>1747</v>
      </c>
      <c r="O365" s="41">
        <v>50</v>
      </c>
      <c r="P365" s="41">
        <v>0.5</v>
      </c>
      <c r="Q365" s="41">
        <v>0</v>
      </c>
      <c r="R365" s="41">
        <v>1</v>
      </c>
      <c r="S365" s="43" t="b">
        <v>1</v>
      </c>
      <c r="T365" s="41">
        <v>9</v>
      </c>
      <c r="U365" s="118">
        <v>135</v>
      </c>
      <c r="V365" s="118">
        <v>180</v>
      </c>
      <c r="W365" s="41">
        <v>0</v>
      </c>
      <c r="X365" s="41">
        <v>1</v>
      </c>
      <c r="Y365" s="41" t="s">
        <v>38</v>
      </c>
      <c r="Z365" s="388" t="s">
        <v>3141</v>
      </c>
      <c r="AA365" s="388" t="s">
        <v>3141</v>
      </c>
      <c r="AB365" s="43" t="s">
        <v>1808</v>
      </c>
      <c r="AC365" s="41">
        <v>200000</v>
      </c>
      <c r="AD365" s="197">
        <v>0</v>
      </c>
      <c r="AE365" s="197">
        <v>0</v>
      </c>
      <c r="AF365">
        <v>0</v>
      </c>
      <c r="AG365" s="435">
        <v>1</v>
      </c>
    </row>
    <row r="366" spans="1:33" ht="14.45" customHeight="1" x14ac:dyDescent="0.15">
      <c r="A366" s="115">
        <v>600102</v>
      </c>
      <c r="B366" s="397" t="s">
        <v>1810</v>
      </c>
      <c r="C366" s="397" t="s">
        <v>1810</v>
      </c>
      <c r="D366" s="121" t="s">
        <v>1746</v>
      </c>
      <c r="E366" s="115">
        <v>0</v>
      </c>
      <c r="F366" s="121">
        <v>0</v>
      </c>
      <c r="G366" s="115"/>
      <c r="H366" s="121" t="s">
        <v>112</v>
      </c>
      <c r="I366" s="121">
        <v>4</v>
      </c>
      <c r="J366" s="118">
        <v>4</v>
      </c>
      <c r="K366" s="115">
        <v>0</v>
      </c>
      <c r="L366" s="121">
        <v>2</v>
      </c>
      <c r="M366" s="115">
        <v>4</v>
      </c>
      <c r="N366" s="118" t="s">
        <v>1753</v>
      </c>
      <c r="O366" s="121">
        <v>50</v>
      </c>
      <c r="P366" s="121">
        <v>0.5</v>
      </c>
      <c r="Q366" s="121">
        <v>0</v>
      </c>
      <c r="R366" s="121">
        <v>1</v>
      </c>
      <c r="S366" s="397" t="b">
        <v>1</v>
      </c>
      <c r="T366" s="115">
        <v>19</v>
      </c>
      <c r="U366" s="118">
        <v>285</v>
      </c>
      <c r="V366" s="118">
        <v>380</v>
      </c>
      <c r="W366" s="115">
        <v>0</v>
      </c>
      <c r="X366" s="115">
        <v>2</v>
      </c>
      <c r="Y366" s="115" t="s">
        <v>38</v>
      </c>
      <c r="Z366" s="388" t="s">
        <v>3142</v>
      </c>
      <c r="AA366" s="388" t="s">
        <v>3142</v>
      </c>
      <c r="AB366" s="397" t="s">
        <v>1768</v>
      </c>
      <c r="AC366" s="115">
        <v>300000</v>
      </c>
      <c r="AD366" s="197">
        <v>1</v>
      </c>
      <c r="AE366" s="197">
        <v>1</v>
      </c>
      <c r="AF366">
        <v>0</v>
      </c>
      <c r="AG366" s="436">
        <v>2</v>
      </c>
    </row>
    <row r="367" spans="1:33" ht="14.45" customHeight="1" x14ac:dyDescent="0.15">
      <c r="A367" s="115">
        <v>600103</v>
      </c>
      <c r="B367" s="123" t="s">
        <v>1814</v>
      </c>
      <c r="C367" s="123" t="s">
        <v>1814</v>
      </c>
      <c r="D367" s="115" t="s">
        <v>1746</v>
      </c>
      <c r="E367" s="115">
        <v>0</v>
      </c>
      <c r="F367" s="115">
        <v>0</v>
      </c>
      <c r="G367" s="115"/>
      <c r="H367" s="121" t="s">
        <v>112</v>
      </c>
      <c r="I367" s="115">
        <v>5</v>
      </c>
      <c r="J367" s="118">
        <v>5</v>
      </c>
      <c r="K367" s="115">
        <v>0</v>
      </c>
      <c r="L367" s="115">
        <v>2</v>
      </c>
      <c r="M367" s="115">
        <v>5</v>
      </c>
      <c r="N367" s="118" t="s">
        <v>1759</v>
      </c>
      <c r="O367" s="115">
        <v>50</v>
      </c>
      <c r="P367" s="115">
        <v>0.5</v>
      </c>
      <c r="Q367" s="115">
        <v>0</v>
      </c>
      <c r="R367" s="115">
        <v>1</v>
      </c>
      <c r="S367" s="397" t="b">
        <v>1</v>
      </c>
      <c r="T367" s="115">
        <v>28</v>
      </c>
      <c r="U367" s="118">
        <v>420</v>
      </c>
      <c r="V367" s="118">
        <v>560</v>
      </c>
      <c r="W367" s="115">
        <v>0</v>
      </c>
      <c r="X367" s="115">
        <v>3</v>
      </c>
      <c r="Y367" s="115" t="s">
        <v>38</v>
      </c>
      <c r="Z367" s="388" t="s">
        <v>3143</v>
      </c>
      <c r="AA367" s="388" t="s">
        <v>3143</v>
      </c>
      <c r="AB367" s="397" t="s">
        <v>1750</v>
      </c>
      <c r="AC367" s="115">
        <v>300000</v>
      </c>
      <c r="AD367" s="197">
        <v>1</v>
      </c>
      <c r="AE367" s="197">
        <v>1</v>
      </c>
      <c r="AF367">
        <v>0</v>
      </c>
      <c r="AG367" s="436">
        <v>3</v>
      </c>
    </row>
    <row r="368" spans="1:33" ht="14.45" customHeight="1" x14ac:dyDescent="0.15">
      <c r="A368" s="41">
        <v>600104</v>
      </c>
      <c r="B368" s="42" t="s">
        <v>1818</v>
      </c>
      <c r="C368" s="42" t="s">
        <v>1818</v>
      </c>
      <c r="D368" s="41" t="s">
        <v>1746</v>
      </c>
      <c r="E368" s="41">
        <v>0</v>
      </c>
      <c r="F368" s="41">
        <v>0</v>
      </c>
      <c r="G368" s="41"/>
      <c r="H368" s="84" t="s">
        <v>107</v>
      </c>
      <c r="I368" s="41">
        <v>5</v>
      </c>
      <c r="J368" s="118">
        <v>5</v>
      </c>
      <c r="K368" s="41">
        <v>0</v>
      </c>
      <c r="L368" s="41">
        <v>2</v>
      </c>
      <c r="M368" s="41">
        <v>5</v>
      </c>
      <c r="N368" s="118" t="s">
        <v>1765</v>
      </c>
      <c r="O368" s="41">
        <v>50</v>
      </c>
      <c r="P368" s="41">
        <v>0.5</v>
      </c>
      <c r="Q368" s="41">
        <v>0</v>
      </c>
      <c r="R368" s="41">
        <v>1</v>
      </c>
      <c r="S368" s="43" t="b">
        <v>1</v>
      </c>
      <c r="T368" s="41">
        <v>39</v>
      </c>
      <c r="U368" s="118">
        <v>585</v>
      </c>
      <c r="V368" s="118">
        <v>780</v>
      </c>
      <c r="W368" s="41">
        <v>0</v>
      </c>
      <c r="X368" s="41">
        <v>4</v>
      </c>
      <c r="Y368" s="41" t="s">
        <v>38</v>
      </c>
      <c r="Z368" s="388" t="s">
        <v>3144</v>
      </c>
      <c r="AA368" s="388" t="s">
        <v>3144</v>
      </c>
      <c r="AB368" s="43" t="s">
        <v>1821</v>
      </c>
      <c r="AC368" s="41">
        <v>100000</v>
      </c>
      <c r="AD368" s="197">
        <v>1</v>
      </c>
      <c r="AE368" s="197">
        <v>1</v>
      </c>
      <c r="AF368">
        <v>0</v>
      </c>
      <c r="AG368" s="435">
        <v>4</v>
      </c>
    </row>
    <row r="369" spans="1:33" ht="14.45" customHeight="1" x14ac:dyDescent="0.15">
      <c r="A369" s="105">
        <v>600106</v>
      </c>
      <c r="B369" s="105" t="s">
        <v>1823</v>
      </c>
      <c r="C369" s="105" t="s">
        <v>1823</v>
      </c>
      <c r="D369" s="43" t="s">
        <v>1746</v>
      </c>
      <c r="E369" s="43">
        <v>1</v>
      </c>
      <c r="F369" s="43">
        <v>0</v>
      </c>
      <c r="G369" s="43"/>
      <c r="H369" s="84" t="s">
        <v>107</v>
      </c>
      <c r="I369" s="43">
        <v>1</v>
      </c>
      <c r="J369" s="118">
        <v>1</v>
      </c>
      <c r="K369" s="43">
        <v>0</v>
      </c>
      <c r="L369" s="43">
        <v>2</v>
      </c>
      <c r="M369" s="43">
        <v>6</v>
      </c>
      <c r="N369" s="118" t="s">
        <v>1776</v>
      </c>
      <c r="O369" s="41">
        <v>50</v>
      </c>
      <c r="P369" s="43">
        <v>0.5</v>
      </c>
      <c r="Q369" s="84">
        <v>0</v>
      </c>
      <c r="R369" s="43">
        <v>1</v>
      </c>
      <c r="S369" s="43" t="b">
        <v>1</v>
      </c>
      <c r="T369" s="84">
        <v>58</v>
      </c>
      <c r="U369" s="118">
        <v>870</v>
      </c>
      <c r="V369" s="118">
        <v>1160</v>
      </c>
      <c r="W369" s="84">
        <v>0</v>
      </c>
      <c r="X369" s="43">
        <v>6</v>
      </c>
      <c r="Y369" s="43" t="s">
        <v>38</v>
      </c>
      <c r="Z369" s="388" t="s">
        <v>3145</v>
      </c>
      <c r="AA369" s="388" t="s">
        <v>3145</v>
      </c>
      <c r="AB369" s="157" t="s">
        <v>1803</v>
      </c>
      <c r="AC369" s="43">
        <v>100000</v>
      </c>
      <c r="AD369" s="197">
        <v>1</v>
      </c>
      <c r="AE369" s="197">
        <v>1</v>
      </c>
      <c r="AF369">
        <v>0</v>
      </c>
      <c r="AG369" s="293">
        <v>6</v>
      </c>
    </row>
    <row r="370" spans="1:33" ht="14.45" customHeight="1" x14ac:dyDescent="0.15">
      <c r="A370" s="105">
        <v>600206</v>
      </c>
      <c r="B370" s="105" t="s">
        <v>1827</v>
      </c>
      <c r="C370" s="105" t="s">
        <v>1827</v>
      </c>
      <c r="D370" s="43" t="s">
        <v>1746</v>
      </c>
      <c r="E370" s="43">
        <v>2</v>
      </c>
      <c r="F370" s="43">
        <v>0</v>
      </c>
      <c r="G370" s="43"/>
      <c r="H370" s="84" t="s">
        <v>107</v>
      </c>
      <c r="I370" s="43">
        <v>1</v>
      </c>
      <c r="J370" s="118">
        <v>1</v>
      </c>
      <c r="K370" s="43">
        <v>0</v>
      </c>
      <c r="L370" s="43">
        <v>2</v>
      </c>
      <c r="M370" s="43">
        <v>6</v>
      </c>
      <c r="N370" s="118" t="s">
        <v>1776</v>
      </c>
      <c r="O370" s="41">
        <v>50</v>
      </c>
      <c r="P370" s="43">
        <v>0.5</v>
      </c>
      <c r="Q370" s="84">
        <v>0</v>
      </c>
      <c r="R370" s="43">
        <v>1</v>
      </c>
      <c r="S370" s="43" t="b">
        <v>1</v>
      </c>
      <c r="T370" s="84">
        <v>58</v>
      </c>
      <c r="U370" s="118">
        <v>870</v>
      </c>
      <c r="V370" s="118">
        <v>1160</v>
      </c>
      <c r="W370" s="84">
        <v>0</v>
      </c>
      <c r="X370" s="43">
        <v>6</v>
      </c>
      <c r="Y370" s="43" t="s">
        <v>38</v>
      </c>
      <c r="Z370" s="388" t="s">
        <v>3146</v>
      </c>
      <c r="AA370" s="388" t="s">
        <v>3146</v>
      </c>
      <c r="AB370" s="157" t="s">
        <v>1821</v>
      </c>
      <c r="AC370" s="43">
        <v>100000</v>
      </c>
      <c r="AD370" s="197">
        <v>1</v>
      </c>
      <c r="AE370" s="197">
        <v>1</v>
      </c>
      <c r="AF370">
        <v>0</v>
      </c>
      <c r="AG370" s="293">
        <v>6</v>
      </c>
    </row>
    <row r="371" spans="1:33" ht="14.45" customHeight="1" x14ac:dyDescent="0.15">
      <c r="A371" s="15">
        <v>700001</v>
      </c>
      <c r="B371" s="16" t="s">
        <v>1831</v>
      </c>
      <c r="C371" s="16" t="s">
        <v>1831</v>
      </c>
      <c r="D371" s="15" t="s">
        <v>1832</v>
      </c>
      <c r="E371" s="15">
        <v>0</v>
      </c>
      <c r="F371" s="15">
        <v>0</v>
      </c>
      <c r="G371" s="15"/>
      <c r="H371" s="118" t="s">
        <v>35</v>
      </c>
      <c r="I371" s="15">
        <v>1</v>
      </c>
      <c r="J371" s="118">
        <v>1</v>
      </c>
      <c r="K371" s="15">
        <v>1</v>
      </c>
      <c r="L371" s="15">
        <v>2</v>
      </c>
      <c r="M371" s="15" t="s">
        <v>36</v>
      </c>
      <c r="N371" s="118" t="s">
        <v>1833</v>
      </c>
      <c r="O371" s="15">
        <v>-1</v>
      </c>
      <c r="P371" s="15"/>
      <c r="Q371" s="15">
        <v>0</v>
      </c>
      <c r="R371" s="15">
        <v>1</v>
      </c>
      <c r="S371" s="25" t="b">
        <v>1</v>
      </c>
      <c r="T371" s="15">
        <v>9</v>
      </c>
      <c r="U371" s="118">
        <v>135</v>
      </c>
      <c r="V371" s="118">
        <v>180</v>
      </c>
      <c r="W371" s="15">
        <v>0</v>
      </c>
      <c r="X371" s="15">
        <v>1</v>
      </c>
      <c r="Y371" s="15" t="s">
        <v>38</v>
      </c>
      <c r="Z371" s="388" t="s">
        <v>3147</v>
      </c>
      <c r="AA371" s="388" t="s">
        <v>3147</v>
      </c>
      <c r="AB371" s="25" t="s">
        <v>1836</v>
      </c>
      <c r="AC371" s="15">
        <v>300000</v>
      </c>
      <c r="AD371" s="197">
        <v>1</v>
      </c>
      <c r="AE371" s="197">
        <v>1</v>
      </c>
      <c r="AF371">
        <v>0</v>
      </c>
      <c r="AG371" s="433">
        <v>1</v>
      </c>
    </row>
    <row r="372" spans="1:33" ht="14.45" customHeight="1" x14ac:dyDescent="0.15">
      <c r="A372" s="15">
        <v>700002</v>
      </c>
      <c r="B372" s="16" t="s">
        <v>1838</v>
      </c>
      <c r="C372" s="16" t="s">
        <v>1838</v>
      </c>
      <c r="D372" s="15" t="s">
        <v>1832</v>
      </c>
      <c r="E372" s="15">
        <v>0</v>
      </c>
      <c r="F372" s="15">
        <v>0</v>
      </c>
      <c r="G372" s="15"/>
      <c r="H372" s="118" t="s">
        <v>35</v>
      </c>
      <c r="I372" s="15">
        <v>1</v>
      </c>
      <c r="J372" s="118">
        <v>1</v>
      </c>
      <c r="K372" s="15">
        <v>1</v>
      </c>
      <c r="L372" s="15">
        <v>2</v>
      </c>
      <c r="M372" s="15" t="s">
        <v>44</v>
      </c>
      <c r="N372" s="118" t="s">
        <v>1839</v>
      </c>
      <c r="O372" s="15">
        <v>-1</v>
      </c>
      <c r="P372" s="15"/>
      <c r="Q372" s="15">
        <v>0</v>
      </c>
      <c r="R372" s="15">
        <v>1</v>
      </c>
      <c r="S372" s="25" t="b">
        <v>1</v>
      </c>
      <c r="T372" s="15">
        <v>19</v>
      </c>
      <c r="U372" s="118">
        <v>285</v>
      </c>
      <c r="V372" s="118">
        <v>380</v>
      </c>
      <c r="W372" s="15">
        <v>0</v>
      </c>
      <c r="X372" s="15">
        <v>2</v>
      </c>
      <c r="Y372" s="15" t="s">
        <v>38</v>
      </c>
      <c r="Z372" s="388" t="s">
        <v>3148</v>
      </c>
      <c r="AA372" s="388" t="s">
        <v>3148</v>
      </c>
      <c r="AB372" s="25" t="s">
        <v>1842</v>
      </c>
      <c r="AC372" s="15">
        <v>300000</v>
      </c>
      <c r="AD372" s="197">
        <v>1</v>
      </c>
      <c r="AE372" s="197">
        <v>1</v>
      </c>
      <c r="AF372">
        <v>0</v>
      </c>
      <c r="AG372" s="433">
        <v>2</v>
      </c>
    </row>
    <row r="373" spans="1:33" ht="14.45" customHeight="1" x14ac:dyDescent="0.15">
      <c r="A373" s="79">
        <v>700202</v>
      </c>
      <c r="B373" s="360" t="s">
        <v>1844</v>
      </c>
      <c r="C373" s="360" t="s">
        <v>1844</v>
      </c>
      <c r="D373" s="79" t="s">
        <v>1832</v>
      </c>
      <c r="E373" s="79">
        <v>0</v>
      </c>
      <c r="F373" s="79">
        <v>0</v>
      </c>
      <c r="G373" s="79"/>
      <c r="H373" s="119" t="s">
        <v>51</v>
      </c>
      <c r="I373" s="79">
        <v>1</v>
      </c>
      <c r="J373" s="118">
        <v>3</v>
      </c>
      <c r="K373" s="119">
        <v>0</v>
      </c>
      <c r="L373" s="79">
        <v>2</v>
      </c>
      <c r="M373" s="119" t="s">
        <v>52</v>
      </c>
      <c r="N373" s="118" t="s">
        <v>1839</v>
      </c>
      <c r="O373" s="79">
        <v>-1</v>
      </c>
      <c r="P373" s="79"/>
      <c r="Q373" s="79">
        <v>0</v>
      </c>
      <c r="R373" s="79">
        <v>1</v>
      </c>
      <c r="S373" s="80" t="b">
        <v>1</v>
      </c>
      <c r="T373" s="79">
        <v>19</v>
      </c>
      <c r="U373" s="118">
        <v>285</v>
      </c>
      <c r="V373" s="118">
        <v>380</v>
      </c>
      <c r="W373" s="79">
        <v>0</v>
      </c>
      <c r="X373" s="79">
        <v>2</v>
      </c>
      <c r="Y373" s="79" t="s">
        <v>38</v>
      </c>
      <c r="Z373" s="388" t="s">
        <v>3148</v>
      </c>
      <c r="AA373" s="388" t="s">
        <v>3148</v>
      </c>
      <c r="AB373" s="80" t="s">
        <v>1842</v>
      </c>
      <c r="AC373" s="79">
        <v>300000</v>
      </c>
      <c r="AD373" s="92">
        <v>1</v>
      </c>
      <c r="AE373" s="92">
        <v>1</v>
      </c>
      <c r="AF373">
        <v>0</v>
      </c>
      <c r="AG373" s="434">
        <v>2</v>
      </c>
    </row>
    <row r="374" spans="1:33" ht="14.45" customHeight="1" x14ac:dyDescent="0.15">
      <c r="A374" s="15">
        <v>700003</v>
      </c>
      <c r="B374" s="21" t="s">
        <v>1847</v>
      </c>
      <c r="C374" s="21" t="s">
        <v>1847</v>
      </c>
      <c r="D374" s="15" t="s">
        <v>1832</v>
      </c>
      <c r="E374" s="15">
        <v>0</v>
      </c>
      <c r="F374" s="15">
        <v>0</v>
      </c>
      <c r="G374" s="15"/>
      <c r="H374" s="118" t="s">
        <v>35</v>
      </c>
      <c r="I374" s="15">
        <v>1</v>
      </c>
      <c r="J374" s="118">
        <v>1</v>
      </c>
      <c r="K374" s="15">
        <v>1</v>
      </c>
      <c r="L374" s="15">
        <v>2</v>
      </c>
      <c r="M374" s="15" t="s">
        <v>56</v>
      </c>
      <c r="N374" s="118" t="s">
        <v>1848</v>
      </c>
      <c r="O374" s="15">
        <v>-1</v>
      </c>
      <c r="P374" s="15"/>
      <c r="Q374" s="15">
        <v>0</v>
      </c>
      <c r="R374" s="15">
        <v>1</v>
      </c>
      <c r="S374" s="25" t="b">
        <v>1</v>
      </c>
      <c r="T374" s="15">
        <v>28</v>
      </c>
      <c r="U374" s="118">
        <v>420</v>
      </c>
      <c r="V374" s="118">
        <v>560</v>
      </c>
      <c r="W374" s="15">
        <v>0</v>
      </c>
      <c r="X374" s="15">
        <v>3</v>
      </c>
      <c r="Y374" s="15" t="s">
        <v>38</v>
      </c>
      <c r="Z374" s="388" t="s">
        <v>3149</v>
      </c>
      <c r="AA374" s="388" t="s">
        <v>3149</v>
      </c>
      <c r="AB374" s="25" t="s">
        <v>1851</v>
      </c>
      <c r="AC374" s="15">
        <v>200000</v>
      </c>
      <c r="AD374" s="197">
        <v>1</v>
      </c>
      <c r="AE374" s="197">
        <v>1</v>
      </c>
      <c r="AF374">
        <v>0</v>
      </c>
      <c r="AG374" s="433">
        <v>3</v>
      </c>
    </row>
    <row r="375" spans="1:33" ht="14.45" customHeight="1" x14ac:dyDescent="0.15">
      <c r="A375" s="15">
        <v>700004</v>
      </c>
      <c r="B375" s="72" t="s">
        <v>1853</v>
      </c>
      <c r="C375" s="72" t="s">
        <v>1853</v>
      </c>
      <c r="D375" s="15" t="s">
        <v>1832</v>
      </c>
      <c r="E375" s="15">
        <v>0</v>
      </c>
      <c r="F375" s="15">
        <v>0</v>
      </c>
      <c r="G375" s="15"/>
      <c r="H375" s="118" t="s">
        <v>35</v>
      </c>
      <c r="I375" s="15">
        <v>1</v>
      </c>
      <c r="J375" s="118">
        <v>1</v>
      </c>
      <c r="K375" s="15">
        <v>1</v>
      </c>
      <c r="L375" s="15">
        <v>2</v>
      </c>
      <c r="M375" s="15" t="s">
        <v>63</v>
      </c>
      <c r="N375" s="118" t="s">
        <v>1854</v>
      </c>
      <c r="O375" s="15">
        <v>-1</v>
      </c>
      <c r="P375" s="15"/>
      <c r="Q375" s="15">
        <v>0</v>
      </c>
      <c r="R375" s="15">
        <v>1</v>
      </c>
      <c r="S375" s="25" t="b">
        <v>1</v>
      </c>
      <c r="T375" s="15">
        <v>39</v>
      </c>
      <c r="U375" s="118">
        <v>585</v>
      </c>
      <c r="V375" s="118">
        <v>780</v>
      </c>
      <c r="W375" s="15">
        <v>0</v>
      </c>
      <c r="X375" s="15">
        <v>4</v>
      </c>
      <c r="Y375" s="15" t="s">
        <v>38</v>
      </c>
      <c r="Z375" s="388" t="s">
        <v>3150</v>
      </c>
      <c r="AA375" s="388" t="s">
        <v>3150</v>
      </c>
      <c r="AB375" s="25" t="s">
        <v>1857</v>
      </c>
      <c r="AC375" s="15">
        <v>100000</v>
      </c>
      <c r="AD375" s="197">
        <v>1</v>
      </c>
      <c r="AE375" s="197">
        <v>1</v>
      </c>
      <c r="AF375">
        <v>0</v>
      </c>
      <c r="AG375" s="433">
        <v>4</v>
      </c>
    </row>
    <row r="376" spans="1:33" ht="14.45" customHeight="1" x14ac:dyDescent="0.15">
      <c r="A376" s="17">
        <v>700005</v>
      </c>
      <c r="B376" s="17" t="s">
        <v>1859</v>
      </c>
      <c r="C376" s="17" t="s">
        <v>1859</v>
      </c>
      <c r="D376" s="118" t="s">
        <v>1832</v>
      </c>
      <c r="E376" s="118">
        <v>0</v>
      </c>
      <c r="F376" s="118">
        <v>0</v>
      </c>
      <c r="G376" s="118"/>
      <c r="H376" s="118" t="s">
        <v>35</v>
      </c>
      <c r="I376" s="118">
        <v>1</v>
      </c>
      <c r="J376" s="118">
        <v>1</v>
      </c>
      <c r="K376" s="118">
        <v>1</v>
      </c>
      <c r="L376" s="118">
        <v>2</v>
      </c>
      <c r="M376" s="118" t="s">
        <v>70</v>
      </c>
      <c r="N376" s="118" t="s">
        <v>1860</v>
      </c>
      <c r="O376" s="118">
        <v>-1</v>
      </c>
      <c r="P376" s="118"/>
      <c r="Q376" s="118">
        <v>0</v>
      </c>
      <c r="R376" s="118">
        <v>1</v>
      </c>
      <c r="S376" s="25" t="b">
        <v>1</v>
      </c>
      <c r="T376" s="118">
        <v>48</v>
      </c>
      <c r="U376" s="118">
        <v>720</v>
      </c>
      <c r="V376" s="118">
        <v>960</v>
      </c>
      <c r="W376" s="118">
        <v>0</v>
      </c>
      <c r="X376" s="118">
        <v>5</v>
      </c>
      <c r="Y376" s="118" t="s">
        <v>38</v>
      </c>
      <c r="Z376" s="388" t="s">
        <v>3151</v>
      </c>
      <c r="AA376" s="388" t="s">
        <v>3151</v>
      </c>
      <c r="AB376" s="25" t="s">
        <v>1863</v>
      </c>
      <c r="AC376" s="118">
        <v>200000</v>
      </c>
      <c r="AD376" s="197">
        <v>1</v>
      </c>
      <c r="AE376" s="197">
        <v>1</v>
      </c>
      <c r="AF376">
        <v>0</v>
      </c>
      <c r="AG376" s="402">
        <v>5</v>
      </c>
    </row>
    <row r="377" spans="1:33" ht="14.45" customHeight="1" x14ac:dyDescent="0.15">
      <c r="A377" s="17">
        <v>700006</v>
      </c>
      <c r="B377" s="17" t="s">
        <v>1865</v>
      </c>
      <c r="C377" s="17" t="s">
        <v>1865</v>
      </c>
      <c r="D377" s="118" t="s">
        <v>1832</v>
      </c>
      <c r="E377" s="118">
        <v>0</v>
      </c>
      <c r="F377" s="118">
        <v>0</v>
      </c>
      <c r="G377" s="118"/>
      <c r="H377" s="118" t="s">
        <v>35</v>
      </c>
      <c r="I377" s="118">
        <v>1</v>
      </c>
      <c r="J377" s="118">
        <v>1</v>
      </c>
      <c r="K377" s="118">
        <v>1</v>
      </c>
      <c r="L377" s="118">
        <v>2</v>
      </c>
      <c r="M377" s="118" t="s">
        <v>70</v>
      </c>
      <c r="N377" s="118" t="s">
        <v>1866</v>
      </c>
      <c r="O377" s="118">
        <v>-1</v>
      </c>
      <c r="P377" s="118"/>
      <c r="Q377" s="118">
        <v>0</v>
      </c>
      <c r="R377" s="118">
        <v>1</v>
      </c>
      <c r="S377" s="25" t="b">
        <v>1</v>
      </c>
      <c r="T377" s="118">
        <v>58</v>
      </c>
      <c r="U377" s="118">
        <v>870</v>
      </c>
      <c r="V377" s="118">
        <v>1160</v>
      </c>
      <c r="W377" s="118">
        <v>0</v>
      </c>
      <c r="X377" s="118">
        <v>6</v>
      </c>
      <c r="Y377" s="118" t="s">
        <v>38</v>
      </c>
      <c r="Z377" s="388" t="s">
        <v>3152</v>
      </c>
      <c r="AA377" s="388" t="s">
        <v>3152</v>
      </c>
      <c r="AB377" s="25" t="s">
        <v>1869</v>
      </c>
      <c r="AC377" s="118">
        <v>200000</v>
      </c>
      <c r="AD377" s="197">
        <v>1</v>
      </c>
      <c r="AE377" s="197">
        <v>1</v>
      </c>
      <c r="AF377">
        <v>0</v>
      </c>
      <c r="AG377" s="402">
        <v>6</v>
      </c>
    </row>
    <row r="378" spans="1:33" ht="14.45" customHeight="1" x14ac:dyDescent="0.15">
      <c r="A378" s="17">
        <v>700007</v>
      </c>
      <c r="B378" s="17" t="s">
        <v>1871</v>
      </c>
      <c r="C378" s="17" t="s">
        <v>1871</v>
      </c>
      <c r="D378" s="118" t="s">
        <v>1832</v>
      </c>
      <c r="E378" s="118">
        <v>0</v>
      </c>
      <c r="F378" s="118">
        <v>0</v>
      </c>
      <c r="G378" s="118"/>
      <c r="H378" s="118" t="s">
        <v>35</v>
      </c>
      <c r="I378" s="118">
        <v>1</v>
      </c>
      <c r="J378" s="118">
        <v>1</v>
      </c>
      <c r="K378" s="118">
        <v>1</v>
      </c>
      <c r="L378" s="118">
        <v>2</v>
      </c>
      <c r="M378" s="118" t="s">
        <v>70</v>
      </c>
      <c r="N378" s="118" t="s">
        <v>1872</v>
      </c>
      <c r="O378" s="118">
        <v>-1</v>
      </c>
      <c r="P378" s="118"/>
      <c r="Q378" s="118">
        <v>0</v>
      </c>
      <c r="R378" s="118">
        <v>1</v>
      </c>
      <c r="S378" s="25" t="b">
        <v>1</v>
      </c>
      <c r="T378" s="118">
        <v>67</v>
      </c>
      <c r="U378" s="118">
        <v>1005</v>
      </c>
      <c r="V378" s="118">
        <v>1340</v>
      </c>
      <c r="W378" s="118">
        <v>0</v>
      </c>
      <c r="X378" s="118">
        <v>7</v>
      </c>
      <c r="Y378" s="118" t="s">
        <v>38</v>
      </c>
      <c r="Z378" s="388" t="s">
        <v>3153</v>
      </c>
      <c r="AA378" s="388" t="s">
        <v>3153</v>
      </c>
      <c r="AB378" s="25" t="s">
        <v>1875</v>
      </c>
      <c r="AC378" s="118">
        <v>200000</v>
      </c>
      <c r="AD378" s="197">
        <v>1</v>
      </c>
      <c r="AE378" s="197">
        <v>1</v>
      </c>
      <c r="AF378">
        <v>0</v>
      </c>
      <c r="AG378" s="402">
        <v>7</v>
      </c>
    </row>
    <row r="379" spans="1:33" ht="14.45" customHeight="1" x14ac:dyDescent="0.15">
      <c r="A379" s="420">
        <v>700008</v>
      </c>
      <c r="B379" s="438" t="s">
        <v>1877</v>
      </c>
      <c r="C379" s="438" t="s">
        <v>1877</v>
      </c>
      <c r="D379" s="421" t="s">
        <v>1832</v>
      </c>
      <c r="E379" s="421">
        <v>0</v>
      </c>
      <c r="F379" s="421">
        <v>0</v>
      </c>
      <c r="G379" s="421"/>
      <c r="H379" s="420" t="s">
        <v>35</v>
      </c>
      <c r="I379" s="421">
        <v>1</v>
      </c>
      <c r="J379" s="118">
        <v>1</v>
      </c>
      <c r="K379" s="421">
        <v>1</v>
      </c>
      <c r="L379" s="421">
        <v>2</v>
      </c>
      <c r="M379" s="421" t="s">
        <v>70</v>
      </c>
      <c r="N379" s="118" t="s">
        <v>1878</v>
      </c>
      <c r="O379" s="421">
        <v>-1</v>
      </c>
      <c r="P379" s="421"/>
      <c r="Q379" s="421">
        <v>0</v>
      </c>
      <c r="R379" s="421">
        <v>1</v>
      </c>
      <c r="S379" s="439" t="b">
        <v>1</v>
      </c>
      <c r="T379" s="421">
        <v>78</v>
      </c>
      <c r="U379" s="118">
        <v>1170</v>
      </c>
      <c r="V379" s="118">
        <v>1560</v>
      </c>
      <c r="W379" s="421">
        <v>0</v>
      </c>
      <c r="X379" s="421">
        <v>8</v>
      </c>
      <c r="Y379" s="421" t="s">
        <v>38</v>
      </c>
      <c r="Z379" s="388" t="s">
        <v>3154</v>
      </c>
      <c r="AA379" s="388" t="s">
        <v>3154</v>
      </c>
      <c r="AB379" s="439" t="s">
        <v>1881</v>
      </c>
      <c r="AC379" s="421">
        <v>200000</v>
      </c>
      <c r="AD379" s="424">
        <v>1</v>
      </c>
      <c r="AE379" s="424">
        <v>1</v>
      </c>
      <c r="AF379">
        <v>0</v>
      </c>
      <c r="AG379" s="425">
        <v>8</v>
      </c>
    </row>
    <row r="380" spans="1:33" ht="14.45" customHeight="1" x14ac:dyDescent="0.15">
      <c r="A380" s="420">
        <v>700009</v>
      </c>
      <c r="B380" s="420" t="s">
        <v>1883</v>
      </c>
      <c r="C380" s="420" t="s">
        <v>1883</v>
      </c>
      <c r="D380" s="421" t="s">
        <v>1832</v>
      </c>
      <c r="E380" s="421">
        <v>0</v>
      </c>
      <c r="F380" s="421">
        <v>0</v>
      </c>
      <c r="G380" s="421"/>
      <c r="H380" s="420" t="s">
        <v>35</v>
      </c>
      <c r="I380" s="421">
        <v>1</v>
      </c>
      <c r="J380" s="118">
        <v>1</v>
      </c>
      <c r="K380" s="421">
        <v>1</v>
      </c>
      <c r="L380" s="421">
        <v>2</v>
      </c>
      <c r="M380" s="421" t="s">
        <v>70</v>
      </c>
      <c r="N380" s="118" t="s">
        <v>1884</v>
      </c>
      <c r="O380" s="421">
        <v>-1</v>
      </c>
      <c r="P380" s="421"/>
      <c r="Q380" s="421">
        <v>0</v>
      </c>
      <c r="R380" s="421">
        <v>1</v>
      </c>
      <c r="S380" s="439" t="b">
        <v>1</v>
      </c>
      <c r="T380" s="421">
        <v>87</v>
      </c>
      <c r="U380" s="118">
        <v>1305</v>
      </c>
      <c r="V380" s="118">
        <v>1740</v>
      </c>
      <c r="W380" s="421">
        <v>0</v>
      </c>
      <c r="X380" s="421">
        <v>9</v>
      </c>
      <c r="Y380" s="421" t="s">
        <v>38</v>
      </c>
      <c r="Z380" s="388" t="s">
        <v>3155</v>
      </c>
      <c r="AA380" s="388" t="s">
        <v>3155</v>
      </c>
      <c r="AB380" s="439" t="s">
        <v>1887</v>
      </c>
      <c r="AC380" s="421">
        <v>200000</v>
      </c>
      <c r="AD380" s="424">
        <v>1</v>
      </c>
      <c r="AE380" s="424">
        <v>1</v>
      </c>
      <c r="AF380">
        <v>0</v>
      </c>
      <c r="AG380" s="425">
        <v>9</v>
      </c>
    </row>
    <row r="381" spans="1:33" ht="14.45" customHeight="1" x14ac:dyDescent="0.15">
      <c r="A381" s="420">
        <v>700010</v>
      </c>
      <c r="B381" s="420" t="s">
        <v>1889</v>
      </c>
      <c r="C381" s="420" t="s">
        <v>1889</v>
      </c>
      <c r="D381" s="421" t="s">
        <v>1832</v>
      </c>
      <c r="E381" s="421">
        <v>0</v>
      </c>
      <c r="F381" s="421">
        <v>0</v>
      </c>
      <c r="G381" s="421"/>
      <c r="H381" s="420" t="s">
        <v>35</v>
      </c>
      <c r="I381" s="421">
        <v>1</v>
      </c>
      <c r="J381" s="118">
        <v>1</v>
      </c>
      <c r="K381" s="421">
        <v>1</v>
      </c>
      <c r="L381" s="421">
        <v>2</v>
      </c>
      <c r="M381" s="421" t="s">
        <v>70</v>
      </c>
      <c r="N381" s="118" t="s">
        <v>1890</v>
      </c>
      <c r="O381" s="421">
        <v>-1</v>
      </c>
      <c r="P381" s="421"/>
      <c r="Q381" s="421">
        <v>0</v>
      </c>
      <c r="R381" s="421">
        <v>1</v>
      </c>
      <c r="S381" s="439" t="b">
        <v>1</v>
      </c>
      <c r="T381" s="421">
        <v>97</v>
      </c>
      <c r="U381" s="118">
        <v>1455</v>
      </c>
      <c r="V381" s="118">
        <v>1940</v>
      </c>
      <c r="W381" s="421">
        <v>0</v>
      </c>
      <c r="X381" s="421">
        <v>10</v>
      </c>
      <c r="Y381" s="421" t="s">
        <v>38</v>
      </c>
      <c r="Z381" s="388" t="s">
        <v>3156</v>
      </c>
      <c r="AA381" s="388" t="s">
        <v>3156</v>
      </c>
      <c r="AB381" s="439" t="s">
        <v>1893</v>
      </c>
      <c r="AC381" s="421">
        <v>200000</v>
      </c>
      <c r="AD381" s="424">
        <v>1</v>
      </c>
      <c r="AE381" s="424">
        <v>1</v>
      </c>
      <c r="AF381">
        <v>0</v>
      </c>
      <c r="AG381" s="425">
        <v>10</v>
      </c>
    </row>
    <row r="382" spans="1:33" ht="14.45" customHeight="1" x14ac:dyDescent="0.15">
      <c r="A382" s="115">
        <v>700102</v>
      </c>
      <c r="B382" s="121" t="s">
        <v>1895</v>
      </c>
      <c r="C382" s="121" t="s">
        <v>1895</v>
      </c>
      <c r="D382" s="121" t="s">
        <v>1832</v>
      </c>
      <c r="E382" s="115">
        <v>0</v>
      </c>
      <c r="F382" s="121">
        <v>0</v>
      </c>
      <c r="G382" s="115"/>
      <c r="H382" s="121" t="s">
        <v>112</v>
      </c>
      <c r="I382" s="121">
        <v>4</v>
      </c>
      <c r="J382" s="118">
        <v>4</v>
      </c>
      <c r="K382" s="115">
        <v>0</v>
      </c>
      <c r="L382" s="121">
        <v>2</v>
      </c>
      <c r="M382" s="115">
        <v>4</v>
      </c>
      <c r="N382" s="118" t="s">
        <v>1839</v>
      </c>
      <c r="O382" s="121">
        <v>-1</v>
      </c>
      <c r="P382" s="121"/>
      <c r="Q382" s="121">
        <v>0</v>
      </c>
      <c r="R382" s="121">
        <v>1</v>
      </c>
      <c r="S382" s="397" t="b">
        <v>1</v>
      </c>
      <c r="T382" s="115">
        <v>19</v>
      </c>
      <c r="U382" s="118">
        <v>285</v>
      </c>
      <c r="V382" s="118">
        <v>380</v>
      </c>
      <c r="W382" s="115">
        <v>0</v>
      </c>
      <c r="X382" s="115">
        <v>2</v>
      </c>
      <c r="Y382" s="115" t="s">
        <v>38</v>
      </c>
      <c r="Z382" s="388" t="s">
        <v>3157</v>
      </c>
      <c r="AA382" s="388" t="s">
        <v>3157</v>
      </c>
      <c r="AB382" s="397" t="s">
        <v>1887</v>
      </c>
      <c r="AC382" s="115">
        <v>300000</v>
      </c>
      <c r="AD382" s="197">
        <v>1</v>
      </c>
      <c r="AE382" s="197">
        <v>1</v>
      </c>
      <c r="AF382">
        <v>0</v>
      </c>
      <c r="AG382" s="436">
        <v>2</v>
      </c>
    </row>
    <row r="383" spans="1:33" ht="14.45" customHeight="1" x14ac:dyDescent="0.15">
      <c r="A383" s="115">
        <v>700103</v>
      </c>
      <c r="B383" s="121" t="s">
        <v>1899</v>
      </c>
      <c r="C383" s="121" t="s">
        <v>1899</v>
      </c>
      <c r="D383" s="121" t="s">
        <v>1832</v>
      </c>
      <c r="E383" s="115">
        <v>0</v>
      </c>
      <c r="F383" s="121">
        <v>0</v>
      </c>
      <c r="G383" s="115"/>
      <c r="H383" s="121" t="s">
        <v>112</v>
      </c>
      <c r="I383" s="121">
        <v>4</v>
      </c>
      <c r="J383" s="118">
        <v>4</v>
      </c>
      <c r="K383" s="115">
        <v>0</v>
      </c>
      <c r="L383" s="121">
        <v>2</v>
      </c>
      <c r="M383" s="115">
        <v>4</v>
      </c>
      <c r="N383" s="118" t="s">
        <v>1848</v>
      </c>
      <c r="O383" s="121">
        <v>-1</v>
      </c>
      <c r="P383" s="121"/>
      <c r="Q383" s="121">
        <v>0</v>
      </c>
      <c r="R383" s="121">
        <v>1</v>
      </c>
      <c r="S383" s="397" t="b">
        <v>1</v>
      </c>
      <c r="T383" s="115">
        <v>28</v>
      </c>
      <c r="U383" s="118">
        <v>420</v>
      </c>
      <c r="V383" s="118">
        <v>560</v>
      </c>
      <c r="W383" s="115">
        <v>0</v>
      </c>
      <c r="X383" s="115">
        <v>3</v>
      </c>
      <c r="Y383" s="115" t="s">
        <v>38</v>
      </c>
      <c r="Z383" s="388" t="s">
        <v>3158</v>
      </c>
      <c r="AA383" s="388" t="s">
        <v>3158</v>
      </c>
      <c r="AB383" s="397" t="s">
        <v>1842</v>
      </c>
      <c r="AC383" s="115">
        <v>200000</v>
      </c>
      <c r="AD383" s="197">
        <v>1</v>
      </c>
      <c r="AE383" s="197">
        <v>1</v>
      </c>
      <c r="AF383">
        <v>0</v>
      </c>
      <c r="AG383" s="436">
        <v>3</v>
      </c>
    </row>
    <row r="384" spans="1:33" ht="14.45" customHeight="1" x14ac:dyDescent="0.15">
      <c r="A384" s="115">
        <v>700104</v>
      </c>
      <c r="B384" s="121" t="s">
        <v>1903</v>
      </c>
      <c r="C384" s="121" t="s">
        <v>1903</v>
      </c>
      <c r="D384" s="121" t="s">
        <v>1832</v>
      </c>
      <c r="E384" s="115">
        <v>0</v>
      </c>
      <c r="F384" s="121">
        <v>0</v>
      </c>
      <c r="G384" s="115"/>
      <c r="H384" s="121" t="s">
        <v>112</v>
      </c>
      <c r="I384" s="121">
        <v>5</v>
      </c>
      <c r="J384" s="118">
        <v>5</v>
      </c>
      <c r="K384" s="115">
        <v>0</v>
      </c>
      <c r="L384" s="121">
        <v>2</v>
      </c>
      <c r="M384" s="115">
        <v>5</v>
      </c>
      <c r="N384" s="118" t="s">
        <v>1854</v>
      </c>
      <c r="O384" s="121">
        <v>-1</v>
      </c>
      <c r="P384" s="121"/>
      <c r="Q384" s="121">
        <v>0</v>
      </c>
      <c r="R384" s="121">
        <v>1</v>
      </c>
      <c r="S384" s="397" t="b">
        <v>1</v>
      </c>
      <c r="T384" s="115">
        <v>39</v>
      </c>
      <c r="U384" s="118">
        <v>585</v>
      </c>
      <c r="V384" s="118">
        <v>780</v>
      </c>
      <c r="W384" s="115">
        <v>0</v>
      </c>
      <c r="X384" s="115">
        <v>4</v>
      </c>
      <c r="Y384" s="115" t="s">
        <v>38</v>
      </c>
      <c r="Z384" s="388" t="s">
        <v>3159</v>
      </c>
      <c r="AA384" s="388" t="s">
        <v>3159</v>
      </c>
      <c r="AB384" s="397" t="s">
        <v>1863</v>
      </c>
      <c r="AC384" s="115">
        <v>200000</v>
      </c>
      <c r="AD384" s="197">
        <v>1</v>
      </c>
      <c r="AE384" s="197">
        <v>1</v>
      </c>
      <c r="AF384">
        <v>0</v>
      </c>
      <c r="AG384" s="436">
        <v>4</v>
      </c>
    </row>
    <row r="385" spans="1:33" ht="14.45" customHeight="1" x14ac:dyDescent="0.15">
      <c r="A385" s="15">
        <v>800001</v>
      </c>
      <c r="B385" s="16" t="s">
        <v>1907</v>
      </c>
      <c r="C385" s="16" t="s">
        <v>1907</v>
      </c>
      <c r="D385" s="15" t="s">
        <v>1908</v>
      </c>
      <c r="E385" s="15">
        <v>0</v>
      </c>
      <c r="F385" s="15">
        <v>0</v>
      </c>
      <c r="G385" s="15"/>
      <c r="H385" s="118" t="s">
        <v>35</v>
      </c>
      <c r="I385" s="15">
        <v>1</v>
      </c>
      <c r="J385" s="118">
        <v>1</v>
      </c>
      <c r="K385" s="15">
        <v>1</v>
      </c>
      <c r="L385" s="15">
        <v>2</v>
      </c>
      <c r="M385" s="15" t="s">
        <v>36</v>
      </c>
      <c r="N385" s="118" t="s">
        <v>1909</v>
      </c>
      <c r="O385" s="15">
        <v>-1</v>
      </c>
      <c r="P385" s="15"/>
      <c r="Q385" s="15">
        <v>0</v>
      </c>
      <c r="R385" s="15">
        <v>1</v>
      </c>
      <c r="S385" s="25" t="b">
        <v>1</v>
      </c>
      <c r="T385" s="15">
        <v>9</v>
      </c>
      <c r="U385" s="118">
        <v>135</v>
      </c>
      <c r="V385" s="118">
        <v>180</v>
      </c>
      <c r="W385" s="15">
        <v>0</v>
      </c>
      <c r="X385" s="15">
        <v>1</v>
      </c>
      <c r="Y385" s="15" t="s">
        <v>38</v>
      </c>
      <c r="Z385" s="388" t="s">
        <v>3160</v>
      </c>
      <c r="AA385" s="388" t="s">
        <v>3160</v>
      </c>
      <c r="AB385" s="25" t="s">
        <v>1912</v>
      </c>
      <c r="AC385" s="15">
        <v>300000</v>
      </c>
      <c r="AD385" s="197">
        <v>1</v>
      </c>
      <c r="AE385" s="197">
        <v>1</v>
      </c>
      <c r="AF385">
        <v>0</v>
      </c>
      <c r="AG385" s="433">
        <v>1</v>
      </c>
    </row>
    <row r="386" spans="1:33" ht="14.45" customHeight="1" x14ac:dyDescent="0.15">
      <c r="A386" s="15">
        <v>800002</v>
      </c>
      <c r="B386" s="16" t="s">
        <v>1914</v>
      </c>
      <c r="C386" s="16" t="s">
        <v>1914</v>
      </c>
      <c r="D386" s="15" t="s">
        <v>1908</v>
      </c>
      <c r="E386" s="15">
        <v>0</v>
      </c>
      <c r="F386" s="15">
        <v>0</v>
      </c>
      <c r="G386" s="15"/>
      <c r="H386" s="118" t="s">
        <v>35</v>
      </c>
      <c r="I386" s="15">
        <v>1</v>
      </c>
      <c r="J386" s="118">
        <v>1</v>
      </c>
      <c r="K386" s="15">
        <v>1</v>
      </c>
      <c r="L386" s="15">
        <v>2</v>
      </c>
      <c r="M386" s="15" t="s">
        <v>44</v>
      </c>
      <c r="N386" s="118" t="s">
        <v>1915</v>
      </c>
      <c r="O386" s="15">
        <v>-1</v>
      </c>
      <c r="P386" s="15"/>
      <c r="Q386" s="15">
        <v>0</v>
      </c>
      <c r="R386" s="15">
        <v>1</v>
      </c>
      <c r="S386" s="25" t="b">
        <v>1</v>
      </c>
      <c r="T386" s="15">
        <v>19</v>
      </c>
      <c r="U386" s="118">
        <v>285</v>
      </c>
      <c r="V386" s="118">
        <v>380</v>
      </c>
      <c r="W386" s="15">
        <v>0</v>
      </c>
      <c r="X386" s="15">
        <v>2</v>
      </c>
      <c r="Y386" s="15" t="s">
        <v>38</v>
      </c>
      <c r="Z386" s="388" t="s">
        <v>3161</v>
      </c>
      <c r="AA386" s="388" t="s">
        <v>3161</v>
      </c>
      <c r="AB386" s="25" t="s">
        <v>1918</v>
      </c>
      <c r="AC386" s="15">
        <v>300000</v>
      </c>
      <c r="AD386" s="197">
        <v>1</v>
      </c>
      <c r="AE386" s="197">
        <v>1</v>
      </c>
      <c r="AF386">
        <v>0</v>
      </c>
      <c r="AG386" s="433">
        <v>2</v>
      </c>
    </row>
    <row r="387" spans="1:33" ht="14.45" customHeight="1" x14ac:dyDescent="0.15">
      <c r="A387" s="15">
        <v>800003</v>
      </c>
      <c r="B387" s="21" t="s">
        <v>1920</v>
      </c>
      <c r="C387" s="21" t="s">
        <v>1920</v>
      </c>
      <c r="D387" s="15" t="s">
        <v>1908</v>
      </c>
      <c r="E387" s="15">
        <v>0</v>
      </c>
      <c r="F387" s="15">
        <v>0</v>
      </c>
      <c r="G387" s="15"/>
      <c r="H387" s="118" t="s">
        <v>35</v>
      </c>
      <c r="I387" s="15">
        <v>1</v>
      </c>
      <c r="J387" s="118">
        <v>1</v>
      </c>
      <c r="K387" s="15">
        <v>1</v>
      </c>
      <c r="L387" s="15">
        <v>2</v>
      </c>
      <c r="M387" s="15" t="s">
        <v>56</v>
      </c>
      <c r="N387" s="118" t="s">
        <v>1921</v>
      </c>
      <c r="O387" s="15">
        <v>-1</v>
      </c>
      <c r="P387" s="15"/>
      <c r="Q387" s="15">
        <v>0</v>
      </c>
      <c r="R387" s="15">
        <v>1</v>
      </c>
      <c r="S387" s="25" t="b">
        <v>1</v>
      </c>
      <c r="T387" s="15">
        <v>28</v>
      </c>
      <c r="U387" s="118">
        <v>420</v>
      </c>
      <c r="V387" s="118">
        <v>560</v>
      </c>
      <c r="W387" s="15">
        <v>0</v>
      </c>
      <c r="X387" s="15">
        <v>3</v>
      </c>
      <c r="Y387" s="15" t="s">
        <v>38</v>
      </c>
      <c r="Z387" s="388" t="s">
        <v>3162</v>
      </c>
      <c r="AA387" s="388" t="s">
        <v>3162</v>
      </c>
      <c r="AB387" s="25" t="s">
        <v>1924</v>
      </c>
      <c r="AC387" s="18">
        <v>100000</v>
      </c>
      <c r="AD387" s="197">
        <v>1</v>
      </c>
      <c r="AE387" s="197">
        <v>1</v>
      </c>
      <c r="AF387">
        <v>0</v>
      </c>
      <c r="AG387" s="433">
        <v>3</v>
      </c>
    </row>
    <row r="388" spans="1:33" ht="14.45" customHeight="1" x14ac:dyDescent="0.15">
      <c r="A388" s="15">
        <v>800004</v>
      </c>
      <c r="B388" s="72" t="s">
        <v>1926</v>
      </c>
      <c r="C388" s="72" t="s">
        <v>1926</v>
      </c>
      <c r="D388" s="15" t="s">
        <v>1908</v>
      </c>
      <c r="E388" s="15">
        <v>0</v>
      </c>
      <c r="F388" s="15">
        <v>0</v>
      </c>
      <c r="G388" s="15"/>
      <c r="H388" s="118" t="s">
        <v>35</v>
      </c>
      <c r="I388" s="15">
        <v>1</v>
      </c>
      <c r="J388" s="118">
        <v>1</v>
      </c>
      <c r="K388" s="15">
        <v>1</v>
      </c>
      <c r="L388" s="15">
        <v>2</v>
      </c>
      <c r="M388" s="15" t="s">
        <v>63</v>
      </c>
      <c r="N388" s="118" t="s">
        <v>1927</v>
      </c>
      <c r="O388" s="15">
        <v>-1</v>
      </c>
      <c r="P388" s="15"/>
      <c r="Q388" s="15">
        <v>0</v>
      </c>
      <c r="R388" s="15">
        <v>1</v>
      </c>
      <c r="S388" s="25" t="b">
        <v>1</v>
      </c>
      <c r="T388" s="15">
        <v>39</v>
      </c>
      <c r="U388" s="118">
        <v>585</v>
      </c>
      <c r="V388" s="118">
        <v>780</v>
      </c>
      <c r="W388" s="15">
        <v>0</v>
      </c>
      <c r="X388" s="15">
        <v>4</v>
      </c>
      <c r="Y388" s="15" t="s">
        <v>38</v>
      </c>
      <c r="Z388" s="388" t="s">
        <v>3163</v>
      </c>
      <c r="AA388" s="388" t="s">
        <v>3163</v>
      </c>
      <c r="AB388" s="25" t="s">
        <v>1930</v>
      </c>
      <c r="AC388" s="45">
        <v>100000</v>
      </c>
      <c r="AD388" s="197">
        <v>1</v>
      </c>
      <c r="AE388" s="197">
        <v>1</v>
      </c>
      <c r="AF388">
        <v>0</v>
      </c>
      <c r="AG388" s="433">
        <v>4</v>
      </c>
    </row>
    <row r="389" spans="1:33" ht="14.45" customHeight="1" x14ac:dyDescent="0.15">
      <c r="A389" s="17">
        <v>800005</v>
      </c>
      <c r="B389" s="17" t="s">
        <v>1932</v>
      </c>
      <c r="C389" s="17" t="s">
        <v>1932</v>
      </c>
      <c r="D389" s="118" t="s">
        <v>1908</v>
      </c>
      <c r="E389" s="118">
        <v>0</v>
      </c>
      <c r="F389" s="118">
        <v>0</v>
      </c>
      <c r="G389" s="118"/>
      <c r="H389" s="118" t="s">
        <v>35</v>
      </c>
      <c r="I389" s="118">
        <v>1</v>
      </c>
      <c r="J389" s="118">
        <v>1</v>
      </c>
      <c r="K389" s="118">
        <v>1</v>
      </c>
      <c r="L389" s="118">
        <v>2</v>
      </c>
      <c r="M389" s="118" t="s">
        <v>70</v>
      </c>
      <c r="N389" s="118" t="s">
        <v>1933</v>
      </c>
      <c r="O389" s="118">
        <v>-1</v>
      </c>
      <c r="P389" s="118"/>
      <c r="Q389" s="118">
        <v>0</v>
      </c>
      <c r="R389" s="118">
        <v>1</v>
      </c>
      <c r="S389" s="25" t="b">
        <v>1</v>
      </c>
      <c r="T389" s="118">
        <v>48</v>
      </c>
      <c r="U389" s="118">
        <v>720</v>
      </c>
      <c r="V389" s="118">
        <v>960</v>
      </c>
      <c r="W389" s="118">
        <v>0</v>
      </c>
      <c r="X389" s="118">
        <v>5</v>
      </c>
      <c r="Y389" s="118" t="s">
        <v>38</v>
      </c>
      <c r="Z389" s="388" t="s">
        <v>3164</v>
      </c>
      <c r="AA389" s="388" t="s">
        <v>3164</v>
      </c>
      <c r="AB389" s="25" t="s">
        <v>1936</v>
      </c>
      <c r="AC389" s="25">
        <v>100000</v>
      </c>
      <c r="AD389" s="197">
        <v>1</v>
      </c>
      <c r="AE389" s="197">
        <v>1</v>
      </c>
      <c r="AF389">
        <v>0</v>
      </c>
      <c r="AG389" s="402">
        <v>5</v>
      </c>
    </row>
    <row r="390" spans="1:33" ht="14.45" customHeight="1" x14ac:dyDescent="0.15">
      <c r="A390" s="17">
        <v>800006</v>
      </c>
      <c r="B390" s="17" t="s">
        <v>1938</v>
      </c>
      <c r="C390" s="17" t="s">
        <v>1938</v>
      </c>
      <c r="D390" s="118" t="s">
        <v>1908</v>
      </c>
      <c r="E390" s="118">
        <v>0</v>
      </c>
      <c r="F390" s="118">
        <v>0</v>
      </c>
      <c r="G390" s="118"/>
      <c r="H390" s="118" t="s">
        <v>35</v>
      </c>
      <c r="I390" s="118">
        <v>1</v>
      </c>
      <c r="J390" s="118">
        <v>1</v>
      </c>
      <c r="K390" s="118">
        <v>1</v>
      </c>
      <c r="L390" s="118">
        <v>2</v>
      </c>
      <c r="M390" s="118" t="s">
        <v>70</v>
      </c>
      <c r="N390" s="118" t="s">
        <v>1939</v>
      </c>
      <c r="O390" s="118">
        <v>-1</v>
      </c>
      <c r="P390" s="118"/>
      <c r="Q390" s="118">
        <v>0</v>
      </c>
      <c r="R390" s="118">
        <v>1</v>
      </c>
      <c r="S390" s="25" t="b">
        <v>1</v>
      </c>
      <c r="T390" s="118">
        <v>58</v>
      </c>
      <c r="U390" s="118">
        <v>870</v>
      </c>
      <c r="V390" s="118">
        <v>1160</v>
      </c>
      <c r="W390" s="118">
        <v>0</v>
      </c>
      <c r="X390" s="118">
        <v>6</v>
      </c>
      <c r="Y390" s="118" t="s">
        <v>38</v>
      </c>
      <c r="Z390" s="388" t="s">
        <v>3165</v>
      </c>
      <c r="AA390" s="388" t="s">
        <v>3165</v>
      </c>
      <c r="AB390" s="25" t="s">
        <v>1942</v>
      </c>
      <c r="AC390" s="25">
        <v>100000</v>
      </c>
      <c r="AD390" s="197">
        <v>1</v>
      </c>
      <c r="AE390" s="197">
        <v>1</v>
      </c>
      <c r="AF390">
        <v>0</v>
      </c>
      <c r="AG390" s="402">
        <v>6</v>
      </c>
    </row>
    <row r="391" spans="1:33" ht="14.45" customHeight="1" x14ac:dyDescent="0.15">
      <c r="A391" s="17">
        <v>800007</v>
      </c>
      <c r="B391" s="17" t="s">
        <v>1944</v>
      </c>
      <c r="C391" s="17" t="s">
        <v>1944</v>
      </c>
      <c r="D391" s="118" t="s">
        <v>1908</v>
      </c>
      <c r="E391" s="118">
        <v>0</v>
      </c>
      <c r="F391" s="118">
        <v>0</v>
      </c>
      <c r="G391" s="118"/>
      <c r="H391" s="118" t="s">
        <v>35</v>
      </c>
      <c r="I391" s="118">
        <v>1</v>
      </c>
      <c r="J391" s="118">
        <v>1</v>
      </c>
      <c r="K391" s="118">
        <v>1</v>
      </c>
      <c r="L391" s="118">
        <v>2</v>
      </c>
      <c r="M391" s="118" t="s">
        <v>70</v>
      </c>
      <c r="N391" s="118" t="s">
        <v>1945</v>
      </c>
      <c r="O391" s="118">
        <v>-1</v>
      </c>
      <c r="P391" s="118"/>
      <c r="Q391" s="118">
        <v>0</v>
      </c>
      <c r="R391" s="118">
        <v>1</v>
      </c>
      <c r="S391" s="25" t="b">
        <v>1</v>
      </c>
      <c r="T391" s="118">
        <v>67</v>
      </c>
      <c r="U391" s="118">
        <v>1005</v>
      </c>
      <c r="V391" s="118">
        <v>1340</v>
      </c>
      <c r="W391" s="118">
        <v>0</v>
      </c>
      <c r="X391" s="118">
        <v>7</v>
      </c>
      <c r="Y391" s="118" t="s">
        <v>38</v>
      </c>
      <c r="Z391" s="388" t="s">
        <v>3166</v>
      </c>
      <c r="AA391" s="388" t="s">
        <v>3166</v>
      </c>
      <c r="AB391" s="25" t="s">
        <v>1948</v>
      </c>
      <c r="AC391" s="25">
        <v>100000</v>
      </c>
      <c r="AD391" s="197">
        <v>1</v>
      </c>
      <c r="AE391" s="197">
        <v>1</v>
      </c>
      <c r="AF391">
        <v>0</v>
      </c>
      <c r="AG391" s="402">
        <v>7</v>
      </c>
    </row>
    <row r="392" spans="1:33" ht="14.45" customHeight="1" x14ac:dyDescent="0.15">
      <c r="A392" s="420">
        <v>800008</v>
      </c>
      <c r="B392" s="420" t="s">
        <v>1950</v>
      </c>
      <c r="C392" s="420" t="s">
        <v>1950</v>
      </c>
      <c r="D392" s="421" t="s">
        <v>1908</v>
      </c>
      <c r="E392" s="421">
        <v>0</v>
      </c>
      <c r="F392" s="421">
        <v>0</v>
      </c>
      <c r="G392" s="421"/>
      <c r="H392" s="420" t="s">
        <v>35</v>
      </c>
      <c r="I392" s="421">
        <v>1</v>
      </c>
      <c r="J392" s="118">
        <v>1</v>
      </c>
      <c r="K392" s="421">
        <v>1</v>
      </c>
      <c r="L392" s="421">
        <v>2</v>
      </c>
      <c r="M392" s="421" t="s">
        <v>70</v>
      </c>
      <c r="N392" s="118" t="s">
        <v>1951</v>
      </c>
      <c r="O392" s="421">
        <v>-1</v>
      </c>
      <c r="P392" s="421"/>
      <c r="Q392" s="421">
        <v>0</v>
      </c>
      <c r="R392" s="421">
        <v>1</v>
      </c>
      <c r="S392" s="439" t="b">
        <v>1</v>
      </c>
      <c r="T392" s="421">
        <v>78</v>
      </c>
      <c r="U392" s="118">
        <v>1170</v>
      </c>
      <c r="V392" s="118">
        <v>1560</v>
      </c>
      <c r="W392" s="421">
        <v>0</v>
      </c>
      <c r="X392" s="421">
        <v>8</v>
      </c>
      <c r="Y392" s="421" t="s">
        <v>38</v>
      </c>
      <c r="Z392" s="388" t="s">
        <v>3167</v>
      </c>
      <c r="AA392" s="388" t="s">
        <v>3167</v>
      </c>
      <c r="AB392" s="439" t="s">
        <v>1954</v>
      </c>
      <c r="AC392" s="439">
        <v>100000</v>
      </c>
      <c r="AD392" s="424">
        <v>1</v>
      </c>
      <c r="AE392" s="424">
        <v>1</v>
      </c>
      <c r="AF392">
        <v>0</v>
      </c>
      <c r="AG392" s="425">
        <v>8</v>
      </c>
    </row>
    <row r="393" spans="1:33" ht="14.45" customHeight="1" x14ac:dyDescent="0.15">
      <c r="A393" s="420">
        <v>800009</v>
      </c>
      <c r="B393" s="420" t="s">
        <v>1956</v>
      </c>
      <c r="C393" s="420" t="s">
        <v>1956</v>
      </c>
      <c r="D393" s="421" t="s">
        <v>1908</v>
      </c>
      <c r="E393" s="421">
        <v>0</v>
      </c>
      <c r="F393" s="421">
        <v>0</v>
      </c>
      <c r="G393" s="421"/>
      <c r="H393" s="420" t="s">
        <v>35</v>
      </c>
      <c r="I393" s="421">
        <v>1</v>
      </c>
      <c r="J393" s="118">
        <v>1</v>
      </c>
      <c r="K393" s="421">
        <v>1</v>
      </c>
      <c r="L393" s="421">
        <v>2</v>
      </c>
      <c r="M393" s="421" t="s">
        <v>70</v>
      </c>
      <c r="N393" s="118" t="s">
        <v>1957</v>
      </c>
      <c r="O393" s="421">
        <v>-1</v>
      </c>
      <c r="P393" s="421"/>
      <c r="Q393" s="421">
        <v>0</v>
      </c>
      <c r="R393" s="421">
        <v>1</v>
      </c>
      <c r="S393" s="439" t="b">
        <v>1</v>
      </c>
      <c r="T393" s="421">
        <v>87</v>
      </c>
      <c r="U393" s="118">
        <v>1305</v>
      </c>
      <c r="V393" s="118">
        <v>1740</v>
      </c>
      <c r="W393" s="421">
        <v>0</v>
      </c>
      <c r="X393" s="421">
        <v>9</v>
      </c>
      <c r="Y393" s="421" t="s">
        <v>38</v>
      </c>
      <c r="Z393" s="388" t="s">
        <v>3168</v>
      </c>
      <c r="AA393" s="388" t="s">
        <v>3168</v>
      </c>
      <c r="AB393" s="439" t="s">
        <v>1960</v>
      </c>
      <c r="AC393" s="439">
        <v>100000</v>
      </c>
      <c r="AD393" s="424">
        <v>1</v>
      </c>
      <c r="AE393" s="424">
        <v>1</v>
      </c>
      <c r="AF393">
        <v>0</v>
      </c>
      <c r="AG393" s="425">
        <v>9</v>
      </c>
    </row>
    <row r="394" spans="1:33" ht="14.45" customHeight="1" x14ac:dyDescent="0.15">
      <c r="A394" s="420">
        <v>800010</v>
      </c>
      <c r="B394" s="420" t="s">
        <v>1962</v>
      </c>
      <c r="C394" s="420" t="s">
        <v>1962</v>
      </c>
      <c r="D394" s="421" t="s">
        <v>1908</v>
      </c>
      <c r="E394" s="421">
        <v>0</v>
      </c>
      <c r="F394" s="421">
        <v>0</v>
      </c>
      <c r="G394" s="421"/>
      <c r="H394" s="420" t="s">
        <v>35</v>
      </c>
      <c r="I394" s="421">
        <v>1</v>
      </c>
      <c r="J394" s="118">
        <v>1</v>
      </c>
      <c r="K394" s="421">
        <v>1</v>
      </c>
      <c r="L394" s="421">
        <v>2</v>
      </c>
      <c r="M394" s="421" t="s">
        <v>70</v>
      </c>
      <c r="N394" s="118" t="s">
        <v>1963</v>
      </c>
      <c r="O394" s="421">
        <v>-1</v>
      </c>
      <c r="P394" s="421"/>
      <c r="Q394" s="421">
        <v>0</v>
      </c>
      <c r="R394" s="421">
        <v>1</v>
      </c>
      <c r="S394" s="439" t="b">
        <v>1</v>
      </c>
      <c r="T394" s="421">
        <v>97</v>
      </c>
      <c r="U394" s="118">
        <v>1455</v>
      </c>
      <c r="V394" s="118">
        <v>1940</v>
      </c>
      <c r="W394" s="421">
        <v>0</v>
      </c>
      <c r="X394" s="421">
        <v>10</v>
      </c>
      <c r="Y394" s="421" t="s">
        <v>38</v>
      </c>
      <c r="Z394" s="388" t="s">
        <v>3169</v>
      </c>
      <c r="AA394" s="388" t="s">
        <v>3169</v>
      </c>
      <c r="AB394" s="439" t="s">
        <v>1966</v>
      </c>
      <c r="AC394" s="439">
        <v>100000</v>
      </c>
      <c r="AD394" s="424">
        <v>1</v>
      </c>
      <c r="AE394" s="424">
        <v>1</v>
      </c>
      <c r="AF394">
        <v>0</v>
      </c>
      <c r="AG394" s="425">
        <v>10</v>
      </c>
    </row>
    <row r="395" spans="1:33" ht="14.45" customHeight="1" x14ac:dyDescent="0.15">
      <c r="A395" s="41">
        <v>800101</v>
      </c>
      <c r="B395" s="42" t="s">
        <v>1968</v>
      </c>
      <c r="C395" s="42" t="s">
        <v>1968</v>
      </c>
      <c r="D395" s="41" t="s">
        <v>1908</v>
      </c>
      <c r="E395" s="41">
        <v>0</v>
      </c>
      <c r="F395" s="41">
        <v>0</v>
      </c>
      <c r="G395" s="41"/>
      <c r="H395" s="84" t="s">
        <v>107</v>
      </c>
      <c r="I395" s="41">
        <v>2</v>
      </c>
      <c r="J395" s="118">
        <v>2</v>
      </c>
      <c r="K395" s="41">
        <v>0</v>
      </c>
      <c r="L395" s="41">
        <v>2</v>
      </c>
      <c r="M395" s="41">
        <v>3</v>
      </c>
      <c r="N395" s="118" t="s">
        <v>1909</v>
      </c>
      <c r="O395" s="41">
        <v>-1</v>
      </c>
      <c r="P395" s="41"/>
      <c r="Q395" s="41">
        <v>0</v>
      </c>
      <c r="R395" s="41">
        <v>1</v>
      </c>
      <c r="S395" s="43" t="b">
        <v>1</v>
      </c>
      <c r="T395" s="41">
        <v>9</v>
      </c>
      <c r="U395" s="118">
        <v>135</v>
      </c>
      <c r="V395" s="118">
        <v>180</v>
      </c>
      <c r="W395" s="41">
        <v>0</v>
      </c>
      <c r="X395" s="41">
        <v>1</v>
      </c>
      <c r="Y395" s="41" t="s">
        <v>38</v>
      </c>
      <c r="Z395" s="388" t="s">
        <v>3170</v>
      </c>
      <c r="AA395" s="388" t="s">
        <v>3170</v>
      </c>
      <c r="AB395" s="43" t="s">
        <v>1971</v>
      </c>
      <c r="AC395" s="41">
        <v>300000</v>
      </c>
      <c r="AD395" s="197">
        <v>0</v>
      </c>
      <c r="AE395" s="197">
        <v>0</v>
      </c>
      <c r="AF395">
        <v>0</v>
      </c>
      <c r="AG395" s="435">
        <v>1</v>
      </c>
    </row>
    <row r="396" spans="1:33" ht="14.45" customHeight="1" x14ac:dyDescent="0.15">
      <c r="A396" s="115">
        <v>800102</v>
      </c>
      <c r="B396" s="121" t="s">
        <v>1973</v>
      </c>
      <c r="C396" s="121" t="s">
        <v>1973</v>
      </c>
      <c r="D396" s="121" t="s">
        <v>1908</v>
      </c>
      <c r="E396" s="115">
        <v>0</v>
      </c>
      <c r="F396" s="121">
        <v>0</v>
      </c>
      <c r="G396" s="115"/>
      <c r="H396" s="121" t="s">
        <v>112</v>
      </c>
      <c r="I396" s="121">
        <v>4</v>
      </c>
      <c r="J396" s="118">
        <v>4</v>
      </c>
      <c r="K396" s="115">
        <v>0</v>
      </c>
      <c r="L396" s="121">
        <v>2</v>
      </c>
      <c r="M396" s="115">
        <v>4</v>
      </c>
      <c r="N396" s="118" t="s">
        <v>1915</v>
      </c>
      <c r="O396" s="121">
        <v>-1</v>
      </c>
      <c r="P396" s="121"/>
      <c r="Q396" s="121">
        <v>0</v>
      </c>
      <c r="R396" s="121">
        <v>1</v>
      </c>
      <c r="S396" s="397" t="b">
        <v>1</v>
      </c>
      <c r="T396" s="115">
        <v>19</v>
      </c>
      <c r="U396" s="118">
        <v>285</v>
      </c>
      <c r="V396" s="118">
        <v>380</v>
      </c>
      <c r="W396" s="115">
        <v>0</v>
      </c>
      <c r="X396" s="115">
        <v>2</v>
      </c>
      <c r="Y396" s="115" t="s">
        <v>38</v>
      </c>
      <c r="Z396" s="388" t="s">
        <v>3171</v>
      </c>
      <c r="AA396" s="388" t="s">
        <v>3171</v>
      </c>
      <c r="AB396" s="397" t="s">
        <v>1930</v>
      </c>
      <c r="AC396" s="115">
        <v>300000</v>
      </c>
      <c r="AD396" s="197">
        <v>1</v>
      </c>
      <c r="AE396" s="197">
        <v>1</v>
      </c>
      <c r="AF396">
        <v>0</v>
      </c>
      <c r="AG396" s="436">
        <v>2</v>
      </c>
    </row>
    <row r="397" spans="1:33" ht="14.45" customHeight="1" x14ac:dyDescent="0.15">
      <c r="A397" s="117">
        <v>800103</v>
      </c>
      <c r="B397" s="124" t="s">
        <v>289</v>
      </c>
      <c r="C397" s="124" t="s">
        <v>289</v>
      </c>
      <c r="D397" s="117" t="s">
        <v>1908</v>
      </c>
      <c r="E397" s="117">
        <v>0</v>
      </c>
      <c r="F397" s="117">
        <v>0</v>
      </c>
      <c r="G397" s="117"/>
      <c r="H397" s="117"/>
      <c r="I397" s="117">
        <v>5</v>
      </c>
      <c r="J397" s="118">
        <v>5</v>
      </c>
      <c r="K397" s="117">
        <v>0</v>
      </c>
      <c r="L397" s="117">
        <v>2</v>
      </c>
      <c r="M397" s="117">
        <v>5</v>
      </c>
      <c r="N397" s="118" t="s">
        <v>1921</v>
      </c>
      <c r="O397" s="117">
        <v>-1</v>
      </c>
      <c r="P397" s="117"/>
      <c r="Q397" s="117">
        <v>0</v>
      </c>
      <c r="R397" s="398">
        <v>1</v>
      </c>
      <c r="S397" s="398" t="b">
        <v>1</v>
      </c>
      <c r="T397" s="117">
        <v>28</v>
      </c>
      <c r="U397" s="118">
        <v>420</v>
      </c>
      <c r="V397" s="118">
        <v>560</v>
      </c>
      <c r="W397" s="117">
        <v>0</v>
      </c>
      <c r="X397" s="117">
        <v>3</v>
      </c>
      <c r="Y397" s="117" t="s">
        <v>38</v>
      </c>
      <c r="Z397" s="388" t="s">
        <v>3172</v>
      </c>
      <c r="AA397" s="388" t="s">
        <v>3172</v>
      </c>
      <c r="AB397" s="398" t="s">
        <v>1978</v>
      </c>
      <c r="AC397" s="117">
        <v>300000</v>
      </c>
      <c r="AD397" s="197">
        <v>1</v>
      </c>
      <c r="AE397" s="197">
        <v>1</v>
      </c>
      <c r="AF397">
        <v>0</v>
      </c>
      <c r="AG397" s="437">
        <v>3</v>
      </c>
    </row>
    <row r="398" spans="1:33" ht="14.45" customHeight="1" x14ac:dyDescent="0.15">
      <c r="A398" s="127">
        <v>800104</v>
      </c>
      <c r="B398" s="128" t="s">
        <v>1980</v>
      </c>
      <c r="C398" s="128" t="s">
        <v>1980</v>
      </c>
      <c r="D398" s="134" t="s">
        <v>1908</v>
      </c>
      <c r="E398" s="130">
        <v>3</v>
      </c>
      <c r="F398" s="130">
        <v>0</v>
      </c>
      <c r="G398" s="130"/>
      <c r="H398" s="130" t="s">
        <v>1981</v>
      </c>
      <c r="I398" s="130">
        <v>1</v>
      </c>
      <c r="J398" s="118">
        <v>1</v>
      </c>
      <c r="K398" s="130">
        <v>0</v>
      </c>
      <c r="L398" s="130">
        <v>2</v>
      </c>
      <c r="M398" s="130">
        <v>5</v>
      </c>
      <c r="N398" s="118" t="s">
        <v>1927</v>
      </c>
      <c r="O398" s="134">
        <v>-1</v>
      </c>
      <c r="P398" s="127"/>
      <c r="Q398" s="134">
        <v>0</v>
      </c>
      <c r="R398" s="130">
        <v>1</v>
      </c>
      <c r="S398" s="130" t="b">
        <v>1</v>
      </c>
      <c r="T398" s="134">
        <v>39</v>
      </c>
      <c r="U398" s="118">
        <v>585</v>
      </c>
      <c r="V398" s="118">
        <v>780</v>
      </c>
      <c r="W398" s="134">
        <v>0</v>
      </c>
      <c r="X398" s="130">
        <v>4</v>
      </c>
      <c r="Y398" s="130" t="s">
        <v>38</v>
      </c>
      <c r="Z398" s="388" t="s">
        <v>3173</v>
      </c>
      <c r="AA398" s="388" t="s">
        <v>3173</v>
      </c>
      <c r="AB398" s="442" t="s">
        <v>1984</v>
      </c>
      <c r="AC398" s="130">
        <v>100000</v>
      </c>
      <c r="AD398" s="197">
        <v>1</v>
      </c>
      <c r="AE398" s="197">
        <v>1</v>
      </c>
      <c r="AF398">
        <v>0</v>
      </c>
      <c r="AG398" s="416">
        <v>4</v>
      </c>
    </row>
    <row r="399" spans="1:33" ht="14.45" customHeight="1" x14ac:dyDescent="0.15">
      <c r="A399" s="128">
        <v>800108</v>
      </c>
      <c r="B399" s="128" t="s">
        <v>1986</v>
      </c>
      <c r="C399" s="128" t="s">
        <v>1986</v>
      </c>
      <c r="D399" s="134" t="s">
        <v>1908</v>
      </c>
      <c r="E399" s="130">
        <v>4</v>
      </c>
      <c r="F399" s="130">
        <v>0</v>
      </c>
      <c r="G399" s="130"/>
      <c r="H399" s="130" t="s">
        <v>1981</v>
      </c>
      <c r="I399" s="130">
        <v>1</v>
      </c>
      <c r="J399" s="118">
        <v>1</v>
      </c>
      <c r="K399" s="130">
        <v>0</v>
      </c>
      <c r="L399" s="130">
        <v>2</v>
      </c>
      <c r="M399" s="130">
        <v>5</v>
      </c>
      <c r="N399" s="118" t="s">
        <v>1951</v>
      </c>
      <c r="O399" s="134">
        <v>-1</v>
      </c>
      <c r="P399" s="127"/>
      <c r="Q399" s="134">
        <v>0</v>
      </c>
      <c r="R399" s="130">
        <v>1</v>
      </c>
      <c r="S399" s="130" t="b">
        <v>1</v>
      </c>
      <c r="T399" s="134">
        <v>78</v>
      </c>
      <c r="U399" s="118">
        <v>1170</v>
      </c>
      <c r="V399" s="118">
        <v>1560</v>
      </c>
      <c r="W399" s="134">
        <v>0</v>
      </c>
      <c r="X399" s="118">
        <v>8</v>
      </c>
      <c r="Y399" s="130" t="s">
        <v>38</v>
      </c>
      <c r="Z399" s="388" t="s">
        <v>3173</v>
      </c>
      <c r="AA399" s="388" t="s">
        <v>3173</v>
      </c>
      <c r="AB399" s="442" t="s">
        <v>1988</v>
      </c>
      <c r="AC399" s="130">
        <v>100000</v>
      </c>
      <c r="AD399" s="197">
        <v>1</v>
      </c>
      <c r="AE399" s="197">
        <v>1</v>
      </c>
      <c r="AF399">
        <v>0</v>
      </c>
      <c r="AG399" s="416">
        <v>8</v>
      </c>
    </row>
    <row r="400" spans="1:33" ht="14.45" customHeight="1" x14ac:dyDescent="0.15">
      <c r="A400" s="129">
        <v>800109</v>
      </c>
      <c r="B400" s="129" t="s">
        <v>1990</v>
      </c>
      <c r="C400" s="129" t="s">
        <v>1990</v>
      </c>
      <c r="D400" s="135" t="s">
        <v>1908</v>
      </c>
      <c r="E400" s="440">
        <v>5</v>
      </c>
      <c r="F400" s="440">
        <v>0</v>
      </c>
      <c r="G400" s="440"/>
      <c r="H400" s="135" t="s">
        <v>51</v>
      </c>
      <c r="I400" s="440">
        <v>1</v>
      </c>
      <c r="J400" s="118">
        <v>1</v>
      </c>
      <c r="K400" s="119">
        <v>0</v>
      </c>
      <c r="L400" s="440">
        <v>2</v>
      </c>
      <c r="M400" s="440">
        <v>6</v>
      </c>
      <c r="N400" s="118" t="s">
        <v>1957</v>
      </c>
      <c r="O400" s="135">
        <v>-1</v>
      </c>
      <c r="P400" s="441"/>
      <c r="Q400" s="135">
        <v>0</v>
      </c>
      <c r="R400" s="440">
        <v>1</v>
      </c>
      <c r="S400" s="440" t="b">
        <v>1</v>
      </c>
      <c r="T400" s="135">
        <v>87</v>
      </c>
      <c r="U400" s="118">
        <v>1305</v>
      </c>
      <c r="V400" s="118">
        <v>1740</v>
      </c>
      <c r="W400" s="135">
        <v>0</v>
      </c>
      <c r="X400" s="118">
        <v>9</v>
      </c>
      <c r="Y400" s="440" t="s">
        <v>38</v>
      </c>
      <c r="Z400" s="388" t="s">
        <v>3174</v>
      </c>
      <c r="AA400" s="388" t="s">
        <v>3174</v>
      </c>
      <c r="AB400" s="443" t="s">
        <v>1993</v>
      </c>
      <c r="AC400" s="440">
        <v>100000</v>
      </c>
      <c r="AD400" s="197">
        <v>1</v>
      </c>
      <c r="AE400" s="197">
        <v>1</v>
      </c>
      <c r="AF400">
        <v>0</v>
      </c>
      <c r="AG400" s="444">
        <v>9</v>
      </c>
    </row>
    <row r="401" spans="1:33" ht="14.45" customHeight="1" x14ac:dyDescent="0.15">
      <c r="A401" s="84">
        <v>900104</v>
      </c>
      <c r="B401" s="105" t="s">
        <v>1995</v>
      </c>
      <c r="C401" s="105" t="s">
        <v>1995</v>
      </c>
      <c r="D401" s="84" t="s">
        <v>33</v>
      </c>
      <c r="E401" s="84">
        <v>22</v>
      </c>
      <c r="F401" s="84" t="s">
        <v>1996</v>
      </c>
      <c r="G401" s="84" t="s">
        <v>1323</v>
      </c>
      <c r="H401" s="84"/>
      <c r="I401" s="84">
        <v>1</v>
      </c>
      <c r="J401" s="118">
        <v>1</v>
      </c>
      <c r="K401" s="84">
        <v>0</v>
      </c>
      <c r="L401" s="84">
        <v>3</v>
      </c>
      <c r="M401" s="84" t="s">
        <v>56</v>
      </c>
      <c r="N401" s="118" t="s">
        <v>37</v>
      </c>
      <c r="O401" s="84">
        <v>50</v>
      </c>
      <c r="P401" s="84">
        <v>0.5</v>
      </c>
      <c r="Q401" s="84">
        <v>0</v>
      </c>
      <c r="R401" s="43">
        <v>1</v>
      </c>
      <c r="S401" s="43" t="b">
        <v>1</v>
      </c>
      <c r="T401" s="84">
        <v>13</v>
      </c>
      <c r="U401" s="118">
        <v>195</v>
      </c>
      <c r="V401" s="118">
        <v>260</v>
      </c>
      <c r="W401" s="84">
        <v>0</v>
      </c>
      <c r="X401" s="84">
        <v>1</v>
      </c>
      <c r="Y401" s="84" t="s">
        <v>38</v>
      </c>
      <c r="Z401" s="388" t="s">
        <v>3175</v>
      </c>
      <c r="AA401" s="388" t="s">
        <v>3175</v>
      </c>
      <c r="AB401" s="43" t="s">
        <v>41</v>
      </c>
      <c r="AC401" s="84">
        <v>100000</v>
      </c>
      <c r="AD401" s="197">
        <v>1</v>
      </c>
      <c r="AE401" s="197">
        <v>1</v>
      </c>
      <c r="AF401">
        <v>0</v>
      </c>
      <c r="AG401" s="404">
        <v>1</v>
      </c>
    </row>
    <row r="402" spans="1:33" x14ac:dyDescent="0.15">
      <c r="A402" s="130">
        <v>102604</v>
      </c>
      <c r="B402" s="130" t="s">
        <v>1999</v>
      </c>
      <c r="C402" s="130" t="s">
        <v>1999</v>
      </c>
      <c r="D402" s="130" t="s">
        <v>33</v>
      </c>
      <c r="E402" s="130">
        <v>2</v>
      </c>
      <c r="F402" s="130" t="s">
        <v>134</v>
      </c>
      <c r="G402" s="130" t="s">
        <v>179</v>
      </c>
      <c r="H402" s="130" t="s">
        <v>112</v>
      </c>
      <c r="I402" s="130">
        <v>5</v>
      </c>
      <c r="J402" s="118">
        <v>5</v>
      </c>
      <c r="K402" s="130">
        <v>0</v>
      </c>
      <c r="L402" s="130">
        <v>3</v>
      </c>
      <c r="M402" s="130">
        <v>5</v>
      </c>
      <c r="N402" s="118" t="s">
        <v>64</v>
      </c>
      <c r="O402" s="130">
        <v>50</v>
      </c>
      <c r="P402" s="130">
        <v>0.7</v>
      </c>
      <c r="Q402" s="130">
        <v>0</v>
      </c>
      <c r="R402" s="130">
        <v>1</v>
      </c>
      <c r="S402" s="130" t="b">
        <v>1</v>
      </c>
      <c r="T402" s="130">
        <v>52</v>
      </c>
      <c r="U402" s="118">
        <v>780</v>
      </c>
      <c r="V402" s="118">
        <v>1040</v>
      </c>
      <c r="W402" s="130">
        <v>0</v>
      </c>
      <c r="X402" s="130">
        <v>4</v>
      </c>
      <c r="Y402" s="130" t="s">
        <v>38</v>
      </c>
      <c r="Z402" s="388" t="s">
        <v>2896</v>
      </c>
      <c r="AA402" s="388" t="s">
        <v>2896</v>
      </c>
      <c r="AB402" s="130" t="s">
        <v>2001</v>
      </c>
      <c r="AC402" s="130">
        <v>100000</v>
      </c>
      <c r="AD402" s="197">
        <v>1</v>
      </c>
      <c r="AE402" s="197">
        <v>1</v>
      </c>
      <c r="AF402">
        <v>0</v>
      </c>
      <c r="AG402" s="416">
        <v>4</v>
      </c>
    </row>
    <row r="403" spans="1:33" x14ac:dyDescent="0.15">
      <c r="A403" s="130">
        <v>102505</v>
      </c>
      <c r="B403" s="130" t="s">
        <v>2003</v>
      </c>
      <c r="C403" s="130" t="s">
        <v>2003</v>
      </c>
      <c r="D403" s="130" t="s">
        <v>33</v>
      </c>
      <c r="E403" s="130">
        <v>2</v>
      </c>
      <c r="F403" s="130" t="s">
        <v>134</v>
      </c>
      <c r="G403" s="130" t="s">
        <v>146</v>
      </c>
      <c r="H403" s="130" t="s">
        <v>112</v>
      </c>
      <c r="I403" s="130">
        <v>5</v>
      </c>
      <c r="J403" s="118">
        <v>5</v>
      </c>
      <c r="K403" s="130">
        <v>0</v>
      </c>
      <c r="L403" s="130">
        <v>3</v>
      </c>
      <c r="M403" s="130">
        <v>5</v>
      </c>
      <c r="N403" s="118" t="s">
        <v>71</v>
      </c>
      <c r="O403" s="130">
        <v>50</v>
      </c>
      <c r="P403" s="130">
        <v>0.7</v>
      </c>
      <c r="Q403" s="130">
        <v>0</v>
      </c>
      <c r="R403" s="130">
        <v>1</v>
      </c>
      <c r="S403" s="130" t="b">
        <v>1</v>
      </c>
      <c r="T403" s="130">
        <v>65</v>
      </c>
      <c r="U403" s="118">
        <v>975</v>
      </c>
      <c r="V403" s="118">
        <v>1300</v>
      </c>
      <c r="W403" s="130">
        <v>0</v>
      </c>
      <c r="X403" s="130">
        <v>5</v>
      </c>
      <c r="Y403" s="130" t="s">
        <v>38</v>
      </c>
      <c r="Z403" s="388" t="s">
        <v>2920</v>
      </c>
      <c r="AA403" s="388" t="s">
        <v>2920</v>
      </c>
      <c r="AB403" s="130" t="s">
        <v>149</v>
      </c>
      <c r="AC403" s="130">
        <v>100000</v>
      </c>
      <c r="AD403" s="197">
        <v>1</v>
      </c>
      <c r="AE403" s="197">
        <v>1</v>
      </c>
      <c r="AF403">
        <v>0</v>
      </c>
      <c r="AG403" s="416">
        <v>5</v>
      </c>
    </row>
    <row r="404" spans="1:33" x14ac:dyDescent="0.15">
      <c r="A404" s="130">
        <v>102306</v>
      </c>
      <c r="B404" s="130" t="s">
        <v>2006</v>
      </c>
      <c r="C404" s="130" t="s">
        <v>2006</v>
      </c>
      <c r="D404" s="130" t="s">
        <v>33</v>
      </c>
      <c r="E404" s="130">
        <v>2</v>
      </c>
      <c r="F404" s="130" t="s">
        <v>134</v>
      </c>
      <c r="G404" s="130" t="s">
        <v>155</v>
      </c>
      <c r="H404" s="130" t="s">
        <v>112</v>
      </c>
      <c r="I404" s="130">
        <v>5</v>
      </c>
      <c r="J404" s="118">
        <v>5</v>
      </c>
      <c r="K404" s="130">
        <v>0</v>
      </c>
      <c r="L404" s="130">
        <v>3</v>
      </c>
      <c r="M404" s="130">
        <v>5</v>
      </c>
      <c r="N404" s="118" t="s">
        <v>77</v>
      </c>
      <c r="O404" s="130">
        <v>50</v>
      </c>
      <c r="P404" s="130">
        <v>0.7</v>
      </c>
      <c r="Q404" s="130">
        <v>0</v>
      </c>
      <c r="R404" s="130">
        <v>1</v>
      </c>
      <c r="S404" s="130" t="b">
        <v>1</v>
      </c>
      <c r="T404" s="130">
        <v>78</v>
      </c>
      <c r="U404" s="118">
        <v>1170</v>
      </c>
      <c r="V404" s="118">
        <v>1560</v>
      </c>
      <c r="W404" s="130">
        <v>0</v>
      </c>
      <c r="X404" s="130">
        <v>6</v>
      </c>
      <c r="Y404" s="130" t="s">
        <v>38</v>
      </c>
      <c r="Z404" s="388" t="s">
        <v>2927</v>
      </c>
      <c r="AA404" s="388" t="s">
        <v>2927</v>
      </c>
      <c r="AB404" s="130" t="s">
        <v>158</v>
      </c>
      <c r="AC404" s="130">
        <v>100000</v>
      </c>
      <c r="AD404" s="197">
        <v>1</v>
      </c>
      <c r="AE404" s="197">
        <v>1</v>
      </c>
      <c r="AF404">
        <v>0</v>
      </c>
      <c r="AG404" s="416">
        <v>6</v>
      </c>
    </row>
    <row r="405" spans="1:33" x14ac:dyDescent="0.15">
      <c r="A405" s="130">
        <v>102307</v>
      </c>
      <c r="B405" s="130" t="s">
        <v>2009</v>
      </c>
      <c r="C405" s="130" t="s">
        <v>2009</v>
      </c>
      <c r="D405" s="130" t="s">
        <v>33</v>
      </c>
      <c r="E405" s="130">
        <v>2</v>
      </c>
      <c r="F405" s="130" t="s">
        <v>134</v>
      </c>
      <c r="G405" s="130" t="s">
        <v>179</v>
      </c>
      <c r="H405" s="130" t="s">
        <v>112</v>
      </c>
      <c r="I405" s="130">
        <v>5</v>
      </c>
      <c r="J405" s="118">
        <v>5</v>
      </c>
      <c r="K405" s="130">
        <v>0</v>
      </c>
      <c r="L405" s="130">
        <v>3</v>
      </c>
      <c r="M405" s="130">
        <v>5</v>
      </c>
      <c r="N405" s="118" t="s">
        <v>83</v>
      </c>
      <c r="O405" s="130">
        <v>50</v>
      </c>
      <c r="P405" s="130">
        <v>0.7</v>
      </c>
      <c r="Q405" s="130">
        <v>0</v>
      </c>
      <c r="R405" s="130">
        <v>1</v>
      </c>
      <c r="S405" s="130" t="b">
        <v>1</v>
      </c>
      <c r="T405" s="130">
        <v>91</v>
      </c>
      <c r="U405" s="118">
        <v>1365</v>
      </c>
      <c r="V405" s="118">
        <v>1820</v>
      </c>
      <c r="W405" s="130">
        <v>0</v>
      </c>
      <c r="X405" s="130">
        <v>7</v>
      </c>
      <c r="Y405" s="130" t="s">
        <v>38</v>
      </c>
      <c r="Z405" s="388" t="s">
        <v>3176</v>
      </c>
      <c r="AA405" s="388" t="s">
        <v>3176</v>
      </c>
      <c r="AB405" s="130" t="s">
        <v>2012</v>
      </c>
      <c r="AC405" s="130">
        <v>100000</v>
      </c>
      <c r="AD405" s="197">
        <v>1</v>
      </c>
      <c r="AE405" s="197">
        <v>1</v>
      </c>
      <c r="AF405">
        <v>0</v>
      </c>
      <c r="AG405" s="416">
        <v>7</v>
      </c>
    </row>
    <row r="406" spans="1:33" x14ac:dyDescent="0.15">
      <c r="A406" s="130">
        <v>102704</v>
      </c>
      <c r="B406" s="130" t="s">
        <v>2014</v>
      </c>
      <c r="C406" s="130" t="s">
        <v>2014</v>
      </c>
      <c r="D406" s="130" t="s">
        <v>33</v>
      </c>
      <c r="E406" s="130">
        <v>2</v>
      </c>
      <c r="F406" s="130" t="s">
        <v>134</v>
      </c>
      <c r="G406" s="130" t="s">
        <v>230</v>
      </c>
      <c r="H406" s="130" t="s">
        <v>112</v>
      </c>
      <c r="I406" s="130">
        <v>5</v>
      </c>
      <c r="J406" s="118">
        <v>5</v>
      </c>
      <c r="K406" s="130">
        <v>0</v>
      </c>
      <c r="L406" s="130">
        <v>3</v>
      </c>
      <c r="M406" s="130">
        <v>5</v>
      </c>
      <c r="N406" s="118" t="s">
        <v>64</v>
      </c>
      <c r="O406" s="130">
        <v>50</v>
      </c>
      <c r="P406" s="130">
        <v>0.7</v>
      </c>
      <c r="Q406" s="130">
        <v>0</v>
      </c>
      <c r="R406" s="130">
        <v>1</v>
      </c>
      <c r="S406" s="130" t="b">
        <v>1</v>
      </c>
      <c r="T406" s="130">
        <v>52</v>
      </c>
      <c r="U406" s="118">
        <v>780</v>
      </c>
      <c r="V406" s="118">
        <v>1040</v>
      </c>
      <c r="W406" s="130">
        <v>0</v>
      </c>
      <c r="X406" s="130">
        <v>4</v>
      </c>
      <c r="Y406" s="130" t="s">
        <v>38</v>
      </c>
      <c r="Z406" s="388" t="s">
        <v>2896</v>
      </c>
      <c r="AA406" s="388" t="s">
        <v>2896</v>
      </c>
      <c r="AB406" s="130" t="s">
        <v>233</v>
      </c>
      <c r="AC406" s="130">
        <v>100000</v>
      </c>
      <c r="AD406" s="197">
        <v>1</v>
      </c>
      <c r="AE406" s="197">
        <v>1</v>
      </c>
      <c r="AF406">
        <v>0</v>
      </c>
      <c r="AG406" s="416">
        <v>4</v>
      </c>
    </row>
    <row r="407" spans="1:33" x14ac:dyDescent="0.15">
      <c r="A407" s="130">
        <v>102605</v>
      </c>
      <c r="B407" s="130" t="s">
        <v>2017</v>
      </c>
      <c r="C407" s="130" t="s">
        <v>2017</v>
      </c>
      <c r="D407" s="130" t="s">
        <v>33</v>
      </c>
      <c r="E407" s="130">
        <v>2</v>
      </c>
      <c r="F407" s="130" t="s">
        <v>134</v>
      </c>
      <c r="G407" s="130" t="s">
        <v>236</v>
      </c>
      <c r="H407" s="130" t="s">
        <v>112</v>
      </c>
      <c r="I407" s="130">
        <v>5</v>
      </c>
      <c r="J407" s="118">
        <v>5</v>
      </c>
      <c r="K407" s="130">
        <v>0</v>
      </c>
      <c r="L407" s="130">
        <v>3</v>
      </c>
      <c r="M407" s="130">
        <v>5</v>
      </c>
      <c r="N407" s="118" t="s">
        <v>71</v>
      </c>
      <c r="O407" s="130">
        <v>50</v>
      </c>
      <c r="P407" s="130">
        <v>0.7</v>
      </c>
      <c r="Q407" s="130">
        <v>0</v>
      </c>
      <c r="R407" s="130">
        <v>1</v>
      </c>
      <c r="S407" s="130" t="b">
        <v>1</v>
      </c>
      <c r="T407" s="130">
        <v>65</v>
      </c>
      <c r="U407" s="118">
        <v>975</v>
      </c>
      <c r="V407" s="118">
        <v>1300</v>
      </c>
      <c r="W407" s="130">
        <v>0</v>
      </c>
      <c r="X407" s="130">
        <v>5</v>
      </c>
      <c r="Y407" s="130" t="s">
        <v>38</v>
      </c>
      <c r="Z407" s="388" t="s">
        <v>2930</v>
      </c>
      <c r="AA407" s="388" t="s">
        <v>2930</v>
      </c>
      <c r="AB407" s="130" t="s">
        <v>239</v>
      </c>
      <c r="AC407" s="130">
        <v>100000</v>
      </c>
      <c r="AD407" s="197">
        <v>1</v>
      </c>
      <c r="AE407" s="197">
        <v>1</v>
      </c>
      <c r="AF407">
        <v>0</v>
      </c>
      <c r="AG407" s="416">
        <v>5</v>
      </c>
    </row>
    <row r="408" spans="1:33" x14ac:dyDescent="0.15">
      <c r="A408" s="130">
        <v>102406</v>
      </c>
      <c r="B408" s="130" t="s">
        <v>2020</v>
      </c>
      <c r="C408" s="130" t="s">
        <v>2020</v>
      </c>
      <c r="D408" s="130" t="s">
        <v>33</v>
      </c>
      <c r="E408" s="130">
        <v>2</v>
      </c>
      <c r="F408" s="130" t="s">
        <v>134</v>
      </c>
      <c r="G408" s="130" t="s">
        <v>248</v>
      </c>
      <c r="H408" s="130" t="s">
        <v>112</v>
      </c>
      <c r="I408" s="130">
        <v>5</v>
      </c>
      <c r="J408" s="118">
        <v>5</v>
      </c>
      <c r="K408" s="130">
        <v>0</v>
      </c>
      <c r="L408" s="130">
        <v>3</v>
      </c>
      <c r="M408" s="130">
        <v>5</v>
      </c>
      <c r="N408" s="118" t="s">
        <v>77</v>
      </c>
      <c r="O408" s="130">
        <v>50</v>
      </c>
      <c r="P408" s="130">
        <v>0.7</v>
      </c>
      <c r="Q408" s="130">
        <v>0</v>
      </c>
      <c r="R408" s="130">
        <v>1</v>
      </c>
      <c r="S408" s="130" t="b">
        <v>1</v>
      </c>
      <c r="T408" s="130">
        <v>78</v>
      </c>
      <c r="U408" s="118">
        <v>1170</v>
      </c>
      <c r="V408" s="118">
        <v>1560</v>
      </c>
      <c r="W408" s="130">
        <v>0</v>
      </c>
      <c r="X408" s="130">
        <v>6</v>
      </c>
      <c r="Y408" s="130" t="s">
        <v>38</v>
      </c>
      <c r="Z408" s="388" t="s">
        <v>3177</v>
      </c>
      <c r="AA408" s="388" t="s">
        <v>3177</v>
      </c>
      <c r="AB408" s="130" t="s">
        <v>251</v>
      </c>
      <c r="AC408" s="130">
        <v>100000</v>
      </c>
      <c r="AD408" s="197">
        <v>1</v>
      </c>
      <c r="AE408" s="197">
        <v>1</v>
      </c>
      <c r="AF408">
        <v>0</v>
      </c>
      <c r="AG408" s="416">
        <v>6</v>
      </c>
    </row>
    <row r="409" spans="1:33" x14ac:dyDescent="0.15">
      <c r="A409" s="130">
        <v>102407</v>
      </c>
      <c r="B409" s="130" t="s">
        <v>2024</v>
      </c>
      <c r="C409" s="130" t="s">
        <v>2024</v>
      </c>
      <c r="D409" s="130" t="s">
        <v>33</v>
      </c>
      <c r="E409" s="130">
        <v>2</v>
      </c>
      <c r="F409" s="130" t="s">
        <v>134</v>
      </c>
      <c r="G409" s="130" t="s">
        <v>254</v>
      </c>
      <c r="H409" s="130" t="s">
        <v>112</v>
      </c>
      <c r="I409" s="130">
        <v>5</v>
      </c>
      <c r="J409" s="118">
        <v>5</v>
      </c>
      <c r="K409" s="130">
        <v>0</v>
      </c>
      <c r="L409" s="130">
        <v>3</v>
      </c>
      <c r="M409" s="130">
        <v>5</v>
      </c>
      <c r="N409" s="118" t="s">
        <v>83</v>
      </c>
      <c r="O409" s="130">
        <v>50</v>
      </c>
      <c r="P409" s="130">
        <v>0.7</v>
      </c>
      <c r="Q409" s="130">
        <v>0</v>
      </c>
      <c r="R409" s="130">
        <v>1</v>
      </c>
      <c r="S409" s="130" t="b">
        <v>1</v>
      </c>
      <c r="T409" s="130">
        <v>91</v>
      </c>
      <c r="U409" s="118">
        <v>1365</v>
      </c>
      <c r="V409" s="118">
        <v>1820</v>
      </c>
      <c r="W409" s="130">
        <v>0</v>
      </c>
      <c r="X409" s="130">
        <v>7</v>
      </c>
      <c r="Y409" s="130" t="s">
        <v>38</v>
      </c>
      <c r="Z409" s="388" t="s">
        <v>3178</v>
      </c>
      <c r="AA409" s="388" t="s">
        <v>3178</v>
      </c>
      <c r="AB409" s="130" t="s">
        <v>2027</v>
      </c>
      <c r="AC409" s="130">
        <v>100000</v>
      </c>
      <c r="AD409" s="197">
        <v>1</v>
      </c>
      <c r="AE409" s="197">
        <v>1</v>
      </c>
      <c r="AF409">
        <v>0</v>
      </c>
      <c r="AG409" s="416">
        <v>7</v>
      </c>
    </row>
    <row r="410" spans="1:33" x14ac:dyDescent="0.15">
      <c r="A410" s="130">
        <v>101205</v>
      </c>
      <c r="B410" s="130" t="s">
        <v>2029</v>
      </c>
      <c r="C410" s="130" t="s">
        <v>2029</v>
      </c>
      <c r="D410" s="130" t="s">
        <v>33</v>
      </c>
      <c r="E410" s="130">
        <v>1</v>
      </c>
      <c r="F410" s="130" t="s">
        <v>34</v>
      </c>
      <c r="G410" s="130"/>
      <c r="H410" s="130" t="s">
        <v>112</v>
      </c>
      <c r="I410" s="130">
        <v>5</v>
      </c>
      <c r="J410" s="118">
        <v>5</v>
      </c>
      <c r="K410" s="130">
        <v>0</v>
      </c>
      <c r="L410" s="130">
        <v>3</v>
      </c>
      <c r="M410" s="130">
        <v>5</v>
      </c>
      <c r="N410" s="118" t="s">
        <v>71</v>
      </c>
      <c r="O410" s="130">
        <v>50</v>
      </c>
      <c r="P410" s="130">
        <v>0.7</v>
      </c>
      <c r="Q410" s="130">
        <v>0</v>
      </c>
      <c r="R410" s="130">
        <v>1</v>
      </c>
      <c r="S410" s="130" t="b">
        <v>1</v>
      </c>
      <c r="T410" s="130">
        <v>65</v>
      </c>
      <c r="U410" s="118">
        <v>975</v>
      </c>
      <c r="V410" s="118">
        <v>1300</v>
      </c>
      <c r="W410" s="130">
        <v>0</v>
      </c>
      <c r="X410" s="130">
        <v>5</v>
      </c>
      <c r="Y410" s="130" t="s">
        <v>38</v>
      </c>
      <c r="Z410" s="388" t="s">
        <v>3179</v>
      </c>
      <c r="AA410" s="388" t="s">
        <v>3179</v>
      </c>
      <c r="AB410" s="130" t="s">
        <v>41</v>
      </c>
      <c r="AC410" s="130">
        <v>100000</v>
      </c>
      <c r="AD410" s="197">
        <v>1</v>
      </c>
      <c r="AE410" s="197">
        <v>1</v>
      </c>
      <c r="AF410">
        <v>0</v>
      </c>
      <c r="AG410" s="416">
        <v>5</v>
      </c>
    </row>
    <row r="411" spans="1:33" x14ac:dyDescent="0.15">
      <c r="A411" s="130">
        <v>101206</v>
      </c>
      <c r="B411" s="130" t="s">
        <v>2033</v>
      </c>
      <c r="C411" s="130" t="s">
        <v>2033</v>
      </c>
      <c r="D411" s="130" t="s">
        <v>33</v>
      </c>
      <c r="E411" s="130">
        <v>1</v>
      </c>
      <c r="F411" s="130" t="s">
        <v>34</v>
      </c>
      <c r="G411" s="130"/>
      <c r="H411" s="130" t="s">
        <v>112</v>
      </c>
      <c r="I411" s="130">
        <v>5</v>
      </c>
      <c r="J411" s="118">
        <v>5</v>
      </c>
      <c r="K411" s="130">
        <v>0</v>
      </c>
      <c r="L411" s="130">
        <v>3</v>
      </c>
      <c r="M411" s="130">
        <v>5</v>
      </c>
      <c r="N411" s="118" t="s">
        <v>77</v>
      </c>
      <c r="O411" s="130">
        <v>50</v>
      </c>
      <c r="P411" s="130">
        <v>0.7</v>
      </c>
      <c r="Q411" s="130">
        <v>0</v>
      </c>
      <c r="R411" s="130">
        <v>1</v>
      </c>
      <c r="S411" s="130" t="b">
        <v>1</v>
      </c>
      <c r="T411" s="130">
        <v>78</v>
      </c>
      <c r="U411" s="118">
        <v>1170</v>
      </c>
      <c r="V411" s="118">
        <v>1560</v>
      </c>
      <c r="W411" s="130">
        <v>0</v>
      </c>
      <c r="X411" s="130">
        <v>6</v>
      </c>
      <c r="Y411" s="130" t="s">
        <v>38</v>
      </c>
      <c r="Z411" s="388" t="s">
        <v>3180</v>
      </c>
      <c r="AA411" s="388" t="s">
        <v>3180</v>
      </c>
      <c r="AB411" s="130" t="s">
        <v>60</v>
      </c>
      <c r="AC411" s="130">
        <v>100000</v>
      </c>
      <c r="AD411" s="197">
        <v>1</v>
      </c>
      <c r="AE411" s="197">
        <v>1</v>
      </c>
      <c r="AF411">
        <v>0</v>
      </c>
      <c r="AG411" s="416">
        <v>6</v>
      </c>
    </row>
    <row r="412" spans="1:33" x14ac:dyDescent="0.15">
      <c r="A412" s="130">
        <v>101207</v>
      </c>
      <c r="B412" s="130" t="s">
        <v>2037</v>
      </c>
      <c r="C412" s="130" t="s">
        <v>2037</v>
      </c>
      <c r="D412" s="130" t="s">
        <v>33</v>
      </c>
      <c r="E412" s="130">
        <v>1</v>
      </c>
      <c r="F412" s="130" t="s">
        <v>34</v>
      </c>
      <c r="G412" s="130"/>
      <c r="H412" s="130" t="s">
        <v>112</v>
      </c>
      <c r="I412" s="130">
        <v>5</v>
      </c>
      <c r="J412" s="118">
        <v>5</v>
      </c>
      <c r="K412" s="130">
        <v>0</v>
      </c>
      <c r="L412" s="130">
        <v>3</v>
      </c>
      <c r="M412" s="130">
        <v>5</v>
      </c>
      <c r="N412" s="118" t="s">
        <v>83</v>
      </c>
      <c r="O412" s="130">
        <v>50</v>
      </c>
      <c r="P412" s="130">
        <v>0.7</v>
      </c>
      <c r="Q412" s="130">
        <v>0</v>
      </c>
      <c r="R412" s="130">
        <v>1</v>
      </c>
      <c r="S412" s="130" t="b">
        <v>1</v>
      </c>
      <c r="T412" s="130">
        <v>91</v>
      </c>
      <c r="U412" s="118">
        <v>1365</v>
      </c>
      <c r="V412" s="118">
        <v>1820</v>
      </c>
      <c r="W412" s="130">
        <v>0</v>
      </c>
      <c r="X412" s="130">
        <v>7</v>
      </c>
      <c r="Y412" s="130" t="s">
        <v>38</v>
      </c>
      <c r="Z412" s="388" t="s">
        <v>3181</v>
      </c>
      <c r="AA412" s="388" t="s">
        <v>3181</v>
      </c>
      <c r="AB412" s="130" t="s">
        <v>80</v>
      </c>
      <c r="AC412" s="130">
        <v>100000</v>
      </c>
      <c r="AD412" s="197">
        <v>1</v>
      </c>
      <c r="AE412" s="197">
        <v>1</v>
      </c>
      <c r="AF412">
        <v>0</v>
      </c>
      <c r="AG412" s="416">
        <v>7</v>
      </c>
    </row>
    <row r="413" spans="1:33" x14ac:dyDescent="0.15">
      <c r="A413" s="130">
        <v>105304</v>
      </c>
      <c r="B413" s="130" t="s">
        <v>2041</v>
      </c>
      <c r="C413" s="130" t="s">
        <v>2041</v>
      </c>
      <c r="D413" s="130" t="s">
        <v>33</v>
      </c>
      <c r="E413" s="130">
        <v>5</v>
      </c>
      <c r="F413" s="130" t="s">
        <v>631</v>
      </c>
      <c r="G413" s="130" t="s">
        <v>668</v>
      </c>
      <c r="H413" s="130" t="s">
        <v>112</v>
      </c>
      <c r="I413" s="130">
        <v>5</v>
      </c>
      <c r="J413" s="118">
        <v>5</v>
      </c>
      <c r="K413" s="130">
        <v>0</v>
      </c>
      <c r="L413" s="130">
        <v>3</v>
      </c>
      <c r="M413" s="130">
        <v>5</v>
      </c>
      <c r="N413" s="118" t="s">
        <v>64</v>
      </c>
      <c r="O413" s="130">
        <v>1</v>
      </c>
      <c r="P413" s="130">
        <v>0.9</v>
      </c>
      <c r="Q413" s="130">
        <v>0</v>
      </c>
      <c r="R413" s="130">
        <v>1</v>
      </c>
      <c r="S413" s="130" t="b">
        <v>1</v>
      </c>
      <c r="T413" s="130">
        <v>52</v>
      </c>
      <c r="U413" s="118">
        <v>780</v>
      </c>
      <c r="V413" s="118">
        <v>1040</v>
      </c>
      <c r="W413" s="130">
        <v>0</v>
      </c>
      <c r="X413" s="130">
        <v>4</v>
      </c>
      <c r="Y413" s="130" t="s">
        <v>38</v>
      </c>
      <c r="Z413" s="388" t="s">
        <v>3182</v>
      </c>
      <c r="AA413" s="388" t="s">
        <v>3182</v>
      </c>
      <c r="AB413" s="130" t="s">
        <v>671</v>
      </c>
      <c r="AC413" s="130">
        <v>100000</v>
      </c>
      <c r="AD413" s="197">
        <v>1</v>
      </c>
      <c r="AE413" s="197">
        <v>1</v>
      </c>
      <c r="AF413">
        <v>0</v>
      </c>
      <c r="AG413" s="416">
        <v>4</v>
      </c>
    </row>
    <row r="414" spans="1:33" x14ac:dyDescent="0.15">
      <c r="A414" s="130">
        <v>105205</v>
      </c>
      <c r="B414" s="130" t="s">
        <v>2045</v>
      </c>
      <c r="C414" s="130" t="s">
        <v>2045</v>
      </c>
      <c r="D414" s="130" t="s">
        <v>33</v>
      </c>
      <c r="E414" s="130">
        <v>5</v>
      </c>
      <c r="F414" s="130" t="s">
        <v>631</v>
      </c>
      <c r="G414" s="130" t="s">
        <v>662</v>
      </c>
      <c r="H414" s="130" t="s">
        <v>112</v>
      </c>
      <c r="I414" s="130">
        <v>5</v>
      </c>
      <c r="J414" s="118">
        <v>5</v>
      </c>
      <c r="K414" s="130">
        <v>0</v>
      </c>
      <c r="L414" s="130">
        <v>3</v>
      </c>
      <c r="M414" s="130">
        <v>5</v>
      </c>
      <c r="N414" s="118" t="s">
        <v>71</v>
      </c>
      <c r="O414" s="130">
        <v>1</v>
      </c>
      <c r="P414" s="130">
        <v>0.9</v>
      </c>
      <c r="Q414" s="130">
        <v>0</v>
      </c>
      <c r="R414" s="130">
        <v>1</v>
      </c>
      <c r="S414" s="130" t="b">
        <v>1</v>
      </c>
      <c r="T414" s="130">
        <v>65</v>
      </c>
      <c r="U414" s="118">
        <v>975</v>
      </c>
      <c r="V414" s="118">
        <v>1300</v>
      </c>
      <c r="W414" s="130">
        <v>0</v>
      </c>
      <c r="X414" s="130">
        <v>5</v>
      </c>
      <c r="Y414" s="130" t="s">
        <v>38</v>
      </c>
      <c r="Z414" s="388" t="s">
        <v>3183</v>
      </c>
      <c r="AA414" s="388" t="s">
        <v>3183</v>
      </c>
      <c r="AB414" s="130" t="s">
        <v>665</v>
      </c>
      <c r="AC414" s="130">
        <v>100000</v>
      </c>
      <c r="AD414" s="197">
        <v>1</v>
      </c>
      <c r="AE414" s="197">
        <v>1</v>
      </c>
      <c r="AF414">
        <v>0</v>
      </c>
      <c r="AG414" s="416">
        <v>5</v>
      </c>
    </row>
    <row r="415" spans="1:33" x14ac:dyDescent="0.15">
      <c r="A415" s="130">
        <v>105306</v>
      </c>
      <c r="B415" s="130" t="s">
        <v>2049</v>
      </c>
      <c r="C415" s="130" t="s">
        <v>2049</v>
      </c>
      <c r="D415" s="130" t="s">
        <v>33</v>
      </c>
      <c r="E415" s="130">
        <v>5</v>
      </c>
      <c r="F415" s="130" t="s">
        <v>631</v>
      </c>
      <c r="G415" s="130" t="s">
        <v>656</v>
      </c>
      <c r="H415" s="130" t="s">
        <v>112</v>
      </c>
      <c r="I415" s="130">
        <v>5</v>
      </c>
      <c r="J415" s="118">
        <v>5</v>
      </c>
      <c r="K415" s="130">
        <v>0</v>
      </c>
      <c r="L415" s="130">
        <v>3</v>
      </c>
      <c r="M415" s="130">
        <v>5</v>
      </c>
      <c r="N415" s="118" t="s">
        <v>77</v>
      </c>
      <c r="O415" s="130">
        <v>1</v>
      </c>
      <c r="P415" s="130">
        <v>0.9</v>
      </c>
      <c r="Q415" s="130">
        <v>0</v>
      </c>
      <c r="R415" s="130">
        <v>1</v>
      </c>
      <c r="S415" s="130" t="b">
        <v>1</v>
      </c>
      <c r="T415" s="130">
        <v>78</v>
      </c>
      <c r="U415" s="118">
        <v>1170</v>
      </c>
      <c r="V415" s="118">
        <v>1560</v>
      </c>
      <c r="W415" s="130">
        <v>0</v>
      </c>
      <c r="X415" s="130">
        <v>6</v>
      </c>
      <c r="Y415" s="130" t="s">
        <v>38</v>
      </c>
      <c r="Z415" s="388" t="s">
        <v>3184</v>
      </c>
      <c r="AA415" s="388" t="s">
        <v>3184</v>
      </c>
      <c r="AB415" s="130" t="s">
        <v>644</v>
      </c>
      <c r="AC415" s="130">
        <v>100000</v>
      </c>
      <c r="AD415" s="197">
        <v>1</v>
      </c>
      <c r="AE415" s="197">
        <v>1</v>
      </c>
      <c r="AF415">
        <v>0</v>
      </c>
      <c r="AG415" s="416">
        <v>6</v>
      </c>
    </row>
    <row r="416" spans="1:33" x14ac:dyDescent="0.15">
      <c r="A416" s="130">
        <v>105207</v>
      </c>
      <c r="B416" s="130" t="s">
        <v>2053</v>
      </c>
      <c r="C416" s="130" t="s">
        <v>2053</v>
      </c>
      <c r="D416" s="130" t="s">
        <v>33</v>
      </c>
      <c r="E416" s="130">
        <v>5</v>
      </c>
      <c r="F416" s="130" t="s">
        <v>631</v>
      </c>
      <c r="G416" s="130" t="s">
        <v>656</v>
      </c>
      <c r="H416" s="130" t="s">
        <v>112</v>
      </c>
      <c r="I416" s="130">
        <v>5</v>
      </c>
      <c r="J416" s="118">
        <v>5</v>
      </c>
      <c r="K416" s="130">
        <v>0</v>
      </c>
      <c r="L416" s="130">
        <v>3</v>
      </c>
      <c r="M416" s="130">
        <v>5</v>
      </c>
      <c r="N416" s="118" t="s">
        <v>83</v>
      </c>
      <c r="O416" s="130">
        <v>1</v>
      </c>
      <c r="P416" s="130">
        <v>0.9</v>
      </c>
      <c r="Q416" s="130">
        <v>0</v>
      </c>
      <c r="R416" s="130">
        <v>1</v>
      </c>
      <c r="S416" s="130" t="b">
        <v>1</v>
      </c>
      <c r="T416" s="130">
        <v>91</v>
      </c>
      <c r="U416" s="118">
        <v>1365</v>
      </c>
      <c r="V416" s="118">
        <v>1820</v>
      </c>
      <c r="W416" s="130">
        <v>0</v>
      </c>
      <c r="X416" s="130">
        <v>7</v>
      </c>
      <c r="Y416" s="130" t="s">
        <v>38</v>
      </c>
      <c r="Z416" s="388" t="s">
        <v>2982</v>
      </c>
      <c r="AA416" s="388" t="s">
        <v>2982</v>
      </c>
      <c r="AB416" s="130" t="s">
        <v>677</v>
      </c>
      <c r="AC416" s="130">
        <v>100000</v>
      </c>
      <c r="AD416" s="197">
        <v>1</v>
      </c>
      <c r="AE416" s="197">
        <v>1</v>
      </c>
      <c r="AF416">
        <v>0</v>
      </c>
      <c r="AG416" s="416">
        <v>7</v>
      </c>
    </row>
    <row r="417" spans="1:33" x14ac:dyDescent="0.15">
      <c r="A417" s="130">
        <v>115204</v>
      </c>
      <c r="B417" s="130" t="s">
        <v>2056</v>
      </c>
      <c r="C417" s="130" t="s">
        <v>2056</v>
      </c>
      <c r="D417" s="130" t="s">
        <v>33</v>
      </c>
      <c r="E417" s="130">
        <v>15</v>
      </c>
      <c r="F417" s="130" t="s">
        <v>1316</v>
      </c>
      <c r="G417" s="130" t="s">
        <v>1329</v>
      </c>
      <c r="H417" s="130" t="s">
        <v>112</v>
      </c>
      <c r="I417" s="130">
        <v>5</v>
      </c>
      <c r="J417" s="118">
        <v>5</v>
      </c>
      <c r="K417" s="130">
        <v>0</v>
      </c>
      <c r="L417" s="130">
        <v>3</v>
      </c>
      <c r="M417" s="130">
        <v>5</v>
      </c>
      <c r="N417" s="118" t="s">
        <v>64</v>
      </c>
      <c r="O417" s="130">
        <v>1</v>
      </c>
      <c r="P417" s="130">
        <v>0.9</v>
      </c>
      <c r="Q417" s="130">
        <v>0</v>
      </c>
      <c r="R417" s="130">
        <v>1</v>
      </c>
      <c r="S417" s="130" t="b">
        <v>1</v>
      </c>
      <c r="T417" s="130">
        <v>52</v>
      </c>
      <c r="U417" s="118">
        <v>780</v>
      </c>
      <c r="V417" s="118">
        <v>1040</v>
      </c>
      <c r="W417" s="130">
        <v>0</v>
      </c>
      <c r="X417" s="130">
        <v>4</v>
      </c>
      <c r="Y417" s="130" t="s">
        <v>38</v>
      </c>
      <c r="Z417" s="388" t="s">
        <v>2896</v>
      </c>
      <c r="AA417" s="388" t="s">
        <v>2896</v>
      </c>
      <c r="AB417" s="130" t="s">
        <v>1332</v>
      </c>
      <c r="AC417" s="130">
        <v>100000</v>
      </c>
      <c r="AD417" s="197">
        <v>1</v>
      </c>
      <c r="AE417" s="197">
        <v>1</v>
      </c>
      <c r="AF417">
        <v>0</v>
      </c>
      <c r="AG417" s="416">
        <v>4</v>
      </c>
    </row>
    <row r="418" spans="1:33" x14ac:dyDescent="0.15">
      <c r="A418" s="130">
        <v>115205</v>
      </c>
      <c r="B418" s="130" t="s">
        <v>2059</v>
      </c>
      <c r="C418" s="130" t="s">
        <v>2059</v>
      </c>
      <c r="D418" s="130" t="s">
        <v>33</v>
      </c>
      <c r="E418" s="130">
        <v>15</v>
      </c>
      <c r="F418" s="130" t="s">
        <v>1316</v>
      </c>
      <c r="G418" s="130" t="s">
        <v>1341</v>
      </c>
      <c r="H418" s="130" t="s">
        <v>112</v>
      </c>
      <c r="I418" s="130">
        <v>5</v>
      </c>
      <c r="J418" s="118">
        <v>5</v>
      </c>
      <c r="K418" s="130">
        <v>0</v>
      </c>
      <c r="L418" s="130">
        <v>3</v>
      </c>
      <c r="M418" s="130">
        <v>5</v>
      </c>
      <c r="N418" s="118" t="s">
        <v>71</v>
      </c>
      <c r="O418" s="130">
        <v>1</v>
      </c>
      <c r="P418" s="130">
        <v>0.9</v>
      </c>
      <c r="Q418" s="130">
        <v>0</v>
      </c>
      <c r="R418" s="130">
        <v>1</v>
      </c>
      <c r="S418" s="130" t="b">
        <v>1</v>
      </c>
      <c r="T418" s="130">
        <v>65</v>
      </c>
      <c r="U418" s="118">
        <v>975</v>
      </c>
      <c r="V418" s="118">
        <v>1300</v>
      </c>
      <c r="W418" s="130">
        <v>0</v>
      </c>
      <c r="X418" s="130">
        <v>5</v>
      </c>
      <c r="Y418" s="130" t="s">
        <v>38</v>
      </c>
      <c r="Z418" s="388" t="s">
        <v>3185</v>
      </c>
      <c r="AA418" s="388" t="s">
        <v>3185</v>
      </c>
      <c r="AB418" s="130" t="s">
        <v>1344</v>
      </c>
      <c r="AC418" s="130">
        <v>100000</v>
      </c>
      <c r="AD418" s="197">
        <v>1</v>
      </c>
      <c r="AE418" s="197">
        <v>1</v>
      </c>
      <c r="AF418">
        <v>0</v>
      </c>
      <c r="AG418" s="416">
        <v>5</v>
      </c>
    </row>
    <row r="419" spans="1:33" x14ac:dyDescent="0.15">
      <c r="A419" s="130">
        <v>115206</v>
      </c>
      <c r="B419" s="130" t="s">
        <v>2063</v>
      </c>
      <c r="C419" s="130" t="s">
        <v>2063</v>
      </c>
      <c r="D419" s="130" t="s">
        <v>33</v>
      </c>
      <c r="E419" s="130">
        <v>15</v>
      </c>
      <c r="F419" s="130" t="s">
        <v>1316</v>
      </c>
      <c r="G419" s="130" t="s">
        <v>1347</v>
      </c>
      <c r="H419" s="130" t="s">
        <v>112</v>
      </c>
      <c r="I419" s="130">
        <v>5</v>
      </c>
      <c r="J419" s="118">
        <v>5</v>
      </c>
      <c r="K419" s="130">
        <v>0</v>
      </c>
      <c r="L419" s="130">
        <v>3</v>
      </c>
      <c r="M419" s="130">
        <v>5</v>
      </c>
      <c r="N419" s="118" t="s">
        <v>77</v>
      </c>
      <c r="O419" s="130">
        <v>1</v>
      </c>
      <c r="P419" s="130">
        <v>0.9</v>
      </c>
      <c r="Q419" s="130">
        <v>0</v>
      </c>
      <c r="R419" s="130">
        <v>1</v>
      </c>
      <c r="S419" s="130" t="b">
        <v>1</v>
      </c>
      <c r="T419" s="130">
        <v>78</v>
      </c>
      <c r="U419" s="118">
        <v>1170</v>
      </c>
      <c r="V419" s="118">
        <v>1560</v>
      </c>
      <c r="W419" s="130">
        <v>0</v>
      </c>
      <c r="X419" s="130">
        <v>6</v>
      </c>
      <c r="Y419" s="130" t="s">
        <v>38</v>
      </c>
      <c r="Z419" s="388" t="s">
        <v>3186</v>
      </c>
      <c r="AA419" s="388" t="s">
        <v>3186</v>
      </c>
      <c r="AB419" s="130" t="s">
        <v>1350</v>
      </c>
      <c r="AC419" s="130">
        <v>100000</v>
      </c>
      <c r="AD419" s="197">
        <v>1</v>
      </c>
      <c r="AE419" s="197">
        <v>1</v>
      </c>
      <c r="AF419">
        <v>0</v>
      </c>
      <c r="AG419" s="416">
        <v>6</v>
      </c>
    </row>
    <row r="420" spans="1:33" x14ac:dyDescent="0.15">
      <c r="A420" s="130">
        <v>115207</v>
      </c>
      <c r="B420" s="130" t="s">
        <v>2067</v>
      </c>
      <c r="C420" s="130" t="s">
        <v>2067</v>
      </c>
      <c r="D420" s="130" t="s">
        <v>33</v>
      </c>
      <c r="E420" s="130">
        <v>15</v>
      </c>
      <c r="F420" s="130" t="s">
        <v>1316</v>
      </c>
      <c r="G420" s="130" t="s">
        <v>1353</v>
      </c>
      <c r="H420" s="130" t="s">
        <v>112</v>
      </c>
      <c r="I420" s="130">
        <v>5</v>
      </c>
      <c r="J420" s="118">
        <v>5</v>
      </c>
      <c r="K420" s="130">
        <v>0</v>
      </c>
      <c r="L420" s="130">
        <v>3</v>
      </c>
      <c r="M420" s="130">
        <v>5</v>
      </c>
      <c r="N420" s="118" t="s">
        <v>83</v>
      </c>
      <c r="O420" s="130">
        <v>1</v>
      </c>
      <c r="P420" s="130">
        <v>0.9</v>
      </c>
      <c r="Q420" s="130">
        <v>0</v>
      </c>
      <c r="R420" s="130">
        <v>1</v>
      </c>
      <c r="S420" s="130" t="b">
        <v>1</v>
      </c>
      <c r="T420" s="130">
        <v>91</v>
      </c>
      <c r="U420" s="118">
        <v>1365</v>
      </c>
      <c r="V420" s="118">
        <v>1820</v>
      </c>
      <c r="W420" s="130">
        <v>0</v>
      </c>
      <c r="X420" s="130">
        <v>7</v>
      </c>
      <c r="Y420" s="130" t="s">
        <v>38</v>
      </c>
      <c r="Z420" s="388" t="s">
        <v>3187</v>
      </c>
      <c r="AA420" s="388" t="s">
        <v>3187</v>
      </c>
      <c r="AB420" s="130" t="s">
        <v>1356</v>
      </c>
      <c r="AC420" s="130">
        <v>100000</v>
      </c>
      <c r="AD420" s="197">
        <v>1</v>
      </c>
      <c r="AE420" s="197">
        <v>1</v>
      </c>
      <c r="AF420">
        <v>0</v>
      </c>
      <c r="AG420" s="416">
        <v>7</v>
      </c>
    </row>
    <row r="421" spans="1:33" x14ac:dyDescent="0.15">
      <c r="A421" s="130">
        <v>113304</v>
      </c>
      <c r="B421" s="130" t="s">
        <v>2071</v>
      </c>
      <c r="C421" s="130" t="s">
        <v>2071</v>
      </c>
      <c r="D421" s="130" t="s">
        <v>33</v>
      </c>
      <c r="E421" s="130">
        <v>13</v>
      </c>
      <c r="F421" s="130" t="s">
        <v>1136</v>
      </c>
      <c r="G421" s="130" t="s">
        <v>1155</v>
      </c>
      <c r="H421" s="130" t="s">
        <v>112</v>
      </c>
      <c r="I421" s="130">
        <v>5</v>
      </c>
      <c r="J421" s="118">
        <v>5</v>
      </c>
      <c r="K421" s="130">
        <v>0</v>
      </c>
      <c r="L421" s="130">
        <v>3</v>
      </c>
      <c r="M421" s="130">
        <v>5</v>
      </c>
      <c r="N421" s="118" t="s">
        <v>64</v>
      </c>
      <c r="O421" s="130">
        <v>99</v>
      </c>
      <c r="P421" s="130">
        <v>0.9</v>
      </c>
      <c r="Q421" s="130">
        <v>0</v>
      </c>
      <c r="R421" s="130">
        <v>1</v>
      </c>
      <c r="S421" s="130" t="b">
        <v>1</v>
      </c>
      <c r="T421" s="130">
        <v>52</v>
      </c>
      <c r="U421" s="118">
        <v>780</v>
      </c>
      <c r="V421" s="118">
        <v>1040</v>
      </c>
      <c r="W421" s="130">
        <v>0</v>
      </c>
      <c r="X421" s="130">
        <v>4</v>
      </c>
      <c r="Y421" s="130" t="s">
        <v>38</v>
      </c>
      <c r="Z421" s="388" t="s">
        <v>3188</v>
      </c>
      <c r="AA421" s="388" t="s">
        <v>3188</v>
      </c>
      <c r="AB421" s="130" t="s">
        <v>1158</v>
      </c>
      <c r="AC421" s="130">
        <v>100000</v>
      </c>
      <c r="AD421" s="197">
        <v>1</v>
      </c>
      <c r="AE421" s="197">
        <v>1</v>
      </c>
      <c r="AF421">
        <v>0</v>
      </c>
      <c r="AG421" s="130">
        <v>4</v>
      </c>
    </row>
    <row r="422" spans="1:33" x14ac:dyDescent="0.15">
      <c r="A422" s="130">
        <v>113205</v>
      </c>
      <c r="B422" s="130" t="s">
        <v>2075</v>
      </c>
      <c r="C422" s="130" t="s">
        <v>2075</v>
      </c>
      <c r="D422" s="130" t="s">
        <v>33</v>
      </c>
      <c r="E422" s="130">
        <v>13</v>
      </c>
      <c r="F422" s="130" t="s">
        <v>1136</v>
      </c>
      <c r="G422" s="130" t="s">
        <v>1161</v>
      </c>
      <c r="H422" s="130" t="s">
        <v>112</v>
      </c>
      <c r="I422" s="130">
        <v>5</v>
      </c>
      <c r="J422" s="118">
        <v>5</v>
      </c>
      <c r="K422" s="130">
        <v>0</v>
      </c>
      <c r="L422" s="130">
        <v>3</v>
      </c>
      <c r="M422" s="130">
        <v>5</v>
      </c>
      <c r="N422" s="118" t="s">
        <v>71</v>
      </c>
      <c r="O422" s="130">
        <v>99</v>
      </c>
      <c r="P422" s="130">
        <v>0.9</v>
      </c>
      <c r="Q422" s="130">
        <v>0</v>
      </c>
      <c r="R422" s="130">
        <v>1</v>
      </c>
      <c r="S422" s="130" t="b">
        <v>1</v>
      </c>
      <c r="T422" s="130">
        <v>65</v>
      </c>
      <c r="U422" s="118">
        <v>975</v>
      </c>
      <c r="V422" s="118">
        <v>1300</v>
      </c>
      <c r="W422" s="130">
        <v>0</v>
      </c>
      <c r="X422" s="130">
        <v>5</v>
      </c>
      <c r="Y422" s="130" t="s">
        <v>38</v>
      </c>
      <c r="Z422" s="388" t="s">
        <v>3189</v>
      </c>
      <c r="AA422" s="388" t="s">
        <v>3189</v>
      </c>
      <c r="AB422" s="130" t="s">
        <v>1164</v>
      </c>
      <c r="AC422" s="130">
        <v>100000</v>
      </c>
      <c r="AD422" s="197">
        <v>1</v>
      </c>
      <c r="AE422" s="197">
        <v>1</v>
      </c>
      <c r="AF422">
        <v>0</v>
      </c>
      <c r="AG422" s="130">
        <v>5</v>
      </c>
    </row>
    <row r="423" spans="1:33" x14ac:dyDescent="0.15">
      <c r="A423" s="130">
        <v>113306</v>
      </c>
      <c r="B423" s="130" t="s">
        <v>2079</v>
      </c>
      <c r="C423" s="130" t="s">
        <v>2079</v>
      </c>
      <c r="D423" s="130" t="s">
        <v>33</v>
      </c>
      <c r="E423" s="130">
        <v>13</v>
      </c>
      <c r="F423" s="130" t="s">
        <v>1136</v>
      </c>
      <c r="G423" s="130" t="s">
        <v>1167</v>
      </c>
      <c r="H423" s="130" t="s">
        <v>112</v>
      </c>
      <c r="I423" s="130">
        <v>5</v>
      </c>
      <c r="J423" s="118">
        <v>5</v>
      </c>
      <c r="K423" s="130">
        <v>0</v>
      </c>
      <c r="L423" s="130">
        <v>3</v>
      </c>
      <c r="M423" s="130">
        <v>5</v>
      </c>
      <c r="N423" s="118" t="s">
        <v>77</v>
      </c>
      <c r="O423" s="130">
        <v>99</v>
      </c>
      <c r="P423" s="130">
        <v>0.9</v>
      </c>
      <c r="Q423" s="130">
        <v>0</v>
      </c>
      <c r="R423" s="130">
        <v>1</v>
      </c>
      <c r="S423" s="130" t="b">
        <v>1</v>
      </c>
      <c r="T423" s="130">
        <v>78</v>
      </c>
      <c r="U423" s="118">
        <v>1170</v>
      </c>
      <c r="V423" s="118">
        <v>1560</v>
      </c>
      <c r="W423" s="130">
        <v>0</v>
      </c>
      <c r="X423" s="130">
        <v>6</v>
      </c>
      <c r="Y423" s="130" t="s">
        <v>38</v>
      </c>
      <c r="Z423" s="388" t="s">
        <v>3190</v>
      </c>
      <c r="AA423" s="388" t="s">
        <v>3190</v>
      </c>
      <c r="AB423" s="130" t="s">
        <v>1170</v>
      </c>
      <c r="AC423" s="130">
        <v>100000</v>
      </c>
      <c r="AD423" s="197">
        <v>1</v>
      </c>
      <c r="AE423" s="197">
        <v>1</v>
      </c>
      <c r="AF423">
        <v>0</v>
      </c>
      <c r="AG423" s="130">
        <v>6</v>
      </c>
    </row>
    <row r="424" spans="1:33" x14ac:dyDescent="0.15">
      <c r="A424" s="130">
        <v>113207</v>
      </c>
      <c r="B424" s="130" t="s">
        <v>2083</v>
      </c>
      <c r="C424" s="130" t="s">
        <v>2083</v>
      </c>
      <c r="D424" s="130" t="s">
        <v>33</v>
      </c>
      <c r="E424" s="130">
        <v>13</v>
      </c>
      <c r="F424" s="130" t="s">
        <v>1136</v>
      </c>
      <c r="G424" s="130" t="s">
        <v>1173</v>
      </c>
      <c r="H424" s="130" t="s">
        <v>112</v>
      </c>
      <c r="I424" s="130">
        <v>5</v>
      </c>
      <c r="J424" s="118">
        <v>5</v>
      </c>
      <c r="K424" s="130">
        <v>0</v>
      </c>
      <c r="L424" s="130">
        <v>3</v>
      </c>
      <c r="M424" s="130">
        <v>5</v>
      </c>
      <c r="N424" s="118" t="s">
        <v>83</v>
      </c>
      <c r="O424" s="130">
        <v>99</v>
      </c>
      <c r="P424" s="130">
        <v>0.9</v>
      </c>
      <c r="Q424" s="130">
        <v>0</v>
      </c>
      <c r="R424" s="130">
        <v>1</v>
      </c>
      <c r="S424" s="130" t="b">
        <v>1</v>
      </c>
      <c r="T424" s="130">
        <v>91</v>
      </c>
      <c r="U424" s="118">
        <v>1365</v>
      </c>
      <c r="V424" s="118">
        <v>1820</v>
      </c>
      <c r="W424" s="130">
        <v>0</v>
      </c>
      <c r="X424" s="130">
        <v>7</v>
      </c>
      <c r="Y424" s="130" t="s">
        <v>38</v>
      </c>
      <c r="Z424" s="388" t="s">
        <v>3191</v>
      </c>
      <c r="AA424" s="388" t="s">
        <v>3191</v>
      </c>
      <c r="AB424" s="130" t="s">
        <v>1176</v>
      </c>
      <c r="AC424" s="130">
        <v>100000</v>
      </c>
      <c r="AD424" s="197">
        <v>1</v>
      </c>
      <c r="AE424" s="197">
        <v>1</v>
      </c>
      <c r="AF424">
        <v>0</v>
      </c>
      <c r="AG424" s="130">
        <v>7</v>
      </c>
    </row>
    <row r="425" spans="1:33" x14ac:dyDescent="0.15">
      <c r="A425" s="130">
        <v>300105</v>
      </c>
      <c r="B425" s="130" t="s">
        <v>2087</v>
      </c>
      <c r="C425" s="130" t="s">
        <v>2087</v>
      </c>
      <c r="D425" s="130" t="s">
        <v>1508</v>
      </c>
      <c r="E425" s="130">
        <v>0</v>
      </c>
      <c r="F425" s="130">
        <v>0</v>
      </c>
      <c r="G425" s="130"/>
      <c r="H425" s="130" t="s">
        <v>112</v>
      </c>
      <c r="I425" s="130">
        <v>5</v>
      </c>
      <c r="J425" s="118">
        <v>5</v>
      </c>
      <c r="K425" s="130">
        <v>0</v>
      </c>
      <c r="L425" s="130">
        <v>4</v>
      </c>
      <c r="M425" s="130">
        <v>5</v>
      </c>
      <c r="N425" s="118" t="s">
        <v>1533</v>
      </c>
      <c r="O425" s="130">
        <v>50</v>
      </c>
      <c r="P425" s="130">
        <v>0.5</v>
      </c>
      <c r="Q425" s="130">
        <v>0</v>
      </c>
      <c r="R425" s="130">
        <v>1</v>
      </c>
      <c r="S425" s="130" t="b">
        <v>1</v>
      </c>
      <c r="T425" s="130">
        <v>32</v>
      </c>
      <c r="U425" s="118">
        <v>480</v>
      </c>
      <c r="V425" s="118">
        <v>640</v>
      </c>
      <c r="W425" s="130">
        <v>0</v>
      </c>
      <c r="X425" s="130">
        <v>5</v>
      </c>
      <c r="Y425" s="130" t="s">
        <v>38</v>
      </c>
      <c r="Z425" s="388" t="s">
        <v>3192</v>
      </c>
      <c r="AA425" s="388" t="s">
        <v>3192</v>
      </c>
      <c r="AB425" s="130" t="s">
        <v>2090</v>
      </c>
      <c r="AC425" s="130">
        <v>100000</v>
      </c>
      <c r="AD425" s="197">
        <v>1</v>
      </c>
      <c r="AE425" s="197">
        <v>1</v>
      </c>
      <c r="AF425">
        <v>0</v>
      </c>
      <c r="AG425" s="416">
        <v>5</v>
      </c>
    </row>
    <row r="426" spans="1:33" x14ac:dyDescent="0.15">
      <c r="A426" s="130">
        <v>300205</v>
      </c>
      <c r="B426" s="130" t="s">
        <v>2092</v>
      </c>
      <c r="C426" s="130" t="s">
        <v>2092</v>
      </c>
      <c r="D426" s="130" t="s">
        <v>1508</v>
      </c>
      <c r="E426" s="130">
        <v>0</v>
      </c>
      <c r="F426" s="130">
        <v>0</v>
      </c>
      <c r="G426" s="130"/>
      <c r="H426" s="130" t="s">
        <v>112</v>
      </c>
      <c r="I426" s="130">
        <v>5</v>
      </c>
      <c r="J426" s="118">
        <v>5</v>
      </c>
      <c r="K426" s="130">
        <v>0</v>
      </c>
      <c r="L426" s="130">
        <v>4</v>
      </c>
      <c r="M426" s="130">
        <v>5</v>
      </c>
      <c r="N426" s="118" t="s">
        <v>1533</v>
      </c>
      <c r="O426" s="130">
        <v>50</v>
      </c>
      <c r="P426" s="130">
        <v>0.5</v>
      </c>
      <c r="Q426" s="130">
        <v>0</v>
      </c>
      <c r="R426" s="130">
        <v>1</v>
      </c>
      <c r="S426" s="130" t="b">
        <v>1</v>
      </c>
      <c r="T426" s="130">
        <v>32</v>
      </c>
      <c r="U426" s="118">
        <v>480</v>
      </c>
      <c r="V426" s="118">
        <v>640</v>
      </c>
      <c r="W426" s="130">
        <v>0</v>
      </c>
      <c r="X426" s="130">
        <v>5</v>
      </c>
      <c r="Y426" s="130" t="s">
        <v>38</v>
      </c>
      <c r="Z426" s="388" t="s">
        <v>3193</v>
      </c>
      <c r="AA426" s="388" t="s">
        <v>3193</v>
      </c>
      <c r="AB426" s="130" t="s">
        <v>2095</v>
      </c>
      <c r="AC426" s="130">
        <v>100000</v>
      </c>
      <c r="AD426" s="197">
        <v>1</v>
      </c>
      <c r="AE426" s="197">
        <v>1</v>
      </c>
      <c r="AF426">
        <v>0</v>
      </c>
      <c r="AG426" s="416">
        <v>5</v>
      </c>
    </row>
    <row r="427" spans="1:33" x14ac:dyDescent="0.15">
      <c r="A427" s="130">
        <v>300305</v>
      </c>
      <c r="B427" s="130" t="s">
        <v>2097</v>
      </c>
      <c r="C427" s="130" t="s">
        <v>2097</v>
      </c>
      <c r="D427" s="130" t="s">
        <v>1508</v>
      </c>
      <c r="E427" s="130">
        <v>0</v>
      </c>
      <c r="F427" s="130">
        <v>0</v>
      </c>
      <c r="G427" s="130"/>
      <c r="H427" s="130" t="s">
        <v>112</v>
      </c>
      <c r="I427" s="130">
        <v>5</v>
      </c>
      <c r="J427" s="118">
        <v>5</v>
      </c>
      <c r="K427" s="130">
        <v>0</v>
      </c>
      <c r="L427" s="130">
        <v>4</v>
      </c>
      <c r="M427" s="130">
        <v>5</v>
      </c>
      <c r="N427" s="118" t="s">
        <v>1533</v>
      </c>
      <c r="O427" s="130">
        <v>50</v>
      </c>
      <c r="P427" s="130">
        <v>0.5</v>
      </c>
      <c r="Q427" s="130">
        <v>0</v>
      </c>
      <c r="R427" s="130">
        <v>1</v>
      </c>
      <c r="S427" s="130" t="b">
        <v>1</v>
      </c>
      <c r="T427" s="130">
        <v>32</v>
      </c>
      <c r="U427" s="118">
        <v>480</v>
      </c>
      <c r="V427" s="118">
        <v>640</v>
      </c>
      <c r="W427" s="130">
        <v>0</v>
      </c>
      <c r="X427" s="130">
        <v>5</v>
      </c>
      <c r="Y427" s="130" t="s">
        <v>38</v>
      </c>
      <c r="Z427" s="388" t="s">
        <v>3194</v>
      </c>
      <c r="AA427" s="388" t="s">
        <v>3194</v>
      </c>
      <c r="AB427" s="130" t="s">
        <v>2100</v>
      </c>
      <c r="AC427" s="130">
        <v>100000</v>
      </c>
      <c r="AD427" s="197">
        <v>1</v>
      </c>
      <c r="AE427" s="197">
        <v>1</v>
      </c>
      <c r="AF427">
        <v>0</v>
      </c>
      <c r="AG427" s="416">
        <v>5</v>
      </c>
    </row>
    <row r="428" spans="1:33" x14ac:dyDescent="0.15">
      <c r="A428" s="130">
        <v>400105</v>
      </c>
      <c r="B428" s="130" t="s">
        <v>2102</v>
      </c>
      <c r="C428" s="130" t="s">
        <v>2102</v>
      </c>
      <c r="D428" s="130" t="s">
        <v>1594</v>
      </c>
      <c r="E428" s="130">
        <v>0</v>
      </c>
      <c r="F428" s="130">
        <v>0</v>
      </c>
      <c r="G428" s="130"/>
      <c r="H428" s="130" t="s">
        <v>112</v>
      </c>
      <c r="I428" s="130">
        <v>5</v>
      </c>
      <c r="J428" s="118">
        <v>5</v>
      </c>
      <c r="K428" s="130">
        <v>0</v>
      </c>
      <c r="L428" s="130">
        <v>4</v>
      </c>
      <c r="M428" s="130">
        <v>5</v>
      </c>
      <c r="N428" s="118" t="s">
        <v>1533</v>
      </c>
      <c r="O428" s="130">
        <v>50</v>
      </c>
      <c r="P428" s="130">
        <v>0.5</v>
      </c>
      <c r="Q428" s="130">
        <v>0</v>
      </c>
      <c r="R428" s="130">
        <v>1</v>
      </c>
      <c r="S428" s="130" t="b">
        <v>1</v>
      </c>
      <c r="T428" s="130">
        <v>32</v>
      </c>
      <c r="U428" s="118">
        <v>480</v>
      </c>
      <c r="V428" s="118">
        <v>640</v>
      </c>
      <c r="W428" s="130">
        <v>0</v>
      </c>
      <c r="X428" s="130">
        <v>5</v>
      </c>
      <c r="Y428" s="130" t="s">
        <v>38</v>
      </c>
      <c r="Z428" s="388" t="s">
        <v>3195</v>
      </c>
      <c r="AA428" s="388" t="s">
        <v>3195</v>
      </c>
      <c r="AB428" s="130" t="s">
        <v>2105</v>
      </c>
      <c r="AC428" s="130">
        <v>100000</v>
      </c>
      <c r="AD428" s="197">
        <v>1</v>
      </c>
      <c r="AE428" s="197">
        <v>1</v>
      </c>
      <c r="AF428">
        <v>0</v>
      </c>
      <c r="AG428" s="416">
        <v>5</v>
      </c>
    </row>
    <row r="429" spans="1:33" x14ac:dyDescent="0.15">
      <c r="A429" s="130">
        <v>400205</v>
      </c>
      <c r="B429" s="130" t="s">
        <v>2107</v>
      </c>
      <c r="C429" s="130" t="s">
        <v>2107</v>
      </c>
      <c r="D429" s="130" t="s">
        <v>1594</v>
      </c>
      <c r="E429" s="130">
        <v>0</v>
      </c>
      <c r="F429" s="130">
        <v>0</v>
      </c>
      <c r="G429" s="130"/>
      <c r="H429" s="130" t="s">
        <v>112</v>
      </c>
      <c r="I429" s="130">
        <v>5</v>
      </c>
      <c r="J429" s="118">
        <v>5</v>
      </c>
      <c r="K429" s="130">
        <v>0</v>
      </c>
      <c r="L429" s="130">
        <v>4</v>
      </c>
      <c r="M429" s="130">
        <v>5</v>
      </c>
      <c r="N429" s="118" t="s">
        <v>1533</v>
      </c>
      <c r="O429" s="130">
        <v>50</v>
      </c>
      <c r="P429" s="130">
        <v>0.5</v>
      </c>
      <c r="Q429" s="130">
        <v>0</v>
      </c>
      <c r="R429" s="130">
        <v>1</v>
      </c>
      <c r="S429" s="130" t="b">
        <v>1</v>
      </c>
      <c r="T429" s="130">
        <v>32</v>
      </c>
      <c r="U429" s="118">
        <v>480</v>
      </c>
      <c r="V429" s="118">
        <v>640</v>
      </c>
      <c r="W429" s="130">
        <v>0</v>
      </c>
      <c r="X429" s="130">
        <v>5</v>
      </c>
      <c r="Y429" s="130" t="s">
        <v>38</v>
      </c>
      <c r="Z429" s="388" t="s">
        <v>3193</v>
      </c>
      <c r="AA429" s="388" t="s">
        <v>3193</v>
      </c>
      <c r="AB429" s="130" t="s">
        <v>2109</v>
      </c>
      <c r="AC429" s="130">
        <v>100000</v>
      </c>
      <c r="AD429" s="197">
        <v>1</v>
      </c>
      <c r="AE429" s="197">
        <v>1</v>
      </c>
      <c r="AF429">
        <v>0</v>
      </c>
      <c r="AG429" s="416">
        <v>5</v>
      </c>
    </row>
    <row r="430" spans="1:33" x14ac:dyDescent="0.15">
      <c r="A430" s="130">
        <v>400305</v>
      </c>
      <c r="B430" s="130" t="s">
        <v>2111</v>
      </c>
      <c r="C430" s="130" t="s">
        <v>2111</v>
      </c>
      <c r="D430" s="130" t="s">
        <v>1594</v>
      </c>
      <c r="E430" s="130">
        <v>0</v>
      </c>
      <c r="F430" s="130">
        <v>0</v>
      </c>
      <c r="G430" s="130"/>
      <c r="H430" s="130" t="s">
        <v>112</v>
      </c>
      <c r="I430" s="130">
        <v>5</v>
      </c>
      <c r="J430" s="118">
        <v>5</v>
      </c>
      <c r="K430" s="130">
        <v>0</v>
      </c>
      <c r="L430" s="130">
        <v>4</v>
      </c>
      <c r="M430" s="130">
        <v>5</v>
      </c>
      <c r="N430" s="118" t="s">
        <v>1533</v>
      </c>
      <c r="O430" s="130">
        <v>50</v>
      </c>
      <c r="P430" s="130">
        <v>0.5</v>
      </c>
      <c r="Q430" s="130">
        <v>0</v>
      </c>
      <c r="R430" s="130">
        <v>1</v>
      </c>
      <c r="S430" s="130" t="b">
        <v>1</v>
      </c>
      <c r="T430" s="130">
        <v>32</v>
      </c>
      <c r="U430" s="118">
        <v>480</v>
      </c>
      <c r="V430" s="118">
        <v>640</v>
      </c>
      <c r="W430" s="130">
        <v>0</v>
      </c>
      <c r="X430" s="130">
        <v>5</v>
      </c>
      <c r="Y430" s="130" t="s">
        <v>38</v>
      </c>
      <c r="Z430" s="388" t="s">
        <v>3194</v>
      </c>
      <c r="AA430" s="388" t="s">
        <v>3194</v>
      </c>
      <c r="AB430" s="130" t="s">
        <v>2113</v>
      </c>
      <c r="AC430" s="130">
        <v>100000</v>
      </c>
      <c r="AD430" s="197">
        <v>1</v>
      </c>
      <c r="AE430" s="197">
        <v>1</v>
      </c>
      <c r="AF430">
        <v>0</v>
      </c>
      <c r="AG430" s="416">
        <v>5</v>
      </c>
    </row>
    <row r="431" spans="1:33" x14ac:dyDescent="0.15">
      <c r="A431" s="130">
        <v>500106</v>
      </c>
      <c r="B431" s="130" t="s">
        <v>2115</v>
      </c>
      <c r="C431" s="130" t="s">
        <v>2115</v>
      </c>
      <c r="D431" s="130" t="s">
        <v>1672</v>
      </c>
      <c r="E431" s="130">
        <v>0</v>
      </c>
      <c r="F431" s="130">
        <v>0</v>
      </c>
      <c r="G431" s="130"/>
      <c r="H431" s="130" t="s">
        <v>112</v>
      </c>
      <c r="I431" s="130">
        <v>5</v>
      </c>
      <c r="J431" s="118">
        <v>5</v>
      </c>
      <c r="K431" s="130">
        <v>0</v>
      </c>
      <c r="L431" s="130">
        <v>4</v>
      </c>
      <c r="M431" s="130">
        <v>5</v>
      </c>
      <c r="N431" s="118" t="s">
        <v>1539</v>
      </c>
      <c r="O431" s="130">
        <v>50</v>
      </c>
      <c r="P431" s="130">
        <v>0.5</v>
      </c>
      <c r="Q431" s="130">
        <v>0</v>
      </c>
      <c r="R431" s="130">
        <v>1</v>
      </c>
      <c r="S431" s="130" t="b">
        <v>1</v>
      </c>
      <c r="T431" s="130">
        <v>39</v>
      </c>
      <c r="U431" s="118">
        <v>585</v>
      </c>
      <c r="V431" s="118">
        <v>780</v>
      </c>
      <c r="W431" s="130">
        <v>0</v>
      </c>
      <c r="X431" s="130">
        <v>6</v>
      </c>
      <c r="Y431" s="130" t="s">
        <v>38</v>
      </c>
      <c r="Z431" s="388" t="s">
        <v>3196</v>
      </c>
      <c r="AA431" s="388" t="s">
        <v>3196</v>
      </c>
      <c r="AB431" s="130" t="s">
        <v>2118</v>
      </c>
      <c r="AC431" s="130">
        <v>100000</v>
      </c>
      <c r="AD431" s="197">
        <v>1</v>
      </c>
      <c r="AE431" s="197">
        <v>1</v>
      </c>
      <c r="AF431">
        <v>0</v>
      </c>
      <c r="AG431" s="416">
        <v>6</v>
      </c>
    </row>
    <row r="432" spans="1:33" x14ac:dyDescent="0.15">
      <c r="A432" s="130">
        <v>500206</v>
      </c>
      <c r="B432" s="130" t="s">
        <v>2120</v>
      </c>
      <c r="C432" s="130" t="s">
        <v>2120</v>
      </c>
      <c r="D432" s="130" t="s">
        <v>1672</v>
      </c>
      <c r="E432" s="130">
        <v>0</v>
      </c>
      <c r="F432" s="130">
        <v>0</v>
      </c>
      <c r="G432" s="130"/>
      <c r="H432" s="130" t="s">
        <v>112</v>
      </c>
      <c r="I432" s="130">
        <v>5</v>
      </c>
      <c r="J432" s="118">
        <v>5</v>
      </c>
      <c r="K432" s="130">
        <v>0</v>
      </c>
      <c r="L432" s="130">
        <v>4</v>
      </c>
      <c r="M432" s="130">
        <v>5</v>
      </c>
      <c r="N432" s="118" t="s">
        <v>1539</v>
      </c>
      <c r="O432" s="130">
        <v>50</v>
      </c>
      <c r="P432" s="130">
        <v>0.5</v>
      </c>
      <c r="Q432" s="130">
        <v>0</v>
      </c>
      <c r="R432" s="130">
        <v>1</v>
      </c>
      <c r="S432" s="130" t="b">
        <v>1</v>
      </c>
      <c r="T432" s="130">
        <v>39</v>
      </c>
      <c r="U432" s="118">
        <v>585</v>
      </c>
      <c r="V432" s="118">
        <v>780</v>
      </c>
      <c r="W432" s="130">
        <v>0</v>
      </c>
      <c r="X432" s="130">
        <v>6</v>
      </c>
      <c r="Y432" s="130" t="s">
        <v>38</v>
      </c>
      <c r="Z432" s="388" t="s">
        <v>3193</v>
      </c>
      <c r="AA432" s="388" t="s">
        <v>3193</v>
      </c>
      <c r="AB432" s="130" t="s">
        <v>2122</v>
      </c>
      <c r="AC432" s="130">
        <v>100000</v>
      </c>
      <c r="AD432" s="197">
        <v>1</v>
      </c>
      <c r="AE432" s="197">
        <v>1</v>
      </c>
      <c r="AF432">
        <v>0</v>
      </c>
      <c r="AG432" s="416">
        <v>6</v>
      </c>
    </row>
    <row r="433" spans="1:33" x14ac:dyDescent="0.15">
      <c r="A433" s="130">
        <v>500306</v>
      </c>
      <c r="B433" s="130" t="s">
        <v>2124</v>
      </c>
      <c r="C433" s="130" t="s">
        <v>2124</v>
      </c>
      <c r="D433" s="130" t="s">
        <v>1672</v>
      </c>
      <c r="E433" s="130">
        <v>0</v>
      </c>
      <c r="F433" s="130">
        <v>0</v>
      </c>
      <c r="G433" s="130"/>
      <c r="H433" s="130" t="s">
        <v>112</v>
      </c>
      <c r="I433" s="130">
        <v>5</v>
      </c>
      <c r="J433" s="118">
        <v>5</v>
      </c>
      <c r="K433" s="130">
        <v>0</v>
      </c>
      <c r="L433" s="130">
        <v>4</v>
      </c>
      <c r="M433" s="130">
        <v>5</v>
      </c>
      <c r="N433" s="118" t="s">
        <v>1539</v>
      </c>
      <c r="O433" s="130">
        <v>50</v>
      </c>
      <c r="P433" s="130">
        <v>0.5</v>
      </c>
      <c r="Q433" s="130">
        <v>0</v>
      </c>
      <c r="R433" s="130">
        <v>1</v>
      </c>
      <c r="S433" s="130" t="b">
        <v>1</v>
      </c>
      <c r="T433" s="130">
        <v>39</v>
      </c>
      <c r="U433" s="118">
        <v>585</v>
      </c>
      <c r="V433" s="118">
        <v>780</v>
      </c>
      <c r="W433" s="130">
        <v>0</v>
      </c>
      <c r="X433" s="130">
        <v>6</v>
      </c>
      <c r="Y433" s="130" t="s">
        <v>38</v>
      </c>
      <c r="Z433" s="388" t="s">
        <v>3194</v>
      </c>
      <c r="AA433" s="388" t="s">
        <v>3194</v>
      </c>
      <c r="AB433" s="130" t="s">
        <v>2126</v>
      </c>
      <c r="AC433" s="130">
        <v>100000</v>
      </c>
      <c r="AD433" s="197">
        <v>1</v>
      </c>
      <c r="AE433" s="197">
        <v>1</v>
      </c>
      <c r="AF433">
        <v>0</v>
      </c>
      <c r="AG433" s="416">
        <v>6</v>
      </c>
    </row>
    <row r="434" spans="1:33" x14ac:dyDescent="0.15">
      <c r="A434" s="130">
        <v>200107</v>
      </c>
      <c r="B434" s="130" t="s">
        <v>2128</v>
      </c>
      <c r="C434" s="130" t="s">
        <v>2128</v>
      </c>
      <c r="D434" s="130" t="s">
        <v>1408</v>
      </c>
      <c r="E434" s="130">
        <v>0</v>
      </c>
      <c r="F434" s="130">
        <v>0</v>
      </c>
      <c r="G434" s="130"/>
      <c r="H434" s="130" t="s">
        <v>112</v>
      </c>
      <c r="I434" s="130">
        <v>5</v>
      </c>
      <c r="J434" s="118">
        <v>5</v>
      </c>
      <c r="K434" s="130">
        <v>0</v>
      </c>
      <c r="L434" s="130">
        <v>4</v>
      </c>
      <c r="M434" s="130">
        <v>5</v>
      </c>
      <c r="N434" s="118" t="s">
        <v>1448</v>
      </c>
      <c r="O434" s="130">
        <v>50</v>
      </c>
      <c r="P434" s="130">
        <v>0.5</v>
      </c>
      <c r="Q434" s="130">
        <v>0</v>
      </c>
      <c r="R434" s="130">
        <v>1</v>
      </c>
      <c r="S434" s="130" t="b">
        <v>1</v>
      </c>
      <c r="T434" s="130">
        <v>45</v>
      </c>
      <c r="U434" s="118">
        <v>675</v>
      </c>
      <c r="V434" s="118">
        <v>900</v>
      </c>
      <c r="W434" s="130">
        <v>0</v>
      </c>
      <c r="X434" s="130">
        <v>7</v>
      </c>
      <c r="Y434" s="130" t="s">
        <v>38</v>
      </c>
      <c r="Z434" s="388" t="s">
        <v>3197</v>
      </c>
      <c r="AA434" s="388" t="s">
        <v>3197</v>
      </c>
      <c r="AB434" s="130" t="s">
        <v>2131</v>
      </c>
      <c r="AC434" s="130">
        <v>100000</v>
      </c>
      <c r="AD434" s="197">
        <v>1</v>
      </c>
      <c r="AE434" s="197">
        <v>1</v>
      </c>
      <c r="AF434">
        <v>0</v>
      </c>
      <c r="AG434" s="416">
        <v>7</v>
      </c>
    </row>
    <row r="435" spans="1:33" x14ac:dyDescent="0.15">
      <c r="A435" s="130">
        <v>200207</v>
      </c>
      <c r="B435" s="130" t="s">
        <v>2133</v>
      </c>
      <c r="C435" s="130" t="s">
        <v>2133</v>
      </c>
      <c r="D435" s="130" t="s">
        <v>1408</v>
      </c>
      <c r="E435" s="130">
        <v>0</v>
      </c>
      <c r="F435" s="130">
        <v>0</v>
      </c>
      <c r="G435" s="130"/>
      <c r="H435" s="130" t="s">
        <v>112</v>
      </c>
      <c r="I435" s="130">
        <v>5</v>
      </c>
      <c r="J435" s="118">
        <v>5</v>
      </c>
      <c r="K435" s="130">
        <v>0</v>
      </c>
      <c r="L435" s="130">
        <v>4</v>
      </c>
      <c r="M435" s="130">
        <v>5</v>
      </c>
      <c r="N435" s="118" t="s">
        <v>1448</v>
      </c>
      <c r="O435" s="130">
        <v>50</v>
      </c>
      <c r="P435" s="130">
        <v>0.5</v>
      </c>
      <c r="Q435" s="130">
        <v>0</v>
      </c>
      <c r="R435" s="130">
        <v>1</v>
      </c>
      <c r="S435" s="130" t="b">
        <v>1</v>
      </c>
      <c r="T435" s="130">
        <v>45</v>
      </c>
      <c r="U435" s="118">
        <v>675</v>
      </c>
      <c r="V435" s="118">
        <v>900</v>
      </c>
      <c r="W435" s="130">
        <v>0</v>
      </c>
      <c r="X435" s="130">
        <v>7</v>
      </c>
      <c r="Y435" s="130" t="s">
        <v>38</v>
      </c>
      <c r="Z435" s="388" t="s">
        <v>3193</v>
      </c>
      <c r="AA435" s="388" t="s">
        <v>3193</v>
      </c>
      <c r="AB435" s="130" t="s">
        <v>2135</v>
      </c>
      <c r="AC435" s="130">
        <v>100000</v>
      </c>
      <c r="AD435" s="197">
        <v>1</v>
      </c>
      <c r="AE435" s="197">
        <v>1</v>
      </c>
      <c r="AF435">
        <v>0</v>
      </c>
      <c r="AG435" s="416">
        <v>7</v>
      </c>
    </row>
    <row r="436" spans="1:33" x14ac:dyDescent="0.15">
      <c r="A436" s="130">
        <v>200307</v>
      </c>
      <c r="B436" s="130" t="s">
        <v>2137</v>
      </c>
      <c r="C436" s="130" t="s">
        <v>2137</v>
      </c>
      <c r="D436" s="130" t="s">
        <v>1408</v>
      </c>
      <c r="E436" s="130">
        <v>0</v>
      </c>
      <c r="F436" s="130">
        <v>0</v>
      </c>
      <c r="G436" s="130"/>
      <c r="H436" s="130" t="s">
        <v>112</v>
      </c>
      <c r="I436" s="130">
        <v>5</v>
      </c>
      <c r="J436" s="118">
        <v>5</v>
      </c>
      <c r="K436" s="130">
        <v>0</v>
      </c>
      <c r="L436" s="130">
        <v>4</v>
      </c>
      <c r="M436" s="130">
        <v>5</v>
      </c>
      <c r="N436" s="118" t="s">
        <v>1448</v>
      </c>
      <c r="O436" s="130">
        <v>50</v>
      </c>
      <c r="P436" s="130">
        <v>0.5</v>
      </c>
      <c r="Q436" s="130">
        <v>0</v>
      </c>
      <c r="R436" s="130">
        <v>1</v>
      </c>
      <c r="S436" s="130" t="b">
        <v>1</v>
      </c>
      <c r="T436" s="130">
        <v>45</v>
      </c>
      <c r="U436" s="118">
        <v>675</v>
      </c>
      <c r="V436" s="118">
        <v>900</v>
      </c>
      <c r="W436" s="130">
        <v>0</v>
      </c>
      <c r="X436" s="130">
        <v>7</v>
      </c>
      <c r="Y436" s="130" t="s">
        <v>38</v>
      </c>
      <c r="Z436" s="388" t="s">
        <v>3194</v>
      </c>
      <c r="AA436" s="388" t="s">
        <v>3194</v>
      </c>
      <c r="AB436" s="130" t="s">
        <v>2139</v>
      </c>
      <c r="AC436" s="130">
        <v>100000</v>
      </c>
      <c r="AD436" s="197">
        <v>1</v>
      </c>
      <c r="AE436" s="197">
        <v>1</v>
      </c>
      <c r="AF436">
        <v>0</v>
      </c>
      <c r="AG436" s="416">
        <v>7</v>
      </c>
    </row>
    <row r="437" spans="1:33" x14ac:dyDescent="0.15">
      <c r="A437" s="130">
        <v>104504</v>
      </c>
      <c r="B437" s="130" t="s">
        <v>2141</v>
      </c>
      <c r="C437" s="130" t="s">
        <v>2141</v>
      </c>
      <c r="D437" s="130" t="s">
        <v>33</v>
      </c>
      <c r="E437" s="130">
        <v>4</v>
      </c>
      <c r="F437" s="130" t="s">
        <v>447</v>
      </c>
      <c r="G437" s="130" t="s">
        <v>618</v>
      </c>
      <c r="H437" s="130" t="s">
        <v>112</v>
      </c>
      <c r="I437" s="130">
        <v>5</v>
      </c>
      <c r="J437" s="118">
        <v>5</v>
      </c>
      <c r="K437" s="130">
        <v>0</v>
      </c>
      <c r="L437" s="130">
        <v>3</v>
      </c>
      <c r="M437" s="130">
        <v>5</v>
      </c>
      <c r="N437" s="118" t="s">
        <v>64</v>
      </c>
      <c r="O437" s="130">
        <v>50</v>
      </c>
      <c r="P437" s="130">
        <v>0.6</v>
      </c>
      <c r="Q437" s="130">
        <v>0</v>
      </c>
      <c r="R437" s="130">
        <v>1</v>
      </c>
      <c r="S437" s="130" t="b">
        <v>1</v>
      </c>
      <c r="T437" s="130">
        <v>52</v>
      </c>
      <c r="U437" s="118">
        <v>780</v>
      </c>
      <c r="V437" s="118">
        <v>1040</v>
      </c>
      <c r="W437" s="130">
        <v>0</v>
      </c>
      <c r="X437" s="130">
        <v>4</v>
      </c>
      <c r="Y437" s="130" t="s">
        <v>38</v>
      </c>
      <c r="Z437" s="388" t="s">
        <v>3198</v>
      </c>
      <c r="AA437" s="388" t="s">
        <v>3198</v>
      </c>
      <c r="AB437" s="130" t="s">
        <v>529</v>
      </c>
      <c r="AC437" s="130">
        <v>100000</v>
      </c>
      <c r="AD437" s="197">
        <v>1</v>
      </c>
      <c r="AE437" s="197">
        <v>1</v>
      </c>
      <c r="AF437">
        <v>0</v>
      </c>
      <c r="AG437" s="416">
        <v>4</v>
      </c>
    </row>
    <row r="438" spans="1:33" x14ac:dyDescent="0.15">
      <c r="A438" s="130">
        <v>104505</v>
      </c>
      <c r="B438" s="130" t="s">
        <v>2145</v>
      </c>
      <c r="C438" s="130" t="s">
        <v>2145</v>
      </c>
      <c r="D438" s="130" t="s">
        <v>33</v>
      </c>
      <c r="E438" s="130">
        <v>4</v>
      </c>
      <c r="F438" s="130" t="s">
        <v>447</v>
      </c>
      <c r="G438" s="130" t="s">
        <v>541</v>
      </c>
      <c r="H438" s="130" t="s">
        <v>112</v>
      </c>
      <c r="I438" s="130">
        <v>5</v>
      </c>
      <c r="J438" s="118">
        <v>5</v>
      </c>
      <c r="K438" s="130">
        <v>0</v>
      </c>
      <c r="L438" s="130">
        <v>3</v>
      </c>
      <c r="M438" s="130">
        <v>5</v>
      </c>
      <c r="N438" s="118" t="s">
        <v>71</v>
      </c>
      <c r="O438" s="130">
        <v>50</v>
      </c>
      <c r="P438" s="130">
        <v>0.6</v>
      </c>
      <c r="Q438" s="130">
        <v>0</v>
      </c>
      <c r="R438" s="130">
        <v>1</v>
      </c>
      <c r="S438" s="130" t="b">
        <v>1</v>
      </c>
      <c r="T438" s="130">
        <v>65</v>
      </c>
      <c r="U438" s="118">
        <v>975</v>
      </c>
      <c r="V438" s="118">
        <v>1300</v>
      </c>
      <c r="W438" s="130">
        <v>0</v>
      </c>
      <c r="X438" s="130">
        <v>5</v>
      </c>
      <c r="Y438" s="130" t="s">
        <v>38</v>
      </c>
      <c r="Z438" s="388" t="s">
        <v>3199</v>
      </c>
      <c r="AA438" s="388" t="s">
        <v>3199</v>
      </c>
      <c r="AB438" s="130" t="s">
        <v>556</v>
      </c>
      <c r="AC438" s="130">
        <v>100000</v>
      </c>
      <c r="AD438" s="197">
        <v>1</v>
      </c>
      <c r="AE438" s="197">
        <v>1</v>
      </c>
      <c r="AF438">
        <v>0</v>
      </c>
      <c r="AG438" s="416">
        <v>5</v>
      </c>
    </row>
    <row r="439" spans="1:33" x14ac:dyDescent="0.15">
      <c r="A439" s="130">
        <v>104506</v>
      </c>
      <c r="B439" s="130" t="s">
        <v>2149</v>
      </c>
      <c r="C439" s="130" t="s">
        <v>2149</v>
      </c>
      <c r="D439" s="130" t="s">
        <v>33</v>
      </c>
      <c r="E439" s="130">
        <v>4</v>
      </c>
      <c r="F439" s="130" t="s">
        <v>447</v>
      </c>
      <c r="G439" s="130" t="s">
        <v>547</v>
      </c>
      <c r="H439" s="130" t="s">
        <v>112</v>
      </c>
      <c r="I439" s="130">
        <v>5</v>
      </c>
      <c r="J439" s="118">
        <v>5</v>
      </c>
      <c r="K439" s="130">
        <v>0</v>
      </c>
      <c r="L439" s="130">
        <v>3</v>
      </c>
      <c r="M439" s="130">
        <v>5</v>
      </c>
      <c r="N439" s="118" t="s">
        <v>77</v>
      </c>
      <c r="O439" s="130">
        <v>50</v>
      </c>
      <c r="P439" s="130">
        <v>0.6</v>
      </c>
      <c r="Q439" s="130">
        <v>0</v>
      </c>
      <c r="R439" s="130">
        <v>1</v>
      </c>
      <c r="S439" s="130" t="b">
        <v>1</v>
      </c>
      <c r="T439" s="130">
        <v>78</v>
      </c>
      <c r="U439" s="118">
        <v>1170</v>
      </c>
      <c r="V439" s="118">
        <v>1560</v>
      </c>
      <c r="W439" s="130">
        <v>0</v>
      </c>
      <c r="X439" s="130">
        <v>6</v>
      </c>
      <c r="Y439" s="130" t="s">
        <v>38</v>
      </c>
      <c r="Z439" s="388" t="s">
        <v>3200</v>
      </c>
      <c r="AA439" s="388" t="s">
        <v>3200</v>
      </c>
      <c r="AB439" s="130" t="s">
        <v>562</v>
      </c>
      <c r="AC439" s="130">
        <v>100000</v>
      </c>
      <c r="AD439" s="197">
        <v>1</v>
      </c>
      <c r="AE439" s="197">
        <v>1</v>
      </c>
      <c r="AF439">
        <v>0</v>
      </c>
      <c r="AG439" s="416">
        <v>6</v>
      </c>
    </row>
    <row r="440" spans="1:33" x14ac:dyDescent="0.15">
      <c r="A440" s="130">
        <v>104507</v>
      </c>
      <c r="B440" s="130" t="s">
        <v>2153</v>
      </c>
      <c r="C440" s="130" t="s">
        <v>2153</v>
      </c>
      <c r="D440" s="130" t="s">
        <v>33</v>
      </c>
      <c r="E440" s="130">
        <v>4</v>
      </c>
      <c r="F440" s="130" t="s">
        <v>447</v>
      </c>
      <c r="G440" s="130" t="s">
        <v>559</v>
      </c>
      <c r="H440" s="130" t="s">
        <v>112</v>
      </c>
      <c r="I440" s="130">
        <v>5</v>
      </c>
      <c r="J440" s="118">
        <v>5</v>
      </c>
      <c r="K440" s="130">
        <v>0</v>
      </c>
      <c r="L440" s="130">
        <v>3</v>
      </c>
      <c r="M440" s="130">
        <v>5</v>
      </c>
      <c r="N440" s="118" t="s">
        <v>83</v>
      </c>
      <c r="O440" s="130">
        <v>50</v>
      </c>
      <c r="P440" s="130">
        <v>0.6</v>
      </c>
      <c r="Q440" s="130">
        <v>0</v>
      </c>
      <c r="R440" s="130">
        <v>1</v>
      </c>
      <c r="S440" s="130" t="b">
        <v>1</v>
      </c>
      <c r="T440" s="130">
        <v>91</v>
      </c>
      <c r="U440" s="118">
        <v>1365</v>
      </c>
      <c r="V440" s="118">
        <v>1820</v>
      </c>
      <c r="W440" s="130">
        <v>0</v>
      </c>
      <c r="X440" s="130">
        <v>7</v>
      </c>
      <c r="Y440" s="130" t="s">
        <v>38</v>
      </c>
      <c r="Z440" s="388" t="s">
        <v>3201</v>
      </c>
      <c r="AA440" s="388" t="s">
        <v>3201</v>
      </c>
      <c r="AB440" s="130" t="s">
        <v>580</v>
      </c>
      <c r="AC440" s="130">
        <v>100000</v>
      </c>
      <c r="AD440" s="197">
        <v>1</v>
      </c>
      <c r="AE440" s="197">
        <v>1</v>
      </c>
      <c r="AF440">
        <v>0</v>
      </c>
      <c r="AG440" s="416">
        <v>7</v>
      </c>
    </row>
    <row r="441" spans="1:33" x14ac:dyDescent="0.15">
      <c r="A441" s="130">
        <v>103404</v>
      </c>
      <c r="B441" s="130" t="s">
        <v>2157</v>
      </c>
      <c r="C441" s="130" t="s">
        <v>2157</v>
      </c>
      <c r="D441" s="130" t="s">
        <v>33</v>
      </c>
      <c r="E441" s="130">
        <v>3</v>
      </c>
      <c r="F441" s="130" t="s">
        <v>363</v>
      </c>
      <c r="G441" s="130" t="s">
        <v>376</v>
      </c>
      <c r="H441" s="130" t="s">
        <v>112</v>
      </c>
      <c r="I441" s="130">
        <v>5</v>
      </c>
      <c r="J441" s="118">
        <v>5</v>
      </c>
      <c r="K441" s="130">
        <v>0</v>
      </c>
      <c r="L441" s="130">
        <v>3</v>
      </c>
      <c r="M441" s="130">
        <v>5</v>
      </c>
      <c r="N441" s="118" t="s">
        <v>64</v>
      </c>
      <c r="O441" s="130">
        <v>99</v>
      </c>
      <c r="P441" s="130">
        <v>0.9</v>
      </c>
      <c r="Q441" s="130">
        <v>0</v>
      </c>
      <c r="R441" s="130">
        <v>1</v>
      </c>
      <c r="S441" s="130" t="b">
        <v>1</v>
      </c>
      <c r="T441" s="130">
        <v>52</v>
      </c>
      <c r="U441" s="118">
        <v>780</v>
      </c>
      <c r="V441" s="118">
        <v>1040</v>
      </c>
      <c r="W441" s="130">
        <v>0</v>
      </c>
      <c r="X441" s="130">
        <v>4</v>
      </c>
      <c r="Y441" s="130" t="s">
        <v>38</v>
      </c>
      <c r="Z441" s="388" t="s">
        <v>3202</v>
      </c>
      <c r="AA441" s="388" t="s">
        <v>3202</v>
      </c>
      <c r="AB441" s="130" t="s">
        <v>367</v>
      </c>
      <c r="AC441" s="130">
        <v>100000</v>
      </c>
      <c r="AD441" s="197">
        <v>1</v>
      </c>
      <c r="AE441" s="197">
        <v>1</v>
      </c>
      <c r="AF441">
        <v>0</v>
      </c>
      <c r="AG441" s="416">
        <v>4</v>
      </c>
    </row>
    <row r="442" spans="1:33" x14ac:dyDescent="0.15">
      <c r="A442" s="130">
        <v>103405</v>
      </c>
      <c r="B442" s="130" t="s">
        <v>2161</v>
      </c>
      <c r="C442" s="130" t="s">
        <v>2161</v>
      </c>
      <c r="D442" s="130" t="s">
        <v>33</v>
      </c>
      <c r="E442" s="130">
        <v>3</v>
      </c>
      <c r="F442" s="130" t="s">
        <v>363</v>
      </c>
      <c r="G442" s="130" t="s">
        <v>382</v>
      </c>
      <c r="H442" s="130" t="s">
        <v>112</v>
      </c>
      <c r="I442" s="130">
        <v>5</v>
      </c>
      <c r="J442" s="118">
        <v>5</v>
      </c>
      <c r="K442" s="130">
        <v>0</v>
      </c>
      <c r="L442" s="130">
        <v>3</v>
      </c>
      <c r="M442" s="130">
        <v>5</v>
      </c>
      <c r="N442" s="118" t="s">
        <v>71</v>
      </c>
      <c r="O442" s="130">
        <v>99</v>
      </c>
      <c r="P442" s="130">
        <v>0.9</v>
      </c>
      <c r="Q442" s="130">
        <v>0</v>
      </c>
      <c r="R442" s="130">
        <v>1</v>
      </c>
      <c r="S442" s="130" t="b">
        <v>1</v>
      </c>
      <c r="T442" s="130">
        <v>65</v>
      </c>
      <c r="U442" s="118">
        <v>975</v>
      </c>
      <c r="V442" s="118">
        <v>1300</v>
      </c>
      <c r="W442" s="130">
        <v>0</v>
      </c>
      <c r="X442" s="130">
        <v>5</v>
      </c>
      <c r="Y442" s="130" t="s">
        <v>38</v>
      </c>
      <c r="Z442" s="388" t="s">
        <v>3203</v>
      </c>
      <c r="AA442" s="388" t="s">
        <v>3203</v>
      </c>
      <c r="AB442" s="130" t="s">
        <v>385</v>
      </c>
      <c r="AC442" s="130">
        <v>100000</v>
      </c>
      <c r="AD442" s="197">
        <v>1</v>
      </c>
      <c r="AE442" s="197">
        <v>1</v>
      </c>
      <c r="AF442">
        <v>0</v>
      </c>
      <c r="AG442" s="416">
        <v>5</v>
      </c>
    </row>
    <row r="443" spans="1:33" x14ac:dyDescent="0.15">
      <c r="A443" s="130">
        <v>103406</v>
      </c>
      <c r="B443" s="130" t="s">
        <v>2165</v>
      </c>
      <c r="C443" s="130" t="s">
        <v>2165</v>
      </c>
      <c r="D443" s="130" t="s">
        <v>33</v>
      </c>
      <c r="E443" s="130">
        <v>3</v>
      </c>
      <c r="F443" s="130" t="s">
        <v>363</v>
      </c>
      <c r="G443" s="130" t="s">
        <v>394</v>
      </c>
      <c r="H443" s="130" t="s">
        <v>112</v>
      </c>
      <c r="I443" s="130">
        <v>5</v>
      </c>
      <c r="J443" s="118">
        <v>5</v>
      </c>
      <c r="K443" s="130">
        <v>0</v>
      </c>
      <c r="L443" s="130">
        <v>3</v>
      </c>
      <c r="M443" s="130">
        <v>5</v>
      </c>
      <c r="N443" s="118" t="s">
        <v>77</v>
      </c>
      <c r="O443" s="130">
        <v>99</v>
      </c>
      <c r="P443" s="130">
        <v>0.9</v>
      </c>
      <c r="Q443" s="130">
        <v>0</v>
      </c>
      <c r="R443" s="130">
        <v>1</v>
      </c>
      <c r="S443" s="130" t="b">
        <v>1</v>
      </c>
      <c r="T443" s="130">
        <v>78</v>
      </c>
      <c r="U443" s="118">
        <v>1170</v>
      </c>
      <c r="V443" s="118">
        <v>1560</v>
      </c>
      <c r="W443" s="130">
        <v>0</v>
      </c>
      <c r="X443" s="130">
        <v>6</v>
      </c>
      <c r="Y443" s="130" t="s">
        <v>38</v>
      </c>
      <c r="Z443" s="388" t="s">
        <v>3204</v>
      </c>
      <c r="AA443" s="388" t="s">
        <v>3204</v>
      </c>
      <c r="AB443" s="130" t="s">
        <v>403</v>
      </c>
      <c r="AC443" s="130">
        <v>100000</v>
      </c>
      <c r="AD443" s="197">
        <v>1</v>
      </c>
      <c r="AE443" s="197">
        <v>1</v>
      </c>
      <c r="AF443">
        <v>0</v>
      </c>
      <c r="AG443" s="416">
        <v>6</v>
      </c>
    </row>
    <row r="444" spans="1:33" x14ac:dyDescent="0.15">
      <c r="A444" s="130">
        <v>103407</v>
      </c>
      <c r="B444" s="130" t="s">
        <v>2169</v>
      </c>
      <c r="C444" s="130" t="s">
        <v>2169</v>
      </c>
      <c r="D444" s="130" t="s">
        <v>33</v>
      </c>
      <c r="E444" s="130">
        <v>3</v>
      </c>
      <c r="F444" s="130" t="s">
        <v>363</v>
      </c>
      <c r="G444" s="130" t="s">
        <v>400</v>
      </c>
      <c r="H444" s="130" t="s">
        <v>112</v>
      </c>
      <c r="I444" s="130">
        <v>5</v>
      </c>
      <c r="J444" s="118">
        <v>5</v>
      </c>
      <c r="K444" s="130">
        <v>0</v>
      </c>
      <c r="L444" s="130">
        <v>3</v>
      </c>
      <c r="M444" s="130">
        <v>5</v>
      </c>
      <c r="N444" s="118" t="s">
        <v>83</v>
      </c>
      <c r="O444" s="130">
        <v>99</v>
      </c>
      <c r="P444" s="130">
        <v>0.9</v>
      </c>
      <c r="Q444" s="130">
        <v>0</v>
      </c>
      <c r="R444" s="130">
        <v>1</v>
      </c>
      <c r="S444" s="130" t="b">
        <v>1</v>
      </c>
      <c r="T444" s="130">
        <v>91</v>
      </c>
      <c r="U444" s="118">
        <v>1365</v>
      </c>
      <c r="V444" s="118">
        <v>1820</v>
      </c>
      <c r="W444" s="130">
        <v>0</v>
      </c>
      <c r="X444" s="130">
        <v>7</v>
      </c>
      <c r="Y444" s="130" t="s">
        <v>38</v>
      </c>
      <c r="Z444" s="388" t="s">
        <v>3205</v>
      </c>
      <c r="AA444" s="388" t="s">
        <v>3205</v>
      </c>
      <c r="AB444" s="130" t="s">
        <v>412</v>
      </c>
      <c r="AC444" s="130">
        <v>100000</v>
      </c>
      <c r="AD444" s="197">
        <v>1</v>
      </c>
      <c r="AE444" s="197">
        <v>1</v>
      </c>
      <c r="AF444">
        <v>0</v>
      </c>
      <c r="AG444" s="416">
        <v>7</v>
      </c>
    </row>
    <row r="445" spans="1:33" x14ac:dyDescent="0.15">
      <c r="A445" s="130">
        <v>300605</v>
      </c>
      <c r="B445" s="130" t="s">
        <v>2173</v>
      </c>
      <c r="C445" s="130" t="s">
        <v>2173</v>
      </c>
      <c r="D445" s="130" t="s">
        <v>1508</v>
      </c>
      <c r="E445" s="130">
        <v>0</v>
      </c>
      <c r="F445" s="130">
        <v>0</v>
      </c>
      <c r="G445" s="130"/>
      <c r="H445" s="130" t="s">
        <v>112</v>
      </c>
      <c r="I445" s="130">
        <v>5</v>
      </c>
      <c r="J445" s="118">
        <v>5</v>
      </c>
      <c r="K445" s="130">
        <v>0</v>
      </c>
      <c r="L445" s="130">
        <v>4</v>
      </c>
      <c r="M445" s="130">
        <v>5</v>
      </c>
      <c r="N445" s="118" t="s">
        <v>1533</v>
      </c>
      <c r="O445" s="130">
        <v>50</v>
      </c>
      <c r="P445" s="130">
        <v>0.5</v>
      </c>
      <c r="Q445" s="130">
        <v>0</v>
      </c>
      <c r="R445" s="130">
        <v>1</v>
      </c>
      <c r="S445" s="130" t="b">
        <v>1</v>
      </c>
      <c r="T445" s="130">
        <v>32</v>
      </c>
      <c r="U445" s="118">
        <v>480</v>
      </c>
      <c r="V445" s="118">
        <v>640</v>
      </c>
      <c r="W445" s="130">
        <v>0</v>
      </c>
      <c r="X445" s="130">
        <v>5</v>
      </c>
      <c r="Y445" s="130" t="s">
        <v>38</v>
      </c>
      <c r="Z445" s="388" t="s">
        <v>3206</v>
      </c>
      <c r="AA445" s="388" t="s">
        <v>3206</v>
      </c>
      <c r="AB445" s="130" t="s">
        <v>2176</v>
      </c>
      <c r="AC445" s="130">
        <v>100000</v>
      </c>
      <c r="AD445" s="197">
        <v>1</v>
      </c>
      <c r="AE445" s="197">
        <v>1</v>
      </c>
      <c r="AF445">
        <v>0</v>
      </c>
      <c r="AG445" s="416">
        <v>5</v>
      </c>
    </row>
    <row r="446" spans="1:33" x14ac:dyDescent="0.15">
      <c r="A446" s="130">
        <v>400605</v>
      </c>
      <c r="B446" s="130" t="s">
        <v>2178</v>
      </c>
      <c r="C446" s="130" t="s">
        <v>2178</v>
      </c>
      <c r="D446" s="130" t="s">
        <v>1594</v>
      </c>
      <c r="E446" s="130">
        <v>0</v>
      </c>
      <c r="F446" s="130">
        <v>0</v>
      </c>
      <c r="G446" s="130"/>
      <c r="H446" s="130" t="s">
        <v>112</v>
      </c>
      <c r="I446" s="130">
        <v>5</v>
      </c>
      <c r="J446" s="118">
        <v>5</v>
      </c>
      <c r="K446" s="130">
        <v>0</v>
      </c>
      <c r="L446" s="130">
        <v>4</v>
      </c>
      <c r="M446" s="130">
        <v>5</v>
      </c>
      <c r="N446" s="118" t="s">
        <v>1533</v>
      </c>
      <c r="O446" s="130">
        <v>50</v>
      </c>
      <c r="P446" s="130">
        <v>0.5</v>
      </c>
      <c r="Q446" s="130">
        <v>0</v>
      </c>
      <c r="R446" s="130">
        <v>1</v>
      </c>
      <c r="S446" s="130" t="b">
        <v>1</v>
      </c>
      <c r="T446" s="130">
        <v>32</v>
      </c>
      <c r="U446" s="118">
        <v>480</v>
      </c>
      <c r="V446" s="118">
        <v>640</v>
      </c>
      <c r="W446" s="130">
        <v>0</v>
      </c>
      <c r="X446" s="130">
        <v>5</v>
      </c>
      <c r="Y446" s="130" t="s">
        <v>38</v>
      </c>
      <c r="Z446" s="388" t="s">
        <v>3207</v>
      </c>
      <c r="AA446" s="388" t="s">
        <v>3207</v>
      </c>
      <c r="AB446" s="130" t="s">
        <v>2181</v>
      </c>
      <c r="AC446" s="130">
        <v>100000</v>
      </c>
      <c r="AD446" s="197">
        <v>1</v>
      </c>
      <c r="AE446" s="197">
        <v>1</v>
      </c>
      <c r="AF446">
        <v>0</v>
      </c>
      <c r="AG446" s="416">
        <v>5</v>
      </c>
    </row>
    <row r="447" spans="1:33" x14ac:dyDescent="0.15">
      <c r="A447" s="130">
        <v>500606</v>
      </c>
      <c r="B447" s="130" t="s">
        <v>2183</v>
      </c>
      <c r="C447" s="130" t="s">
        <v>2183</v>
      </c>
      <c r="D447" s="130" t="s">
        <v>1672</v>
      </c>
      <c r="E447" s="130">
        <v>0</v>
      </c>
      <c r="F447" s="130">
        <v>0</v>
      </c>
      <c r="G447" s="130"/>
      <c r="H447" s="130" t="s">
        <v>112</v>
      </c>
      <c r="I447" s="130">
        <v>5</v>
      </c>
      <c r="J447" s="118">
        <v>5</v>
      </c>
      <c r="K447" s="130">
        <v>0</v>
      </c>
      <c r="L447" s="130">
        <v>4</v>
      </c>
      <c r="M447" s="130">
        <v>5</v>
      </c>
      <c r="N447" s="118" t="s">
        <v>1539</v>
      </c>
      <c r="O447" s="130">
        <v>50</v>
      </c>
      <c r="P447" s="130">
        <v>0.5</v>
      </c>
      <c r="Q447" s="130">
        <v>0</v>
      </c>
      <c r="R447" s="130">
        <v>1</v>
      </c>
      <c r="S447" s="130" t="b">
        <v>1</v>
      </c>
      <c r="T447" s="130">
        <v>39</v>
      </c>
      <c r="U447" s="118">
        <v>585</v>
      </c>
      <c r="V447" s="118">
        <v>780</v>
      </c>
      <c r="W447" s="130">
        <v>0</v>
      </c>
      <c r="X447" s="130">
        <v>6</v>
      </c>
      <c r="Y447" s="130" t="s">
        <v>38</v>
      </c>
      <c r="Z447" s="388" t="s">
        <v>3207</v>
      </c>
      <c r="AA447" s="388" t="s">
        <v>3207</v>
      </c>
      <c r="AB447" s="130" t="s">
        <v>2185</v>
      </c>
      <c r="AC447" s="130">
        <v>100000</v>
      </c>
      <c r="AD447" s="197">
        <v>1</v>
      </c>
      <c r="AE447" s="197">
        <v>1</v>
      </c>
      <c r="AF447">
        <v>0</v>
      </c>
      <c r="AG447" s="416">
        <v>6</v>
      </c>
    </row>
    <row r="448" spans="1:33" x14ac:dyDescent="0.15">
      <c r="A448" s="130">
        <v>200607</v>
      </c>
      <c r="B448" s="130" t="s">
        <v>2187</v>
      </c>
      <c r="C448" s="130" t="s">
        <v>2187</v>
      </c>
      <c r="D448" s="130" t="s">
        <v>1408</v>
      </c>
      <c r="E448" s="130">
        <v>0</v>
      </c>
      <c r="F448" s="130">
        <v>0</v>
      </c>
      <c r="G448" s="130"/>
      <c r="H448" s="130" t="s">
        <v>112</v>
      </c>
      <c r="I448" s="130">
        <v>5</v>
      </c>
      <c r="J448" s="118">
        <v>5</v>
      </c>
      <c r="K448" s="130">
        <v>0</v>
      </c>
      <c r="L448" s="130">
        <v>4</v>
      </c>
      <c r="M448" s="130">
        <v>5</v>
      </c>
      <c r="N448" s="118" t="s">
        <v>1448</v>
      </c>
      <c r="O448" s="130">
        <v>50</v>
      </c>
      <c r="P448" s="130">
        <v>0.5</v>
      </c>
      <c r="Q448" s="130">
        <v>0</v>
      </c>
      <c r="R448" s="130">
        <v>1</v>
      </c>
      <c r="S448" s="130" t="b">
        <v>1</v>
      </c>
      <c r="T448" s="130">
        <v>45</v>
      </c>
      <c r="U448" s="118">
        <v>675</v>
      </c>
      <c r="V448" s="118">
        <v>900</v>
      </c>
      <c r="W448" s="130">
        <v>0</v>
      </c>
      <c r="X448" s="130">
        <v>7</v>
      </c>
      <c r="Y448" s="130" t="s">
        <v>38</v>
      </c>
      <c r="Z448" s="388" t="s">
        <v>3207</v>
      </c>
      <c r="AA448" s="388" t="s">
        <v>3207</v>
      </c>
      <c r="AB448" s="130" t="s">
        <v>2189</v>
      </c>
      <c r="AC448" s="130">
        <v>100000</v>
      </c>
      <c r="AD448" s="197">
        <v>1</v>
      </c>
      <c r="AE448" s="197">
        <v>1</v>
      </c>
      <c r="AF448">
        <v>0</v>
      </c>
      <c r="AG448" s="416">
        <v>7</v>
      </c>
    </row>
    <row r="449" spans="1:33" x14ac:dyDescent="0.15">
      <c r="A449" s="130">
        <v>102904</v>
      </c>
      <c r="B449" s="130" t="s">
        <v>2191</v>
      </c>
      <c r="C449" s="130" t="s">
        <v>2191</v>
      </c>
      <c r="D449" s="130" t="s">
        <v>33</v>
      </c>
      <c r="E449" s="130">
        <v>2</v>
      </c>
      <c r="F449" s="130" t="s">
        <v>134</v>
      </c>
      <c r="G449" s="130" t="s">
        <v>230</v>
      </c>
      <c r="H449" s="130" t="s">
        <v>112</v>
      </c>
      <c r="I449" s="130">
        <v>5</v>
      </c>
      <c r="J449" s="118">
        <v>5</v>
      </c>
      <c r="K449" s="130">
        <v>0</v>
      </c>
      <c r="L449" s="130">
        <v>3</v>
      </c>
      <c r="M449" s="130">
        <v>5</v>
      </c>
      <c r="N449" s="118" t="s">
        <v>64</v>
      </c>
      <c r="O449" s="130">
        <v>50</v>
      </c>
      <c r="P449" s="130">
        <v>0.7</v>
      </c>
      <c r="Q449" s="130">
        <v>0</v>
      </c>
      <c r="R449" s="130">
        <v>1</v>
      </c>
      <c r="S449" s="130" t="b">
        <v>1</v>
      </c>
      <c r="T449" s="130">
        <v>52</v>
      </c>
      <c r="U449" s="118">
        <v>780</v>
      </c>
      <c r="V449" s="118">
        <v>1040</v>
      </c>
      <c r="W449" s="130">
        <v>0</v>
      </c>
      <c r="X449" s="130">
        <v>4</v>
      </c>
      <c r="Y449" s="130" t="s">
        <v>38</v>
      </c>
      <c r="Z449" s="388" t="s">
        <v>3208</v>
      </c>
      <c r="AA449" s="388" t="s">
        <v>3208</v>
      </c>
      <c r="AB449" s="130" t="s">
        <v>2194</v>
      </c>
      <c r="AC449" s="130">
        <v>100000</v>
      </c>
      <c r="AD449" s="197">
        <v>1</v>
      </c>
      <c r="AE449" s="197">
        <v>1</v>
      </c>
      <c r="AF449">
        <v>0</v>
      </c>
      <c r="AG449" s="416">
        <v>4</v>
      </c>
    </row>
    <row r="450" spans="1:33" x14ac:dyDescent="0.15">
      <c r="A450" s="130">
        <v>102115</v>
      </c>
      <c r="B450" s="130" t="s">
        <v>2196</v>
      </c>
      <c r="C450" s="130" t="s">
        <v>2196</v>
      </c>
      <c r="D450" s="130" t="s">
        <v>33</v>
      </c>
      <c r="E450" s="130">
        <v>2</v>
      </c>
      <c r="F450" s="130" t="s">
        <v>134</v>
      </c>
      <c r="G450" s="130" t="s">
        <v>248</v>
      </c>
      <c r="H450" s="130" t="s">
        <v>112</v>
      </c>
      <c r="I450" s="130">
        <v>5</v>
      </c>
      <c r="J450" s="118">
        <v>5</v>
      </c>
      <c r="K450" s="130">
        <v>0</v>
      </c>
      <c r="L450" s="130">
        <v>3</v>
      </c>
      <c r="M450" s="130">
        <v>5</v>
      </c>
      <c r="N450" s="118" t="s">
        <v>71</v>
      </c>
      <c r="O450" s="130">
        <v>50</v>
      </c>
      <c r="P450" s="130">
        <v>0.7</v>
      </c>
      <c r="Q450" s="130">
        <v>0</v>
      </c>
      <c r="R450" s="130">
        <v>1</v>
      </c>
      <c r="S450" s="130" t="b">
        <v>1</v>
      </c>
      <c r="T450" s="130">
        <v>65</v>
      </c>
      <c r="U450" s="118">
        <v>975</v>
      </c>
      <c r="V450" s="118">
        <v>1300</v>
      </c>
      <c r="W450" s="130">
        <v>0</v>
      </c>
      <c r="X450" s="130">
        <v>5</v>
      </c>
      <c r="Y450" s="130" t="s">
        <v>38</v>
      </c>
      <c r="Z450" s="388" t="s">
        <v>3209</v>
      </c>
      <c r="AA450" s="388" t="s">
        <v>3209</v>
      </c>
      <c r="AB450" s="130" t="s">
        <v>2199</v>
      </c>
      <c r="AC450" s="130">
        <v>100000</v>
      </c>
      <c r="AD450" s="197">
        <v>1</v>
      </c>
      <c r="AE450" s="197">
        <v>1</v>
      </c>
      <c r="AF450">
        <v>0</v>
      </c>
      <c r="AG450" s="416">
        <v>5</v>
      </c>
    </row>
    <row r="451" spans="1:33" x14ac:dyDescent="0.15">
      <c r="A451" s="130">
        <v>102906</v>
      </c>
      <c r="B451" s="130" t="s">
        <v>2201</v>
      </c>
      <c r="C451" s="130" t="s">
        <v>2201</v>
      </c>
      <c r="D451" s="130" t="s">
        <v>33</v>
      </c>
      <c r="E451" s="130">
        <v>2</v>
      </c>
      <c r="F451" s="130" t="s">
        <v>134</v>
      </c>
      <c r="G451" s="130" t="s">
        <v>236</v>
      </c>
      <c r="H451" s="130" t="s">
        <v>112</v>
      </c>
      <c r="I451" s="130">
        <v>5</v>
      </c>
      <c r="J451" s="118">
        <v>5</v>
      </c>
      <c r="K451" s="130">
        <v>0</v>
      </c>
      <c r="L451" s="130">
        <v>3</v>
      </c>
      <c r="M451" s="130">
        <v>5</v>
      </c>
      <c r="N451" s="118" t="s">
        <v>77</v>
      </c>
      <c r="O451" s="130">
        <v>50</v>
      </c>
      <c r="P451" s="130">
        <v>0.7</v>
      </c>
      <c r="Q451" s="130">
        <v>0</v>
      </c>
      <c r="R451" s="130">
        <v>1</v>
      </c>
      <c r="S451" s="130" t="b">
        <v>1</v>
      </c>
      <c r="T451" s="130">
        <v>78</v>
      </c>
      <c r="U451" s="118">
        <v>1170</v>
      </c>
      <c r="V451" s="118">
        <v>1560</v>
      </c>
      <c r="W451" s="130">
        <v>0</v>
      </c>
      <c r="X451" s="130">
        <v>6</v>
      </c>
      <c r="Y451" s="130" t="s">
        <v>38</v>
      </c>
      <c r="Z451" s="388" t="s">
        <v>3210</v>
      </c>
      <c r="AA451" s="388" t="s">
        <v>3210</v>
      </c>
      <c r="AB451" s="130" t="s">
        <v>2204</v>
      </c>
      <c r="AC451" s="130">
        <v>100000</v>
      </c>
      <c r="AD451" s="197">
        <v>1</v>
      </c>
      <c r="AE451" s="197">
        <v>1</v>
      </c>
      <c r="AF451">
        <v>0</v>
      </c>
      <c r="AG451" s="416">
        <v>6</v>
      </c>
    </row>
    <row r="452" spans="1:33" x14ac:dyDescent="0.15">
      <c r="A452" s="130">
        <v>102907</v>
      </c>
      <c r="B452" s="130" t="s">
        <v>2206</v>
      </c>
      <c r="C452" s="130" t="s">
        <v>2206</v>
      </c>
      <c r="D452" s="130" t="s">
        <v>33</v>
      </c>
      <c r="E452" s="130">
        <v>2</v>
      </c>
      <c r="F452" s="130" t="s">
        <v>134</v>
      </c>
      <c r="G452" s="130" t="s">
        <v>254</v>
      </c>
      <c r="H452" s="130" t="s">
        <v>112</v>
      </c>
      <c r="I452" s="130">
        <v>5</v>
      </c>
      <c r="J452" s="118">
        <v>5</v>
      </c>
      <c r="K452" s="130">
        <v>0</v>
      </c>
      <c r="L452" s="130">
        <v>3</v>
      </c>
      <c r="M452" s="130">
        <v>5</v>
      </c>
      <c r="N452" s="118" t="s">
        <v>83</v>
      </c>
      <c r="O452" s="130">
        <v>50</v>
      </c>
      <c r="P452" s="130">
        <v>0.7</v>
      </c>
      <c r="Q452" s="130">
        <v>0</v>
      </c>
      <c r="R452" s="130">
        <v>1</v>
      </c>
      <c r="S452" s="130" t="b">
        <v>1</v>
      </c>
      <c r="T452" s="130">
        <v>91</v>
      </c>
      <c r="U452" s="118">
        <v>1365</v>
      </c>
      <c r="V452" s="118">
        <v>1820</v>
      </c>
      <c r="W452" s="130">
        <v>0</v>
      </c>
      <c r="X452" s="130">
        <v>7</v>
      </c>
      <c r="Y452" s="130" t="s">
        <v>38</v>
      </c>
      <c r="Z452" s="388" t="s">
        <v>3211</v>
      </c>
      <c r="AA452" s="388" t="s">
        <v>3211</v>
      </c>
      <c r="AB452" s="130" t="s">
        <v>2209</v>
      </c>
      <c r="AC452" s="130">
        <v>100000</v>
      </c>
      <c r="AD452" s="197">
        <v>1</v>
      </c>
      <c r="AE452" s="197">
        <v>1</v>
      </c>
      <c r="AF452">
        <v>0</v>
      </c>
      <c r="AG452" s="416">
        <v>7</v>
      </c>
    </row>
    <row r="453" spans="1:33" x14ac:dyDescent="0.15">
      <c r="A453" s="130">
        <v>106404</v>
      </c>
      <c r="B453" s="130" t="s">
        <v>2211</v>
      </c>
      <c r="C453" s="130" t="s">
        <v>2211</v>
      </c>
      <c r="D453" s="130" t="s">
        <v>33</v>
      </c>
      <c r="E453" s="130">
        <v>6</v>
      </c>
      <c r="F453" s="130" t="s">
        <v>727</v>
      </c>
      <c r="G453" s="130" t="s">
        <v>734</v>
      </c>
      <c r="H453" s="130" t="s">
        <v>112</v>
      </c>
      <c r="I453" s="130">
        <v>5</v>
      </c>
      <c r="J453" s="118">
        <v>5</v>
      </c>
      <c r="K453" s="130">
        <v>0</v>
      </c>
      <c r="L453" s="130">
        <v>3</v>
      </c>
      <c r="M453" s="130">
        <v>5</v>
      </c>
      <c r="N453" s="118" t="s">
        <v>64</v>
      </c>
      <c r="O453" s="130">
        <v>50</v>
      </c>
      <c r="P453" s="130">
        <v>0.7</v>
      </c>
      <c r="Q453" s="130">
        <v>0</v>
      </c>
      <c r="R453" s="130">
        <v>1</v>
      </c>
      <c r="S453" s="130" t="b">
        <v>1</v>
      </c>
      <c r="T453" s="130">
        <v>52</v>
      </c>
      <c r="U453" s="118">
        <v>780</v>
      </c>
      <c r="V453" s="118">
        <v>1040</v>
      </c>
      <c r="W453" s="130">
        <v>0</v>
      </c>
      <c r="X453" s="130">
        <v>4</v>
      </c>
      <c r="Y453" s="130" t="s">
        <v>38</v>
      </c>
      <c r="Z453" s="388" t="s">
        <v>3212</v>
      </c>
      <c r="AA453" s="388" t="s">
        <v>3212</v>
      </c>
      <c r="AB453" s="130" t="s">
        <v>2214</v>
      </c>
      <c r="AC453" s="130">
        <v>300000</v>
      </c>
      <c r="AD453" s="197">
        <v>1</v>
      </c>
      <c r="AE453" s="197">
        <v>1</v>
      </c>
      <c r="AF453">
        <v>0</v>
      </c>
      <c r="AG453" s="416">
        <v>4</v>
      </c>
    </row>
    <row r="454" spans="1:33" x14ac:dyDescent="0.15">
      <c r="A454" s="130">
        <v>106405</v>
      </c>
      <c r="B454" s="130" t="s">
        <v>2216</v>
      </c>
      <c r="C454" s="130" t="s">
        <v>2216</v>
      </c>
      <c r="D454" s="130" t="s">
        <v>33</v>
      </c>
      <c r="E454" s="130">
        <v>6</v>
      </c>
      <c r="F454" s="130" t="s">
        <v>727</v>
      </c>
      <c r="G454" s="130" t="s">
        <v>764</v>
      </c>
      <c r="H454" s="130" t="s">
        <v>112</v>
      </c>
      <c r="I454" s="130">
        <v>5</v>
      </c>
      <c r="J454" s="118">
        <v>5</v>
      </c>
      <c r="K454" s="130">
        <v>0</v>
      </c>
      <c r="L454" s="130">
        <v>3</v>
      </c>
      <c r="M454" s="130">
        <v>5</v>
      </c>
      <c r="N454" s="118" t="s">
        <v>71</v>
      </c>
      <c r="O454" s="130">
        <v>50</v>
      </c>
      <c r="P454" s="130">
        <v>0.7</v>
      </c>
      <c r="Q454" s="130">
        <v>0</v>
      </c>
      <c r="R454" s="130">
        <v>1</v>
      </c>
      <c r="S454" s="130" t="b">
        <v>1</v>
      </c>
      <c r="T454" s="130">
        <v>65</v>
      </c>
      <c r="U454" s="118">
        <v>975</v>
      </c>
      <c r="V454" s="118">
        <v>1300</v>
      </c>
      <c r="W454" s="130">
        <v>0</v>
      </c>
      <c r="X454" s="130">
        <v>5</v>
      </c>
      <c r="Y454" s="130" t="s">
        <v>38</v>
      </c>
      <c r="Z454" s="388" t="s">
        <v>3213</v>
      </c>
      <c r="AA454" s="388" t="s">
        <v>3213</v>
      </c>
      <c r="AB454" s="130" t="s">
        <v>2219</v>
      </c>
      <c r="AC454" s="130">
        <v>300000</v>
      </c>
      <c r="AD454" s="197">
        <v>1</v>
      </c>
      <c r="AE454" s="197">
        <v>1</v>
      </c>
      <c r="AF454">
        <v>0</v>
      </c>
      <c r="AG454" s="416">
        <v>5</v>
      </c>
    </row>
    <row r="455" spans="1:33" x14ac:dyDescent="0.15">
      <c r="A455" s="130">
        <v>106406</v>
      </c>
      <c r="B455" s="130" t="s">
        <v>2221</v>
      </c>
      <c r="C455" s="130" t="s">
        <v>2221</v>
      </c>
      <c r="D455" s="130" t="s">
        <v>33</v>
      </c>
      <c r="E455" s="130">
        <v>6</v>
      </c>
      <c r="F455" s="130" t="s">
        <v>727</v>
      </c>
      <c r="G455" s="130" t="s">
        <v>779</v>
      </c>
      <c r="H455" s="130" t="s">
        <v>112</v>
      </c>
      <c r="I455" s="130">
        <v>5</v>
      </c>
      <c r="J455" s="118">
        <v>5</v>
      </c>
      <c r="K455" s="130">
        <v>0</v>
      </c>
      <c r="L455" s="130">
        <v>3</v>
      </c>
      <c r="M455" s="130">
        <v>5</v>
      </c>
      <c r="N455" s="118" t="s">
        <v>77</v>
      </c>
      <c r="O455" s="130">
        <v>50</v>
      </c>
      <c r="P455" s="130">
        <v>0.7</v>
      </c>
      <c r="Q455" s="130">
        <v>0</v>
      </c>
      <c r="R455" s="130">
        <v>1</v>
      </c>
      <c r="S455" s="130" t="b">
        <v>1</v>
      </c>
      <c r="T455" s="130">
        <v>78</v>
      </c>
      <c r="U455" s="118">
        <v>1170</v>
      </c>
      <c r="V455" s="118">
        <v>1560</v>
      </c>
      <c r="W455" s="130">
        <v>0</v>
      </c>
      <c r="X455" s="130">
        <v>6</v>
      </c>
      <c r="Y455" s="130" t="s">
        <v>38</v>
      </c>
      <c r="Z455" s="388" t="s">
        <v>3214</v>
      </c>
      <c r="AA455" s="388" t="s">
        <v>3214</v>
      </c>
      <c r="AB455" s="130" t="s">
        <v>2224</v>
      </c>
      <c r="AC455" s="130">
        <v>300000</v>
      </c>
      <c r="AD455" s="197">
        <v>1</v>
      </c>
      <c r="AE455" s="197">
        <v>1</v>
      </c>
      <c r="AF455">
        <v>0</v>
      </c>
      <c r="AG455" s="416">
        <v>6</v>
      </c>
    </row>
    <row r="456" spans="1:33" x14ac:dyDescent="0.15">
      <c r="A456" s="130">
        <v>106407</v>
      </c>
      <c r="B456" s="130" t="s">
        <v>2226</v>
      </c>
      <c r="C456" s="130" t="s">
        <v>2226</v>
      </c>
      <c r="D456" s="130" t="s">
        <v>33</v>
      </c>
      <c r="E456" s="130">
        <v>6</v>
      </c>
      <c r="F456" s="130" t="s">
        <v>727</v>
      </c>
      <c r="G456" s="130" t="s">
        <v>2227</v>
      </c>
      <c r="H456" s="130" t="s">
        <v>112</v>
      </c>
      <c r="I456" s="130">
        <v>5</v>
      </c>
      <c r="J456" s="118">
        <v>5</v>
      </c>
      <c r="K456" s="130">
        <v>0</v>
      </c>
      <c r="L456" s="130">
        <v>3</v>
      </c>
      <c r="M456" s="130">
        <v>5</v>
      </c>
      <c r="N456" s="118" t="s">
        <v>83</v>
      </c>
      <c r="O456" s="130">
        <v>50</v>
      </c>
      <c r="P456" s="130">
        <v>0.7</v>
      </c>
      <c r="Q456" s="130">
        <v>0</v>
      </c>
      <c r="R456" s="130">
        <v>1</v>
      </c>
      <c r="S456" s="130" t="b">
        <v>1</v>
      </c>
      <c r="T456" s="130">
        <v>91</v>
      </c>
      <c r="U456" s="118">
        <v>1365</v>
      </c>
      <c r="V456" s="118">
        <v>1820</v>
      </c>
      <c r="W456" s="130">
        <v>0</v>
      </c>
      <c r="X456" s="130">
        <v>7</v>
      </c>
      <c r="Y456" s="130" t="s">
        <v>38</v>
      </c>
      <c r="Z456" s="388" t="s">
        <v>3215</v>
      </c>
      <c r="AA456" s="388" t="s">
        <v>3215</v>
      </c>
      <c r="AB456" s="130" t="s">
        <v>2230</v>
      </c>
      <c r="AC456" s="130">
        <v>300000</v>
      </c>
      <c r="AD456" s="197">
        <v>1</v>
      </c>
      <c r="AE456" s="197">
        <v>1</v>
      </c>
      <c r="AF456">
        <v>0</v>
      </c>
      <c r="AG456" s="416">
        <v>7</v>
      </c>
    </row>
    <row r="457" spans="1:33" x14ac:dyDescent="0.15">
      <c r="A457" s="130">
        <v>300705</v>
      </c>
      <c r="B457" s="130" t="s">
        <v>2232</v>
      </c>
      <c r="C457" s="130" t="s">
        <v>2232</v>
      </c>
      <c r="D457" s="130" t="s">
        <v>1508</v>
      </c>
      <c r="E457" s="130">
        <v>0</v>
      </c>
      <c r="F457" s="130">
        <v>0</v>
      </c>
      <c r="G457" s="130"/>
      <c r="H457" s="130" t="s">
        <v>112</v>
      </c>
      <c r="I457" s="130">
        <v>5</v>
      </c>
      <c r="J457" s="118">
        <v>5</v>
      </c>
      <c r="K457" s="130">
        <v>0</v>
      </c>
      <c r="L457" s="130">
        <v>4</v>
      </c>
      <c r="M457" s="130">
        <v>5</v>
      </c>
      <c r="N457" s="118" t="s">
        <v>1533</v>
      </c>
      <c r="O457" s="130">
        <v>50</v>
      </c>
      <c r="P457" s="130">
        <v>0.5</v>
      </c>
      <c r="Q457" s="130">
        <v>0</v>
      </c>
      <c r="R457" s="130">
        <v>1</v>
      </c>
      <c r="S457" s="130" t="b">
        <v>1</v>
      </c>
      <c r="T457" s="130">
        <v>32</v>
      </c>
      <c r="U457" s="118">
        <v>480</v>
      </c>
      <c r="V457" s="118">
        <v>640</v>
      </c>
      <c r="W457" s="130">
        <v>0</v>
      </c>
      <c r="X457" s="130">
        <v>5</v>
      </c>
      <c r="Y457" s="130" t="s">
        <v>38</v>
      </c>
      <c r="Z457" s="388" t="s">
        <v>3216</v>
      </c>
      <c r="AA457" s="388" t="s">
        <v>3216</v>
      </c>
      <c r="AB457" s="130" t="s">
        <v>2235</v>
      </c>
      <c r="AC457" s="130">
        <v>100000</v>
      </c>
      <c r="AD457" s="197">
        <v>1</v>
      </c>
      <c r="AE457" s="197">
        <v>1</v>
      </c>
      <c r="AF457">
        <v>0</v>
      </c>
      <c r="AG457" s="416">
        <v>5</v>
      </c>
    </row>
    <row r="458" spans="1:33" x14ac:dyDescent="0.15">
      <c r="A458" s="130">
        <v>400705</v>
      </c>
      <c r="B458" s="130" t="s">
        <v>2237</v>
      </c>
      <c r="C458" s="130" t="s">
        <v>2237</v>
      </c>
      <c r="D458" s="130" t="s">
        <v>1594</v>
      </c>
      <c r="E458" s="130">
        <v>0</v>
      </c>
      <c r="F458" s="130">
        <v>0</v>
      </c>
      <c r="G458" s="130"/>
      <c r="H458" s="130" t="s">
        <v>112</v>
      </c>
      <c r="I458" s="130">
        <v>5</v>
      </c>
      <c r="J458" s="118">
        <v>5</v>
      </c>
      <c r="K458" s="130">
        <v>0</v>
      </c>
      <c r="L458" s="130">
        <v>4</v>
      </c>
      <c r="M458" s="130">
        <v>5</v>
      </c>
      <c r="N458" s="118" t="s">
        <v>1533</v>
      </c>
      <c r="O458" s="130">
        <v>50</v>
      </c>
      <c r="P458" s="130">
        <v>0.5</v>
      </c>
      <c r="Q458" s="130">
        <v>0</v>
      </c>
      <c r="R458" s="130">
        <v>1</v>
      </c>
      <c r="S458" s="130" t="b">
        <v>1</v>
      </c>
      <c r="T458" s="130">
        <v>32</v>
      </c>
      <c r="U458" s="118">
        <v>480</v>
      </c>
      <c r="V458" s="118">
        <v>640</v>
      </c>
      <c r="W458" s="130">
        <v>0</v>
      </c>
      <c r="X458" s="130">
        <v>5</v>
      </c>
      <c r="Y458" s="130" t="s">
        <v>38</v>
      </c>
      <c r="Z458" s="388" t="s">
        <v>3216</v>
      </c>
      <c r="AA458" s="388" t="s">
        <v>3216</v>
      </c>
      <c r="AB458" s="130" t="s">
        <v>2239</v>
      </c>
      <c r="AC458" s="130">
        <v>100000</v>
      </c>
      <c r="AD458" s="197">
        <v>1</v>
      </c>
      <c r="AE458" s="197">
        <v>1</v>
      </c>
      <c r="AF458">
        <v>0</v>
      </c>
      <c r="AG458" s="416">
        <v>5</v>
      </c>
    </row>
    <row r="459" spans="1:33" x14ac:dyDescent="0.15">
      <c r="A459" s="130">
        <v>500706</v>
      </c>
      <c r="B459" s="130" t="s">
        <v>2241</v>
      </c>
      <c r="C459" s="130" t="s">
        <v>2241</v>
      </c>
      <c r="D459" s="130" t="s">
        <v>1672</v>
      </c>
      <c r="E459" s="130">
        <v>0</v>
      </c>
      <c r="F459" s="130">
        <v>0</v>
      </c>
      <c r="G459" s="130"/>
      <c r="H459" s="130" t="s">
        <v>112</v>
      </c>
      <c r="I459" s="130">
        <v>5</v>
      </c>
      <c r="J459" s="118">
        <v>5</v>
      </c>
      <c r="K459" s="130">
        <v>0</v>
      </c>
      <c r="L459" s="130">
        <v>4</v>
      </c>
      <c r="M459" s="130">
        <v>5</v>
      </c>
      <c r="N459" s="118" t="s">
        <v>1539</v>
      </c>
      <c r="O459" s="130">
        <v>50</v>
      </c>
      <c r="P459" s="130">
        <v>0.5</v>
      </c>
      <c r="Q459" s="130">
        <v>0</v>
      </c>
      <c r="R459" s="130">
        <v>1</v>
      </c>
      <c r="S459" s="130" t="b">
        <v>1</v>
      </c>
      <c r="T459" s="130">
        <v>39</v>
      </c>
      <c r="U459" s="118">
        <v>585</v>
      </c>
      <c r="V459" s="118">
        <v>780</v>
      </c>
      <c r="W459" s="130">
        <v>0</v>
      </c>
      <c r="X459" s="130">
        <v>6</v>
      </c>
      <c r="Y459" s="130" t="s">
        <v>38</v>
      </c>
      <c r="Z459" s="388" t="s">
        <v>3216</v>
      </c>
      <c r="AA459" s="388" t="s">
        <v>3216</v>
      </c>
      <c r="AB459" s="130" t="s">
        <v>2243</v>
      </c>
      <c r="AC459" s="130">
        <v>100000</v>
      </c>
      <c r="AD459" s="197">
        <v>1</v>
      </c>
      <c r="AE459" s="197">
        <v>1</v>
      </c>
      <c r="AF459">
        <v>0</v>
      </c>
      <c r="AG459" s="416">
        <v>6</v>
      </c>
    </row>
    <row r="460" spans="1:33" x14ac:dyDescent="0.15">
      <c r="A460" s="130">
        <v>200707</v>
      </c>
      <c r="B460" s="130" t="s">
        <v>2245</v>
      </c>
      <c r="C460" s="130" t="s">
        <v>2245</v>
      </c>
      <c r="D460" s="130" t="s">
        <v>1408</v>
      </c>
      <c r="E460" s="130">
        <v>0</v>
      </c>
      <c r="F460" s="130">
        <v>0</v>
      </c>
      <c r="G460" s="130"/>
      <c r="H460" s="130" t="s">
        <v>112</v>
      </c>
      <c r="I460" s="130">
        <v>5</v>
      </c>
      <c r="J460" s="118">
        <v>5</v>
      </c>
      <c r="K460" s="130">
        <v>0</v>
      </c>
      <c r="L460" s="130">
        <v>4</v>
      </c>
      <c r="M460" s="130">
        <v>5</v>
      </c>
      <c r="N460" s="118" t="s">
        <v>1448</v>
      </c>
      <c r="O460" s="130">
        <v>50</v>
      </c>
      <c r="P460" s="130">
        <v>0.5</v>
      </c>
      <c r="Q460" s="130">
        <v>0</v>
      </c>
      <c r="R460" s="130">
        <v>1</v>
      </c>
      <c r="S460" s="130" t="b">
        <v>1</v>
      </c>
      <c r="T460" s="130">
        <v>45</v>
      </c>
      <c r="U460" s="118">
        <v>675</v>
      </c>
      <c r="V460" s="118">
        <v>900</v>
      </c>
      <c r="W460" s="130">
        <v>0</v>
      </c>
      <c r="X460" s="130">
        <v>7</v>
      </c>
      <c r="Y460" s="130" t="s">
        <v>38</v>
      </c>
      <c r="Z460" s="388" t="s">
        <v>3216</v>
      </c>
      <c r="AA460" s="388" t="s">
        <v>3216</v>
      </c>
      <c r="AB460" s="130" t="s">
        <v>2247</v>
      </c>
      <c r="AC460" s="130">
        <v>100000</v>
      </c>
      <c r="AD460" s="197">
        <v>1</v>
      </c>
      <c r="AE460" s="197">
        <v>1</v>
      </c>
      <c r="AF460">
        <v>0</v>
      </c>
      <c r="AG460" s="416">
        <v>7</v>
      </c>
    </row>
    <row r="461" spans="1:33" x14ac:dyDescent="0.15">
      <c r="A461" s="131">
        <v>200304</v>
      </c>
      <c r="B461" s="131" t="s">
        <v>2249</v>
      </c>
      <c r="C461" s="131" t="s">
        <v>2249</v>
      </c>
      <c r="D461" s="131" t="s">
        <v>1408</v>
      </c>
      <c r="E461" s="131">
        <v>0</v>
      </c>
      <c r="F461" s="131">
        <v>0</v>
      </c>
      <c r="G461" s="131"/>
      <c r="H461" s="131" t="s">
        <v>107</v>
      </c>
      <c r="I461" s="131">
        <v>4</v>
      </c>
      <c r="J461" s="118">
        <v>4</v>
      </c>
      <c r="K461" s="131">
        <v>0</v>
      </c>
      <c r="L461" s="131">
        <v>4</v>
      </c>
      <c r="M461" s="131">
        <v>4</v>
      </c>
      <c r="N461" s="118" t="s">
        <v>2250</v>
      </c>
      <c r="O461" s="131">
        <v>50</v>
      </c>
      <c r="P461" s="131">
        <v>0.5</v>
      </c>
      <c r="Q461" s="131">
        <v>0</v>
      </c>
      <c r="R461" s="131">
        <v>1</v>
      </c>
      <c r="S461" s="131" t="b">
        <v>1</v>
      </c>
      <c r="T461" s="131">
        <v>45</v>
      </c>
      <c r="U461" s="118">
        <v>675</v>
      </c>
      <c r="V461" s="118">
        <v>900</v>
      </c>
      <c r="W461" s="131">
        <v>0</v>
      </c>
      <c r="X461" s="131">
        <v>4</v>
      </c>
      <c r="Y461" s="131" t="s">
        <v>38</v>
      </c>
      <c r="Z461" s="388" t="s">
        <v>3217</v>
      </c>
      <c r="AA461" s="388" t="s">
        <v>3217</v>
      </c>
      <c r="AB461" s="131" t="s">
        <v>2131</v>
      </c>
      <c r="AC461" s="131">
        <v>100000</v>
      </c>
      <c r="AD461" s="197">
        <v>1</v>
      </c>
      <c r="AE461" s="197">
        <v>1</v>
      </c>
      <c r="AF461">
        <v>0</v>
      </c>
      <c r="AG461" s="450">
        <v>4</v>
      </c>
    </row>
    <row r="462" spans="1:33" x14ac:dyDescent="0.15">
      <c r="A462" s="114">
        <v>114306</v>
      </c>
      <c r="B462" s="80" t="s">
        <v>2254</v>
      </c>
      <c r="C462" s="80" t="s">
        <v>2254</v>
      </c>
      <c r="D462" s="80" t="s">
        <v>33</v>
      </c>
      <c r="E462" s="80">
        <v>14</v>
      </c>
      <c r="F462" s="80" t="s">
        <v>1220</v>
      </c>
      <c r="G462" s="80" t="s">
        <v>1251</v>
      </c>
      <c r="H462" s="80" t="s">
        <v>51</v>
      </c>
      <c r="I462" s="80">
        <v>3</v>
      </c>
      <c r="J462" s="118">
        <v>3</v>
      </c>
      <c r="K462" s="119">
        <v>0</v>
      </c>
      <c r="L462" s="80">
        <v>3</v>
      </c>
      <c r="M462" s="80">
        <v>3</v>
      </c>
      <c r="N462" s="118" t="s">
        <v>77</v>
      </c>
      <c r="O462" s="80">
        <v>99</v>
      </c>
      <c r="P462" s="80">
        <v>0.9</v>
      </c>
      <c r="Q462" s="80">
        <v>0</v>
      </c>
      <c r="R462" s="80">
        <v>1</v>
      </c>
      <c r="S462" s="80" t="b">
        <v>1</v>
      </c>
      <c r="T462" s="80">
        <v>45</v>
      </c>
      <c r="U462" s="118">
        <v>675</v>
      </c>
      <c r="V462" s="118">
        <v>900</v>
      </c>
      <c r="W462" s="80">
        <v>0</v>
      </c>
      <c r="X462" s="80">
        <v>6</v>
      </c>
      <c r="Y462" s="80" t="s">
        <v>38</v>
      </c>
      <c r="Z462" s="388" t="s">
        <v>3218</v>
      </c>
      <c r="AA462" s="388" t="s">
        <v>3218</v>
      </c>
      <c r="AB462" s="80" t="s">
        <v>1260</v>
      </c>
      <c r="AC462" s="80">
        <v>100000</v>
      </c>
      <c r="AD462" s="197">
        <v>1</v>
      </c>
      <c r="AE462" s="197">
        <v>1</v>
      </c>
      <c r="AF462">
        <v>0</v>
      </c>
      <c r="AG462" s="432">
        <v>7</v>
      </c>
    </row>
    <row r="463" spans="1:33" x14ac:dyDescent="0.15">
      <c r="A463" s="114">
        <v>114307</v>
      </c>
      <c r="B463" s="80" t="s">
        <v>2254</v>
      </c>
      <c r="C463" s="80" t="s">
        <v>2254</v>
      </c>
      <c r="D463" s="80" t="s">
        <v>33</v>
      </c>
      <c r="E463" s="80">
        <v>14</v>
      </c>
      <c r="F463" s="80" t="s">
        <v>1220</v>
      </c>
      <c r="G463" s="80" t="s">
        <v>1251</v>
      </c>
      <c r="H463" s="80" t="s">
        <v>51</v>
      </c>
      <c r="I463" s="80">
        <v>4</v>
      </c>
      <c r="J463" s="118">
        <v>4</v>
      </c>
      <c r="K463" s="119">
        <v>0</v>
      </c>
      <c r="L463" s="80">
        <v>3</v>
      </c>
      <c r="M463" s="80">
        <v>4</v>
      </c>
      <c r="N463" s="118" t="s">
        <v>83</v>
      </c>
      <c r="O463" s="80">
        <v>99</v>
      </c>
      <c r="P463" s="80">
        <v>0.9</v>
      </c>
      <c r="Q463" s="80">
        <v>0</v>
      </c>
      <c r="R463" s="80">
        <v>1</v>
      </c>
      <c r="S463" s="80" t="b">
        <v>1</v>
      </c>
      <c r="T463" s="80">
        <v>45</v>
      </c>
      <c r="U463" s="118">
        <v>675</v>
      </c>
      <c r="V463" s="118">
        <v>900</v>
      </c>
      <c r="W463" s="80">
        <v>0</v>
      </c>
      <c r="X463" s="118">
        <v>7</v>
      </c>
      <c r="Y463" s="80" t="s">
        <v>38</v>
      </c>
      <c r="Z463" s="388" t="s">
        <v>3218</v>
      </c>
      <c r="AA463" s="388" t="s">
        <v>3218</v>
      </c>
      <c r="AB463" s="80" t="s">
        <v>1260</v>
      </c>
      <c r="AC463" s="80">
        <v>100000</v>
      </c>
      <c r="AD463" s="197">
        <v>1</v>
      </c>
      <c r="AE463" s="197">
        <v>1</v>
      </c>
      <c r="AF463">
        <v>0</v>
      </c>
      <c r="AG463" s="432">
        <v>8</v>
      </c>
    </row>
    <row r="464" spans="1:33" x14ac:dyDescent="0.15">
      <c r="A464" s="114">
        <v>114308</v>
      </c>
      <c r="B464" s="80" t="s">
        <v>2254</v>
      </c>
      <c r="C464" s="80" t="s">
        <v>2254</v>
      </c>
      <c r="D464" s="80" t="s">
        <v>33</v>
      </c>
      <c r="E464" s="80">
        <v>14</v>
      </c>
      <c r="F464" s="80" t="s">
        <v>1220</v>
      </c>
      <c r="G464" s="80" t="s">
        <v>1251</v>
      </c>
      <c r="H464" s="80" t="s">
        <v>51</v>
      </c>
      <c r="I464" s="80">
        <v>5</v>
      </c>
      <c r="J464" s="118">
        <v>5</v>
      </c>
      <c r="K464" s="119">
        <v>0</v>
      </c>
      <c r="L464" s="80">
        <v>3</v>
      </c>
      <c r="M464" s="80">
        <v>5</v>
      </c>
      <c r="N464" s="118" t="s">
        <v>89</v>
      </c>
      <c r="O464" s="80">
        <v>99</v>
      </c>
      <c r="P464" s="80">
        <v>0.9</v>
      </c>
      <c r="Q464" s="80">
        <v>0</v>
      </c>
      <c r="R464" s="80">
        <v>1</v>
      </c>
      <c r="S464" s="80" t="b">
        <v>1</v>
      </c>
      <c r="T464" s="80">
        <v>45</v>
      </c>
      <c r="U464" s="118">
        <v>675</v>
      </c>
      <c r="V464" s="118">
        <v>900</v>
      </c>
      <c r="W464" s="80">
        <v>0</v>
      </c>
      <c r="X464" s="118">
        <v>8</v>
      </c>
      <c r="Y464" s="80" t="s">
        <v>38</v>
      </c>
      <c r="Z464" s="388" t="s">
        <v>3218</v>
      </c>
      <c r="AA464" s="388" t="s">
        <v>3218</v>
      </c>
      <c r="AB464" s="80" t="s">
        <v>1260</v>
      </c>
      <c r="AC464" s="80">
        <v>100000</v>
      </c>
      <c r="AD464" s="197">
        <v>1</v>
      </c>
      <c r="AE464" s="197">
        <v>1</v>
      </c>
      <c r="AF464">
        <v>0</v>
      </c>
      <c r="AG464" s="432">
        <v>9</v>
      </c>
    </row>
    <row r="465" spans="1:33" x14ac:dyDescent="0.15">
      <c r="A465" s="114">
        <v>114309</v>
      </c>
      <c r="B465" s="80" t="s">
        <v>2254</v>
      </c>
      <c r="C465" s="80" t="s">
        <v>2254</v>
      </c>
      <c r="D465" s="80" t="s">
        <v>33</v>
      </c>
      <c r="E465" s="80">
        <v>14</v>
      </c>
      <c r="F465" s="80" t="s">
        <v>1220</v>
      </c>
      <c r="G465" s="80" t="s">
        <v>1251</v>
      </c>
      <c r="H465" s="80" t="s">
        <v>51</v>
      </c>
      <c r="I465" s="80">
        <v>6</v>
      </c>
      <c r="J465" s="118">
        <v>6</v>
      </c>
      <c r="K465" s="119">
        <v>0</v>
      </c>
      <c r="L465" s="80">
        <v>3</v>
      </c>
      <c r="M465" s="80">
        <v>6</v>
      </c>
      <c r="N465" s="118" t="s">
        <v>89</v>
      </c>
      <c r="O465" s="80">
        <v>99</v>
      </c>
      <c r="P465" s="80">
        <v>0.9</v>
      </c>
      <c r="Q465" s="80">
        <v>0</v>
      </c>
      <c r="R465" s="80">
        <v>1</v>
      </c>
      <c r="S465" s="80" t="b">
        <v>1</v>
      </c>
      <c r="T465" s="80">
        <v>45</v>
      </c>
      <c r="U465" s="118">
        <v>675</v>
      </c>
      <c r="V465" s="118">
        <v>900</v>
      </c>
      <c r="W465" s="80">
        <v>0</v>
      </c>
      <c r="X465" s="118">
        <v>8</v>
      </c>
      <c r="Y465" s="80" t="s">
        <v>38</v>
      </c>
      <c r="Z465" s="388" t="s">
        <v>3218</v>
      </c>
      <c r="AA465" s="388" t="s">
        <v>3218</v>
      </c>
      <c r="AB465" s="80" t="s">
        <v>1260</v>
      </c>
      <c r="AC465" s="80">
        <v>100000</v>
      </c>
      <c r="AD465" s="197">
        <v>1</v>
      </c>
      <c r="AE465" s="197">
        <v>1</v>
      </c>
      <c r="AF465">
        <v>0</v>
      </c>
      <c r="AG465" s="432">
        <v>9</v>
      </c>
    </row>
    <row r="466" spans="1:33" x14ac:dyDescent="0.15">
      <c r="A466" s="131">
        <v>200205</v>
      </c>
      <c r="B466" s="131" t="s">
        <v>2261</v>
      </c>
      <c r="C466" s="131" t="s">
        <v>2261</v>
      </c>
      <c r="D466" s="131" t="s">
        <v>1408</v>
      </c>
      <c r="E466" s="131">
        <v>0</v>
      </c>
      <c r="F466" s="131">
        <v>0</v>
      </c>
      <c r="G466" s="131"/>
      <c r="H466" s="131" t="s">
        <v>107</v>
      </c>
      <c r="I466" s="131">
        <v>6</v>
      </c>
      <c r="J466" s="118">
        <v>6</v>
      </c>
      <c r="K466" s="131">
        <v>0</v>
      </c>
      <c r="L466" s="131">
        <v>3</v>
      </c>
      <c r="M466" s="131">
        <v>6</v>
      </c>
      <c r="N466" s="118" t="s">
        <v>1436</v>
      </c>
      <c r="O466" s="131">
        <v>50</v>
      </c>
      <c r="P466" s="131">
        <v>0.5</v>
      </c>
      <c r="Q466" s="131">
        <v>0</v>
      </c>
      <c r="R466" s="131">
        <v>1</v>
      </c>
      <c r="S466" s="131" t="b">
        <v>1</v>
      </c>
      <c r="T466" s="131">
        <v>45</v>
      </c>
      <c r="U466" s="118">
        <v>675</v>
      </c>
      <c r="V466" s="118">
        <v>900</v>
      </c>
      <c r="W466" s="131">
        <v>0</v>
      </c>
      <c r="X466" s="131">
        <v>5</v>
      </c>
      <c r="Y466" s="131" t="s">
        <v>38</v>
      </c>
      <c r="Z466" s="388" t="s">
        <v>3219</v>
      </c>
      <c r="AA466" s="388" t="s">
        <v>3219</v>
      </c>
      <c r="AB466" s="131" t="s">
        <v>1439</v>
      </c>
      <c r="AC466" s="131">
        <v>100000</v>
      </c>
      <c r="AD466" s="197">
        <v>1</v>
      </c>
      <c r="AE466" s="197">
        <v>1</v>
      </c>
      <c r="AF466">
        <v>0</v>
      </c>
      <c r="AG466" s="450">
        <v>5</v>
      </c>
    </row>
    <row r="467" spans="1:33" x14ac:dyDescent="0.15">
      <c r="A467" s="445">
        <v>102403</v>
      </c>
      <c r="B467" s="446" t="s">
        <v>2265</v>
      </c>
      <c r="C467" s="446" t="s">
        <v>2265</v>
      </c>
      <c r="D467" s="447" t="s">
        <v>33</v>
      </c>
      <c r="E467" s="447">
        <v>2</v>
      </c>
      <c r="F467" s="446" t="s">
        <v>134</v>
      </c>
      <c r="G467" s="447" t="s">
        <v>135</v>
      </c>
      <c r="H467" s="447" t="s">
        <v>295</v>
      </c>
      <c r="I467" s="447">
        <v>7</v>
      </c>
      <c r="J467" s="118">
        <v>7</v>
      </c>
      <c r="K467" s="447">
        <v>0</v>
      </c>
      <c r="L467" s="447">
        <v>3</v>
      </c>
      <c r="M467" s="447">
        <v>7</v>
      </c>
      <c r="N467" s="118" t="s">
        <v>57</v>
      </c>
      <c r="O467" s="446">
        <v>1</v>
      </c>
      <c r="P467" s="447">
        <v>0.7</v>
      </c>
      <c r="Q467" s="447">
        <v>0</v>
      </c>
      <c r="R467" s="447">
        <v>1</v>
      </c>
      <c r="S467" s="447" t="b">
        <v>1</v>
      </c>
      <c r="T467" s="447">
        <v>39</v>
      </c>
      <c r="U467" s="118">
        <v>585</v>
      </c>
      <c r="V467" s="118">
        <v>780</v>
      </c>
      <c r="W467" s="447">
        <v>0</v>
      </c>
      <c r="X467" s="447">
        <v>3</v>
      </c>
      <c r="Y467" s="447" t="s">
        <v>38</v>
      </c>
      <c r="Z467" s="388" t="s">
        <v>3220</v>
      </c>
      <c r="AA467" s="388" t="s">
        <v>3220</v>
      </c>
      <c r="AB467" s="446" t="s">
        <v>143</v>
      </c>
      <c r="AC467" s="447">
        <v>100000</v>
      </c>
      <c r="AD467" s="448">
        <v>1</v>
      </c>
      <c r="AE467" s="448">
        <v>1</v>
      </c>
      <c r="AF467">
        <v>102403</v>
      </c>
      <c r="AG467" s="451">
        <v>3</v>
      </c>
    </row>
    <row r="468" spans="1:33" x14ac:dyDescent="0.15">
      <c r="A468" s="132">
        <v>102503</v>
      </c>
      <c r="B468" s="136" t="s">
        <v>2269</v>
      </c>
      <c r="C468" s="136" t="s">
        <v>2269</v>
      </c>
      <c r="D468" s="138" t="s">
        <v>33</v>
      </c>
      <c r="E468" s="138">
        <v>2</v>
      </c>
      <c r="F468" s="136" t="s">
        <v>134</v>
      </c>
      <c r="G468" s="138" t="s">
        <v>179</v>
      </c>
      <c r="H468" s="138" t="s">
        <v>295</v>
      </c>
      <c r="I468" s="138">
        <v>6</v>
      </c>
      <c r="J468" s="118">
        <v>6</v>
      </c>
      <c r="K468" s="138">
        <v>0</v>
      </c>
      <c r="L468" s="138">
        <v>3</v>
      </c>
      <c r="M468" s="138">
        <v>6</v>
      </c>
      <c r="N468" s="118" t="s">
        <v>57</v>
      </c>
      <c r="O468" s="136">
        <v>1</v>
      </c>
      <c r="P468" s="447">
        <v>0.8</v>
      </c>
      <c r="Q468" s="138">
        <v>0</v>
      </c>
      <c r="R468" s="138">
        <v>1</v>
      </c>
      <c r="S468" s="138" t="b">
        <v>1</v>
      </c>
      <c r="T468" s="138">
        <v>39</v>
      </c>
      <c r="U468" s="118">
        <v>585</v>
      </c>
      <c r="V468" s="118">
        <v>780</v>
      </c>
      <c r="W468" s="138">
        <v>0</v>
      </c>
      <c r="X468" s="138">
        <v>3</v>
      </c>
      <c r="Y468" s="138" t="s">
        <v>38</v>
      </c>
      <c r="Z468" s="388" t="s">
        <v>3221</v>
      </c>
      <c r="AA468" s="388" t="s">
        <v>3221</v>
      </c>
      <c r="AB468" s="136" t="s">
        <v>149</v>
      </c>
      <c r="AC468" s="138">
        <v>100000</v>
      </c>
      <c r="AD468" s="449">
        <v>1</v>
      </c>
      <c r="AE468" s="449">
        <v>1</v>
      </c>
      <c r="AF468">
        <v>102503</v>
      </c>
      <c r="AG468" s="452">
        <v>3</v>
      </c>
    </row>
    <row r="469" spans="1:33" x14ac:dyDescent="0.15">
      <c r="A469" s="132">
        <v>102804</v>
      </c>
      <c r="B469" s="136" t="s">
        <v>2273</v>
      </c>
      <c r="C469" s="136" t="s">
        <v>2273</v>
      </c>
      <c r="D469" s="138" t="s">
        <v>33</v>
      </c>
      <c r="E469" s="138">
        <v>2</v>
      </c>
      <c r="F469" s="136" t="s">
        <v>134</v>
      </c>
      <c r="G469" s="138" t="s">
        <v>179</v>
      </c>
      <c r="H469" s="138" t="s">
        <v>295</v>
      </c>
      <c r="I469" s="138">
        <v>5</v>
      </c>
      <c r="J469" s="118">
        <v>5</v>
      </c>
      <c r="K469" s="138">
        <v>0</v>
      </c>
      <c r="L469" s="138">
        <v>3</v>
      </c>
      <c r="M469" s="138">
        <v>5</v>
      </c>
      <c r="N469" s="118" t="s">
        <v>64</v>
      </c>
      <c r="O469" s="136">
        <v>99</v>
      </c>
      <c r="P469" s="447">
        <v>0.8</v>
      </c>
      <c r="Q469" s="138">
        <v>0</v>
      </c>
      <c r="R469" s="138">
        <v>1</v>
      </c>
      <c r="S469" s="138" t="b">
        <v>1</v>
      </c>
      <c r="T469" s="138">
        <v>52</v>
      </c>
      <c r="U469" s="118">
        <v>780</v>
      </c>
      <c r="V469" s="118">
        <v>1040</v>
      </c>
      <c r="W469" s="138">
        <v>0</v>
      </c>
      <c r="X469" s="138">
        <v>4</v>
      </c>
      <c r="Y469" s="138" t="s">
        <v>38</v>
      </c>
      <c r="Z469" s="388" t="s">
        <v>3222</v>
      </c>
      <c r="AA469" s="388" t="s">
        <v>3222</v>
      </c>
      <c r="AB469" s="136" t="s">
        <v>158</v>
      </c>
      <c r="AC469" s="138">
        <v>100000</v>
      </c>
      <c r="AD469" s="449">
        <v>1</v>
      </c>
      <c r="AE469" s="449">
        <v>1</v>
      </c>
      <c r="AF469">
        <v>102804</v>
      </c>
      <c r="AG469" s="452">
        <v>4</v>
      </c>
    </row>
    <row r="470" spans="1:33" x14ac:dyDescent="0.15">
      <c r="A470" s="132">
        <v>102705</v>
      </c>
      <c r="B470" s="136" t="s">
        <v>2277</v>
      </c>
      <c r="C470" s="136" t="s">
        <v>2277</v>
      </c>
      <c r="D470" s="138" t="s">
        <v>33</v>
      </c>
      <c r="E470" s="138">
        <v>2</v>
      </c>
      <c r="F470" s="136" t="s">
        <v>134</v>
      </c>
      <c r="G470" s="138" t="s">
        <v>242</v>
      </c>
      <c r="H470" s="138" t="s">
        <v>295</v>
      </c>
      <c r="I470" s="138">
        <v>6</v>
      </c>
      <c r="J470" s="118">
        <v>6</v>
      </c>
      <c r="K470" s="138">
        <v>0</v>
      </c>
      <c r="L470" s="138">
        <v>3</v>
      </c>
      <c r="M470" s="138">
        <v>6</v>
      </c>
      <c r="N470" s="118" t="s">
        <v>71</v>
      </c>
      <c r="O470" s="136">
        <v>99</v>
      </c>
      <c r="P470" s="447">
        <v>0.8</v>
      </c>
      <c r="Q470" s="138">
        <v>0</v>
      </c>
      <c r="R470" s="138">
        <v>1</v>
      </c>
      <c r="S470" s="138" t="b">
        <v>1</v>
      </c>
      <c r="T470" s="138">
        <v>65</v>
      </c>
      <c r="U470" s="118">
        <v>975</v>
      </c>
      <c r="V470" s="118">
        <v>1300</v>
      </c>
      <c r="W470" s="138">
        <v>0</v>
      </c>
      <c r="X470" s="138">
        <v>5</v>
      </c>
      <c r="Y470" s="138" t="s">
        <v>38</v>
      </c>
      <c r="Z470" s="388" t="s">
        <v>3223</v>
      </c>
      <c r="AA470" s="388" t="s">
        <v>3223</v>
      </c>
      <c r="AB470" s="136" t="s">
        <v>284</v>
      </c>
      <c r="AC470" s="138">
        <v>100000</v>
      </c>
      <c r="AD470" s="449">
        <v>1</v>
      </c>
      <c r="AE470" s="449">
        <v>1</v>
      </c>
      <c r="AF470">
        <v>102705</v>
      </c>
      <c r="AG470" s="452">
        <v>5</v>
      </c>
    </row>
    <row r="471" spans="1:33" x14ac:dyDescent="0.15">
      <c r="A471" s="132">
        <v>102805</v>
      </c>
      <c r="B471" s="136" t="s">
        <v>2281</v>
      </c>
      <c r="C471" s="136" t="s">
        <v>2281</v>
      </c>
      <c r="D471" s="138" t="s">
        <v>33</v>
      </c>
      <c r="E471" s="138">
        <v>2</v>
      </c>
      <c r="F471" s="136" t="s">
        <v>134</v>
      </c>
      <c r="G471" s="138" t="s">
        <v>179</v>
      </c>
      <c r="H471" s="138" t="s">
        <v>295</v>
      </c>
      <c r="I471" s="138">
        <v>6</v>
      </c>
      <c r="J471" s="118">
        <v>6</v>
      </c>
      <c r="K471" s="138">
        <v>0</v>
      </c>
      <c r="L471" s="138">
        <v>3</v>
      </c>
      <c r="M471" s="138">
        <v>6</v>
      </c>
      <c r="N471" s="118" t="s">
        <v>71</v>
      </c>
      <c r="O471" s="136">
        <v>99</v>
      </c>
      <c r="P471" s="447">
        <v>0.8</v>
      </c>
      <c r="Q471" s="138">
        <v>0</v>
      </c>
      <c r="R471" s="138">
        <v>1</v>
      </c>
      <c r="S471" s="138" t="b">
        <v>1</v>
      </c>
      <c r="T471" s="138">
        <v>65</v>
      </c>
      <c r="U471" s="118">
        <v>975</v>
      </c>
      <c r="V471" s="118">
        <v>1300</v>
      </c>
      <c r="W471" s="138">
        <v>0</v>
      </c>
      <c r="X471" s="138">
        <v>5</v>
      </c>
      <c r="Y471" s="138" t="s">
        <v>38</v>
      </c>
      <c r="Z471" s="388" t="s">
        <v>3224</v>
      </c>
      <c r="AA471" s="388" t="s">
        <v>3224</v>
      </c>
      <c r="AB471" s="136" t="s">
        <v>170</v>
      </c>
      <c r="AC471" s="138">
        <v>100000</v>
      </c>
      <c r="AD471" s="449">
        <v>1</v>
      </c>
      <c r="AE471" s="449">
        <v>1</v>
      </c>
      <c r="AF471">
        <v>102805</v>
      </c>
      <c r="AG471" s="452">
        <v>5</v>
      </c>
    </row>
    <row r="472" spans="1:33" x14ac:dyDescent="0.15">
      <c r="A472" s="132">
        <v>102506</v>
      </c>
      <c r="B472" s="136" t="s">
        <v>2285</v>
      </c>
      <c r="C472" s="136" t="s">
        <v>2285</v>
      </c>
      <c r="D472" s="138" t="s">
        <v>33</v>
      </c>
      <c r="E472" s="138">
        <v>2</v>
      </c>
      <c r="F472" s="136" t="s">
        <v>134</v>
      </c>
      <c r="G472" s="138" t="s">
        <v>248</v>
      </c>
      <c r="H472" s="138" t="s">
        <v>295</v>
      </c>
      <c r="I472" s="138">
        <v>6</v>
      </c>
      <c r="J472" s="118">
        <v>6</v>
      </c>
      <c r="K472" s="138">
        <v>0</v>
      </c>
      <c r="L472" s="138">
        <v>3</v>
      </c>
      <c r="M472" s="138">
        <v>6</v>
      </c>
      <c r="N472" s="118" t="s">
        <v>77</v>
      </c>
      <c r="O472" s="136">
        <v>99</v>
      </c>
      <c r="P472" s="447">
        <v>0.8</v>
      </c>
      <c r="Q472" s="138">
        <v>0</v>
      </c>
      <c r="R472" s="138">
        <v>1</v>
      </c>
      <c r="S472" s="138" t="b">
        <v>1</v>
      </c>
      <c r="T472" s="138">
        <v>78</v>
      </c>
      <c r="U472" s="118">
        <v>1170</v>
      </c>
      <c r="V472" s="118">
        <v>1560</v>
      </c>
      <c r="W472" s="138">
        <v>0</v>
      </c>
      <c r="X472" s="138">
        <v>6</v>
      </c>
      <c r="Y472" s="138" t="s">
        <v>38</v>
      </c>
      <c r="Z472" s="388" t="s">
        <v>3225</v>
      </c>
      <c r="AA472" s="388" t="s">
        <v>3225</v>
      </c>
      <c r="AB472" s="136" t="s">
        <v>2027</v>
      </c>
      <c r="AC472" s="138">
        <v>100000</v>
      </c>
      <c r="AD472" s="449">
        <v>1</v>
      </c>
      <c r="AE472" s="449">
        <v>1</v>
      </c>
      <c r="AF472">
        <v>102506</v>
      </c>
      <c r="AG472" s="452">
        <v>6</v>
      </c>
    </row>
    <row r="473" spans="1:33" x14ac:dyDescent="0.15">
      <c r="A473" s="132">
        <v>102606</v>
      </c>
      <c r="B473" s="136" t="s">
        <v>2289</v>
      </c>
      <c r="C473" s="136" t="s">
        <v>2289</v>
      </c>
      <c r="D473" s="138" t="s">
        <v>33</v>
      </c>
      <c r="E473" s="138">
        <v>2</v>
      </c>
      <c r="F473" s="136" t="s">
        <v>134</v>
      </c>
      <c r="G473" s="138" t="s">
        <v>179</v>
      </c>
      <c r="H473" s="138" t="s">
        <v>295</v>
      </c>
      <c r="I473" s="138">
        <v>5</v>
      </c>
      <c r="J473" s="118">
        <v>5</v>
      </c>
      <c r="K473" s="138">
        <v>0</v>
      </c>
      <c r="L473" s="138">
        <v>3</v>
      </c>
      <c r="M473" s="138">
        <v>5</v>
      </c>
      <c r="N473" s="118" t="s">
        <v>77</v>
      </c>
      <c r="O473" s="136">
        <v>99</v>
      </c>
      <c r="P473" s="447">
        <v>0.8</v>
      </c>
      <c r="Q473" s="138">
        <v>0</v>
      </c>
      <c r="R473" s="138">
        <v>1</v>
      </c>
      <c r="S473" s="138" t="b">
        <v>1</v>
      </c>
      <c r="T473" s="138">
        <v>78</v>
      </c>
      <c r="U473" s="118">
        <v>1170</v>
      </c>
      <c r="V473" s="118">
        <v>1560</v>
      </c>
      <c r="W473" s="138">
        <v>0</v>
      </c>
      <c r="X473" s="138">
        <v>6</v>
      </c>
      <c r="Y473" s="138" t="s">
        <v>38</v>
      </c>
      <c r="Z473" s="388" t="s">
        <v>3226</v>
      </c>
      <c r="AA473" s="388" t="s">
        <v>3226</v>
      </c>
      <c r="AB473" s="136" t="s">
        <v>176</v>
      </c>
      <c r="AC473" s="138">
        <v>100000</v>
      </c>
      <c r="AD473" s="449">
        <v>1</v>
      </c>
      <c r="AE473" s="449">
        <v>1</v>
      </c>
      <c r="AF473">
        <v>102606</v>
      </c>
      <c r="AG473" s="452">
        <v>6</v>
      </c>
    </row>
    <row r="474" spans="1:33" x14ac:dyDescent="0.15">
      <c r="A474" s="132">
        <v>102707</v>
      </c>
      <c r="B474" s="136" t="s">
        <v>2293</v>
      </c>
      <c r="C474" s="136" t="s">
        <v>2293</v>
      </c>
      <c r="D474" s="138" t="s">
        <v>33</v>
      </c>
      <c r="E474" s="138">
        <v>2</v>
      </c>
      <c r="F474" s="136" t="s">
        <v>134</v>
      </c>
      <c r="G474" s="138" t="s">
        <v>135</v>
      </c>
      <c r="H474" s="138" t="s">
        <v>295</v>
      </c>
      <c r="I474" s="138">
        <v>7</v>
      </c>
      <c r="J474" s="118">
        <v>7</v>
      </c>
      <c r="K474" s="138">
        <v>0</v>
      </c>
      <c r="L474" s="138">
        <v>3</v>
      </c>
      <c r="M474" s="138">
        <v>7</v>
      </c>
      <c r="N474" s="118" t="s">
        <v>83</v>
      </c>
      <c r="O474" s="136">
        <v>1</v>
      </c>
      <c r="P474" s="447">
        <v>0.8</v>
      </c>
      <c r="Q474" s="138">
        <v>0</v>
      </c>
      <c r="R474" s="138">
        <v>1</v>
      </c>
      <c r="S474" s="138" t="b">
        <v>1</v>
      </c>
      <c r="T474" s="138">
        <v>91</v>
      </c>
      <c r="U474" s="118">
        <v>1365</v>
      </c>
      <c r="V474" s="118">
        <v>1820</v>
      </c>
      <c r="W474" s="138">
        <v>0</v>
      </c>
      <c r="X474" s="138">
        <v>7</v>
      </c>
      <c r="Y474" s="138" t="s">
        <v>38</v>
      </c>
      <c r="Z474" s="388" t="s">
        <v>3227</v>
      </c>
      <c r="AA474" s="388" t="s">
        <v>3227</v>
      </c>
      <c r="AB474" s="136" t="s">
        <v>143</v>
      </c>
      <c r="AC474" s="138">
        <v>100000</v>
      </c>
      <c r="AD474" s="449">
        <v>1</v>
      </c>
      <c r="AE474" s="449">
        <v>1</v>
      </c>
      <c r="AF474">
        <v>102707</v>
      </c>
      <c r="AG474" s="452">
        <v>7</v>
      </c>
    </row>
    <row r="475" spans="1:33" x14ac:dyDescent="0.15">
      <c r="A475" s="132">
        <v>101303</v>
      </c>
      <c r="B475" s="136" t="s">
        <v>2297</v>
      </c>
      <c r="C475" s="136" t="s">
        <v>2297</v>
      </c>
      <c r="D475" s="138" t="s">
        <v>33</v>
      </c>
      <c r="E475" s="138">
        <v>1</v>
      </c>
      <c r="F475" s="136" t="s">
        <v>34</v>
      </c>
      <c r="G475" s="138"/>
      <c r="H475" s="138" t="s">
        <v>295</v>
      </c>
      <c r="I475" s="138">
        <v>4</v>
      </c>
      <c r="J475" s="118">
        <v>4</v>
      </c>
      <c r="K475" s="138">
        <v>0</v>
      </c>
      <c r="L475" s="138">
        <v>3</v>
      </c>
      <c r="M475" s="138">
        <v>4</v>
      </c>
      <c r="N475" s="118" t="s">
        <v>57</v>
      </c>
      <c r="O475" s="136">
        <v>1</v>
      </c>
      <c r="P475" s="447">
        <v>0.7</v>
      </c>
      <c r="Q475" s="138">
        <v>0</v>
      </c>
      <c r="R475" s="138">
        <v>1</v>
      </c>
      <c r="S475" s="138" t="b">
        <v>1</v>
      </c>
      <c r="T475" s="138">
        <v>39</v>
      </c>
      <c r="U475" s="118">
        <v>585</v>
      </c>
      <c r="V475" s="118">
        <v>780</v>
      </c>
      <c r="W475" s="138">
        <v>0</v>
      </c>
      <c r="X475" s="138">
        <v>3</v>
      </c>
      <c r="Y475" s="138" t="s">
        <v>38</v>
      </c>
      <c r="Z475" s="388" t="s">
        <v>3228</v>
      </c>
      <c r="AA475" s="388" t="s">
        <v>3228</v>
      </c>
      <c r="AB475" s="136" t="s">
        <v>41</v>
      </c>
      <c r="AC475" s="138">
        <v>100000</v>
      </c>
      <c r="AD475" s="449">
        <v>1</v>
      </c>
      <c r="AE475" s="449">
        <v>1</v>
      </c>
      <c r="AF475">
        <v>101303</v>
      </c>
      <c r="AG475" s="452">
        <v>3</v>
      </c>
    </row>
    <row r="476" spans="1:33" x14ac:dyDescent="0.15">
      <c r="A476" s="132">
        <v>101403</v>
      </c>
      <c r="B476" s="136" t="s">
        <v>2301</v>
      </c>
      <c r="C476" s="136" t="s">
        <v>2301</v>
      </c>
      <c r="D476" s="138" t="s">
        <v>33</v>
      </c>
      <c r="E476" s="138">
        <v>1</v>
      </c>
      <c r="F476" s="136" t="s">
        <v>34</v>
      </c>
      <c r="G476" s="138"/>
      <c r="H476" s="138" t="s">
        <v>295</v>
      </c>
      <c r="I476" s="138">
        <v>4</v>
      </c>
      <c r="J476" s="118">
        <v>4</v>
      </c>
      <c r="K476" s="138">
        <v>0</v>
      </c>
      <c r="L476" s="138">
        <v>3</v>
      </c>
      <c r="M476" s="138">
        <v>4</v>
      </c>
      <c r="N476" s="118" t="s">
        <v>57</v>
      </c>
      <c r="O476" s="136">
        <v>1</v>
      </c>
      <c r="P476" s="447">
        <v>0.8</v>
      </c>
      <c r="Q476" s="138">
        <v>0</v>
      </c>
      <c r="R476" s="138">
        <v>1</v>
      </c>
      <c r="S476" s="138" t="b">
        <v>1</v>
      </c>
      <c r="T476" s="138">
        <v>39</v>
      </c>
      <c r="U476" s="118">
        <v>585</v>
      </c>
      <c r="V476" s="118">
        <v>780</v>
      </c>
      <c r="W476" s="138">
        <v>0</v>
      </c>
      <c r="X476" s="138">
        <v>3</v>
      </c>
      <c r="Y476" s="138" t="s">
        <v>38</v>
      </c>
      <c r="Z476" s="388" t="s">
        <v>3229</v>
      </c>
      <c r="AA476" s="388" t="s">
        <v>3229</v>
      </c>
      <c r="AB476" s="136" t="s">
        <v>67</v>
      </c>
      <c r="AC476" s="138">
        <v>100000</v>
      </c>
      <c r="AD476" s="449">
        <v>1</v>
      </c>
      <c r="AE476" s="449">
        <v>1</v>
      </c>
      <c r="AF476">
        <v>0</v>
      </c>
      <c r="AG476" s="452">
        <v>3</v>
      </c>
    </row>
    <row r="477" spans="1:33" x14ac:dyDescent="0.15">
      <c r="A477" s="132">
        <v>101503</v>
      </c>
      <c r="B477" s="136" t="s">
        <v>2305</v>
      </c>
      <c r="C477" s="136" t="s">
        <v>2305</v>
      </c>
      <c r="D477" s="138" t="s">
        <v>33</v>
      </c>
      <c r="E477" s="138">
        <v>1</v>
      </c>
      <c r="F477" s="136" t="s">
        <v>34</v>
      </c>
      <c r="G477" s="138"/>
      <c r="H477" s="138" t="s">
        <v>295</v>
      </c>
      <c r="I477" s="138">
        <v>5</v>
      </c>
      <c r="J477" s="118">
        <v>5</v>
      </c>
      <c r="K477" s="138">
        <v>0</v>
      </c>
      <c r="L477" s="138">
        <v>3</v>
      </c>
      <c r="M477" s="138">
        <v>5</v>
      </c>
      <c r="N477" s="118" t="s">
        <v>57</v>
      </c>
      <c r="O477" s="136">
        <v>99</v>
      </c>
      <c r="P477" s="447">
        <v>0.9</v>
      </c>
      <c r="Q477" s="138">
        <v>0</v>
      </c>
      <c r="R477" s="138">
        <v>1</v>
      </c>
      <c r="S477" s="138" t="b">
        <v>1</v>
      </c>
      <c r="T477" s="138">
        <v>39</v>
      </c>
      <c r="U477" s="118">
        <v>585</v>
      </c>
      <c r="V477" s="118">
        <v>780</v>
      </c>
      <c r="W477" s="138">
        <v>0</v>
      </c>
      <c r="X477" s="138">
        <v>3</v>
      </c>
      <c r="Y477" s="138" t="s">
        <v>38</v>
      </c>
      <c r="Z477" s="388" t="s">
        <v>3230</v>
      </c>
      <c r="AA477" s="388" t="s">
        <v>3230</v>
      </c>
      <c r="AB477" s="136" t="s">
        <v>60</v>
      </c>
      <c r="AC477" s="138">
        <v>100000</v>
      </c>
      <c r="AD477" s="449">
        <v>1</v>
      </c>
      <c r="AE477" s="449">
        <v>1</v>
      </c>
      <c r="AF477">
        <v>101503</v>
      </c>
      <c r="AG477" s="452">
        <v>3</v>
      </c>
    </row>
    <row r="478" spans="1:33" x14ac:dyDescent="0.15">
      <c r="A478" s="132">
        <v>101304</v>
      </c>
      <c r="B478" s="136" t="s">
        <v>2309</v>
      </c>
      <c r="C478" s="136" t="s">
        <v>2309</v>
      </c>
      <c r="D478" s="138" t="s">
        <v>33</v>
      </c>
      <c r="E478" s="138">
        <v>1</v>
      </c>
      <c r="F478" s="136" t="s">
        <v>34</v>
      </c>
      <c r="G478" s="138"/>
      <c r="H478" s="138" t="s">
        <v>295</v>
      </c>
      <c r="I478" s="138">
        <v>5</v>
      </c>
      <c r="J478" s="118">
        <v>5</v>
      </c>
      <c r="K478" s="138">
        <v>0</v>
      </c>
      <c r="L478" s="138">
        <v>3</v>
      </c>
      <c r="M478" s="138">
        <v>5</v>
      </c>
      <c r="N478" s="118" t="s">
        <v>64</v>
      </c>
      <c r="O478" s="136">
        <v>1</v>
      </c>
      <c r="P478" s="447">
        <v>0.8</v>
      </c>
      <c r="Q478" s="138">
        <v>0</v>
      </c>
      <c r="R478" s="138">
        <v>1</v>
      </c>
      <c r="S478" s="138" t="b">
        <v>1</v>
      </c>
      <c r="T478" s="138">
        <v>52</v>
      </c>
      <c r="U478" s="118">
        <v>780</v>
      </c>
      <c r="V478" s="118">
        <v>1040</v>
      </c>
      <c r="W478" s="138">
        <v>0</v>
      </c>
      <c r="X478" s="138">
        <v>4</v>
      </c>
      <c r="Y478" s="138" t="s">
        <v>38</v>
      </c>
      <c r="Z478" s="388" t="s">
        <v>3231</v>
      </c>
      <c r="AA478" s="388" t="s">
        <v>3231</v>
      </c>
      <c r="AB478" s="136" t="s">
        <v>67</v>
      </c>
      <c r="AC478" s="138">
        <v>100000</v>
      </c>
      <c r="AD478" s="449">
        <v>1</v>
      </c>
      <c r="AE478" s="449">
        <v>1</v>
      </c>
      <c r="AF478">
        <v>101304</v>
      </c>
      <c r="AG478" s="452">
        <v>4</v>
      </c>
    </row>
    <row r="479" spans="1:33" x14ac:dyDescent="0.15">
      <c r="A479" s="132">
        <v>101404</v>
      </c>
      <c r="B479" s="136" t="s">
        <v>2313</v>
      </c>
      <c r="C479" s="136" t="s">
        <v>2313</v>
      </c>
      <c r="D479" s="138" t="s">
        <v>33</v>
      </c>
      <c r="E479" s="138">
        <v>1</v>
      </c>
      <c r="F479" s="136" t="s">
        <v>34</v>
      </c>
      <c r="G479" s="138"/>
      <c r="H479" s="138" t="s">
        <v>295</v>
      </c>
      <c r="I479" s="138">
        <v>4</v>
      </c>
      <c r="J479" s="118">
        <v>4</v>
      </c>
      <c r="K479" s="138">
        <v>0</v>
      </c>
      <c r="L479" s="138">
        <v>3</v>
      </c>
      <c r="M479" s="138">
        <v>4</v>
      </c>
      <c r="N479" s="118" t="s">
        <v>64</v>
      </c>
      <c r="O479" s="136">
        <v>99</v>
      </c>
      <c r="P479" s="447">
        <v>0.9</v>
      </c>
      <c r="Q479" s="138">
        <v>0</v>
      </c>
      <c r="R479" s="138">
        <v>1</v>
      </c>
      <c r="S479" s="138" t="b">
        <v>1</v>
      </c>
      <c r="T479" s="138">
        <v>52</v>
      </c>
      <c r="U479" s="118">
        <v>780</v>
      </c>
      <c r="V479" s="118">
        <v>1040</v>
      </c>
      <c r="W479" s="138">
        <v>0</v>
      </c>
      <c r="X479" s="138">
        <v>4</v>
      </c>
      <c r="Y479" s="138" t="s">
        <v>38</v>
      </c>
      <c r="Z479" s="388" t="s">
        <v>3232</v>
      </c>
      <c r="AA479" s="388" t="s">
        <v>3232</v>
      </c>
      <c r="AB479" s="136" t="s">
        <v>74</v>
      </c>
      <c r="AC479" s="138">
        <v>100000</v>
      </c>
      <c r="AD479" s="449">
        <v>1</v>
      </c>
      <c r="AE479" s="449">
        <v>1</v>
      </c>
      <c r="AF479">
        <v>0</v>
      </c>
      <c r="AG479" s="452">
        <v>4</v>
      </c>
    </row>
    <row r="480" spans="1:33" x14ac:dyDescent="0.15">
      <c r="A480" s="132">
        <v>101305</v>
      </c>
      <c r="B480" s="136" t="s">
        <v>2317</v>
      </c>
      <c r="C480" s="136" t="s">
        <v>2317</v>
      </c>
      <c r="D480" s="138" t="s">
        <v>33</v>
      </c>
      <c r="E480" s="138">
        <v>1</v>
      </c>
      <c r="F480" s="136" t="s">
        <v>34</v>
      </c>
      <c r="G480" s="138"/>
      <c r="H480" s="138" t="s">
        <v>295</v>
      </c>
      <c r="I480" s="138">
        <v>4</v>
      </c>
      <c r="J480" s="118">
        <v>4</v>
      </c>
      <c r="K480" s="138">
        <v>0</v>
      </c>
      <c r="L480" s="138">
        <v>3</v>
      </c>
      <c r="M480" s="138">
        <v>4</v>
      </c>
      <c r="N480" s="118" t="s">
        <v>71</v>
      </c>
      <c r="O480" s="136">
        <v>99</v>
      </c>
      <c r="P480" s="447">
        <v>0.9</v>
      </c>
      <c r="Q480" s="138">
        <v>0</v>
      </c>
      <c r="R480" s="138">
        <v>1</v>
      </c>
      <c r="S480" s="138" t="b">
        <v>1</v>
      </c>
      <c r="T480" s="138">
        <v>65</v>
      </c>
      <c r="U480" s="118">
        <v>975</v>
      </c>
      <c r="V480" s="118">
        <v>1300</v>
      </c>
      <c r="W480" s="138">
        <v>0</v>
      </c>
      <c r="X480" s="138">
        <v>5</v>
      </c>
      <c r="Y480" s="138" t="s">
        <v>38</v>
      </c>
      <c r="Z480" s="388" t="s">
        <v>3233</v>
      </c>
      <c r="AA480" s="388" t="s">
        <v>3233</v>
      </c>
      <c r="AB480" s="136" t="s">
        <v>86</v>
      </c>
      <c r="AC480" s="138">
        <v>100000</v>
      </c>
      <c r="AD480" s="449">
        <v>1</v>
      </c>
      <c r="AE480" s="449">
        <v>1</v>
      </c>
      <c r="AF480">
        <v>0</v>
      </c>
      <c r="AG480" s="452">
        <v>5</v>
      </c>
    </row>
    <row r="481" spans="1:33" x14ac:dyDescent="0.15">
      <c r="A481" s="132">
        <v>101405</v>
      </c>
      <c r="B481" s="136" t="s">
        <v>2321</v>
      </c>
      <c r="C481" s="136" t="s">
        <v>2321</v>
      </c>
      <c r="D481" s="138" t="s">
        <v>33</v>
      </c>
      <c r="E481" s="138">
        <v>1</v>
      </c>
      <c r="F481" s="136" t="s">
        <v>34</v>
      </c>
      <c r="G481" s="138"/>
      <c r="H481" s="138" t="s">
        <v>295</v>
      </c>
      <c r="I481" s="138">
        <v>4</v>
      </c>
      <c r="J481" s="118">
        <v>4</v>
      </c>
      <c r="K481" s="138">
        <v>0</v>
      </c>
      <c r="L481" s="138">
        <v>3</v>
      </c>
      <c r="M481" s="138">
        <v>4</v>
      </c>
      <c r="N481" s="118" t="s">
        <v>71</v>
      </c>
      <c r="O481" s="136">
        <v>99</v>
      </c>
      <c r="P481" s="447">
        <v>0.8</v>
      </c>
      <c r="Q481" s="138">
        <v>0</v>
      </c>
      <c r="R481" s="138">
        <v>1</v>
      </c>
      <c r="S481" s="138" t="b">
        <v>1</v>
      </c>
      <c r="T481" s="138">
        <v>65</v>
      </c>
      <c r="U481" s="118">
        <v>975</v>
      </c>
      <c r="V481" s="118">
        <v>1300</v>
      </c>
      <c r="W481" s="138">
        <v>0</v>
      </c>
      <c r="X481" s="138">
        <v>5</v>
      </c>
      <c r="Y481" s="138" t="s">
        <v>38</v>
      </c>
      <c r="Z481" s="388" t="s">
        <v>3234</v>
      </c>
      <c r="AA481" s="388" t="s">
        <v>3234</v>
      </c>
      <c r="AB481" s="136" t="s">
        <v>119</v>
      </c>
      <c r="AC481" s="138">
        <v>100000</v>
      </c>
      <c r="AD481" s="449">
        <v>1</v>
      </c>
      <c r="AE481" s="449">
        <v>1</v>
      </c>
      <c r="AF481">
        <v>0</v>
      </c>
      <c r="AG481" s="452">
        <v>5</v>
      </c>
    </row>
    <row r="482" spans="1:33" x14ac:dyDescent="0.15">
      <c r="A482" s="132">
        <v>101306</v>
      </c>
      <c r="B482" s="136" t="s">
        <v>2325</v>
      </c>
      <c r="C482" s="136" t="s">
        <v>2325</v>
      </c>
      <c r="D482" s="138" t="s">
        <v>33</v>
      </c>
      <c r="E482" s="138">
        <v>1</v>
      </c>
      <c r="F482" s="136" t="s">
        <v>34</v>
      </c>
      <c r="G482" s="138"/>
      <c r="H482" s="138" t="s">
        <v>295</v>
      </c>
      <c r="I482" s="138">
        <v>5</v>
      </c>
      <c r="J482" s="118">
        <v>5</v>
      </c>
      <c r="K482" s="138">
        <v>0</v>
      </c>
      <c r="L482" s="138">
        <v>3</v>
      </c>
      <c r="M482" s="138">
        <v>5</v>
      </c>
      <c r="N482" s="118" t="s">
        <v>77</v>
      </c>
      <c r="O482" s="136">
        <v>50</v>
      </c>
      <c r="P482" s="138">
        <v>0.5</v>
      </c>
      <c r="Q482" s="138">
        <v>0</v>
      </c>
      <c r="R482" s="138">
        <v>1</v>
      </c>
      <c r="S482" s="138" t="b">
        <v>1</v>
      </c>
      <c r="T482" s="138">
        <v>78</v>
      </c>
      <c r="U482" s="118">
        <v>1170</v>
      </c>
      <c r="V482" s="118">
        <v>1560</v>
      </c>
      <c r="W482" s="138">
        <v>0</v>
      </c>
      <c r="X482" s="138">
        <v>6</v>
      </c>
      <c r="Y482" s="138" t="s">
        <v>38</v>
      </c>
      <c r="Z482" s="388" t="s">
        <v>3235</v>
      </c>
      <c r="AA482" s="388" t="s">
        <v>3235</v>
      </c>
      <c r="AB482" s="136" t="s">
        <v>74</v>
      </c>
      <c r="AC482" s="138">
        <v>100000</v>
      </c>
      <c r="AD482" s="449">
        <v>1</v>
      </c>
      <c r="AE482" s="449">
        <v>1</v>
      </c>
      <c r="AF482">
        <v>101306</v>
      </c>
      <c r="AG482" s="452">
        <v>6</v>
      </c>
    </row>
    <row r="483" spans="1:33" x14ac:dyDescent="0.15">
      <c r="A483" s="132">
        <v>101406</v>
      </c>
      <c r="B483" s="136" t="s">
        <v>2329</v>
      </c>
      <c r="C483" s="136" t="s">
        <v>2329</v>
      </c>
      <c r="D483" s="138" t="s">
        <v>33</v>
      </c>
      <c r="E483" s="138">
        <v>1</v>
      </c>
      <c r="F483" s="136" t="s">
        <v>34</v>
      </c>
      <c r="G483" s="138"/>
      <c r="H483" s="138" t="s">
        <v>295</v>
      </c>
      <c r="I483" s="138">
        <v>4</v>
      </c>
      <c r="J483" s="118">
        <v>4</v>
      </c>
      <c r="K483" s="138">
        <v>0</v>
      </c>
      <c r="L483" s="138">
        <v>3</v>
      </c>
      <c r="M483" s="138">
        <v>4</v>
      </c>
      <c r="N483" s="118" t="s">
        <v>77</v>
      </c>
      <c r="O483" s="136">
        <v>99</v>
      </c>
      <c r="P483" s="138">
        <v>0.9</v>
      </c>
      <c r="Q483" s="138">
        <v>0</v>
      </c>
      <c r="R483" s="138">
        <v>1</v>
      </c>
      <c r="S483" s="138" t="b">
        <v>1</v>
      </c>
      <c r="T483" s="138">
        <v>78</v>
      </c>
      <c r="U483" s="118">
        <v>1170</v>
      </c>
      <c r="V483" s="118">
        <v>1560</v>
      </c>
      <c r="W483" s="138">
        <v>0</v>
      </c>
      <c r="X483" s="138">
        <v>6</v>
      </c>
      <c r="Y483" s="138" t="s">
        <v>38</v>
      </c>
      <c r="Z483" s="388" t="s">
        <v>3236</v>
      </c>
      <c r="AA483" s="388" t="s">
        <v>3236</v>
      </c>
      <c r="AB483" s="136" t="s">
        <v>86</v>
      </c>
      <c r="AC483" s="138">
        <v>100000</v>
      </c>
      <c r="AD483" s="449">
        <v>1</v>
      </c>
      <c r="AE483" s="449">
        <v>1</v>
      </c>
      <c r="AF483">
        <v>0</v>
      </c>
      <c r="AG483" s="452">
        <v>6</v>
      </c>
    </row>
    <row r="484" spans="1:33" x14ac:dyDescent="0.15">
      <c r="A484" s="132">
        <v>101407</v>
      </c>
      <c r="B484" s="136" t="s">
        <v>2333</v>
      </c>
      <c r="C484" s="136" t="s">
        <v>2333</v>
      </c>
      <c r="D484" s="138" t="s">
        <v>33</v>
      </c>
      <c r="E484" s="138">
        <v>1</v>
      </c>
      <c r="F484" s="136" t="s">
        <v>34</v>
      </c>
      <c r="G484" s="138"/>
      <c r="H484" s="138" t="s">
        <v>295</v>
      </c>
      <c r="I484" s="138">
        <v>4</v>
      </c>
      <c r="J484" s="118">
        <v>4</v>
      </c>
      <c r="K484" s="138">
        <v>0</v>
      </c>
      <c r="L484" s="138">
        <v>3</v>
      </c>
      <c r="M484" s="138">
        <v>4</v>
      </c>
      <c r="N484" s="118" t="s">
        <v>83</v>
      </c>
      <c r="O484" s="136">
        <v>1</v>
      </c>
      <c r="P484" s="138">
        <v>0.9</v>
      </c>
      <c r="Q484" s="138">
        <v>0</v>
      </c>
      <c r="R484" s="138">
        <v>1</v>
      </c>
      <c r="S484" s="138" t="b">
        <v>1</v>
      </c>
      <c r="T484" s="138">
        <v>91</v>
      </c>
      <c r="U484" s="118">
        <v>1365</v>
      </c>
      <c r="V484" s="118">
        <v>1820</v>
      </c>
      <c r="W484" s="138">
        <v>0</v>
      </c>
      <c r="X484" s="138">
        <v>7</v>
      </c>
      <c r="Y484" s="138" t="s">
        <v>38</v>
      </c>
      <c r="Z484" s="388" t="s">
        <v>3237</v>
      </c>
      <c r="AA484" s="388" t="s">
        <v>3237</v>
      </c>
      <c r="AB484" s="136" t="s">
        <v>80</v>
      </c>
      <c r="AC484" s="138">
        <v>100000</v>
      </c>
      <c r="AD484" s="449">
        <v>1</v>
      </c>
      <c r="AE484" s="449">
        <v>1</v>
      </c>
      <c r="AF484">
        <v>0</v>
      </c>
      <c r="AG484" s="452">
        <v>7</v>
      </c>
    </row>
    <row r="485" spans="1:33" x14ac:dyDescent="0.15">
      <c r="A485" s="132">
        <v>103303</v>
      </c>
      <c r="B485" s="136" t="s">
        <v>2337</v>
      </c>
      <c r="C485" s="136" t="s">
        <v>2337</v>
      </c>
      <c r="D485" s="138" t="s">
        <v>33</v>
      </c>
      <c r="E485" s="138">
        <v>3</v>
      </c>
      <c r="F485" s="136" t="s">
        <v>363</v>
      </c>
      <c r="G485" s="138" t="s">
        <v>376</v>
      </c>
      <c r="H485" s="138" t="s">
        <v>295</v>
      </c>
      <c r="I485" s="138">
        <v>5</v>
      </c>
      <c r="J485" s="118">
        <v>5</v>
      </c>
      <c r="K485" s="138">
        <v>0</v>
      </c>
      <c r="L485" s="138">
        <v>3</v>
      </c>
      <c r="M485" s="138">
        <v>5</v>
      </c>
      <c r="N485" s="118" t="s">
        <v>57</v>
      </c>
      <c r="O485" s="136">
        <v>99</v>
      </c>
      <c r="P485" s="447">
        <v>0.9</v>
      </c>
      <c r="Q485" s="138">
        <v>0</v>
      </c>
      <c r="R485" s="138">
        <v>1</v>
      </c>
      <c r="S485" s="138" t="b">
        <v>1</v>
      </c>
      <c r="T485" s="138">
        <v>39</v>
      </c>
      <c r="U485" s="118">
        <v>585</v>
      </c>
      <c r="V485" s="118">
        <v>780</v>
      </c>
      <c r="W485" s="138">
        <v>0</v>
      </c>
      <c r="X485" s="138">
        <v>3</v>
      </c>
      <c r="Y485" s="138" t="s">
        <v>38</v>
      </c>
      <c r="Z485" s="388" t="s">
        <v>3238</v>
      </c>
      <c r="AA485" s="388" t="s">
        <v>3238</v>
      </c>
      <c r="AB485" s="136" t="s">
        <v>367</v>
      </c>
      <c r="AC485" s="138">
        <v>100000</v>
      </c>
      <c r="AD485" s="449">
        <v>1</v>
      </c>
      <c r="AE485" s="449">
        <v>1</v>
      </c>
      <c r="AF485">
        <v>0</v>
      </c>
      <c r="AG485" s="452">
        <v>3</v>
      </c>
    </row>
    <row r="486" spans="1:33" x14ac:dyDescent="0.15">
      <c r="A486" s="132">
        <v>103304</v>
      </c>
      <c r="B486" s="136" t="s">
        <v>2341</v>
      </c>
      <c r="C486" s="136" t="s">
        <v>2341</v>
      </c>
      <c r="D486" s="138" t="s">
        <v>33</v>
      </c>
      <c r="E486" s="138">
        <v>3</v>
      </c>
      <c r="F486" s="136" t="s">
        <v>363</v>
      </c>
      <c r="G486" s="138" t="s">
        <v>388</v>
      </c>
      <c r="H486" s="138" t="s">
        <v>295</v>
      </c>
      <c r="I486" s="138">
        <v>4</v>
      </c>
      <c r="J486" s="118">
        <v>4</v>
      </c>
      <c r="K486" s="138">
        <v>0</v>
      </c>
      <c r="L486" s="138">
        <v>3</v>
      </c>
      <c r="M486" s="138">
        <v>4</v>
      </c>
      <c r="N486" s="118" t="s">
        <v>64</v>
      </c>
      <c r="O486" s="136">
        <v>50</v>
      </c>
      <c r="P486" s="447">
        <v>0.9</v>
      </c>
      <c r="Q486" s="138">
        <v>0</v>
      </c>
      <c r="R486" s="138">
        <v>1</v>
      </c>
      <c r="S486" s="138" t="b">
        <v>1</v>
      </c>
      <c r="T486" s="138">
        <v>52</v>
      </c>
      <c r="U486" s="118">
        <v>780</v>
      </c>
      <c r="V486" s="118">
        <v>1040</v>
      </c>
      <c r="W486" s="138">
        <v>0</v>
      </c>
      <c r="X486" s="138">
        <v>4</v>
      </c>
      <c r="Y486" s="138" t="s">
        <v>38</v>
      </c>
      <c r="Z486" s="388" t="s">
        <v>3239</v>
      </c>
      <c r="AA486" s="388" t="s">
        <v>3239</v>
      </c>
      <c r="AB486" s="136" t="s">
        <v>373</v>
      </c>
      <c r="AC486" s="138">
        <v>100000</v>
      </c>
      <c r="AD486" s="449">
        <v>1</v>
      </c>
      <c r="AE486" s="449">
        <v>1</v>
      </c>
      <c r="AF486">
        <v>0</v>
      </c>
      <c r="AG486" s="452">
        <v>4</v>
      </c>
    </row>
    <row r="487" spans="1:33" x14ac:dyDescent="0.15">
      <c r="A487" s="132">
        <v>103205</v>
      </c>
      <c r="B487" s="136" t="s">
        <v>2345</v>
      </c>
      <c r="C487" s="136" t="s">
        <v>2345</v>
      </c>
      <c r="D487" s="138" t="s">
        <v>33</v>
      </c>
      <c r="E487" s="138">
        <v>3</v>
      </c>
      <c r="F487" s="136" t="s">
        <v>363</v>
      </c>
      <c r="G487" s="138" t="s">
        <v>370</v>
      </c>
      <c r="H487" s="138" t="s">
        <v>295</v>
      </c>
      <c r="I487" s="138">
        <v>4</v>
      </c>
      <c r="J487" s="118">
        <v>4</v>
      </c>
      <c r="K487" s="138">
        <v>0</v>
      </c>
      <c r="L487" s="138">
        <v>3</v>
      </c>
      <c r="M487" s="138">
        <v>4</v>
      </c>
      <c r="N487" s="118" t="s">
        <v>71</v>
      </c>
      <c r="O487" s="136">
        <v>99</v>
      </c>
      <c r="P487" s="447">
        <v>0.8</v>
      </c>
      <c r="Q487" s="138">
        <v>0</v>
      </c>
      <c r="R487" s="138">
        <v>1</v>
      </c>
      <c r="S487" s="138" t="b">
        <v>1</v>
      </c>
      <c r="T487" s="138">
        <v>65</v>
      </c>
      <c r="U487" s="118">
        <v>975</v>
      </c>
      <c r="V487" s="118">
        <v>1300</v>
      </c>
      <c r="W487" s="138">
        <v>0</v>
      </c>
      <c r="X487" s="138">
        <v>5</v>
      </c>
      <c r="Y487" s="138" t="s">
        <v>38</v>
      </c>
      <c r="Z487" s="388" t="s">
        <v>3240</v>
      </c>
      <c r="AA487" s="388" t="s">
        <v>3240</v>
      </c>
      <c r="AB487" s="136" t="s">
        <v>391</v>
      </c>
      <c r="AC487" s="138">
        <v>100000</v>
      </c>
      <c r="AD487" s="449">
        <v>1</v>
      </c>
      <c r="AE487" s="449">
        <v>1</v>
      </c>
      <c r="AF487">
        <v>0</v>
      </c>
      <c r="AG487" s="452">
        <v>5</v>
      </c>
    </row>
    <row r="488" spans="1:33" x14ac:dyDescent="0.15">
      <c r="A488" s="132">
        <v>103206</v>
      </c>
      <c r="B488" s="136" t="s">
        <v>2349</v>
      </c>
      <c r="C488" s="136" t="s">
        <v>2349</v>
      </c>
      <c r="D488" s="138" t="s">
        <v>33</v>
      </c>
      <c r="E488" s="138">
        <v>3</v>
      </c>
      <c r="F488" s="136" t="s">
        <v>363</v>
      </c>
      <c r="G488" s="138" t="s">
        <v>400</v>
      </c>
      <c r="H488" s="138" t="s">
        <v>295</v>
      </c>
      <c r="I488" s="138">
        <v>6</v>
      </c>
      <c r="J488" s="118">
        <v>6</v>
      </c>
      <c r="K488" s="138">
        <v>0</v>
      </c>
      <c r="L488" s="138">
        <v>3</v>
      </c>
      <c r="M488" s="138">
        <v>6</v>
      </c>
      <c r="N488" s="118" t="s">
        <v>77</v>
      </c>
      <c r="O488" s="136">
        <v>99</v>
      </c>
      <c r="P488" s="447">
        <v>0.9</v>
      </c>
      <c r="Q488" s="138">
        <v>0</v>
      </c>
      <c r="R488" s="138">
        <v>1</v>
      </c>
      <c r="S488" s="138" t="b">
        <v>1</v>
      </c>
      <c r="T488" s="138">
        <v>78</v>
      </c>
      <c r="U488" s="118">
        <v>1170</v>
      </c>
      <c r="V488" s="118">
        <v>1560</v>
      </c>
      <c r="W488" s="138">
        <v>0</v>
      </c>
      <c r="X488" s="138">
        <v>6</v>
      </c>
      <c r="Y488" s="138" t="s">
        <v>38</v>
      </c>
      <c r="Z488" s="388" t="s">
        <v>3241</v>
      </c>
      <c r="AA488" s="388" t="s">
        <v>3241</v>
      </c>
      <c r="AB488" s="136" t="s">
        <v>385</v>
      </c>
      <c r="AC488" s="138">
        <v>100000</v>
      </c>
      <c r="AD488" s="449">
        <v>1</v>
      </c>
      <c r="AE488" s="449">
        <v>1</v>
      </c>
      <c r="AF488">
        <v>103206</v>
      </c>
      <c r="AG488" s="452">
        <v>6</v>
      </c>
    </row>
    <row r="489" spans="1:33" x14ac:dyDescent="0.15">
      <c r="A489" s="132">
        <v>103307</v>
      </c>
      <c r="B489" s="136" t="s">
        <v>2353</v>
      </c>
      <c r="C489" s="136" t="s">
        <v>2353</v>
      </c>
      <c r="D489" s="138" t="s">
        <v>33</v>
      </c>
      <c r="E489" s="138">
        <v>3</v>
      </c>
      <c r="F489" s="136" t="s">
        <v>363</v>
      </c>
      <c r="G489" s="138" t="s">
        <v>382</v>
      </c>
      <c r="H489" s="138" t="s">
        <v>295</v>
      </c>
      <c r="I489" s="138">
        <v>5</v>
      </c>
      <c r="J489" s="118">
        <v>5</v>
      </c>
      <c r="K489" s="138">
        <v>0</v>
      </c>
      <c r="L489" s="138">
        <v>3</v>
      </c>
      <c r="M489" s="138">
        <v>5</v>
      </c>
      <c r="N489" s="118" t="s">
        <v>83</v>
      </c>
      <c r="O489" s="136">
        <v>99</v>
      </c>
      <c r="P489" s="447">
        <v>0.9</v>
      </c>
      <c r="Q489" s="138">
        <v>0</v>
      </c>
      <c r="R489" s="138">
        <v>1</v>
      </c>
      <c r="S489" s="138" t="b">
        <v>1</v>
      </c>
      <c r="T489" s="138">
        <v>91</v>
      </c>
      <c r="U489" s="118">
        <v>1365</v>
      </c>
      <c r="V489" s="118">
        <v>1820</v>
      </c>
      <c r="W489" s="138">
        <v>0</v>
      </c>
      <c r="X489" s="138">
        <v>7</v>
      </c>
      <c r="Y489" s="138" t="s">
        <v>38</v>
      </c>
      <c r="Z489" s="388" t="s">
        <v>3242</v>
      </c>
      <c r="AA489" s="388" t="s">
        <v>3242</v>
      </c>
      <c r="AB489" s="136" t="s">
        <v>403</v>
      </c>
      <c r="AC489" s="138">
        <v>100000</v>
      </c>
      <c r="AD489" s="449">
        <v>1</v>
      </c>
      <c r="AE489" s="449">
        <v>1</v>
      </c>
      <c r="AF489">
        <v>0</v>
      </c>
      <c r="AG489" s="452">
        <v>7</v>
      </c>
    </row>
    <row r="490" spans="1:33" x14ac:dyDescent="0.15">
      <c r="A490" s="132">
        <v>104403</v>
      </c>
      <c r="B490" s="136" t="s">
        <v>2357</v>
      </c>
      <c r="C490" s="136" t="s">
        <v>2357</v>
      </c>
      <c r="D490" s="138" t="s">
        <v>33</v>
      </c>
      <c r="E490" s="138">
        <v>4</v>
      </c>
      <c r="F490" s="136" t="s">
        <v>447</v>
      </c>
      <c r="G490" s="138" t="s">
        <v>541</v>
      </c>
      <c r="H490" s="138" t="s">
        <v>295</v>
      </c>
      <c r="I490" s="138">
        <v>5</v>
      </c>
      <c r="J490" s="118">
        <v>5</v>
      </c>
      <c r="K490" s="138">
        <v>0</v>
      </c>
      <c r="L490" s="138">
        <v>3</v>
      </c>
      <c r="M490" s="138">
        <v>5</v>
      </c>
      <c r="N490" s="118" t="s">
        <v>57</v>
      </c>
      <c r="O490" s="136">
        <v>99</v>
      </c>
      <c r="P490" s="447">
        <v>0.9</v>
      </c>
      <c r="Q490" s="138">
        <v>0</v>
      </c>
      <c r="R490" s="138">
        <v>1</v>
      </c>
      <c r="S490" s="138" t="b">
        <v>1</v>
      </c>
      <c r="T490" s="138">
        <v>39</v>
      </c>
      <c r="U490" s="118">
        <v>585</v>
      </c>
      <c r="V490" s="118">
        <v>780</v>
      </c>
      <c r="W490" s="138">
        <v>0</v>
      </c>
      <c r="X490" s="138">
        <v>3</v>
      </c>
      <c r="Y490" s="138" t="s">
        <v>38</v>
      </c>
      <c r="Z490" s="388" t="s">
        <v>3243</v>
      </c>
      <c r="AA490" s="388" t="s">
        <v>3243</v>
      </c>
      <c r="AB490" s="136" t="s">
        <v>535</v>
      </c>
      <c r="AC490" s="138">
        <v>100000</v>
      </c>
      <c r="AD490" s="449">
        <v>1</v>
      </c>
      <c r="AE490" s="449">
        <v>1</v>
      </c>
      <c r="AF490">
        <v>104403</v>
      </c>
      <c r="AG490" s="452">
        <v>3</v>
      </c>
    </row>
    <row r="491" spans="1:33" x14ac:dyDescent="0.15">
      <c r="A491" s="132">
        <v>104205</v>
      </c>
      <c r="B491" s="136" t="s">
        <v>2361</v>
      </c>
      <c r="C491" s="136" t="s">
        <v>2361</v>
      </c>
      <c r="D491" s="138" t="s">
        <v>33</v>
      </c>
      <c r="E491" s="138">
        <v>4</v>
      </c>
      <c r="F491" s="136" t="s">
        <v>447</v>
      </c>
      <c r="G491" s="138" t="s">
        <v>487</v>
      </c>
      <c r="H491" s="138" t="s">
        <v>295</v>
      </c>
      <c r="I491" s="138">
        <v>5</v>
      </c>
      <c r="J491" s="118">
        <v>5</v>
      </c>
      <c r="K491" s="138">
        <v>0</v>
      </c>
      <c r="L491" s="138">
        <v>3</v>
      </c>
      <c r="M491" s="138">
        <v>5</v>
      </c>
      <c r="N491" s="118" t="s">
        <v>71</v>
      </c>
      <c r="O491" s="136">
        <v>1</v>
      </c>
      <c r="P491" s="138">
        <v>0.8</v>
      </c>
      <c r="Q491" s="138">
        <v>0</v>
      </c>
      <c r="R491" s="138">
        <v>1</v>
      </c>
      <c r="S491" s="138" t="b">
        <v>1</v>
      </c>
      <c r="T491" s="138">
        <v>65</v>
      </c>
      <c r="U491" s="118">
        <v>975</v>
      </c>
      <c r="V491" s="118">
        <v>1300</v>
      </c>
      <c r="W491" s="138">
        <v>0</v>
      </c>
      <c r="X491" s="138">
        <v>5</v>
      </c>
      <c r="Y491" s="138" t="s">
        <v>38</v>
      </c>
      <c r="Z491" s="388" t="s">
        <v>3244</v>
      </c>
      <c r="AA491" s="388" t="s">
        <v>3244</v>
      </c>
      <c r="AB491" s="136" t="s">
        <v>472</v>
      </c>
      <c r="AC491" s="138">
        <v>100000</v>
      </c>
      <c r="AD491" s="449">
        <v>1</v>
      </c>
      <c r="AE491" s="449">
        <v>1</v>
      </c>
      <c r="AF491">
        <v>104205</v>
      </c>
      <c r="AG491" s="452">
        <v>5</v>
      </c>
    </row>
    <row r="492" spans="1:33" x14ac:dyDescent="0.15">
      <c r="A492" s="132">
        <v>104206</v>
      </c>
      <c r="B492" s="136" t="s">
        <v>2365</v>
      </c>
      <c r="C492" s="136" t="s">
        <v>2365</v>
      </c>
      <c r="D492" s="138" t="s">
        <v>33</v>
      </c>
      <c r="E492" s="138">
        <v>4</v>
      </c>
      <c r="F492" s="136" t="s">
        <v>447</v>
      </c>
      <c r="G492" s="138" t="s">
        <v>547</v>
      </c>
      <c r="H492" s="138" t="s">
        <v>295</v>
      </c>
      <c r="I492" s="138">
        <v>4</v>
      </c>
      <c r="J492" s="118">
        <v>4</v>
      </c>
      <c r="K492" s="138">
        <v>0</v>
      </c>
      <c r="L492" s="138">
        <v>3</v>
      </c>
      <c r="M492" s="138">
        <v>4</v>
      </c>
      <c r="N492" s="118" t="s">
        <v>77</v>
      </c>
      <c r="O492" s="136">
        <v>99</v>
      </c>
      <c r="P492" s="447">
        <v>0.8</v>
      </c>
      <c r="Q492" s="138">
        <v>0</v>
      </c>
      <c r="R492" s="138">
        <v>1</v>
      </c>
      <c r="S492" s="138" t="b">
        <v>1</v>
      </c>
      <c r="T492" s="138">
        <v>78</v>
      </c>
      <c r="U492" s="118">
        <v>1170</v>
      </c>
      <c r="V492" s="118">
        <v>1560</v>
      </c>
      <c r="W492" s="138">
        <v>0</v>
      </c>
      <c r="X492" s="138">
        <v>6</v>
      </c>
      <c r="Y492" s="138" t="s">
        <v>38</v>
      </c>
      <c r="Z492" s="388" t="s">
        <v>3245</v>
      </c>
      <c r="AA492" s="388" t="s">
        <v>3245</v>
      </c>
      <c r="AB492" s="136" t="s">
        <v>556</v>
      </c>
      <c r="AC492" s="138">
        <v>100000</v>
      </c>
      <c r="AD492" s="449">
        <v>1</v>
      </c>
      <c r="AE492" s="449">
        <v>1</v>
      </c>
      <c r="AF492">
        <v>0</v>
      </c>
      <c r="AG492" s="452">
        <v>6</v>
      </c>
    </row>
    <row r="493" spans="1:33" x14ac:dyDescent="0.15">
      <c r="A493" s="132">
        <v>104407</v>
      </c>
      <c r="B493" s="136" t="s">
        <v>2369</v>
      </c>
      <c r="C493" s="136" t="s">
        <v>2369</v>
      </c>
      <c r="D493" s="138" t="s">
        <v>33</v>
      </c>
      <c r="E493" s="138">
        <v>4</v>
      </c>
      <c r="F493" s="136" t="s">
        <v>447</v>
      </c>
      <c r="G493" s="138" t="s">
        <v>553</v>
      </c>
      <c r="H493" s="138" t="s">
        <v>295</v>
      </c>
      <c r="I493" s="138">
        <v>5</v>
      </c>
      <c r="J493" s="118">
        <v>5</v>
      </c>
      <c r="K493" s="138">
        <v>0</v>
      </c>
      <c r="L493" s="138">
        <v>3</v>
      </c>
      <c r="M493" s="138">
        <v>5</v>
      </c>
      <c r="N493" s="118" t="s">
        <v>83</v>
      </c>
      <c r="O493" s="136">
        <v>99</v>
      </c>
      <c r="P493" s="447">
        <v>0.8</v>
      </c>
      <c r="Q493" s="138">
        <v>0</v>
      </c>
      <c r="R493" s="138">
        <v>1</v>
      </c>
      <c r="S493" s="138" t="b">
        <v>1</v>
      </c>
      <c r="T493" s="138">
        <v>91</v>
      </c>
      <c r="U493" s="118">
        <v>1365</v>
      </c>
      <c r="V493" s="118">
        <v>1820</v>
      </c>
      <c r="W493" s="138">
        <v>0</v>
      </c>
      <c r="X493" s="138">
        <v>7</v>
      </c>
      <c r="Y493" s="138" t="s">
        <v>38</v>
      </c>
      <c r="Z493" s="388" t="s">
        <v>3246</v>
      </c>
      <c r="AA493" s="388" t="s">
        <v>3246</v>
      </c>
      <c r="AB493" s="136" t="s">
        <v>562</v>
      </c>
      <c r="AC493" s="138">
        <v>100000</v>
      </c>
      <c r="AD493" s="449">
        <v>1</v>
      </c>
      <c r="AE493" s="449">
        <v>1</v>
      </c>
      <c r="AF493">
        <v>0</v>
      </c>
      <c r="AG493" s="452">
        <v>7</v>
      </c>
    </row>
    <row r="494" spans="1:33" x14ac:dyDescent="0.15">
      <c r="A494" s="132">
        <v>105303</v>
      </c>
      <c r="B494" s="136" t="s">
        <v>2373</v>
      </c>
      <c r="C494" s="136" t="s">
        <v>2373</v>
      </c>
      <c r="D494" s="138" t="s">
        <v>33</v>
      </c>
      <c r="E494" s="138">
        <v>5</v>
      </c>
      <c r="F494" s="136" t="s">
        <v>631</v>
      </c>
      <c r="G494" s="138" t="s">
        <v>632</v>
      </c>
      <c r="H494" s="138" t="s">
        <v>295</v>
      </c>
      <c r="I494" s="138">
        <v>3</v>
      </c>
      <c r="J494" s="118">
        <v>3</v>
      </c>
      <c r="K494" s="138">
        <v>0</v>
      </c>
      <c r="L494" s="138">
        <v>3</v>
      </c>
      <c r="M494" s="138">
        <v>3</v>
      </c>
      <c r="N494" s="118" t="s">
        <v>57</v>
      </c>
      <c r="O494" s="136">
        <v>1</v>
      </c>
      <c r="P494" s="138">
        <v>0.7</v>
      </c>
      <c r="Q494" s="138">
        <v>0</v>
      </c>
      <c r="R494" s="138">
        <v>1</v>
      </c>
      <c r="S494" s="138" t="b">
        <v>1</v>
      </c>
      <c r="T494" s="138">
        <v>39</v>
      </c>
      <c r="U494" s="118">
        <v>585</v>
      </c>
      <c r="V494" s="118">
        <v>780</v>
      </c>
      <c r="W494" s="138">
        <v>0</v>
      </c>
      <c r="X494" s="138">
        <v>3</v>
      </c>
      <c r="Y494" s="138" t="s">
        <v>38</v>
      </c>
      <c r="Z494" s="388" t="s">
        <v>3247</v>
      </c>
      <c r="AA494" s="388" t="s">
        <v>3247</v>
      </c>
      <c r="AB494" s="136" t="s">
        <v>635</v>
      </c>
      <c r="AC494" s="138">
        <v>100000</v>
      </c>
      <c r="AD494" s="449">
        <v>1</v>
      </c>
      <c r="AE494" s="449">
        <v>1</v>
      </c>
      <c r="AF494">
        <v>0</v>
      </c>
      <c r="AG494" s="452">
        <v>3</v>
      </c>
    </row>
    <row r="495" spans="1:33" x14ac:dyDescent="0.15">
      <c r="A495" s="132">
        <v>105404</v>
      </c>
      <c r="B495" s="136" t="s">
        <v>2377</v>
      </c>
      <c r="C495" s="136" t="s">
        <v>2377</v>
      </c>
      <c r="D495" s="138" t="s">
        <v>33</v>
      </c>
      <c r="E495" s="138">
        <v>5</v>
      </c>
      <c r="F495" s="136" t="s">
        <v>631</v>
      </c>
      <c r="G495" s="138" t="s">
        <v>2378</v>
      </c>
      <c r="H495" s="138" t="s">
        <v>611</v>
      </c>
      <c r="I495" s="138">
        <v>3</v>
      </c>
      <c r="J495" s="118">
        <v>3</v>
      </c>
      <c r="K495" s="138">
        <v>0</v>
      </c>
      <c r="L495" s="138">
        <v>3</v>
      </c>
      <c r="M495" s="138">
        <v>3</v>
      </c>
      <c r="N495" s="118" t="s">
        <v>64</v>
      </c>
      <c r="O495" s="136">
        <v>1</v>
      </c>
      <c r="P495" s="138">
        <v>0.8</v>
      </c>
      <c r="Q495" s="138">
        <v>0</v>
      </c>
      <c r="R495" s="138">
        <v>1</v>
      </c>
      <c r="S495" s="138" t="b">
        <v>1</v>
      </c>
      <c r="T495" s="138">
        <v>52</v>
      </c>
      <c r="U495" s="118">
        <v>780</v>
      </c>
      <c r="V495" s="118">
        <v>1040</v>
      </c>
      <c r="W495" s="138">
        <v>0</v>
      </c>
      <c r="X495" s="138">
        <v>4</v>
      </c>
      <c r="Y495" s="138" t="s">
        <v>38</v>
      </c>
      <c r="Z495" s="388" t="s">
        <v>3248</v>
      </c>
      <c r="AA495" s="388" t="s">
        <v>3248</v>
      </c>
      <c r="AB495" s="136" t="s">
        <v>2381</v>
      </c>
      <c r="AC495" s="138">
        <v>100000</v>
      </c>
      <c r="AD495" s="449">
        <v>1</v>
      </c>
      <c r="AE495" s="449">
        <v>1</v>
      </c>
      <c r="AF495">
        <v>105404</v>
      </c>
      <c r="AG495" s="452">
        <v>4</v>
      </c>
    </row>
    <row r="496" spans="1:33" x14ac:dyDescent="0.15">
      <c r="A496" s="132">
        <v>105305</v>
      </c>
      <c r="B496" s="136" t="s">
        <v>2383</v>
      </c>
      <c r="C496" s="136" t="s">
        <v>2383</v>
      </c>
      <c r="D496" s="138" t="s">
        <v>33</v>
      </c>
      <c r="E496" s="138">
        <v>5</v>
      </c>
      <c r="F496" s="136" t="s">
        <v>631</v>
      </c>
      <c r="G496" s="138" t="s">
        <v>674</v>
      </c>
      <c r="H496" s="138" t="s">
        <v>295</v>
      </c>
      <c r="I496" s="138">
        <v>4</v>
      </c>
      <c r="J496" s="118">
        <v>4</v>
      </c>
      <c r="K496" s="138">
        <v>0</v>
      </c>
      <c r="L496" s="138">
        <v>3</v>
      </c>
      <c r="M496" s="138">
        <v>4</v>
      </c>
      <c r="N496" s="118" t="s">
        <v>71</v>
      </c>
      <c r="O496" s="136">
        <v>1</v>
      </c>
      <c r="P496" s="138">
        <v>0.8</v>
      </c>
      <c r="Q496" s="138">
        <v>0</v>
      </c>
      <c r="R496" s="138">
        <v>1</v>
      </c>
      <c r="S496" s="138" t="b">
        <v>1</v>
      </c>
      <c r="T496" s="138">
        <v>65</v>
      </c>
      <c r="U496" s="118">
        <v>975</v>
      </c>
      <c r="V496" s="118">
        <v>1300</v>
      </c>
      <c r="W496" s="138">
        <v>0</v>
      </c>
      <c r="X496" s="138">
        <v>5</v>
      </c>
      <c r="Y496" s="138" t="s">
        <v>38</v>
      </c>
      <c r="Z496" s="388" t="s">
        <v>3249</v>
      </c>
      <c r="AA496" s="388" t="s">
        <v>3249</v>
      </c>
      <c r="AB496" s="136" t="s">
        <v>665</v>
      </c>
      <c r="AC496" s="138">
        <v>100000</v>
      </c>
      <c r="AD496" s="449">
        <v>1</v>
      </c>
      <c r="AE496" s="449">
        <v>1</v>
      </c>
      <c r="AF496">
        <v>0</v>
      </c>
      <c r="AG496" s="452">
        <v>5</v>
      </c>
    </row>
    <row r="497" spans="1:33" x14ac:dyDescent="0.15">
      <c r="A497" s="132">
        <v>105407</v>
      </c>
      <c r="B497" s="136" t="s">
        <v>2387</v>
      </c>
      <c r="C497" s="136" t="s">
        <v>2387</v>
      </c>
      <c r="D497" s="138" t="s">
        <v>33</v>
      </c>
      <c r="E497" s="138">
        <v>5</v>
      </c>
      <c r="F497" s="136" t="s">
        <v>631</v>
      </c>
      <c r="G497" s="138" t="s">
        <v>2388</v>
      </c>
      <c r="H497" s="138" t="s">
        <v>611</v>
      </c>
      <c r="I497" s="138">
        <v>6</v>
      </c>
      <c r="J497" s="118">
        <v>6</v>
      </c>
      <c r="K497" s="138">
        <v>0</v>
      </c>
      <c r="L497" s="138">
        <v>3</v>
      </c>
      <c r="M497" s="138">
        <v>6</v>
      </c>
      <c r="N497" s="118" t="s">
        <v>83</v>
      </c>
      <c r="O497" s="136">
        <v>1</v>
      </c>
      <c r="P497" s="138">
        <v>0.8</v>
      </c>
      <c r="Q497" s="138">
        <v>0</v>
      </c>
      <c r="R497" s="138">
        <v>1</v>
      </c>
      <c r="S497" s="138" t="b">
        <v>1</v>
      </c>
      <c r="T497" s="138">
        <v>91</v>
      </c>
      <c r="U497" s="118">
        <v>1365</v>
      </c>
      <c r="V497" s="118">
        <v>1820</v>
      </c>
      <c r="W497" s="138">
        <v>0</v>
      </c>
      <c r="X497" s="138">
        <v>7</v>
      </c>
      <c r="Y497" s="138" t="s">
        <v>38</v>
      </c>
      <c r="Z497" s="388" t="s">
        <v>3250</v>
      </c>
      <c r="AA497" s="388" t="s">
        <v>3250</v>
      </c>
      <c r="AB497" s="136" t="s">
        <v>2391</v>
      </c>
      <c r="AC497" s="138">
        <v>100000</v>
      </c>
      <c r="AD497" s="449">
        <v>1</v>
      </c>
      <c r="AE497" s="449">
        <v>1</v>
      </c>
      <c r="AF497">
        <v>105407</v>
      </c>
      <c r="AG497" s="452">
        <v>7</v>
      </c>
    </row>
    <row r="498" spans="1:33" x14ac:dyDescent="0.15">
      <c r="A498" s="132">
        <v>106303</v>
      </c>
      <c r="B498" s="136" t="s">
        <v>2393</v>
      </c>
      <c r="C498" s="136" t="s">
        <v>2393</v>
      </c>
      <c r="D498" s="138" t="s">
        <v>33</v>
      </c>
      <c r="E498" s="138">
        <v>6</v>
      </c>
      <c r="F498" s="136" t="s">
        <v>727</v>
      </c>
      <c r="G498" s="138" t="s">
        <v>758</v>
      </c>
      <c r="H498" s="138" t="s">
        <v>295</v>
      </c>
      <c r="I498" s="138">
        <v>3</v>
      </c>
      <c r="J498" s="118">
        <v>3</v>
      </c>
      <c r="K498" s="138">
        <v>0</v>
      </c>
      <c r="L498" s="138">
        <v>3</v>
      </c>
      <c r="M498" s="138">
        <v>3</v>
      </c>
      <c r="N498" s="118" t="s">
        <v>57</v>
      </c>
      <c r="O498" s="136">
        <v>1</v>
      </c>
      <c r="P498" s="447">
        <v>0.7</v>
      </c>
      <c r="Q498" s="138">
        <v>0</v>
      </c>
      <c r="R498" s="138">
        <v>1</v>
      </c>
      <c r="S498" s="138" t="b">
        <v>1</v>
      </c>
      <c r="T498" s="138">
        <v>39</v>
      </c>
      <c r="U498" s="118">
        <v>585</v>
      </c>
      <c r="V498" s="118">
        <v>780</v>
      </c>
      <c r="W498" s="138">
        <v>0</v>
      </c>
      <c r="X498" s="138">
        <v>3</v>
      </c>
      <c r="Y498" s="138" t="s">
        <v>38</v>
      </c>
      <c r="Z498" s="388" t="s">
        <v>3251</v>
      </c>
      <c r="AA498" s="388" t="s">
        <v>3251</v>
      </c>
      <c r="AB498" s="136" t="s">
        <v>809</v>
      </c>
      <c r="AC498" s="138">
        <v>100000</v>
      </c>
      <c r="AD498" s="449">
        <v>1</v>
      </c>
      <c r="AE498" s="449">
        <v>1</v>
      </c>
      <c r="AF498">
        <v>106303</v>
      </c>
      <c r="AG498" s="452">
        <v>3</v>
      </c>
    </row>
    <row r="499" spans="1:33" x14ac:dyDescent="0.15">
      <c r="A499" s="132">
        <v>106304</v>
      </c>
      <c r="B499" s="136" t="s">
        <v>1944</v>
      </c>
      <c r="C499" s="136" t="s">
        <v>1944</v>
      </c>
      <c r="D499" s="138" t="s">
        <v>33</v>
      </c>
      <c r="E499" s="138">
        <v>6</v>
      </c>
      <c r="F499" s="136" t="s">
        <v>727</v>
      </c>
      <c r="G499" s="138" t="s">
        <v>746</v>
      </c>
      <c r="H499" s="138" t="s">
        <v>295</v>
      </c>
      <c r="I499" s="138">
        <v>5</v>
      </c>
      <c r="J499" s="118">
        <v>5</v>
      </c>
      <c r="K499" s="138">
        <v>0</v>
      </c>
      <c r="L499" s="138">
        <v>3</v>
      </c>
      <c r="M499" s="138">
        <v>5</v>
      </c>
      <c r="N499" s="118" t="s">
        <v>64</v>
      </c>
      <c r="O499" s="136">
        <v>1</v>
      </c>
      <c r="P499" s="447">
        <v>0.7</v>
      </c>
      <c r="Q499" s="138">
        <v>0</v>
      </c>
      <c r="R499" s="138">
        <v>1</v>
      </c>
      <c r="S499" s="138" t="b">
        <v>1</v>
      </c>
      <c r="T499" s="138">
        <v>52</v>
      </c>
      <c r="U499" s="118">
        <v>780</v>
      </c>
      <c r="V499" s="118">
        <v>1040</v>
      </c>
      <c r="W499" s="138">
        <v>0</v>
      </c>
      <c r="X499" s="138">
        <v>4</v>
      </c>
      <c r="Y499" s="138" t="s">
        <v>38</v>
      </c>
      <c r="Z499" s="388" t="s">
        <v>3252</v>
      </c>
      <c r="AA499" s="388" t="s">
        <v>3252</v>
      </c>
      <c r="AB499" s="136" t="s">
        <v>749</v>
      </c>
      <c r="AC499" s="138">
        <v>100000</v>
      </c>
      <c r="AD499" s="449">
        <v>1</v>
      </c>
      <c r="AE499" s="449">
        <v>1</v>
      </c>
      <c r="AF499">
        <v>0</v>
      </c>
      <c r="AG499" s="452">
        <v>4</v>
      </c>
    </row>
    <row r="500" spans="1:33" x14ac:dyDescent="0.15">
      <c r="A500" s="132">
        <v>106205</v>
      </c>
      <c r="B500" s="136" t="s">
        <v>2400</v>
      </c>
      <c r="C500" s="136" t="s">
        <v>2400</v>
      </c>
      <c r="D500" s="138" t="s">
        <v>33</v>
      </c>
      <c r="E500" s="138">
        <v>6</v>
      </c>
      <c r="F500" s="136" t="s">
        <v>727</v>
      </c>
      <c r="G500" s="138" t="s">
        <v>2227</v>
      </c>
      <c r="H500" s="138" t="s">
        <v>611</v>
      </c>
      <c r="I500" s="138">
        <v>6</v>
      </c>
      <c r="J500" s="118">
        <v>6</v>
      </c>
      <c r="K500" s="138">
        <v>0</v>
      </c>
      <c r="L500" s="138">
        <v>3</v>
      </c>
      <c r="M500" s="138">
        <v>6</v>
      </c>
      <c r="N500" s="118" t="s">
        <v>71</v>
      </c>
      <c r="O500" s="136">
        <v>1</v>
      </c>
      <c r="P500" s="447">
        <v>0.7</v>
      </c>
      <c r="Q500" s="138">
        <v>0</v>
      </c>
      <c r="R500" s="138">
        <v>1</v>
      </c>
      <c r="S500" s="138" t="b">
        <v>1</v>
      </c>
      <c r="T500" s="138">
        <v>65</v>
      </c>
      <c r="U500" s="118">
        <v>975</v>
      </c>
      <c r="V500" s="118">
        <v>1300</v>
      </c>
      <c r="W500" s="138">
        <v>0</v>
      </c>
      <c r="X500" s="138">
        <v>5</v>
      </c>
      <c r="Y500" s="138" t="s">
        <v>38</v>
      </c>
      <c r="Z500" s="388" t="s">
        <v>3253</v>
      </c>
      <c r="AA500" s="388" t="s">
        <v>3253</v>
      </c>
      <c r="AB500" s="136" t="s">
        <v>2403</v>
      </c>
      <c r="AC500" s="138">
        <v>100000</v>
      </c>
      <c r="AD500" s="449">
        <v>1</v>
      </c>
      <c r="AE500" s="449">
        <v>1</v>
      </c>
      <c r="AF500">
        <v>106205</v>
      </c>
      <c r="AG500" s="452">
        <v>5</v>
      </c>
    </row>
    <row r="501" spans="1:33" x14ac:dyDescent="0.15">
      <c r="A501" s="132">
        <v>106206</v>
      </c>
      <c r="B501" s="136" t="s">
        <v>2405</v>
      </c>
      <c r="C501" s="136" t="s">
        <v>2405</v>
      </c>
      <c r="D501" s="138" t="s">
        <v>33</v>
      </c>
      <c r="E501" s="138">
        <v>6</v>
      </c>
      <c r="F501" s="136" t="s">
        <v>727</v>
      </c>
      <c r="G501" s="138" t="s">
        <v>758</v>
      </c>
      <c r="H501" s="138" t="s">
        <v>295</v>
      </c>
      <c r="I501" s="138">
        <v>5</v>
      </c>
      <c r="J501" s="118">
        <v>5</v>
      </c>
      <c r="K501" s="138">
        <v>0</v>
      </c>
      <c r="L501" s="138">
        <v>3</v>
      </c>
      <c r="M501" s="138">
        <v>5</v>
      </c>
      <c r="N501" s="118" t="s">
        <v>77</v>
      </c>
      <c r="O501" s="136">
        <v>1</v>
      </c>
      <c r="P501" s="447">
        <v>0.7</v>
      </c>
      <c r="Q501" s="138">
        <v>0</v>
      </c>
      <c r="R501" s="138">
        <v>1</v>
      </c>
      <c r="S501" s="138" t="b">
        <v>1</v>
      </c>
      <c r="T501" s="138">
        <v>78</v>
      </c>
      <c r="U501" s="118">
        <v>1170</v>
      </c>
      <c r="V501" s="118">
        <v>1560</v>
      </c>
      <c r="W501" s="138">
        <v>0</v>
      </c>
      <c r="X501" s="138">
        <v>6</v>
      </c>
      <c r="Y501" s="138" t="s">
        <v>38</v>
      </c>
      <c r="Z501" s="388" t="s">
        <v>3254</v>
      </c>
      <c r="AA501" s="388" t="s">
        <v>3254</v>
      </c>
      <c r="AB501" s="136" t="s">
        <v>761</v>
      </c>
      <c r="AC501" s="138">
        <v>100000</v>
      </c>
      <c r="AD501" s="449">
        <v>1</v>
      </c>
      <c r="AE501" s="449">
        <v>1</v>
      </c>
      <c r="AF501">
        <v>0</v>
      </c>
      <c r="AG501" s="452">
        <v>6</v>
      </c>
    </row>
    <row r="502" spans="1:33" x14ac:dyDescent="0.15">
      <c r="A502" s="132">
        <v>106307</v>
      </c>
      <c r="B502" s="136" t="s">
        <v>2409</v>
      </c>
      <c r="C502" s="136" t="s">
        <v>2409</v>
      </c>
      <c r="D502" s="138" t="s">
        <v>33</v>
      </c>
      <c r="E502" s="138">
        <v>6</v>
      </c>
      <c r="F502" s="136" t="s">
        <v>727</v>
      </c>
      <c r="G502" s="138" t="s">
        <v>764</v>
      </c>
      <c r="H502" s="138" t="s">
        <v>295</v>
      </c>
      <c r="I502" s="138">
        <v>5</v>
      </c>
      <c r="J502" s="118">
        <v>5</v>
      </c>
      <c r="K502" s="138">
        <v>0</v>
      </c>
      <c r="L502" s="138">
        <v>3</v>
      </c>
      <c r="M502" s="138">
        <v>5</v>
      </c>
      <c r="N502" s="118" t="s">
        <v>83</v>
      </c>
      <c r="O502" s="136">
        <v>1</v>
      </c>
      <c r="P502" s="447">
        <v>0.7</v>
      </c>
      <c r="Q502" s="138">
        <v>0</v>
      </c>
      <c r="R502" s="138">
        <v>1</v>
      </c>
      <c r="S502" s="138" t="b">
        <v>1</v>
      </c>
      <c r="T502" s="138">
        <v>91</v>
      </c>
      <c r="U502" s="118">
        <v>1365</v>
      </c>
      <c r="V502" s="118">
        <v>1820</v>
      </c>
      <c r="W502" s="138">
        <v>0</v>
      </c>
      <c r="X502" s="138">
        <v>7</v>
      </c>
      <c r="Y502" s="138" t="s">
        <v>38</v>
      </c>
      <c r="Z502" s="388" t="s">
        <v>3255</v>
      </c>
      <c r="AA502" s="388" t="s">
        <v>3255</v>
      </c>
      <c r="AB502" s="136" t="s">
        <v>767</v>
      </c>
      <c r="AC502" s="138">
        <v>100000</v>
      </c>
      <c r="AD502" s="449">
        <v>1</v>
      </c>
      <c r="AE502" s="449">
        <v>1</v>
      </c>
      <c r="AF502">
        <v>106307</v>
      </c>
      <c r="AG502" s="452">
        <v>7</v>
      </c>
    </row>
    <row r="503" spans="1:33" x14ac:dyDescent="0.15">
      <c r="A503" s="132">
        <v>109303</v>
      </c>
      <c r="B503" s="136" t="s">
        <v>2413</v>
      </c>
      <c r="C503" s="136" t="s">
        <v>2413</v>
      </c>
      <c r="D503" s="138" t="s">
        <v>33</v>
      </c>
      <c r="E503" s="138">
        <v>9</v>
      </c>
      <c r="F503" s="136" t="s">
        <v>812</v>
      </c>
      <c r="G503" s="138"/>
      <c r="H503" s="138" t="s">
        <v>295</v>
      </c>
      <c r="I503" s="138">
        <v>4</v>
      </c>
      <c r="J503" s="118">
        <v>4</v>
      </c>
      <c r="K503" s="138">
        <v>0</v>
      </c>
      <c r="L503" s="138">
        <v>3</v>
      </c>
      <c r="M503" s="138">
        <v>4</v>
      </c>
      <c r="N503" s="118" t="s">
        <v>57</v>
      </c>
      <c r="O503" s="136">
        <v>99</v>
      </c>
      <c r="P503" s="447">
        <v>0.9</v>
      </c>
      <c r="Q503" s="138">
        <v>0</v>
      </c>
      <c r="R503" s="138">
        <v>1</v>
      </c>
      <c r="S503" s="138" t="b">
        <v>1</v>
      </c>
      <c r="T503" s="138">
        <v>39</v>
      </c>
      <c r="U503" s="118">
        <v>585</v>
      </c>
      <c r="V503" s="118">
        <v>780</v>
      </c>
      <c r="W503" s="138">
        <v>0</v>
      </c>
      <c r="X503" s="138">
        <v>3</v>
      </c>
      <c r="Y503" s="138" t="s">
        <v>38</v>
      </c>
      <c r="Z503" s="388" t="s">
        <v>3256</v>
      </c>
      <c r="AA503" s="388" t="s">
        <v>3256</v>
      </c>
      <c r="AB503" s="136" t="s">
        <v>825</v>
      </c>
      <c r="AC503" s="138">
        <v>100000</v>
      </c>
      <c r="AD503" s="449">
        <v>1</v>
      </c>
      <c r="AE503" s="449">
        <v>1</v>
      </c>
      <c r="AF503">
        <v>0</v>
      </c>
      <c r="AG503" s="452">
        <v>3</v>
      </c>
    </row>
    <row r="504" spans="1:33" x14ac:dyDescent="0.15">
      <c r="A504" s="132">
        <v>109304</v>
      </c>
      <c r="B504" s="136" t="s">
        <v>2417</v>
      </c>
      <c r="C504" s="136" t="s">
        <v>2417</v>
      </c>
      <c r="D504" s="138" t="s">
        <v>33</v>
      </c>
      <c r="E504" s="138">
        <v>9</v>
      </c>
      <c r="F504" s="136" t="s">
        <v>812</v>
      </c>
      <c r="G504" s="138"/>
      <c r="H504" s="138" t="s">
        <v>295</v>
      </c>
      <c r="I504" s="138">
        <v>4</v>
      </c>
      <c r="J504" s="118">
        <v>4</v>
      </c>
      <c r="K504" s="138">
        <v>0</v>
      </c>
      <c r="L504" s="138">
        <v>3</v>
      </c>
      <c r="M504" s="138">
        <v>4</v>
      </c>
      <c r="N504" s="118" t="s">
        <v>64</v>
      </c>
      <c r="O504" s="136">
        <v>99</v>
      </c>
      <c r="P504" s="447">
        <v>0.8</v>
      </c>
      <c r="Q504" s="138">
        <v>0</v>
      </c>
      <c r="R504" s="138">
        <v>1</v>
      </c>
      <c r="S504" s="138" t="b">
        <v>1</v>
      </c>
      <c r="T504" s="138">
        <v>52</v>
      </c>
      <c r="U504" s="118">
        <v>780</v>
      </c>
      <c r="V504" s="118">
        <v>1040</v>
      </c>
      <c r="W504" s="138">
        <v>0</v>
      </c>
      <c r="X504" s="138">
        <v>4</v>
      </c>
      <c r="Y504" s="138" t="s">
        <v>38</v>
      </c>
      <c r="Z504" s="388" t="s">
        <v>3257</v>
      </c>
      <c r="AA504" s="388" t="s">
        <v>3257</v>
      </c>
      <c r="AB504" s="136" t="s">
        <v>840</v>
      </c>
      <c r="AC504" s="138">
        <v>100000</v>
      </c>
      <c r="AD504" s="449">
        <v>1</v>
      </c>
      <c r="AE504" s="449">
        <v>1</v>
      </c>
      <c r="AF504">
        <v>109304</v>
      </c>
      <c r="AG504" s="452">
        <v>4</v>
      </c>
    </row>
    <row r="505" spans="1:33" x14ac:dyDescent="0.15">
      <c r="A505" s="132">
        <v>109205</v>
      </c>
      <c r="B505" s="136" t="s">
        <v>2421</v>
      </c>
      <c r="C505" s="136" t="s">
        <v>2421</v>
      </c>
      <c r="D505" s="138" t="s">
        <v>33</v>
      </c>
      <c r="E505" s="138">
        <v>9</v>
      </c>
      <c r="F505" s="136" t="s">
        <v>812</v>
      </c>
      <c r="G505" s="138"/>
      <c r="H505" s="138" t="s">
        <v>295</v>
      </c>
      <c r="I505" s="138">
        <v>5</v>
      </c>
      <c r="J505" s="118">
        <v>5</v>
      </c>
      <c r="K505" s="138">
        <v>0</v>
      </c>
      <c r="L505" s="138">
        <v>3</v>
      </c>
      <c r="M505" s="138">
        <v>5</v>
      </c>
      <c r="N505" s="118" t="s">
        <v>71</v>
      </c>
      <c r="O505" s="136">
        <v>99</v>
      </c>
      <c r="P505" s="447">
        <v>0.9</v>
      </c>
      <c r="Q505" s="138">
        <v>0</v>
      </c>
      <c r="R505" s="138">
        <v>1</v>
      </c>
      <c r="S505" s="138" t="b">
        <v>1</v>
      </c>
      <c r="T505" s="138">
        <v>65</v>
      </c>
      <c r="U505" s="118">
        <v>975</v>
      </c>
      <c r="V505" s="118">
        <v>1300</v>
      </c>
      <c r="W505" s="138">
        <v>0</v>
      </c>
      <c r="X505" s="138">
        <v>5</v>
      </c>
      <c r="Y505" s="138" t="s">
        <v>38</v>
      </c>
      <c r="Z505" s="388" t="s">
        <v>3258</v>
      </c>
      <c r="AA505" s="388" t="s">
        <v>3258</v>
      </c>
      <c r="AB505" s="136" t="s">
        <v>830</v>
      </c>
      <c r="AC505" s="138">
        <v>100000</v>
      </c>
      <c r="AD505" s="449">
        <v>1</v>
      </c>
      <c r="AE505" s="449">
        <v>1</v>
      </c>
      <c r="AF505">
        <v>109205</v>
      </c>
      <c r="AG505" s="452">
        <v>5</v>
      </c>
    </row>
    <row r="506" spans="1:33" x14ac:dyDescent="0.15">
      <c r="A506" s="132">
        <v>109206</v>
      </c>
      <c r="B506" s="136" t="s">
        <v>2425</v>
      </c>
      <c r="C506" s="136" t="s">
        <v>2425</v>
      </c>
      <c r="D506" s="138" t="s">
        <v>33</v>
      </c>
      <c r="E506" s="138">
        <v>9</v>
      </c>
      <c r="F506" s="136" t="s">
        <v>812</v>
      </c>
      <c r="G506" s="138"/>
      <c r="H506" s="138" t="s">
        <v>611</v>
      </c>
      <c r="I506" s="138">
        <v>5</v>
      </c>
      <c r="J506" s="118">
        <v>5</v>
      </c>
      <c r="K506" s="138">
        <v>0</v>
      </c>
      <c r="L506" s="138">
        <v>3</v>
      </c>
      <c r="M506" s="138">
        <v>5</v>
      </c>
      <c r="N506" s="118" t="s">
        <v>77</v>
      </c>
      <c r="O506" s="136">
        <v>99</v>
      </c>
      <c r="P506" s="447">
        <v>0.9</v>
      </c>
      <c r="Q506" s="138">
        <v>0</v>
      </c>
      <c r="R506" s="138">
        <v>1</v>
      </c>
      <c r="S506" s="138" t="b">
        <v>1</v>
      </c>
      <c r="T506" s="138">
        <v>78</v>
      </c>
      <c r="U506" s="118">
        <v>1170</v>
      </c>
      <c r="V506" s="118">
        <v>1560</v>
      </c>
      <c r="W506" s="138">
        <v>0</v>
      </c>
      <c r="X506" s="138">
        <v>6</v>
      </c>
      <c r="Y506" s="138" t="s">
        <v>38</v>
      </c>
      <c r="Z506" s="388" t="s">
        <v>3259</v>
      </c>
      <c r="AA506" s="388" t="s">
        <v>3259</v>
      </c>
      <c r="AB506" s="136" t="s">
        <v>2428</v>
      </c>
      <c r="AC506" s="138">
        <v>100000</v>
      </c>
      <c r="AD506" s="449">
        <v>1</v>
      </c>
      <c r="AE506" s="449">
        <v>1</v>
      </c>
      <c r="AF506">
        <v>109206</v>
      </c>
      <c r="AG506" s="452">
        <v>6</v>
      </c>
    </row>
    <row r="507" spans="1:33" x14ac:dyDescent="0.15">
      <c r="A507" s="132">
        <v>109307</v>
      </c>
      <c r="B507" s="136" t="s">
        <v>2430</v>
      </c>
      <c r="C507" s="136" t="s">
        <v>2430</v>
      </c>
      <c r="D507" s="138" t="s">
        <v>33</v>
      </c>
      <c r="E507" s="138">
        <v>9</v>
      </c>
      <c r="F507" s="136" t="s">
        <v>812</v>
      </c>
      <c r="G507" s="138"/>
      <c r="H507" s="138" t="s">
        <v>295</v>
      </c>
      <c r="I507" s="138">
        <v>6</v>
      </c>
      <c r="J507" s="118">
        <v>6</v>
      </c>
      <c r="K507" s="138">
        <v>0</v>
      </c>
      <c r="L507" s="138">
        <v>3</v>
      </c>
      <c r="M507" s="138">
        <v>6</v>
      </c>
      <c r="N507" s="118" t="s">
        <v>83</v>
      </c>
      <c r="O507" s="136">
        <v>99</v>
      </c>
      <c r="P507" s="447">
        <v>0.9</v>
      </c>
      <c r="Q507" s="138">
        <v>0</v>
      </c>
      <c r="R507" s="138">
        <v>1</v>
      </c>
      <c r="S507" s="138" t="b">
        <v>1</v>
      </c>
      <c r="T507" s="138">
        <v>91</v>
      </c>
      <c r="U507" s="118">
        <v>1365</v>
      </c>
      <c r="V507" s="118">
        <v>1820</v>
      </c>
      <c r="W507" s="138">
        <v>0</v>
      </c>
      <c r="X507" s="138">
        <v>7</v>
      </c>
      <c r="Y507" s="138" t="s">
        <v>38</v>
      </c>
      <c r="Z507" s="388" t="s">
        <v>3260</v>
      </c>
      <c r="AA507" s="388" t="s">
        <v>3260</v>
      </c>
      <c r="AB507" s="136" t="s">
        <v>884</v>
      </c>
      <c r="AC507" s="138">
        <v>100000</v>
      </c>
      <c r="AD507" s="449">
        <v>1</v>
      </c>
      <c r="AE507" s="449">
        <v>1</v>
      </c>
      <c r="AF507">
        <v>0</v>
      </c>
      <c r="AG507" s="452">
        <v>7</v>
      </c>
    </row>
    <row r="508" spans="1:33" x14ac:dyDescent="0.15">
      <c r="A508" s="132">
        <v>110303</v>
      </c>
      <c r="B508" s="136" t="s">
        <v>2434</v>
      </c>
      <c r="C508" s="136" t="s">
        <v>2434</v>
      </c>
      <c r="D508" s="138" t="s">
        <v>33</v>
      </c>
      <c r="E508" s="138">
        <v>10</v>
      </c>
      <c r="F508" s="136" t="s">
        <v>887</v>
      </c>
      <c r="G508" s="138" t="s">
        <v>894</v>
      </c>
      <c r="H508" s="138" t="s">
        <v>295</v>
      </c>
      <c r="I508" s="138">
        <v>5</v>
      </c>
      <c r="J508" s="118">
        <v>5</v>
      </c>
      <c r="K508" s="138">
        <v>0</v>
      </c>
      <c r="L508" s="138">
        <v>3</v>
      </c>
      <c r="M508" s="138">
        <v>5</v>
      </c>
      <c r="N508" s="118" t="s">
        <v>57</v>
      </c>
      <c r="O508" s="136">
        <v>99</v>
      </c>
      <c r="P508" s="447">
        <v>0.9</v>
      </c>
      <c r="Q508" s="138">
        <v>0</v>
      </c>
      <c r="R508" s="138">
        <v>1</v>
      </c>
      <c r="S508" s="138" t="b">
        <v>1</v>
      </c>
      <c r="T508" s="138">
        <v>39</v>
      </c>
      <c r="U508" s="118">
        <v>585</v>
      </c>
      <c r="V508" s="118">
        <v>780</v>
      </c>
      <c r="W508" s="138">
        <v>0</v>
      </c>
      <c r="X508" s="138">
        <v>3</v>
      </c>
      <c r="Y508" s="138" t="s">
        <v>38</v>
      </c>
      <c r="Z508" s="388" t="s">
        <v>3261</v>
      </c>
      <c r="AA508" s="388" t="s">
        <v>3261</v>
      </c>
      <c r="AB508" s="136" t="s">
        <v>897</v>
      </c>
      <c r="AC508" s="138">
        <v>100000</v>
      </c>
      <c r="AD508" s="449">
        <v>1</v>
      </c>
      <c r="AE508" s="449">
        <v>1</v>
      </c>
      <c r="AF508">
        <v>110303</v>
      </c>
      <c r="AG508" s="452">
        <v>3</v>
      </c>
    </row>
    <row r="509" spans="1:33" x14ac:dyDescent="0.15">
      <c r="A509" s="132">
        <v>110304</v>
      </c>
      <c r="B509" s="136" t="s">
        <v>2438</v>
      </c>
      <c r="C509" s="136" t="s">
        <v>2438</v>
      </c>
      <c r="D509" s="138" t="s">
        <v>33</v>
      </c>
      <c r="E509" s="138">
        <v>10</v>
      </c>
      <c r="F509" s="136" t="s">
        <v>887</v>
      </c>
      <c r="G509" s="138" t="s">
        <v>918</v>
      </c>
      <c r="H509" s="138" t="s">
        <v>295</v>
      </c>
      <c r="I509" s="138">
        <v>4</v>
      </c>
      <c r="J509" s="118">
        <v>4</v>
      </c>
      <c r="K509" s="138">
        <v>0</v>
      </c>
      <c r="L509" s="138">
        <v>3</v>
      </c>
      <c r="M509" s="138">
        <v>4</v>
      </c>
      <c r="N509" s="118" t="s">
        <v>64</v>
      </c>
      <c r="O509" s="136">
        <v>99</v>
      </c>
      <c r="P509" s="447">
        <v>0.9</v>
      </c>
      <c r="Q509" s="138">
        <v>0</v>
      </c>
      <c r="R509" s="138">
        <v>1</v>
      </c>
      <c r="S509" s="138" t="b">
        <v>1</v>
      </c>
      <c r="T509" s="138">
        <v>52</v>
      </c>
      <c r="U509" s="118">
        <v>780</v>
      </c>
      <c r="V509" s="118">
        <v>1040</v>
      </c>
      <c r="W509" s="138">
        <v>0</v>
      </c>
      <c r="X509" s="138">
        <v>4</v>
      </c>
      <c r="Y509" s="138" t="s">
        <v>38</v>
      </c>
      <c r="Z509" s="388" t="s">
        <v>3262</v>
      </c>
      <c r="AA509" s="388" t="s">
        <v>3262</v>
      </c>
      <c r="AB509" s="136" t="s">
        <v>921</v>
      </c>
      <c r="AC509" s="138">
        <v>100000</v>
      </c>
      <c r="AD509" s="449">
        <v>1</v>
      </c>
      <c r="AE509" s="449">
        <v>1</v>
      </c>
      <c r="AF509">
        <v>0</v>
      </c>
      <c r="AG509" s="452">
        <v>4</v>
      </c>
    </row>
    <row r="510" spans="1:33" x14ac:dyDescent="0.15">
      <c r="A510" s="132">
        <v>110205</v>
      </c>
      <c r="B510" s="136" t="s">
        <v>2442</v>
      </c>
      <c r="C510" s="136" t="s">
        <v>2442</v>
      </c>
      <c r="D510" s="138" t="s">
        <v>33</v>
      </c>
      <c r="E510" s="138">
        <v>10</v>
      </c>
      <c r="F510" s="136" t="s">
        <v>887</v>
      </c>
      <c r="G510" s="138" t="s">
        <v>918</v>
      </c>
      <c r="H510" s="138" t="s">
        <v>295</v>
      </c>
      <c r="I510" s="138">
        <v>4</v>
      </c>
      <c r="J510" s="118">
        <v>4</v>
      </c>
      <c r="K510" s="138">
        <v>0</v>
      </c>
      <c r="L510" s="138">
        <v>3</v>
      </c>
      <c r="M510" s="138">
        <v>4</v>
      </c>
      <c r="N510" s="118" t="s">
        <v>71</v>
      </c>
      <c r="O510" s="136">
        <v>99</v>
      </c>
      <c r="P510" s="447">
        <v>0.9</v>
      </c>
      <c r="Q510" s="138">
        <v>0</v>
      </c>
      <c r="R510" s="138">
        <v>1</v>
      </c>
      <c r="S510" s="138" t="b">
        <v>1</v>
      </c>
      <c r="T510" s="138">
        <v>65</v>
      </c>
      <c r="U510" s="118">
        <v>975</v>
      </c>
      <c r="V510" s="118">
        <v>1300</v>
      </c>
      <c r="W510" s="138">
        <v>0</v>
      </c>
      <c r="X510" s="138">
        <v>5</v>
      </c>
      <c r="Y510" s="138" t="s">
        <v>38</v>
      </c>
      <c r="Z510" s="388" t="s">
        <v>3263</v>
      </c>
      <c r="AA510" s="388" t="s">
        <v>3263</v>
      </c>
      <c r="AB510" s="136" t="s">
        <v>909</v>
      </c>
      <c r="AC510" s="138">
        <v>100000</v>
      </c>
      <c r="AD510" s="449">
        <v>1</v>
      </c>
      <c r="AE510" s="449">
        <v>1</v>
      </c>
      <c r="AF510">
        <v>0</v>
      </c>
      <c r="AG510" s="452">
        <v>5</v>
      </c>
    </row>
    <row r="511" spans="1:33" x14ac:dyDescent="0.15">
      <c r="A511" s="132">
        <v>110206</v>
      </c>
      <c r="B511" s="136" t="s">
        <v>2446</v>
      </c>
      <c r="C511" s="136" t="s">
        <v>2446</v>
      </c>
      <c r="D511" s="138" t="s">
        <v>33</v>
      </c>
      <c r="E511" s="138">
        <v>10</v>
      </c>
      <c r="F511" s="136" t="s">
        <v>887</v>
      </c>
      <c r="G511" s="138" t="s">
        <v>912</v>
      </c>
      <c r="H511" s="138" t="s">
        <v>295</v>
      </c>
      <c r="I511" s="138">
        <v>4</v>
      </c>
      <c r="J511" s="118">
        <v>4</v>
      </c>
      <c r="K511" s="138">
        <v>0</v>
      </c>
      <c r="L511" s="138">
        <v>3</v>
      </c>
      <c r="M511" s="138">
        <v>4</v>
      </c>
      <c r="N511" s="118" t="s">
        <v>77</v>
      </c>
      <c r="O511" s="136">
        <v>99</v>
      </c>
      <c r="P511" s="447">
        <v>0.9</v>
      </c>
      <c r="Q511" s="138">
        <v>0</v>
      </c>
      <c r="R511" s="138">
        <v>1</v>
      </c>
      <c r="S511" s="138" t="b">
        <v>1</v>
      </c>
      <c r="T511" s="138">
        <v>78</v>
      </c>
      <c r="U511" s="118">
        <v>1170</v>
      </c>
      <c r="V511" s="118">
        <v>1560</v>
      </c>
      <c r="W511" s="138">
        <v>0</v>
      </c>
      <c r="X511" s="138">
        <v>6</v>
      </c>
      <c r="Y511" s="138" t="s">
        <v>38</v>
      </c>
      <c r="Z511" s="388" t="s">
        <v>3264</v>
      </c>
      <c r="AA511" s="388" t="s">
        <v>3264</v>
      </c>
      <c r="AB511" s="136" t="s">
        <v>915</v>
      </c>
      <c r="AC511" s="138">
        <v>100000</v>
      </c>
      <c r="AD511" s="449">
        <v>1</v>
      </c>
      <c r="AE511" s="449">
        <v>1</v>
      </c>
      <c r="AF511">
        <v>0</v>
      </c>
      <c r="AG511" s="452">
        <v>6</v>
      </c>
    </row>
    <row r="512" spans="1:33" x14ac:dyDescent="0.15">
      <c r="A512" s="132">
        <v>110307</v>
      </c>
      <c r="B512" s="136" t="s">
        <v>2450</v>
      </c>
      <c r="C512" s="136" t="s">
        <v>2450</v>
      </c>
      <c r="D512" s="138" t="s">
        <v>33</v>
      </c>
      <c r="E512" s="138">
        <v>10</v>
      </c>
      <c r="F512" s="136" t="s">
        <v>887</v>
      </c>
      <c r="G512" s="138" t="s">
        <v>924</v>
      </c>
      <c r="H512" s="138" t="s">
        <v>295</v>
      </c>
      <c r="I512" s="138">
        <v>6</v>
      </c>
      <c r="J512" s="118">
        <v>6</v>
      </c>
      <c r="K512" s="138">
        <v>0</v>
      </c>
      <c r="L512" s="138">
        <v>3</v>
      </c>
      <c r="M512" s="138">
        <v>6</v>
      </c>
      <c r="N512" s="118" t="s">
        <v>83</v>
      </c>
      <c r="O512" s="136">
        <v>99</v>
      </c>
      <c r="P512" s="447">
        <v>0.9</v>
      </c>
      <c r="Q512" s="138">
        <v>0</v>
      </c>
      <c r="R512" s="138">
        <v>1</v>
      </c>
      <c r="S512" s="138" t="b">
        <v>1</v>
      </c>
      <c r="T512" s="138">
        <v>91</v>
      </c>
      <c r="U512" s="118">
        <v>1365</v>
      </c>
      <c r="V512" s="118">
        <v>1820</v>
      </c>
      <c r="W512" s="138">
        <v>0</v>
      </c>
      <c r="X512" s="138">
        <v>7</v>
      </c>
      <c r="Y512" s="138" t="s">
        <v>38</v>
      </c>
      <c r="Z512" s="388" t="s">
        <v>3265</v>
      </c>
      <c r="AA512" s="388" t="s">
        <v>3265</v>
      </c>
      <c r="AB512" s="136" t="s">
        <v>921</v>
      </c>
      <c r="AC512" s="138">
        <v>100000</v>
      </c>
      <c r="AD512" s="449">
        <v>1</v>
      </c>
      <c r="AE512" s="449">
        <v>1</v>
      </c>
      <c r="AF512">
        <v>110307</v>
      </c>
      <c r="AG512" s="452">
        <v>7</v>
      </c>
    </row>
    <row r="513" spans="1:33" x14ac:dyDescent="0.15">
      <c r="A513" s="132">
        <v>111403</v>
      </c>
      <c r="B513" s="136" t="s">
        <v>2454</v>
      </c>
      <c r="C513" s="136" t="s">
        <v>2454</v>
      </c>
      <c r="D513" s="138" t="s">
        <v>33</v>
      </c>
      <c r="E513" s="138">
        <v>11</v>
      </c>
      <c r="F513" s="136" t="s">
        <v>971</v>
      </c>
      <c r="G513" s="138" t="s">
        <v>972</v>
      </c>
      <c r="H513" s="138" t="s">
        <v>295</v>
      </c>
      <c r="I513" s="138">
        <v>4</v>
      </c>
      <c r="J513" s="118">
        <v>4</v>
      </c>
      <c r="K513" s="138">
        <v>0</v>
      </c>
      <c r="L513" s="138">
        <v>3</v>
      </c>
      <c r="M513" s="138">
        <v>4</v>
      </c>
      <c r="N513" s="118" t="s">
        <v>64</v>
      </c>
      <c r="O513" s="136">
        <v>99</v>
      </c>
      <c r="P513" s="447">
        <v>0.7</v>
      </c>
      <c r="Q513" s="138">
        <v>0</v>
      </c>
      <c r="R513" s="138">
        <v>1</v>
      </c>
      <c r="S513" s="138" t="b">
        <v>1</v>
      </c>
      <c r="T513" s="138">
        <v>52</v>
      </c>
      <c r="U513" s="118">
        <v>780</v>
      </c>
      <c r="V513" s="118">
        <v>1040</v>
      </c>
      <c r="W513" s="138">
        <v>0</v>
      </c>
      <c r="X513" s="138">
        <v>4</v>
      </c>
      <c r="Y513" s="138" t="s">
        <v>38</v>
      </c>
      <c r="Z513" s="388" t="s">
        <v>3266</v>
      </c>
      <c r="AA513" s="388" t="s">
        <v>3266</v>
      </c>
      <c r="AB513" s="136" t="s">
        <v>975</v>
      </c>
      <c r="AC513" s="138">
        <v>100000</v>
      </c>
      <c r="AD513" s="449">
        <v>1</v>
      </c>
      <c r="AE513" s="449">
        <v>1</v>
      </c>
      <c r="AF513">
        <v>111403</v>
      </c>
      <c r="AG513" s="452">
        <v>4</v>
      </c>
    </row>
    <row r="514" spans="1:33" x14ac:dyDescent="0.15">
      <c r="A514" s="132">
        <v>111205</v>
      </c>
      <c r="B514" s="136" t="s">
        <v>2458</v>
      </c>
      <c r="C514" s="136" t="s">
        <v>2458</v>
      </c>
      <c r="D514" s="138" t="s">
        <v>33</v>
      </c>
      <c r="E514" s="138">
        <v>11</v>
      </c>
      <c r="F514" s="136" t="s">
        <v>971</v>
      </c>
      <c r="G514" s="138" t="s">
        <v>990</v>
      </c>
      <c r="H514" s="138" t="s">
        <v>295</v>
      </c>
      <c r="I514" s="138">
        <v>4</v>
      </c>
      <c r="J514" s="118">
        <v>4</v>
      </c>
      <c r="K514" s="138">
        <v>0</v>
      </c>
      <c r="L514" s="138">
        <v>3</v>
      </c>
      <c r="M514" s="138">
        <v>4</v>
      </c>
      <c r="N514" s="118" t="s">
        <v>71</v>
      </c>
      <c r="O514" s="136">
        <v>99</v>
      </c>
      <c r="P514" s="447">
        <v>0.7</v>
      </c>
      <c r="Q514" s="138">
        <v>0</v>
      </c>
      <c r="R514" s="138">
        <v>1</v>
      </c>
      <c r="S514" s="138" t="b">
        <v>1</v>
      </c>
      <c r="T514" s="138">
        <v>65</v>
      </c>
      <c r="U514" s="118">
        <v>975</v>
      </c>
      <c r="V514" s="118">
        <v>1300</v>
      </c>
      <c r="W514" s="138">
        <v>0</v>
      </c>
      <c r="X514" s="138">
        <v>5</v>
      </c>
      <c r="Y514" s="138" t="s">
        <v>38</v>
      </c>
      <c r="Z514" s="388" t="s">
        <v>3267</v>
      </c>
      <c r="AA514" s="388" t="s">
        <v>3267</v>
      </c>
      <c r="AB514" s="136" t="s">
        <v>987</v>
      </c>
      <c r="AC514" s="138">
        <v>100000</v>
      </c>
      <c r="AD514" s="449">
        <v>1</v>
      </c>
      <c r="AE514" s="449">
        <v>1</v>
      </c>
      <c r="AF514">
        <v>0</v>
      </c>
      <c r="AG514" s="452">
        <v>5</v>
      </c>
    </row>
    <row r="515" spans="1:33" x14ac:dyDescent="0.15">
      <c r="A515" s="132">
        <v>111206</v>
      </c>
      <c r="B515" s="136" t="s">
        <v>2462</v>
      </c>
      <c r="C515" s="136" t="s">
        <v>2462</v>
      </c>
      <c r="D515" s="138" t="s">
        <v>33</v>
      </c>
      <c r="E515" s="138">
        <v>11</v>
      </c>
      <c r="F515" s="136" t="s">
        <v>971</v>
      </c>
      <c r="G515" s="138" t="s">
        <v>1002</v>
      </c>
      <c r="H515" s="138" t="s">
        <v>295</v>
      </c>
      <c r="I515" s="138">
        <v>5</v>
      </c>
      <c r="J515" s="118">
        <v>5</v>
      </c>
      <c r="K515" s="138">
        <v>0</v>
      </c>
      <c r="L515" s="138">
        <v>3</v>
      </c>
      <c r="M515" s="138">
        <v>5</v>
      </c>
      <c r="N515" s="118" t="s">
        <v>77</v>
      </c>
      <c r="O515" s="136">
        <v>99</v>
      </c>
      <c r="P515" s="447">
        <v>0.7</v>
      </c>
      <c r="Q515" s="138">
        <v>0</v>
      </c>
      <c r="R515" s="138">
        <v>1</v>
      </c>
      <c r="S515" s="138" t="b">
        <v>1</v>
      </c>
      <c r="T515" s="138">
        <v>78</v>
      </c>
      <c r="U515" s="118">
        <v>1170</v>
      </c>
      <c r="V515" s="118">
        <v>1560</v>
      </c>
      <c r="W515" s="138">
        <v>0</v>
      </c>
      <c r="X515" s="138">
        <v>6</v>
      </c>
      <c r="Y515" s="138" t="s">
        <v>38</v>
      </c>
      <c r="Z515" s="388" t="s">
        <v>3268</v>
      </c>
      <c r="AA515" s="388" t="s">
        <v>3268</v>
      </c>
      <c r="AB515" s="136" t="s">
        <v>981</v>
      </c>
      <c r="AC515" s="138">
        <v>100000</v>
      </c>
      <c r="AD515" s="449">
        <v>1</v>
      </c>
      <c r="AE515" s="449">
        <v>1</v>
      </c>
      <c r="AF515">
        <v>0</v>
      </c>
      <c r="AG515" s="452">
        <v>6</v>
      </c>
    </row>
    <row r="516" spans="1:33" x14ac:dyDescent="0.15">
      <c r="A516" s="132">
        <v>111307</v>
      </c>
      <c r="B516" s="136" t="s">
        <v>2466</v>
      </c>
      <c r="C516" s="136" t="s">
        <v>2466</v>
      </c>
      <c r="D516" s="138" t="s">
        <v>33</v>
      </c>
      <c r="E516" s="138">
        <v>11</v>
      </c>
      <c r="F516" s="136" t="s">
        <v>971</v>
      </c>
      <c r="G516" s="138" t="s">
        <v>1008</v>
      </c>
      <c r="H516" s="138" t="s">
        <v>295</v>
      </c>
      <c r="I516" s="138">
        <v>6</v>
      </c>
      <c r="J516" s="118">
        <v>6</v>
      </c>
      <c r="K516" s="138">
        <v>0</v>
      </c>
      <c r="L516" s="138">
        <v>3</v>
      </c>
      <c r="M516" s="138">
        <v>6</v>
      </c>
      <c r="N516" s="118" t="s">
        <v>83</v>
      </c>
      <c r="O516" s="136">
        <v>99</v>
      </c>
      <c r="P516" s="447">
        <v>0.7</v>
      </c>
      <c r="Q516" s="138">
        <v>0</v>
      </c>
      <c r="R516" s="138">
        <v>1</v>
      </c>
      <c r="S516" s="138" t="b">
        <v>1</v>
      </c>
      <c r="T516" s="138">
        <v>91</v>
      </c>
      <c r="U516" s="118">
        <v>1365</v>
      </c>
      <c r="V516" s="118">
        <v>1820</v>
      </c>
      <c r="W516" s="138">
        <v>0</v>
      </c>
      <c r="X516" s="138">
        <v>7</v>
      </c>
      <c r="Y516" s="138" t="s">
        <v>38</v>
      </c>
      <c r="Z516" s="388" t="s">
        <v>3269</v>
      </c>
      <c r="AA516" s="388" t="s">
        <v>3269</v>
      </c>
      <c r="AB516" s="136" t="s">
        <v>999</v>
      </c>
      <c r="AC516" s="138">
        <v>100000</v>
      </c>
      <c r="AD516" s="449">
        <v>1</v>
      </c>
      <c r="AE516" s="449">
        <v>1</v>
      </c>
      <c r="AF516">
        <v>0</v>
      </c>
      <c r="AG516" s="452">
        <v>7</v>
      </c>
    </row>
    <row r="517" spans="1:33" x14ac:dyDescent="0.15">
      <c r="A517" s="132">
        <v>112203</v>
      </c>
      <c r="B517" s="136" t="s">
        <v>2470</v>
      </c>
      <c r="C517" s="136" t="s">
        <v>2470</v>
      </c>
      <c r="D517" s="138" t="s">
        <v>33</v>
      </c>
      <c r="E517" s="138">
        <v>12</v>
      </c>
      <c r="F517" s="136" t="s">
        <v>1063</v>
      </c>
      <c r="G517" s="138" t="s">
        <v>1094</v>
      </c>
      <c r="H517" s="138" t="s">
        <v>295</v>
      </c>
      <c r="I517" s="138">
        <v>3</v>
      </c>
      <c r="J517" s="118">
        <v>3</v>
      </c>
      <c r="K517" s="138">
        <v>0</v>
      </c>
      <c r="L517" s="138">
        <v>3</v>
      </c>
      <c r="M517" s="138">
        <v>3</v>
      </c>
      <c r="N517" s="118" t="s">
        <v>57</v>
      </c>
      <c r="O517" s="136">
        <v>99</v>
      </c>
      <c r="P517" s="447">
        <v>0.8</v>
      </c>
      <c r="Q517" s="138">
        <v>0</v>
      </c>
      <c r="R517" s="138">
        <v>1</v>
      </c>
      <c r="S517" s="138" t="b">
        <v>1</v>
      </c>
      <c r="T517" s="138">
        <v>39</v>
      </c>
      <c r="U517" s="118">
        <v>585</v>
      </c>
      <c r="V517" s="118">
        <v>780</v>
      </c>
      <c r="W517" s="138">
        <v>0</v>
      </c>
      <c r="X517" s="138">
        <v>3</v>
      </c>
      <c r="Y517" s="138" t="s">
        <v>38</v>
      </c>
      <c r="Z517" s="388" t="s">
        <v>3270</v>
      </c>
      <c r="AA517" s="388" t="s">
        <v>3270</v>
      </c>
      <c r="AB517" s="136" t="s">
        <v>1079</v>
      </c>
      <c r="AC517" s="138">
        <v>100000</v>
      </c>
      <c r="AD517" s="449">
        <v>1</v>
      </c>
      <c r="AE517" s="449">
        <v>1</v>
      </c>
      <c r="AF517">
        <v>112203</v>
      </c>
      <c r="AG517" s="452">
        <v>3</v>
      </c>
    </row>
    <row r="518" spans="1:33" x14ac:dyDescent="0.15">
      <c r="A518" s="132">
        <v>112204</v>
      </c>
      <c r="B518" s="136" t="s">
        <v>2474</v>
      </c>
      <c r="C518" s="136" t="s">
        <v>2474</v>
      </c>
      <c r="D518" s="138" t="s">
        <v>33</v>
      </c>
      <c r="E518" s="138">
        <v>12</v>
      </c>
      <c r="F518" s="136" t="s">
        <v>1063</v>
      </c>
      <c r="G518" s="138" t="s">
        <v>1082</v>
      </c>
      <c r="H518" s="138" t="s">
        <v>295</v>
      </c>
      <c r="I518" s="138">
        <v>3</v>
      </c>
      <c r="J518" s="118">
        <v>3</v>
      </c>
      <c r="K518" s="138">
        <v>0</v>
      </c>
      <c r="L518" s="138">
        <v>3</v>
      </c>
      <c r="M518" s="138">
        <v>3</v>
      </c>
      <c r="N518" s="118" t="s">
        <v>64</v>
      </c>
      <c r="O518" s="136">
        <v>99</v>
      </c>
      <c r="P518" s="447">
        <v>0.8</v>
      </c>
      <c r="Q518" s="138">
        <v>0</v>
      </c>
      <c r="R518" s="138">
        <v>1</v>
      </c>
      <c r="S518" s="138" t="b">
        <v>1</v>
      </c>
      <c r="T518" s="138">
        <v>52</v>
      </c>
      <c r="U518" s="118">
        <v>780</v>
      </c>
      <c r="V518" s="118">
        <v>1040</v>
      </c>
      <c r="W518" s="138">
        <v>0</v>
      </c>
      <c r="X518" s="138">
        <v>4</v>
      </c>
      <c r="Y518" s="138" t="s">
        <v>38</v>
      </c>
      <c r="Z518" s="388" t="s">
        <v>3271</v>
      </c>
      <c r="AA518" s="388" t="s">
        <v>3271</v>
      </c>
      <c r="AB518" s="136" t="s">
        <v>1085</v>
      </c>
      <c r="AC518" s="138">
        <v>100000</v>
      </c>
      <c r="AD518" s="449">
        <v>1</v>
      </c>
      <c r="AE518" s="449">
        <v>1</v>
      </c>
      <c r="AF518">
        <v>0</v>
      </c>
      <c r="AG518" s="452">
        <v>4</v>
      </c>
    </row>
    <row r="519" spans="1:33" x14ac:dyDescent="0.15">
      <c r="A519" s="132">
        <v>112205</v>
      </c>
      <c r="B519" s="136" t="s">
        <v>2478</v>
      </c>
      <c r="C519" s="136" t="s">
        <v>2478</v>
      </c>
      <c r="D519" s="138" t="s">
        <v>33</v>
      </c>
      <c r="E519" s="138">
        <v>12</v>
      </c>
      <c r="F519" s="136" t="s">
        <v>1063</v>
      </c>
      <c r="G519" s="138" t="s">
        <v>1076</v>
      </c>
      <c r="H519" s="138" t="s">
        <v>295</v>
      </c>
      <c r="I519" s="138">
        <v>6</v>
      </c>
      <c r="J519" s="118">
        <v>6</v>
      </c>
      <c r="K519" s="138">
        <v>0</v>
      </c>
      <c r="L519" s="138">
        <v>3</v>
      </c>
      <c r="M519" s="138">
        <v>6</v>
      </c>
      <c r="N519" s="118" t="s">
        <v>71</v>
      </c>
      <c r="O519" s="136">
        <v>99</v>
      </c>
      <c r="P519" s="447">
        <v>0.7</v>
      </c>
      <c r="Q519" s="138">
        <v>0</v>
      </c>
      <c r="R519" s="138">
        <v>1</v>
      </c>
      <c r="S519" s="138" t="b">
        <v>1</v>
      </c>
      <c r="T519" s="138">
        <v>65</v>
      </c>
      <c r="U519" s="118">
        <v>975</v>
      </c>
      <c r="V519" s="118">
        <v>1300</v>
      </c>
      <c r="W519" s="138">
        <v>0</v>
      </c>
      <c r="X519" s="138">
        <v>5</v>
      </c>
      <c r="Y519" s="138" t="s">
        <v>38</v>
      </c>
      <c r="Z519" s="388" t="s">
        <v>3272</v>
      </c>
      <c r="AA519" s="388" t="s">
        <v>3272</v>
      </c>
      <c r="AB519" s="136" t="s">
        <v>1091</v>
      </c>
      <c r="AC519" s="138">
        <v>100000</v>
      </c>
      <c r="AD519" s="449">
        <v>1</v>
      </c>
      <c r="AE519" s="449">
        <v>1</v>
      </c>
      <c r="AF519">
        <v>0</v>
      </c>
      <c r="AG519" s="452">
        <v>5</v>
      </c>
    </row>
    <row r="520" spans="1:33" x14ac:dyDescent="0.15">
      <c r="A520" s="132">
        <v>112206</v>
      </c>
      <c r="B520" s="136" t="s">
        <v>2482</v>
      </c>
      <c r="C520" s="136" t="s">
        <v>2482</v>
      </c>
      <c r="D520" s="138" t="s">
        <v>33</v>
      </c>
      <c r="E520" s="138">
        <v>12</v>
      </c>
      <c r="F520" s="136" t="s">
        <v>1063</v>
      </c>
      <c r="G520" s="138" t="s">
        <v>1088</v>
      </c>
      <c r="H520" s="138" t="s">
        <v>295</v>
      </c>
      <c r="I520" s="138">
        <v>6</v>
      </c>
      <c r="J520" s="118">
        <v>6</v>
      </c>
      <c r="K520" s="138">
        <v>0</v>
      </c>
      <c r="L520" s="138">
        <v>3</v>
      </c>
      <c r="M520" s="138">
        <v>6</v>
      </c>
      <c r="N520" s="118" t="s">
        <v>77</v>
      </c>
      <c r="O520" s="136">
        <v>99</v>
      </c>
      <c r="P520" s="447">
        <v>0.8</v>
      </c>
      <c r="Q520" s="138">
        <v>0</v>
      </c>
      <c r="R520" s="138">
        <v>1</v>
      </c>
      <c r="S520" s="138" t="b">
        <v>1</v>
      </c>
      <c r="T520" s="138">
        <v>78</v>
      </c>
      <c r="U520" s="118">
        <v>1170</v>
      </c>
      <c r="V520" s="118">
        <v>1560</v>
      </c>
      <c r="W520" s="138">
        <v>0</v>
      </c>
      <c r="X520" s="138">
        <v>6</v>
      </c>
      <c r="Y520" s="138" t="s">
        <v>38</v>
      </c>
      <c r="Z520" s="388" t="s">
        <v>3273</v>
      </c>
      <c r="AA520" s="388" t="s">
        <v>3273</v>
      </c>
      <c r="AB520" s="136" t="s">
        <v>1097</v>
      </c>
      <c r="AC520" s="138">
        <v>100000</v>
      </c>
      <c r="AD520" s="449">
        <v>1</v>
      </c>
      <c r="AE520" s="449">
        <v>1</v>
      </c>
      <c r="AF520">
        <v>0</v>
      </c>
      <c r="AG520" s="452">
        <v>6</v>
      </c>
    </row>
    <row r="521" spans="1:33" x14ac:dyDescent="0.15">
      <c r="A521" s="132">
        <v>112307</v>
      </c>
      <c r="B521" s="136" t="s">
        <v>2486</v>
      </c>
      <c r="C521" s="136" t="s">
        <v>2486</v>
      </c>
      <c r="D521" s="138" t="s">
        <v>33</v>
      </c>
      <c r="E521" s="138">
        <v>12</v>
      </c>
      <c r="F521" s="136" t="s">
        <v>1063</v>
      </c>
      <c r="G521" s="138" t="s">
        <v>1100</v>
      </c>
      <c r="H521" s="138" t="s">
        <v>295</v>
      </c>
      <c r="I521" s="138">
        <v>5</v>
      </c>
      <c r="J521" s="118">
        <v>5</v>
      </c>
      <c r="K521" s="138">
        <v>0</v>
      </c>
      <c r="L521" s="138">
        <v>3</v>
      </c>
      <c r="M521" s="138">
        <v>5</v>
      </c>
      <c r="N521" s="118" t="s">
        <v>83</v>
      </c>
      <c r="O521" s="136">
        <v>99</v>
      </c>
      <c r="P521" s="447">
        <v>0.8</v>
      </c>
      <c r="Q521" s="138">
        <v>0</v>
      </c>
      <c r="R521" s="138">
        <v>1</v>
      </c>
      <c r="S521" s="138" t="b">
        <v>1</v>
      </c>
      <c r="T521" s="138">
        <v>91</v>
      </c>
      <c r="U521" s="118">
        <v>1365</v>
      </c>
      <c r="V521" s="118">
        <v>1820</v>
      </c>
      <c r="W521" s="138">
        <v>0</v>
      </c>
      <c r="X521" s="138">
        <v>7</v>
      </c>
      <c r="Y521" s="138" t="s">
        <v>38</v>
      </c>
      <c r="Z521" s="388" t="s">
        <v>3274</v>
      </c>
      <c r="AA521" s="388" t="s">
        <v>3274</v>
      </c>
      <c r="AB521" s="136" t="s">
        <v>1103</v>
      </c>
      <c r="AC521" s="138">
        <v>100000</v>
      </c>
      <c r="AD521" s="449">
        <v>1</v>
      </c>
      <c r="AE521" s="449">
        <v>1</v>
      </c>
      <c r="AF521">
        <v>112307</v>
      </c>
      <c r="AG521" s="452">
        <v>7</v>
      </c>
    </row>
    <row r="522" spans="1:33" x14ac:dyDescent="0.15">
      <c r="A522" s="132">
        <v>114303</v>
      </c>
      <c r="B522" s="136" t="s">
        <v>2490</v>
      </c>
      <c r="C522" s="136" t="s">
        <v>2490</v>
      </c>
      <c r="D522" s="138" t="s">
        <v>33</v>
      </c>
      <c r="E522" s="138">
        <v>14</v>
      </c>
      <c r="F522" s="136" t="s">
        <v>1220</v>
      </c>
      <c r="G522" s="138" t="s">
        <v>1221</v>
      </c>
      <c r="H522" s="138" t="s">
        <v>295</v>
      </c>
      <c r="I522" s="138">
        <v>4</v>
      </c>
      <c r="J522" s="118">
        <v>4</v>
      </c>
      <c r="K522" s="138">
        <v>0</v>
      </c>
      <c r="L522" s="138">
        <v>3</v>
      </c>
      <c r="M522" s="138">
        <v>4</v>
      </c>
      <c r="N522" s="118" t="s">
        <v>57</v>
      </c>
      <c r="O522" s="136">
        <v>99</v>
      </c>
      <c r="P522" s="447">
        <v>0.9</v>
      </c>
      <c r="Q522" s="138">
        <v>0</v>
      </c>
      <c r="R522" s="138">
        <v>1</v>
      </c>
      <c r="S522" s="138" t="b">
        <v>1</v>
      </c>
      <c r="T522" s="138">
        <v>45</v>
      </c>
      <c r="U522" s="118">
        <v>675</v>
      </c>
      <c r="V522" s="118">
        <v>900</v>
      </c>
      <c r="W522" s="138">
        <v>0</v>
      </c>
      <c r="X522" s="138">
        <v>3</v>
      </c>
      <c r="Y522" s="138" t="s">
        <v>38</v>
      </c>
      <c r="Z522" s="388" t="s">
        <v>3275</v>
      </c>
      <c r="AA522" s="388" t="s">
        <v>3275</v>
      </c>
      <c r="AB522" s="136" t="s">
        <v>1224</v>
      </c>
      <c r="AC522" s="138">
        <v>100000</v>
      </c>
      <c r="AD522" s="449">
        <v>1</v>
      </c>
      <c r="AE522" s="449">
        <v>1</v>
      </c>
      <c r="AF522">
        <v>114303</v>
      </c>
      <c r="AG522" s="452">
        <v>3</v>
      </c>
    </row>
    <row r="523" spans="1:33" x14ac:dyDescent="0.15">
      <c r="A523" s="132">
        <v>114304</v>
      </c>
      <c r="B523" s="136" t="s">
        <v>2494</v>
      </c>
      <c r="C523" s="136" t="s">
        <v>2494</v>
      </c>
      <c r="D523" s="138" t="s">
        <v>33</v>
      </c>
      <c r="E523" s="138">
        <v>14</v>
      </c>
      <c r="F523" s="136" t="s">
        <v>1220</v>
      </c>
      <c r="G523" s="138" t="s">
        <v>1227</v>
      </c>
      <c r="H523" s="138" t="s">
        <v>295</v>
      </c>
      <c r="I523" s="138">
        <v>4</v>
      </c>
      <c r="J523" s="118">
        <v>4</v>
      </c>
      <c r="K523" s="138">
        <v>0</v>
      </c>
      <c r="L523" s="138">
        <v>3</v>
      </c>
      <c r="M523" s="138">
        <v>4</v>
      </c>
      <c r="N523" s="118" t="s">
        <v>64</v>
      </c>
      <c r="O523" s="136">
        <v>99</v>
      </c>
      <c r="P523" s="447">
        <v>0.9</v>
      </c>
      <c r="Q523" s="138">
        <v>0</v>
      </c>
      <c r="R523" s="138">
        <v>1</v>
      </c>
      <c r="S523" s="138" t="b">
        <v>1</v>
      </c>
      <c r="T523" s="138">
        <v>45</v>
      </c>
      <c r="U523" s="118">
        <v>675</v>
      </c>
      <c r="V523" s="118">
        <v>900</v>
      </c>
      <c r="W523" s="138">
        <v>0</v>
      </c>
      <c r="X523" s="138">
        <v>4</v>
      </c>
      <c r="Y523" s="138" t="s">
        <v>38</v>
      </c>
      <c r="Z523" s="388" t="s">
        <v>3276</v>
      </c>
      <c r="AA523" s="388" t="s">
        <v>3276</v>
      </c>
      <c r="AB523" s="136" t="s">
        <v>1230</v>
      </c>
      <c r="AC523" s="138">
        <v>100000</v>
      </c>
      <c r="AD523" s="449">
        <v>1</v>
      </c>
      <c r="AE523" s="449">
        <v>1</v>
      </c>
      <c r="AF523">
        <v>0</v>
      </c>
      <c r="AG523" s="452">
        <v>4</v>
      </c>
    </row>
    <row r="524" spans="1:33" x14ac:dyDescent="0.15">
      <c r="A524" s="132">
        <v>114305</v>
      </c>
      <c r="B524" s="136" t="s">
        <v>2498</v>
      </c>
      <c r="C524" s="136" t="s">
        <v>2498</v>
      </c>
      <c r="D524" s="138" t="s">
        <v>33</v>
      </c>
      <c r="E524" s="138">
        <v>14</v>
      </c>
      <c r="F524" s="136" t="s">
        <v>1220</v>
      </c>
      <c r="G524" s="138" t="s">
        <v>1233</v>
      </c>
      <c r="H524" s="138" t="s">
        <v>295</v>
      </c>
      <c r="I524" s="138">
        <v>6</v>
      </c>
      <c r="J524" s="118">
        <v>6</v>
      </c>
      <c r="K524" s="138">
        <v>0</v>
      </c>
      <c r="L524" s="138">
        <v>3</v>
      </c>
      <c r="M524" s="138">
        <v>6</v>
      </c>
      <c r="N524" s="118" t="s">
        <v>71</v>
      </c>
      <c r="O524" s="136">
        <v>99</v>
      </c>
      <c r="P524" s="447">
        <v>0.9</v>
      </c>
      <c r="Q524" s="138">
        <v>0</v>
      </c>
      <c r="R524" s="138">
        <v>1</v>
      </c>
      <c r="S524" s="138" t="b">
        <v>1</v>
      </c>
      <c r="T524" s="138">
        <v>45</v>
      </c>
      <c r="U524" s="118">
        <v>675</v>
      </c>
      <c r="V524" s="118">
        <v>900</v>
      </c>
      <c r="W524" s="138">
        <v>0</v>
      </c>
      <c r="X524" s="138">
        <v>5</v>
      </c>
      <c r="Y524" s="138" t="s">
        <v>38</v>
      </c>
      <c r="Z524" s="388" t="s">
        <v>3277</v>
      </c>
      <c r="AA524" s="388" t="s">
        <v>3277</v>
      </c>
      <c r="AB524" s="136" t="s">
        <v>1236</v>
      </c>
      <c r="AC524" s="138">
        <v>100000</v>
      </c>
      <c r="AD524" s="449">
        <v>1</v>
      </c>
      <c r="AE524" s="449">
        <v>1</v>
      </c>
      <c r="AF524">
        <v>114305</v>
      </c>
      <c r="AG524" s="452">
        <v>5</v>
      </c>
    </row>
    <row r="525" spans="1:33" x14ac:dyDescent="0.15">
      <c r="A525" s="132">
        <v>114406</v>
      </c>
      <c r="B525" s="136" t="s">
        <v>2502</v>
      </c>
      <c r="C525" s="136" t="s">
        <v>2502</v>
      </c>
      <c r="D525" s="138" t="s">
        <v>33</v>
      </c>
      <c r="E525" s="138">
        <v>14</v>
      </c>
      <c r="F525" s="136" t="s">
        <v>1220</v>
      </c>
      <c r="G525" s="138" t="s">
        <v>1257</v>
      </c>
      <c r="H525" s="138" t="s">
        <v>295</v>
      </c>
      <c r="I525" s="138">
        <v>6</v>
      </c>
      <c r="J525" s="118">
        <v>6</v>
      </c>
      <c r="K525" s="138">
        <v>0</v>
      </c>
      <c r="L525" s="138">
        <v>3</v>
      </c>
      <c r="M525" s="138">
        <v>6</v>
      </c>
      <c r="N525" s="118" t="s">
        <v>77</v>
      </c>
      <c r="O525" s="136">
        <v>99</v>
      </c>
      <c r="P525" s="447">
        <v>0.9</v>
      </c>
      <c r="Q525" s="138">
        <v>0</v>
      </c>
      <c r="R525" s="138">
        <v>1</v>
      </c>
      <c r="S525" s="138" t="b">
        <v>1</v>
      </c>
      <c r="T525" s="138">
        <v>45</v>
      </c>
      <c r="U525" s="118">
        <v>675</v>
      </c>
      <c r="V525" s="118">
        <v>900</v>
      </c>
      <c r="W525" s="138">
        <v>0</v>
      </c>
      <c r="X525" s="138">
        <v>6</v>
      </c>
      <c r="Y525" s="138" t="s">
        <v>38</v>
      </c>
      <c r="Z525" s="388" t="s">
        <v>3278</v>
      </c>
      <c r="AA525" s="388" t="s">
        <v>3278</v>
      </c>
      <c r="AB525" s="136" t="s">
        <v>1242</v>
      </c>
      <c r="AC525" s="138">
        <v>100000</v>
      </c>
      <c r="AD525" s="449">
        <v>1</v>
      </c>
      <c r="AE525" s="449">
        <v>1</v>
      </c>
      <c r="AF525">
        <v>0</v>
      </c>
      <c r="AG525" s="452">
        <v>6</v>
      </c>
    </row>
    <row r="526" spans="1:33" x14ac:dyDescent="0.15">
      <c r="A526" s="132">
        <v>114407</v>
      </c>
      <c r="B526" s="136" t="s">
        <v>2506</v>
      </c>
      <c r="C526" s="136" t="s">
        <v>2506</v>
      </c>
      <c r="D526" s="138" t="s">
        <v>33</v>
      </c>
      <c r="E526" s="138">
        <v>14</v>
      </c>
      <c r="F526" s="136" t="s">
        <v>1220</v>
      </c>
      <c r="G526" s="138" t="s">
        <v>1245</v>
      </c>
      <c r="H526" s="138" t="s">
        <v>295</v>
      </c>
      <c r="I526" s="138">
        <v>5</v>
      </c>
      <c r="J526" s="118">
        <v>5</v>
      </c>
      <c r="K526" s="138">
        <v>0</v>
      </c>
      <c r="L526" s="138">
        <v>3</v>
      </c>
      <c r="M526" s="138">
        <v>5</v>
      </c>
      <c r="N526" s="118" t="s">
        <v>83</v>
      </c>
      <c r="O526" s="136">
        <v>99</v>
      </c>
      <c r="P526" s="447">
        <v>0.9</v>
      </c>
      <c r="Q526" s="138">
        <v>0</v>
      </c>
      <c r="R526" s="138">
        <v>1</v>
      </c>
      <c r="S526" s="138" t="b">
        <v>1</v>
      </c>
      <c r="T526" s="138">
        <v>45</v>
      </c>
      <c r="U526" s="118">
        <v>675</v>
      </c>
      <c r="V526" s="118">
        <v>900</v>
      </c>
      <c r="W526" s="138">
        <v>0</v>
      </c>
      <c r="X526" s="138">
        <v>7</v>
      </c>
      <c r="Y526" s="138" t="s">
        <v>38</v>
      </c>
      <c r="Z526" s="388" t="s">
        <v>3279</v>
      </c>
      <c r="AA526" s="388" t="s">
        <v>3279</v>
      </c>
      <c r="AB526" s="136" t="s">
        <v>1254</v>
      </c>
      <c r="AC526" s="138">
        <v>100000</v>
      </c>
      <c r="AD526" s="449">
        <v>1</v>
      </c>
      <c r="AE526" s="449">
        <v>1</v>
      </c>
      <c r="AF526">
        <v>114407</v>
      </c>
      <c r="AG526" s="452">
        <v>7</v>
      </c>
    </row>
    <row r="527" spans="1:33" x14ac:dyDescent="0.15">
      <c r="A527" s="132">
        <v>115203</v>
      </c>
      <c r="B527" s="136" t="s">
        <v>2510</v>
      </c>
      <c r="C527" s="136" t="s">
        <v>2510</v>
      </c>
      <c r="D527" s="138" t="s">
        <v>33</v>
      </c>
      <c r="E527" s="138">
        <v>15</v>
      </c>
      <c r="F527" s="136" t="s">
        <v>1316</v>
      </c>
      <c r="G527" s="138" t="s">
        <v>1323</v>
      </c>
      <c r="H527" s="138" t="s">
        <v>295</v>
      </c>
      <c r="I527" s="138">
        <v>5</v>
      </c>
      <c r="J527" s="118">
        <v>5</v>
      </c>
      <c r="K527" s="138">
        <v>0</v>
      </c>
      <c r="L527" s="138">
        <v>3</v>
      </c>
      <c r="M527" s="138">
        <v>5</v>
      </c>
      <c r="N527" s="118" t="s">
        <v>57</v>
      </c>
      <c r="O527" s="136">
        <v>1</v>
      </c>
      <c r="P527" s="447">
        <v>0.8</v>
      </c>
      <c r="Q527" s="138">
        <v>0</v>
      </c>
      <c r="R527" s="138">
        <v>1</v>
      </c>
      <c r="S527" s="138" t="b">
        <v>1</v>
      </c>
      <c r="T527" s="138">
        <v>39</v>
      </c>
      <c r="U527" s="118">
        <v>585</v>
      </c>
      <c r="V527" s="118">
        <v>780</v>
      </c>
      <c r="W527" s="138">
        <v>0</v>
      </c>
      <c r="X527" s="138">
        <v>3</v>
      </c>
      <c r="Y527" s="138" t="s">
        <v>38</v>
      </c>
      <c r="Z527" s="388" t="s">
        <v>3280</v>
      </c>
      <c r="AA527" s="388" t="s">
        <v>3280</v>
      </c>
      <c r="AB527" s="136" t="s">
        <v>1320</v>
      </c>
      <c r="AC527" s="138">
        <v>100000</v>
      </c>
      <c r="AD527" s="449">
        <v>1</v>
      </c>
      <c r="AE527" s="449">
        <v>1</v>
      </c>
      <c r="AF527">
        <v>0</v>
      </c>
      <c r="AG527" s="452">
        <v>3</v>
      </c>
    </row>
    <row r="528" spans="1:33" x14ac:dyDescent="0.15">
      <c r="A528" s="132">
        <v>115404</v>
      </c>
      <c r="B528" s="136" t="s">
        <v>2514</v>
      </c>
      <c r="C528" s="136" t="s">
        <v>2514</v>
      </c>
      <c r="D528" s="138" t="s">
        <v>33</v>
      </c>
      <c r="E528" s="138">
        <v>15</v>
      </c>
      <c r="F528" s="136" t="s">
        <v>1316</v>
      </c>
      <c r="G528" s="138" t="s">
        <v>1347</v>
      </c>
      <c r="H528" s="138" t="s">
        <v>295</v>
      </c>
      <c r="I528" s="138">
        <v>4</v>
      </c>
      <c r="J528" s="118">
        <v>4</v>
      </c>
      <c r="K528" s="138">
        <v>0</v>
      </c>
      <c r="L528" s="138">
        <v>3</v>
      </c>
      <c r="M528" s="138">
        <v>4</v>
      </c>
      <c r="N528" s="118" t="s">
        <v>64</v>
      </c>
      <c r="O528" s="136">
        <v>1</v>
      </c>
      <c r="P528" s="447">
        <v>0.8</v>
      </c>
      <c r="Q528" s="138">
        <v>0</v>
      </c>
      <c r="R528" s="138">
        <v>1</v>
      </c>
      <c r="S528" s="138" t="b">
        <v>1</v>
      </c>
      <c r="T528" s="138">
        <v>52</v>
      </c>
      <c r="U528" s="118">
        <v>780</v>
      </c>
      <c r="V528" s="118">
        <v>1040</v>
      </c>
      <c r="W528" s="138">
        <v>0</v>
      </c>
      <c r="X528" s="138">
        <v>4</v>
      </c>
      <c r="Y528" s="138" t="s">
        <v>38</v>
      </c>
      <c r="Z528" s="388" t="s">
        <v>3281</v>
      </c>
      <c r="AA528" s="388" t="s">
        <v>3281</v>
      </c>
      <c r="AB528" s="136" t="s">
        <v>1326</v>
      </c>
      <c r="AC528" s="138">
        <v>100000</v>
      </c>
      <c r="AD528" s="449">
        <v>1</v>
      </c>
      <c r="AE528" s="449">
        <v>1</v>
      </c>
      <c r="AF528">
        <v>0</v>
      </c>
      <c r="AG528" s="452">
        <v>4</v>
      </c>
    </row>
    <row r="529" spans="1:33" x14ac:dyDescent="0.15">
      <c r="A529" s="132">
        <v>115306</v>
      </c>
      <c r="B529" s="136" t="s">
        <v>2518</v>
      </c>
      <c r="C529" s="136" t="s">
        <v>2518</v>
      </c>
      <c r="D529" s="138" t="s">
        <v>33</v>
      </c>
      <c r="E529" s="138">
        <v>15</v>
      </c>
      <c r="F529" s="136" t="s">
        <v>1316</v>
      </c>
      <c r="G529" s="138" t="s">
        <v>1341</v>
      </c>
      <c r="H529" s="138" t="s">
        <v>295</v>
      </c>
      <c r="I529" s="138">
        <v>4</v>
      </c>
      <c r="J529" s="118">
        <v>4</v>
      </c>
      <c r="K529" s="138">
        <v>0</v>
      </c>
      <c r="L529" s="138">
        <v>3</v>
      </c>
      <c r="M529" s="138">
        <v>4</v>
      </c>
      <c r="N529" s="118" t="s">
        <v>71</v>
      </c>
      <c r="O529" s="136">
        <v>1</v>
      </c>
      <c r="P529" s="447">
        <v>0.8</v>
      </c>
      <c r="Q529" s="138">
        <v>0</v>
      </c>
      <c r="R529" s="138">
        <v>1</v>
      </c>
      <c r="S529" s="138" t="b">
        <v>1</v>
      </c>
      <c r="T529" s="138">
        <v>65</v>
      </c>
      <c r="U529" s="118">
        <v>975</v>
      </c>
      <c r="V529" s="118">
        <v>1300</v>
      </c>
      <c r="W529" s="138">
        <v>0</v>
      </c>
      <c r="X529" s="138">
        <v>5</v>
      </c>
      <c r="Y529" s="138" t="s">
        <v>38</v>
      </c>
      <c r="Z529" s="388" t="s">
        <v>3282</v>
      </c>
      <c r="AA529" s="388" t="s">
        <v>3282</v>
      </c>
      <c r="AB529" s="136" t="s">
        <v>1344</v>
      </c>
      <c r="AC529" s="138">
        <v>100000</v>
      </c>
      <c r="AD529" s="449">
        <v>1</v>
      </c>
      <c r="AE529" s="449">
        <v>1</v>
      </c>
      <c r="AF529">
        <v>115306</v>
      </c>
      <c r="AG529" s="452">
        <v>5</v>
      </c>
    </row>
    <row r="530" spans="1:33" x14ac:dyDescent="0.15">
      <c r="A530" s="132">
        <v>115407</v>
      </c>
      <c r="B530" s="136" t="s">
        <v>2522</v>
      </c>
      <c r="C530" s="136" t="s">
        <v>2522</v>
      </c>
      <c r="D530" s="138" t="s">
        <v>33</v>
      </c>
      <c r="E530" s="138">
        <v>15</v>
      </c>
      <c r="F530" s="136" t="s">
        <v>1316</v>
      </c>
      <c r="G530" s="138" t="s">
        <v>1353</v>
      </c>
      <c r="H530" s="138" t="s">
        <v>295</v>
      </c>
      <c r="I530" s="138">
        <v>3</v>
      </c>
      <c r="J530" s="118">
        <v>3</v>
      </c>
      <c r="K530" s="138">
        <v>0</v>
      </c>
      <c r="L530" s="138">
        <v>3</v>
      </c>
      <c r="M530" s="138">
        <v>3</v>
      </c>
      <c r="N530" s="118" t="s">
        <v>83</v>
      </c>
      <c r="O530" s="136">
        <v>1</v>
      </c>
      <c r="P530" s="447">
        <v>0.8</v>
      </c>
      <c r="Q530" s="138">
        <v>0</v>
      </c>
      <c r="R530" s="138">
        <v>1</v>
      </c>
      <c r="S530" s="138" t="b">
        <v>1</v>
      </c>
      <c r="T530" s="138">
        <v>91</v>
      </c>
      <c r="U530" s="118">
        <v>1365</v>
      </c>
      <c r="V530" s="118">
        <v>1820</v>
      </c>
      <c r="W530" s="138">
        <v>0</v>
      </c>
      <c r="X530" s="138">
        <v>7</v>
      </c>
      <c r="Y530" s="138" t="s">
        <v>38</v>
      </c>
      <c r="Z530" s="388" t="s">
        <v>3283</v>
      </c>
      <c r="AA530" s="388" t="s">
        <v>3283</v>
      </c>
      <c r="AB530" s="136" t="s">
        <v>1350</v>
      </c>
      <c r="AC530" s="138">
        <v>100000</v>
      </c>
      <c r="AD530" s="449">
        <v>1</v>
      </c>
      <c r="AE530" s="449">
        <v>1</v>
      </c>
      <c r="AF530">
        <v>115407</v>
      </c>
      <c r="AG530" s="452">
        <v>7</v>
      </c>
    </row>
    <row r="531" spans="1:33" x14ac:dyDescent="0.15">
      <c r="A531" s="132">
        <v>200203</v>
      </c>
      <c r="B531" s="136" t="s">
        <v>2526</v>
      </c>
      <c r="C531" s="136" t="s">
        <v>2526</v>
      </c>
      <c r="D531" s="137" t="s">
        <v>1408</v>
      </c>
      <c r="E531" s="138">
        <v>0</v>
      </c>
      <c r="F531" s="138">
        <v>0</v>
      </c>
      <c r="G531" s="138"/>
      <c r="H531" s="138" t="s">
        <v>295</v>
      </c>
      <c r="I531" s="138">
        <v>3</v>
      </c>
      <c r="J531" s="118">
        <v>3</v>
      </c>
      <c r="K531" s="138">
        <v>0</v>
      </c>
      <c r="L531" s="138">
        <v>4</v>
      </c>
      <c r="M531" s="138">
        <v>3</v>
      </c>
      <c r="N531" s="118" t="s">
        <v>1421</v>
      </c>
      <c r="O531" s="138">
        <v>50</v>
      </c>
      <c r="P531" s="138">
        <v>0.5</v>
      </c>
      <c r="Q531" s="138">
        <v>0</v>
      </c>
      <c r="R531" s="138">
        <v>1</v>
      </c>
      <c r="S531" s="138" t="b">
        <v>1</v>
      </c>
      <c r="T531" s="138">
        <v>19</v>
      </c>
      <c r="U531" s="118">
        <v>285</v>
      </c>
      <c r="V531" s="118">
        <v>380</v>
      </c>
      <c r="W531" s="138">
        <v>0</v>
      </c>
      <c r="X531" s="138">
        <v>3</v>
      </c>
      <c r="Y531" s="138" t="s">
        <v>38</v>
      </c>
      <c r="Z531" s="388" t="s">
        <v>3284</v>
      </c>
      <c r="AA531" s="388" t="s">
        <v>3284</v>
      </c>
      <c r="AB531" s="136" t="s">
        <v>1418</v>
      </c>
      <c r="AC531" s="138">
        <v>100000</v>
      </c>
      <c r="AD531" s="449">
        <v>1</v>
      </c>
      <c r="AE531" s="449">
        <v>1</v>
      </c>
      <c r="AF531">
        <v>200203</v>
      </c>
      <c r="AG531" s="452">
        <v>3</v>
      </c>
    </row>
    <row r="532" spans="1:33" x14ac:dyDescent="0.15">
      <c r="A532" s="132">
        <v>200303</v>
      </c>
      <c r="B532" s="136" t="s">
        <v>2530</v>
      </c>
      <c r="C532" s="136" t="s">
        <v>2530</v>
      </c>
      <c r="D532" s="137" t="s">
        <v>1408</v>
      </c>
      <c r="E532" s="138">
        <v>0</v>
      </c>
      <c r="F532" s="138">
        <v>0</v>
      </c>
      <c r="G532" s="138"/>
      <c r="H532" s="138" t="s">
        <v>295</v>
      </c>
      <c r="I532" s="138">
        <v>3</v>
      </c>
      <c r="J532" s="118">
        <v>3</v>
      </c>
      <c r="K532" s="138">
        <v>0</v>
      </c>
      <c r="L532" s="138">
        <v>4</v>
      </c>
      <c r="M532" s="138">
        <v>3</v>
      </c>
      <c r="N532" s="118" t="s">
        <v>1421</v>
      </c>
      <c r="O532" s="138">
        <v>50</v>
      </c>
      <c r="P532" s="138">
        <v>0.5</v>
      </c>
      <c r="Q532" s="138">
        <v>0</v>
      </c>
      <c r="R532" s="138">
        <v>1</v>
      </c>
      <c r="S532" s="138" t="b">
        <v>1</v>
      </c>
      <c r="T532" s="138">
        <v>19</v>
      </c>
      <c r="U532" s="118">
        <v>285</v>
      </c>
      <c r="V532" s="118">
        <v>380</v>
      </c>
      <c r="W532" s="138">
        <v>0</v>
      </c>
      <c r="X532" s="138">
        <v>3</v>
      </c>
      <c r="Y532" s="138" t="s">
        <v>38</v>
      </c>
      <c r="Z532" s="388" t="s">
        <v>3285</v>
      </c>
      <c r="AA532" s="388" t="s">
        <v>3285</v>
      </c>
      <c r="AB532" s="136" t="s">
        <v>1424</v>
      </c>
      <c r="AC532" s="138">
        <v>100000</v>
      </c>
      <c r="AD532" s="449">
        <v>1</v>
      </c>
      <c r="AE532" s="449">
        <v>1</v>
      </c>
      <c r="AF532">
        <v>0</v>
      </c>
      <c r="AG532" s="452">
        <v>3</v>
      </c>
    </row>
    <row r="533" spans="1:33" x14ac:dyDescent="0.15">
      <c r="A533" s="132">
        <v>200403</v>
      </c>
      <c r="B533" s="136" t="s">
        <v>2534</v>
      </c>
      <c r="C533" s="136" t="s">
        <v>2534</v>
      </c>
      <c r="D533" s="137" t="s">
        <v>1408</v>
      </c>
      <c r="E533" s="138">
        <v>0</v>
      </c>
      <c r="F533" s="138">
        <v>0</v>
      </c>
      <c r="G533" s="138"/>
      <c r="H533" s="138" t="s">
        <v>295</v>
      </c>
      <c r="I533" s="138">
        <v>4</v>
      </c>
      <c r="J533" s="118">
        <v>4</v>
      </c>
      <c r="K533" s="138">
        <v>0</v>
      </c>
      <c r="L533" s="138">
        <v>4</v>
      </c>
      <c r="M533" s="138">
        <v>4</v>
      </c>
      <c r="N533" s="118" t="s">
        <v>1421</v>
      </c>
      <c r="O533" s="138">
        <v>50</v>
      </c>
      <c r="P533" s="138">
        <v>0.5</v>
      </c>
      <c r="Q533" s="138">
        <v>0</v>
      </c>
      <c r="R533" s="138">
        <v>1</v>
      </c>
      <c r="S533" s="138" t="b">
        <v>1</v>
      </c>
      <c r="T533" s="138">
        <v>19</v>
      </c>
      <c r="U533" s="118">
        <v>285</v>
      </c>
      <c r="V533" s="118">
        <v>380</v>
      </c>
      <c r="W533" s="138">
        <v>0</v>
      </c>
      <c r="X533" s="138">
        <v>3</v>
      </c>
      <c r="Y533" s="138" t="s">
        <v>38</v>
      </c>
      <c r="Z533" s="388" t="s">
        <v>3286</v>
      </c>
      <c r="AA533" s="388" t="s">
        <v>3286</v>
      </c>
      <c r="AB533" s="136" t="s">
        <v>1433</v>
      </c>
      <c r="AC533" s="138">
        <v>100000</v>
      </c>
      <c r="AD533" s="449">
        <v>1</v>
      </c>
      <c r="AE533" s="449">
        <v>1</v>
      </c>
      <c r="AF533">
        <v>0</v>
      </c>
      <c r="AG533" s="452">
        <v>3</v>
      </c>
    </row>
    <row r="534" spans="1:33" x14ac:dyDescent="0.15">
      <c r="A534" s="132">
        <v>200204</v>
      </c>
      <c r="B534" s="136" t="s">
        <v>2538</v>
      </c>
      <c r="C534" s="136" t="s">
        <v>2538</v>
      </c>
      <c r="D534" s="137" t="s">
        <v>1408</v>
      </c>
      <c r="E534" s="138">
        <v>0</v>
      </c>
      <c r="F534" s="138">
        <v>0</v>
      </c>
      <c r="G534" s="138"/>
      <c r="H534" s="138" t="s">
        <v>295</v>
      </c>
      <c r="I534" s="138">
        <v>3</v>
      </c>
      <c r="J534" s="118">
        <v>3</v>
      </c>
      <c r="K534" s="138">
        <v>0</v>
      </c>
      <c r="L534" s="138">
        <v>4</v>
      </c>
      <c r="M534" s="138">
        <v>3</v>
      </c>
      <c r="N534" s="118" t="s">
        <v>1430</v>
      </c>
      <c r="O534" s="138">
        <v>50</v>
      </c>
      <c r="P534" s="138">
        <v>0.5</v>
      </c>
      <c r="Q534" s="138">
        <v>0</v>
      </c>
      <c r="R534" s="138">
        <v>1</v>
      </c>
      <c r="S534" s="138" t="b">
        <v>1</v>
      </c>
      <c r="T534" s="138">
        <v>26</v>
      </c>
      <c r="U534" s="118">
        <v>390</v>
      </c>
      <c r="V534" s="118">
        <v>520</v>
      </c>
      <c r="W534" s="138">
        <v>0</v>
      </c>
      <c r="X534" s="138">
        <v>4</v>
      </c>
      <c r="Y534" s="138" t="s">
        <v>38</v>
      </c>
      <c r="Z534" s="388" t="s">
        <v>3287</v>
      </c>
      <c r="AA534" s="388" t="s">
        <v>3287</v>
      </c>
      <c r="AB534" s="136" t="s">
        <v>1439</v>
      </c>
      <c r="AC534" s="138">
        <v>100000</v>
      </c>
      <c r="AD534" s="449">
        <v>1</v>
      </c>
      <c r="AE534" s="449">
        <v>1</v>
      </c>
      <c r="AF534">
        <v>200204</v>
      </c>
      <c r="AG534" s="452">
        <v>4</v>
      </c>
    </row>
    <row r="535" spans="1:33" x14ac:dyDescent="0.15">
      <c r="A535" s="132">
        <v>200404</v>
      </c>
      <c r="B535" s="136" t="s">
        <v>2542</v>
      </c>
      <c r="C535" s="136" t="s">
        <v>2542</v>
      </c>
      <c r="D535" s="137" t="s">
        <v>1408</v>
      </c>
      <c r="E535" s="138">
        <v>0</v>
      </c>
      <c r="F535" s="138">
        <v>0</v>
      </c>
      <c r="G535" s="138"/>
      <c r="H535" s="138" t="s">
        <v>295</v>
      </c>
      <c r="I535" s="138">
        <v>4</v>
      </c>
      <c r="J535" s="118">
        <v>4</v>
      </c>
      <c r="K535" s="138">
        <v>0</v>
      </c>
      <c r="L535" s="138">
        <v>4</v>
      </c>
      <c r="M535" s="138">
        <v>4</v>
      </c>
      <c r="N535" s="118" t="s">
        <v>1430</v>
      </c>
      <c r="O535" s="138">
        <v>50</v>
      </c>
      <c r="P535" s="138">
        <v>0.5</v>
      </c>
      <c r="Q535" s="138">
        <v>0</v>
      </c>
      <c r="R535" s="138">
        <v>1</v>
      </c>
      <c r="S535" s="138" t="b">
        <v>1</v>
      </c>
      <c r="T535" s="138">
        <v>26</v>
      </c>
      <c r="U535" s="118">
        <v>390</v>
      </c>
      <c r="V535" s="118">
        <v>520</v>
      </c>
      <c r="W535" s="138">
        <v>0</v>
      </c>
      <c r="X535" s="138">
        <v>4</v>
      </c>
      <c r="Y535" s="138" t="s">
        <v>38</v>
      </c>
      <c r="Z535" s="388" t="s">
        <v>3288</v>
      </c>
      <c r="AA535" s="388" t="s">
        <v>3288</v>
      </c>
      <c r="AB535" s="136" t="s">
        <v>1439</v>
      </c>
      <c r="AC535" s="138">
        <v>100000</v>
      </c>
      <c r="AD535" s="449">
        <v>1</v>
      </c>
      <c r="AE535" s="449">
        <v>1</v>
      </c>
      <c r="AF535">
        <v>200404</v>
      </c>
      <c r="AG535" s="452">
        <v>4</v>
      </c>
    </row>
    <row r="536" spans="1:33" x14ac:dyDescent="0.15">
      <c r="A536" s="132">
        <v>200105</v>
      </c>
      <c r="B536" s="136" t="s">
        <v>2546</v>
      </c>
      <c r="C536" s="136" t="s">
        <v>2546</v>
      </c>
      <c r="D536" s="137" t="s">
        <v>1408</v>
      </c>
      <c r="E536" s="138">
        <v>0</v>
      </c>
      <c r="F536" s="138">
        <v>0</v>
      </c>
      <c r="G536" s="138"/>
      <c r="H536" s="138" t="s">
        <v>295</v>
      </c>
      <c r="I536" s="138">
        <v>5</v>
      </c>
      <c r="J536" s="118">
        <v>5</v>
      </c>
      <c r="K536" s="138">
        <v>0</v>
      </c>
      <c r="L536" s="138">
        <v>4</v>
      </c>
      <c r="M536" s="138">
        <v>5</v>
      </c>
      <c r="N536" s="118" t="s">
        <v>1436</v>
      </c>
      <c r="O536" s="138">
        <v>50</v>
      </c>
      <c r="P536" s="138">
        <v>0.5</v>
      </c>
      <c r="Q536" s="138">
        <v>0</v>
      </c>
      <c r="R536" s="138">
        <v>1</v>
      </c>
      <c r="S536" s="138" t="b">
        <v>1</v>
      </c>
      <c r="T536" s="138">
        <v>32</v>
      </c>
      <c r="U536" s="118">
        <v>480</v>
      </c>
      <c r="V536" s="118">
        <v>640</v>
      </c>
      <c r="W536" s="138">
        <v>0</v>
      </c>
      <c r="X536" s="138">
        <v>5</v>
      </c>
      <c r="Y536" s="138" t="s">
        <v>38</v>
      </c>
      <c r="Z536" s="388" t="s">
        <v>3289</v>
      </c>
      <c r="AA536" s="388" t="s">
        <v>3289</v>
      </c>
      <c r="AB536" s="136" t="s">
        <v>1451</v>
      </c>
      <c r="AC536" s="138">
        <v>100000</v>
      </c>
      <c r="AD536" s="449">
        <v>1</v>
      </c>
      <c r="AE536" s="449">
        <v>1</v>
      </c>
      <c r="AF536">
        <v>0</v>
      </c>
      <c r="AG536" s="452">
        <v>5</v>
      </c>
    </row>
    <row r="537" spans="1:33" x14ac:dyDescent="0.15">
      <c r="A537" s="132">
        <v>200305</v>
      </c>
      <c r="B537" s="136" t="s">
        <v>2550</v>
      </c>
      <c r="C537" s="136" t="s">
        <v>2550</v>
      </c>
      <c r="D537" s="137" t="s">
        <v>1408</v>
      </c>
      <c r="E537" s="138">
        <v>0</v>
      </c>
      <c r="F537" s="138">
        <v>0</v>
      </c>
      <c r="G537" s="138"/>
      <c r="H537" s="138" t="s">
        <v>295</v>
      </c>
      <c r="I537" s="138">
        <v>6</v>
      </c>
      <c r="J537" s="118">
        <v>6</v>
      </c>
      <c r="K537" s="138">
        <v>0</v>
      </c>
      <c r="L537" s="138">
        <v>4</v>
      </c>
      <c r="M537" s="138">
        <v>6</v>
      </c>
      <c r="N537" s="118" t="s">
        <v>1436</v>
      </c>
      <c r="O537" s="138">
        <v>50</v>
      </c>
      <c r="P537" s="138">
        <v>0.5</v>
      </c>
      <c r="Q537" s="138">
        <v>0</v>
      </c>
      <c r="R537" s="138">
        <v>1</v>
      </c>
      <c r="S537" s="138" t="b">
        <v>1</v>
      </c>
      <c r="T537" s="138">
        <v>32</v>
      </c>
      <c r="U537" s="118">
        <v>480</v>
      </c>
      <c r="V537" s="118">
        <v>640</v>
      </c>
      <c r="W537" s="138">
        <v>0</v>
      </c>
      <c r="X537" s="138">
        <v>5</v>
      </c>
      <c r="Y537" s="138" t="s">
        <v>38</v>
      </c>
      <c r="Z537" s="388" t="s">
        <v>3290</v>
      </c>
      <c r="AA537" s="388" t="s">
        <v>3290</v>
      </c>
      <c r="AB537" s="136" t="s">
        <v>1460</v>
      </c>
      <c r="AC537" s="138">
        <v>100000</v>
      </c>
      <c r="AD537" s="449">
        <v>1</v>
      </c>
      <c r="AE537" s="449">
        <v>1</v>
      </c>
      <c r="AF537">
        <v>0</v>
      </c>
      <c r="AG537" s="452">
        <v>5</v>
      </c>
    </row>
    <row r="538" spans="1:33" x14ac:dyDescent="0.15">
      <c r="A538" s="132">
        <v>200206</v>
      </c>
      <c r="B538" s="136" t="s">
        <v>2554</v>
      </c>
      <c r="C538" s="136" t="s">
        <v>2554</v>
      </c>
      <c r="D538" s="137" t="s">
        <v>1408</v>
      </c>
      <c r="E538" s="138">
        <v>0</v>
      </c>
      <c r="F538" s="138">
        <v>0</v>
      </c>
      <c r="G538" s="138"/>
      <c r="H538" s="138" t="s">
        <v>295</v>
      </c>
      <c r="I538" s="138">
        <v>3</v>
      </c>
      <c r="J538" s="118">
        <v>3</v>
      </c>
      <c r="K538" s="138">
        <v>0</v>
      </c>
      <c r="L538" s="138">
        <v>4</v>
      </c>
      <c r="M538" s="138">
        <v>3</v>
      </c>
      <c r="N538" s="118" t="s">
        <v>1442</v>
      </c>
      <c r="O538" s="138">
        <v>50</v>
      </c>
      <c r="P538" s="138">
        <v>0.5</v>
      </c>
      <c r="Q538" s="138">
        <v>0</v>
      </c>
      <c r="R538" s="138">
        <v>1</v>
      </c>
      <c r="S538" s="138" t="b">
        <v>1</v>
      </c>
      <c r="T538" s="138">
        <v>39</v>
      </c>
      <c r="U538" s="118">
        <v>585</v>
      </c>
      <c r="V538" s="118">
        <v>780</v>
      </c>
      <c r="W538" s="138">
        <v>0</v>
      </c>
      <c r="X538" s="138">
        <v>6</v>
      </c>
      <c r="Y538" s="138" t="s">
        <v>38</v>
      </c>
      <c r="Z538" s="388" t="s">
        <v>3291</v>
      </c>
      <c r="AA538" s="388" t="s">
        <v>3291</v>
      </c>
      <c r="AB538" s="136" t="s">
        <v>1466</v>
      </c>
      <c r="AC538" s="138">
        <v>100000</v>
      </c>
      <c r="AD538" s="449">
        <v>1</v>
      </c>
      <c r="AE538" s="449">
        <v>1</v>
      </c>
      <c r="AF538">
        <v>200206</v>
      </c>
      <c r="AG538" s="452">
        <v>6</v>
      </c>
    </row>
    <row r="539" spans="1:33" x14ac:dyDescent="0.15">
      <c r="A539" s="132">
        <v>200306</v>
      </c>
      <c r="B539" s="136" t="s">
        <v>2558</v>
      </c>
      <c r="C539" s="136" t="s">
        <v>2558</v>
      </c>
      <c r="D539" s="137" t="s">
        <v>1408</v>
      </c>
      <c r="E539" s="138">
        <v>0</v>
      </c>
      <c r="F539" s="138">
        <v>0</v>
      </c>
      <c r="G539" s="138"/>
      <c r="H539" s="138" t="s">
        <v>295</v>
      </c>
      <c r="I539" s="138">
        <v>5</v>
      </c>
      <c r="J539" s="118">
        <v>5</v>
      </c>
      <c r="K539" s="138">
        <v>0</v>
      </c>
      <c r="L539" s="138">
        <v>4</v>
      </c>
      <c r="M539" s="138">
        <v>5</v>
      </c>
      <c r="N539" s="118" t="s">
        <v>1442</v>
      </c>
      <c r="O539" s="138">
        <v>50</v>
      </c>
      <c r="P539" s="138">
        <v>0.5</v>
      </c>
      <c r="Q539" s="138">
        <v>0</v>
      </c>
      <c r="R539" s="138">
        <v>1</v>
      </c>
      <c r="S539" s="138" t="b">
        <v>1</v>
      </c>
      <c r="T539" s="138">
        <v>39</v>
      </c>
      <c r="U539" s="118">
        <v>585</v>
      </c>
      <c r="V539" s="118">
        <v>780</v>
      </c>
      <c r="W539" s="138">
        <v>0</v>
      </c>
      <c r="X539" s="138">
        <v>6</v>
      </c>
      <c r="Y539" s="138" t="s">
        <v>38</v>
      </c>
      <c r="Z539" s="388" t="s">
        <v>3292</v>
      </c>
      <c r="AA539" s="388" t="s">
        <v>3292</v>
      </c>
      <c r="AB539" s="136" t="s">
        <v>1439</v>
      </c>
      <c r="AC539" s="138">
        <v>100000</v>
      </c>
      <c r="AD539" s="449">
        <v>1</v>
      </c>
      <c r="AE539" s="449">
        <v>1</v>
      </c>
      <c r="AF539">
        <v>200306</v>
      </c>
      <c r="AG539" s="452">
        <v>6</v>
      </c>
    </row>
    <row r="540" spans="1:33" x14ac:dyDescent="0.15">
      <c r="A540" s="132">
        <v>200507</v>
      </c>
      <c r="B540" s="136" t="s">
        <v>2562</v>
      </c>
      <c r="C540" s="136" t="s">
        <v>2562</v>
      </c>
      <c r="D540" s="137" t="s">
        <v>1408</v>
      </c>
      <c r="E540" s="138">
        <v>0</v>
      </c>
      <c r="F540" s="138">
        <v>0</v>
      </c>
      <c r="G540" s="138"/>
      <c r="H540" s="138" t="s">
        <v>295</v>
      </c>
      <c r="I540" s="138">
        <v>6</v>
      </c>
      <c r="J540" s="118">
        <v>6</v>
      </c>
      <c r="K540" s="138">
        <v>0</v>
      </c>
      <c r="L540" s="138">
        <v>4</v>
      </c>
      <c r="M540" s="138">
        <v>6</v>
      </c>
      <c r="N540" s="118" t="s">
        <v>1448</v>
      </c>
      <c r="O540" s="138">
        <v>50</v>
      </c>
      <c r="P540" s="138">
        <v>0.5</v>
      </c>
      <c r="Q540" s="138">
        <v>0</v>
      </c>
      <c r="R540" s="138">
        <v>1</v>
      </c>
      <c r="S540" s="138" t="b">
        <v>1</v>
      </c>
      <c r="T540" s="138">
        <v>45</v>
      </c>
      <c r="U540" s="118">
        <v>675</v>
      </c>
      <c r="V540" s="118">
        <v>900</v>
      </c>
      <c r="W540" s="138">
        <v>0</v>
      </c>
      <c r="X540" s="138">
        <v>7</v>
      </c>
      <c r="Y540" s="138" t="s">
        <v>38</v>
      </c>
      <c r="Z540" s="388" t="s">
        <v>3293</v>
      </c>
      <c r="AA540" s="388" t="s">
        <v>3293</v>
      </c>
      <c r="AB540" s="136" t="s">
        <v>1502</v>
      </c>
      <c r="AC540" s="138">
        <v>100000</v>
      </c>
      <c r="AD540" s="449">
        <v>1</v>
      </c>
      <c r="AE540" s="449">
        <v>1</v>
      </c>
      <c r="AF540">
        <v>0</v>
      </c>
      <c r="AG540" s="452">
        <v>7</v>
      </c>
    </row>
    <row r="541" spans="1:33" x14ac:dyDescent="0.15">
      <c r="A541" s="132">
        <v>300203</v>
      </c>
      <c r="B541" s="136" t="s">
        <v>2566</v>
      </c>
      <c r="C541" s="136" t="s">
        <v>2566</v>
      </c>
      <c r="D541" s="137" t="s">
        <v>1508</v>
      </c>
      <c r="E541" s="138">
        <v>0</v>
      </c>
      <c r="F541" s="138">
        <v>0</v>
      </c>
      <c r="G541" s="138"/>
      <c r="H541" s="138" t="s">
        <v>295</v>
      </c>
      <c r="I541" s="138">
        <v>5</v>
      </c>
      <c r="J541" s="118">
        <v>5</v>
      </c>
      <c r="K541" s="138">
        <v>0</v>
      </c>
      <c r="L541" s="138">
        <v>4</v>
      </c>
      <c r="M541" s="138">
        <v>5</v>
      </c>
      <c r="N541" s="118" t="s">
        <v>1521</v>
      </c>
      <c r="O541" s="138">
        <v>50</v>
      </c>
      <c r="P541" s="138">
        <v>0.5</v>
      </c>
      <c r="Q541" s="138">
        <v>0</v>
      </c>
      <c r="R541" s="138">
        <v>1</v>
      </c>
      <c r="S541" s="138" t="b">
        <v>1</v>
      </c>
      <c r="T541" s="138">
        <v>19</v>
      </c>
      <c r="U541" s="118">
        <v>285</v>
      </c>
      <c r="V541" s="118">
        <v>380</v>
      </c>
      <c r="W541" s="138">
        <v>0</v>
      </c>
      <c r="X541" s="138">
        <v>3</v>
      </c>
      <c r="Y541" s="138" t="s">
        <v>38</v>
      </c>
      <c r="Z541" s="388" t="s">
        <v>3294</v>
      </c>
      <c r="AA541" s="388" t="s">
        <v>3294</v>
      </c>
      <c r="AB541" s="138" t="s">
        <v>1524</v>
      </c>
      <c r="AC541" s="138">
        <v>100000</v>
      </c>
      <c r="AD541" s="449">
        <v>1</v>
      </c>
      <c r="AE541" s="449">
        <v>1</v>
      </c>
      <c r="AF541">
        <v>0</v>
      </c>
      <c r="AG541" s="452">
        <v>3</v>
      </c>
    </row>
    <row r="542" spans="1:33" x14ac:dyDescent="0.15">
      <c r="A542" s="132">
        <v>300303</v>
      </c>
      <c r="B542" s="136" t="s">
        <v>2570</v>
      </c>
      <c r="C542" s="136" t="s">
        <v>2570</v>
      </c>
      <c r="D542" s="137" t="s">
        <v>1508</v>
      </c>
      <c r="E542" s="138">
        <v>0</v>
      </c>
      <c r="F542" s="138">
        <v>0</v>
      </c>
      <c r="G542" s="138"/>
      <c r="H542" s="138" t="s">
        <v>295</v>
      </c>
      <c r="I542" s="138">
        <v>5</v>
      </c>
      <c r="J542" s="118">
        <v>5</v>
      </c>
      <c r="K542" s="138">
        <v>0</v>
      </c>
      <c r="L542" s="138">
        <v>4</v>
      </c>
      <c r="M542" s="138">
        <v>5</v>
      </c>
      <c r="N542" s="118" t="s">
        <v>1521</v>
      </c>
      <c r="O542" s="138">
        <v>50</v>
      </c>
      <c r="P542" s="138">
        <v>0.5</v>
      </c>
      <c r="Q542" s="138">
        <v>0</v>
      </c>
      <c r="R542" s="138">
        <v>1</v>
      </c>
      <c r="S542" s="138" t="b">
        <v>1</v>
      </c>
      <c r="T542" s="138">
        <v>19</v>
      </c>
      <c r="U542" s="118">
        <v>285</v>
      </c>
      <c r="V542" s="118">
        <v>380</v>
      </c>
      <c r="W542" s="138">
        <v>0</v>
      </c>
      <c r="X542" s="138">
        <v>3</v>
      </c>
      <c r="Y542" s="138" t="s">
        <v>38</v>
      </c>
      <c r="Z542" s="388" t="s">
        <v>3295</v>
      </c>
      <c r="AA542" s="388" t="s">
        <v>3295</v>
      </c>
      <c r="AB542" s="138" t="s">
        <v>1512</v>
      </c>
      <c r="AC542" s="138">
        <v>100000</v>
      </c>
      <c r="AD542" s="449">
        <v>1</v>
      </c>
      <c r="AE542" s="449">
        <v>1</v>
      </c>
      <c r="AF542">
        <v>300303</v>
      </c>
      <c r="AG542" s="452">
        <v>3</v>
      </c>
    </row>
    <row r="543" spans="1:33" x14ac:dyDescent="0.15">
      <c r="A543" s="132">
        <v>300403</v>
      </c>
      <c r="B543" s="136" t="s">
        <v>2574</v>
      </c>
      <c r="C543" s="136" t="s">
        <v>2574</v>
      </c>
      <c r="D543" s="137" t="s">
        <v>1508</v>
      </c>
      <c r="E543" s="138">
        <v>0</v>
      </c>
      <c r="F543" s="138">
        <v>0</v>
      </c>
      <c r="G543" s="138"/>
      <c r="H543" s="138" t="s">
        <v>295</v>
      </c>
      <c r="I543" s="138">
        <v>4</v>
      </c>
      <c r="J543" s="118">
        <v>4</v>
      </c>
      <c r="K543" s="138">
        <v>0</v>
      </c>
      <c r="L543" s="138">
        <v>4</v>
      </c>
      <c r="M543" s="138">
        <v>4</v>
      </c>
      <c r="N543" s="118" t="s">
        <v>1521</v>
      </c>
      <c r="O543" s="138">
        <v>50</v>
      </c>
      <c r="P543" s="138">
        <v>0.5</v>
      </c>
      <c r="Q543" s="138">
        <v>0</v>
      </c>
      <c r="R543" s="138">
        <v>1</v>
      </c>
      <c r="S543" s="138" t="b">
        <v>1</v>
      </c>
      <c r="T543" s="138">
        <v>19</v>
      </c>
      <c r="U543" s="118">
        <v>285</v>
      </c>
      <c r="V543" s="118">
        <v>380</v>
      </c>
      <c r="W543" s="138">
        <v>0</v>
      </c>
      <c r="X543" s="138">
        <v>3</v>
      </c>
      <c r="Y543" s="138" t="s">
        <v>38</v>
      </c>
      <c r="Z543" s="388" t="s">
        <v>3296</v>
      </c>
      <c r="AA543" s="388" t="s">
        <v>3296</v>
      </c>
      <c r="AB543" s="138" t="s">
        <v>1524</v>
      </c>
      <c r="AC543" s="138">
        <v>100000</v>
      </c>
      <c r="AD543" s="449">
        <v>1</v>
      </c>
      <c r="AE543" s="449">
        <v>1</v>
      </c>
      <c r="AF543">
        <v>0</v>
      </c>
      <c r="AG543" s="452">
        <v>3</v>
      </c>
    </row>
    <row r="544" spans="1:33" x14ac:dyDescent="0.15">
      <c r="A544" s="132">
        <v>300204</v>
      </c>
      <c r="B544" s="136" t="s">
        <v>2578</v>
      </c>
      <c r="C544" s="136" t="s">
        <v>2578</v>
      </c>
      <c r="D544" s="137" t="s">
        <v>1508</v>
      </c>
      <c r="E544" s="138">
        <v>0</v>
      </c>
      <c r="F544" s="138">
        <v>0</v>
      </c>
      <c r="G544" s="138"/>
      <c r="H544" s="138" t="s">
        <v>295</v>
      </c>
      <c r="I544" s="138">
        <v>6</v>
      </c>
      <c r="J544" s="118">
        <v>6</v>
      </c>
      <c r="K544" s="138">
        <v>0</v>
      </c>
      <c r="L544" s="138">
        <v>4</v>
      </c>
      <c r="M544" s="138">
        <v>6</v>
      </c>
      <c r="N544" s="118" t="s">
        <v>1527</v>
      </c>
      <c r="O544" s="138">
        <v>50</v>
      </c>
      <c r="P544" s="138">
        <v>0.5</v>
      </c>
      <c r="Q544" s="138">
        <v>0</v>
      </c>
      <c r="R544" s="138">
        <v>1</v>
      </c>
      <c r="S544" s="138" t="b">
        <v>1</v>
      </c>
      <c r="T544" s="138">
        <v>26</v>
      </c>
      <c r="U544" s="118">
        <v>390</v>
      </c>
      <c r="V544" s="118">
        <v>520</v>
      </c>
      <c r="W544" s="138">
        <v>0</v>
      </c>
      <c r="X544" s="138">
        <v>4</v>
      </c>
      <c r="Y544" s="138" t="s">
        <v>38</v>
      </c>
      <c r="Z544" s="388" t="s">
        <v>3297</v>
      </c>
      <c r="AA544" s="388" t="s">
        <v>3297</v>
      </c>
      <c r="AB544" s="138" t="s">
        <v>1542</v>
      </c>
      <c r="AC544" s="138">
        <v>100000</v>
      </c>
      <c r="AD544" s="449">
        <v>1</v>
      </c>
      <c r="AE544" s="449">
        <v>1</v>
      </c>
      <c r="AF544">
        <v>0</v>
      </c>
      <c r="AG544" s="452">
        <v>4</v>
      </c>
    </row>
    <row r="545" spans="1:33" x14ac:dyDescent="0.15">
      <c r="A545" s="132">
        <v>300304</v>
      </c>
      <c r="B545" s="136" t="s">
        <v>2582</v>
      </c>
      <c r="C545" s="136" t="s">
        <v>2582</v>
      </c>
      <c r="D545" s="137" t="s">
        <v>1508</v>
      </c>
      <c r="E545" s="138">
        <v>0</v>
      </c>
      <c r="F545" s="138">
        <v>0</v>
      </c>
      <c r="G545" s="138"/>
      <c r="H545" s="138" t="s">
        <v>295</v>
      </c>
      <c r="I545" s="138">
        <v>6</v>
      </c>
      <c r="J545" s="118">
        <v>6</v>
      </c>
      <c r="K545" s="138">
        <v>0</v>
      </c>
      <c r="L545" s="138">
        <v>4</v>
      </c>
      <c r="M545" s="138">
        <v>6</v>
      </c>
      <c r="N545" s="118" t="s">
        <v>1527</v>
      </c>
      <c r="O545" s="138">
        <v>50</v>
      </c>
      <c r="P545" s="138">
        <v>0.5</v>
      </c>
      <c r="Q545" s="138">
        <v>0</v>
      </c>
      <c r="R545" s="138">
        <v>1</v>
      </c>
      <c r="S545" s="138" t="b">
        <v>1</v>
      </c>
      <c r="T545" s="138">
        <v>26</v>
      </c>
      <c r="U545" s="118">
        <v>390</v>
      </c>
      <c r="V545" s="118">
        <v>520</v>
      </c>
      <c r="W545" s="138">
        <v>0</v>
      </c>
      <c r="X545" s="138">
        <v>4</v>
      </c>
      <c r="Y545" s="138" t="s">
        <v>38</v>
      </c>
      <c r="Z545" s="388" t="s">
        <v>3298</v>
      </c>
      <c r="AA545" s="388" t="s">
        <v>3298</v>
      </c>
      <c r="AB545" s="138" t="s">
        <v>1530</v>
      </c>
      <c r="AC545" s="138">
        <v>100000</v>
      </c>
      <c r="AD545" s="449">
        <v>1</v>
      </c>
      <c r="AE545" s="449">
        <v>1</v>
      </c>
      <c r="AF545">
        <v>300304</v>
      </c>
      <c r="AG545" s="452">
        <v>4</v>
      </c>
    </row>
    <row r="546" spans="1:33" x14ac:dyDescent="0.15">
      <c r="A546" s="132">
        <v>300405</v>
      </c>
      <c r="B546" s="136" t="s">
        <v>2586</v>
      </c>
      <c r="C546" s="136" t="s">
        <v>2586</v>
      </c>
      <c r="D546" s="137" t="s">
        <v>1508</v>
      </c>
      <c r="E546" s="138">
        <v>0</v>
      </c>
      <c r="F546" s="138">
        <v>0</v>
      </c>
      <c r="G546" s="138"/>
      <c r="H546" s="138" t="s">
        <v>295</v>
      </c>
      <c r="I546" s="138">
        <v>5</v>
      </c>
      <c r="J546" s="118">
        <v>5</v>
      </c>
      <c r="K546" s="138">
        <v>0</v>
      </c>
      <c r="L546" s="138">
        <v>4</v>
      </c>
      <c r="M546" s="138">
        <v>5</v>
      </c>
      <c r="N546" s="118" t="s">
        <v>1533</v>
      </c>
      <c r="O546" s="138">
        <v>50</v>
      </c>
      <c r="P546" s="138">
        <v>0.5</v>
      </c>
      <c r="Q546" s="138">
        <v>0</v>
      </c>
      <c r="R546" s="138">
        <v>1</v>
      </c>
      <c r="S546" s="138" t="b">
        <v>1</v>
      </c>
      <c r="T546" s="138">
        <v>32</v>
      </c>
      <c r="U546" s="118">
        <v>480</v>
      </c>
      <c r="V546" s="118">
        <v>640</v>
      </c>
      <c r="W546" s="138">
        <v>0</v>
      </c>
      <c r="X546" s="138">
        <v>5</v>
      </c>
      <c r="Y546" s="138" t="s">
        <v>38</v>
      </c>
      <c r="Z546" s="388" t="s">
        <v>3299</v>
      </c>
      <c r="AA546" s="388" t="s">
        <v>3299</v>
      </c>
      <c r="AB546" s="138" t="s">
        <v>1548</v>
      </c>
      <c r="AC546" s="138">
        <v>100000</v>
      </c>
      <c r="AD546" s="449">
        <v>1</v>
      </c>
      <c r="AE546" s="449">
        <v>1</v>
      </c>
      <c r="AF546">
        <v>0</v>
      </c>
      <c r="AG546" s="452">
        <v>5</v>
      </c>
    </row>
    <row r="547" spans="1:33" x14ac:dyDescent="0.15">
      <c r="A547" s="132">
        <v>300505</v>
      </c>
      <c r="B547" s="136" t="s">
        <v>2590</v>
      </c>
      <c r="C547" s="136" t="s">
        <v>2590</v>
      </c>
      <c r="D547" s="137" t="s">
        <v>1508</v>
      </c>
      <c r="E547" s="138">
        <v>0</v>
      </c>
      <c r="F547" s="138">
        <v>0</v>
      </c>
      <c r="G547" s="138"/>
      <c r="H547" s="138" t="s">
        <v>295</v>
      </c>
      <c r="I547" s="138">
        <v>6</v>
      </c>
      <c r="J547" s="118">
        <v>6</v>
      </c>
      <c r="K547" s="138">
        <v>0</v>
      </c>
      <c r="L547" s="138">
        <v>4</v>
      </c>
      <c r="M547" s="138">
        <v>6</v>
      </c>
      <c r="N547" s="118" t="s">
        <v>2591</v>
      </c>
      <c r="O547" s="138">
        <v>50</v>
      </c>
      <c r="P547" s="138">
        <v>0.5</v>
      </c>
      <c r="Q547" s="138">
        <v>0</v>
      </c>
      <c r="R547" s="138">
        <v>1</v>
      </c>
      <c r="S547" s="138" t="b">
        <v>1</v>
      </c>
      <c r="T547" s="138">
        <v>32</v>
      </c>
      <c r="U547" s="118">
        <v>480</v>
      </c>
      <c r="V547" s="118">
        <v>640</v>
      </c>
      <c r="W547" s="138">
        <v>0</v>
      </c>
      <c r="X547" s="138">
        <v>5</v>
      </c>
      <c r="Y547" s="138" t="s">
        <v>38</v>
      </c>
      <c r="Z547" s="388" t="s">
        <v>3300</v>
      </c>
      <c r="AA547" s="388" t="s">
        <v>3300</v>
      </c>
      <c r="AB547" s="138" t="s">
        <v>1536</v>
      </c>
      <c r="AC547" s="138">
        <v>100000</v>
      </c>
      <c r="AD547" s="449">
        <v>1</v>
      </c>
      <c r="AE547" s="449">
        <v>1</v>
      </c>
      <c r="AF547">
        <v>300505</v>
      </c>
      <c r="AG547" s="452">
        <v>5</v>
      </c>
    </row>
    <row r="548" spans="1:33" x14ac:dyDescent="0.15">
      <c r="A548" s="132">
        <v>300106</v>
      </c>
      <c r="B548" s="136" t="s">
        <v>2595</v>
      </c>
      <c r="C548" s="136" t="s">
        <v>2595</v>
      </c>
      <c r="D548" s="137" t="s">
        <v>1508</v>
      </c>
      <c r="E548" s="138">
        <v>0</v>
      </c>
      <c r="F548" s="138">
        <v>0</v>
      </c>
      <c r="G548" s="138"/>
      <c r="H548" s="138" t="s">
        <v>295</v>
      </c>
      <c r="I548" s="138">
        <v>4</v>
      </c>
      <c r="J548" s="118">
        <v>4</v>
      </c>
      <c r="K548" s="138">
        <v>0</v>
      </c>
      <c r="L548" s="138">
        <v>4</v>
      </c>
      <c r="M548" s="138">
        <v>4</v>
      </c>
      <c r="N548" s="118" t="s">
        <v>1539</v>
      </c>
      <c r="O548" s="138">
        <v>50</v>
      </c>
      <c r="P548" s="138">
        <v>0.5</v>
      </c>
      <c r="Q548" s="138">
        <v>0</v>
      </c>
      <c r="R548" s="138">
        <v>1</v>
      </c>
      <c r="S548" s="138" t="b">
        <v>1</v>
      </c>
      <c r="T548" s="138">
        <v>39</v>
      </c>
      <c r="U548" s="118">
        <v>585</v>
      </c>
      <c r="V548" s="118">
        <v>780</v>
      </c>
      <c r="W548" s="138">
        <v>0</v>
      </c>
      <c r="X548" s="138">
        <v>6</v>
      </c>
      <c r="Y548" s="138" t="s">
        <v>38</v>
      </c>
      <c r="Z548" s="388" t="s">
        <v>3301</v>
      </c>
      <c r="AA548" s="388" t="s">
        <v>3301</v>
      </c>
      <c r="AB548" s="138" t="s">
        <v>1530</v>
      </c>
      <c r="AC548" s="138">
        <v>100000</v>
      </c>
      <c r="AD548" s="449">
        <v>1</v>
      </c>
      <c r="AE548" s="449">
        <v>1</v>
      </c>
      <c r="AF548">
        <v>0</v>
      </c>
      <c r="AG548" s="452">
        <v>6</v>
      </c>
    </row>
    <row r="549" spans="1:33" x14ac:dyDescent="0.15">
      <c r="A549" s="132">
        <v>300206</v>
      </c>
      <c r="B549" s="136" t="s">
        <v>2599</v>
      </c>
      <c r="C549" s="136" t="s">
        <v>2599</v>
      </c>
      <c r="D549" s="137" t="s">
        <v>1508</v>
      </c>
      <c r="E549" s="138">
        <v>0</v>
      </c>
      <c r="F549" s="138">
        <v>0</v>
      </c>
      <c r="G549" s="138"/>
      <c r="H549" s="138" t="s">
        <v>295</v>
      </c>
      <c r="I549" s="138">
        <v>3</v>
      </c>
      <c r="J549" s="118">
        <v>3</v>
      </c>
      <c r="K549" s="138">
        <v>0</v>
      </c>
      <c r="L549" s="138">
        <v>4</v>
      </c>
      <c r="M549" s="138">
        <v>3</v>
      </c>
      <c r="N549" s="118" t="s">
        <v>1539</v>
      </c>
      <c r="O549" s="138">
        <v>50</v>
      </c>
      <c r="P549" s="138">
        <v>0.5</v>
      </c>
      <c r="Q549" s="138">
        <v>0</v>
      </c>
      <c r="R549" s="138">
        <v>1</v>
      </c>
      <c r="S549" s="138" t="b">
        <v>1</v>
      </c>
      <c r="T549" s="138">
        <v>39</v>
      </c>
      <c r="U549" s="118">
        <v>585</v>
      </c>
      <c r="V549" s="118">
        <v>780</v>
      </c>
      <c r="W549" s="138">
        <v>0</v>
      </c>
      <c r="X549" s="138">
        <v>6</v>
      </c>
      <c r="Y549" s="138" t="s">
        <v>38</v>
      </c>
      <c r="Z549" s="388" t="s">
        <v>3302</v>
      </c>
      <c r="AA549" s="388" t="s">
        <v>3302</v>
      </c>
      <c r="AB549" s="138" t="s">
        <v>1518</v>
      </c>
      <c r="AC549" s="138">
        <v>100000</v>
      </c>
      <c r="AD549" s="449">
        <v>1</v>
      </c>
      <c r="AE549" s="449">
        <v>1</v>
      </c>
      <c r="AF549">
        <v>0</v>
      </c>
      <c r="AG549" s="452">
        <v>6</v>
      </c>
    </row>
    <row r="550" spans="1:33" x14ac:dyDescent="0.15">
      <c r="A550" s="132">
        <v>300207</v>
      </c>
      <c r="B550" s="136" t="s">
        <v>2603</v>
      </c>
      <c r="C550" s="136" t="s">
        <v>2603</v>
      </c>
      <c r="D550" s="137" t="s">
        <v>1508</v>
      </c>
      <c r="E550" s="138">
        <v>0</v>
      </c>
      <c r="F550" s="138">
        <v>0</v>
      </c>
      <c r="G550" s="138"/>
      <c r="H550" s="138" t="s">
        <v>295</v>
      </c>
      <c r="I550" s="138">
        <v>4</v>
      </c>
      <c r="J550" s="118">
        <v>4</v>
      </c>
      <c r="K550" s="138">
        <v>0</v>
      </c>
      <c r="L550" s="138">
        <v>4</v>
      </c>
      <c r="M550" s="138">
        <v>4</v>
      </c>
      <c r="N550" s="118" t="s">
        <v>1545</v>
      </c>
      <c r="O550" s="138">
        <v>50</v>
      </c>
      <c r="P550" s="138">
        <v>0.5</v>
      </c>
      <c r="Q550" s="138">
        <v>0</v>
      </c>
      <c r="R550" s="138">
        <v>1</v>
      </c>
      <c r="S550" s="138" t="b">
        <v>1</v>
      </c>
      <c r="T550" s="138">
        <v>45</v>
      </c>
      <c r="U550" s="118">
        <v>675</v>
      </c>
      <c r="V550" s="118">
        <v>900</v>
      </c>
      <c r="W550" s="138">
        <v>0</v>
      </c>
      <c r="X550" s="138">
        <v>7</v>
      </c>
      <c r="Y550" s="138" t="s">
        <v>38</v>
      </c>
      <c r="Z550" s="388" t="s">
        <v>3303</v>
      </c>
      <c r="AA550" s="388" t="s">
        <v>3303</v>
      </c>
      <c r="AB550" s="138" t="s">
        <v>1558</v>
      </c>
      <c r="AC550" s="138">
        <v>100000</v>
      </c>
      <c r="AD550" s="449">
        <v>1</v>
      </c>
      <c r="AE550" s="449">
        <v>1</v>
      </c>
      <c r="AF550">
        <v>0</v>
      </c>
      <c r="AG550" s="452">
        <v>7</v>
      </c>
    </row>
    <row r="551" spans="1:33" x14ac:dyDescent="0.15">
      <c r="A551" s="132">
        <v>400203</v>
      </c>
      <c r="B551" s="136" t="s">
        <v>2607</v>
      </c>
      <c r="C551" s="136" t="s">
        <v>2607</v>
      </c>
      <c r="D551" s="137" t="s">
        <v>1594</v>
      </c>
      <c r="E551" s="138">
        <v>0</v>
      </c>
      <c r="F551" s="138">
        <v>0</v>
      </c>
      <c r="G551" s="138"/>
      <c r="H551" s="138" t="s">
        <v>295</v>
      </c>
      <c r="I551" s="138">
        <v>6</v>
      </c>
      <c r="J551" s="118">
        <v>6</v>
      </c>
      <c r="K551" s="138">
        <v>0</v>
      </c>
      <c r="L551" s="138">
        <v>4</v>
      </c>
      <c r="M551" s="138">
        <v>6</v>
      </c>
      <c r="N551" s="118" t="s">
        <v>1521</v>
      </c>
      <c r="O551" s="138">
        <v>50</v>
      </c>
      <c r="P551" s="138">
        <v>0.5</v>
      </c>
      <c r="Q551" s="138">
        <v>0</v>
      </c>
      <c r="R551" s="138">
        <v>1</v>
      </c>
      <c r="S551" s="138" t="b">
        <v>1</v>
      </c>
      <c r="T551" s="138">
        <v>19</v>
      </c>
      <c r="U551" s="118">
        <v>285</v>
      </c>
      <c r="V551" s="118">
        <v>380</v>
      </c>
      <c r="W551" s="138">
        <v>0</v>
      </c>
      <c r="X551" s="138">
        <v>3</v>
      </c>
      <c r="Y551" s="138" t="s">
        <v>38</v>
      </c>
      <c r="Z551" s="388" t="s">
        <v>3304</v>
      </c>
      <c r="AA551" s="388" t="s">
        <v>3304</v>
      </c>
      <c r="AB551" s="138" t="s">
        <v>1597</v>
      </c>
      <c r="AC551" s="138">
        <v>100000</v>
      </c>
      <c r="AD551" s="449">
        <v>1</v>
      </c>
      <c r="AE551" s="449">
        <v>1</v>
      </c>
      <c r="AF551">
        <v>0</v>
      </c>
      <c r="AG551" s="452">
        <v>3</v>
      </c>
    </row>
    <row r="552" spans="1:33" x14ac:dyDescent="0.15">
      <c r="A552" s="132">
        <v>400303</v>
      </c>
      <c r="B552" s="136" t="s">
        <v>2611</v>
      </c>
      <c r="C552" s="136" t="s">
        <v>2611</v>
      </c>
      <c r="D552" s="137" t="s">
        <v>1594</v>
      </c>
      <c r="E552" s="138">
        <v>0</v>
      </c>
      <c r="F552" s="138">
        <v>0</v>
      </c>
      <c r="G552" s="138"/>
      <c r="H552" s="138" t="s">
        <v>295</v>
      </c>
      <c r="I552" s="138">
        <v>6</v>
      </c>
      <c r="J552" s="118">
        <v>6</v>
      </c>
      <c r="K552" s="138">
        <v>0</v>
      </c>
      <c r="L552" s="138">
        <v>4</v>
      </c>
      <c r="M552" s="138">
        <v>6</v>
      </c>
      <c r="N552" s="118" t="s">
        <v>1521</v>
      </c>
      <c r="O552" s="138">
        <v>50</v>
      </c>
      <c r="P552" s="138">
        <v>0.5</v>
      </c>
      <c r="Q552" s="138">
        <v>0</v>
      </c>
      <c r="R552" s="138">
        <v>1</v>
      </c>
      <c r="S552" s="138" t="b">
        <v>1</v>
      </c>
      <c r="T552" s="138">
        <v>19</v>
      </c>
      <c r="U552" s="118">
        <v>285</v>
      </c>
      <c r="V552" s="118">
        <v>380</v>
      </c>
      <c r="W552" s="138">
        <v>0</v>
      </c>
      <c r="X552" s="138">
        <v>3</v>
      </c>
      <c r="Y552" s="138" t="s">
        <v>38</v>
      </c>
      <c r="Z552" s="388" t="s">
        <v>3305</v>
      </c>
      <c r="AA552" s="388" t="s">
        <v>3305</v>
      </c>
      <c r="AB552" s="138" t="s">
        <v>1629</v>
      </c>
      <c r="AC552" s="138">
        <v>100000</v>
      </c>
      <c r="AD552" s="449">
        <v>1</v>
      </c>
      <c r="AE552" s="449">
        <v>1</v>
      </c>
      <c r="AF552">
        <v>400303</v>
      </c>
      <c r="AG552" s="452">
        <v>3</v>
      </c>
    </row>
    <row r="553" spans="1:33" x14ac:dyDescent="0.15">
      <c r="A553" s="132">
        <v>400403</v>
      </c>
      <c r="B553" s="136" t="s">
        <v>2615</v>
      </c>
      <c r="C553" s="136" t="s">
        <v>2615</v>
      </c>
      <c r="D553" s="137" t="s">
        <v>1594</v>
      </c>
      <c r="E553" s="138">
        <v>0</v>
      </c>
      <c r="F553" s="138">
        <v>0</v>
      </c>
      <c r="G553" s="138"/>
      <c r="H553" s="138" t="s">
        <v>295</v>
      </c>
      <c r="I553" s="138">
        <v>3</v>
      </c>
      <c r="J553" s="118">
        <v>3</v>
      </c>
      <c r="K553" s="138">
        <v>0</v>
      </c>
      <c r="L553" s="138">
        <v>4</v>
      </c>
      <c r="M553" s="138">
        <v>3</v>
      </c>
      <c r="N553" s="118" t="s">
        <v>1521</v>
      </c>
      <c r="O553" s="138">
        <v>50</v>
      </c>
      <c r="P553" s="138">
        <v>0.5</v>
      </c>
      <c r="Q553" s="138">
        <v>0</v>
      </c>
      <c r="R553" s="138">
        <v>1</v>
      </c>
      <c r="S553" s="138" t="b">
        <v>1</v>
      </c>
      <c r="T553" s="138">
        <v>19</v>
      </c>
      <c r="U553" s="118">
        <v>285</v>
      </c>
      <c r="V553" s="118">
        <v>380</v>
      </c>
      <c r="W553" s="138">
        <v>0</v>
      </c>
      <c r="X553" s="138">
        <v>3</v>
      </c>
      <c r="Y553" s="138" t="s">
        <v>38</v>
      </c>
      <c r="Z553" s="388" t="s">
        <v>3306</v>
      </c>
      <c r="AA553" s="388" t="s">
        <v>3306</v>
      </c>
      <c r="AB553" s="138" t="s">
        <v>1601</v>
      </c>
      <c r="AC553" s="138">
        <v>100000</v>
      </c>
      <c r="AD553" s="449">
        <v>1</v>
      </c>
      <c r="AE553" s="449">
        <v>1</v>
      </c>
      <c r="AF553">
        <v>0</v>
      </c>
      <c r="AG553" s="452">
        <v>3</v>
      </c>
    </row>
    <row r="554" spans="1:33" x14ac:dyDescent="0.15">
      <c r="A554" s="132">
        <v>400204</v>
      </c>
      <c r="B554" s="136" t="s">
        <v>2619</v>
      </c>
      <c r="C554" s="136" t="s">
        <v>2619</v>
      </c>
      <c r="D554" s="137" t="s">
        <v>1594</v>
      </c>
      <c r="E554" s="138">
        <v>0</v>
      </c>
      <c r="F554" s="138">
        <v>0</v>
      </c>
      <c r="G554" s="138"/>
      <c r="H554" s="138" t="s">
        <v>295</v>
      </c>
      <c r="I554" s="138">
        <v>5</v>
      </c>
      <c r="J554" s="118">
        <v>5</v>
      </c>
      <c r="K554" s="138">
        <v>0</v>
      </c>
      <c r="L554" s="138">
        <v>4</v>
      </c>
      <c r="M554" s="138">
        <v>5</v>
      </c>
      <c r="N554" s="118" t="s">
        <v>1527</v>
      </c>
      <c r="O554" s="138">
        <v>50</v>
      </c>
      <c r="P554" s="138">
        <v>0.5</v>
      </c>
      <c r="Q554" s="138">
        <v>0</v>
      </c>
      <c r="R554" s="138">
        <v>1</v>
      </c>
      <c r="S554" s="138" t="b">
        <v>1</v>
      </c>
      <c r="T554" s="138">
        <v>26</v>
      </c>
      <c r="U554" s="118">
        <v>390</v>
      </c>
      <c r="V554" s="118">
        <v>520</v>
      </c>
      <c r="W554" s="138">
        <v>0</v>
      </c>
      <c r="X554" s="138">
        <v>4</v>
      </c>
      <c r="Y554" s="138" t="s">
        <v>38</v>
      </c>
      <c r="Z554" s="388" t="s">
        <v>3307</v>
      </c>
      <c r="AA554" s="388" t="s">
        <v>3307</v>
      </c>
      <c r="AB554" s="138" t="s">
        <v>1642</v>
      </c>
      <c r="AC554" s="138">
        <v>100000</v>
      </c>
      <c r="AD554" s="449">
        <v>1</v>
      </c>
      <c r="AE554" s="449">
        <v>1</v>
      </c>
      <c r="AF554">
        <v>400204</v>
      </c>
      <c r="AG554" s="452">
        <v>4</v>
      </c>
    </row>
    <row r="555" spans="1:33" x14ac:dyDescent="0.15">
      <c r="A555" s="132">
        <v>400304</v>
      </c>
      <c r="B555" s="136" t="s">
        <v>2623</v>
      </c>
      <c r="C555" s="136" t="s">
        <v>2623</v>
      </c>
      <c r="D555" s="137" t="s">
        <v>1594</v>
      </c>
      <c r="E555" s="138">
        <v>0</v>
      </c>
      <c r="F555" s="138">
        <v>0</v>
      </c>
      <c r="G555" s="138"/>
      <c r="H555" s="138" t="s">
        <v>295</v>
      </c>
      <c r="I555" s="138">
        <v>6</v>
      </c>
      <c r="J555" s="118">
        <v>6</v>
      </c>
      <c r="K555" s="138">
        <v>0</v>
      </c>
      <c r="L555" s="138">
        <v>4</v>
      </c>
      <c r="M555" s="138">
        <v>6</v>
      </c>
      <c r="N555" s="118" t="s">
        <v>1527</v>
      </c>
      <c r="O555" s="138">
        <v>50</v>
      </c>
      <c r="P555" s="138">
        <v>0.5</v>
      </c>
      <c r="Q555" s="138">
        <v>0</v>
      </c>
      <c r="R555" s="138">
        <v>1</v>
      </c>
      <c r="S555" s="138" t="b">
        <v>1</v>
      </c>
      <c r="T555" s="138">
        <v>26</v>
      </c>
      <c r="U555" s="118">
        <v>390</v>
      </c>
      <c r="V555" s="118">
        <v>520</v>
      </c>
      <c r="W555" s="138">
        <v>0</v>
      </c>
      <c r="X555" s="138">
        <v>4</v>
      </c>
      <c r="Y555" s="138" t="s">
        <v>38</v>
      </c>
      <c r="Z555" s="388" t="s">
        <v>3308</v>
      </c>
      <c r="AA555" s="388" t="s">
        <v>3308</v>
      </c>
      <c r="AB555" s="138" t="s">
        <v>1614</v>
      </c>
      <c r="AC555" s="138">
        <v>100000</v>
      </c>
      <c r="AD555" s="449">
        <v>1</v>
      </c>
      <c r="AE555" s="449">
        <v>1</v>
      </c>
      <c r="AF555">
        <v>0</v>
      </c>
      <c r="AG555" s="452">
        <v>4</v>
      </c>
    </row>
    <row r="556" spans="1:33" x14ac:dyDescent="0.15">
      <c r="A556" s="132">
        <v>400405</v>
      </c>
      <c r="B556" s="136" t="s">
        <v>2627</v>
      </c>
      <c r="C556" s="136" t="s">
        <v>2627</v>
      </c>
      <c r="D556" s="137" t="s">
        <v>1594</v>
      </c>
      <c r="E556" s="138">
        <v>0</v>
      </c>
      <c r="F556" s="138">
        <v>0</v>
      </c>
      <c r="G556" s="138"/>
      <c r="H556" s="138" t="s">
        <v>295</v>
      </c>
      <c r="I556" s="138">
        <v>4</v>
      </c>
      <c r="J556" s="118">
        <v>4</v>
      </c>
      <c r="K556" s="138">
        <v>0</v>
      </c>
      <c r="L556" s="138">
        <v>4</v>
      </c>
      <c r="M556" s="138">
        <v>4</v>
      </c>
      <c r="N556" s="118" t="s">
        <v>1533</v>
      </c>
      <c r="O556" s="138">
        <v>50</v>
      </c>
      <c r="P556" s="138">
        <v>0.5</v>
      </c>
      <c r="Q556" s="138">
        <v>0</v>
      </c>
      <c r="R556" s="138">
        <v>1</v>
      </c>
      <c r="S556" s="138" t="b">
        <v>1</v>
      </c>
      <c r="T556" s="138">
        <v>32</v>
      </c>
      <c r="U556" s="118">
        <v>480</v>
      </c>
      <c r="V556" s="118">
        <v>640</v>
      </c>
      <c r="W556" s="138">
        <v>0</v>
      </c>
      <c r="X556" s="138">
        <v>5</v>
      </c>
      <c r="Y556" s="138" t="s">
        <v>38</v>
      </c>
      <c r="Z556" s="388" t="s">
        <v>3309</v>
      </c>
      <c r="AA556" s="388" t="s">
        <v>3309</v>
      </c>
      <c r="AB556" s="138" t="s">
        <v>1619</v>
      </c>
      <c r="AC556" s="138">
        <v>100000</v>
      </c>
      <c r="AD556" s="449">
        <v>1</v>
      </c>
      <c r="AE556" s="449">
        <v>1</v>
      </c>
      <c r="AF556">
        <v>0</v>
      </c>
      <c r="AG556" s="452">
        <v>5</v>
      </c>
    </row>
    <row r="557" spans="1:33" x14ac:dyDescent="0.15">
      <c r="A557" s="132">
        <v>400505</v>
      </c>
      <c r="B557" s="136" t="s">
        <v>2631</v>
      </c>
      <c r="C557" s="136" t="s">
        <v>2631</v>
      </c>
      <c r="D557" s="137" t="s">
        <v>1594</v>
      </c>
      <c r="E557" s="138">
        <v>0</v>
      </c>
      <c r="F557" s="138">
        <v>0</v>
      </c>
      <c r="G557" s="138"/>
      <c r="H557" s="138" t="s">
        <v>295</v>
      </c>
      <c r="I557" s="138">
        <v>4</v>
      </c>
      <c r="J557" s="118">
        <v>4</v>
      </c>
      <c r="K557" s="138">
        <v>0</v>
      </c>
      <c r="L557" s="138">
        <v>4</v>
      </c>
      <c r="M557" s="138">
        <v>4</v>
      </c>
      <c r="N557" s="118" t="s">
        <v>1533</v>
      </c>
      <c r="O557" s="138">
        <v>50</v>
      </c>
      <c r="P557" s="138">
        <v>0.5</v>
      </c>
      <c r="Q557" s="138">
        <v>0</v>
      </c>
      <c r="R557" s="138">
        <v>1</v>
      </c>
      <c r="S557" s="138" t="b">
        <v>1</v>
      </c>
      <c r="T557" s="138">
        <v>32</v>
      </c>
      <c r="U557" s="118">
        <v>480</v>
      </c>
      <c r="V557" s="118">
        <v>640</v>
      </c>
      <c r="W557" s="138">
        <v>0</v>
      </c>
      <c r="X557" s="138">
        <v>5</v>
      </c>
      <c r="Y557" s="138" t="s">
        <v>38</v>
      </c>
      <c r="Z557" s="388" t="s">
        <v>3310</v>
      </c>
      <c r="AA557" s="388" t="s">
        <v>3310</v>
      </c>
      <c r="AB557" s="138" t="s">
        <v>1661</v>
      </c>
      <c r="AC557" s="138">
        <v>100000</v>
      </c>
      <c r="AD557" s="449">
        <v>1</v>
      </c>
      <c r="AE557" s="449">
        <v>1</v>
      </c>
      <c r="AF557">
        <v>400505</v>
      </c>
      <c r="AG557" s="452">
        <v>5</v>
      </c>
    </row>
    <row r="558" spans="1:33" x14ac:dyDescent="0.15">
      <c r="A558" s="132">
        <v>400106</v>
      </c>
      <c r="B558" s="136" t="s">
        <v>2635</v>
      </c>
      <c r="C558" s="136" t="s">
        <v>2635</v>
      </c>
      <c r="D558" s="137" t="s">
        <v>1594</v>
      </c>
      <c r="E558" s="138">
        <v>0</v>
      </c>
      <c r="F558" s="138">
        <v>0</v>
      </c>
      <c r="G558" s="138"/>
      <c r="H558" s="138" t="s">
        <v>295</v>
      </c>
      <c r="I558" s="138">
        <v>3</v>
      </c>
      <c r="J558" s="118">
        <v>3</v>
      </c>
      <c r="K558" s="138">
        <v>0</v>
      </c>
      <c r="L558" s="138">
        <v>4</v>
      </c>
      <c r="M558" s="138">
        <v>3</v>
      </c>
      <c r="N558" s="118" t="s">
        <v>1539</v>
      </c>
      <c r="O558" s="138">
        <v>50</v>
      </c>
      <c r="P558" s="138">
        <v>0.5</v>
      </c>
      <c r="Q558" s="138">
        <v>0</v>
      </c>
      <c r="R558" s="138">
        <v>1</v>
      </c>
      <c r="S558" s="138" t="b">
        <v>1</v>
      </c>
      <c r="T558" s="138">
        <v>39</v>
      </c>
      <c r="U558" s="118">
        <v>585</v>
      </c>
      <c r="V558" s="118">
        <v>780</v>
      </c>
      <c r="W558" s="138">
        <v>0</v>
      </c>
      <c r="X558" s="138">
        <v>6</v>
      </c>
      <c r="Y558" s="138" t="s">
        <v>38</v>
      </c>
      <c r="Z558" s="388" t="s">
        <v>3311</v>
      </c>
      <c r="AA558" s="388" t="s">
        <v>3311</v>
      </c>
      <c r="AB558" s="138" t="s">
        <v>1614</v>
      </c>
      <c r="AC558" s="138">
        <v>100000</v>
      </c>
      <c r="AD558" s="449">
        <v>1</v>
      </c>
      <c r="AE558" s="449">
        <v>1</v>
      </c>
      <c r="AF558">
        <v>0</v>
      </c>
      <c r="AG558" s="452">
        <v>6</v>
      </c>
    </row>
    <row r="559" spans="1:33" x14ac:dyDescent="0.15">
      <c r="A559" s="132">
        <v>400206</v>
      </c>
      <c r="B559" s="136" t="s">
        <v>2639</v>
      </c>
      <c r="C559" s="136" t="s">
        <v>2639</v>
      </c>
      <c r="D559" s="137" t="s">
        <v>1594</v>
      </c>
      <c r="E559" s="138">
        <v>0</v>
      </c>
      <c r="F559" s="138">
        <v>0</v>
      </c>
      <c r="G559" s="138"/>
      <c r="H559" s="138" t="s">
        <v>295</v>
      </c>
      <c r="I559" s="138">
        <v>5</v>
      </c>
      <c r="J559" s="118">
        <v>5</v>
      </c>
      <c r="K559" s="138">
        <v>0</v>
      </c>
      <c r="L559" s="138">
        <v>4</v>
      </c>
      <c r="M559" s="138">
        <v>5</v>
      </c>
      <c r="N559" s="118" t="s">
        <v>1539</v>
      </c>
      <c r="O559" s="138">
        <v>50</v>
      </c>
      <c r="P559" s="138">
        <v>0.5</v>
      </c>
      <c r="Q559" s="138">
        <v>0</v>
      </c>
      <c r="R559" s="138">
        <v>1</v>
      </c>
      <c r="S559" s="138" t="b">
        <v>1</v>
      </c>
      <c r="T559" s="138">
        <v>39</v>
      </c>
      <c r="U559" s="118">
        <v>585</v>
      </c>
      <c r="V559" s="118">
        <v>780</v>
      </c>
      <c r="W559" s="138">
        <v>0</v>
      </c>
      <c r="X559" s="138">
        <v>6</v>
      </c>
      <c r="Y559" s="138" t="s">
        <v>38</v>
      </c>
      <c r="Z559" s="388" t="s">
        <v>3312</v>
      </c>
      <c r="AA559" s="388" t="s">
        <v>3312</v>
      </c>
      <c r="AB559" s="138" t="s">
        <v>1624</v>
      </c>
      <c r="AC559" s="138">
        <v>100000</v>
      </c>
      <c r="AD559" s="449">
        <v>1</v>
      </c>
      <c r="AE559" s="449">
        <v>1</v>
      </c>
      <c r="AF559">
        <v>0</v>
      </c>
      <c r="AG559" s="452">
        <v>6</v>
      </c>
    </row>
    <row r="560" spans="1:33" x14ac:dyDescent="0.15">
      <c r="A560" s="132">
        <v>400207</v>
      </c>
      <c r="B560" s="136" t="s">
        <v>2643</v>
      </c>
      <c r="C560" s="136" t="s">
        <v>2643</v>
      </c>
      <c r="D560" s="137" t="s">
        <v>1594</v>
      </c>
      <c r="E560" s="138">
        <v>0</v>
      </c>
      <c r="F560" s="138">
        <v>0</v>
      </c>
      <c r="G560" s="138"/>
      <c r="H560" s="138" t="s">
        <v>295</v>
      </c>
      <c r="I560" s="138">
        <v>5</v>
      </c>
      <c r="J560" s="118">
        <v>5</v>
      </c>
      <c r="K560" s="138">
        <v>0</v>
      </c>
      <c r="L560" s="138">
        <v>4</v>
      </c>
      <c r="M560" s="138">
        <v>5</v>
      </c>
      <c r="N560" s="118" t="s">
        <v>1545</v>
      </c>
      <c r="O560" s="138">
        <v>50</v>
      </c>
      <c r="P560" s="138">
        <v>0.5</v>
      </c>
      <c r="Q560" s="138">
        <v>0</v>
      </c>
      <c r="R560" s="138">
        <v>1</v>
      </c>
      <c r="S560" s="138" t="b">
        <v>1</v>
      </c>
      <c r="T560" s="138">
        <v>45</v>
      </c>
      <c r="U560" s="118">
        <v>675</v>
      </c>
      <c r="V560" s="118">
        <v>900</v>
      </c>
      <c r="W560" s="138">
        <v>0</v>
      </c>
      <c r="X560" s="138">
        <v>7</v>
      </c>
      <c r="Y560" s="138" t="s">
        <v>38</v>
      </c>
      <c r="Z560" s="388" t="s">
        <v>3313</v>
      </c>
      <c r="AA560" s="388" t="s">
        <v>3313</v>
      </c>
      <c r="AB560" s="138" t="s">
        <v>1647</v>
      </c>
      <c r="AC560" s="138">
        <v>100000</v>
      </c>
      <c r="AD560" s="449">
        <v>1</v>
      </c>
      <c r="AE560" s="449">
        <v>1</v>
      </c>
      <c r="AF560">
        <v>0</v>
      </c>
      <c r="AG560" s="452">
        <v>7</v>
      </c>
    </row>
    <row r="561" spans="1:33" x14ac:dyDescent="0.15">
      <c r="A561" s="132">
        <v>500203</v>
      </c>
      <c r="B561" s="136" t="s">
        <v>2647</v>
      </c>
      <c r="C561" s="136" t="s">
        <v>2647</v>
      </c>
      <c r="D561" s="137" t="s">
        <v>1672</v>
      </c>
      <c r="E561" s="138">
        <v>0</v>
      </c>
      <c r="F561" s="138">
        <v>0</v>
      </c>
      <c r="G561" s="138"/>
      <c r="H561" s="138" t="s">
        <v>295</v>
      </c>
      <c r="I561" s="138">
        <v>4</v>
      </c>
      <c r="J561" s="118">
        <v>4</v>
      </c>
      <c r="K561" s="138">
        <v>0</v>
      </c>
      <c r="L561" s="138">
        <v>4</v>
      </c>
      <c r="M561" s="138">
        <v>4</v>
      </c>
      <c r="N561" s="118" t="s">
        <v>1521</v>
      </c>
      <c r="O561" s="138">
        <v>50</v>
      </c>
      <c r="P561" s="138">
        <v>0.5</v>
      </c>
      <c r="Q561" s="138">
        <v>0</v>
      </c>
      <c r="R561" s="138">
        <v>1</v>
      </c>
      <c r="S561" s="138" t="b">
        <v>1</v>
      </c>
      <c r="T561" s="138">
        <v>19</v>
      </c>
      <c r="U561" s="118">
        <v>285</v>
      </c>
      <c r="V561" s="118">
        <v>380</v>
      </c>
      <c r="W561" s="138">
        <v>0</v>
      </c>
      <c r="X561" s="138">
        <v>3</v>
      </c>
      <c r="Y561" s="138" t="s">
        <v>38</v>
      </c>
      <c r="Z561" s="388" t="s">
        <v>3314</v>
      </c>
      <c r="AA561" s="388" t="s">
        <v>3314</v>
      </c>
      <c r="AB561" s="138" t="s">
        <v>1705</v>
      </c>
      <c r="AC561" s="138">
        <v>100000</v>
      </c>
      <c r="AD561" s="449">
        <v>1</v>
      </c>
      <c r="AE561" s="449">
        <v>1</v>
      </c>
      <c r="AF561">
        <v>500203</v>
      </c>
      <c r="AG561" s="452">
        <v>3</v>
      </c>
    </row>
    <row r="562" spans="1:33" x14ac:dyDescent="0.15">
      <c r="A562" s="132">
        <v>500303</v>
      </c>
      <c r="B562" s="136" t="s">
        <v>2651</v>
      </c>
      <c r="C562" s="136" t="s">
        <v>2651</v>
      </c>
      <c r="D562" s="137" t="s">
        <v>1672</v>
      </c>
      <c r="E562" s="138">
        <v>0</v>
      </c>
      <c r="F562" s="138">
        <v>0</v>
      </c>
      <c r="G562" s="138"/>
      <c r="H562" s="138" t="s">
        <v>295</v>
      </c>
      <c r="I562" s="138">
        <v>5</v>
      </c>
      <c r="J562" s="118">
        <v>5</v>
      </c>
      <c r="K562" s="138">
        <v>0</v>
      </c>
      <c r="L562" s="138">
        <v>4</v>
      </c>
      <c r="M562" s="138">
        <v>5</v>
      </c>
      <c r="N562" s="118" t="s">
        <v>1521</v>
      </c>
      <c r="O562" s="138">
        <v>50</v>
      </c>
      <c r="P562" s="138">
        <v>0.5</v>
      </c>
      <c r="Q562" s="138">
        <v>0</v>
      </c>
      <c r="R562" s="138">
        <v>1</v>
      </c>
      <c r="S562" s="138" t="b">
        <v>1</v>
      </c>
      <c r="T562" s="138">
        <v>19</v>
      </c>
      <c r="U562" s="118">
        <v>285</v>
      </c>
      <c r="V562" s="118">
        <v>380</v>
      </c>
      <c r="W562" s="138">
        <v>0</v>
      </c>
      <c r="X562" s="138">
        <v>3</v>
      </c>
      <c r="Y562" s="138" t="s">
        <v>38</v>
      </c>
      <c r="Z562" s="388" t="s">
        <v>3315</v>
      </c>
      <c r="AA562" s="388" t="s">
        <v>3315</v>
      </c>
      <c r="AB562" s="138" t="s">
        <v>1685</v>
      </c>
      <c r="AC562" s="138">
        <v>100000</v>
      </c>
      <c r="AD562" s="449">
        <v>1</v>
      </c>
      <c r="AE562" s="449">
        <v>1</v>
      </c>
      <c r="AF562">
        <v>0</v>
      </c>
      <c r="AG562" s="452">
        <v>3</v>
      </c>
    </row>
    <row r="563" spans="1:33" x14ac:dyDescent="0.15">
      <c r="A563" s="132">
        <v>500403</v>
      </c>
      <c r="B563" s="136" t="s">
        <v>2655</v>
      </c>
      <c r="C563" s="136" t="s">
        <v>2655</v>
      </c>
      <c r="D563" s="137" t="s">
        <v>1672</v>
      </c>
      <c r="E563" s="138">
        <v>0</v>
      </c>
      <c r="F563" s="138">
        <v>0</v>
      </c>
      <c r="G563" s="138"/>
      <c r="H563" s="138" t="s">
        <v>295</v>
      </c>
      <c r="I563" s="138">
        <v>6</v>
      </c>
      <c r="J563" s="118">
        <v>6</v>
      </c>
      <c r="K563" s="138">
        <v>0</v>
      </c>
      <c r="L563" s="138">
        <v>4</v>
      </c>
      <c r="M563" s="138">
        <v>6</v>
      </c>
      <c r="N563" s="118" t="s">
        <v>1521</v>
      </c>
      <c r="O563" s="138">
        <v>50</v>
      </c>
      <c r="P563" s="138">
        <v>0.5</v>
      </c>
      <c r="Q563" s="138">
        <v>0</v>
      </c>
      <c r="R563" s="138">
        <v>1</v>
      </c>
      <c r="S563" s="138" t="b">
        <v>1</v>
      </c>
      <c r="T563" s="138">
        <v>19</v>
      </c>
      <c r="U563" s="118">
        <v>285</v>
      </c>
      <c r="V563" s="118">
        <v>380</v>
      </c>
      <c r="W563" s="138">
        <v>0</v>
      </c>
      <c r="X563" s="138">
        <v>3</v>
      </c>
      <c r="Y563" s="138" t="s">
        <v>38</v>
      </c>
      <c r="Z563" s="388" t="s">
        <v>3316</v>
      </c>
      <c r="AA563" s="388" t="s">
        <v>3316</v>
      </c>
      <c r="AB563" s="138" t="s">
        <v>1695</v>
      </c>
      <c r="AC563" s="138">
        <v>100000</v>
      </c>
      <c r="AD563" s="449">
        <v>1</v>
      </c>
      <c r="AE563" s="449">
        <v>1</v>
      </c>
      <c r="AF563">
        <v>500403</v>
      </c>
      <c r="AG563" s="452">
        <v>3</v>
      </c>
    </row>
    <row r="564" spans="1:33" x14ac:dyDescent="0.15">
      <c r="A564" s="132">
        <v>500204</v>
      </c>
      <c r="B564" s="136" t="s">
        <v>2659</v>
      </c>
      <c r="C564" s="136" t="s">
        <v>2659</v>
      </c>
      <c r="D564" s="137" t="s">
        <v>1672</v>
      </c>
      <c r="E564" s="138">
        <v>0</v>
      </c>
      <c r="F564" s="138">
        <v>0</v>
      </c>
      <c r="G564" s="138"/>
      <c r="H564" s="138" t="s">
        <v>295</v>
      </c>
      <c r="I564" s="138">
        <v>4</v>
      </c>
      <c r="J564" s="118">
        <v>4</v>
      </c>
      <c r="K564" s="138">
        <v>0</v>
      </c>
      <c r="L564" s="138">
        <v>4</v>
      </c>
      <c r="M564" s="138">
        <v>4</v>
      </c>
      <c r="N564" s="118" t="s">
        <v>1527</v>
      </c>
      <c r="O564" s="138">
        <v>50</v>
      </c>
      <c r="P564" s="138">
        <v>0.5</v>
      </c>
      <c r="Q564" s="138">
        <v>0</v>
      </c>
      <c r="R564" s="138">
        <v>1</v>
      </c>
      <c r="S564" s="138" t="b">
        <v>1</v>
      </c>
      <c r="T564" s="138">
        <v>26</v>
      </c>
      <c r="U564" s="118">
        <v>390</v>
      </c>
      <c r="V564" s="118">
        <v>520</v>
      </c>
      <c r="W564" s="138">
        <v>0</v>
      </c>
      <c r="X564" s="138">
        <v>4</v>
      </c>
      <c r="Y564" s="138" t="s">
        <v>38</v>
      </c>
      <c r="Z564" s="388" t="s">
        <v>3317</v>
      </c>
      <c r="AA564" s="388" t="s">
        <v>3317</v>
      </c>
      <c r="AB564" s="138" t="s">
        <v>1690</v>
      </c>
      <c r="AC564" s="138">
        <v>100000</v>
      </c>
      <c r="AD564" s="449">
        <v>1</v>
      </c>
      <c r="AE564" s="449">
        <v>1</v>
      </c>
      <c r="AF564">
        <v>0</v>
      </c>
      <c r="AG564" s="452">
        <v>4</v>
      </c>
    </row>
    <row r="565" spans="1:33" x14ac:dyDescent="0.15">
      <c r="A565" s="132">
        <v>500304</v>
      </c>
      <c r="B565" s="136" t="s">
        <v>2663</v>
      </c>
      <c r="C565" s="136" t="s">
        <v>2663</v>
      </c>
      <c r="D565" s="137" t="s">
        <v>1672</v>
      </c>
      <c r="E565" s="138">
        <v>0</v>
      </c>
      <c r="F565" s="138">
        <v>0</v>
      </c>
      <c r="G565" s="138"/>
      <c r="H565" s="138" t="s">
        <v>295</v>
      </c>
      <c r="I565" s="138">
        <v>3</v>
      </c>
      <c r="J565" s="118">
        <v>3</v>
      </c>
      <c r="K565" s="138">
        <v>0</v>
      </c>
      <c r="L565" s="138">
        <v>4</v>
      </c>
      <c r="M565" s="138">
        <v>3</v>
      </c>
      <c r="N565" s="118" t="s">
        <v>1527</v>
      </c>
      <c r="O565" s="138">
        <v>50</v>
      </c>
      <c r="P565" s="138">
        <v>0.5</v>
      </c>
      <c r="Q565" s="138">
        <v>0</v>
      </c>
      <c r="R565" s="138">
        <v>1</v>
      </c>
      <c r="S565" s="138" t="b">
        <v>1</v>
      </c>
      <c r="T565" s="138">
        <v>26</v>
      </c>
      <c r="U565" s="118">
        <v>390</v>
      </c>
      <c r="V565" s="118">
        <v>520</v>
      </c>
      <c r="W565" s="138">
        <v>0</v>
      </c>
      <c r="X565" s="138">
        <v>4</v>
      </c>
      <c r="Y565" s="138" t="s">
        <v>38</v>
      </c>
      <c r="Z565" s="388" t="s">
        <v>3318</v>
      </c>
      <c r="AA565" s="388" t="s">
        <v>3318</v>
      </c>
      <c r="AB565" s="138" t="s">
        <v>1695</v>
      </c>
      <c r="AC565" s="138">
        <v>100000</v>
      </c>
      <c r="AD565" s="449">
        <v>1</v>
      </c>
      <c r="AE565" s="449">
        <v>1</v>
      </c>
      <c r="AF565">
        <v>0</v>
      </c>
      <c r="AG565" s="452">
        <v>4</v>
      </c>
    </row>
    <row r="566" spans="1:33" x14ac:dyDescent="0.15">
      <c r="A566" s="132">
        <v>500105</v>
      </c>
      <c r="B566" s="136" t="s">
        <v>2667</v>
      </c>
      <c r="C566" s="136" t="s">
        <v>2667</v>
      </c>
      <c r="D566" s="137" t="s">
        <v>1672</v>
      </c>
      <c r="E566" s="138">
        <v>0</v>
      </c>
      <c r="F566" s="138">
        <v>0</v>
      </c>
      <c r="G566" s="138"/>
      <c r="H566" s="138" t="s">
        <v>295</v>
      </c>
      <c r="I566" s="138">
        <v>4</v>
      </c>
      <c r="J566" s="118">
        <v>4</v>
      </c>
      <c r="K566" s="138">
        <v>0</v>
      </c>
      <c r="L566" s="138">
        <v>4</v>
      </c>
      <c r="M566" s="138">
        <v>4</v>
      </c>
      <c r="N566" s="118" t="s">
        <v>1533</v>
      </c>
      <c r="O566" s="138">
        <v>50</v>
      </c>
      <c r="P566" s="138">
        <v>0.5</v>
      </c>
      <c r="Q566" s="138">
        <v>0</v>
      </c>
      <c r="R566" s="138">
        <v>1</v>
      </c>
      <c r="S566" s="138" t="b">
        <v>1</v>
      </c>
      <c r="T566" s="138">
        <v>32</v>
      </c>
      <c r="U566" s="118">
        <v>480</v>
      </c>
      <c r="V566" s="118">
        <v>640</v>
      </c>
      <c r="W566" s="138">
        <v>0</v>
      </c>
      <c r="X566" s="138">
        <v>5</v>
      </c>
      <c r="Y566" s="138" t="s">
        <v>38</v>
      </c>
      <c r="Z566" s="388" t="s">
        <v>3319</v>
      </c>
      <c r="AA566" s="388" t="s">
        <v>3319</v>
      </c>
      <c r="AB566" s="138" t="s">
        <v>1700</v>
      </c>
      <c r="AC566" s="138">
        <v>100000</v>
      </c>
      <c r="AD566" s="449">
        <v>1</v>
      </c>
      <c r="AE566" s="449">
        <v>1</v>
      </c>
      <c r="AF566">
        <v>500105</v>
      </c>
      <c r="AG566" s="452">
        <v>5</v>
      </c>
    </row>
    <row r="567" spans="1:33" x14ac:dyDescent="0.15">
      <c r="A567" s="132">
        <v>500205</v>
      </c>
      <c r="B567" s="136" t="s">
        <v>2671</v>
      </c>
      <c r="C567" s="136" t="s">
        <v>2671</v>
      </c>
      <c r="D567" s="137" t="s">
        <v>1672</v>
      </c>
      <c r="E567" s="138">
        <v>0</v>
      </c>
      <c r="F567" s="138">
        <v>0</v>
      </c>
      <c r="G567" s="138"/>
      <c r="H567" s="138" t="s">
        <v>295</v>
      </c>
      <c r="I567" s="138">
        <v>4</v>
      </c>
      <c r="J567" s="118">
        <v>4</v>
      </c>
      <c r="K567" s="138">
        <v>0</v>
      </c>
      <c r="L567" s="138">
        <v>4</v>
      </c>
      <c r="M567" s="138">
        <v>4</v>
      </c>
      <c r="N567" s="118" t="s">
        <v>1533</v>
      </c>
      <c r="O567" s="138">
        <v>50</v>
      </c>
      <c r="P567" s="138">
        <v>0.5</v>
      </c>
      <c r="Q567" s="138">
        <v>0</v>
      </c>
      <c r="R567" s="138">
        <v>1</v>
      </c>
      <c r="S567" s="138" t="b">
        <v>1</v>
      </c>
      <c r="T567" s="138">
        <v>32</v>
      </c>
      <c r="U567" s="118">
        <v>480</v>
      </c>
      <c r="V567" s="118">
        <v>640</v>
      </c>
      <c r="W567" s="138">
        <v>0</v>
      </c>
      <c r="X567" s="138">
        <v>5</v>
      </c>
      <c r="Y567" s="138" t="s">
        <v>38</v>
      </c>
      <c r="Z567" s="388" t="s">
        <v>3320</v>
      </c>
      <c r="AA567" s="388" t="s">
        <v>3320</v>
      </c>
      <c r="AB567" s="138" t="s">
        <v>1705</v>
      </c>
      <c r="AC567" s="138">
        <v>100000</v>
      </c>
      <c r="AD567" s="449">
        <v>1</v>
      </c>
      <c r="AE567" s="449">
        <v>1</v>
      </c>
      <c r="AF567">
        <v>0</v>
      </c>
      <c r="AG567" s="452">
        <v>5</v>
      </c>
    </row>
    <row r="568" spans="1:33" x14ac:dyDescent="0.15">
      <c r="A568" s="132">
        <v>500406</v>
      </c>
      <c r="B568" s="136" t="s">
        <v>2675</v>
      </c>
      <c r="C568" s="136" t="s">
        <v>2675</v>
      </c>
      <c r="D568" s="137" t="s">
        <v>1672</v>
      </c>
      <c r="E568" s="138">
        <v>0</v>
      </c>
      <c r="F568" s="138">
        <v>0</v>
      </c>
      <c r="G568" s="138"/>
      <c r="H568" s="138" t="s">
        <v>295</v>
      </c>
      <c r="I568" s="138">
        <v>5</v>
      </c>
      <c r="J568" s="118">
        <v>5</v>
      </c>
      <c r="K568" s="138">
        <v>0</v>
      </c>
      <c r="L568" s="138">
        <v>4</v>
      </c>
      <c r="M568" s="138">
        <v>5</v>
      </c>
      <c r="N568" s="118" t="s">
        <v>1539</v>
      </c>
      <c r="O568" s="138">
        <v>50</v>
      </c>
      <c r="P568" s="138">
        <v>0.5</v>
      </c>
      <c r="Q568" s="138">
        <v>0</v>
      </c>
      <c r="R568" s="138">
        <v>1</v>
      </c>
      <c r="S568" s="138" t="b">
        <v>1</v>
      </c>
      <c r="T568" s="138">
        <v>39</v>
      </c>
      <c r="U568" s="118">
        <v>585</v>
      </c>
      <c r="V568" s="118">
        <v>780</v>
      </c>
      <c r="W568" s="138">
        <v>0</v>
      </c>
      <c r="X568" s="138">
        <v>6</v>
      </c>
      <c r="Y568" s="138" t="s">
        <v>38</v>
      </c>
      <c r="Z568" s="388" t="s">
        <v>3321</v>
      </c>
      <c r="AA568" s="388" t="s">
        <v>3321</v>
      </c>
      <c r="AB568" s="138" t="s">
        <v>1713</v>
      </c>
      <c r="AC568" s="138">
        <v>100000</v>
      </c>
      <c r="AD568" s="449">
        <v>1</v>
      </c>
      <c r="AE568" s="449">
        <v>1</v>
      </c>
      <c r="AF568">
        <v>0</v>
      </c>
      <c r="AG568" s="452">
        <v>6</v>
      </c>
    </row>
    <row r="569" spans="1:33" x14ac:dyDescent="0.15">
      <c r="A569" s="132">
        <v>500506</v>
      </c>
      <c r="B569" s="136" t="s">
        <v>2679</v>
      </c>
      <c r="C569" s="136" t="s">
        <v>2679</v>
      </c>
      <c r="D569" s="137" t="s">
        <v>1672</v>
      </c>
      <c r="E569" s="138">
        <v>0</v>
      </c>
      <c r="F569" s="138">
        <v>0</v>
      </c>
      <c r="G569" s="138"/>
      <c r="H569" s="138" t="s">
        <v>295</v>
      </c>
      <c r="I569" s="138">
        <v>4</v>
      </c>
      <c r="J569" s="118">
        <v>4</v>
      </c>
      <c r="K569" s="138">
        <v>0</v>
      </c>
      <c r="L569" s="138">
        <v>4</v>
      </c>
      <c r="M569" s="138">
        <v>4</v>
      </c>
      <c r="N569" s="118" t="s">
        <v>1539</v>
      </c>
      <c r="O569" s="138">
        <v>50</v>
      </c>
      <c r="P569" s="138">
        <v>0.5</v>
      </c>
      <c r="Q569" s="138">
        <v>0</v>
      </c>
      <c r="R569" s="138">
        <v>1</v>
      </c>
      <c r="S569" s="138" t="b">
        <v>1</v>
      </c>
      <c r="T569" s="138">
        <v>39</v>
      </c>
      <c r="U569" s="118">
        <v>585</v>
      </c>
      <c r="V569" s="118">
        <v>780</v>
      </c>
      <c r="W569" s="138">
        <v>0</v>
      </c>
      <c r="X569" s="138">
        <v>6</v>
      </c>
      <c r="Y569" s="138" t="s">
        <v>38</v>
      </c>
      <c r="Z569" s="388" t="s">
        <v>3322</v>
      </c>
      <c r="AA569" s="388" t="s">
        <v>3322</v>
      </c>
      <c r="AB569" s="138" t="s">
        <v>1718</v>
      </c>
      <c r="AC569" s="138">
        <v>100000</v>
      </c>
      <c r="AD569" s="449">
        <v>1</v>
      </c>
      <c r="AE569" s="449">
        <v>1</v>
      </c>
      <c r="AF569">
        <v>500506</v>
      </c>
      <c r="AG569" s="452">
        <v>6</v>
      </c>
    </row>
    <row r="570" spans="1:33" x14ac:dyDescent="0.15">
      <c r="A570" s="132">
        <v>500207</v>
      </c>
      <c r="B570" s="136" t="s">
        <v>2683</v>
      </c>
      <c r="C570" s="136" t="s">
        <v>2683</v>
      </c>
      <c r="D570" s="137" t="s">
        <v>1672</v>
      </c>
      <c r="E570" s="138">
        <v>0</v>
      </c>
      <c r="F570" s="138">
        <v>0</v>
      </c>
      <c r="G570" s="138"/>
      <c r="H570" s="138" t="s">
        <v>295</v>
      </c>
      <c r="I570" s="138">
        <v>6</v>
      </c>
      <c r="J570" s="118">
        <v>6</v>
      </c>
      <c r="K570" s="138">
        <v>0</v>
      </c>
      <c r="L570" s="138">
        <v>4</v>
      </c>
      <c r="M570" s="138">
        <v>6</v>
      </c>
      <c r="N570" s="118" t="s">
        <v>1545</v>
      </c>
      <c r="O570" s="138">
        <v>50</v>
      </c>
      <c r="P570" s="138">
        <v>0.5</v>
      </c>
      <c r="Q570" s="138">
        <v>0</v>
      </c>
      <c r="R570" s="138">
        <v>1</v>
      </c>
      <c r="S570" s="138" t="b">
        <v>1</v>
      </c>
      <c r="T570" s="138">
        <v>45</v>
      </c>
      <c r="U570" s="118">
        <v>675</v>
      </c>
      <c r="V570" s="118">
        <v>900</v>
      </c>
      <c r="W570" s="138">
        <v>0</v>
      </c>
      <c r="X570" s="138">
        <v>7</v>
      </c>
      <c r="Y570" s="138" t="s">
        <v>38</v>
      </c>
      <c r="Z570" s="388" t="s">
        <v>3323</v>
      </c>
      <c r="AA570" s="388" t="s">
        <v>3323</v>
      </c>
      <c r="AB570" s="138" t="s">
        <v>1690</v>
      </c>
      <c r="AC570" s="138">
        <v>100000</v>
      </c>
      <c r="AD570" s="449">
        <v>1</v>
      </c>
      <c r="AE570" s="449">
        <v>1</v>
      </c>
      <c r="AF570">
        <v>0</v>
      </c>
      <c r="AG570" s="452">
        <v>7</v>
      </c>
    </row>
    <row r="571" spans="1:33" x14ac:dyDescent="0.15">
      <c r="A571" s="132">
        <v>600203</v>
      </c>
      <c r="B571" s="136" t="s">
        <v>2687</v>
      </c>
      <c r="C571" s="136" t="s">
        <v>2687</v>
      </c>
      <c r="D571" s="137" t="s">
        <v>1746</v>
      </c>
      <c r="E571" s="138">
        <v>0</v>
      </c>
      <c r="F571" s="138">
        <v>0</v>
      </c>
      <c r="G571" s="138"/>
      <c r="H571" s="138" t="s">
        <v>295</v>
      </c>
      <c r="I571" s="138">
        <v>5</v>
      </c>
      <c r="J571" s="118">
        <v>5</v>
      </c>
      <c r="K571" s="138">
        <v>0</v>
      </c>
      <c r="L571" s="138">
        <v>2</v>
      </c>
      <c r="M571" s="138">
        <v>5</v>
      </c>
      <c r="N571" s="118" t="s">
        <v>1759</v>
      </c>
      <c r="O571" s="138">
        <v>50</v>
      </c>
      <c r="P571" s="138">
        <v>0.5</v>
      </c>
      <c r="Q571" s="138">
        <v>0</v>
      </c>
      <c r="R571" s="138">
        <v>1</v>
      </c>
      <c r="S571" s="138" t="b">
        <v>1</v>
      </c>
      <c r="T571" s="138">
        <v>28</v>
      </c>
      <c r="U571" s="118">
        <v>420</v>
      </c>
      <c r="V571" s="118">
        <v>560</v>
      </c>
      <c r="W571" s="138">
        <v>0</v>
      </c>
      <c r="X571" s="138">
        <v>3</v>
      </c>
      <c r="Y571" s="138" t="s">
        <v>38</v>
      </c>
      <c r="Z571" s="388" t="s">
        <v>3324</v>
      </c>
      <c r="AA571" s="388" t="s">
        <v>3324</v>
      </c>
      <c r="AB571" s="138" t="s">
        <v>1773</v>
      </c>
      <c r="AC571" s="138">
        <v>100000</v>
      </c>
      <c r="AD571" s="449">
        <v>1</v>
      </c>
      <c r="AE571" s="449">
        <v>1</v>
      </c>
      <c r="AF571">
        <v>600203</v>
      </c>
      <c r="AG571" s="452">
        <v>3</v>
      </c>
    </row>
    <row r="572" spans="1:33" x14ac:dyDescent="0.15">
      <c r="A572" s="132">
        <v>600303</v>
      </c>
      <c r="B572" s="136" t="s">
        <v>2691</v>
      </c>
      <c r="C572" s="136" t="s">
        <v>2691</v>
      </c>
      <c r="D572" s="137" t="s">
        <v>1746</v>
      </c>
      <c r="E572" s="138">
        <v>0</v>
      </c>
      <c r="F572" s="138">
        <v>0</v>
      </c>
      <c r="G572" s="138"/>
      <c r="H572" s="138" t="s">
        <v>295</v>
      </c>
      <c r="I572" s="138">
        <v>6</v>
      </c>
      <c r="J572" s="118">
        <v>6</v>
      </c>
      <c r="K572" s="138">
        <v>0</v>
      </c>
      <c r="L572" s="138">
        <v>2</v>
      </c>
      <c r="M572" s="138">
        <v>6</v>
      </c>
      <c r="N572" s="118" t="s">
        <v>1759</v>
      </c>
      <c r="O572" s="138">
        <v>50</v>
      </c>
      <c r="P572" s="138">
        <v>0.5</v>
      </c>
      <c r="Q572" s="138">
        <v>0</v>
      </c>
      <c r="R572" s="138">
        <v>1</v>
      </c>
      <c r="S572" s="138" t="b">
        <v>1</v>
      </c>
      <c r="T572" s="138">
        <v>28</v>
      </c>
      <c r="U572" s="118">
        <v>420</v>
      </c>
      <c r="V572" s="118">
        <v>560</v>
      </c>
      <c r="W572" s="138">
        <v>0</v>
      </c>
      <c r="X572" s="138">
        <v>3</v>
      </c>
      <c r="Y572" s="138" t="s">
        <v>38</v>
      </c>
      <c r="Z572" s="388" t="s">
        <v>3325</v>
      </c>
      <c r="AA572" s="388" t="s">
        <v>3325</v>
      </c>
      <c r="AB572" s="138" t="s">
        <v>1756</v>
      </c>
      <c r="AC572" s="138">
        <v>100000</v>
      </c>
      <c r="AD572" s="449">
        <v>1</v>
      </c>
      <c r="AE572" s="449">
        <v>1</v>
      </c>
      <c r="AF572">
        <v>0</v>
      </c>
      <c r="AG572" s="452">
        <v>3</v>
      </c>
    </row>
    <row r="573" spans="1:33" x14ac:dyDescent="0.15">
      <c r="A573" s="132">
        <v>600403</v>
      </c>
      <c r="B573" s="136" t="s">
        <v>2695</v>
      </c>
      <c r="C573" s="136" t="s">
        <v>2695</v>
      </c>
      <c r="D573" s="137" t="s">
        <v>1746</v>
      </c>
      <c r="E573" s="138">
        <v>0</v>
      </c>
      <c r="F573" s="138">
        <v>0</v>
      </c>
      <c r="G573" s="138"/>
      <c r="H573" s="138" t="s">
        <v>295</v>
      </c>
      <c r="I573" s="138">
        <v>5</v>
      </c>
      <c r="J573" s="118">
        <v>5</v>
      </c>
      <c r="K573" s="138">
        <v>0</v>
      </c>
      <c r="L573" s="138">
        <v>2</v>
      </c>
      <c r="M573" s="138">
        <v>5</v>
      </c>
      <c r="N573" s="118" t="s">
        <v>1759</v>
      </c>
      <c r="O573" s="138">
        <v>50</v>
      </c>
      <c r="P573" s="138">
        <v>0.5</v>
      </c>
      <c r="Q573" s="138">
        <v>0</v>
      </c>
      <c r="R573" s="138">
        <v>1</v>
      </c>
      <c r="S573" s="138" t="b">
        <v>1</v>
      </c>
      <c r="T573" s="138">
        <v>28</v>
      </c>
      <c r="U573" s="118">
        <v>420</v>
      </c>
      <c r="V573" s="118">
        <v>560</v>
      </c>
      <c r="W573" s="138">
        <v>0</v>
      </c>
      <c r="X573" s="138">
        <v>3</v>
      </c>
      <c r="Y573" s="138" t="s">
        <v>38</v>
      </c>
      <c r="Z573" s="388" t="s">
        <v>3326</v>
      </c>
      <c r="AA573" s="388" t="s">
        <v>3326</v>
      </c>
      <c r="AB573" s="138" t="s">
        <v>1756</v>
      </c>
      <c r="AC573" s="138">
        <v>100000</v>
      </c>
      <c r="AD573" s="449">
        <v>1</v>
      </c>
      <c r="AE573" s="449">
        <v>1</v>
      </c>
      <c r="AF573">
        <v>0</v>
      </c>
      <c r="AG573" s="452">
        <v>3</v>
      </c>
    </row>
    <row r="574" spans="1:33" x14ac:dyDescent="0.15">
      <c r="A574" s="132">
        <v>600204</v>
      </c>
      <c r="B574" s="136" t="s">
        <v>2699</v>
      </c>
      <c r="C574" s="136" t="s">
        <v>2699</v>
      </c>
      <c r="D574" s="137" t="s">
        <v>1746</v>
      </c>
      <c r="E574" s="138">
        <v>0</v>
      </c>
      <c r="F574" s="138">
        <v>0</v>
      </c>
      <c r="G574" s="138"/>
      <c r="H574" s="138" t="s">
        <v>295</v>
      </c>
      <c r="I574" s="138">
        <v>4</v>
      </c>
      <c r="J574" s="118">
        <v>4</v>
      </c>
      <c r="K574" s="138">
        <v>0</v>
      </c>
      <c r="L574" s="138">
        <v>2</v>
      </c>
      <c r="M574" s="138">
        <v>4</v>
      </c>
      <c r="N574" s="118" t="s">
        <v>1765</v>
      </c>
      <c r="O574" s="138">
        <v>50</v>
      </c>
      <c r="P574" s="138">
        <v>0.5</v>
      </c>
      <c r="Q574" s="138">
        <v>0</v>
      </c>
      <c r="R574" s="138">
        <v>1</v>
      </c>
      <c r="S574" s="138" t="b">
        <v>1</v>
      </c>
      <c r="T574" s="138">
        <v>39</v>
      </c>
      <c r="U574" s="118">
        <v>585</v>
      </c>
      <c r="V574" s="118">
        <v>780</v>
      </c>
      <c r="W574" s="138">
        <v>0</v>
      </c>
      <c r="X574" s="138">
        <v>4</v>
      </c>
      <c r="Y574" s="138" t="s">
        <v>38</v>
      </c>
      <c r="Z574" s="388" t="s">
        <v>3327</v>
      </c>
      <c r="AA574" s="388" t="s">
        <v>3327</v>
      </c>
      <c r="AB574" s="138" t="s">
        <v>1762</v>
      </c>
      <c r="AC574" s="138">
        <v>100000</v>
      </c>
      <c r="AD574" s="449">
        <v>1</v>
      </c>
      <c r="AE574" s="449">
        <v>1</v>
      </c>
      <c r="AF574">
        <v>0</v>
      </c>
      <c r="AG574" s="452">
        <v>4</v>
      </c>
    </row>
    <row r="575" spans="1:33" x14ac:dyDescent="0.15">
      <c r="A575" s="132">
        <v>600304</v>
      </c>
      <c r="B575" s="136" t="s">
        <v>2703</v>
      </c>
      <c r="C575" s="136" t="s">
        <v>2703</v>
      </c>
      <c r="D575" s="137" t="s">
        <v>1746</v>
      </c>
      <c r="E575" s="138">
        <v>0</v>
      </c>
      <c r="F575" s="138">
        <v>0</v>
      </c>
      <c r="G575" s="138"/>
      <c r="H575" s="138" t="s">
        <v>295</v>
      </c>
      <c r="I575" s="138">
        <v>5</v>
      </c>
      <c r="J575" s="118">
        <v>5</v>
      </c>
      <c r="K575" s="138">
        <v>0</v>
      </c>
      <c r="L575" s="138">
        <v>2</v>
      </c>
      <c r="M575" s="138">
        <v>5</v>
      </c>
      <c r="N575" s="118" t="s">
        <v>1765</v>
      </c>
      <c r="O575" s="138">
        <v>50</v>
      </c>
      <c r="P575" s="138">
        <v>0.5</v>
      </c>
      <c r="Q575" s="138">
        <v>0</v>
      </c>
      <c r="R575" s="138">
        <v>1</v>
      </c>
      <c r="S575" s="138" t="b">
        <v>1</v>
      </c>
      <c r="T575" s="138">
        <v>39</v>
      </c>
      <c r="U575" s="118">
        <v>585</v>
      </c>
      <c r="V575" s="118">
        <v>780</v>
      </c>
      <c r="W575" s="138">
        <v>0</v>
      </c>
      <c r="X575" s="138">
        <v>4</v>
      </c>
      <c r="Y575" s="138" t="s">
        <v>38</v>
      </c>
      <c r="Z575" s="388" t="s">
        <v>3328</v>
      </c>
      <c r="AA575" s="388" t="s">
        <v>3328</v>
      </c>
      <c r="AB575" s="138" t="s">
        <v>1768</v>
      </c>
      <c r="AC575" s="138">
        <v>100000</v>
      </c>
      <c r="AD575" s="449">
        <v>1</v>
      </c>
      <c r="AE575" s="449">
        <v>1</v>
      </c>
      <c r="AF575">
        <v>0</v>
      </c>
      <c r="AG575" s="452">
        <v>4</v>
      </c>
    </row>
    <row r="576" spans="1:33" x14ac:dyDescent="0.15">
      <c r="A576" s="132">
        <v>600105</v>
      </c>
      <c r="B576" s="136" t="s">
        <v>2707</v>
      </c>
      <c r="C576" s="136" t="s">
        <v>2707</v>
      </c>
      <c r="D576" s="137" t="s">
        <v>1746</v>
      </c>
      <c r="E576" s="138">
        <v>0</v>
      </c>
      <c r="F576" s="138">
        <v>0</v>
      </c>
      <c r="G576" s="138"/>
      <c r="H576" s="138" t="s">
        <v>295</v>
      </c>
      <c r="I576" s="138">
        <v>4</v>
      </c>
      <c r="J576" s="118">
        <v>4</v>
      </c>
      <c r="K576" s="138">
        <v>0</v>
      </c>
      <c r="L576" s="138">
        <v>2</v>
      </c>
      <c r="M576" s="138">
        <v>4</v>
      </c>
      <c r="N576" s="118" t="s">
        <v>37</v>
      </c>
      <c r="O576" s="138">
        <v>50</v>
      </c>
      <c r="P576" s="138">
        <v>0.5</v>
      </c>
      <c r="Q576" s="138">
        <v>0</v>
      </c>
      <c r="R576" s="138">
        <v>1</v>
      </c>
      <c r="S576" s="138" t="b">
        <v>1</v>
      </c>
      <c r="T576" s="138">
        <v>48</v>
      </c>
      <c r="U576" s="118">
        <v>720</v>
      </c>
      <c r="V576" s="118">
        <v>960</v>
      </c>
      <c r="W576" s="138">
        <v>0</v>
      </c>
      <c r="X576" s="138">
        <v>5</v>
      </c>
      <c r="Y576" s="138" t="s">
        <v>38</v>
      </c>
      <c r="Z576" s="388" t="s">
        <v>3329</v>
      </c>
      <c r="AA576" s="388" t="s">
        <v>3329</v>
      </c>
      <c r="AB576" s="138" t="s">
        <v>1773</v>
      </c>
      <c r="AC576" s="138">
        <v>100000</v>
      </c>
      <c r="AD576" s="449">
        <v>1</v>
      </c>
      <c r="AE576" s="449">
        <v>1</v>
      </c>
      <c r="AF576">
        <v>600105</v>
      </c>
      <c r="AG576" s="452">
        <v>5</v>
      </c>
    </row>
    <row r="577" spans="1:33" x14ac:dyDescent="0.15">
      <c r="A577" s="132">
        <v>600205</v>
      </c>
      <c r="B577" s="136" t="s">
        <v>2711</v>
      </c>
      <c r="C577" s="136" t="s">
        <v>2711</v>
      </c>
      <c r="D577" s="137" t="s">
        <v>1746</v>
      </c>
      <c r="E577" s="138">
        <v>0</v>
      </c>
      <c r="F577" s="138">
        <v>0</v>
      </c>
      <c r="G577" s="138"/>
      <c r="H577" s="138" t="s">
        <v>295</v>
      </c>
      <c r="I577" s="138">
        <v>5</v>
      </c>
      <c r="J577" s="118">
        <v>5</v>
      </c>
      <c r="K577" s="138">
        <v>0</v>
      </c>
      <c r="L577" s="138">
        <v>2</v>
      </c>
      <c r="M577" s="138">
        <v>5</v>
      </c>
      <c r="N577" s="118" t="s">
        <v>37</v>
      </c>
      <c r="O577" s="138">
        <v>50</v>
      </c>
      <c r="P577" s="138">
        <v>0.5</v>
      </c>
      <c r="Q577" s="138">
        <v>0</v>
      </c>
      <c r="R577" s="138">
        <v>1</v>
      </c>
      <c r="S577" s="138" t="b">
        <v>1</v>
      </c>
      <c r="T577" s="138">
        <v>48</v>
      </c>
      <c r="U577" s="118">
        <v>720</v>
      </c>
      <c r="V577" s="118">
        <v>960</v>
      </c>
      <c r="W577" s="138">
        <v>0</v>
      </c>
      <c r="X577" s="138">
        <v>5</v>
      </c>
      <c r="Y577" s="138" t="s">
        <v>38</v>
      </c>
      <c r="Z577" s="388" t="s">
        <v>3330</v>
      </c>
      <c r="AA577" s="388" t="s">
        <v>3330</v>
      </c>
      <c r="AB577" s="138" t="s">
        <v>1779</v>
      </c>
      <c r="AC577" s="138">
        <v>100000</v>
      </c>
      <c r="AD577" s="449">
        <v>1</v>
      </c>
      <c r="AE577" s="449">
        <v>1</v>
      </c>
      <c r="AF577">
        <v>600205</v>
      </c>
      <c r="AG577" s="452">
        <v>5</v>
      </c>
    </row>
    <row r="578" spans="1:33" x14ac:dyDescent="0.15">
      <c r="A578" s="132">
        <v>600306</v>
      </c>
      <c r="B578" s="136" t="s">
        <v>2715</v>
      </c>
      <c r="C578" s="136" t="s">
        <v>2715</v>
      </c>
      <c r="D578" s="137" t="s">
        <v>1746</v>
      </c>
      <c r="E578" s="138">
        <v>0</v>
      </c>
      <c r="F578" s="138">
        <v>0</v>
      </c>
      <c r="G578" s="138"/>
      <c r="H578" s="138" t="s">
        <v>295</v>
      </c>
      <c r="I578" s="138">
        <v>5</v>
      </c>
      <c r="J578" s="118">
        <v>5</v>
      </c>
      <c r="K578" s="138">
        <v>0</v>
      </c>
      <c r="L578" s="138">
        <v>2</v>
      </c>
      <c r="M578" s="138">
        <v>5</v>
      </c>
      <c r="N578" s="118" t="s">
        <v>1776</v>
      </c>
      <c r="O578" s="138">
        <v>50</v>
      </c>
      <c r="P578" s="138">
        <v>0.5</v>
      </c>
      <c r="Q578" s="138">
        <v>0</v>
      </c>
      <c r="R578" s="138">
        <v>1</v>
      </c>
      <c r="S578" s="138" t="b">
        <v>1</v>
      </c>
      <c r="T578" s="138">
        <v>58</v>
      </c>
      <c r="U578" s="118">
        <v>870</v>
      </c>
      <c r="V578" s="118">
        <v>1160</v>
      </c>
      <c r="W578" s="138">
        <v>0</v>
      </c>
      <c r="X578" s="138">
        <v>6</v>
      </c>
      <c r="Y578" s="138" t="s">
        <v>38</v>
      </c>
      <c r="Z578" s="388" t="s">
        <v>3331</v>
      </c>
      <c r="AA578" s="388" t="s">
        <v>3331</v>
      </c>
      <c r="AB578" s="138" t="s">
        <v>1785</v>
      </c>
      <c r="AC578" s="138">
        <v>100000</v>
      </c>
      <c r="AD578" s="449">
        <v>1</v>
      </c>
      <c r="AE578" s="449">
        <v>1</v>
      </c>
      <c r="AF578">
        <v>0</v>
      </c>
      <c r="AG578" s="452">
        <v>6</v>
      </c>
    </row>
    <row r="579" spans="1:33" x14ac:dyDescent="0.15">
      <c r="A579" s="132">
        <v>600406</v>
      </c>
      <c r="B579" s="136" t="s">
        <v>2719</v>
      </c>
      <c r="C579" s="136" t="s">
        <v>2719</v>
      </c>
      <c r="D579" s="137" t="s">
        <v>1746</v>
      </c>
      <c r="E579" s="138">
        <v>0</v>
      </c>
      <c r="F579" s="138">
        <v>0</v>
      </c>
      <c r="G579" s="138"/>
      <c r="H579" s="138" t="s">
        <v>295</v>
      </c>
      <c r="I579" s="138">
        <v>3</v>
      </c>
      <c r="J579" s="118">
        <v>3</v>
      </c>
      <c r="K579" s="138">
        <v>0</v>
      </c>
      <c r="L579" s="138">
        <v>2</v>
      </c>
      <c r="M579" s="138">
        <v>3</v>
      </c>
      <c r="N579" s="118" t="s">
        <v>1776</v>
      </c>
      <c r="O579" s="138">
        <v>50</v>
      </c>
      <c r="P579" s="138">
        <v>0.5</v>
      </c>
      <c r="Q579" s="138">
        <v>0</v>
      </c>
      <c r="R579" s="138">
        <v>1</v>
      </c>
      <c r="S579" s="138" t="b">
        <v>1</v>
      </c>
      <c r="T579" s="138">
        <v>58</v>
      </c>
      <c r="U579" s="118">
        <v>870</v>
      </c>
      <c r="V579" s="118">
        <v>1160</v>
      </c>
      <c r="W579" s="138">
        <v>0</v>
      </c>
      <c r="X579" s="138">
        <v>6</v>
      </c>
      <c r="Y579" s="138" t="s">
        <v>38</v>
      </c>
      <c r="Z579" s="388" t="s">
        <v>3332</v>
      </c>
      <c r="AA579" s="388" t="s">
        <v>3332</v>
      </c>
      <c r="AB579" s="138" t="s">
        <v>1791</v>
      </c>
      <c r="AC579" s="138">
        <v>100000</v>
      </c>
      <c r="AD579" s="449">
        <v>1</v>
      </c>
      <c r="AE579" s="449">
        <v>1</v>
      </c>
      <c r="AF579">
        <v>0</v>
      </c>
      <c r="AG579" s="452">
        <v>6</v>
      </c>
    </row>
    <row r="580" spans="1:33" x14ac:dyDescent="0.15">
      <c r="A580" s="132">
        <v>600107</v>
      </c>
      <c r="B580" s="136" t="s">
        <v>2723</v>
      </c>
      <c r="C580" s="136" t="s">
        <v>2723</v>
      </c>
      <c r="D580" s="137" t="s">
        <v>1746</v>
      </c>
      <c r="E580" s="138">
        <v>0</v>
      </c>
      <c r="F580" s="138">
        <v>0</v>
      </c>
      <c r="G580" s="138"/>
      <c r="H580" s="138" t="s">
        <v>295</v>
      </c>
      <c r="I580" s="138">
        <v>6</v>
      </c>
      <c r="J580" s="118">
        <v>6</v>
      </c>
      <c r="K580" s="138">
        <v>0</v>
      </c>
      <c r="L580" s="138">
        <v>2</v>
      </c>
      <c r="M580" s="138">
        <v>6</v>
      </c>
      <c r="N580" s="118" t="s">
        <v>1782</v>
      </c>
      <c r="O580" s="138">
        <v>50</v>
      </c>
      <c r="P580" s="138">
        <v>0.5</v>
      </c>
      <c r="Q580" s="138">
        <v>0</v>
      </c>
      <c r="R580" s="138">
        <v>1</v>
      </c>
      <c r="S580" s="138" t="b">
        <v>1</v>
      </c>
      <c r="T580" s="138">
        <v>67</v>
      </c>
      <c r="U580" s="118">
        <v>1005</v>
      </c>
      <c r="V580" s="118">
        <v>1340</v>
      </c>
      <c r="W580" s="138">
        <v>0</v>
      </c>
      <c r="X580" s="138">
        <v>7</v>
      </c>
      <c r="Y580" s="138" t="s">
        <v>38</v>
      </c>
      <c r="Z580" s="388" t="s">
        <v>3333</v>
      </c>
      <c r="AA580" s="388" t="s">
        <v>3333</v>
      </c>
      <c r="AB580" s="138" t="s">
        <v>1803</v>
      </c>
      <c r="AC580" s="138">
        <v>100000</v>
      </c>
      <c r="AD580" s="449">
        <v>1</v>
      </c>
      <c r="AE580" s="449">
        <v>1</v>
      </c>
      <c r="AF580">
        <v>600107</v>
      </c>
      <c r="AG580" s="452">
        <v>7</v>
      </c>
    </row>
    <row r="581" spans="1:33" x14ac:dyDescent="0.15">
      <c r="A581" s="132">
        <v>700203</v>
      </c>
      <c r="B581" s="136" t="s">
        <v>2727</v>
      </c>
      <c r="C581" s="136" t="s">
        <v>2727</v>
      </c>
      <c r="D581" s="137" t="s">
        <v>1832</v>
      </c>
      <c r="E581" s="138">
        <v>0</v>
      </c>
      <c r="F581" s="138">
        <v>0</v>
      </c>
      <c r="G581" s="138"/>
      <c r="H581" s="138" t="s">
        <v>295</v>
      </c>
      <c r="I581" s="138">
        <v>5</v>
      </c>
      <c r="J581" s="118">
        <v>5</v>
      </c>
      <c r="K581" s="138">
        <v>0</v>
      </c>
      <c r="L581" s="138">
        <v>2</v>
      </c>
      <c r="M581" s="138">
        <v>5</v>
      </c>
      <c r="N581" s="118" t="s">
        <v>1848</v>
      </c>
      <c r="O581" s="138">
        <v>-1</v>
      </c>
      <c r="P581" s="138"/>
      <c r="Q581" s="138">
        <v>0</v>
      </c>
      <c r="R581" s="138">
        <v>1</v>
      </c>
      <c r="S581" s="138" t="b">
        <v>1</v>
      </c>
      <c r="T581" s="138">
        <v>28</v>
      </c>
      <c r="U581" s="118">
        <v>420</v>
      </c>
      <c r="V581" s="118">
        <v>560</v>
      </c>
      <c r="W581" s="138">
        <v>0</v>
      </c>
      <c r="X581" s="138">
        <v>3</v>
      </c>
      <c r="Y581" s="138" t="s">
        <v>38</v>
      </c>
      <c r="Z581" s="388" t="s">
        <v>3334</v>
      </c>
      <c r="AA581" s="388" t="s">
        <v>3334</v>
      </c>
      <c r="AB581" s="138" t="s">
        <v>1836</v>
      </c>
      <c r="AC581" s="138">
        <v>100000</v>
      </c>
      <c r="AD581" s="449">
        <v>1</v>
      </c>
      <c r="AE581" s="449">
        <v>1</v>
      </c>
      <c r="AF581">
        <v>0</v>
      </c>
      <c r="AG581" s="452">
        <v>3</v>
      </c>
    </row>
    <row r="582" spans="1:33" x14ac:dyDescent="0.15">
      <c r="A582" s="132">
        <v>700303</v>
      </c>
      <c r="B582" s="136" t="s">
        <v>2731</v>
      </c>
      <c r="C582" s="136" t="s">
        <v>2731</v>
      </c>
      <c r="D582" s="137" t="s">
        <v>1832</v>
      </c>
      <c r="E582" s="138">
        <v>0</v>
      </c>
      <c r="F582" s="138">
        <v>0</v>
      </c>
      <c r="G582" s="138"/>
      <c r="H582" s="138" t="s">
        <v>295</v>
      </c>
      <c r="I582" s="138">
        <v>3</v>
      </c>
      <c r="J582" s="118">
        <v>3</v>
      </c>
      <c r="K582" s="138">
        <v>0</v>
      </c>
      <c r="L582" s="138">
        <v>2</v>
      </c>
      <c r="M582" s="138">
        <v>3</v>
      </c>
      <c r="N582" s="118" t="s">
        <v>1848</v>
      </c>
      <c r="O582" s="138">
        <v>-1</v>
      </c>
      <c r="P582" s="138"/>
      <c r="Q582" s="138">
        <v>0</v>
      </c>
      <c r="R582" s="138">
        <v>1</v>
      </c>
      <c r="S582" s="138" t="b">
        <v>1</v>
      </c>
      <c r="T582" s="138">
        <v>28</v>
      </c>
      <c r="U582" s="118">
        <v>420</v>
      </c>
      <c r="V582" s="118">
        <v>560</v>
      </c>
      <c r="W582" s="138">
        <v>0</v>
      </c>
      <c r="X582" s="138">
        <v>3</v>
      </c>
      <c r="Y582" s="138" t="s">
        <v>38</v>
      </c>
      <c r="Z582" s="388" t="s">
        <v>3335</v>
      </c>
      <c r="AA582" s="388" t="s">
        <v>3335</v>
      </c>
      <c r="AB582" s="138" t="s">
        <v>1842</v>
      </c>
      <c r="AC582" s="138">
        <v>100000</v>
      </c>
      <c r="AD582" s="449">
        <v>1</v>
      </c>
      <c r="AE582" s="449">
        <v>1</v>
      </c>
      <c r="AF582">
        <v>0</v>
      </c>
      <c r="AG582" s="452">
        <v>3</v>
      </c>
    </row>
    <row r="583" spans="1:33" x14ac:dyDescent="0.15">
      <c r="A583" s="132">
        <v>700403</v>
      </c>
      <c r="B583" s="136" t="s">
        <v>2735</v>
      </c>
      <c r="C583" s="136" t="s">
        <v>2735</v>
      </c>
      <c r="D583" s="137" t="s">
        <v>1832</v>
      </c>
      <c r="E583" s="138">
        <v>0</v>
      </c>
      <c r="F583" s="138">
        <v>0</v>
      </c>
      <c r="G583" s="138"/>
      <c r="H583" s="138" t="s">
        <v>295</v>
      </c>
      <c r="I583" s="138">
        <v>3</v>
      </c>
      <c r="J583" s="118">
        <v>3</v>
      </c>
      <c r="K583" s="138">
        <v>0</v>
      </c>
      <c r="L583" s="138">
        <v>2</v>
      </c>
      <c r="M583" s="138">
        <v>3</v>
      </c>
      <c r="N583" s="118" t="s">
        <v>1848</v>
      </c>
      <c r="O583" s="138">
        <v>-1</v>
      </c>
      <c r="P583" s="138"/>
      <c r="Q583" s="138">
        <v>0</v>
      </c>
      <c r="R583" s="138">
        <v>1</v>
      </c>
      <c r="S583" s="138" t="b">
        <v>1</v>
      </c>
      <c r="T583" s="138">
        <v>28</v>
      </c>
      <c r="U583" s="118">
        <v>420</v>
      </c>
      <c r="V583" s="118">
        <v>560</v>
      </c>
      <c r="W583" s="138">
        <v>0</v>
      </c>
      <c r="X583" s="138">
        <v>3</v>
      </c>
      <c r="Y583" s="138" t="s">
        <v>38</v>
      </c>
      <c r="Z583" s="388" t="s">
        <v>3336</v>
      </c>
      <c r="AA583" s="388" t="s">
        <v>3336</v>
      </c>
      <c r="AB583" s="138" t="s">
        <v>1851</v>
      </c>
      <c r="AC583" s="138">
        <v>100000</v>
      </c>
      <c r="AD583" s="449">
        <v>1</v>
      </c>
      <c r="AE583" s="449">
        <v>1</v>
      </c>
      <c r="AF583">
        <v>0</v>
      </c>
      <c r="AG583" s="452">
        <v>3</v>
      </c>
    </row>
    <row r="584" spans="1:33" x14ac:dyDescent="0.15">
      <c r="A584" s="132">
        <v>700204</v>
      </c>
      <c r="B584" s="136" t="s">
        <v>2739</v>
      </c>
      <c r="C584" s="136" t="s">
        <v>2739</v>
      </c>
      <c r="D584" s="137" t="s">
        <v>1832</v>
      </c>
      <c r="E584" s="138">
        <v>0</v>
      </c>
      <c r="F584" s="138">
        <v>0</v>
      </c>
      <c r="G584" s="138"/>
      <c r="H584" s="138" t="s">
        <v>295</v>
      </c>
      <c r="I584" s="138">
        <v>4</v>
      </c>
      <c r="J584" s="118">
        <v>4</v>
      </c>
      <c r="K584" s="138">
        <v>0</v>
      </c>
      <c r="L584" s="138">
        <v>2</v>
      </c>
      <c r="M584" s="138">
        <v>4</v>
      </c>
      <c r="N584" s="118" t="s">
        <v>1854</v>
      </c>
      <c r="O584" s="138">
        <v>-1</v>
      </c>
      <c r="P584" s="138"/>
      <c r="Q584" s="138">
        <v>0</v>
      </c>
      <c r="R584" s="138">
        <v>1</v>
      </c>
      <c r="S584" s="138" t="b">
        <v>1</v>
      </c>
      <c r="T584" s="138">
        <v>39</v>
      </c>
      <c r="U584" s="118">
        <v>585</v>
      </c>
      <c r="V584" s="118">
        <v>780</v>
      </c>
      <c r="W584" s="138">
        <v>0</v>
      </c>
      <c r="X584" s="138">
        <v>4</v>
      </c>
      <c r="Y584" s="138" t="s">
        <v>38</v>
      </c>
      <c r="Z584" s="388" t="s">
        <v>3337</v>
      </c>
      <c r="AA584" s="388" t="s">
        <v>3337</v>
      </c>
      <c r="AB584" s="138" t="s">
        <v>1857</v>
      </c>
      <c r="AC584" s="138">
        <v>100000</v>
      </c>
      <c r="AD584" s="449">
        <v>1</v>
      </c>
      <c r="AE584" s="449">
        <v>1</v>
      </c>
      <c r="AF584">
        <v>0</v>
      </c>
      <c r="AG584" s="452">
        <v>4</v>
      </c>
    </row>
    <row r="585" spans="1:33" x14ac:dyDescent="0.15">
      <c r="A585" s="132">
        <v>700304</v>
      </c>
      <c r="B585" s="136" t="s">
        <v>2743</v>
      </c>
      <c r="C585" s="136" t="s">
        <v>2743</v>
      </c>
      <c r="D585" s="137" t="s">
        <v>1832</v>
      </c>
      <c r="E585" s="138">
        <v>0</v>
      </c>
      <c r="F585" s="138">
        <v>0</v>
      </c>
      <c r="G585" s="138"/>
      <c r="H585" s="138" t="s">
        <v>295</v>
      </c>
      <c r="I585" s="138">
        <v>6</v>
      </c>
      <c r="J585" s="118">
        <v>6</v>
      </c>
      <c r="K585" s="138">
        <v>0</v>
      </c>
      <c r="L585" s="138">
        <v>2</v>
      </c>
      <c r="M585" s="138">
        <v>6</v>
      </c>
      <c r="N585" s="118" t="s">
        <v>1854</v>
      </c>
      <c r="O585" s="138">
        <v>-1</v>
      </c>
      <c r="P585" s="138"/>
      <c r="Q585" s="138">
        <v>0</v>
      </c>
      <c r="R585" s="138">
        <v>1</v>
      </c>
      <c r="S585" s="138" t="b">
        <v>1</v>
      </c>
      <c r="T585" s="138">
        <v>39</v>
      </c>
      <c r="U585" s="118">
        <v>585</v>
      </c>
      <c r="V585" s="118">
        <v>780</v>
      </c>
      <c r="W585" s="138">
        <v>0</v>
      </c>
      <c r="X585" s="138">
        <v>4</v>
      </c>
      <c r="Y585" s="138" t="s">
        <v>38</v>
      </c>
      <c r="Z585" s="388" t="s">
        <v>3338</v>
      </c>
      <c r="AA585" s="388" t="s">
        <v>3338</v>
      </c>
      <c r="AB585" s="138" t="s">
        <v>1863</v>
      </c>
      <c r="AC585" s="138">
        <v>100000</v>
      </c>
      <c r="AD585" s="449">
        <v>1</v>
      </c>
      <c r="AE585" s="449">
        <v>1</v>
      </c>
      <c r="AF585">
        <v>0</v>
      </c>
      <c r="AG585" s="452">
        <v>4</v>
      </c>
    </row>
    <row r="586" spans="1:33" x14ac:dyDescent="0.15">
      <c r="A586" s="132">
        <v>700105</v>
      </c>
      <c r="B586" s="136" t="s">
        <v>2747</v>
      </c>
      <c r="C586" s="136" t="s">
        <v>2747</v>
      </c>
      <c r="D586" s="137" t="s">
        <v>1832</v>
      </c>
      <c r="E586" s="138">
        <v>0</v>
      </c>
      <c r="F586" s="138">
        <v>0</v>
      </c>
      <c r="G586" s="138"/>
      <c r="H586" s="138" t="s">
        <v>295</v>
      </c>
      <c r="I586" s="138">
        <v>3</v>
      </c>
      <c r="J586" s="118">
        <v>3</v>
      </c>
      <c r="K586" s="138">
        <v>0</v>
      </c>
      <c r="L586" s="138">
        <v>2</v>
      </c>
      <c r="M586" s="138">
        <v>3</v>
      </c>
      <c r="N586" s="118" t="s">
        <v>1860</v>
      </c>
      <c r="O586" s="138">
        <v>-1</v>
      </c>
      <c r="P586" s="138"/>
      <c r="Q586" s="138">
        <v>0</v>
      </c>
      <c r="R586" s="138">
        <v>1</v>
      </c>
      <c r="S586" s="138" t="b">
        <v>1</v>
      </c>
      <c r="T586" s="138">
        <v>48</v>
      </c>
      <c r="U586" s="118">
        <v>720</v>
      </c>
      <c r="V586" s="118">
        <v>960</v>
      </c>
      <c r="W586" s="138">
        <v>0</v>
      </c>
      <c r="X586" s="138">
        <v>5</v>
      </c>
      <c r="Y586" s="138" t="s">
        <v>38</v>
      </c>
      <c r="Z586" s="388" t="s">
        <v>3339</v>
      </c>
      <c r="AA586" s="388" t="s">
        <v>3339</v>
      </c>
      <c r="AB586" s="138" t="s">
        <v>1869</v>
      </c>
      <c r="AC586" s="138">
        <v>100000</v>
      </c>
      <c r="AD586" s="449">
        <v>1</v>
      </c>
      <c r="AE586" s="449">
        <v>1</v>
      </c>
      <c r="AF586">
        <v>700105</v>
      </c>
      <c r="AG586" s="452">
        <v>5</v>
      </c>
    </row>
    <row r="587" spans="1:33" x14ac:dyDescent="0.15">
      <c r="A587" s="132">
        <v>700205</v>
      </c>
      <c r="B587" s="136" t="s">
        <v>2751</v>
      </c>
      <c r="C587" s="136" t="s">
        <v>2751</v>
      </c>
      <c r="D587" s="137" t="s">
        <v>1832</v>
      </c>
      <c r="E587" s="138">
        <v>0</v>
      </c>
      <c r="F587" s="138">
        <v>0</v>
      </c>
      <c r="G587" s="138"/>
      <c r="H587" s="138" t="s">
        <v>295</v>
      </c>
      <c r="I587" s="138">
        <v>5</v>
      </c>
      <c r="J587" s="118">
        <v>5</v>
      </c>
      <c r="K587" s="138">
        <v>0</v>
      </c>
      <c r="L587" s="138">
        <v>2</v>
      </c>
      <c r="M587" s="138">
        <v>5</v>
      </c>
      <c r="N587" s="118" t="s">
        <v>1860</v>
      </c>
      <c r="O587" s="138">
        <v>-1</v>
      </c>
      <c r="P587" s="138"/>
      <c r="Q587" s="138">
        <v>0</v>
      </c>
      <c r="R587" s="138">
        <v>1</v>
      </c>
      <c r="S587" s="138" t="b">
        <v>1</v>
      </c>
      <c r="T587" s="138">
        <v>48</v>
      </c>
      <c r="U587" s="118">
        <v>720</v>
      </c>
      <c r="V587" s="118">
        <v>960</v>
      </c>
      <c r="W587" s="138">
        <v>0</v>
      </c>
      <c r="X587" s="138">
        <v>5</v>
      </c>
      <c r="Y587" s="138" t="s">
        <v>38</v>
      </c>
      <c r="Z587" s="388" t="s">
        <v>3340</v>
      </c>
      <c r="AA587" s="388" t="s">
        <v>3340</v>
      </c>
      <c r="AB587" s="138" t="s">
        <v>1875</v>
      </c>
      <c r="AC587" s="138">
        <v>100000</v>
      </c>
      <c r="AD587" s="449">
        <v>1</v>
      </c>
      <c r="AE587" s="449">
        <v>1</v>
      </c>
      <c r="AF587">
        <v>0</v>
      </c>
      <c r="AG587" s="452">
        <v>5</v>
      </c>
    </row>
    <row r="588" spans="1:33" x14ac:dyDescent="0.15">
      <c r="A588" s="132">
        <v>700106</v>
      </c>
      <c r="B588" s="136" t="s">
        <v>2755</v>
      </c>
      <c r="C588" s="136" t="s">
        <v>2755</v>
      </c>
      <c r="D588" s="137" t="s">
        <v>1832</v>
      </c>
      <c r="E588" s="138">
        <v>0</v>
      </c>
      <c r="F588" s="138">
        <v>0</v>
      </c>
      <c r="G588" s="138"/>
      <c r="H588" s="138" t="s">
        <v>295</v>
      </c>
      <c r="I588" s="138">
        <v>3</v>
      </c>
      <c r="J588" s="118">
        <v>3</v>
      </c>
      <c r="K588" s="138">
        <v>0</v>
      </c>
      <c r="L588" s="138">
        <v>2</v>
      </c>
      <c r="M588" s="138">
        <v>3</v>
      </c>
      <c r="N588" s="118" t="s">
        <v>1866</v>
      </c>
      <c r="O588" s="138">
        <v>-1</v>
      </c>
      <c r="P588" s="138"/>
      <c r="Q588" s="138">
        <v>0</v>
      </c>
      <c r="R588" s="138">
        <v>1</v>
      </c>
      <c r="S588" s="138" t="b">
        <v>1</v>
      </c>
      <c r="T588" s="138">
        <v>58</v>
      </c>
      <c r="U588" s="118">
        <v>870</v>
      </c>
      <c r="V588" s="118">
        <v>1160</v>
      </c>
      <c r="W588" s="138">
        <v>0</v>
      </c>
      <c r="X588" s="138">
        <v>6</v>
      </c>
      <c r="Y588" s="138" t="s">
        <v>38</v>
      </c>
      <c r="Z588" s="388" t="s">
        <v>3341</v>
      </c>
      <c r="AA588" s="388" t="s">
        <v>3341</v>
      </c>
      <c r="AB588" s="138" t="s">
        <v>1881</v>
      </c>
      <c r="AC588" s="138">
        <v>100000</v>
      </c>
      <c r="AD588" s="449">
        <v>1</v>
      </c>
      <c r="AE588" s="449">
        <v>1</v>
      </c>
      <c r="AF588">
        <v>0</v>
      </c>
      <c r="AG588" s="452">
        <v>6</v>
      </c>
    </row>
    <row r="589" spans="1:33" x14ac:dyDescent="0.15">
      <c r="A589" s="132">
        <v>700206</v>
      </c>
      <c r="B589" s="136" t="s">
        <v>2759</v>
      </c>
      <c r="C589" s="136" t="s">
        <v>2759</v>
      </c>
      <c r="D589" s="137" t="s">
        <v>1832</v>
      </c>
      <c r="E589" s="138">
        <v>0</v>
      </c>
      <c r="F589" s="138">
        <v>0</v>
      </c>
      <c r="G589" s="138"/>
      <c r="H589" s="138" t="s">
        <v>295</v>
      </c>
      <c r="I589" s="138">
        <v>6</v>
      </c>
      <c r="J589" s="118">
        <v>6</v>
      </c>
      <c r="K589" s="138">
        <v>0</v>
      </c>
      <c r="L589" s="138">
        <v>2</v>
      </c>
      <c r="M589" s="138">
        <v>6</v>
      </c>
      <c r="N589" s="118" t="s">
        <v>1866</v>
      </c>
      <c r="O589" s="138">
        <v>-1</v>
      </c>
      <c r="P589" s="138"/>
      <c r="Q589" s="138">
        <v>0</v>
      </c>
      <c r="R589" s="138">
        <v>1</v>
      </c>
      <c r="S589" s="138" t="b">
        <v>1</v>
      </c>
      <c r="T589" s="138">
        <v>58</v>
      </c>
      <c r="U589" s="118">
        <v>870</v>
      </c>
      <c r="V589" s="118">
        <v>1160</v>
      </c>
      <c r="W589" s="138">
        <v>0</v>
      </c>
      <c r="X589" s="138">
        <v>6</v>
      </c>
      <c r="Y589" s="138" t="s">
        <v>38</v>
      </c>
      <c r="Z589" s="388" t="s">
        <v>3342</v>
      </c>
      <c r="AA589" s="388" t="s">
        <v>3342</v>
      </c>
      <c r="AB589" s="138" t="s">
        <v>1887</v>
      </c>
      <c r="AC589" s="138">
        <v>100000</v>
      </c>
      <c r="AD589" s="449">
        <v>1</v>
      </c>
      <c r="AE589" s="449">
        <v>1</v>
      </c>
      <c r="AF589">
        <v>0</v>
      </c>
      <c r="AG589" s="452">
        <v>6</v>
      </c>
    </row>
    <row r="590" spans="1:33" x14ac:dyDescent="0.15">
      <c r="A590" s="132">
        <v>700107</v>
      </c>
      <c r="B590" s="136" t="s">
        <v>2763</v>
      </c>
      <c r="C590" s="136" t="s">
        <v>2763</v>
      </c>
      <c r="D590" s="137" t="s">
        <v>1832</v>
      </c>
      <c r="E590" s="138">
        <v>0</v>
      </c>
      <c r="F590" s="138">
        <v>0</v>
      </c>
      <c r="G590" s="138"/>
      <c r="H590" s="138" t="s">
        <v>295</v>
      </c>
      <c r="I590" s="138">
        <v>3</v>
      </c>
      <c r="J590" s="118">
        <v>3</v>
      </c>
      <c r="K590" s="138">
        <v>0</v>
      </c>
      <c r="L590" s="138">
        <v>2</v>
      </c>
      <c r="M590" s="138">
        <v>3</v>
      </c>
      <c r="N590" s="118" t="s">
        <v>1872</v>
      </c>
      <c r="O590" s="138">
        <v>-1</v>
      </c>
      <c r="P590" s="138"/>
      <c r="Q590" s="138">
        <v>0</v>
      </c>
      <c r="R590" s="138">
        <v>1</v>
      </c>
      <c r="S590" s="138" t="b">
        <v>1</v>
      </c>
      <c r="T590" s="138">
        <v>67</v>
      </c>
      <c r="U590" s="118">
        <v>1005</v>
      </c>
      <c r="V590" s="118">
        <v>1340</v>
      </c>
      <c r="W590" s="138">
        <v>0</v>
      </c>
      <c r="X590" s="138">
        <v>7</v>
      </c>
      <c r="Y590" s="138" t="s">
        <v>38</v>
      </c>
      <c r="Z590" s="388" t="s">
        <v>3343</v>
      </c>
      <c r="AA590" s="388" t="s">
        <v>3343</v>
      </c>
      <c r="AB590" s="138" t="s">
        <v>1893</v>
      </c>
      <c r="AC590" s="138">
        <v>100000</v>
      </c>
      <c r="AD590" s="449">
        <v>1</v>
      </c>
      <c r="AE590" s="449">
        <v>1</v>
      </c>
      <c r="AF590">
        <v>0</v>
      </c>
      <c r="AG590" s="452">
        <v>7</v>
      </c>
    </row>
    <row r="591" spans="1:33" x14ac:dyDescent="0.15">
      <c r="A591" s="132">
        <v>800203</v>
      </c>
      <c r="B591" s="136" t="s">
        <v>2767</v>
      </c>
      <c r="C591" s="136" t="s">
        <v>2767</v>
      </c>
      <c r="D591" s="136" t="s">
        <v>1908</v>
      </c>
      <c r="E591" s="138">
        <v>0</v>
      </c>
      <c r="F591" s="138">
        <v>0</v>
      </c>
      <c r="G591" s="138"/>
      <c r="H591" s="138" t="s">
        <v>295</v>
      </c>
      <c r="I591" s="138">
        <v>5</v>
      </c>
      <c r="J591" s="118">
        <v>5</v>
      </c>
      <c r="K591" s="138">
        <v>0</v>
      </c>
      <c r="L591" s="138">
        <v>2</v>
      </c>
      <c r="M591" s="138">
        <v>5</v>
      </c>
      <c r="N591" s="118" t="s">
        <v>1921</v>
      </c>
      <c r="O591" s="138">
        <v>-1</v>
      </c>
      <c r="P591" s="138"/>
      <c r="Q591" s="138">
        <v>0</v>
      </c>
      <c r="R591" s="138">
        <v>1</v>
      </c>
      <c r="S591" s="138" t="b">
        <v>1</v>
      </c>
      <c r="T591" s="138">
        <v>28</v>
      </c>
      <c r="U591" s="118">
        <v>420</v>
      </c>
      <c r="V591" s="118">
        <v>560</v>
      </c>
      <c r="W591" s="138">
        <v>0</v>
      </c>
      <c r="X591" s="138">
        <v>3</v>
      </c>
      <c r="Y591" s="138" t="s">
        <v>38</v>
      </c>
      <c r="Z591" s="388" t="s">
        <v>3344</v>
      </c>
      <c r="AA591" s="388" t="s">
        <v>3344</v>
      </c>
      <c r="AB591" s="138" t="s">
        <v>1912</v>
      </c>
      <c r="AC591" s="138">
        <v>100000</v>
      </c>
      <c r="AD591" s="449">
        <v>1</v>
      </c>
      <c r="AE591" s="449">
        <v>1</v>
      </c>
      <c r="AF591">
        <v>0</v>
      </c>
      <c r="AG591" s="452">
        <v>3</v>
      </c>
    </row>
    <row r="592" spans="1:33" x14ac:dyDescent="0.15">
      <c r="A592" s="132">
        <v>800303</v>
      </c>
      <c r="B592" s="136" t="s">
        <v>2771</v>
      </c>
      <c r="C592" s="136" t="s">
        <v>2771</v>
      </c>
      <c r="D592" s="136" t="s">
        <v>1908</v>
      </c>
      <c r="E592" s="138">
        <v>0</v>
      </c>
      <c r="F592" s="138">
        <v>0</v>
      </c>
      <c r="G592" s="138"/>
      <c r="H592" s="138" t="s">
        <v>295</v>
      </c>
      <c r="I592" s="138">
        <v>4</v>
      </c>
      <c r="J592" s="118">
        <v>4</v>
      </c>
      <c r="K592" s="138">
        <v>0</v>
      </c>
      <c r="L592" s="138">
        <v>2</v>
      </c>
      <c r="M592" s="138">
        <v>4</v>
      </c>
      <c r="N592" s="118" t="s">
        <v>1921</v>
      </c>
      <c r="O592" s="138">
        <v>-1</v>
      </c>
      <c r="P592" s="138"/>
      <c r="Q592" s="138">
        <v>0</v>
      </c>
      <c r="R592" s="138">
        <v>1</v>
      </c>
      <c r="S592" s="138" t="b">
        <v>1</v>
      </c>
      <c r="T592" s="138">
        <v>28</v>
      </c>
      <c r="U592" s="118">
        <v>420</v>
      </c>
      <c r="V592" s="118">
        <v>560</v>
      </c>
      <c r="W592" s="138">
        <v>0</v>
      </c>
      <c r="X592" s="138">
        <v>3</v>
      </c>
      <c r="Y592" s="138" t="s">
        <v>38</v>
      </c>
      <c r="Z592" s="388" t="s">
        <v>3345</v>
      </c>
      <c r="AA592" s="388" t="s">
        <v>3345</v>
      </c>
      <c r="AB592" s="138" t="s">
        <v>1918</v>
      </c>
      <c r="AC592" s="138">
        <v>100000</v>
      </c>
      <c r="AD592" s="449">
        <v>1</v>
      </c>
      <c r="AE592" s="449">
        <v>1</v>
      </c>
      <c r="AF592">
        <v>800303</v>
      </c>
      <c r="AG592" s="452">
        <v>3</v>
      </c>
    </row>
    <row r="593" spans="1:33" x14ac:dyDescent="0.15">
      <c r="A593" s="132">
        <v>800403</v>
      </c>
      <c r="B593" s="136" t="s">
        <v>2775</v>
      </c>
      <c r="C593" s="136" t="s">
        <v>2775</v>
      </c>
      <c r="D593" s="136" t="s">
        <v>1908</v>
      </c>
      <c r="E593" s="138">
        <v>0</v>
      </c>
      <c r="F593" s="138">
        <v>0</v>
      </c>
      <c r="G593" s="138"/>
      <c r="H593" s="138" t="s">
        <v>295</v>
      </c>
      <c r="I593" s="138">
        <v>3</v>
      </c>
      <c r="J593" s="118">
        <v>3</v>
      </c>
      <c r="K593" s="138">
        <v>0</v>
      </c>
      <c r="L593" s="138">
        <v>2</v>
      </c>
      <c r="M593" s="138">
        <v>3</v>
      </c>
      <c r="N593" s="118" t="s">
        <v>1921</v>
      </c>
      <c r="O593" s="138">
        <v>-1</v>
      </c>
      <c r="P593" s="138"/>
      <c r="Q593" s="138">
        <v>0</v>
      </c>
      <c r="R593" s="138">
        <v>1</v>
      </c>
      <c r="S593" s="138" t="b">
        <v>1</v>
      </c>
      <c r="T593" s="138">
        <v>28</v>
      </c>
      <c r="U593" s="118">
        <v>420</v>
      </c>
      <c r="V593" s="118">
        <v>560</v>
      </c>
      <c r="W593" s="138">
        <v>0</v>
      </c>
      <c r="X593" s="138">
        <v>3</v>
      </c>
      <c r="Y593" s="138" t="s">
        <v>38</v>
      </c>
      <c r="Z593" s="388" t="s">
        <v>3346</v>
      </c>
      <c r="AA593" s="388" t="s">
        <v>3346</v>
      </c>
      <c r="AB593" s="138" t="s">
        <v>1924</v>
      </c>
      <c r="AC593" s="138">
        <v>100000</v>
      </c>
      <c r="AD593" s="449">
        <v>1</v>
      </c>
      <c r="AE593" s="449">
        <v>1</v>
      </c>
      <c r="AF593">
        <v>800403</v>
      </c>
      <c r="AG593" s="452">
        <v>3</v>
      </c>
    </row>
    <row r="594" spans="1:33" x14ac:dyDescent="0.15">
      <c r="A594" s="132">
        <v>800204</v>
      </c>
      <c r="B594" s="136" t="s">
        <v>2779</v>
      </c>
      <c r="C594" s="136" t="s">
        <v>2779</v>
      </c>
      <c r="D594" s="136" t="s">
        <v>1908</v>
      </c>
      <c r="E594" s="138">
        <v>0</v>
      </c>
      <c r="F594" s="138">
        <v>0</v>
      </c>
      <c r="G594" s="138"/>
      <c r="H594" s="138" t="s">
        <v>295</v>
      </c>
      <c r="I594" s="138">
        <v>4</v>
      </c>
      <c r="J594" s="118">
        <v>4</v>
      </c>
      <c r="K594" s="138">
        <v>0</v>
      </c>
      <c r="L594" s="138">
        <v>2</v>
      </c>
      <c r="M594" s="138">
        <v>4</v>
      </c>
      <c r="N594" s="118" t="s">
        <v>1927</v>
      </c>
      <c r="O594" s="138">
        <v>-1</v>
      </c>
      <c r="P594" s="138"/>
      <c r="Q594" s="138">
        <v>0</v>
      </c>
      <c r="R594" s="138">
        <v>1</v>
      </c>
      <c r="S594" s="138" t="b">
        <v>1</v>
      </c>
      <c r="T594" s="138">
        <v>39</v>
      </c>
      <c r="U594" s="118">
        <v>585</v>
      </c>
      <c r="V594" s="118">
        <v>780</v>
      </c>
      <c r="W594" s="138">
        <v>0</v>
      </c>
      <c r="X594" s="138">
        <v>4</v>
      </c>
      <c r="Y594" s="138" t="s">
        <v>38</v>
      </c>
      <c r="Z594" s="388" t="s">
        <v>3347</v>
      </c>
      <c r="AA594" s="388" t="s">
        <v>3347</v>
      </c>
      <c r="AB594" s="138" t="s">
        <v>1930</v>
      </c>
      <c r="AC594" s="138">
        <v>100000</v>
      </c>
      <c r="AD594" s="449">
        <v>1</v>
      </c>
      <c r="AE594" s="449">
        <v>1</v>
      </c>
      <c r="AF594">
        <v>0</v>
      </c>
      <c r="AG594" s="452">
        <v>4</v>
      </c>
    </row>
    <row r="595" spans="1:33" x14ac:dyDescent="0.15">
      <c r="A595" s="132">
        <v>800304</v>
      </c>
      <c r="B595" s="136" t="s">
        <v>2783</v>
      </c>
      <c r="C595" s="136" t="s">
        <v>2783</v>
      </c>
      <c r="D595" s="136" t="s">
        <v>1908</v>
      </c>
      <c r="E595" s="138">
        <v>0</v>
      </c>
      <c r="F595" s="138">
        <v>0</v>
      </c>
      <c r="G595" s="138"/>
      <c r="H595" s="138" t="s">
        <v>295</v>
      </c>
      <c r="I595" s="138">
        <v>6</v>
      </c>
      <c r="J595" s="118">
        <v>6</v>
      </c>
      <c r="K595" s="138">
        <v>0</v>
      </c>
      <c r="L595" s="138">
        <v>2</v>
      </c>
      <c r="M595" s="138">
        <v>6</v>
      </c>
      <c r="N595" s="118" t="s">
        <v>1927</v>
      </c>
      <c r="O595" s="138">
        <v>-1</v>
      </c>
      <c r="P595" s="138"/>
      <c r="Q595" s="138">
        <v>0</v>
      </c>
      <c r="R595" s="138">
        <v>1</v>
      </c>
      <c r="S595" s="138" t="b">
        <v>1</v>
      </c>
      <c r="T595" s="138">
        <v>39</v>
      </c>
      <c r="U595" s="118">
        <v>585</v>
      </c>
      <c r="V595" s="118">
        <v>780</v>
      </c>
      <c r="W595" s="138">
        <v>0</v>
      </c>
      <c r="X595" s="138">
        <v>4</v>
      </c>
      <c r="Y595" s="138" t="s">
        <v>38</v>
      </c>
      <c r="Z595" s="388" t="s">
        <v>3348</v>
      </c>
      <c r="AA595" s="388" t="s">
        <v>3348</v>
      </c>
      <c r="AB595" s="138" t="s">
        <v>1936</v>
      </c>
      <c r="AC595" s="138">
        <v>100000</v>
      </c>
      <c r="AD595" s="449">
        <v>1</v>
      </c>
      <c r="AE595" s="449">
        <v>1</v>
      </c>
      <c r="AF595">
        <v>0</v>
      </c>
      <c r="AG595" s="452">
        <v>4</v>
      </c>
    </row>
    <row r="596" spans="1:33" x14ac:dyDescent="0.15">
      <c r="A596" s="132">
        <v>800105</v>
      </c>
      <c r="B596" s="136" t="s">
        <v>2787</v>
      </c>
      <c r="C596" s="136" t="s">
        <v>2787</v>
      </c>
      <c r="D596" s="136" t="s">
        <v>1908</v>
      </c>
      <c r="E596" s="138">
        <v>0</v>
      </c>
      <c r="F596" s="138">
        <v>0</v>
      </c>
      <c r="G596" s="138"/>
      <c r="H596" s="138" t="s">
        <v>295</v>
      </c>
      <c r="I596" s="138">
        <v>4</v>
      </c>
      <c r="J596" s="118">
        <v>4</v>
      </c>
      <c r="K596" s="138">
        <v>0</v>
      </c>
      <c r="L596" s="138">
        <v>2</v>
      </c>
      <c r="M596" s="138">
        <v>4</v>
      </c>
      <c r="N596" s="118" t="s">
        <v>1933</v>
      </c>
      <c r="O596" s="138">
        <v>-1</v>
      </c>
      <c r="P596" s="138"/>
      <c r="Q596" s="138">
        <v>0</v>
      </c>
      <c r="R596" s="138">
        <v>1</v>
      </c>
      <c r="S596" s="138" t="b">
        <v>1</v>
      </c>
      <c r="T596" s="138">
        <v>48</v>
      </c>
      <c r="U596" s="118">
        <v>720</v>
      </c>
      <c r="V596" s="118">
        <v>960</v>
      </c>
      <c r="W596" s="138">
        <v>0</v>
      </c>
      <c r="X596" s="138">
        <v>5</v>
      </c>
      <c r="Y596" s="138" t="s">
        <v>38</v>
      </c>
      <c r="Z596" s="388" t="s">
        <v>3349</v>
      </c>
      <c r="AA596" s="388" t="s">
        <v>3349</v>
      </c>
      <c r="AB596" s="138" t="s">
        <v>1942</v>
      </c>
      <c r="AC596" s="138">
        <v>100000</v>
      </c>
      <c r="AD596" s="449">
        <v>1</v>
      </c>
      <c r="AE596" s="449">
        <v>1</v>
      </c>
      <c r="AF596">
        <v>0</v>
      </c>
      <c r="AG596" s="452">
        <v>5</v>
      </c>
    </row>
    <row r="597" spans="1:33" x14ac:dyDescent="0.15">
      <c r="A597" s="132">
        <v>800205</v>
      </c>
      <c r="B597" s="136" t="s">
        <v>2791</v>
      </c>
      <c r="C597" s="136" t="s">
        <v>2791</v>
      </c>
      <c r="D597" s="136" t="s">
        <v>1908</v>
      </c>
      <c r="E597" s="138">
        <v>0</v>
      </c>
      <c r="F597" s="138">
        <v>0</v>
      </c>
      <c r="G597" s="138"/>
      <c r="H597" s="138" t="s">
        <v>295</v>
      </c>
      <c r="I597" s="138">
        <v>3</v>
      </c>
      <c r="J597" s="118">
        <v>3</v>
      </c>
      <c r="K597" s="138">
        <v>0</v>
      </c>
      <c r="L597" s="138">
        <v>2</v>
      </c>
      <c r="M597" s="138">
        <v>3</v>
      </c>
      <c r="N597" s="118" t="s">
        <v>1933</v>
      </c>
      <c r="O597" s="138">
        <v>-1</v>
      </c>
      <c r="P597" s="138"/>
      <c r="Q597" s="138">
        <v>0</v>
      </c>
      <c r="R597" s="138">
        <v>1</v>
      </c>
      <c r="S597" s="138" t="b">
        <v>1</v>
      </c>
      <c r="T597" s="138">
        <v>48</v>
      </c>
      <c r="U597" s="118">
        <v>720</v>
      </c>
      <c r="V597" s="118">
        <v>960</v>
      </c>
      <c r="W597" s="138">
        <v>0</v>
      </c>
      <c r="X597" s="138">
        <v>5</v>
      </c>
      <c r="Y597" s="138" t="s">
        <v>38</v>
      </c>
      <c r="Z597" s="388" t="s">
        <v>3350</v>
      </c>
      <c r="AA597" s="388" t="s">
        <v>3350</v>
      </c>
      <c r="AB597" s="138" t="s">
        <v>1948</v>
      </c>
      <c r="AC597" s="138">
        <v>100000</v>
      </c>
      <c r="AD597" s="449">
        <v>1</v>
      </c>
      <c r="AE597" s="449">
        <v>1</v>
      </c>
      <c r="AF597">
        <v>800205</v>
      </c>
      <c r="AG597" s="452">
        <v>5</v>
      </c>
    </row>
    <row r="598" spans="1:33" x14ac:dyDescent="0.15">
      <c r="A598" s="132">
        <v>800106</v>
      </c>
      <c r="B598" s="136" t="s">
        <v>2795</v>
      </c>
      <c r="C598" s="136" t="s">
        <v>2795</v>
      </c>
      <c r="D598" s="136" t="s">
        <v>1908</v>
      </c>
      <c r="E598" s="138">
        <v>0</v>
      </c>
      <c r="F598" s="138">
        <v>0</v>
      </c>
      <c r="G598" s="138"/>
      <c r="H598" s="138" t="s">
        <v>295</v>
      </c>
      <c r="I598" s="138">
        <v>3</v>
      </c>
      <c r="J598" s="118">
        <v>3</v>
      </c>
      <c r="K598" s="138">
        <v>0</v>
      </c>
      <c r="L598" s="138">
        <v>2</v>
      </c>
      <c r="M598" s="138">
        <v>3</v>
      </c>
      <c r="N598" s="118" t="s">
        <v>1939</v>
      </c>
      <c r="O598" s="138">
        <v>-1</v>
      </c>
      <c r="P598" s="138"/>
      <c r="Q598" s="138">
        <v>0</v>
      </c>
      <c r="R598" s="138">
        <v>1</v>
      </c>
      <c r="S598" s="138" t="b">
        <v>1</v>
      </c>
      <c r="T598" s="138">
        <v>58</v>
      </c>
      <c r="U598" s="118">
        <v>870</v>
      </c>
      <c r="V598" s="118">
        <v>1160</v>
      </c>
      <c r="W598" s="138">
        <v>0</v>
      </c>
      <c r="X598" s="138">
        <v>6</v>
      </c>
      <c r="Y598" s="138" t="s">
        <v>38</v>
      </c>
      <c r="Z598" s="388" t="s">
        <v>3351</v>
      </c>
      <c r="AA598" s="388" t="s">
        <v>3351</v>
      </c>
      <c r="AB598" s="138" t="s">
        <v>1954</v>
      </c>
      <c r="AC598" s="138">
        <v>100000</v>
      </c>
      <c r="AD598" s="449">
        <v>1</v>
      </c>
      <c r="AE598" s="449">
        <v>1</v>
      </c>
      <c r="AF598">
        <v>800106</v>
      </c>
      <c r="AG598" s="452">
        <v>6</v>
      </c>
    </row>
    <row r="599" spans="1:33" x14ac:dyDescent="0.15">
      <c r="A599" s="132">
        <v>800206</v>
      </c>
      <c r="B599" s="136" t="s">
        <v>2799</v>
      </c>
      <c r="C599" s="136" t="s">
        <v>2799</v>
      </c>
      <c r="D599" s="136" t="s">
        <v>1908</v>
      </c>
      <c r="E599" s="138">
        <v>0</v>
      </c>
      <c r="F599" s="138">
        <v>0</v>
      </c>
      <c r="G599" s="138"/>
      <c r="H599" s="138" t="s">
        <v>295</v>
      </c>
      <c r="I599" s="138">
        <v>3</v>
      </c>
      <c r="J599" s="118">
        <v>3</v>
      </c>
      <c r="K599" s="138">
        <v>0</v>
      </c>
      <c r="L599" s="138">
        <v>2</v>
      </c>
      <c r="M599" s="138">
        <v>3</v>
      </c>
      <c r="N599" s="118" t="s">
        <v>1939</v>
      </c>
      <c r="O599" s="138">
        <v>-1</v>
      </c>
      <c r="P599" s="138"/>
      <c r="Q599" s="138">
        <v>0</v>
      </c>
      <c r="R599" s="138">
        <v>1</v>
      </c>
      <c r="S599" s="138" t="b">
        <v>1</v>
      </c>
      <c r="T599" s="138">
        <v>58</v>
      </c>
      <c r="U599" s="118">
        <v>870</v>
      </c>
      <c r="V599" s="118">
        <v>1160</v>
      </c>
      <c r="W599" s="138">
        <v>0</v>
      </c>
      <c r="X599" s="138">
        <v>6</v>
      </c>
      <c r="Y599" s="138" t="s">
        <v>38</v>
      </c>
      <c r="Z599" s="388" t="s">
        <v>3352</v>
      </c>
      <c r="AA599" s="388" t="s">
        <v>3352</v>
      </c>
      <c r="AB599" s="138" t="s">
        <v>1960</v>
      </c>
      <c r="AC599" s="138">
        <v>100000</v>
      </c>
      <c r="AD599" s="449">
        <v>1</v>
      </c>
      <c r="AE599" s="449">
        <v>1</v>
      </c>
      <c r="AF599">
        <v>800206</v>
      </c>
      <c r="AG599" s="452">
        <v>6</v>
      </c>
    </row>
    <row r="600" spans="1:33" x14ac:dyDescent="0.15">
      <c r="A600" s="132">
        <v>800107</v>
      </c>
      <c r="B600" s="136" t="s">
        <v>2803</v>
      </c>
      <c r="C600" s="136" t="s">
        <v>2803</v>
      </c>
      <c r="D600" s="136" t="s">
        <v>1908</v>
      </c>
      <c r="E600" s="138">
        <v>0</v>
      </c>
      <c r="F600" s="138">
        <v>0</v>
      </c>
      <c r="G600" s="138"/>
      <c r="H600" s="138" t="s">
        <v>295</v>
      </c>
      <c r="I600" s="138">
        <v>7</v>
      </c>
      <c r="J600" s="118">
        <v>7</v>
      </c>
      <c r="K600" s="138">
        <v>0</v>
      </c>
      <c r="L600" s="138">
        <v>2</v>
      </c>
      <c r="M600" s="138">
        <v>7</v>
      </c>
      <c r="N600" s="118" t="s">
        <v>1945</v>
      </c>
      <c r="O600" s="138">
        <v>-1</v>
      </c>
      <c r="P600" s="138"/>
      <c r="Q600" s="138">
        <v>0</v>
      </c>
      <c r="R600" s="138">
        <v>1</v>
      </c>
      <c r="S600" s="138" t="b">
        <v>1</v>
      </c>
      <c r="T600" s="138">
        <v>67</v>
      </c>
      <c r="U600" s="118">
        <v>1005</v>
      </c>
      <c r="V600" s="118">
        <v>1340</v>
      </c>
      <c r="W600" s="138">
        <v>0</v>
      </c>
      <c r="X600" s="138">
        <v>7</v>
      </c>
      <c r="Y600" s="138" t="s">
        <v>38</v>
      </c>
      <c r="Z600" s="388" t="s">
        <v>3353</v>
      </c>
      <c r="AA600" s="388" t="s">
        <v>3353</v>
      </c>
      <c r="AB600" s="138" t="s">
        <v>2806</v>
      </c>
      <c r="AC600" s="138">
        <v>100000</v>
      </c>
      <c r="AD600" s="449">
        <v>1</v>
      </c>
      <c r="AE600" s="449">
        <v>1</v>
      </c>
      <c r="AF600">
        <v>800107</v>
      </c>
      <c r="AG600" s="452">
        <v>7</v>
      </c>
    </row>
    <row r="601" spans="1:33" x14ac:dyDescent="0.15">
      <c r="A601" s="230">
        <v>104402</v>
      </c>
      <c r="B601" s="453" t="s">
        <v>2808</v>
      </c>
      <c r="C601" s="453" t="s">
        <v>2808</v>
      </c>
      <c r="D601" s="454" t="s">
        <v>33</v>
      </c>
      <c r="E601" s="104">
        <v>4</v>
      </c>
      <c r="F601" s="230" t="s">
        <v>447</v>
      </c>
      <c r="G601" s="230" t="s">
        <v>2809</v>
      </c>
      <c r="H601" s="455" t="s">
        <v>611</v>
      </c>
      <c r="I601" s="104">
        <v>4</v>
      </c>
      <c r="J601" s="118">
        <v>4</v>
      </c>
      <c r="K601" s="455">
        <v>0</v>
      </c>
      <c r="L601" s="455">
        <v>2</v>
      </c>
      <c r="M601" s="104">
        <v>4</v>
      </c>
      <c r="N601" s="118" t="s">
        <v>45</v>
      </c>
      <c r="O601" s="104">
        <v>99</v>
      </c>
      <c r="P601" s="104">
        <v>0.9</v>
      </c>
      <c r="Q601" s="104">
        <v>0</v>
      </c>
      <c r="R601" s="455">
        <v>1</v>
      </c>
      <c r="S601" s="454" t="b">
        <v>1</v>
      </c>
      <c r="T601" s="454">
        <v>13</v>
      </c>
      <c r="U601" s="118">
        <v>195</v>
      </c>
      <c r="V601" s="118">
        <v>260</v>
      </c>
      <c r="W601" s="454">
        <v>0</v>
      </c>
      <c r="X601" s="230">
        <v>2</v>
      </c>
      <c r="Y601" s="454" t="s">
        <v>38</v>
      </c>
      <c r="Z601" s="388" t="s">
        <v>3354</v>
      </c>
      <c r="AA601" s="388" t="s">
        <v>3354</v>
      </c>
      <c r="AB601" s="104" t="s">
        <v>2812</v>
      </c>
      <c r="AC601" s="104">
        <v>100000</v>
      </c>
      <c r="AD601" s="464">
        <v>1</v>
      </c>
      <c r="AE601" s="464">
        <v>1</v>
      </c>
      <c r="AF601">
        <v>104402</v>
      </c>
      <c r="AG601" s="469">
        <v>2</v>
      </c>
    </row>
    <row r="602" spans="1:33" x14ac:dyDescent="0.15">
      <c r="A602" s="230">
        <v>105504</v>
      </c>
      <c r="B602" s="453" t="s">
        <v>2814</v>
      </c>
      <c r="C602" s="453" t="s">
        <v>2814</v>
      </c>
      <c r="D602" s="454" t="s">
        <v>33</v>
      </c>
      <c r="E602" s="104">
        <v>5</v>
      </c>
      <c r="F602" s="230" t="s">
        <v>631</v>
      </c>
      <c r="G602" s="230" t="s">
        <v>2815</v>
      </c>
      <c r="H602" s="455" t="s">
        <v>611</v>
      </c>
      <c r="I602" s="104">
        <v>4</v>
      </c>
      <c r="J602" s="118">
        <v>4</v>
      </c>
      <c r="K602" s="455">
        <v>0</v>
      </c>
      <c r="L602" s="455">
        <v>2</v>
      </c>
      <c r="M602" s="104">
        <v>4</v>
      </c>
      <c r="N602" s="118" t="s">
        <v>64</v>
      </c>
      <c r="O602" s="104">
        <v>1</v>
      </c>
      <c r="P602" s="104">
        <v>0.9</v>
      </c>
      <c r="Q602" s="104">
        <v>0</v>
      </c>
      <c r="R602" s="455">
        <v>1</v>
      </c>
      <c r="S602" s="454" t="b">
        <v>1</v>
      </c>
      <c r="T602" s="138">
        <v>39</v>
      </c>
      <c r="U602" s="118">
        <v>585</v>
      </c>
      <c r="V602" s="118">
        <v>780</v>
      </c>
      <c r="W602" s="454">
        <v>0</v>
      </c>
      <c r="X602" s="230">
        <v>4</v>
      </c>
      <c r="Y602" s="454" t="s">
        <v>38</v>
      </c>
      <c r="Z602" s="388" t="s">
        <v>3355</v>
      </c>
      <c r="AA602" s="388" t="s">
        <v>3355</v>
      </c>
      <c r="AB602" s="104" t="s">
        <v>2818</v>
      </c>
      <c r="AC602" s="104">
        <v>100000</v>
      </c>
      <c r="AD602" s="465">
        <v>1</v>
      </c>
      <c r="AE602" s="465">
        <v>1</v>
      </c>
      <c r="AF602">
        <v>105504</v>
      </c>
      <c r="AG602" s="469">
        <v>4</v>
      </c>
    </row>
    <row r="603" spans="1:33" x14ac:dyDescent="0.15">
      <c r="A603" s="230">
        <v>102905</v>
      </c>
      <c r="B603" s="453" t="s">
        <v>2820</v>
      </c>
      <c r="C603" s="453" t="s">
        <v>2820</v>
      </c>
      <c r="D603" s="454" t="s">
        <v>33</v>
      </c>
      <c r="E603" s="104">
        <v>2</v>
      </c>
      <c r="F603" s="230" t="s">
        <v>134</v>
      </c>
      <c r="G603" s="230" t="s">
        <v>2821</v>
      </c>
      <c r="H603" s="455" t="s">
        <v>611</v>
      </c>
      <c r="I603" s="104">
        <v>4</v>
      </c>
      <c r="J603" s="118">
        <v>4</v>
      </c>
      <c r="K603" s="455">
        <v>0</v>
      </c>
      <c r="L603" s="455">
        <v>2</v>
      </c>
      <c r="M603" s="104">
        <v>4</v>
      </c>
      <c r="N603" s="118" t="s">
        <v>71</v>
      </c>
      <c r="O603" s="104">
        <v>99</v>
      </c>
      <c r="P603" s="104">
        <v>0.9</v>
      </c>
      <c r="Q603" s="104">
        <v>0</v>
      </c>
      <c r="R603" s="455">
        <v>1</v>
      </c>
      <c r="S603" s="454" t="b">
        <v>1</v>
      </c>
      <c r="T603" s="138">
        <v>48</v>
      </c>
      <c r="U603" s="118">
        <v>720</v>
      </c>
      <c r="V603" s="118">
        <v>960</v>
      </c>
      <c r="W603" s="454">
        <v>0</v>
      </c>
      <c r="X603" s="230">
        <v>5</v>
      </c>
      <c r="Y603" s="454" t="s">
        <v>38</v>
      </c>
      <c r="Z603" s="388" t="s">
        <v>3356</v>
      </c>
      <c r="AA603" s="388" t="s">
        <v>3356</v>
      </c>
      <c r="AB603" s="104" t="s">
        <v>2824</v>
      </c>
      <c r="AC603" s="104">
        <v>100000</v>
      </c>
      <c r="AD603" s="465">
        <v>1</v>
      </c>
      <c r="AE603" s="465">
        <v>1</v>
      </c>
      <c r="AF603">
        <v>102905</v>
      </c>
      <c r="AG603" s="469">
        <v>5</v>
      </c>
    </row>
    <row r="604" spans="1:33" x14ac:dyDescent="0.15">
      <c r="A604" s="230">
        <v>105604</v>
      </c>
      <c r="B604" s="453" t="s">
        <v>2826</v>
      </c>
      <c r="C604" s="453" t="s">
        <v>2826</v>
      </c>
      <c r="D604" s="454" t="s">
        <v>33</v>
      </c>
      <c r="E604" s="104">
        <v>5</v>
      </c>
      <c r="F604" s="230" t="s">
        <v>631</v>
      </c>
      <c r="G604" s="230" t="s">
        <v>2827</v>
      </c>
      <c r="H604" s="455" t="s">
        <v>611</v>
      </c>
      <c r="I604" s="104">
        <v>4</v>
      </c>
      <c r="J604" s="118">
        <v>4</v>
      </c>
      <c r="K604" s="455">
        <v>0</v>
      </c>
      <c r="L604" s="455">
        <v>2</v>
      </c>
      <c r="M604" s="104">
        <v>4</v>
      </c>
      <c r="N604" s="118" t="s">
        <v>64</v>
      </c>
      <c r="O604" s="104">
        <v>1</v>
      </c>
      <c r="P604" s="104">
        <v>0.9</v>
      </c>
      <c r="Q604" s="104">
        <v>0</v>
      </c>
      <c r="R604" s="455">
        <v>1</v>
      </c>
      <c r="S604" s="454" t="b">
        <v>1</v>
      </c>
      <c r="T604" s="138">
        <v>39</v>
      </c>
      <c r="U604" s="118">
        <v>585</v>
      </c>
      <c r="V604" s="118">
        <v>780</v>
      </c>
      <c r="W604" s="454">
        <v>0</v>
      </c>
      <c r="X604" s="230">
        <v>4</v>
      </c>
      <c r="Y604" s="454" t="s">
        <v>38</v>
      </c>
      <c r="Z604" s="388" t="s">
        <v>3357</v>
      </c>
      <c r="AA604" s="388" t="s">
        <v>3357</v>
      </c>
      <c r="AB604" s="104" t="s">
        <v>2830</v>
      </c>
      <c r="AC604" s="104">
        <v>100000</v>
      </c>
      <c r="AD604" s="464">
        <v>1</v>
      </c>
      <c r="AE604" s="464">
        <v>1</v>
      </c>
      <c r="AF604">
        <v>105604</v>
      </c>
      <c r="AG604" s="469">
        <v>4</v>
      </c>
    </row>
    <row r="605" spans="1:33" x14ac:dyDescent="0.15">
      <c r="A605" s="230">
        <v>1021005</v>
      </c>
      <c r="B605" s="453" t="s">
        <v>2832</v>
      </c>
      <c r="C605" s="453" t="s">
        <v>2832</v>
      </c>
      <c r="D605" s="454" t="s">
        <v>33</v>
      </c>
      <c r="E605" s="456">
        <v>10</v>
      </c>
      <c r="F605" s="457" t="s">
        <v>887</v>
      </c>
      <c r="G605" s="230" t="s">
        <v>2833</v>
      </c>
      <c r="H605" s="455" t="s">
        <v>611</v>
      </c>
      <c r="I605" s="104">
        <v>4</v>
      </c>
      <c r="J605" s="118">
        <v>4</v>
      </c>
      <c r="K605" s="455">
        <v>0</v>
      </c>
      <c r="L605" s="455">
        <v>2</v>
      </c>
      <c r="M605" s="104">
        <v>4</v>
      </c>
      <c r="N605" s="118" t="s">
        <v>2834</v>
      </c>
      <c r="O605" s="104">
        <v>99</v>
      </c>
      <c r="P605" s="104">
        <v>0.9</v>
      </c>
      <c r="Q605" s="104">
        <v>0</v>
      </c>
      <c r="R605" s="455">
        <v>1</v>
      </c>
      <c r="S605" s="454" t="b">
        <v>1</v>
      </c>
      <c r="T605" s="138">
        <v>48</v>
      </c>
      <c r="U605" s="118">
        <v>720</v>
      </c>
      <c r="V605" s="118">
        <v>960</v>
      </c>
      <c r="W605" s="454">
        <v>0</v>
      </c>
      <c r="X605" s="230">
        <v>5</v>
      </c>
      <c r="Y605" s="454" t="s">
        <v>38</v>
      </c>
      <c r="Z605" s="388" t="s">
        <v>3358</v>
      </c>
      <c r="AA605" s="388" t="s">
        <v>3358</v>
      </c>
      <c r="AB605" s="104" t="s">
        <v>2837</v>
      </c>
      <c r="AC605" s="104">
        <v>100000</v>
      </c>
      <c r="AD605" s="465">
        <v>1</v>
      </c>
      <c r="AE605" s="465">
        <v>1</v>
      </c>
      <c r="AF605">
        <v>1021005</v>
      </c>
      <c r="AG605" s="469">
        <v>5</v>
      </c>
    </row>
    <row r="606" spans="1:33" x14ac:dyDescent="0.15">
      <c r="A606" s="104">
        <v>115504</v>
      </c>
      <c r="B606" s="104" t="s">
        <v>2839</v>
      </c>
      <c r="C606" s="104" t="s">
        <v>2839</v>
      </c>
      <c r="D606" s="455" t="s">
        <v>33</v>
      </c>
      <c r="E606" s="455">
        <v>15</v>
      </c>
      <c r="F606" s="458" t="s">
        <v>1316</v>
      </c>
      <c r="G606" s="230" t="s">
        <v>2840</v>
      </c>
      <c r="H606" s="454" t="s">
        <v>611</v>
      </c>
      <c r="I606" s="454">
        <v>5</v>
      </c>
      <c r="J606" s="118">
        <v>5</v>
      </c>
      <c r="K606" s="454">
        <v>0</v>
      </c>
      <c r="L606" s="454">
        <v>3</v>
      </c>
      <c r="M606" s="454">
        <v>5</v>
      </c>
      <c r="N606" s="118" t="s">
        <v>64</v>
      </c>
      <c r="O606" s="104">
        <v>1</v>
      </c>
      <c r="P606" s="104">
        <v>0.9</v>
      </c>
      <c r="Q606" s="454"/>
      <c r="R606" s="454">
        <v>1</v>
      </c>
      <c r="S606" s="454" t="b">
        <v>1</v>
      </c>
      <c r="T606" s="138">
        <v>39</v>
      </c>
      <c r="U606" s="118">
        <v>585</v>
      </c>
      <c r="V606" s="118">
        <v>780</v>
      </c>
      <c r="W606" s="454">
        <v>0</v>
      </c>
      <c r="X606" s="454">
        <v>4</v>
      </c>
      <c r="Y606" s="454" t="s">
        <v>38</v>
      </c>
      <c r="Z606" s="388" t="s">
        <v>3359</v>
      </c>
      <c r="AA606" s="388" t="s">
        <v>3359</v>
      </c>
      <c r="AB606" s="466" t="s">
        <v>2843</v>
      </c>
      <c r="AC606" s="454">
        <v>100000</v>
      </c>
      <c r="AD606" s="464">
        <v>1</v>
      </c>
      <c r="AE606" s="464">
        <v>1</v>
      </c>
      <c r="AF606">
        <v>115504</v>
      </c>
      <c r="AG606" s="470">
        <v>4</v>
      </c>
    </row>
    <row r="607" spans="1:33" x14ac:dyDescent="0.15">
      <c r="A607">
        <v>103106</v>
      </c>
      <c r="B607" s="136" t="s">
        <v>2845</v>
      </c>
      <c r="C607" s="136" t="s">
        <v>2845</v>
      </c>
      <c r="D607" s="138" t="s">
        <v>33</v>
      </c>
      <c r="E607" s="138">
        <v>3</v>
      </c>
      <c r="F607" s="136" t="s">
        <v>363</v>
      </c>
      <c r="G607" s="138" t="s">
        <v>370</v>
      </c>
      <c r="H607" s="138" t="s">
        <v>107</v>
      </c>
      <c r="I607" s="138">
        <v>6</v>
      </c>
      <c r="J607" s="118">
        <v>6</v>
      </c>
      <c r="K607" s="138">
        <v>0</v>
      </c>
      <c r="L607" s="138">
        <v>3</v>
      </c>
      <c r="M607" s="138">
        <v>6</v>
      </c>
      <c r="N607" s="118" t="s">
        <v>77</v>
      </c>
      <c r="O607" s="136">
        <v>99</v>
      </c>
      <c r="P607" s="447">
        <v>0.9</v>
      </c>
      <c r="Q607" s="138">
        <v>0</v>
      </c>
      <c r="R607" s="138">
        <v>1</v>
      </c>
      <c r="S607" s="138" t="b">
        <v>1</v>
      </c>
      <c r="T607" s="138">
        <v>78</v>
      </c>
      <c r="U607" s="118">
        <v>1170</v>
      </c>
      <c r="V607" s="118">
        <v>1560</v>
      </c>
      <c r="W607" s="138">
        <v>0</v>
      </c>
      <c r="X607" s="138">
        <v>6</v>
      </c>
      <c r="Y607" s="138" t="s">
        <v>38</v>
      </c>
      <c r="Z607" s="388" t="s">
        <v>3360</v>
      </c>
      <c r="AA607" s="388" t="s">
        <v>3360</v>
      </c>
      <c r="AB607" s="136" t="s">
        <v>2848</v>
      </c>
      <c r="AC607" s="138">
        <v>100000</v>
      </c>
      <c r="AD607" s="449">
        <v>1</v>
      </c>
      <c r="AE607" s="449">
        <v>1</v>
      </c>
      <c r="AF607">
        <v>0</v>
      </c>
      <c r="AG607" s="452">
        <v>6</v>
      </c>
    </row>
    <row r="608" spans="1:33" x14ac:dyDescent="0.15">
      <c r="A608" s="459">
        <v>700306</v>
      </c>
      <c r="B608" s="460" t="s">
        <v>2850</v>
      </c>
      <c r="C608" s="460" t="s">
        <v>2850</v>
      </c>
      <c r="D608" s="461" t="s">
        <v>1832</v>
      </c>
      <c r="E608" s="461">
        <v>0</v>
      </c>
      <c r="F608" s="461">
        <v>0</v>
      </c>
      <c r="G608" s="461"/>
      <c r="H608" s="462" t="s">
        <v>107</v>
      </c>
      <c r="I608" s="461">
        <v>6</v>
      </c>
      <c r="J608" s="461">
        <v>6</v>
      </c>
      <c r="K608" s="461">
        <v>0</v>
      </c>
      <c r="L608" s="461">
        <v>2</v>
      </c>
      <c r="M608" s="461">
        <v>6</v>
      </c>
      <c r="N608" s="461" t="s">
        <v>1872</v>
      </c>
      <c r="O608" s="461">
        <v>-1</v>
      </c>
      <c r="P608" s="461"/>
      <c r="Q608" s="461">
        <v>0</v>
      </c>
      <c r="R608" s="461">
        <v>1</v>
      </c>
      <c r="S608" s="220" t="b">
        <v>1</v>
      </c>
      <c r="T608" s="461">
        <v>67</v>
      </c>
      <c r="U608" s="461">
        <v>1005</v>
      </c>
      <c r="V608" s="461">
        <v>1340</v>
      </c>
      <c r="W608" s="461">
        <v>0</v>
      </c>
      <c r="X608" s="461">
        <v>6</v>
      </c>
      <c r="Y608" s="461" t="s">
        <v>38</v>
      </c>
      <c r="Z608" s="388" t="s">
        <v>3361</v>
      </c>
      <c r="AA608" s="388" t="s">
        <v>3361</v>
      </c>
      <c r="AB608" s="220" t="s">
        <v>2853</v>
      </c>
      <c r="AC608" s="462">
        <v>100000</v>
      </c>
      <c r="AD608" s="467">
        <v>1</v>
      </c>
      <c r="AE608" s="467">
        <v>1</v>
      </c>
      <c r="AF608">
        <v>0</v>
      </c>
      <c r="AG608" s="471">
        <v>6</v>
      </c>
    </row>
    <row r="609" spans="1:33" x14ac:dyDescent="0.15">
      <c r="A609" s="445">
        <v>800406</v>
      </c>
      <c r="B609" s="445" t="s">
        <v>2855</v>
      </c>
      <c r="C609" s="445" t="s">
        <v>2855</v>
      </c>
      <c r="D609" s="445" t="s">
        <v>1908</v>
      </c>
      <c r="E609" s="463">
        <v>0</v>
      </c>
      <c r="F609" s="463">
        <v>0</v>
      </c>
      <c r="G609" s="463"/>
      <c r="H609" s="463" t="s">
        <v>107</v>
      </c>
      <c r="I609" s="118">
        <v>6</v>
      </c>
      <c r="J609" s="118">
        <v>6</v>
      </c>
      <c r="K609" s="463">
        <v>0</v>
      </c>
      <c r="L609" s="463">
        <v>2</v>
      </c>
      <c r="M609" s="118">
        <v>6</v>
      </c>
      <c r="N609" s="118" t="s">
        <v>1939</v>
      </c>
      <c r="O609" s="138">
        <v>-1</v>
      </c>
      <c r="P609" s="138"/>
      <c r="Q609" s="138">
        <v>0</v>
      </c>
      <c r="R609" s="463">
        <v>1</v>
      </c>
      <c r="S609" s="463" t="b">
        <v>1</v>
      </c>
      <c r="T609" s="463">
        <v>58</v>
      </c>
      <c r="U609" s="118">
        <f t="shared" ref="U609:U613" si="0">T609*15</f>
        <v>870</v>
      </c>
      <c r="V609" s="118">
        <f t="shared" ref="V609:V613" si="1">T609*20</f>
        <v>1160</v>
      </c>
      <c r="W609" s="463">
        <v>0</v>
      </c>
      <c r="X609" s="463">
        <v>6</v>
      </c>
      <c r="Y609" s="463" t="s">
        <v>38</v>
      </c>
      <c r="Z609" s="388" t="s">
        <v>3362</v>
      </c>
      <c r="AA609" s="388" t="s">
        <v>3362</v>
      </c>
      <c r="AB609" s="463" t="s">
        <v>2858</v>
      </c>
      <c r="AC609" s="463">
        <v>100000</v>
      </c>
      <c r="AD609" s="468">
        <v>1</v>
      </c>
      <c r="AE609" s="468">
        <v>1</v>
      </c>
      <c r="AF609" s="25">
        <v>0</v>
      </c>
      <c r="AG609" s="472">
        <v>6</v>
      </c>
    </row>
    <row r="610" spans="1:33" x14ac:dyDescent="0.15">
      <c r="A610" s="25">
        <v>800501</v>
      </c>
      <c r="B610" s="25" t="s">
        <v>2860</v>
      </c>
      <c r="C610" s="25" t="s">
        <v>2860</v>
      </c>
      <c r="D610" s="445" t="s">
        <v>1908</v>
      </c>
      <c r="E610" s="463">
        <v>0</v>
      </c>
      <c r="F610" s="463">
        <v>0</v>
      </c>
      <c r="G610" s="25"/>
      <c r="H610" s="25" t="s">
        <v>2861</v>
      </c>
      <c r="I610" s="25">
        <v>5</v>
      </c>
      <c r="J610" s="25">
        <v>5</v>
      </c>
      <c r="K610" s="25">
        <v>0</v>
      </c>
      <c r="L610" s="463">
        <v>2</v>
      </c>
      <c r="M610" s="25">
        <v>5</v>
      </c>
      <c r="N610" s="118" t="s">
        <v>2862</v>
      </c>
      <c r="O610" s="138">
        <v>50</v>
      </c>
      <c r="P610" s="138">
        <v>0.5</v>
      </c>
      <c r="Q610" s="138">
        <v>0</v>
      </c>
      <c r="R610" s="138">
        <v>1</v>
      </c>
      <c r="S610" s="463" t="b">
        <v>1</v>
      </c>
      <c r="T610" s="138">
        <v>28</v>
      </c>
      <c r="U610" s="118">
        <f t="shared" si="0"/>
        <v>420</v>
      </c>
      <c r="V610" s="118">
        <f t="shared" si="1"/>
        <v>560</v>
      </c>
      <c r="W610" s="463">
        <v>0</v>
      </c>
      <c r="X610" s="25">
        <v>7</v>
      </c>
      <c r="Y610" s="463" t="s">
        <v>38</v>
      </c>
      <c r="Z610" s="388" t="s">
        <v>3363</v>
      </c>
      <c r="AA610" s="388" t="s">
        <v>3363</v>
      </c>
      <c r="AB610" s="463" t="s">
        <v>2865</v>
      </c>
      <c r="AC610" s="463">
        <v>100000</v>
      </c>
      <c r="AD610" s="468">
        <v>1</v>
      </c>
      <c r="AE610" s="468">
        <v>1</v>
      </c>
      <c r="AF610" s="25">
        <v>0</v>
      </c>
      <c r="AG610" s="472"/>
    </row>
    <row r="611" spans="1:33" x14ac:dyDescent="0.15">
      <c r="A611" s="25">
        <v>800502</v>
      </c>
      <c r="B611" s="25" t="s">
        <v>2867</v>
      </c>
      <c r="C611" s="25" t="s">
        <v>2867</v>
      </c>
      <c r="D611" s="445" t="s">
        <v>1908</v>
      </c>
      <c r="E611" s="463">
        <v>0</v>
      </c>
      <c r="F611" s="463">
        <v>0</v>
      </c>
      <c r="G611" s="25"/>
      <c r="H611" s="25" t="s">
        <v>2861</v>
      </c>
      <c r="I611" s="25">
        <v>5</v>
      </c>
      <c r="J611" s="25">
        <v>5</v>
      </c>
      <c r="K611" s="25">
        <v>0</v>
      </c>
      <c r="L611" s="463">
        <v>2</v>
      </c>
      <c r="M611" s="25">
        <v>5</v>
      </c>
      <c r="N611" s="118" t="s">
        <v>2868</v>
      </c>
      <c r="O611" s="138">
        <v>50</v>
      </c>
      <c r="P611" s="138">
        <v>0.5</v>
      </c>
      <c r="Q611" s="138">
        <v>0</v>
      </c>
      <c r="R611" s="138">
        <v>1</v>
      </c>
      <c r="S611" s="463" t="b">
        <v>1</v>
      </c>
      <c r="T611" s="138">
        <v>28</v>
      </c>
      <c r="U611" s="118">
        <f t="shared" si="0"/>
        <v>420</v>
      </c>
      <c r="V611" s="118">
        <f t="shared" si="1"/>
        <v>560</v>
      </c>
      <c r="W611" s="463">
        <v>0</v>
      </c>
      <c r="X611" s="25">
        <v>8</v>
      </c>
      <c r="Y611" s="463" t="s">
        <v>38</v>
      </c>
      <c r="Z611" s="388" t="s">
        <v>3364</v>
      </c>
      <c r="AA611" s="388" t="s">
        <v>3364</v>
      </c>
      <c r="AB611" s="463" t="s">
        <v>2871</v>
      </c>
      <c r="AC611" s="463">
        <v>100000</v>
      </c>
      <c r="AD611" s="468">
        <v>1</v>
      </c>
      <c r="AE611" s="468">
        <v>1</v>
      </c>
      <c r="AF611" s="25">
        <v>0</v>
      </c>
      <c r="AG611" s="472"/>
    </row>
    <row r="612" spans="1:33" x14ac:dyDescent="0.15">
      <c r="A612" s="25">
        <v>800503</v>
      </c>
      <c r="B612" s="25" t="s">
        <v>2873</v>
      </c>
      <c r="C612" s="25" t="s">
        <v>2873</v>
      </c>
      <c r="D612" s="445" t="s">
        <v>1908</v>
      </c>
      <c r="E612" s="463">
        <v>0</v>
      </c>
      <c r="F612" s="463">
        <v>0</v>
      </c>
      <c r="G612" s="25"/>
      <c r="H612" s="25" t="s">
        <v>2861</v>
      </c>
      <c r="I612" s="25">
        <v>6</v>
      </c>
      <c r="J612" s="25">
        <v>6</v>
      </c>
      <c r="K612" s="25">
        <v>0</v>
      </c>
      <c r="L612" s="463">
        <v>2</v>
      </c>
      <c r="M612" s="25">
        <v>6</v>
      </c>
      <c r="N612" s="118" t="s">
        <v>2874</v>
      </c>
      <c r="O612" s="138">
        <v>50</v>
      </c>
      <c r="P612" s="138">
        <v>0.5</v>
      </c>
      <c r="Q612" s="138">
        <v>0</v>
      </c>
      <c r="R612" s="138">
        <v>1</v>
      </c>
      <c r="S612" s="463" t="b">
        <v>1</v>
      </c>
      <c r="T612" s="463">
        <v>58</v>
      </c>
      <c r="U612" s="118">
        <f t="shared" si="0"/>
        <v>870</v>
      </c>
      <c r="V612" s="118">
        <f t="shared" si="1"/>
        <v>1160</v>
      </c>
      <c r="W612" s="463">
        <v>0</v>
      </c>
      <c r="X612" s="25">
        <v>9</v>
      </c>
      <c r="Y612" s="463" t="s">
        <v>38</v>
      </c>
      <c r="Z612" s="388" t="s">
        <v>3365</v>
      </c>
      <c r="AA612" s="388" t="s">
        <v>3365</v>
      </c>
      <c r="AB612" s="463" t="s">
        <v>2877</v>
      </c>
      <c r="AC612" s="463">
        <v>100000</v>
      </c>
      <c r="AD612" s="468">
        <v>1</v>
      </c>
      <c r="AE612" s="468">
        <v>1</v>
      </c>
      <c r="AF612" s="25">
        <v>0</v>
      </c>
      <c r="AG612" s="472"/>
    </row>
    <row r="613" spans="1:33" x14ac:dyDescent="0.15">
      <c r="A613" s="25">
        <v>800504</v>
      </c>
      <c r="B613" s="25" t="s">
        <v>2879</v>
      </c>
      <c r="C613" s="25" t="s">
        <v>2879</v>
      </c>
      <c r="D613" s="445" t="s">
        <v>1908</v>
      </c>
      <c r="E613" s="463">
        <v>0</v>
      </c>
      <c r="F613" s="463">
        <v>0</v>
      </c>
      <c r="G613" s="25"/>
      <c r="H613" s="25" t="s">
        <v>2861</v>
      </c>
      <c r="I613" s="25">
        <v>7</v>
      </c>
      <c r="J613" s="25">
        <v>7</v>
      </c>
      <c r="K613" s="25">
        <v>0</v>
      </c>
      <c r="L613" s="463">
        <v>2</v>
      </c>
      <c r="M613" s="25">
        <v>7</v>
      </c>
      <c r="N613" s="118" t="s">
        <v>2880</v>
      </c>
      <c r="O613" s="138">
        <v>50</v>
      </c>
      <c r="P613" s="138">
        <v>0.5</v>
      </c>
      <c r="Q613" s="138">
        <v>0</v>
      </c>
      <c r="R613" s="138">
        <v>1</v>
      </c>
      <c r="S613" s="463" t="b">
        <v>1</v>
      </c>
      <c r="T613" s="138">
        <v>67</v>
      </c>
      <c r="U613" s="118">
        <f t="shared" si="0"/>
        <v>1005</v>
      </c>
      <c r="V613" s="118">
        <f t="shared" si="1"/>
        <v>1340</v>
      </c>
      <c r="W613" s="463">
        <v>0</v>
      </c>
      <c r="X613" s="25">
        <v>10</v>
      </c>
      <c r="Y613" s="463" t="s">
        <v>38</v>
      </c>
      <c r="Z613" s="388" t="s">
        <v>3366</v>
      </c>
      <c r="AA613" s="388" t="s">
        <v>3366</v>
      </c>
      <c r="AB613" s="463" t="s">
        <v>2883</v>
      </c>
      <c r="AC613" s="463">
        <v>100000</v>
      </c>
      <c r="AD613" s="468">
        <v>1</v>
      </c>
      <c r="AE613" s="468">
        <v>1</v>
      </c>
      <c r="AF613" s="25">
        <v>0</v>
      </c>
      <c r="AG613" s="472"/>
    </row>
  </sheetData>
  <phoneticPr fontId="45" type="noConversion"/>
  <conditionalFormatting sqref="A1:A3 A5:A9 A36:A43 A16 A20:A22 A47:A55 A59:A76 A83:A86 A88:A93 A24:A29 A100:A102 A104:A109 A116:A125 A139:A150 A157:A167 A174:A184 A191:A200 A208:A219 A226:A232 A239:A249 A253:A259 A263:A270 A274 A278:A284 A286:A290 A127:A132 A317:A331 A297:A313 A395:A420 A425:A448 A461:A588 A352:A361 A382:A391 A365:A378 A335:A348 A594">
    <cfRule type="duplicateValues" dxfId="471" priority="359"/>
  </conditionalFormatting>
  <conditionalFormatting sqref="A1:A3 A5:A9 A36:A43 A16 A20:A22 A48:A49 A59:A75 A51:A55 A24:A28 A83:A86 A88:A93 A100:A102 A104:A109 A116:A125 A127:A131 A157:A166 A191:A200 A208:A219 A226:A232 A239:A249 A263:A270 A274 A278:A284 A286:A290 A139:A149 A174:A183 A317:A331 A301:A313 A297:A299 A397:A401 A382:A383 A335:A348 A352:A361 A395 A365:A378 A385:A391">
    <cfRule type="duplicateValues" dxfId="470" priority="373"/>
  </conditionalFormatting>
  <conditionalFormatting sqref="A1:A3 A5:A9 A36:A43 A16 A20:A22 A48:A49 A59:A75 A51:A55 A24:A28 A83:A86 A88:A93 A100:A102 A104:A109 A116:A125 A139:A149 A174:A183 A157:A166 A191:A196 A264:A270 A274 A278:A284 A286:A290 A127:A131 A248 A301:A313 A317:A328 A297:A299 A385 A365:A378 A382:A383 A330:A331 A335:A348 A352:A361">
    <cfRule type="duplicateValues" dxfId="469" priority="391"/>
  </conditionalFormatting>
  <conditionalFormatting sqref="A1:A3 A5:A12 A16:A22 A24:A86 A88:A102 A127:A284 A286:A420 A425:A448 A461:A594 A104:A125">
    <cfRule type="duplicateValues" dxfId="468" priority="191"/>
  </conditionalFormatting>
  <conditionalFormatting sqref="A1:A3 A5:A22 A24:A86 A88:A102 A127:A284 A286:A420 A425:A448 A461:A594 A104:A125">
    <cfRule type="duplicateValues" dxfId="467" priority="187"/>
  </conditionalFormatting>
  <conditionalFormatting sqref="A1:A420 A425:A448 A461:A594">
    <cfRule type="duplicateValues" dxfId="466" priority="166"/>
  </conditionalFormatting>
  <conditionalFormatting sqref="A1:A448 A461:A594">
    <cfRule type="duplicateValues" dxfId="465" priority="164"/>
  </conditionalFormatting>
  <conditionalFormatting sqref="A1:A448 A461:A613">
    <cfRule type="duplicateValues" dxfId="464" priority="154"/>
  </conditionalFormatting>
  <conditionalFormatting sqref="A4">
    <cfRule type="duplicateValues" dxfId="463" priority="176"/>
  </conditionalFormatting>
  <conditionalFormatting sqref="A10:A12">
    <cfRule type="duplicateValues" dxfId="462" priority="290"/>
  </conditionalFormatting>
  <conditionalFormatting sqref="A13:A15">
    <cfRule type="duplicateValues" dxfId="461" priority="190"/>
  </conditionalFormatting>
  <conditionalFormatting sqref="A17">
    <cfRule type="duplicateValues" dxfId="460" priority="298"/>
  </conditionalFormatting>
  <conditionalFormatting sqref="A17:A19">
    <cfRule type="duplicateValues" dxfId="459" priority="293"/>
  </conditionalFormatting>
  <conditionalFormatting sqref="A18">
    <cfRule type="duplicateValues" dxfId="458" priority="297"/>
  </conditionalFormatting>
  <conditionalFormatting sqref="A19">
    <cfRule type="duplicateValues" dxfId="457" priority="296"/>
  </conditionalFormatting>
  <conditionalFormatting sqref="A23">
    <cfRule type="duplicateValues" dxfId="456" priority="179"/>
  </conditionalFormatting>
  <conditionalFormatting sqref="A29">
    <cfRule type="duplicateValues" dxfId="455" priority="367"/>
  </conditionalFormatting>
  <conditionalFormatting sqref="A30:A32">
    <cfRule type="duplicateValues" dxfId="454" priority="287"/>
  </conditionalFormatting>
  <conditionalFormatting sqref="A33:A35">
    <cfRule type="duplicateValues" dxfId="453" priority="284"/>
  </conditionalFormatting>
  <conditionalFormatting sqref="A44:A46">
    <cfRule type="duplicateValues" dxfId="452" priority="281"/>
  </conditionalFormatting>
  <conditionalFormatting sqref="A47">
    <cfRule type="duplicateValues" dxfId="451" priority="360"/>
  </conditionalFormatting>
  <conditionalFormatting sqref="A50">
    <cfRule type="duplicateValues" dxfId="450" priority="368"/>
  </conditionalFormatting>
  <conditionalFormatting sqref="A56:A58">
    <cfRule type="duplicateValues" dxfId="449" priority="278"/>
  </conditionalFormatting>
  <conditionalFormatting sqref="A76">
    <cfRule type="duplicateValues" dxfId="448" priority="366"/>
  </conditionalFormatting>
  <conditionalFormatting sqref="A77:A79">
    <cfRule type="duplicateValues" dxfId="447" priority="275"/>
  </conditionalFormatting>
  <conditionalFormatting sqref="A80:A82">
    <cfRule type="duplicateValues" dxfId="446" priority="272"/>
  </conditionalFormatting>
  <conditionalFormatting sqref="A87">
    <cfRule type="duplicateValues" dxfId="445" priority="170"/>
  </conditionalFormatting>
  <conditionalFormatting sqref="A94:A96">
    <cfRule type="duplicateValues" dxfId="444" priority="269"/>
  </conditionalFormatting>
  <conditionalFormatting sqref="A97:A99">
    <cfRule type="duplicateValues" dxfId="443" priority="266"/>
  </conditionalFormatting>
  <conditionalFormatting sqref="A103">
    <cfRule type="duplicateValues" dxfId="442" priority="173"/>
  </conditionalFormatting>
  <conditionalFormatting sqref="A110:A112">
    <cfRule type="duplicateValues" dxfId="441" priority="263"/>
  </conditionalFormatting>
  <conditionalFormatting sqref="A113:A115">
    <cfRule type="duplicateValues" dxfId="440" priority="260"/>
  </conditionalFormatting>
  <conditionalFormatting sqref="A126">
    <cfRule type="duplicateValues" dxfId="439" priority="182"/>
  </conditionalFormatting>
  <conditionalFormatting sqref="A132">
    <cfRule type="duplicateValues" dxfId="438" priority="365"/>
  </conditionalFormatting>
  <conditionalFormatting sqref="A133:A135">
    <cfRule type="duplicateValues" dxfId="437" priority="257"/>
  </conditionalFormatting>
  <conditionalFormatting sqref="A136:A138">
    <cfRule type="duplicateValues" dxfId="436" priority="254"/>
  </conditionalFormatting>
  <conditionalFormatting sqref="A150">
    <cfRule type="duplicateValues" dxfId="435" priority="364"/>
  </conditionalFormatting>
  <conditionalFormatting sqref="A151:A153">
    <cfRule type="duplicateValues" dxfId="434" priority="251"/>
  </conditionalFormatting>
  <conditionalFormatting sqref="A154:A156">
    <cfRule type="duplicateValues" dxfId="433" priority="248"/>
  </conditionalFormatting>
  <conditionalFormatting sqref="A167">
    <cfRule type="duplicateValues" dxfId="432" priority="363"/>
  </conditionalFormatting>
  <conditionalFormatting sqref="A168:A173">
    <cfRule type="duplicateValues" dxfId="431" priority="245"/>
  </conditionalFormatting>
  <conditionalFormatting sqref="A184">
    <cfRule type="duplicateValues" dxfId="430" priority="362"/>
  </conditionalFormatting>
  <conditionalFormatting sqref="A185:A190">
    <cfRule type="duplicateValues" dxfId="429" priority="242"/>
  </conditionalFormatting>
  <conditionalFormatting sqref="A197">
    <cfRule type="duplicateValues" dxfId="428" priority="377"/>
  </conditionalFormatting>
  <conditionalFormatting sqref="A198">
    <cfRule type="duplicateValues" dxfId="427" priority="384"/>
  </conditionalFormatting>
  <conditionalFormatting sqref="A199">
    <cfRule type="duplicateValues" dxfId="426" priority="378"/>
  </conditionalFormatting>
  <conditionalFormatting sqref="A200">
    <cfRule type="duplicateValues" dxfId="425" priority="383"/>
  </conditionalFormatting>
  <conditionalFormatting sqref="A201:A203">
    <cfRule type="duplicateValues" dxfId="424" priority="241"/>
  </conditionalFormatting>
  <conditionalFormatting sqref="A201:A207">
    <cfRule type="duplicateValues" dxfId="423" priority="235"/>
  </conditionalFormatting>
  <conditionalFormatting sqref="A204:A207">
    <cfRule type="duplicateValues" dxfId="422" priority="240"/>
  </conditionalFormatting>
  <conditionalFormatting sqref="A212:A213">
    <cfRule type="duplicateValues" dxfId="421" priority="390"/>
  </conditionalFormatting>
  <conditionalFormatting sqref="A214:A217">
    <cfRule type="duplicateValues" dxfId="420" priority="389"/>
  </conditionalFormatting>
  <conditionalFormatting sqref="A218:A219 A226:A227">
    <cfRule type="duplicateValues" dxfId="419" priority="388"/>
  </conditionalFormatting>
  <conditionalFormatting sqref="A220:A225">
    <cfRule type="duplicateValues" dxfId="418" priority="232"/>
  </conditionalFormatting>
  <conditionalFormatting sqref="A228:A231">
    <cfRule type="duplicateValues" dxfId="417" priority="387"/>
  </conditionalFormatting>
  <conditionalFormatting sqref="A232 A239:A243">
    <cfRule type="duplicateValues" dxfId="416" priority="386"/>
  </conditionalFormatting>
  <conditionalFormatting sqref="A233:A238">
    <cfRule type="duplicateValues" dxfId="415" priority="227"/>
  </conditionalFormatting>
  <conditionalFormatting sqref="A244">
    <cfRule type="duplicateValues" dxfId="414" priority="382"/>
  </conditionalFormatting>
  <conditionalFormatting sqref="A245">
    <cfRule type="duplicateValues" dxfId="413" priority="381"/>
  </conditionalFormatting>
  <conditionalFormatting sqref="A246">
    <cfRule type="duplicateValues" dxfId="412" priority="380"/>
  </conditionalFormatting>
  <conditionalFormatting sqref="A247">
    <cfRule type="duplicateValues" dxfId="411" priority="379"/>
  </conditionalFormatting>
  <conditionalFormatting sqref="A249">
    <cfRule type="duplicateValues" dxfId="410" priority="376"/>
  </conditionalFormatting>
  <conditionalFormatting sqref="A250:A252">
    <cfRule type="duplicateValues" dxfId="409" priority="224"/>
  </conditionalFormatting>
  <conditionalFormatting sqref="A253:A259">
    <cfRule type="duplicateValues" dxfId="408" priority="361"/>
  </conditionalFormatting>
  <conditionalFormatting sqref="A260:A262">
    <cfRule type="duplicateValues" dxfId="407" priority="223"/>
  </conditionalFormatting>
  <conditionalFormatting sqref="A263">
    <cfRule type="duplicateValues" dxfId="406" priority="385"/>
  </conditionalFormatting>
  <conditionalFormatting sqref="A271:A273">
    <cfRule type="duplicateValues" dxfId="405" priority="220"/>
  </conditionalFormatting>
  <conditionalFormatting sqref="A275:A277">
    <cfRule type="duplicateValues" dxfId="404" priority="217"/>
  </conditionalFormatting>
  <conditionalFormatting sqref="A284">
    <cfRule type="duplicateValues" dxfId="403" priority="392"/>
  </conditionalFormatting>
  <conditionalFormatting sqref="A285">
    <cfRule type="duplicateValues" dxfId="402" priority="167"/>
  </conditionalFormatting>
  <conditionalFormatting sqref="A291 A293:A296">
    <cfRule type="duplicateValues" dxfId="401" priority="214"/>
  </conditionalFormatting>
  <conditionalFormatting sqref="A291:A296">
    <cfRule type="duplicateValues" dxfId="400" priority="210"/>
  </conditionalFormatting>
  <conditionalFormatting sqref="A292">
    <cfRule type="duplicateValues" dxfId="399" priority="213"/>
  </conditionalFormatting>
  <conditionalFormatting sqref="A300">
    <cfRule type="duplicateValues" dxfId="398" priority="371"/>
  </conditionalFormatting>
  <conditionalFormatting sqref="A314:A316">
    <cfRule type="duplicateValues" dxfId="397" priority="207"/>
  </conditionalFormatting>
  <conditionalFormatting sqref="A329">
    <cfRule type="duplicateValues" dxfId="396" priority="375"/>
  </conditionalFormatting>
  <conditionalFormatting sqref="A332:A334">
    <cfRule type="duplicateValues" dxfId="395" priority="204"/>
  </conditionalFormatting>
  <conditionalFormatting sqref="A349:A351">
    <cfRule type="duplicateValues" dxfId="394" priority="201"/>
  </conditionalFormatting>
  <conditionalFormatting sqref="A362:A364">
    <cfRule type="duplicateValues" dxfId="393" priority="198"/>
  </conditionalFormatting>
  <conditionalFormatting sqref="A379:A381">
    <cfRule type="duplicateValues" dxfId="392" priority="195"/>
  </conditionalFormatting>
  <conditionalFormatting sqref="A384">
    <cfRule type="duplicateValues" dxfId="391" priority="370"/>
  </conditionalFormatting>
  <conditionalFormatting sqref="A392:A394">
    <cfRule type="duplicateValues" dxfId="390" priority="192"/>
  </conditionalFormatting>
  <conditionalFormatting sqref="A396">
    <cfRule type="duplicateValues" dxfId="389" priority="369"/>
  </conditionalFormatting>
  <conditionalFormatting sqref="A438:A441">
    <cfRule type="duplicateValues" dxfId="388" priority="372"/>
  </conditionalFormatting>
  <conditionalFormatting sqref="A449:A452 A457:A460">
    <cfRule type="duplicateValues" dxfId="387" priority="152"/>
  </conditionalFormatting>
  <conditionalFormatting sqref="A450:A452">
    <cfRule type="duplicateValues" dxfId="386" priority="153"/>
  </conditionalFormatting>
  <conditionalFormatting sqref="A453">
    <cfRule type="duplicateValues" dxfId="385" priority="150"/>
  </conditionalFormatting>
  <conditionalFormatting sqref="A453:A456">
    <cfRule type="duplicateValues" dxfId="384" priority="149"/>
  </conditionalFormatting>
  <conditionalFormatting sqref="A589:A593">
    <cfRule type="duplicateValues" dxfId="383" priority="356"/>
  </conditionalFormatting>
  <conditionalFormatting sqref="A608">
    <cfRule type="duplicateValues" dxfId="382" priority="162"/>
    <cfRule type="duplicateValues" dxfId="381" priority="163"/>
  </conditionalFormatting>
  <conditionalFormatting sqref="A609">
    <cfRule type="duplicateValues" dxfId="380" priority="156"/>
    <cfRule type="duplicateValues" dxfId="379" priority="158"/>
  </conditionalFormatting>
  <conditionalFormatting sqref="B1:B3 B5:B9 B36:B43 B16 B20:B22 B59:B75 B24:B28 B51:B54 B48:B49 B83:B86 B88:B93 B100:B102 B104:B107 B120:B125 B127:B131 B116:B118 B157:B166 B174:B183 B191:B200 B226:B232 B239:B242 B208:B218 B263:B270 B139:B149 B278:B284 B286:B289 B312:B313 B317:B327 B301:B309 B297:B299 B385:B391 B397:B401 B395 B382:B383 B329:B331 B335:B344 B346:B348 B352:B361 B374:B378 B365:B372">
    <cfRule type="duplicateValues" dxfId="378" priority="145"/>
    <cfRule type="duplicateValues" dxfId="377" priority="146"/>
  </conditionalFormatting>
  <conditionalFormatting sqref="B1:B448 B461:B594">
    <cfRule type="duplicateValues" dxfId="376" priority="7"/>
  </conditionalFormatting>
  <conditionalFormatting sqref="B4">
    <cfRule type="duplicateValues" dxfId="375" priority="14"/>
    <cfRule type="duplicateValues" dxfId="374" priority="15"/>
  </conditionalFormatting>
  <conditionalFormatting sqref="B10 B12">
    <cfRule type="duplicateValues" dxfId="373" priority="88"/>
    <cfRule type="duplicateValues" dxfId="372" priority="89"/>
  </conditionalFormatting>
  <conditionalFormatting sqref="B13:B15">
    <cfRule type="duplicateValues" dxfId="371" priority="22"/>
    <cfRule type="duplicateValues" dxfId="370" priority="23"/>
  </conditionalFormatting>
  <conditionalFormatting sqref="B17 B19">
    <cfRule type="duplicateValues" dxfId="369" priority="90"/>
    <cfRule type="duplicateValues" dxfId="368" priority="91"/>
  </conditionalFormatting>
  <conditionalFormatting sqref="B23">
    <cfRule type="duplicateValues" dxfId="367" priority="16"/>
    <cfRule type="duplicateValues" dxfId="366" priority="17"/>
  </conditionalFormatting>
  <conditionalFormatting sqref="B29">
    <cfRule type="duplicateValues" dxfId="365" priority="107"/>
    <cfRule type="duplicateValues" dxfId="364" priority="108"/>
  </conditionalFormatting>
  <conditionalFormatting sqref="B30:B32">
    <cfRule type="duplicateValues" dxfId="363" priority="86"/>
    <cfRule type="duplicateValues" dxfId="362" priority="87"/>
  </conditionalFormatting>
  <conditionalFormatting sqref="B33:B35">
    <cfRule type="duplicateValues" dxfId="361" priority="84"/>
    <cfRule type="duplicateValues" dxfId="360" priority="85"/>
  </conditionalFormatting>
  <conditionalFormatting sqref="B44:B46">
    <cfRule type="duplicateValues" dxfId="359" priority="82"/>
    <cfRule type="duplicateValues" dxfId="358" priority="83"/>
  </conditionalFormatting>
  <conditionalFormatting sqref="B47">
    <cfRule type="duplicateValues" dxfId="357" priority="93"/>
    <cfRule type="duplicateValues" dxfId="356" priority="94"/>
  </conditionalFormatting>
  <conditionalFormatting sqref="B50">
    <cfRule type="duplicateValues" dxfId="355" priority="117"/>
    <cfRule type="duplicateValues" dxfId="354" priority="118"/>
  </conditionalFormatting>
  <conditionalFormatting sqref="B51">
    <cfRule type="duplicateValues" dxfId="353" priority="148"/>
  </conditionalFormatting>
  <conditionalFormatting sqref="B55">
    <cfRule type="duplicateValues" dxfId="352" priority="133"/>
    <cfRule type="duplicateValues" dxfId="351" priority="134"/>
  </conditionalFormatting>
  <conditionalFormatting sqref="B56:B58">
    <cfRule type="duplicateValues" dxfId="350" priority="80"/>
    <cfRule type="duplicateValues" dxfId="349" priority="81"/>
  </conditionalFormatting>
  <conditionalFormatting sqref="B76">
    <cfRule type="duplicateValues" dxfId="348" priority="105"/>
    <cfRule type="duplicateValues" dxfId="347" priority="106"/>
  </conditionalFormatting>
  <conditionalFormatting sqref="B77:B79">
    <cfRule type="duplicateValues" dxfId="346" priority="78"/>
    <cfRule type="duplicateValues" dxfId="345" priority="79"/>
  </conditionalFormatting>
  <conditionalFormatting sqref="B80:B82">
    <cfRule type="duplicateValues" dxfId="344" priority="76"/>
    <cfRule type="duplicateValues" dxfId="343" priority="77"/>
  </conditionalFormatting>
  <conditionalFormatting sqref="B87">
    <cfRule type="duplicateValues" dxfId="342" priority="10"/>
    <cfRule type="duplicateValues" dxfId="341" priority="11"/>
  </conditionalFormatting>
  <conditionalFormatting sqref="B94:B96">
    <cfRule type="duplicateValues" dxfId="340" priority="74"/>
    <cfRule type="duplicateValues" dxfId="339" priority="75"/>
  </conditionalFormatting>
  <conditionalFormatting sqref="B97:B99">
    <cfRule type="duplicateValues" dxfId="338" priority="72"/>
    <cfRule type="duplicateValues" dxfId="337" priority="73"/>
  </conditionalFormatting>
  <conditionalFormatting sqref="B103">
    <cfRule type="duplicateValues" dxfId="336" priority="12"/>
    <cfRule type="duplicateValues" dxfId="335" priority="13"/>
  </conditionalFormatting>
  <conditionalFormatting sqref="B108">
    <cfRule type="duplicateValues" dxfId="334" priority="131"/>
    <cfRule type="duplicateValues" dxfId="333" priority="132"/>
  </conditionalFormatting>
  <conditionalFormatting sqref="B109">
    <cfRule type="duplicateValues" dxfId="332" priority="129"/>
    <cfRule type="duplicateValues" dxfId="331" priority="130"/>
  </conditionalFormatting>
  <conditionalFormatting sqref="B110:B112">
    <cfRule type="duplicateValues" dxfId="330" priority="70"/>
    <cfRule type="duplicateValues" dxfId="329" priority="71"/>
  </conditionalFormatting>
  <conditionalFormatting sqref="B113:B115">
    <cfRule type="duplicateValues" dxfId="328" priority="68"/>
    <cfRule type="duplicateValues" dxfId="327" priority="69"/>
  </conditionalFormatting>
  <conditionalFormatting sqref="B119">
    <cfRule type="duplicateValues" dxfId="326" priority="95"/>
    <cfRule type="duplicateValues" dxfId="325" priority="96"/>
  </conditionalFormatting>
  <conditionalFormatting sqref="B126">
    <cfRule type="duplicateValues" dxfId="324" priority="18"/>
    <cfRule type="duplicateValues" dxfId="323" priority="19"/>
  </conditionalFormatting>
  <conditionalFormatting sqref="B132">
    <cfRule type="duplicateValues" dxfId="322" priority="103"/>
    <cfRule type="duplicateValues" dxfId="321" priority="104"/>
  </conditionalFormatting>
  <conditionalFormatting sqref="B133:B135">
    <cfRule type="duplicateValues" dxfId="320" priority="66"/>
    <cfRule type="duplicateValues" dxfId="319" priority="67"/>
  </conditionalFormatting>
  <conditionalFormatting sqref="B136:B138">
    <cfRule type="duplicateValues" dxfId="318" priority="64"/>
    <cfRule type="duplicateValues" dxfId="317" priority="65"/>
  </conditionalFormatting>
  <conditionalFormatting sqref="B150">
    <cfRule type="duplicateValues" dxfId="316" priority="101"/>
    <cfRule type="duplicateValues" dxfId="315" priority="102"/>
  </conditionalFormatting>
  <conditionalFormatting sqref="B151:B153">
    <cfRule type="duplicateValues" dxfId="314" priority="62"/>
    <cfRule type="duplicateValues" dxfId="313" priority="63"/>
  </conditionalFormatting>
  <conditionalFormatting sqref="B154:B156">
    <cfRule type="duplicateValues" dxfId="312" priority="60"/>
    <cfRule type="duplicateValues" dxfId="311" priority="61"/>
  </conditionalFormatting>
  <conditionalFormatting sqref="B167">
    <cfRule type="duplicateValues" dxfId="310" priority="99"/>
    <cfRule type="duplicateValues" dxfId="309" priority="100"/>
  </conditionalFormatting>
  <conditionalFormatting sqref="B168:B173">
    <cfRule type="duplicateValues" dxfId="308" priority="58"/>
    <cfRule type="duplicateValues" dxfId="307" priority="59"/>
  </conditionalFormatting>
  <conditionalFormatting sqref="B184">
    <cfRule type="duplicateValues" dxfId="306" priority="97"/>
    <cfRule type="duplicateValues" dxfId="305" priority="98"/>
  </conditionalFormatting>
  <conditionalFormatting sqref="B185:B190">
    <cfRule type="duplicateValues" dxfId="304" priority="56"/>
    <cfRule type="duplicateValues" dxfId="303" priority="57"/>
  </conditionalFormatting>
  <conditionalFormatting sqref="B201:B203">
    <cfRule type="duplicateValues" dxfId="302" priority="54"/>
    <cfRule type="duplicateValues" dxfId="301" priority="55"/>
  </conditionalFormatting>
  <conditionalFormatting sqref="B204:B207">
    <cfRule type="duplicateValues" dxfId="300" priority="52"/>
    <cfRule type="duplicateValues" dxfId="299" priority="53"/>
  </conditionalFormatting>
  <conditionalFormatting sqref="B219">
    <cfRule type="duplicateValues" dxfId="298" priority="127"/>
    <cfRule type="duplicateValues" dxfId="297" priority="128"/>
  </conditionalFormatting>
  <conditionalFormatting sqref="B220:B222">
    <cfRule type="duplicateValues" dxfId="296" priority="50"/>
    <cfRule type="duplicateValues" dxfId="295" priority="51"/>
  </conditionalFormatting>
  <conditionalFormatting sqref="B223:B225">
    <cfRule type="duplicateValues" dxfId="294" priority="48"/>
    <cfRule type="duplicateValues" dxfId="293" priority="49"/>
  </conditionalFormatting>
  <conditionalFormatting sqref="B233:B238">
    <cfRule type="duplicateValues" dxfId="292" priority="46"/>
    <cfRule type="duplicateValues" dxfId="291" priority="47"/>
  </conditionalFormatting>
  <conditionalFormatting sqref="B243">
    <cfRule type="duplicateValues" dxfId="290" priority="139"/>
    <cfRule type="duplicateValues" dxfId="289" priority="140"/>
  </conditionalFormatting>
  <conditionalFormatting sqref="B244">
    <cfRule type="duplicateValues" dxfId="288" priority="137"/>
    <cfRule type="duplicateValues" dxfId="287" priority="138"/>
  </conditionalFormatting>
  <conditionalFormatting sqref="B246">
    <cfRule type="duplicateValues" dxfId="286" priority="135"/>
    <cfRule type="duplicateValues" dxfId="285" priority="136"/>
  </conditionalFormatting>
  <conditionalFormatting sqref="B248">
    <cfRule type="duplicateValues" dxfId="284" priority="141"/>
    <cfRule type="duplicateValues" dxfId="283" priority="142"/>
  </conditionalFormatting>
  <conditionalFormatting sqref="B249">
    <cfRule type="duplicateValues" dxfId="282" priority="143"/>
    <cfRule type="duplicateValues" dxfId="281" priority="144"/>
  </conditionalFormatting>
  <conditionalFormatting sqref="B250:B252">
    <cfRule type="duplicateValues" dxfId="280" priority="44"/>
    <cfRule type="duplicateValues" dxfId="279" priority="45"/>
  </conditionalFormatting>
  <conditionalFormatting sqref="B264:B267">
    <cfRule type="duplicateValues" dxfId="278" priority="147"/>
  </conditionalFormatting>
  <conditionalFormatting sqref="B271:B273">
    <cfRule type="duplicateValues" dxfId="277" priority="42"/>
    <cfRule type="duplicateValues" dxfId="276" priority="43"/>
  </conditionalFormatting>
  <conditionalFormatting sqref="B274">
    <cfRule type="duplicateValues" dxfId="275" priority="125"/>
    <cfRule type="duplicateValues" dxfId="274" priority="126"/>
  </conditionalFormatting>
  <conditionalFormatting sqref="B275">
    <cfRule type="duplicateValues" dxfId="273" priority="40"/>
    <cfRule type="duplicateValues" dxfId="272" priority="41"/>
  </conditionalFormatting>
  <conditionalFormatting sqref="B276:B277">
    <cfRule type="duplicateValues" dxfId="271" priority="38"/>
    <cfRule type="duplicateValues" dxfId="270" priority="39"/>
  </conditionalFormatting>
  <conditionalFormatting sqref="B285">
    <cfRule type="duplicateValues" dxfId="269" priority="8"/>
    <cfRule type="duplicateValues" dxfId="268" priority="9"/>
  </conditionalFormatting>
  <conditionalFormatting sqref="B290">
    <cfRule type="duplicateValues" dxfId="267" priority="115"/>
    <cfRule type="duplicateValues" dxfId="266" priority="116"/>
  </conditionalFormatting>
  <conditionalFormatting sqref="B291:B296">
    <cfRule type="duplicateValues" dxfId="265" priority="36"/>
    <cfRule type="duplicateValues" dxfId="264" priority="37"/>
  </conditionalFormatting>
  <conditionalFormatting sqref="B300">
    <cfRule type="duplicateValues" dxfId="263" priority="123"/>
    <cfRule type="duplicateValues" dxfId="262" priority="124"/>
  </conditionalFormatting>
  <conditionalFormatting sqref="B310">
    <cfRule type="duplicateValues" dxfId="261" priority="113"/>
    <cfRule type="duplicateValues" dxfId="260" priority="114"/>
  </conditionalFormatting>
  <conditionalFormatting sqref="B314:B316">
    <cfRule type="duplicateValues" dxfId="259" priority="34"/>
    <cfRule type="duplicateValues" dxfId="258" priority="35"/>
  </conditionalFormatting>
  <conditionalFormatting sqref="B328">
    <cfRule type="duplicateValues" dxfId="257" priority="111"/>
    <cfRule type="duplicateValues" dxfId="256" priority="112"/>
  </conditionalFormatting>
  <conditionalFormatting sqref="B332:B334">
    <cfRule type="duplicateValues" dxfId="255" priority="32"/>
    <cfRule type="duplicateValues" dxfId="254" priority="33"/>
  </conditionalFormatting>
  <conditionalFormatting sqref="B345">
    <cfRule type="duplicateValues" dxfId="253" priority="109"/>
    <cfRule type="duplicateValues" dxfId="252" priority="110"/>
  </conditionalFormatting>
  <conditionalFormatting sqref="B349:B351">
    <cfRule type="duplicateValues" dxfId="251" priority="30"/>
    <cfRule type="duplicateValues" dxfId="250" priority="31"/>
  </conditionalFormatting>
  <conditionalFormatting sqref="B363:B364">
    <cfRule type="duplicateValues" dxfId="249" priority="28"/>
    <cfRule type="duplicateValues" dxfId="248" priority="29"/>
  </conditionalFormatting>
  <conditionalFormatting sqref="B373">
    <cfRule type="duplicateValues" dxfId="247" priority="20"/>
    <cfRule type="duplicateValues" dxfId="246" priority="21"/>
  </conditionalFormatting>
  <conditionalFormatting sqref="B379:B381">
    <cfRule type="duplicateValues" dxfId="245" priority="26"/>
    <cfRule type="duplicateValues" dxfId="244" priority="27"/>
  </conditionalFormatting>
  <conditionalFormatting sqref="B384">
    <cfRule type="duplicateValues" dxfId="243" priority="121"/>
    <cfRule type="duplicateValues" dxfId="242" priority="122"/>
  </conditionalFormatting>
  <conditionalFormatting sqref="B392:B394">
    <cfRule type="duplicateValues" dxfId="241" priority="24"/>
    <cfRule type="duplicateValues" dxfId="240" priority="25"/>
  </conditionalFormatting>
  <conditionalFormatting sqref="B396">
    <cfRule type="duplicateValues" dxfId="239" priority="119"/>
    <cfRule type="duplicateValues" dxfId="238" priority="120"/>
  </conditionalFormatting>
  <conditionalFormatting sqref="B449:B460">
    <cfRule type="duplicateValues" dxfId="237" priority="1"/>
  </conditionalFormatting>
  <conditionalFormatting sqref="B590">
    <cfRule type="duplicateValues" dxfId="236" priority="92"/>
  </conditionalFormatting>
  <conditionalFormatting sqref="B608">
    <cfRule type="duplicateValues" dxfId="235" priority="4"/>
    <cfRule type="duplicateValues" dxfId="234" priority="5"/>
    <cfRule type="duplicateValues" dxfId="233" priority="6"/>
  </conditionalFormatting>
  <conditionalFormatting sqref="B609">
    <cfRule type="duplicateValues" dxfId="232" priority="2"/>
    <cfRule type="duplicateValues" dxfId="231" priority="3"/>
  </conditionalFormatting>
  <conditionalFormatting sqref="C1:C3 C5:C9 C36:C43 C16 C20:C22 C59:C75 C24:C28 C51:C54 C48:C49 C83:C86 C88:C93 C100:C102 C104:C107 C120:C125 C127:C131 C116:C118 C157:C166 C174:C183 C191:C200 C226:C232 C239:C242 C208:C218 C263:C270 C139:C149 C278:C284 C286:C289 C312:C313 C317:C327 C301:C309 C297:C299 C385:C391 C397:C401 C395 C382:C383 C329:C331 C335:C344 C346:C348 C352:C361 C374:C378 C365:C372">
    <cfRule type="duplicateValues" dxfId="230" priority="352"/>
    <cfRule type="duplicateValues" dxfId="229" priority="353"/>
  </conditionalFormatting>
  <conditionalFormatting sqref="C1:C448 C461:C594">
    <cfRule type="duplicateValues" dxfId="228" priority="165"/>
  </conditionalFormatting>
  <conditionalFormatting sqref="C4">
    <cfRule type="duplicateValues" dxfId="227" priority="177"/>
    <cfRule type="duplicateValues" dxfId="226" priority="178"/>
  </conditionalFormatting>
  <conditionalFormatting sqref="C10 C12">
    <cfRule type="duplicateValues" dxfId="225" priority="291"/>
    <cfRule type="duplicateValues" dxfId="224" priority="292"/>
  </conditionalFormatting>
  <conditionalFormatting sqref="C13:C15">
    <cfRule type="duplicateValues" dxfId="223" priority="188"/>
    <cfRule type="duplicateValues" dxfId="222" priority="189"/>
  </conditionalFormatting>
  <conditionalFormatting sqref="C17 C19">
    <cfRule type="duplicateValues" dxfId="221" priority="294"/>
    <cfRule type="duplicateValues" dxfId="220" priority="295"/>
  </conditionalFormatting>
  <conditionalFormatting sqref="C23">
    <cfRule type="duplicateValues" dxfId="219" priority="180"/>
    <cfRule type="duplicateValues" dxfId="218" priority="181"/>
  </conditionalFormatting>
  <conditionalFormatting sqref="C29">
    <cfRule type="duplicateValues" dxfId="217" priority="314"/>
    <cfRule type="duplicateValues" dxfId="216" priority="315"/>
  </conditionalFormatting>
  <conditionalFormatting sqref="C30:C32">
    <cfRule type="duplicateValues" dxfId="215" priority="288"/>
    <cfRule type="duplicateValues" dxfId="214" priority="289"/>
  </conditionalFormatting>
  <conditionalFormatting sqref="C33:C35">
    <cfRule type="duplicateValues" dxfId="213" priority="285"/>
    <cfRule type="duplicateValues" dxfId="212" priority="286"/>
  </conditionalFormatting>
  <conditionalFormatting sqref="C44:C46">
    <cfRule type="duplicateValues" dxfId="211" priority="282"/>
    <cfRule type="duplicateValues" dxfId="210" priority="283"/>
  </conditionalFormatting>
  <conditionalFormatting sqref="C47">
    <cfRule type="duplicateValues" dxfId="209" priority="300"/>
    <cfRule type="duplicateValues" dxfId="208" priority="301"/>
  </conditionalFormatting>
  <conditionalFormatting sqref="C50">
    <cfRule type="duplicateValues" dxfId="207" priority="324"/>
    <cfRule type="duplicateValues" dxfId="206" priority="325"/>
  </conditionalFormatting>
  <conditionalFormatting sqref="C51">
    <cfRule type="duplicateValues" dxfId="205" priority="355"/>
  </conditionalFormatting>
  <conditionalFormatting sqref="C55">
    <cfRule type="duplicateValues" dxfId="204" priority="340"/>
    <cfRule type="duplicateValues" dxfId="203" priority="341"/>
  </conditionalFormatting>
  <conditionalFormatting sqref="C56:C58">
    <cfRule type="duplicateValues" dxfId="202" priority="279"/>
    <cfRule type="duplicateValues" dxfId="201" priority="280"/>
  </conditionalFormatting>
  <conditionalFormatting sqref="C76">
    <cfRule type="duplicateValues" dxfId="200" priority="312"/>
    <cfRule type="duplicateValues" dxfId="199" priority="313"/>
  </conditionalFormatting>
  <conditionalFormatting sqref="C77:C79">
    <cfRule type="duplicateValues" dxfId="198" priority="276"/>
    <cfRule type="duplicateValues" dxfId="197" priority="277"/>
  </conditionalFormatting>
  <conditionalFormatting sqref="C80:C82">
    <cfRule type="duplicateValues" dxfId="196" priority="273"/>
    <cfRule type="duplicateValues" dxfId="195" priority="274"/>
  </conditionalFormatting>
  <conditionalFormatting sqref="C87">
    <cfRule type="duplicateValues" dxfId="194" priority="171"/>
    <cfRule type="duplicateValues" dxfId="193" priority="172"/>
  </conditionalFormatting>
  <conditionalFormatting sqref="C94:C96">
    <cfRule type="duplicateValues" dxfId="192" priority="270"/>
    <cfRule type="duplicateValues" dxfId="191" priority="271"/>
  </conditionalFormatting>
  <conditionalFormatting sqref="C97:C99">
    <cfRule type="duplicateValues" dxfId="190" priority="267"/>
    <cfRule type="duplicateValues" dxfId="189" priority="268"/>
  </conditionalFormatting>
  <conditionalFormatting sqref="C103">
    <cfRule type="duplicateValues" dxfId="188" priority="174"/>
    <cfRule type="duplicateValues" dxfId="187" priority="175"/>
  </conditionalFormatting>
  <conditionalFormatting sqref="C108">
    <cfRule type="duplicateValues" dxfId="186" priority="338"/>
    <cfRule type="duplicateValues" dxfId="185" priority="339"/>
  </conditionalFormatting>
  <conditionalFormatting sqref="C109">
    <cfRule type="duplicateValues" dxfId="184" priority="336"/>
    <cfRule type="duplicateValues" dxfId="183" priority="337"/>
  </conditionalFormatting>
  <conditionalFormatting sqref="C110:C112">
    <cfRule type="duplicateValues" dxfId="182" priority="264"/>
    <cfRule type="duplicateValues" dxfId="181" priority="265"/>
  </conditionalFormatting>
  <conditionalFormatting sqref="C113:C115">
    <cfRule type="duplicateValues" dxfId="180" priority="261"/>
    <cfRule type="duplicateValues" dxfId="179" priority="262"/>
  </conditionalFormatting>
  <conditionalFormatting sqref="C119">
    <cfRule type="duplicateValues" dxfId="178" priority="302"/>
    <cfRule type="duplicateValues" dxfId="177" priority="303"/>
  </conditionalFormatting>
  <conditionalFormatting sqref="C126">
    <cfRule type="duplicateValues" dxfId="176" priority="183"/>
    <cfRule type="duplicateValues" dxfId="175" priority="184"/>
  </conditionalFormatting>
  <conditionalFormatting sqref="C132">
    <cfRule type="duplicateValues" dxfId="174" priority="310"/>
    <cfRule type="duplicateValues" dxfId="173" priority="311"/>
  </conditionalFormatting>
  <conditionalFormatting sqref="C133:C135">
    <cfRule type="duplicateValues" dxfId="172" priority="258"/>
    <cfRule type="duplicateValues" dxfId="171" priority="259"/>
  </conditionalFormatting>
  <conditionalFormatting sqref="C136:C138">
    <cfRule type="duplicateValues" dxfId="170" priority="255"/>
    <cfRule type="duplicateValues" dxfId="169" priority="256"/>
  </conditionalFormatting>
  <conditionalFormatting sqref="C150">
    <cfRule type="duplicateValues" dxfId="168" priority="308"/>
    <cfRule type="duplicateValues" dxfId="167" priority="309"/>
  </conditionalFormatting>
  <conditionalFormatting sqref="C151:C153">
    <cfRule type="duplicateValues" dxfId="166" priority="252"/>
    <cfRule type="duplicateValues" dxfId="165" priority="253"/>
  </conditionalFormatting>
  <conditionalFormatting sqref="C154:C156">
    <cfRule type="duplicateValues" dxfId="164" priority="249"/>
    <cfRule type="duplicateValues" dxfId="163" priority="250"/>
  </conditionalFormatting>
  <conditionalFormatting sqref="C167">
    <cfRule type="duplicateValues" dxfId="162" priority="306"/>
    <cfRule type="duplicateValues" dxfId="161" priority="307"/>
  </conditionalFormatting>
  <conditionalFormatting sqref="C168:C173">
    <cfRule type="duplicateValues" dxfId="160" priority="246"/>
    <cfRule type="duplicateValues" dxfId="159" priority="247"/>
  </conditionalFormatting>
  <conditionalFormatting sqref="C184">
    <cfRule type="duplicateValues" dxfId="158" priority="304"/>
    <cfRule type="duplicateValues" dxfId="157" priority="305"/>
  </conditionalFormatting>
  <conditionalFormatting sqref="C185:C190">
    <cfRule type="duplicateValues" dxfId="156" priority="243"/>
    <cfRule type="duplicateValues" dxfId="155" priority="244"/>
  </conditionalFormatting>
  <conditionalFormatting sqref="C201:C203">
    <cfRule type="duplicateValues" dxfId="154" priority="238"/>
    <cfRule type="duplicateValues" dxfId="153" priority="239"/>
  </conditionalFormatting>
  <conditionalFormatting sqref="C204:C207">
    <cfRule type="duplicateValues" dxfId="152" priority="236"/>
    <cfRule type="duplicateValues" dxfId="151" priority="237"/>
  </conditionalFormatting>
  <conditionalFormatting sqref="C219">
    <cfRule type="duplicateValues" dxfId="150" priority="334"/>
    <cfRule type="duplicateValues" dxfId="149" priority="335"/>
  </conditionalFormatting>
  <conditionalFormatting sqref="C220:C222">
    <cfRule type="duplicateValues" dxfId="148" priority="233"/>
    <cfRule type="duplicateValues" dxfId="147" priority="234"/>
  </conditionalFormatting>
  <conditionalFormatting sqref="C223:C225">
    <cfRule type="duplicateValues" dxfId="146" priority="230"/>
    <cfRule type="duplicateValues" dxfId="145" priority="231"/>
  </conditionalFormatting>
  <conditionalFormatting sqref="C233:C238">
    <cfRule type="duplicateValues" dxfId="144" priority="228"/>
    <cfRule type="duplicateValues" dxfId="143" priority="229"/>
  </conditionalFormatting>
  <conditionalFormatting sqref="C243">
    <cfRule type="duplicateValues" dxfId="142" priority="346"/>
    <cfRule type="duplicateValues" dxfId="141" priority="347"/>
  </conditionalFormatting>
  <conditionalFormatting sqref="C244">
    <cfRule type="duplicateValues" dxfId="140" priority="344"/>
    <cfRule type="duplicateValues" dxfId="139" priority="345"/>
  </conditionalFormatting>
  <conditionalFormatting sqref="C246">
    <cfRule type="duplicateValues" dxfId="138" priority="342"/>
    <cfRule type="duplicateValues" dxfId="137" priority="343"/>
  </conditionalFormatting>
  <conditionalFormatting sqref="C248">
    <cfRule type="duplicateValues" dxfId="136" priority="348"/>
    <cfRule type="duplicateValues" dxfId="135" priority="349"/>
  </conditionalFormatting>
  <conditionalFormatting sqref="C249">
    <cfRule type="duplicateValues" dxfId="134" priority="350"/>
    <cfRule type="duplicateValues" dxfId="133" priority="351"/>
  </conditionalFormatting>
  <conditionalFormatting sqref="C250:C252">
    <cfRule type="duplicateValues" dxfId="132" priority="225"/>
    <cfRule type="duplicateValues" dxfId="131" priority="226"/>
  </conditionalFormatting>
  <conditionalFormatting sqref="C264:C267">
    <cfRule type="duplicateValues" dxfId="130" priority="354"/>
  </conditionalFormatting>
  <conditionalFormatting sqref="C271:C273">
    <cfRule type="duplicateValues" dxfId="129" priority="221"/>
    <cfRule type="duplicateValues" dxfId="128" priority="222"/>
  </conditionalFormatting>
  <conditionalFormatting sqref="C274">
    <cfRule type="duplicateValues" dxfId="127" priority="332"/>
    <cfRule type="duplicateValues" dxfId="126" priority="333"/>
  </conditionalFormatting>
  <conditionalFormatting sqref="C275">
    <cfRule type="duplicateValues" dxfId="125" priority="218"/>
    <cfRule type="duplicateValues" dxfId="124" priority="219"/>
  </conditionalFormatting>
  <conditionalFormatting sqref="C276:C277">
    <cfRule type="duplicateValues" dxfId="123" priority="215"/>
    <cfRule type="duplicateValues" dxfId="122" priority="216"/>
  </conditionalFormatting>
  <conditionalFormatting sqref="C285">
    <cfRule type="duplicateValues" dxfId="121" priority="168"/>
    <cfRule type="duplicateValues" dxfId="120" priority="169"/>
  </conditionalFormatting>
  <conditionalFormatting sqref="C290">
    <cfRule type="duplicateValues" dxfId="119" priority="322"/>
    <cfRule type="duplicateValues" dxfId="118" priority="323"/>
  </conditionalFormatting>
  <conditionalFormatting sqref="C291:C296">
    <cfRule type="duplicateValues" dxfId="117" priority="211"/>
    <cfRule type="duplicateValues" dxfId="116" priority="212"/>
  </conditionalFormatting>
  <conditionalFormatting sqref="C300">
    <cfRule type="duplicateValues" dxfId="115" priority="330"/>
    <cfRule type="duplicateValues" dxfId="114" priority="331"/>
  </conditionalFormatting>
  <conditionalFormatting sqref="C310">
    <cfRule type="duplicateValues" dxfId="113" priority="320"/>
    <cfRule type="duplicateValues" dxfId="112" priority="321"/>
  </conditionalFormatting>
  <conditionalFormatting sqref="C314:C316">
    <cfRule type="duplicateValues" dxfId="111" priority="208"/>
    <cfRule type="duplicateValues" dxfId="110" priority="209"/>
  </conditionalFormatting>
  <conditionalFormatting sqref="C328">
    <cfRule type="duplicateValues" dxfId="109" priority="318"/>
    <cfRule type="duplicateValues" dxfId="108" priority="319"/>
  </conditionalFormatting>
  <conditionalFormatting sqref="C332:C334">
    <cfRule type="duplicateValues" dxfId="107" priority="205"/>
    <cfRule type="duplicateValues" dxfId="106" priority="206"/>
  </conditionalFormatting>
  <conditionalFormatting sqref="C345">
    <cfRule type="duplicateValues" dxfId="105" priority="316"/>
    <cfRule type="duplicateValues" dxfId="104" priority="317"/>
  </conditionalFormatting>
  <conditionalFormatting sqref="C349:C351">
    <cfRule type="duplicateValues" dxfId="103" priority="202"/>
    <cfRule type="duplicateValues" dxfId="102" priority="203"/>
  </conditionalFormatting>
  <conditionalFormatting sqref="C363:C364">
    <cfRule type="duplicateValues" dxfId="101" priority="199"/>
    <cfRule type="duplicateValues" dxfId="100" priority="200"/>
  </conditionalFormatting>
  <conditionalFormatting sqref="C373">
    <cfRule type="duplicateValues" dxfId="99" priority="185"/>
    <cfRule type="duplicateValues" dxfId="98" priority="186"/>
  </conditionalFormatting>
  <conditionalFormatting sqref="C379:C381">
    <cfRule type="duplicateValues" dxfId="97" priority="196"/>
    <cfRule type="duplicateValues" dxfId="96" priority="197"/>
  </conditionalFormatting>
  <conditionalFormatting sqref="C384">
    <cfRule type="duplicateValues" dxfId="95" priority="328"/>
    <cfRule type="duplicateValues" dxfId="94" priority="329"/>
  </conditionalFormatting>
  <conditionalFormatting sqref="C392:C394">
    <cfRule type="duplicateValues" dxfId="93" priority="193"/>
    <cfRule type="duplicateValues" dxfId="92" priority="194"/>
  </conditionalFormatting>
  <conditionalFormatting sqref="C396">
    <cfRule type="duplicateValues" dxfId="91" priority="326"/>
    <cfRule type="duplicateValues" dxfId="90" priority="327"/>
  </conditionalFormatting>
  <conditionalFormatting sqref="C449:C460">
    <cfRule type="duplicateValues" dxfId="89" priority="151"/>
  </conditionalFormatting>
  <conditionalFormatting sqref="C590">
    <cfRule type="duplicateValues" dxfId="88" priority="299"/>
  </conditionalFormatting>
  <conditionalFormatting sqref="C608">
    <cfRule type="duplicateValues" dxfId="87" priority="159"/>
    <cfRule type="duplicateValues" dxfId="86" priority="160"/>
    <cfRule type="duplicateValues" dxfId="85" priority="161"/>
  </conditionalFormatting>
  <conditionalFormatting sqref="C609">
    <cfRule type="duplicateValues" dxfId="84" priority="155"/>
    <cfRule type="duplicateValues" dxfId="83" priority="157"/>
  </conditionalFormatting>
  <conditionalFormatting sqref="G29">
    <cfRule type="duplicateValues" dxfId="82" priority="357"/>
    <cfRule type="duplicateValues" dxfId="81" priority="358"/>
  </conditionalFormatting>
  <conditionalFormatting sqref="Y100">
    <cfRule type="duplicateValues" dxfId="80" priority="374"/>
  </conditionalFormatting>
  <pageMargins left="0.7" right="0.7" top="0.75" bottom="0.75" header="0.3" footer="0.3"/>
  <pageSetup paperSize="9" orientation="portrait" horizontalDpi="360" verticalDpi="36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22"/>
  <sheetViews>
    <sheetView topLeftCell="J7" zoomScale="85" zoomScaleNormal="85" workbookViewId="0">
      <selection activeCell="C22" sqref="C22"/>
    </sheetView>
  </sheetViews>
  <sheetFormatPr defaultColWidth="9" defaultRowHeight="13.5" x14ac:dyDescent="0.15"/>
  <cols>
    <col min="1" max="1" width="9" style="363"/>
    <col min="2" max="2" width="15.75" style="363" customWidth="1"/>
    <col min="3" max="4" width="17.875" style="363" customWidth="1"/>
    <col min="5" max="5" width="7.5" style="363" customWidth="1"/>
    <col min="6" max="6" width="14.875" style="363" customWidth="1"/>
    <col min="7" max="7" width="11.375" style="363" customWidth="1"/>
    <col min="8" max="8" width="12.875" style="363" customWidth="1"/>
    <col min="9" max="9" width="29.25" style="363" customWidth="1"/>
    <col min="10" max="10" width="16.375" style="363" customWidth="1"/>
    <col min="11" max="11" width="13.625" style="363" customWidth="1"/>
    <col min="12" max="12" width="16.75" style="363" customWidth="1"/>
    <col min="13" max="13" width="12.75" style="363" customWidth="1"/>
    <col min="14" max="14" width="17.75" style="363" customWidth="1"/>
    <col min="15" max="15" width="16.25" style="363" customWidth="1"/>
    <col min="16" max="16" width="11.75" style="363" customWidth="1"/>
    <col min="17" max="17" width="12.125" style="363" customWidth="1"/>
    <col min="18" max="19" width="10.5" style="363" customWidth="1"/>
    <col min="20" max="20" width="14" style="363" customWidth="1"/>
    <col min="21" max="21" width="20.125" style="363" customWidth="1"/>
    <col min="22" max="22" width="9" style="363" customWidth="1"/>
    <col min="23" max="23" width="44.5" style="363" customWidth="1"/>
    <col min="24" max="24" width="22.25" style="363" customWidth="1"/>
    <col min="25" max="25" width="19.375" style="363" customWidth="1"/>
    <col min="26" max="26" width="13.875" style="363" customWidth="1"/>
    <col min="27" max="27" width="29.5" style="363" customWidth="1"/>
    <col min="28" max="28" width="11.75" style="363" customWidth="1"/>
    <col min="29" max="29" width="15.5" style="363" customWidth="1"/>
  </cols>
  <sheetData>
    <row r="1" spans="1:29" s="371" customFormat="1" ht="78.599999999999994" customHeight="1" x14ac:dyDescent="0.15">
      <c r="A1" s="372" t="s">
        <v>0</v>
      </c>
      <c r="B1" s="372" t="s">
        <v>1</v>
      </c>
      <c r="C1" s="372" t="s">
        <v>3</v>
      </c>
      <c r="D1" s="373" t="s">
        <v>3367</v>
      </c>
      <c r="E1" s="374" t="s">
        <v>7</v>
      </c>
      <c r="F1" s="374" t="s">
        <v>9</v>
      </c>
      <c r="G1" s="374" t="s">
        <v>10</v>
      </c>
      <c r="H1" s="372" t="s">
        <v>3368</v>
      </c>
      <c r="I1" s="372" t="s">
        <v>3369</v>
      </c>
      <c r="J1" s="372" t="s">
        <v>16</v>
      </c>
      <c r="K1" s="372" t="s">
        <v>3370</v>
      </c>
      <c r="L1" s="377" t="s">
        <v>17</v>
      </c>
      <c r="M1" s="372" t="s">
        <v>18</v>
      </c>
      <c r="N1" s="372" t="s">
        <v>19</v>
      </c>
      <c r="O1" s="372" t="s">
        <v>20</v>
      </c>
      <c r="P1" s="372" t="s">
        <v>3371</v>
      </c>
      <c r="Q1" s="372" t="s">
        <v>3372</v>
      </c>
      <c r="R1" s="372" t="s">
        <v>3373</v>
      </c>
      <c r="S1" s="372" t="s">
        <v>22</v>
      </c>
      <c r="T1" s="372" t="s">
        <v>3374</v>
      </c>
      <c r="U1" s="372" t="s">
        <v>3375</v>
      </c>
      <c r="V1" s="372" t="s">
        <v>23</v>
      </c>
      <c r="W1" s="372" t="s">
        <v>24</v>
      </c>
      <c r="X1" s="372" t="s">
        <v>3376</v>
      </c>
      <c r="Y1" s="372" t="s">
        <v>26</v>
      </c>
      <c r="Z1" s="372" t="s">
        <v>3377</v>
      </c>
      <c r="AA1" s="377" t="s">
        <v>3378</v>
      </c>
      <c r="AB1" s="379" t="s">
        <v>28</v>
      </c>
      <c r="AC1" s="379" t="s">
        <v>29</v>
      </c>
    </row>
    <row r="2" spans="1:29" ht="27" x14ac:dyDescent="0.15">
      <c r="A2" s="157">
        <v>901000</v>
      </c>
      <c r="B2" s="157" t="s">
        <v>3379</v>
      </c>
      <c r="C2" s="157" t="s">
        <v>3380</v>
      </c>
      <c r="D2" s="157">
        <v>9001</v>
      </c>
      <c r="E2" s="157">
        <v>1</v>
      </c>
      <c r="F2" s="157">
        <v>1</v>
      </c>
      <c r="G2" s="157">
        <v>27</v>
      </c>
      <c r="H2" s="157" t="s">
        <v>3381</v>
      </c>
      <c r="I2" s="157" t="s">
        <v>3382</v>
      </c>
      <c r="J2" s="157">
        <v>999</v>
      </c>
      <c r="K2" s="157">
        <v>9</v>
      </c>
      <c r="L2" s="157" t="b">
        <v>1</v>
      </c>
      <c r="M2" s="157">
        <v>5</v>
      </c>
      <c r="N2" s="194">
        <v>75</v>
      </c>
      <c r="O2" s="194">
        <v>100</v>
      </c>
      <c r="P2" s="157" t="s">
        <v>3383</v>
      </c>
      <c r="Q2" s="157">
        <v>1</v>
      </c>
      <c r="R2" s="157" t="s">
        <v>3384</v>
      </c>
      <c r="S2" s="157">
        <v>1</v>
      </c>
      <c r="T2" s="157">
        <v>5</v>
      </c>
      <c r="U2" s="157">
        <v>0</v>
      </c>
      <c r="V2" s="157">
        <v>0</v>
      </c>
      <c r="W2" s="157" t="s">
        <v>3385</v>
      </c>
      <c r="X2" s="157" t="s">
        <v>3386</v>
      </c>
      <c r="Y2" s="157" t="s">
        <v>3387</v>
      </c>
      <c r="Z2" s="157" t="s">
        <v>3388</v>
      </c>
      <c r="AA2" s="381" t="s">
        <v>3389</v>
      </c>
      <c r="AB2" s="381">
        <v>1</v>
      </c>
      <c r="AC2" s="381">
        <v>1</v>
      </c>
    </row>
    <row r="3" spans="1:29" ht="27" x14ac:dyDescent="0.15">
      <c r="A3" s="157">
        <v>901001</v>
      </c>
      <c r="B3" s="157" t="s">
        <v>3390</v>
      </c>
      <c r="C3" s="157" t="s">
        <v>3380</v>
      </c>
      <c r="D3" s="157">
        <v>9002</v>
      </c>
      <c r="E3" s="157">
        <v>2</v>
      </c>
      <c r="F3" s="157">
        <v>1</v>
      </c>
      <c r="G3" s="157">
        <v>27</v>
      </c>
      <c r="H3" s="157" t="s">
        <v>3381</v>
      </c>
      <c r="I3" s="157" t="s">
        <v>3391</v>
      </c>
      <c r="J3" s="157">
        <v>999</v>
      </c>
      <c r="K3" s="157">
        <v>9</v>
      </c>
      <c r="L3" s="157" t="b">
        <v>1</v>
      </c>
      <c r="M3" s="157">
        <v>10</v>
      </c>
      <c r="N3" s="194">
        <v>150</v>
      </c>
      <c r="O3" s="194">
        <v>200</v>
      </c>
      <c r="P3" s="157" t="s">
        <v>3383</v>
      </c>
      <c r="Q3" s="157">
        <v>1</v>
      </c>
      <c r="R3" s="157" t="s">
        <v>3392</v>
      </c>
      <c r="S3" s="157">
        <v>2</v>
      </c>
      <c r="T3" s="157">
        <v>10</v>
      </c>
      <c r="U3" s="157">
        <v>0</v>
      </c>
      <c r="V3" s="157">
        <v>0</v>
      </c>
      <c r="W3" s="157" t="s">
        <v>3393</v>
      </c>
      <c r="X3" s="157" t="s">
        <v>3394</v>
      </c>
      <c r="Y3" s="157" t="s">
        <v>3395</v>
      </c>
      <c r="Z3" s="157" t="s">
        <v>3388</v>
      </c>
      <c r="AA3" s="381" t="s">
        <v>3396</v>
      </c>
      <c r="AB3" s="381">
        <v>1</v>
      </c>
      <c r="AC3" s="381">
        <v>1</v>
      </c>
    </row>
    <row r="4" spans="1:29" ht="27" x14ac:dyDescent="0.15">
      <c r="A4" s="157">
        <v>901002</v>
      </c>
      <c r="B4" s="157" t="s">
        <v>3397</v>
      </c>
      <c r="C4" s="157" t="s">
        <v>3380</v>
      </c>
      <c r="D4" s="157">
        <v>9003</v>
      </c>
      <c r="E4" s="157">
        <v>3</v>
      </c>
      <c r="F4" s="157">
        <v>1</v>
      </c>
      <c r="G4" s="157">
        <v>27</v>
      </c>
      <c r="H4" s="157" t="s">
        <v>3381</v>
      </c>
      <c r="I4" s="157" t="s">
        <v>3398</v>
      </c>
      <c r="J4" s="157">
        <v>999</v>
      </c>
      <c r="K4" s="157">
        <v>9</v>
      </c>
      <c r="L4" s="157" t="b">
        <v>1</v>
      </c>
      <c r="M4" s="157">
        <v>15</v>
      </c>
      <c r="N4" s="194">
        <v>225</v>
      </c>
      <c r="O4" s="194">
        <v>300</v>
      </c>
      <c r="P4" s="157" t="s">
        <v>3383</v>
      </c>
      <c r="Q4" s="157">
        <v>1</v>
      </c>
      <c r="R4" s="157" t="s">
        <v>3399</v>
      </c>
      <c r="S4" s="157">
        <v>3</v>
      </c>
      <c r="T4" s="157">
        <v>15</v>
      </c>
      <c r="U4" s="157">
        <v>0</v>
      </c>
      <c r="V4" s="157">
        <v>0</v>
      </c>
      <c r="W4" s="157" t="s">
        <v>3400</v>
      </c>
      <c r="X4" s="157" t="s">
        <v>3401</v>
      </c>
      <c r="Y4" s="157" t="s">
        <v>3402</v>
      </c>
      <c r="Z4" s="157" t="s">
        <v>3388</v>
      </c>
      <c r="AA4" s="381" t="s">
        <v>3403</v>
      </c>
      <c r="AB4" s="381">
        <v>1</v>
      </c>
      <c r="AC4" s="381">
        <v>1</v>
      </c>
    </row>
    <row r="5" spans="1:29" ht="27" x14ac:dyDescent="0.15">
      <c r="A5" s="157">
        <v>901003</v>
      </c>
      <c r="B5" s="157" t="s">
        <v>3404</v>
      </c>
      <c r="C5" s="157" t="s">
        <v>3380</v>
      </c>
      <c r="D5" s="157">
        <v>9004</v>
      </c>
      <c r="E5" s="157">
        <v>4</v>
      </c>
      <c r="F5" s="157">
        <v>1</v>
      </c>
      <c r="G5" s="157">
        <v>27</v>
      </c>
      <c r="H5" s="157" t="s">
        <v>3381</v>
      </c>
      <c r="I5" s="157" t="s">
        <v>3405</v>
      </c>
      <c r="J5" s="157">
        <v>999</v>
      </c>
      <c r="K5" s="157">
        <v>9</v>
      </c>
      <c r="L5" s="157" t="b">
        <v>1</v>
      </c>
      <c r="M5" s="157">
        <v>20</v>
      </c>
      <c r="N5" s="194">
        <v>300</v>
      </c>
      <c r="O5" s="194">
        <v>400</v>
      </c>
      <c r="P5" s="157" t="s">
        <v>3383</v>
      </c>
      <c r="Q5" s="157">
        <v>1</v>
      </c>
      <c r="R5" s="157" t="s">
        <v>3406</v>
      </c>
      <c r="S5" s="157">
        <v>4</v>
      </c>
      <c r="T5" s="157">
        <v>20</v>
      </c>
      <c r="U5" s="157">
        <v>0</v>
      </c>
      <c r="V5" s="157">
        <v>0</v>
      </c>
      <c r="W5" s="157" t="s">
        <v>3407</v>
      </c>
      <c r="X5" s="157" t="s">
        <v>3408</v>
      </c>
      <c r="Y5" s="157" t="s">
        <v>3409</v>
      </c>
      <c r="Z5" s="157" t="s">
        <v>3388</v>
      </c>
      <c r="AA5" s="381" t="s">
        <v>3410</v>
      </c>
      <c r="AB5" s="381">
        <v>1</v>
      </c>
      <c r="AC5" s="381">
        <v>1</v>
      </c>
    </row>
    <row r="6" spans="1:29" ht="27" x14ac:dyDescent="0.15">
      <c r="A6" s="157">
        <v>901004</v>
      </c>
      <c r="B6" s="157" t="s">
        <v>3411</v>
      </c>
      <c r="C6" s="157" t="s">
        <v>3380</v>
      </c>
      <c r="D6" s="157">
        <v>9005</v>
      </c>
      <c r="E6" s="157">
        <v>5</v>
      </c>
      <c r="F6" s="157">
        <v>1</v>
      </c>
      <c r="G6" s="157">
        <v>27</v>
      </c>
      <c r="H6" s="157" t="s">
        <v>3381</v>
      </c>
      <c r="I6" s="157" t="s">
        <v>3412</v>
      </c>
      <c r="J6" s="157">
        <v>999</v>
      </c>
      <c r="K6" s="157">
        <v>9</v>
      </c>
      <c r="L6" s="157" t="b">
        <v>1</v>
      </c>
      <c r="M6" s="157">
        <v>25</v>
      </c>
      <c r="N6" s="194">
        <v>375</v>
      </c>
      <c r="O6" s="194">
        <v>500</v>
      </c>
      <c r="P6" s="157" t="s">
        <v>3383</v>
      </c>
      <c r="Q6" s="157">
        <v>1</v>
      </c>
      <c r="R6" s="157" t="s">
        <v>3413</v>
      </c>
      <c r="S6" s="157">
        <v>5</v>
      </c>
      <c r="T6" s="157">
        <v>25</v>
      </c>
      <c r="U6" s="157">
        <v>0</v>
      </c>
      <c r="V6" s="157">
        <v>0</v>
      </c>
      <c r="W6" s="157" t="s">
        <v>3414</v>
      </c>
      <c r="X6" s="157" t="s">
        <v>3415</v>
      </c>
      <c r="Y6" s="157" t="s">
        <v>3395</v>
      </c>
      <c r="Z6" s="157" t="s">
        <v>3388</v>
      </c>
      <c r="AA6" s="381" t="s">
        <v>3416</v>
      </c>
      <c r="AB6" s="381">
        <v>1</v>
      </c>
      <c r="AC6" s="381">
        <v>1</v>
      </c>
    </row>
    <row r="7" spans="1:29" ht="27" x14ac:dyDescent="0.15">
      <c r="A7" s="157">
        <v>901005</v>
      </c>
      <c r="B7" s="157" t="s">
        <v>3417</v>
      </c>
      <c r="C7" s="157" t="s">
        <v>3380</v>
      </c>
      <c r="D7" s="157">
        <v>9006</v>
      </c>
      <c r="E7" s="157">
        <v>6</v>
      </c>
      <c r="F7" s="157">
        <v>1</v>
      </c>
      <c r="G7" s="157">
        <v>27</v>
      </c>
      <c r="H7" s="157" t="s">
        <v>3381</v>
      </c>
      <c r="I7" s="157" t="s">
        <v>3418</v>
      </c>
      <c r="J7" s="157">
        <v>999</v>
      </c>
      <c r="K7" s="157">
        <v>9</v>
      </c>
      <c r="L7" s="157" t="b">
        <v>1</v>
      </c>
      <c r="M7" s="157">
        <v>30</v>
      </c>
      <c r="N7" s="194">
        <v>450</v>
      </c>
      <c r="O7" s="194">
        <v>600</v>
      </c>
      <c r="P7" s="157" t="s">
        <v>3383</v>
      </c>
      <c r="Q7" s="157">
        <v>1</v>
      </c>
      <c r="R7" s="157" t="s">
        <v>3419</v>
      </c>
      <c r="S7" s="157">
        <v>6</v>
      </c>
      <c r="T7" s="157">
        <v>30</v>
      </c>
      <c r="U7" s="157">
        <v>0</v>
      </c>
      <c r="V7" s="157">
        <v>0</v>
      </c>
      <c r="W7" s="157" t="s">
        <v>3420</v>
      </c>
      <c r="X7" s="157" t="s">
        <v>3421</v>
      </c>
      <c r="Y7" s="157" t="s">
        <v>3387</v>
      </c>
      <c r="Z7" s="157" t="s">
        <v>3388</v>
      </c>
      <c r="AA7" s="381" t="s">
        <v>3422</v>
      </c>
      <c r="AB7" s="381">
        <v>1</v>
      </c>
      <c r="AC7" s="381">
        <v>1</v>
      </c>
    </row>
    <row r="8" spans="1:29" ht="27" x14ac:dyDescent="0.15">
      <c r="A8" s="157">
        <v>901006</v>
      </c>
      <c r="B8" s="157" t="s">
        <v>3423</v>
      </c>
      <c r="C8" s="157" t="s">
        <v>3380</v>
      </c>
      <c r="D8" s="157">
        <v>9007</v>
      </c>
      <c r="E8" s="157">
        <v>7</v>
      </c>
      <c r="F8" s="157">
        <v>1</v>
      </c>
      <c r="G8" s="157">
        <v>27</v>
      </c>
      <c r="H8" s="157" t="s">
        <v>3381</v>
      </c>
      <c r="I8" s="157" t="s">
        <v>3424</v>
      </c>
      <c r="J8" s="157">
        <v>999</v>
      </c>
      <c r="K8" s="157">
        <v>9</v>
      </c>
      <c r="L8" s="157" t="b">
        <v>1</v>
      </c>
      <c r="M8" s="157">
        <v>35</v>
      </c>
      <c r="N8" s="194">
        <v>525</v>
      </c>
      <c r="O8" s="194">
        <v>700</v>
      </c>
      <c r="P8" s="157" t="s">
        <v>3383</v>
      </c>
      <c r="Q8" s="157">
        <v>1</v>
      </c>
      <c r="R8" s="157" t="s">
        <v>3425</v>
      </c>
      <c r="S8" s="157">
        <v>7</v>
      </c>
      <c r="T8" s="157">
        <v>35</v>
      </c>
      <c r="U8" s="157">
        <v>0</v>
      </c>
      <c r="V8" s="157">
        <v>0</v>
      </c>
      <c r="W8" s="157" t="s">
        <v>3426</v>
      </c>
      <c r="X8" s="157" t="s">
        <v>3427</v>
      </c>
      <c r="Y8" s="157" t="s">
        <v>3428</v>
      </c>
      <c r="Z8" s="157" t="s">
        <v>3388</v>
      </c>
      <c r="AA8" s="381" t="s">
        <v>3429</v>
      </c>
      <c r="AB8" s="381">
        <v>1</v>
      </c>
      <c r="AC8" s="381">
        <v>1</v>
      </c>
    </row>
    <row r="9" spans="1:29" ht="27" x14ac:dyDescent="0.15">
      <c r="A9" s="209">
        <v>901007</v>
      </c>
      <c r="B9" s="209" t="s">
        <v>3430</v>
      </c>
      <c r="C9" s="209" t="s">
        <v>3380</v>
      </c>
      <c r="D9" s="209">
        <v>9008</v>
      </c>
      <c r="E9" s="209">
        <v>7</v>
      </c>
      <c r="F9" s="209">
        <v>1</v>
      </c>
      <c r="G9" s="209">
        <v>27</v>
      </c>
      <c r="H9" s="209" t="s">
        <v>3381</v>
      </c>
      <c r="I9" s="209" t="s">
        <v>3431</v>
      </c>
      <c r="J9" s="209">
        <v>999</v>
      </c>
      <c r="K9" s="209">
        <v>9</v>
      </c>
      <c r="L9" s="209" t="b">
        <v>1</v>
      </c>
      <c r="M9" s="209">
        <v>40</v>
      </c>
      <c r="N9" s="194">
        <v>600</v>
      </c>
      <c r="O9" s="194">
        <v>800</v>
      </c>
      <c r="P9" s="209" t="s">
        <v>3383</v>
      </c>
      <c r="Q9" s="209">
        <v>1</v>
      </c>
      <c r="R9" s="209" t="s">
        <v>3432</v>
      </c>
      <c r="S9" s="209">
        <v>8</v>
      </c>
      <c r="T9" s="209">
        <v>40</v>
      </c>
      <c r="U9" s="209">
        <v>0</v>
      </c>
      <c r="V9" s="209">
        <v>0</v>
      </c>
      <c r="W9" s="209" t="s">
        <v>3433</v>
      </c>
      <c r="X9" s="209" t="s">
        <v>3434</v>
      </c>
      <c r="Y9" s="209" t="s">
        <v>3435</v>
      </c>
      <c r="Z9" s="209" t="s">
        <v>3388</v>
      </c>
      <c r="AA9" s="382" t="s">
        <v>3436</v>
      </c>
      <c r="AB9" s="382">
        <v>1</v>
      </c>
      <c r="AC9" s="382">
        <v>1</v>
      </c>
    </row>
    <row r="10" spans="1:29" ht="27" x14ac:dyDescent="0.15">
      <c r="A10" s="376">
        <v>901100</v>
      </c>
      <c r="B10" s="376" t="s">
        <v>3437</v>
      </c>
      <c r="C10" s="376" t="s">
        <v>3380</v>
      </c>
      <c r="D10" s="376">
        <v>8001</v>
      </c>
      <c r="E10" s="376">
        <v>1</v>
      </c>
      <c r="F10" s="376">
        <v>1</v>
      </c>
      <c r="G10" s="376">
        <v>27</v>
      </c>
      <c r="H10" s="376" t="s">
        <v>3381</v>
      </c>
      <c r="I10" s="376" t="s">
        <v>3438</v>
      </c>
      <c r="J10" s="157">
        <v>999</v>
      </c>
      <c r="K10" s="376">
        <v>9</v>
      </c>
      <c r="L10" s="376" t="b">
        <v>1</v>
      </c>
      <c r="M10" s="376">
        <v>5</v>
      </c>
      <c r="N10" s="194">
        <v>75</v>
      </c>
      <c r="O10" s="194">
        <v>100</v>
      </c>
      <c r="P10" s="376" t="s">
        <v>3383</v>
      </c>
      <c r="Q10" s="376">
        <v>1</v>
      </c>
      <c r="R10" s="376" t="s">
        <v>3384</v>
      </c>
      <c r="S10" s="376">
        <v>1</v>
      </c>
      <c r="T10" s="376">
        <v>5</v>
      </c>
      <c r="U10" s="376">
        <v>0</v>
      </c>
      <c r="V10" s="376">
        <v>0</v>
      </c>
      <c r="W10" s="376" t="s">
        <v>3439</v>
      </c>
      <c r="X10" s="376" t="s">
        <v>3440</v>
      </c>
      <c r="Y10" s="376" t="s">
        <v>3441</v>
      </c>
      <c r="Z10" s="376" t="s">
        <v>3388</v>
      </c>
      <c r="AA10" s="383" t="s">
        <v>3442</v>
      </c>
      <c r="AB10" s="383">
        <v>1</v>
      </c>
      <c r="AC10" s="383">
        <v>1</v>
      </c>
    </row>
    <row r="11" spans="1:29" ht="27" x14ac:dyDescent="0.15">
      <c r="A11" s="376">
        <v>901101</v>
      </c>
      <c r="B11" s="376" t="s">
        <v>3443</v>
      </c>
      <c r="C11" s="376" t="s">
        <v>3380</v>
      </c>
      <c r="D11" s="376">
        <v>8002</v>
      </c>
      <c r="E11" s="376">
        <v>2</v>
      </c>
      <c r="F11" s="376">
        <v>1</v>
      </c>
      <c r="G11" s="376">
        <v>27</v>
      </c>
      <c r="H11" s="376" t="s">
        <v>3381</v>
      </c>
      <c r="I11" s="376" t="s">
        <v>3444</v>
      </c>
      <c r="J11" s="157">
        <v>999</v>
      </c>
      <c r="K11" s="376">
        <v>9</v>
      </c>
      <c r="L11" s="376" t="b">
        <v>1</v>
      </c>
      <c r="M11" s="376">
        <v>10</v>
      </c>
      <c r="N11" s="194">
        <v>150</v>
      </c>
      <c r="O11" s="194">
        <v>200</v>
      </c>
      <c r="P11" s="376" t="s">
        <v>3383</v>
      </c>
      <c r="Q11" s="376">
        <v>1</v>
      </c>
      <c r="R11" s="376" t="s">
        <v>3392</v>
      </c>
      <c r="S11" s="376">
        <v>2</v>
      </c>
      <c r="T11" s="376">
        <v>10</v>
      </c>
      <c r="U11" s="376">
        <v>0</v>
      </c>
      <c r="V11" s="376">
        <v>0</v>
      </c>
      <c r="W11" s="376" t="s">
        <v>3445</v>
      </c>
      <c r="X11" s="376" t="s">
        <v>3446</v>
      </c>
      <c r="Y11" s="376" t="s">
        <v>3447</v>
      </c>
      <c r="Z11" s="376" t="s">
        <v>3388</v>
      </c>
      <c r="AA11" s="383" t="s">
        <v>3448</v>
      </c>
      <c r="AB11" s="383">
        <v>1</v>
      </c>
      <c r="AC11" s="383">
        <v>1</v>
      </c>
    </row>
    <row r="12" spans="1:29" ht="27" x14ac:dyDescent="0.15">
      <c r="A12" s="376">
        <v>901102</v>
      </c>
      <c r="B12" s="376" t="s">
        <v>3449</v>
      </c>
      <c r="C12" s="376" t="s">
        <v>3380</v>
      </c>
      <c r="D12" s="376">
        <v>8003</v>
      </c>
      <c r="E12" s="376">
        <v>3</v>
      </c>
      <c r="F12" s="376">
        <v>1</v>
      </c>
      <c r="G12" s="376">
        <v>27</v>
      </c>
      <c r="H12" s="376" t="s">
        <v>3381</v>
      </c>
      <c r="I12" s="376" t="s">
        <v>3450</v>
      </c>
      <c r="J12" s="157">
        <v>999</v>
      </c>
      <c r="K12" s="376">
        <v>9</v>
      </c>
      <c r="L12" s="376" t="b">
        <v>1</v>
      </c>
      <c r="M12" s="376">
        <v>15</v>
      </c>
      <c r="N12" s="194">
        <v>225</v>
      </c>
      <c r="O12" s="194">
        <v>300</v>
      </c>
      <c r="P12" s="376" t="s">
        <v>3383</v>
      </c>
      <c r="Q12" s="376">
        <v>1</v>
      </c>
      <c r="R12" s="376" t="s">
        <v>3399</v>
      </c>
      <c r="S12" s="376">
        <v>3</v>
      </c>
      <c r="T12" s="376">
        <v>15</v>
      </c>
      <c r="U12" s="376">
        <v>0</v>
      </c>
      <c r="V12" s="376">
        <v>0</v>
      </c>
      <c r="W12" s="376" t="s">
        <v>3451</v>
      </c>
      <c r="X12" s="376" t="s">
        <v>3452</v>
      </c>
      <c r="Y12" s="376" t="s">
        <v>3409</v>
      </c>
      <c r="Z12" s="376" t="s">
        <v>3388</v>
      </c>
      <c r="AA12" s="383" t="s">
        <v>3453</v>
      </c>
      <c r="AB12" s="383">
        <v>1</v>
      </c>
      <c r="AC12" s="383">
        <v>1</v>
      </c>
    </row>
    <row r="13" spans="1:29" ht="27" x14ac:dyDescent="0.15">
      <c r="A13" s="376">
        <v>901103</v>
      </c>
      <c r="B13" s="386" t="s">
        <v>3454</v>
      </c>
      <c r="C13" s="376" t="s">
        <v>3380</v>
      </c>
      <c r="D13" s="376">
        <v>8004</v>
      </c>
      <c r="E13" s="376">
        <v>4</v>
      </c>
      <c r="F13" s="376">
        <v>1</v>
      </c>
      <c r="G13" s="376">
        <v>27</v>
      </c>
      <c r="H13" s="376" t="s">
        <v>3381</v>
      </c>
      <c r="I13" s="376" t="s">
        <v>3455</v>
      </c>
      <c r="J13" s="157">
        <v>999</v>
      </c>
      <c r="K13" s="376">
        <v>9</v>
      </c>
      <c r="L13" s="376" t="b">
        <v>1</v>
      </c>
      <c r="M13" s="376">
        <v>20</v>
      </c>
      <c r="N13" s="194">
        <v>300</v>
      </c>
      <c r="O13" s="194">
        <v>400</v>
      </c>
      <c r="P13" s="376" t="s">
        <v>3383</v>
      </c>
      <c r="Q13" s="376">
        <v>1</v>
      </c>
      <c r="R13" s="376" t="s">
        <v>3406</v>
      </c>
      <c r="S13" s="376">
        <v>4</v>
      </c>
      <c r="T13" s="376">
        <v>20</v>
      </c>
      <c r="U13" s="376">
        <v>0</v>
      </c>
      <c r="V13" s="376">
        <v>0</v>
      </c>
      <c r="W13" s="376" t="s">
        <v>3456</v>
      </c>
      <c r="X13" s="376" t="s">
        <v>3457</v>
      </c>
      <c r="Y13" s="376" t="s">
        <v>3395</v>
      </c>
      <c r="Z13" s="376" t="s">
        <v>3388</v>
      </c>
      <c r="AA13" s="383" t="s">
        <v>3458</v>
      </c>
      <c r="AB13" s="383">
        <v>1</v>
      </c>
      <c r="AC13" s="383">
        <v>1</v>
      </c>
    </row>
    <row r="14" spans="1:29" ht="27" x14ac:dyDescent="0.15">
      <c r="A14" s="376">
        <v>901104</v>
      </c>
      <c r="B14" s="376" t="s">
        <v>3459</v>
      </c>
      <c r="C14" s="376" t="s">
        <v>3380</v>
      </c>
      <c r="D14" s="376">
        <v>8005</v>
      </c>
      <c r="E14" s="376">
        <v>5</v>
      </c>
      <c r="F14" s="376">
        <v>1</v>
      </c>
      <c r="G14" s="376">
        <v>27</v>
      </c>
      <c r="H14" s="376" t="s">
        <v>3381</v>
      </c>
      <c r="I14" s="376" t="s">
        <v>3460</v>
      </c>
      <c r="J14" s="157">
        <v>999</v>
      </c>
      <c r="K14" s="376">
        <v>9</v>
      </c>
      <c r="L14" s="376" t="b">
        <v>1</v>
      </c>
      <c r="M14" s="376">
        <v>25</v>
      </c>
      <c r="N14" s="194">
        <v>375</v>
      </c>
      <c r="O14" s="194">
        <v>500</v>
      </c>
      <c r="P14" s="376" t="s">
        <v>3383</v>
      </c>
      <c r="Q14" s="376">
        <v>1</v>
      </c>
      <c r="R14" s="376" t="s">
        <v>3413</v>
      </c>
      <c r="S14" s="376">
        <v>5</v>
      </c>
      <c r="T14" s="376">
        <v>25</v>
      </c>
      <c r="U14" s="376">
        <v>0</v>
      </c>
      <c r="V14" s="376">
        <v>0</v>
      </c>
      <c r="W14" s="376" t="s">
        <v>3461</v>
      </c>
      <c r="X14" s="376" t="s">
        <v>3462</v>
      </c>
      <c r="Y14" s="376" t="s">
        <v>3395</v>
      </c>
      <c r="Z14" s="376" t="s">
        <v>3388</v>
      </c>
      <c r="AA14" s="383" t="s">
        <v>3463</v>
      </c>
      <c r="AB14" s="383">
        <v>1</v>
      </c>
      <c r="AC14" s="383">
        <v>1</v>
      </c>
    </row>
    <row r="15" spans="1:29" ht="27" x14ac:dyDescent="0.15">
      <c r="A15" s="376">
        <v>901105</v>
      </c>
      <c r="B15" s="376" t="s">
        <v>3464</v>
      </c>
      <c r="C15" s="376" t="s">
        <v>3380</v>
      </c>
      <c r="D15" s="376">
        <v>8006</v>
      </c>
      <c r="E15" s="376">
        <v>6</v>
      </c>
      <c r="F15" s="376">
        <v>1</v>
      </c>
      <c r="G15" s="376">
        <v>27</v>
      </c>
      <c r="H15" s="376" t="s">
        <v>3381</v>
      </c>
      <c r="I15" s="376" t="s">
        <v>3465</v>
      </c>
      <c r="J15" s="157">
        <v>999</v>
      </c>
      <c r="K15" s="376">
        <v>9</v>
      </c>
      <c r="L15" s="376" t="b">
        <v>1</v>
      </c>
      <c r="M15" s="376">
        <v>30</v>
      </c>
      <c r="N15" s="194">
        <v>450</v>
      </c>
      <c r="O15" s="194">
        <v>600</v>
      </c>
      <c r="P15" s="376" t="s">
        <v>3383</v>
      </c>
      <c r="Q15" s="376">
        <v>1</v>
      </c>
      <c r="R15" s="376" t="s">
        <v>3419</v>
      </c>
      <c r="S15" s="376">
        <v>6</v>
      </c>
      <c r="T15" s="376">
        <v>30</v>
      </c>
      <c r="U15" s="376">
        <v>0</v>
      </c>
      <c r="V15" s="376">
        <v>0</v>
      </c>
      <c r="W15" s="376" t="s">
        <v>3466</v>
      </c>
      <c r="X15" s="376" t="s">
        <v>3467</v>
      </c>
      <c r="Y15" s="376" t="s">
        <v>3387</v>
      </c>
      <c r="Z15" s="376" t="s">
        <v>3388</v>
      </c>
      <c r="AA15" s="383" t="s">
        <v>3468</v>
      </c>
      <c r="AB15" s="383">
        <v>1</v>
      </c>
      <c r="AC15" s="383">
        <v>1</v>
      </c>
    </row>
    <row r="16" spans="1:29" ht="27" x14ac:dyDescent="0.15">
      <c r="A16" s="376">
        <v>901106</v>
      </c>
      <c r="B16" s="376" t="s">
        <v>3469</v>
      </c>
      <c r="C16" s="376" t="s">
        <v>3380</v>
      </c>
      <c r="D16" s="376">
        <v>8007</v>
      </c>
      <c r="E16" s="376">
        <v>7</v>
      </c>
      <c r="F16" s="376">
        <v>1</v>
      </c>
      <c r="G16" s="376">
        <v>27</v>
      </c>
      <c r="H16" s="376" t="s">
        <v>3381</v>
      </c>
      <c r="I16" s="376" t="s">
        <v>3470</v>
      </c>
      <c r="J16" s="157">
        <v>999</v>
      </c>
      <c r="K16" s="376">
        <v>9</v>
      </c>
      <c r="L16" s="376" t="b">
        <v>1</v>
      </c>
      <c r="M16" s="376">
        <v>35</v>
      </c>
      <c r="N16" s="194">
        <v>525</v>
      </c>
      <c r="O16" s="194">
        <v>700</v>
      </c>
      <c r="P16" s="376" t="s">
        <v>3383</v>
      </c>
      <c r="Q16" s="376">
        <v>1</v>
      </c>
      <c r="R16" s="376" t="s">
        <v>3425</v>
      </c>
      <c r="S16" s="376">
        <v>7</v>
      </c>
      <c r="T16" s="376">
        <v>35</v>
      </c>
      <c r="U16" s="376">
        <v>0</v>
      </c>
      <c r="V16" s="376">
        <v>0</v>
      </c>
      <c r="W16" s="376" t="s">
        <v>3471</v>
      </c>
      <c r="X16" s="376" t="s">
        <v>3472</v>
      </c>
      <c r="Y16" s="376" t="s">
        <v>3395</v>
      </c>
      <c r="Z16" s="376" t="s">
        <v>3388</v>
      </c>
      <c r="AA16" s="383" t="s">
        <v>3473</v>
      </c>
      <c r="AB16" s="383">
        <v>1</v>
      </c>
      <c r="AC16" s="383">
        <v>1</v>
      </c>
    </row>
    <row r="17" spans="1:29" ht="40.5" x14ac:dyDescent="0.15">
      <c r="A17" s="209">
        <v>901107</v>
      </c>
      <c r="B17" s="209" t="s">
        <v>3474</v>
      </c>
      <c r="C17" s="209" t="s">
        <v>3380</v>
      </c>
      <c r="D17" s="209">
        <v>8008</v>
      </c>
      <c r="E17" s="209">
        <v>7</v>
      </c>
      <c r="F17" s="209">
        <v>1</v>
      </c>
      <c r="G17" s="209">
        <v>27</v>
      </c>
      <c r="H17" s="209" t="s">
        <v>3381</v>
      </c>
      <c r="I17" s="209" t="s">
        <v>3475</v>
      </c>
      <c r="J17" s="209">
        <v>999</v>
      </c>
      <c r="K17" s="209">
        <v>9</v>
      </c>
      <c r="L17" s="209" t="b">
        <v>1</v>
      </c>
      <c r="M17" s="209">
        <v>40</v>
      </c>
      <c r="N17" s="194">
        <v>600</v>
      </c>
      <c r="O17" s="194">
        <v>800</v>
      </c>
      <c r="P17" s="209" t="s">
        <v>3383</v>
      </c>
      <c r="Q17" s="209">
        <v>1</v>
      </c>
      <c r="R17" s="209" t="s">
        <v>3432</v>
      </c>
      <c r="S17" s="209">
        <v>8</v>
      </c>
      <c r="T17" s="209">
        <v>40</v>
      </c>
      <c r="U17" s="209">
        <v>0</v>
      </c>
      <c r="V17" s="209">
        <v>0</v>
      </c>
      <c r="W17" s="209" t="s">
        <v>3476</v>
      </c>
      <c r="X17" s="209" t="s">
        <v>3477</v>
      </c>
      <c r="Y17" s="209" t="s">
        <v>3478</v>
      </c>
      <c r="Z17" s="209" t="s">
        <v>3388</v>
      </c>
      <c r="AA17" s="382" t="s">
        <v>3479</v>
      </c>
      <c r="AB17" s="382">
        <v>1</v>
      </c>
      <c r="AC17" s="382">
        <v>1</v>
      </c>
    </row>
    <row r="18" spans="1:29" x14ac:dyDescent="0.15">
      <c r="A18" s="194">
        <v>901400</v>
      </c>
      <c r="B18" s="194" t="s">
        <v>3480</v>
      </c>
      <c r="C18" s="194" t="s">
        <v>3380</v>
      </c>
      <c r="D18" s="194">
        <v>5001</v>
      </c>
      <c r="E18" s="194">
        <v>3</v>
      </c>
      <c r="F18" s="194">
        <v>0</v>
      </c>
      <c r="G18" s="194">
        <v>27</v>
      </c>
      <c r="H18" s="194" t="s">
        <v>3481</v>
      </c>
      <c r="I18" s="194" t="s">
        <v>3482</v>
      </c>
      <c r="J18" s="157">
        <v>999</v>
      </c>
      <c r="K18" s="194">
        <v>9</v>
      </c>
      <c r="L18" s="194" t="b">
        <v>1</v>
      </c>
      <c r="M18" s="194">
        <v>35</v>
      </c>
      <c r="N18" s="194">
        <v>525</v>
      </c>
      <c r="O18" s="194">
        <v>700</v>
      </c>
      <c r="P18" s="194" t="s">
        <v>3383</v>
      </c>
      <c r="Q18" s="194">
        <v>1</v>
      </c>
      <c r="R18" s="194" t="s">
        <v>3384</v>
      </c>
      <c r="S18" s="194">
        <v>1</v>
      </c>
      <c r="T18" s="194">
        <v>5</v>
      </c>
      <c r="U18" s="194">
        <v>0</v>
      </c>
      <c r="V18" s="194">
        <v>0</v>
      </c>
      <c r="W18" s="194" t="s">
        <v>3483</v>
      </c>
      <c r="X18" s="194" t="s">
        <v>3484</v>
      </c>
      <c r="Y18" s="194" t="s">
        <v>3409</v>
      </c>
      <c r="Z18" s="194" t="s">
        <v>3388</v>
      </c>
      <c r="AA18" s="384" t="s">
        <v>3485</v>
      </c>
      <c r="AB18" s="384">
        <v>1</v>
      </c>
      <c r="AC18" s="384">
        <v>1</v>
      </c>
    </row>
    <row r="19" spans="1:29" ht="27" x14ac:dyDescent="0.15">
      <c r="A19" s="194">
        <v>901200</v>
      </c>
      <c r="B19" s="194" t="s">
        <v>3486</v>
      </c>
      <c r="C19" s="194" t="s">
        <v>3380</v>
      </c>
      <c r="D19" s="194">
        <v>6001</v>
      </c>
      <c r="E19" s="194">
        <v>2</v>
      </c>
      <c r="F19" s="194">
        <v>0</v>
      </c>
      <c r="G19" s="194">
        <v>27</v>
      </c>
      <c r="H19" s="194" t="s">
        <v>3487</v>
      </c>
      <c r="I19" s="194" t="s">
        <v>3488</v>
      </c>
      <c r="J19" s="157">
        <v>999</v>
      </c>
      <c r="K19" s="194">
        <v>9</v>
      </c>
      <c r="L19" s="194" t="b">
        <v>1</v>
      </c>
      <c r="M19" s="194">
        <v>35</v>
      </c>
      <c r="N19" s="194">
        <v>525</v>
      </c>
      <c r="O19" s="194">
        <v>700</v>
      </c>
      <c r="P19" s="194" t="s">
        <v>3383</v>
      </c>
      <c r="Q19" s="194">
        <v>1</v>
      </c>
      <c r="R19" s="194" t="s">
        <v>3384</v>
      </c>
      <c r="S19" s="194">
        <v>1</v>
      </c>
      <c r="T19" s="194">
        <v>30</v>
      </c>
      <c r="U19" s="194">
        <v>0</v>
      </c>
      <c r="V19" s="194">
        <v>0</v>
      </c>
      <c r="W19" s="194" t="s">
        <v>3489</v>
      </c>
      <c r="X19" s="194" t="s">
        <v>3490</v>
      </c>
      <c r="Y19" s="194" t="s">
        <v>3395</v>
      </c>
      <c r="Z19" s="194" t="s">
        <v>3388</v>
      </c>
      <c r="AA19" s="384" t="s">
        <v>3491</v>
      </c>
      <c r="AB19" s="384">
        <v>1</v>
      </c>
      <c r="AC19" s="384">
        <v>1</v>
      </c>
    </row>
    <row r="20" spans="1:29" ht="27" x14ac:dyDescent="0.15">
      <c r="A20" s="194">
        <v>901300</v>
      </c>
      <c r="B20" s="387" t="s">
        <v>3492</v>
      </c>
      <c r="C20" s="194" t="s">
        <v>3380</v>
      </c>
      <c r="D20" s="194">
        <v>7001</v>
      </c>
      <c r="E20" s="194">
        <v>2</v>
      </c>
      <c r="F20" s="194">
        <v>0</v>
      </c>
      <c r="G20" s="194">
        <v>27</v>
      </c>
      <c r="H20" s="194" t="s">
        <v>3493</v>
      </c>
      <c r="I20" s="194" t="s">
        <v>3494</v>
      </c>
      <c r="J20" s="157">
        <v>999</v>
      </c>
      <c r="K20" s="194">
        <v>9</v>
      </c>
      <c r="L20" s="194" t="b">
        <v>1</v>
      </c>
      <c r="M20" s="194">
        <v>20</v>
      </c>
      <c r="N20" s="194">
        <v>300</v>
      </c>
      <c r="O20" s="194">
        <v>400</v>
      </c>
      <c r="P20" s="194" t="s">
        <v>3383</v>
      </c>
      <c r="Q20" s="194">
        <v>1</v>
      </c>
      <c r="R20" s="194" t="s">
        <v>3384</v>
      </c>
      <c r="S20" s="194">
        <v>1</v>
      </c>
      <c r="T20" s="194">
        <v>10</v>
      </c>
      <c r="U20" s="194">
        <v>0</v>
      </c>
      <c r="V20" s="194">
        <v>0</v>
      </c>
      <c r="W20" s="194" t="s">
        <v>3495</v>
      </c>
      <c r="X20" s="194" t="s">
        <v>3496</v>
      </c>
      <c r="Y20" s="194" t="s">
        <v>3497</v>
      </c>
      <c r="Z20" s="194" t="s">
        <v>3388</v>
      </c>
      <c r="AA20" s="384" t="s">
        <v>3498</v>
      </c>
      <c r="AB20" s="384">
        <v>0</v>
      </c>
      <c r="AC20" s="384">
        <v>0</v>
      </c>
    </row>
    <row r="21" spans="1:29" ht="27" x14ac:dyDescent="0.15">
      <c r="A21" s="194">
        <v>901301</v>
      </c>
      <c r="B21" s="387" t="s">
        <v>3499</v>
      </c>
      <c r="C21" s="194" t="s">
        <v>3380</v>
      </c>
      <c r="D21" s="194">
        <v>7002</v>
      </c>
      <c r="E21" s="194">
        <v>3</v>
      </c>
      <c r="F21" s="194">
        <v>0</v>
      </c>
      <c r="G21" s="194">
        <v>27</v>
      </c>
      <c r="H21" s="194" t="s">
        <v>3493</v>
      </c>
      <c r="I21" s="194" t="s">
        <v>3500</v>
      </c>
      <c r="J21" s="157">
        <v>999</v>
      </c>
      <c r="K21" s="194">
        <v>9</v>
      </c>
      <c r="L21" s="194" t="b">
        <v>1</v>
      </c>
      <c r="M21" s="194">
        <v>25</v>
      </c>
      <c r="N21" s="194">
        <v>375</v>
      </c>
      <c r="O21" s="194">
        <v>500</v>
      </c>
      <c r="P21" s="194" t="s">
        <v>3383</v>
      </c>
      <c r="Q21" s="194">
        <v>1</v>
      </c>
      <c r="R21" s="194" t="s">
        <v>3392</v>
      </c>
      <c r="S21" s="194">
        <v>2</v>
      </c>
      <c r="T21" s="194">
        <v>15</v>
      </c>
      <c r="U21" s="194">
        <v>0</v>
      </c>
      <c r="V21" s="194">
        <v>0</v>
      </c>
      <c r="W21" s="194" t="s">
        <v>3501</v>
      </c>
      <c r="X21" s="194" t="s">
        <v>3502</v>
      </c>
      <c r="Y21" s="194" t="s">
        <v>3503</v>
      </c>
      <c r="Z21" s="194" t="s">
        <v>3388</v>
      </c>
      <c r="AA21" s="384" t="s">
        <v>3504</v>
      </c>
      <c r="AB21" s="384">
        <v>0</v>
      </c>
      <c r="AC21" s="384">
        <v>0</v>
      </c>
    </row>
    <row r="22" spans="1:29" ht="27" x14ac:dyDescent="0.15">
      <c r="A22" s="194">
        <v>901302</v>
      </c>
      <c r="B22" s="505" t="s">
        <v>10165</v>
      </c>
      <c r="C22" s="194" t="s">
        <v>3380</v>
      </c>
      <c r="D22" s="194">
        <v>7002</v>
      </c>
      <c r="E22" s="194">
        <v>5</v>
      </c>
      <c r="F22" s="194">
        <v>0</v>
      </c>
      <c r="G22" s="194">
        <v>27</v>
      </c>
      <c r="H22" s="194" t="s">
        <v>3493</v>
      </c>
      <c r="I22" s="506" t="s">
        <v>10181</v>
      </c>
      <c r="J22" s="157">
        <v>999</v>
      </c>
      <c r="K22" s="194">
        <v>9</v>
      </c>
      <c r="L22" s="194" t="b">
        <v>1</v>
      </c>
      <c r="M22" s="194">
        <v>35</v>
      </c>
      <c r="N22" s="194">
        <v>525</v>
      </c>
      <c r="O22" s="194">
        <v>700</v>
      </c>
      <c r="P22" s="194" t="s">
        <v>3383</v>
      </c>
      <c r="Q22" s="194">
        <v>1</v>
      </c>
      <c r="R22" s="506" t="s">
        <v>10183</v>
      </c>
      <c r="S22" s="194">
        <v>5</v>
      </c>
      <c r="T22" s="209">
        <v>35</v>
      </c>
      <c r="U22" s="194">
        <v>0</v>
      </c>
      <c r="V22" s="194">
        <v>0</v>
      </c>
      <c r="W22" s="506" t="s">
        <v>10184</v>
      </c>
      <c r="X22" s="506" t="s">
        <v>10166</v>
      </c>
      <c r="Y22" s="506" t="s">
        <v>10169</v>
      </c>
      <c r="Z22" s="194" t="s">
        <v>3388</v>
      </c>
      <c r="AA22" s="507" t="s">
        <v>10168</v>
      </c>
      <c r="AB22" s="384">
        <v>1</v>
      </c>
      <c r="AC22" s="384">
        <v>1</v>
      </c>
    </row>
  </sheetData>
  <phoneticPr fontId="45" type="noConversion"/>
  <conditionalFormatting sqref="A20:A22">
    <cfRule type="duplicateValues" dxfId="79" priority="2"/>
  </conditionalFormatting>
  <pageMargins left="0.7" right="0.7" top="0.75" bottom="0.75" header="0.3" footer="0.3"/>
  <pageSetup paperSize="9" orientation="portrait" horizontalDpi="360" verticalDpi="36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22"/>
  <sheetViews>
    <sheetView topLeftCell="H19" zoomScale="85" zoomScaleNormal="85" workbookViewId="0">
      <selection activeCell="AC1" sqref="AC1"/>
    </sheetView>
  </sheetViews>
  <sheetFormatPr defaultColWidth="9" defaultRowHeight="13.5" x14ac:dyDescent="0.15"/>
  <cols>
    <col min="1" max="1" width="9" style="363"/>
    <col min="2" max="2" width="15.75" style="363" customWidth="1"/>
    <col min="3" max="4" width="17.875" style="363" customWidth="1"/>
    <col min="5" max="5" width="7.5" style="363" customWidth="1"/>
    <col min="6" max="6" width="14.875" style="363" customWidth="1"/>
    <col min="7" max="7" width="11.375" style="363" customWidth="1"/>
    <col min="8" max="8" width="12.875" style="363" customWidth="1"/>
    <col min="9" max="9" width="29.25" style="363" customWidth="1"/>
    <col min="10" max="10" width="16.375" style="363" customWidth="1"/>
    <col min="11" max="11" width="13.625" style="363" customWidth="1"/>
    <col min="12" max="12" width="16.75" style="363" customWidth="1"/>
    <col min="13" max="13" width="12.75" style="363" customWidth="1"/>
    <col min="14" max="14" width="17.75" style="363" customWidth="1"/>
    <col min="15" max="15" width="16.25" style="363" customWidth="1"/>
    <col min="16" max="16" width="11.75" style="363" customWidth="1"/>
    <col min="17" max="17" width="12.125" style="363" customWidth="1"/>
    <col min="18" max="19" width="10.5" style="363" customWidth="1"/>
    <col min="20" max="20" width="14" style="363" customWidth="1"/>
    <col min="21" max="21" width="20.125" style="363" customWidth="1"/>
    <col min="22" max="22" width="9" style="363" customWidth="1"/>
    <col min="23" max="23" width="44.5" style="363" customWidth="1"/>
    <col min="24" max="24" width="38.75" style="363" customWidth="1"/>
    <col min="25" max="25" width="19.375" style="363" customWidth="1"/>
    <col min="26" max="26" width="13.875" style="363" customWidth="1"/>
    <col min="27" max="27" width="29.5" style="363" customWidth="1"/>
    <col min="28" max="28" width="11.75" style="363" customWidth="1"/>
    <col min="29" max="29" width="15.5" style="363" customWidth="1"/>
  </cols>
  <sheetData>
    <row r="1" spans="1:29" s="371" customFormat="1" ht="78.599999999999994" customHeight="1" x14ac:dyDescent="0.15">
      <c r="A1" s="372" t="s">
        <v>0</v>
      </c>
      <c r="B1" s="372" t="s">
        <v>1</v>
      </c>
      <c r="C1" s="372" t="s">
        <v>3</v>
      </c>
      <c r="D1" s="373" t="s">
        <v>3367</v>
      </c>
      <c r="E1" s="374" t="s">
        <v>7</v>
      </c>
      <c r="F1" s="374" t="s">
        <v>9</v>
      </c>
      <c r="G1" s="374" t="s">
        <v>10</v>
      </c>
      <c r="H1" s="372" t="s">
        <v>3368</v>
      </c>
      <c r="I1" s="372" t="s">
        <v>3369</v>
      </c>
      <c r="J1" s="372" t="s">
        <v>16</v>
      </c>
      <c r="K1" s="372" t="s">
        <v>3370</v>
      </c>
      <c r="L1" s="377" t="s">
        <v>17</v>
      </c>
      <c r="M1" s="372" t="s">
        <v>18</v>
      </c>
      <c r="N1" s="372" t="s">
        <v>19</v>
      </c>
      <c r="O1" s="372" t="s">
        <v>20</v>
      </c>
      <c r="P1" s="372" t="s">
        <v>3371</v>
      </c>
      <c r="Q1" s="372" t="s">
        <v>3372</v>
      </c>
      <c r="R1" s="372" t="s">
        <v>3373</v>
      </c>
      <c r="S1" s="372" t="s">
        <v>22</v>
      </c>
      <c r="T1" s="372" t="s">
        <v>3374</v>
      </c>
      <c r="U1" s="372" t="s">
        <v>3375</v>
      </c>
      <c r="V1" s="372" t="s">
        <v>23</v>
      </c>
      <c r="W1" s="372" t="s">
        <v>24</v>
      </c>
      <c r="X1" s="372" t="s">
        <v>3376</v>
      </c>
      <c r="Y1" s="372" t="s">
        <v>26</v>
      </c>
      <c r="Z1" s="372" t="s">
        <v>3377</v>
      </c>
      <c r="AA1" s="377" t="s">
        <v>3378</v>
      </c>
      <c r="AB1" s="379" t="s">
        <v>28</v>
      </c>
      <c r="AC1" s="379" t="s">
        <v>29</v>
      </c>
    </row>
    <row r="2" spans="1:29" ht="34.5" x14ac:dyDescent="0.3">
      <c r="A2" s="157">
        <v>901000</v>
      </c>
      <c r="B2" s="375" t="s">
        <v>3505</v>
      </c>
      <c r="C2" s="157" t="s">
        <v>3380</v>
      </c>
      <c r="D2" s="157">
        <v>9001</v>
      </c>
      <c r="E2" s="157">
        <v>1</v>
      </c>
      <c r="F2" s="157">
        <v>1</v>
      </c>
      <c r="G2" s="157">
        <v>27</v>
      </c>
      <c r="H2" s="157" t="s">
        <v>3381</v>
      </c>
      <c r="I2" s="157" t="s">
        <v>3382</v>
      </c>
      <c r="J2" s="157">
        <v>999</v>
      </c>
      <c r="K2" s="157">
        <v>9</v>
      </c>
      <c r="L2" s="157" t="b">
        <v>1</v>
      </c>
      <c r="M2" s="157">
        <v>5</v>
      </c>
      <c r="N2" s="194">
        <v>75</v>
      </c>
      <c r="O2" s="194">
        <v>100</v>
      </c>
      <c r="P2" s="157" t="s">
        <v>3383</v>
      </c>
      <c r="Q2" s="157">
        <v>1</v>
      </c>
      <c r="R2" s="157" t="s">
        <v>3384</v>
      </c>
      <c r="S2" s="157">
        <v>1</v>
      </c>
      <c r="T2" s="157">
        <v>5</v>
      </c>
      <c r="U2" s="157">
        <v>0</v>
      </c>
      <c r="V2" s="157">
        <v>0</v>
      </c>
      <c r="W2" s="378" t="s">
        <v>3506</v>
      </c>
      <c r="X2" s="206" t="s">
        <v>3507</v>
      </c>
      <c r="Y2" s="157" t="s">
        <v>3387</v>
      </c>
      <c r="Z2" s="157" t="s">
        <v>3388</v>
      </c>
      <c r="AA2" s="380" t="s">
        <v>3508</v>
      </c>
      <c r="AB2" s="381">
        <v>1</v>
      </c>
      <c r="AC2" s="381">
        <v>1</v>
      </c>
    </row>
    <row r="3" spans="1:29" ht="34.5" x14ac:dyDescent="0.3">
      <c r="A3" s="157">
        <v>901001</v>
      </c>
      <c r="B3" s="375" t="s">
        <v>3509</v>
      </c>
      <c r="C3" s="157" t="s">
        <v>3380</v>
      </c>
      <c r="D3" s="157">
        <v>9002</v>
      </c>
      <c r="E3" s="157">
        <v>2</v>
      </c>
      <c r="F3" s="157">
        <v>1</v>
      </c>
      <c r="G3" s="157">
        <v>27</v>
      </c>
      <c r="H3" s="157" t="s">
        <v>3381</v>
      </c>
      <c r="I3" s="157" t="s">
        <v>3391</v>
      </c>
      <c r="J3" s="157">
        <v>999</v>
      </c>
      <c r="K3" s="157">
        <v>9</v>
      </c>
      <c r="L3" s="157" t="b">
        <v>1</v>
      </c>
      <c r="M3" s="157">
        <v>10</v>
      </c>
      <c r="N3" s="194">
        <v>150</v>
      </c>
      <c r="O3" s="194">
        <v>200</v>
      </c>
      <c r="P3" s="157" t="s">
        <v>3383</v>
      </c>
      <c r="Q3" s="157">
        <v>1</v>
      </c>
      <c r="R3" s="157" t="s">
        <v>3392</v>
      </c>
      <c r="S3" s="157">
        <v>2</v>
      </c>
      <c r="T3" s="157">
        <v>10</v>
      </c>
      <c r="U3" s="157">
        <v>0</v>
      </c>
      <c r="V3" s="157">
        <v>0</v>
      </c>
      <c r="W3" s="378" t="s">
        <v>3510</v>
      </c>
      <c r="X3" s="206" t="s">
        <v>3511</v>
      </c>
      <c r="Y3" s="157" t="s">
        <v>3395</v>
      </c>
      <c r="Z3" s="157" t="s">
        <v>3388</v>
      </c>
      <c r="AA3" s="380" t="s">
        <v>3512</v>
      </c>
      <c r="AB3" s="381">
        <v>1</v>
      </c>
      <c r="AC3" s="381">
        <v>1</v>
      </c>
    </row>
    <row r="4" spans="1:29" ht="34.5" x14ac:dyDescent="0.3">
      <c r="A4" s="157">
        <v>901002</v>
      </c>
      <c r="B4" s="375" t="s">
        <v>3513</v>
      </c>
      <c r="C4" s="157" t="s">
        <v>3380</v>
      </c>
      <c r="D4" s="157">
        <v>9003</v>
      </c>
      <c r="E4" s="157">
        <v>3</v>
      </c>
      <c r="F4" s="157">
        <v>1</v>
      </c>
      <c r="G4" s="157">
        <v>27</v>
      </c>
      <c r="H4" s="157" t="s">
        <v>3381</v>
      </c>
      <c r="I4" s="157" t="s">
        <v>3398</v>
      </c>
      <c r="J4" s="157">
        <v>999</v>
      </c>
      <c r="K4" s="157">
        <v>9</v>
      </c>
      <c r="L4" s="157" t="b">
        <v>1</v>
      </c>
      <c r="M4" s="157">
        <v>15</v>
      </c>
      <c r="N4" s="194">
        <v>225</v>
      </c>
      <c r="O4" s="194">
        <v>300</v>
      </c>
      <c r="P4" s="157" t="s">
        <v>3383</v>
      </c>
      <c r="Q4" s="157">
        <v>1</v>
      </c>
      <c r="R4" s="157" t="s">
        <v>3399</v>
      </c>
      <c r="S4" s="157">
        <v>3</v>
      </c>
      <c r="T4" s="157">
        <v>15</v>
      </c>
      <c r="U4" s="157">
        <v>0</v>
      </c>
      <c r="V4" s="157">
        <v>0</v>
      </c>
      <c r="W4" s="378" t="s">
        <v>3514</v>
      </c>
      <c r="X4" s="206" t="s">
        <v>3515</v>
      </c>
      <c r="Y4" s="157" t="s">
        <v>3402</v>
      </c>
      <c r="Z4" s="157" t="s">
        <v>3388</v>
      </c>
      <c r="AA4" s="380" t="s">
        <v>3516</v>
      </c>
      <c r="AB4" s="381">
        <v>1</v>
      </c>
      <c r="AC4" s="381">
        <v>1</v>
      </c>
    </row>
    <row r="5" spans="1:29" ht="34.5" x14ac:dyDescent="0.3">
      <c r="A5" s="157">
        <v>901003</v>
      </c>
      <c r="B5" s="375" t="s">
        <v>3517</v>
      </c>
      <c r="C5" s="157" t="s">
        <v>3380</v>
      </c>
      <c r="D5" s="157">
        <v>9004</v>
      </c>
      <c r="E5" s="157">
        <v>4</v>
      </c>
      <c r="F5" s="157">
        <v>1</v>
      </c>
      <c r="G5" s="157">
        <v>27</v>
      </c>
      <c r="H5" s="157" t="s">
        <v>3381</v>
      </c>
      <c r="I5" s="157" t="s">
        <v>3405</v>
      </c>
      <c r="J5" s="157">
        <v>999</v>
      </c>
      <c r="K5" s="157">
        <v>9</v>
      </c>
      <c r="L5" s="157" t="b">
        <v>1</v>
      </c>
      <c r="M5" s="157">
        <v>20</v>
      </c>
      <c r="N5" s="194">
        <v>300</v>
      </c>
      <c r="O5" s="194">
        <v>400</v>
      </c>
      <c r="P5" s="157" t="s">
        <v>3383</v>
      </c>
      <c r="Q5" s="157">
        <v>1</v>
      </c>
      <c r="R5" s="157" t="s">
        <v>3406</v>
      </c>
      <c r="S5" s="157">
        <v>4</v>
      </c>
      <c r="T5" s="157">
        <v>20</v>
      </c>
      <c r="U5" s="157">
        <v>0</v>
      </c>
      <c r="V5" s="157">
        <v>0</v>
      </c>
      <c r="W5" s="378" t="s">
        <v>3518</v>
      </c>
      <c r="X5" s="206" t="s">
        <v>3519</v>
      </c>
      <c r="Y5" s="157" t="s">
        <v>3409</v>
      </c>
      <c r="Z5" s="157" t="s">
        <v>3388</v>
      </c>
      <c r="AA5" s="380" t="s">
        <v>3520</v>
      </c>
      <c r="AB5" s="381">
        <v>1</v>
      </c>
      <c r="AC5" s="381">
        <v>1</v>
      </c>
    </row>
    <row r="6" spans="1:29" ht="34.5" x14ac:dyDescent="0.3">
      <c r="A6" s="157">
        <v>901004</v>
      </c>
      <c r="B6" s="375" t="s">
        <v>3521</v>
      </c>
      <c r="C6" s="157" t="s">
        <v>3380</v>
      </c>
      <c r="D6" s="157">
        <v>9005</v>
      </c>
      <c r="E6" s="157">
        <v>5</v>
      </c>
      <c r="F6" s="157">
        <v>1</v>
      </c>
      <c r="G6" s="157">
        <v>27</v>
      </c>
      <c r="H6" s="157" t="s">
        <v>3381</v>
      </c>
      <c r="I6" s="157" t="s">
        <v>3412</v>
      </c>
      <c r="J6" s="157">
        <v>999</v>
      </c>
      <c r="K6" s="157">
        <v>9</v>
      </c>
      <c r="L6" s="157" t="b">
        <v>1</v>
      </c>
      <c r="M6" s="157">
        <v>25</v>
      </c>
      <c r="N6" s="194">
        <v>375</v>
      </c>
      <c r="O6" s="194">
        <v>500</v>
      </c>
      <c r="P6" s="157" t="s">
        <v>3383</v>
      </c>
      <c r="Q6" s="157">
        <v>1</v>
      </c>
      <c r="R6" s="157" t="s">
        <v>3413</v>
      </c>
      <c r="S6" s="157">
        <v>5</v>
      </c>
      <c r="T6" s="157">
        <v>25</v>
      </c>
      <c r="U6" s="157">
        <v>0</v>
      </c>
      <c r="V6" s="157">
        <v>0</v>
      </c>
      <c r="W6" s="378" t="s">
        <v>3522</v>
      </c>
      <c r="X6" s="206" t="s">
        <v>3523</v>
      </c>
      <c r="Y6" s="157" t="s">
        <v>3395</v>
      </c>
      <c r="Z6" s="157" t="s">
        <v>3388</v>
      </c>
      <c r="AA6" s="380" t="s">
        <v>3524</v>
      </c>
      <c r="AB6" s="381">
        <v>1</v>
      </c>
      <c r="AC6" s="381">
        <v>1</v>
      </c>
    </row>
    <row r="7" spans="1:29" ht="34.5" x14ac:dyDescent="0.3">
      <c r="A7" s="157">
        <v>901005</v>
      </c>
      <c r="B7" s="375" t="s">
        <v>3525</v>
      </c>
      <c r="C7" s="157" t="s">
        <v>3380</v>
      </c>
      <c r="D7" s="157">
        <v>9006</v>
      </c>
      <c r="E7" s="157">
        <v>6</v>
      </c>
      <c r="F7" s="157">
        <v>1</v>
      </c>
      <c r="G7" s="157">
        <v>27</v>
      </c>
      <c r="H7" s="157" t="s">
        <v>3381</v>
      </c>
      <c r="I7" s="157" t="s">
        <v>3418</v>
      </c>
      <c r="J7" s="157">
        <v>999</v>
      </c>
      <c r="K7" s="157">
        <v>9</v>
      </c>
      <c r="L7" s="157" t="b">
        <v>1</v>
      </c>
      <c r="M7" s="157">
        <v>30</v>
      </c>
      <c r="N7" s="194">
        <v>450</v>
      </c>
      <c r="O7" s="194">
        <v>600</v>
      </c>
      <c r="P7" s="157" t="s">
        <v>3383</v>
      </c>
      <c r="Q7" s="157">
        <v>1</v>
      </c>
      <c r="R7" s="157" t="s">
        <v>3419</v>
      </c>
      <c r="S7" s="157">
        <v>6</v>
      </c>
      <c r="T7" s="157">
        <v>30</v>
      </c>
      <c r="U7" s="157">
        <v>0</v>
      </c>
      <c r="V7" s="157">
        <v>0</v>
      </c>
      <c r="W7" s="378" t="s">
        <v>3526</v>
      </c>
      <c r="X7" s="206" t="s">
        <v>3527</v>
      </c>
      <c r="Y7" s="157" t="s">
        <v>3387</v>
      </c>
      <c r="Z7" s="157" t="s">
        <v>3388</v>
      </c>
      <c r="AA7" s="380" t="s">
        <v>3528</v>
      </c>
      <c r="AB7" s="381">
        <v>1</v>
      </c>
      <c r="AC7" s="381">
        <v>1</v>
      </c>
    </row>
    <row r="8" spans="1:29" ht="34.5" x14ac:dyDescent="0.3">
      <c r="A8" s="157">
        <v>901006</v>
      </c>
      <c r="B8" s="375" t="s">
        <v>3529</v>
      </c>
      <c r="C8" s="157" t="s">
        <v>3380</v>
      </c>
      <c r="D8" s="157">
        <v>9007</v>
      </c>
      <c r="E8" s="157">
        <v>7</v>
      </c>
      <c r="F8" s="157">
        <v>1</v>
      </c>
      <c r="G8" s="157">
        <v>27</v>
      </c>
      <c r="H8" s="157" t="s">
        <v>3381</v>
      </c>
      <c r="I8" s="157" t="s">
        <v>3424</v>
      </c>
      <c r="J8" s="157">
        <v>999</v>
      </c>
      <c r="K8" s="157">
        <v>9</v>
      </c>
      <c r="L8" s="157" t="b">
        <v>1</v>
      </c>
      <c r="M8" s="157">
        <v>35</v>
      </c>
      <c r="N8" s="194">
        <v>525</v>
      </c>
      <c r="O8" s="194">
        <v>700</v>
      </c>
      <c r="P8" s="157" t="s">
        <v>3383</v>
      </c>
      <c r="Q8" s="157">
        <v>1</v>
      </c>
      <c r="R8" s="157" t="s">
        <v>3425</v>
      </c>
      <c r="S8" s="157">
        <v>7</v>
      </c>
      <c r="T8" s="157">
        <v>35</v>
      </c>
      <c r="U8" s="157">
        <v>0</v>
      </c>
      <c r="V8" s="157">
        <v>0</v>
      </c>
      <c r="W8" s="378" t="s">
        <v>3530</v>
      </c>
      <c r="X8" s="206" t="s">
        <v>3531</v>
      </c>
      <c r="Y8" s="157" t="s">
        <v>3428</v>
      </c>
      <c r="Z8" s="157" t="s">
        <v>3388</v>
      </c>
      <c r="AA8" s="380" t="s">
        <v>3532</v>
      </c>
      <c r="AB8" s="381">
        <v>1</v>
      </c>
      <c r="AC8" s="381">
        <v>1</v>
      </c>
    </row>
    <row r="9" spans="1:29" ht="34.5" x14ac:dyDescent="0.3">
      <c r="A9" s="209">
        <v>901007</v>
      </c>
      <c r="B9" s="375" t="s">
        <v>3533</v>
      </c>
      <c r="C9" s="209" t="s">
        <v>3380</v>
      </c>
      <c r="D9" s="209">
        <v>9008</v>
      </c>
      <c r="E9" s="209">
        <v>7</v>
      </c>
      <c r="F9" s="209">
        <v>1</v>
      </c>
      <c r="G9" s="209">
        <v>27</v>
      </c>
      <c r="H9" s="209" t="s">
        <v>3381</v>
      </c>
      <c r="I9" s="209" t="s">
        <v>3431</v>
      </c>
      <c r="J9" s="209">
        <v>999</v>
      </c>
      <c r="K9" s="209">
        <v>9</v>
      </c>
      <c r="L9" s="209" t="b">
        <v>1</v>
      </c>
      <c r="M9" s="209">
        <v>40</v>
      </c>
      <c r="N9" s="194">
        <v>600</v>
      </c>
      <c r="O9" s="194">
        <v>800</v>
      </c>
      <c r="P9" s="209" t="s">
        <v>3383</v>
      </c>
      <c r="Q9" s="209">
        <v>1</v>
      </c>
      <c r="R9" s="209" t="s">
        <v>3432</v>
      </c>
      <c r="S9" s="209">
        <v>8</v>
      </c>
      <c r="T9" s="209">
        <v>40</v>
      </c>
      <c r="U9" s="209">
        <v>0</v>
      </c>
      <c r="V9" s="209">
        <v>0</v>
      </c>
      <c r="W9" s="378" t="s">
        <v>3534</v>
      </c>
      <c r="X9" s="206" t="s">
        <v>3535</v>
      </c>
      <c r="Y9" s="209" t="s">
        <v>3435</v>
      </c>
      <c r="Z9" s="209" t="s">
        <v>3388</v>
      </c>
      <c r="AA9" s="380" t="s">
        <v>3536</v>
      </c>
      <c r="AB9" s="382">
        <v>1</v>
      </c>
      <c r="AC9" s="382">
        <v>1</v>
      </c>
    </row>
    <row r="10" spans="1:29" ht="34.5" x14ac:dyDescent="0.3">
      <c r="A10" s="376">
        <v>901100</v>
      </c>
      <c r="B10" s="375" t="s">
        <v>3537</v>
      </c>
      <c r="C10" s="376" t="s">
        <v>3380</v>
      </c>
      <c r="D10" s="376">
        <v>8001</v>
      </c>
      <c r="E10" s="376">
        <v>1</v>
      </c>
      <c r="F10" s="376">
        <v>1</v>
      </c>
      <c r="G10" s="376">
        <v>27</v>
      </c>
      <c r="H10" s="376" t="s">
        <v>3381</v>
      </c>
      <c r="I10" s="376" t="s">
        <v>3438</v>
      </c>
      <c r="J10" s="157">
        <v>999</v>
      </c>
      <c r="K10" s="376">
        <v>9</v>
      </c>
      <c r="L10" s="376" t="b">
        <v>1</v>
      </c>
      <c r="M10" s="376">
        <v>5</v>
      </c>
      <c r="N10" s="194">
        <v>75</v>
      </c>
      <c r="O10" s="194">
        <v>100</v>
      </c>
      <c r="P10" s="376" t="s">
        <v>3383</v>
      </c>
      <c r="Q10" s="376">
        <v>1</v>
      </c>
      <c r="R10" s="376" t="s">
        <v>3384</v>
      </c>
      <c r="S10" s="376">
        <v>1</v>
      </c>
      <c r="T10" s="376">
        <v>5</v>
      </c>
      <c r="U10" s="376">
        <v>0</v>
      </c>
      <c r="V10" s="376">
        <v>0</v>
      </c>
      <c r="W10" s="378" t="s">
        <v>3538</v>
      </c>
      <c r="X10" s="206" t="s">
        <v>3539</v>
      </c>
      <c r="Y10" s="376" t="s">
        <v>3441</v>
      </c>
      <c r="Z10" s="376" t="s">
        <v>3388</v>
      </c>
      <c r="AA10" s="380" t="s">
        <v>3540</v>
      </c>
      <c r="AB10" s="383">
        <v>1</v>
      </c>
      <c r="AC10" s="383">
        <v>1</v>
      </c>
    </row>
    <row r="11" spans="1:29" ht="34.5" x14ac:dyDescent="0.3">
      <c r="A11" s="376">
        <v>901101</v>
      </c>
      <c r="B11" s="375" t="s">
        <v>3541</v>
      </c>
      <c r="C11" s="376" t="s">
        <v>3380</v>
      </c>
      <c r="D11" s="376">
        <v>8002</v>
      </c>
      <c r="E11" s="376">
        <v>2</v>
      </c>
      <c r="F11" s="376">
        <v>1</v>
      </c>
      <c r="G11" s="376">
        <v>27</v>
      </c>
      <c r="H11" s="376" t="s">
        <v>3381</v>
      </c>
      <c r="I11" s="376" t="s">
        <v>3444</v>
      </c>
      <c r="J11" s="157">
        <v>999</v>
      </c>
      <c r="K11" s="376">
        <v>9</v>
      </c>
      <c r="L11" s="376" t="b">
        <v>1</v>
      </c>
      <c r="M11" s="376">
        <v>10</v>
      </c>
      <c r="N11" s="194">
        <v>150</v>
      </c>
      <c r="O11" s="194">
        <v>200</v>
      </c>
      <c r="P11" s="376" t="s">
        <v>3383</v>
      </c>
      <c r="Q11" s="376">
        <v>1</v>
      </c>
      <c r="R11" s="376" t="s">
        <v>3392</v>
      </c>
      <c r="S11" s="376">
        <v>2</v>
      </c>
      <c r="T11" s="376">
        <v>10</v>
      </c>
      <c r="U11" s="376">
        <v>0</v>
      </c>
      <c r="V11" s="376">
        <v>0</v>
      </c>
      <c r="W11" s="378" t="s">
        <v>3542</v>
      </c>
      <c r="X11" s="206" t="s">
        <v>3543</v>
      </c>
      <c r="Y11" s="376" t="s">
        <v>3447</v>
      </c>
      <c r="Z11" s="376" t="s">
        <v>3388</v>
      </c>
      <c r="AA11" s="380" t="s">
        <v>3544</v>
      </c>
      <c r="AB11" s="383">
        <v>1</v>
      </c>
      <c r="AC11" s="383">
        <v>1</v>
      </c>
    </row>
    <row r="12" spans="1:29" ht="34.5" x14ac:dyDescent="0.3">
      <c r="A12" s="376">
        <v>901102</v>
      </c>
      <c r="B12" s="375" t="s">
        <v>3545</v>
      </c>
      <c r="C12" s="376" t="s">
        <v>3380</v>
      </c>
      <c r="D12" s="376">
        <v>8003</v>
      </c>
      <c r="E12" s="376">
        <v>3</v>
      </c>
      <c r="F12" s="376">
        <v>1</v>
      </c>
      <c r="G12" s="376">
        <v>27</v>
      </c>
      <c r="H12" s="376" t="s">
        <v>3381</v>
      </c>
      <c r="I12" s="376" t="s">
        <v>3450</v>
      </c>
      <c r="J12" s="157">
        <v>999</v>
      </c>
      <c r="K12" s="376">
        <v>9</v>
      </c>
      <c r="L12" s="376" t="b">
        <v>1</v>
      </c>
      <c r="M12" s="376">
        <v>15</v>
      </c>
      <c r="N12" s="194">
        <v>225</v>
      </c>
      <c r="O12" s="194">
        <v>300</v>
      </c>
      <c r="P12" s="376" t="s">
        <v>3383</v>
      </c>
      <c r="Q12" s="376">
        <v>1</v>
      </c>
      <c r="R12" s="376" t="s">
        <v>3399</v>
      </c>
      <c r="S12" s="376">
        <v>3</v>
      </c>
      <c r="T12" s="376">
        <v>15</v>
      </c>
      <c r="U12" s="376">
        <v>0</v>
      </c>
      <c r="V12" s="376">
        <v>0</v>
      </c>
      <c r="W12" s="378" t="s">
        <v>3546</v>
      </c>
      <c r="X12" s="206" t="s">
        <v>3547</v>
      </c>
      <c r="Y12" s="376" t="s">
        <v>3409</v>
      </c>
      <c r="Z12" s="376" t="s">
        <v>3388</v>
      </c>
      <c r="AA12" s="380" t="s">
        <v>3548</v>
      </c>
      <c r="AB12" s="383">
        <v>1</v>
      </c>
      <c r="AC12" s="383">
        <v>1</v>
      </c>
    </row>
    <row r="13" spans="1:29" ht="34.5" x14ac:dyDescent="0.3">
      <c r="A13" s="376">
        <v>901103</v>
      </c>
      <c r="B13" s="375" t="s">
        <v>3549</v>
      </c>
      <c r="C13" s="376" t="s">
        <v>3380</v>
      </c>
      <c r="D13" s="376">
        <v>8004</v>
      </c>
      <c r="E13" s="376">
        <v>4</v>
      </c>
      <c r="F13" s="376">
        <v>1</v>
      </c>
      <c r="G13" s="376">
        <v>27</v>
      </c>
      <c r="H13" s="376" t="s">
        <v>3381</v>
      </c>
      <c r="I13" s="376" t="s">
        <v>3455</v>
      </c>
      <c r="J13" s="157">
        <v>999</v>
      </c>
      <c r="K13" s="376">
        <v>9</v>
      </c>
      <c r="L13" s="376" t="b">
        <v>1</v>
      </c>
      <c r="M13" s="376">
        <v>20</v>
      </c>
      <c r="N13" s="194">
        <v>300</v>
      </c>
      <c r="O13" s="194">
        <v>400</v>
      </c>
      <c r="P13" s="376" t="s">
        <v>3383</v>
      </c>
      <c r="Q13" s="376">
        <v>1</v>
      </c>
      <c r="R13" s="376" t="s">
        <v>3406</v>
      </c>
      <c r="S13" s="376">
        <v>4</v>
      </c>
      <c r="T13" s="376">
        <v>20</v>
      </c>
      <c r="U13" s="376">
        <v>0</v>
      </c>
      <c r="V13" s="376">
        <v>0</v>
      </c>
      <c r="W13" s="378" t="s">
        <v>3550</v>
      </c>
      <c r="X13" s="206" t="s">
        <v>3551</v>
      </c>
      <c r="Y13" s="376" t="s">
        <v>3395</v>
      </c>
      <c r="Z13" s="376" t="s">
        <v>3388</v>
      </c>
      <c r="AA13" s="380" t="s">
        <v>3552</v>
      </c>
      <c r="AB13" s="383">
        <v>1</v>
      </c>
      <c r="AC13" s="383">
        <v>1</v>
      </c>
    </row>
    <row r="14" spans="1:29" ht="17.25" x14ac:dyDescent="0.3">
      <c r="A14" s="376">
        <v>901104</v>
      </c>
      <c r="B14" s="375" t="s">
        <v>3553</v>
      </c>
      <c r="C14" s="376" t="s">
        <v>3380</v>
      </c>
      <c r="D14" s="376">
        <v>8005</v>
      </c>
      <c r="E14" s="376">
        <v>5</v>
      </c>
      <c r="F14" s="376">
        <v>1</v>
      </c>
      <c r="G14" s="376">
        <v>27</v>
      </c>
      <c r="H14" s="376" t="s">
        <v>3381</v>
      </c>
      <c r="I14" s="376" t="s">
        <v>3460</v>
      </c>
      <c r="J14" s="157">
        <v>999</v>
      </c>
      <c r="K14" s="376">
        <v>9</v>
      </c>
      <c r="L14" s="376" t="b">
        <v>1</v>
      </c>
      <c r="M14" s="376">
        <v>25</v>
      </c>
      <c r="N14" s="194">
        <v>375</v>
      </c>
      <c r="O14" s="194">
        <v>500</v>
      </c>
      <c r="P14" s="376" t="s">
        <v>3383</v>
      </c>
      <c r="Q14" s="376">
        <v>1</v>
      </c>
      <c r="R14" s="376" t="s">
        <v>3413</v>
      </c>
      <c r="S14" s="376">
        <v>5</v>
      </c>
      <c r="T14" s="376">
        <v>25</v>
      </c>
      <c r="U14" s="376">
        <v>0</v>
      </c>
      <c r="V14" s="376">
        <v>0</v>
      </c>
      <c r="W14" s="378" t="s">
        <v>3554</v>
      </c>
      <c r="X14" s="206" t="s">
        <v>3555</v>
      </c>
      <c r="Y14" s="376" t="s">
        <v>3395</v>
      </c>
      <c r="Z14" s="376" t="s">
        <v>3388</v>
      </c>
      <c r="AA14" s="380" t="s">
        <v>3556</v>
      </c>
      <c r="AB14" s="383">
        <v>1</v>
      </c>
      <c r="AC14" s="383">
        <v>1</v>
      </c>
    </row>
    <row r="15" spans="1:29" ht="34.5" x14ac:dyDescent="0.3">
      <c r="A15" s="376">
        <v>901105</v>
      </c>
      <c r="B15" s="375" t="s">
        <v>3557</v>
      </c>
      <c r="C15" s="376" t="s">
        <v>3380</v>
      </c>
      <c r="D15" s="376">
        <v>8006</v>
      </c>
      <c r="E15" s="376">
        <v>6</v>
      </c>
      <c r="F15" s="376">
        <v>1</v>
      </c>
      <c r="G15" s="376">
        <v>27</v>
      </c>
      <c r="H15" s="376" t="s">
        <v>3381</v>
      </c>
      <c r="I15" s="376" t="s">
        <v>3465</v>
      </c>
      <c r="J15" s="157">
        <v>999</v>
      </c>
      <c r="K15" s="376">
        <v>9</v>
      </c>
      <c r="L15" s="376" t="b">
        <v>1</v>
      </c>
      <c r="M15" s="376">
        <v>30</v>
      </c>
      <c r="N15" s="194">
        <v>450</v>
      </c>
      <c r="O15" s="194">
        <v>600</v>
      </c>
      <c r="P15" s="376" t="s">
        <v>3383</v>
      </c>
      <c r="Q15" s="376">
        <v>1</v>
      </c>
      <c r="R15" s="376" t="s">
        <v>3419</v>
      </c>
      <c r="S15" s="376">
        <v>6</v>
      </c>
      <c r="T15" s="376">
        <v>30</v>
      </c>
      <c r="U15" s="376">
        <v>0</v>
      </c>
      <c r="V15" s="376">
        <v>0</v>
      </c>
      <c r="W15" s="378" t="s">
        <v>3558</v>
      </c>
      <c r="X15" s="206" t="s">
        <v>3559</v>
      </c>
      <c r="Y15" s="376" t="s">
        <v>3387</v>
      </c>
      <c r="Z15" s="376" t="s">
        <v>3388</v>
      </c>
      <c r="AA15" s="380" t="s">
        <v>3560</v>
      </c>
      <c r="AB15" s="383">
        <v>1</v>
      </c>
      <c r="AC15" s="383">
        <v>1</v>
      </c>
    </row>
    <row r="16" spans="1:29" ht="51.75" x14ac:dyDescent="0.3">
      <c r="A16" s="376">
        <v>901106</v>
      </c>
      <c r="B16" s="375" t="s">
        <v>3561</v>
      </c>
      <c r="C16" s="376" t="s">
        <v>3380</v>
      </c>
      <c r="D16" s="376">
        <v>8007</v>
      </c>
      <c r="E16" s="376">
        <v>7</v>
      </c>
      <c r="F16" s="376">
        <v>1</v>
      </c>
      <c r="G16" s="376">
        <v>27</v>
      </c>
      <c r="H16" s="376" t="s">
        <v>3381</v>
      </c>
      <c r="I16" s="376" t="s">
        <v>3470</v>
      </c>
      <c r="J16" s="157">
        <v>999</v>
      </c>
      <c r="K16" s="376">
        <v>9</v>
      </c>
      <c r="L16" s="376" t="b">
        <v>1</v>
      </c>
      <c r="M16" s="376">
        <v>35</v>
      </c>
      <c r="N16" s="194">
        <v>525</v>
      </c>
      <c r="O16" s="194">
        <v>700</v>
      </c>
      <c r="P16" s="376" t="s">
        <v>3383</v>
      </c>
      <c r="Q16" s="376">
        <v>1</v>
      </c>
      <c r="R16" s="376" t="s">
        <v>3425</v>
      </c>
      <c r="S16" s="376">
        <v>7</v>
      </c>
      <c r="T16" s="376">
        <v>35</v>
      </c>
      <c r="U16" s="376">
        <v>0</v>
      </c>
      <c r="V16" s="376">
        <v>0</v>
      </c>
      <c r="W16" s="378" t="s">
        <v>3562</v>
      </c>
      <c r="X16" s="206" t="s">
        <v>3563</v>
      </c>
      <c r="Y16" s="376" t="s">
        <v>3395</v>
      </c>
      <c r="Z16" s="376" t="s">
        <v>3388</v>
      </c>
      <c r="AA16" s="380" t="s">
        <v>3564</v>
      </c>
      <c r="AB16" s="383">
        <v>1</v>
      </c>
      <c r="AC16" s="383">
        <v>1</v>
      </c>
    </row>
    <row r="17" spans="1:29" ht="34.5" x14ac:dyDescent="0.3">
      <c r="A17" s="209">
        <v>901107</v>
      </c>
      <c r="B17" s="375" t="s">
        <v>3565</v>
      </c>
      <c r="C17" s="209" t="s">
        <v>3380</v>
      </c>
      <c r="D17" s="209">
        <v>8008</v>
      </c>
      <c r="E17" s="209">
        <v>7</v>
      </c>
      <c r="F17" s="209">
        <v>1</v>
      </c>
      <c r="G17" s="209">
        <v>27</v>
      </c>
      <c r="H17" s="209" t="s">
        <v>3381</v>
      </c>
      <c r="I17" s="209" t="s">
        <v>3475</v>
      </c>
      <c r="J17" s="209">
        <v>999</v>
      </c>
      <c r="K17" s="209">
        <v>9</v>
      </c>
      <c r="L17" s="209" t="b">
        <v>1</v>
      </c>
      <c r="M17" s="209">
        <v>40</v>
      </c>
      <c r="N17" s="194">
        <v>600</v>
      </c>
      <c r="O17" s="194">
        <v>800</v>
      </c>
      <c r="P17" s="209" t="s">
        <v>3383</v>
      </c>
      <c r="Q17" s="209">
        <v>1</v>
      </c>
      <c r="R17" s="209" t="s">
        <v>3432</v>
      </c>
      <c r="S17" s="209">
        <v>8</v>
      </c>
      <c r="T17" s="209">
        <v>40</v>
      </c>
      <c r="U17" s="209">
        <v>0</v>
      </c>
      <c r="V17" s="209">
        <v>0</v>
      </c>
      <c r="W17" s="378" t="s">
        <v>3566</v>
      </c>
      <c r="X17" s="206" t="s">
        <v>3567</v>
      </c>
      <c r="Y17" s="209" t="s">
        <v>3478</v>
      </c>
      <c r="Z17" s="209" t="s">
        <v>3388</v>
      </c>
      <c r="AA17" s="380" t="s">
        <v>3568</v>
      </c>
      <c r="AB17" s="382">
        <v>1</v>
      </c>
      <c r="AC17" s="382">
        <v>1</v>
      </c>
    </row>
    <row r="18" spans="1:29" ht="34.5" x14ac:dyDescent="0.3">
      <c r="A18" s="194">
        <v>901400</v>
      </c>
      <c r="B18" s="375" t="s">
        <v>3569</v>
      </c>
      <c r="C18" s="194" t="s">
        <v>3380</v>
      </c>
      <c r="D18" s="194">
        <v>5001</v>
      </c>
      <c r="E18" s="194">
        <v>3</v>
      </c>
      <c r="F18" s="194">
        <v>0</v>
      </c>
      <c r="G18" s="194">
        <v>27</v>
      </c>
      <c r="H18" s="194" t="s">
        <v>3481</v>
      </c>
      <c r="I18" s="194" t="s">
        <v>3482</v>
      </c>
      <c r="J18" s="157">
        <v>999</v>
      </c>
      <c r="K18" s="194">
        <v>9</v>
      </c>
      <c r="L18" s="194" t="b">
        <v>1</v>
      </c>
      <c r="M18" s="194">
        <v>35</v>
      </c>
      <c r="N18" s="194">
        <v>525</v>
      </c>
      <c r="O18" s="194">
        <v>700</v>
      </c>
      <c r="P18" s="194" t="s">
        <v>3383</v>
      </c>
      <c r="Q18" s="194">
        <v>1</v>
      </c>
      <c r="R18" s="194" t="s">
        <v>3384</v>
      </c>
      <c r="S18" s="194">
        <v>1</v>
      </c>
      <c r="T18" s="194">
        <v>5</v>
      </c>
      <c r="U18" s="194">
        <v>0</v>
      </c>
      <c r="V18" s="194">
        <v>0</v>
      </c>
      <c r="W18" s="378" t="s">
        <v>3570</v>
      </c>
      <c r="X18" s="206" t="s">
        <v>3571</v>
      </c>
      <c r="Y18" s="194" t="s">
        <v>3409</v>
      </c>
      <c r="Z18" s="194" t="s">
        <v>3388</v>
      </c>
      <c r="AA18" s="380" t="s">
        <v>3572</v>
      </c>
      <c r="AB18" s="384">
        <v>1</v>
      </c>
      <c r="AC18" s="384">
        <v>1</v>
      </c>
    </row>
    <row r="19" spans="1:29" ht="34.5" x14ac:dyDescent="0.3">
      <c r="A19" s="194">
        <v>901200</v>
      </c>
      <c r="B19" s="375" t="s">
        <v>3573</v>
      </c>
      <c r="C19" s="194" t="s">
        <v>3380</v>
      </c>
      <c r="D19" s="194">
        <v>6001</v>
      </c>
      <c r="E19" s="194">
        <v>2</v>
      </c>
      <c r="F19" s="194">
        <v>0</v>
      </c>
      <c r="G19" s="194">
        <v>27</v>
      </c>
      <c r="H19" s="194" t="s">
        <v>3487</v>
      </c>
      <c r="I19" s="194" t="s">
        <v>3488</v>
      </c>
      <c r="J19" s="157">
        <v>999</v>
      </c>
      <c r="K19" s="194">
        <v>9</v>
      </c>
      <c r="L19" s="194" t="b">
        <v>1</v>
      </c>
      <c r="M19" s="194">
        <v>35</v>
      </c>
      <c r="N19" s="194">
        <v>525</v>
      </c>
      <c r="O19" s="194">
        <v>700</v>
      </c>
      <c r="P19" s="194" t="s">
        <v>3383</v>
      </c>
      <c r="Q19" s="194">
        <v>1</v>
      </c>
      <c r="R19" s="194" t="s">
        <v>3384</v>
      </c>
      <c r="S19" s="194">
        <v>1</v>
      </c>
      <c r="T19" s="194">
        <v>30</v>
      </c>
      <c r="U19" s="194">
        <v>0</v>
      </c>
      <c r="V19" s="194">
        <v>0</v>
      </c>
      <c r="W19" s="378" t="s">
        <v>3574</v>
      </c>
      <c r="X19" s="206" t="s">
        <v>3575</v>
      </c>
      <c r="Y19" s="194" t="s">
        <v>3395</v>
      </c>
      <c r="Z19" s="194" t="s">
        <v>3388</v>
      </c>
      <c r="AA19" s="380" t="s">
        <v>3576</v>
      </c>
      <c r="AB19" s="384">
        <v>1</v>
      </c>
      <c r="AC19" s="384">
        <v>1</v>
      </c>
    </row>
    <row r="20" spans="1:29" ht="34.5" x14ac:dyDescent="0.3">
      <c r="A20" s="194">
        <v>901300</v>
      </c>
      <c r="B20" s="375" t="s">
        <v>3577</v>
      </c>
      <c r="C20" s="194" t="s">
        <v>3380</v>
      </c>
      <c r="D20" s="194">
        <v>7001</v>
      </c>
      <c r="E20" s="194">
        <v>2</v>
      </c>
      <c r="F20" s="194">
        <v>0</v>
      </c>
      <c r="G20" s="194">
        <v>27</v>
      </c>
      <c r="H20" s="194" t="s">
        <v>3493</v>
      </c>
      <c r="I20" s="194" t="s">
        <v>3494</v>
      </c>
      <c r="J20" s="157">
        <v>999</v>
      </c>
      <c r="K20" s="194">
        <v>9</v>
      </c>
      <c r="L20" s="194" t="b">
        <v>1</v>
      </c>
      <c r="M20" s="194">
        <v>20</v>
      </c>
      <c r="N20" s="194">
        <v>300</v>
      </c>
      <c r="O20" s="194">
        <v>400</v>
      </c>
      <c r="P20" s="194" t="s">
        <v>3383</v>
      </c>
      <c r="Q20" s="194">
        <v>1</v>
      </c>
      <c r="R20" s="194" t="s">
        <v>3384</v>
      </c>
      <c r="S20" s="194">
        <v>1</v>
      </c>
      <c r="T20" s="194">
        <v>10</v>
      </c>
      <c r="U20" s="194">
        <v>0</v>
      </c>
      <c r="V20" s="194">
        <v>0</v>
      </c>
      <c r="W20" s="378" t="s">
        <v>3578</v>
      </c>
      <c r="X20" s="206" t="s">
        <v>3579</v>
      </c>
      <c r="Y20" s="194" t="s">
        <v>3497</v>
      </c>
      <c r="Z20" s="194" t="s">
        <v>3388</v>
      </c>
      <c r="AA20" s="380" t="s">
        <v>3580</v>
      </c>
      <c r="AB20" s="384">
        <v>0</v>
      </c>
      <c r="AC20" s="384">
        <v>0</v>
      </c>
    </row>
    <row r="21" spans="1:29" ht="86.25" x14ac:dyDescent="0.3">
      <c r="A21" s="194">
        <v>901301</v>
      </c>
      <c r="B21" s="375" t="s">
        <v>3581</v>
      </c>
      <c r="C21" s="194" t="s">
        <v>3380</v>
      </c>
      <c r="D21" s="194">
        <v>7002</v>
      </c>
      <c r="E21" s="194">
        <v>3</v>
      </c>
      <c r="F21" s="194">
        <v>0</v>
      </c>
      <c r="G21" s="194">
        <v>27</v>
      </c>
      <c r="H21" s="194" t="s">
        <v>3493</v>
      </c>
      <c r="I21" s="194" t="s">
        <v>3500</v>
      </c>
      <c r="J21" s="157">
        <v>999</v>
      </c>
      <c r="K21" s="194">
        <v>9</v>
      </c>
      <c r="L21" s="194" t="b">
        <v>1</v>
      </c>
      <c r="M21" s="194">
        <v>25</v>
      </c>
      <c r="N21" s="194">
        <v>375</v>
      </c>
      <c r="O21" s="194">
        <v>500</v>
      </c>
      <c r="P21" s="194" t="s">
        <v>3383</v>
      </c>
      <c r="Q21" s="194">
        <v>1</v>
      </c>
      <c r="R21" s="194" t="s">
        <v>3392</v>
      </c>
      <c r="S21" s="194">
        <v>2</v>
      </c>
      <c r="T21" s="194">
        <v>15</v>
      </c>
      <c r="U21" s="194">
        <v>0</v>
      </c>
      <c r="V21" s="194">
        <v>0</v>
      </c>
      <c r="W21" s="378" t="s">
        <v>3582</v>
      </c>
      <c r="X21" s="206" t="s">
        <v>3583</v>
      </c>
      <c r="Y21" s="194" t="s">
        <v>3503</v>
      </c>
      <c r="Z21" s="194" t="s">
        <v>3388</v>
      </c>
      <c r="AA21" s="385" t="s">
        <v>10179</v>
      </c>
      <c r="AB21" s="384">
        <v>0</v>
      </c>
      <c r="AC21" s="384">
        <v>0</v>
      </c>
    </row>
    <row r="22" spans="1:29" ht="56.25" x14ac:dyDescent="0.3">
      <c r="A22" s="194">
        <v>901302</v>
      </c>
      <c r="B22" s="505" t="s">
        <v>10167</v>
      </c>
      <c r="C22" s="194" t="s">
        <v>3380</v>
      </c>
      <c r="D22" s="194">
        <v>7002</v>
      </c>
      <c r="E22" s="194">
        <v>3</v>
      </c>
      <c r="F22" s="194">
        <v>0</v>
      </c>
      <c r="G22" s="194">
        <v>27</v>
      </c>
      <c r="H22" s="194" t="s">
        <v>3493</v>
      </c>
      <c r="I22" s="506" t="s">
        <v>10181</v>
      </c>
      <c r="J22" s="157">
        <v>999</v>
      </c>
      <c r="K22" s="194">
        <v>9</v>
      </c>
      <c r="L22" s="194" t="b">
        <v>1</v>
      </c>
      <c r="M22" s="194">
        <v>35</v>
      </c>
      <c r="N22" s="194">
        <v>525</v>
      </c>
      <c r="O22" s="194">
        <v>700</v>
      </c>
      <c r="P22" s="194" t="s">
        <v>3383</v>
      </c>
      <c r="Q22" s="194">
        <v>1</v>
      </c>
      <c r="R22" s="506" t="s">
        <v>10183</v>
      </c>
      <c r="S22" s="194">
        <v>5</v>
      </c>
      <c r="T22" s="209">
        <v>35</v>
      </c>
      <c r="U22" s="194">
        <v>0</v>
      </c>
      <c r="V22" s="194">
        <v>0</v>
      </c>
      <c r="W22" s="378" t="s">
        <v>10182</v>
      </c>
      <c r="X22" s="206" t="s">
        <v>10178</v>
      </c>
      <c r="Y22" s="506" t="s">
        <v>10169</v>
      </c>
      <c r="Z22" s="194" t="s">
        <v>3388</v>
      </c>
      <c r="AA22" s="507" t="s">
        <v>10180</v>
      </c>
      <c r="AB22" s="384">
        <v>1</v>
      </c>
      <c r="AC22" s="384">
        <v>1</v>
      </c>
    </row>
  </sheetData>
  <phoneticPr fontId="45" type="noConversion"/>
  <conditionalFormatting sqref="A20:A21">
    <cfRule type="duplicateValues" dxfId="78" priority="2"/>
  </conditionalFormatting>
  <conditionalFormatting sqref="A22">
    <cfRule type="duplicateValues" dxfId="77" priority="1"/>
  </conditionalFormatting>
  <pageMargins left="0.7" right="0.7" top="0.75" bottom="0.75" header="0.3" footer="0.3"/>
  <pageSetup paperSize="9" orientation="portrait" horizontalDpi="360" verticalDpi="36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A70"/>
  <sheetViews>
    <sheetView zoomScale="85" zoomScaleNormal="85" workbookViewId="0">
      <pane ySplit="1" topLeftCell="A56" activePane="bottomLeft" state="frozen"/>
      <selection pane="bottomLeft" activeCell="G93" sqref="G93"/>
    </sheetView>
  </sheetViews>
  <sheetFormatPr defaultColWidth="9" defaultRowHeight="13.5" x14ac:dyDescent="0.15"/>
  <cols>
    <col min="2" max="2" width="13.75" customWidth="1"/>
    <col min="3" max="7" width="9" customWidth="1"/>
    <col min="8" max="8" width="13.875" customWidth="1"/>
    <col min="9" max="9" width="24.625" customWidth="1"/>
    <col min="10" max="10" width="9" customWidth="1"/>
    <col min="11" max="11" width="9.75" customWidth="1"/>
    <col min="12" max="12" width="11.625" customWidth="1"/>
    <col min="13" max="13" width="21" customWidth="1"/>
    <col min="14" max="14" width="17.625" customWidth="1"/>
    <col min="15" max="15" width="9" customWidth="1"/>
    <col min="16" max="17" width="9.875" customWidth="1"/>
    <col min="18" max="18" width="7.75" customWidth="1"/>
    <col min="19" max="19" width="17.25" customWidth="1"/>
    <col min="20" max="20" width="9" customWidth="1"/>
    <col min="21" max="21" width="10.625" customWidth="1"/>
    <col min="22" max="22" width="37.75" customWidth="1"/>
    <col min="23" max="23" width="17.375" customWidth="1"/>
    <col min="24" max="24" width="19.5" customWidth="1"/>
    <col min="26" max="26" width="18.625" customWidth="1"/>
  </cols>
  <sheetData>
    <row r="1" spans="1:27" s="1" customFormat="1" ht="27" x14ac:dyDescent="0.15">
      <c r="A1" s="361" t="s">
        <v>0</v>
      </c>
      <c r="B1" s="361" t="s">
        <v>1</v>
      </c>
      <c r="C1" s="361" t="s">
        <v>3</v>
      </c>
      <c r="D1" s="361" t="s">
        <v>3367</v>
      </c>
      <c r="E1" s="361" t="s">
        <v>7</v>
      </c>
      <c r="F1" s="361" t="s">
        <v>9</v>
      </c>
      <c r="G1" s="361" t="s">
        <v>10</v>
      </c>
      <c r="H1" s="361" t="s">
        <v>3584</v>
      </c>
      <c r="I1" s="361" t="s">
        <v>3369</v>
      </c>
      <c r="J1" s="361" t="s">
        <v>16</v>
      </c>
      <c r="K1" s="364" t="s">
        <v>17</v>
      </c>
      <c r="L1" s="361" t="s">
        <v>18</v>
      </c>
      <c r="M1" s="361" t="s">
        <v>19</v>
      </c>
      <c r="N1" s="361" t="s">
        <v>20</v>
      </c>
      <c r="O1" s="361" t="s">
        <v>3371</v>
      </c>
      <c r="P1" s="157" t="s">
        <v>3372</v>
      </c>
      <c r="Q1" s="157" t="s">
        <v>22</v>
      </c>
      <c r="R1" s="157" t="s">
        <v>3374</v>
      </c>
      <c r="S1" s="361" t="s">
        <v>3585</v>
      </c>
      <c r="T1" s="361" t="s">
        <v>3375</v>
      </c>
      <c r="U1" s="361" t="s">
        <v>23</v>
      </c>
      <c r="V1" s="361" t="s">
        <v>24</v>
      </c>
      <c r="W1" s="361" t="s">
        <v>3376</v>
      </c>
      <c r="X1" s="361" t="s">
        <v>26</v>
      </c>
      <c r="Y1" s="361" t="s">
        <v>27</v>
      </c>
      <c r="Z1" s="201" t="s">
        <v>28</v>
      </c>
      <c r="AA1" s="197" t="s">
        <v>29</v>
      </c>
    </row>
    <row r="2" spans="1:27" s="5" customFormat="1" x14ac:dyDescent="0.15">
      <c r="A2" s="193">
        <v>902001</v>
      </c>
      <c r="B2" s="193" t="s">
        <v>3586</v>
      </c>
      <c r="C2" s="193" t="s">
        <v>3587</v>
      </c>
      <c r="D2" s="193">
        <v>1005</v>
      </c>
      <c r="E2" s="193">
        <v>2</v>
      </c>
      <c r="F2" s="193">
        <v>1</v>
      </c>
      <c r="G2" s="193">
        <v>30</v>
      </c>
      <c r="H2" s="193">
        <v>10</v>
      </c>
      <c r="I2" s="193" t="s">
        <v>3588</v>
      </c>
      <c r="J2" s="193">
        <v>999</v>
      </c>
      <c r="K2" s="193" t="b">
        <v>1</v>
      </c>
      <c r="L2" s="193">
        <v>5</v>
      </c>
      <c r="M2" s="194">
        <v>75</v>
      </c>
      <c r="N2" s="194">
        <v>100</v>
      </c>
      <c r="O2" s="157" t="s">
        <v>3383</v>
      </c>
      <c r="P2" s="157">
        <v>2</v>
      </c>
      <c r="Q2" s="157">
        <v>1</v>
      </c>
      <c r="R2" s="157">
        <v>30</v>
      </c>
      <c r="S2" s="193">
        <v>0</v>
      </c>
      <c r="T2" s="193">
        <v>0</v>
      </c>
      <c r="U2" s="193" t="s">
        <v>3589</v>
      </c>
      <c r="V2" s="193" t="s">
        <v>3590</v>
      </c>
      <c r="W2" s="193" t="s">
        <v>3591</v>
      </c>
      <c r="X2" s="366" t="s">
        <v>3592</v>
      </c>
      <c r="Y2" s="193" t="s">
        <v>3593</v>
      </c>
      <c r="Z2" s="201">
        <v>1</v>
      </c>
      <c r="AA2" s="197">
        <v>1</v>
      </c>
    </row>
    <row r="3" spans="1:27" s="5" customFormat="1" x14ac:dyDescent="0.15">
      <c r="A3" s="193">
        <v>902002</v>
      </c>
      <c r="B3" s="157" t="s">
        <v>3594</v>
      </c>
      <c r="C3" s="193" t="s">
        <v>3587</v>
      </c>
      <c r="D3" s="193">
        <v>1002</v>
      </c>
      <c r="E3" s="193">
        <v>2</v>
      </c>
      <c r="F3" s="193">
        <v>1</v>
      </c>
      <c r="G3" s="193">
        <v>30</v>
      </c>
      <c r="H3" s="193">
        <v>10</v>
      </c>
      <c r="I3" s="193" t="s">
        <v>3588</v>
      </c>
      <c r="J3" s="193">
        <v>999</v>
      </c>
      <c r="K3" s="193" t="b">
        <v>1</v>
      </c>
      <c r="L3" s="193">
        <v>5</v>
      </c>
      <c r="M3" s="194">
        <v>75</v>
      </c>
      <c r="N3" s="194">
        <v>100</v>
      </c>
      <c r="O3" s="193" t="s">
        <v>3383</v>
      </c>
      <c r="P3" s="157">
        <v>2</v>
      </c>
      <c r="Q3" s="157">
        <v>1</v>
      </c>
      <c r="R3" s="157">
        <v>30</v>
      </c>
      <c r="S3" s="193">
        <v>0</v>
      </c>
      <c r="T3" s="193">
        <v>0</v>
      </c>
      <c r="U3" s="193" t="s">
        <v>3589</v>
      </c>
      <c r="V3" s="157" t="s">
        <v>3595</v>
      </c>
      <c r="W3" s="157" t="s">
        <v>3596</v>
      </c>
      <c r="X3" s="366" t="s">
        <v>3597</v>
      </c>
      <c r="Y3" s="193" t="s">
        <v>3593</v>
      </c>
      <c r="Z3" s="201">
        <v>1</v>
      </c>
      <c r="AA3" s="197">
        <v>1</v>
      </c>
    </row>
    <row r="4" spans="1:27" s="5" customFormat="1" x14ac:dyDescent="0.15">
      <c r="A4" s="193">
        <v>902003</v>
      </c>
      <c r="B4" s="193" t="s">
        <v>3598</v>
      </c>
      <c r="C4" s="193" t="s">
        <v>3587</v>
      </c>
      <c r="D4" s="193">
        <v>1003</v>
      </c>
      <c r="E4" s="193">
        <v>2</v>
      </c>
      <c r="F4" s="193">
        <v>1</v>
      </c>
      <c r="G4" s="193">
        <v>30</v>
      </c>
      <c r="H4" s="193">
        <v>10</v>
      </c>
      <c r="I4" s="193" t="s">
        <v>3588</v>
      </c>
      <c r="J4" s="193">
        <v>999</v>
      </c>
      <c r="K4" s="193" t="b">
        <v>1</v>
      </c>
      <c r="L4" s="193">
        <v>5</v>
      </c>
      <c r="M4" s="194">
        <v>75</v>
      </c>
      <c r="N4" s="194">
        <v>100</v>
      </c>
      <c r="O4" s="157" t="s">
        <v>3383</v>
      </c>
      <c r="P4" s="157">
        <v>2</v>
      </c>
      <c r="Q4" s="157">
        <v>1</v>
      </c>
      <c r="R4" s="157">
        <v>30</v>
      </c>
      <c r="S4" s="193">
        <v>0</v>
      </c>
      <c r="T4" s="193">
        <v>0</v>
      </c>
      <c r="U4" s="193" t="s">
        <v>3589</v>
      </c>
      <c r="V4" s="193" t="s">
        <v>3599</v>
      </c>
      <c r="W4" s="193" t="s">
        <v>3600</v>
      </c>
      <c r="X4" s="366" t="s">
        <v>3601</v>
      </c>
      <c r="Y4" s="193" t="s">
        <v>3593</v>
      </c>
      <c r="Z4" s="201">
        <v>1</v>
      </c>
      <c r="AA4" s="197">
        <v>1</v>
      </c>
    </row>
    <row r="5" spans="1:27" s="5" customFormat="1" x14ac:dyDescent="0.15">
      <c r="A5" s="193">
        <v>902004</v>
      </c>
      <c r="B5" s="362" t="s">
        <v>3602</v>
      </c>
      <c r="C5" s="193" t="s">
        <v>3587</v>
      </c>
      <c r="D5" s="193">
        <v>1007</v>
      </c>
      <c r="E5" s="193">
        <v>2</v>
      </c>
      <c r="F5" s="193">
        <v>1</v>
      </c>
      <c r="G5" s="193">
        <v>1</v>
      </c>
      <c r="H5" s="193">
        <v>20</v>
      </c>
      <c r="I5" s="193" t="s">
        <v>3603</v>
      </c>
      <c r="J5" s="193">
        <v>999</v>
      </c>
      <c r="K5" s="193" t="b">
        <v>1</v>
      </c>
      <c r="L5" s="193">
        <v>5</v>
      </c>
      <c r="M5" s="194">
        <v>75</v>
      </c>
      <c r="N5" s="194">
        <v>100</v>
      </c>
      <c r="O5" s="193" t="s">
        <v>3383</v>
      </c>
      <c r="P5" s="157">
        <v>2</v>
      </c>
      <c r="Q5" s="157">
        <v>1</v>
      </c>
      <c r="R5" s="157">
        <v>30</v>
      </c>
      <c r="S5" s="193">
        <v>0</v>
      </c>
      <c r="T5" s="193">
        <v>0</v>
      </c>
      <c r="U5" s="193" t="s">
        <v>3589</v>
      </c>
      <c r="V5" s="362" t="s">
        <v>3604</v>
      </c>
      <c r="W5" s="362" t="s">
        <v>3605</v>
      </c>
      <c r="X5" s="366" t="s">
        <v>3606</v>
      </c>
      <c r="Y5" s="193" t="s">
        <v>3593</v>
      </c>
      <c r="Z5" s="201">
        <v>1</v>
      </c>
      <c r="AA5" s="197">
        <v>1</v>
      </c>
    </row>
    <row r="6" spans="1:27" s="5" customFormat="1" x14ac:dyDescent="0.15">
      <c r="A6" s="193">
        <v>902005</v>
      </c>
      <c r="B6" s="193" t="s">
        <v>3607</v>
      </c>
      <c r="C6" s="193" t="s">
        <v>3587</v>
      </c>
      <c r="D6" s="193">
        <v>1006</v>
      </c>
      <c r="E6" s="193">
        <v>2</v>
      </c>
      <c r="F6" s="193">
        <v>1</v>
      </c>
      <c r="G6" s="193">
        <v>1</v>
      </c>
      <c r="H6" s="193">
        <v>20</v>
      </c>
      <c r="I6" s="193" t="s">
        <v>3603</v>
      </c>
      <c r="J6" s="193">
        <v>999</v>
      </c>
      <c r="K6" s="193" t="b">
        <v>1</v>
      </c>
      <c r="L6" s="193">
        <v>5</v>
      </c>
      <c r="M6" s="194">
        <v>75</v>
      </c>
      <c r="N6" s="194">
        <v>100</v>
      </c>
      <c r="O6" s="157" t="s">
        <v>3383</v>
      </c>
      <c r="P6" s="157">
        <v>2</v>
      </c>
      <c r="Q6" s="157">
        <v>1</v>
      </c>
      <c r="R6" s="157">
        <v>30</v>
      </c>
      <c r="S6" s="193">
        <v>0</v>
      </c>
      <c r="T6" s="193">
        <v>0</v>
      </c>
      <c r="U6" s="193" t="s">
        <v>3589</v>
      </c>
      <c r="V6" s="193" t="s">
        <v>3608</v>
      </c>
      <c r="W6" s="193" t="s">
        <v>3609</v>
      </c>
      <c r="X6" s="366" t="s">
        <v>3610</v>
      </c>
      <c r="Y6" s="193" t="s">
        <v>3593</v>
      </c>
      <c r="Z6" s="201">
        <v>1</v>
      </c>
      <c r="AA6" s="197">
        <v>1</v>
      </c>
    </row>
    <row r="7" spans="1:27" s="5" customFormat="1" x14ac:dyDescent="0.15">
      <c r="A7" s="193">
        <v>902006</v>
      </c>
      <c r="B7" s="193" t="s">
        <v>3611</v>
      </c>
      <c r="C7" s="193" t="s">
        <v>3587</v>
      </c>
      <c r="D7" s="193">
        <v>1003</v>
      </c>
      <c r="E7" s="193">
        <v>2</v>
      </c>
      <c r="F7" s="193">
        <v>1</v>
      </c>
      <c r="G7" s="193">
        <v>5</v>
      </c>
      <c r="H7" s="193">
        <v>10</v>
      </c>
      <c r="I7" s="193" t="s">
        <v>3588</v>
      </c>
      <c r="J7" s="193">
        <v>999</v>
      </c>
      <c r="K7" s="193" t="b">
        <v>1</v>
      </c>
      <c r="L7" s="193">
        <v>5</v>
      </c>
      <c r="M7" s="194">
        <v>75</v>
      </c>
      <c r="N7" s="194">
        <v>100</v>
      </c>
      <c r="O7" s="193" t="s">
        <v>3383</v>
      </c>
      <c r="P7" s="157">
        <v>2</v>
      </c>
      <c r="Q7" s="157">
        <v>1</v>
      </c>
      <c r="R7" s="157">
        <v>30</v>
      </c>
      <c r="S7" s="193">
        <v>0</v>
      </c>
      <c r="T7" s="193">
        <v>0</v>
      </c>
      <c r="U7" s="193" t="s">
        <v>3612</v>
      </c>
      <c r="V7" s="193" t="s">
        <v>3613</v>
      </c>
      <c r="W7" s="193" t="s">
        <v>3614</v>
      </c>
      <c r="X7" s="366" t="s">
        <v>3615</v>
      </c>
      <c r="Y7" s="193" t="s">
        <v>3593</v>
      </c>
      <c r="Z7" s="201">
        <v>1</v>
      </c>
      <c r="AA7" s="197">
        <v>1</v>
      </c>
    </row>
    <row r="8" spans="1:27" s="5" customFormat="1" x14ac:dyDescent="0.15">
      <c r="A8" s="193">
        <v>902007</v>
      </c>
      <c r="B8" s="362" t="s">
        <v>3616</v>
      </c>
      <c r="C8" s="193" t="s">
        <v>3587</v>
      </c>
      <c r="D8" s="193">
        <v>1010</v>
      </c>
      <c r="E8" s="193">
        <v>2</v>
      </c>
      <c r="F8" s="193">
        <v>1</v>
      </c>
      <c r="G8" s="193">
        <v>5</v>
      </c>
      <c r="H8" s="193">
        <v>10</v>
      </c>
      <c r="I8" s="193" t="s">
        <v>3617</v>
      </c>
      <c r="J8" s="193">
        <v>999</v>
      </c>
      <c r="K8" s="193" t="b">
        <v>1</v>
      </c>
      <c r="L8" s="193">
        <v>5</v>
      </c>
      <c r="M8" s="194">
        <v>75</v>
      </c>
      <c r="N8" s="194">
        <v>100</v>
      </c>
      <c r="O8" s="157" t="s">
        <v>3383</v>
      </c>
      <c r="P8" s="157">
        <v>2</v>
      </c>
      <c r="Q8" s="157">
        <v>1</v>
      </c>
      <c r="R8" s="157">
        <v>30</v>
      </c>
      <c r="S8" s="193">
        <v>0</v>
      </c>
      <c r="T8" s="193">
        <v>0</v>
      </c>
      <c r="U8" s="193" t="s">
        <v>3612</v>
      </c>
      <c r="V8" s="362" t="s">
        <v>3618</v>
      </c>
      <c r="W8" s="362" t="s">
        <v>3619</v>
      </c>
      <c r="X8" s="366" t="s">
        <v>3620</v>
      </c>
      <c r="Y8" s="193" t="s">
        <v>3593</v>
      </c>
      <c r="Z8" s="201">
        <v>1</v>
      </c>
      <c r="AA8" s="197">
        <v>1</v>
      </c>
    </row>
    <row r="9" spans="1:27" x14ac:dyDescent="0.15">
      <c r="A9" s="193">
        <v>902008</v>
      </c>
      <c r="B9" s="369" t="s">
        <v>3621</v>
      </c>
      <c r="C9" s="362" t="s">
        <v>3587</v>
      </c>
      <c r="D9" s="362"/>
      <c r="E9" s="193">
        <v>2</v>
      </c>
      <c r="F9" s="193">
        <v>1</v>
      </c>
      <c r="G9" s="193">
        <v>5</v>
      </c>
      <c r="H9" s="193">
        <v>20</v>
      </c>
      <c r="I9" s="193" t="s">
        <v>3622</v>
      </c>
      <c r="J9" s="193">
        <v>999</v>
      </c>
      <c r="K9" s="193" t="b">
        <v>1</v>
      </c>
      <c r="L9" s="204">
        <v>7</v>
      </c>
      <c r="M9" s="194">
        <v>105</v>
      </c>
      <c r="N9" s="194">
        <v>140</v>
      </c>
      <c r="O9" s="193" t="s">
        <v>3383</v>
      </c>
      <c r="P9" s="193">
        <v>2</v>
      </c>
      <c r="Q9" s="193">
        <v>1</v>
      </c>
      <c r="R9" s="193">
        <v>30</v>
      </c>
      <c r="S9" s="193">
        <v>0</v>
      </c>
      <c r="T9" s="193">
        <v>0</v>
      </c>
      <c r="U9" s="193" t="s">
        <v>3612</v>
      </c>
      <c r="V9" s="216" t="s">
        <v>3623</v>
      </c>
      <c r="W9" s="369" t="s">
        <v>3621</v>
      </c>
      <c r="X9" s="366" t="s">
        <v>3620</v>
      </c>
      <c r="Y9" s="144" t="s">
        <v>3593</v>
      </c>
      <c r="Z9" s="201">
        <v>1</v>
      </c>
      <c r="AA9" s="197">
        <v>1</v>
      </c>
    </row>
    <row r="10" spans="1:27" x14ac:dyDescent="0.15">
      <c r="A10" s="193">
        <v>902009</v>
      </c>
      <c r="B10" s="369" t="s">
        <v>3624</v>
      </c>
      <c r="C10" s="362" t="s">
        <v>3587</v>
      </c>
      <c r="D10" s="362"/>
      <c r="E10" s="193">
        <v>2</v>
      </c>
      <c r="F10" s="193">
        <v>1</v>
      </c>
      <c r="G10" s="193">
        <v>1</v>
      </c>
      <c r="H10" s="193">
        <v>10</v>
      </c>
      <c r="I10" s="362" t="s">
        <v>3603</v>
      </c>
      <c r="J10" s="193">
        <v>999</v>
      </c>
      <c r="K10" s="193" t="b">
        <v>1</v>
      </c>
      <c r="L10" s="204">
        <v>5</v>
      </c>
      <c r="M10" s="194">
        <v>75</v>
      </c>
      <c r="N10" s="194">
        <v>100</v>
      </c>
      <c r="O10" s="193" t="s">
        <v>3383</v>
      </c>
      <c r="P10" s="193">
        <v>2</v>
      </c>
      <c r="Q10" s="193">
        <v>1</v>
      </c>
      <c r="R10" s="193">
        <v>30</v>
      </c>
      <c r="S10" s="193">
        <v>0</v>
      </c>
      <c r="T10" s="193">
        <v>0</v>
      </c>
      <c r="U10" s="193" t="s">
        <v>3589</v>
      </c>
      <c r="V10" s="216" t="s">
        <v>3625</v>
      </c>
      <c r="W10" s="369" t="s">
        <v>3624</v>
      </c>
      <c r="X10" s="366" t="s">
        <v>3592</v>
      </c>
      <c r="Y10" s="144" t="s">
        <v>3593</v>
      </c>
      <c r="Z10" s="201">
        <v>1</v>
      </c>
      <c r="AA10" s="197">
        <v>1</v>
      </c>
    </row>
    <row r="11" spans="1:27" x14ac:dyDescent="0.15">
      <c r="A11" s="193">
        <v>902010</v>
      </c>
      <c r="B11" s="369" t="s">
        <v>3626</v>
      </c>
      <c r="C11" s="362" t="s">
        <v>3587</v>
      </c>
      <c r="D11" s="362"/>
      <c r="E11" s="193">
        <v>2</v>
      </c>
      <c r="F11" s="193">
        <v>1</v>
      </c>
      <c r="G11" s="193">
        <v>1</v>
      </c>
      <c r="H11" s="193">
        <v>10</v>
      </c>
      <c r="I11" s="362" t="s">
        <v>3603</v>
      </c>
      <c r="J11" s="193">
        <v>999</v>
      </c>
      <c r="K11" s="193" t="b">
        <v>1</v>
      </c>
      <c r="L11" s="204">
        <v>5</v>
      </c>
      <c r="M11" s="194">
        <v>75</v>
      </c>
      <c r="N11" s="194">
        <v>100</v>
      </c>
      <c r="O11" s="193" t="s">
        <v>3383</v>
      </c>
      <c r="P11" s="193">
        <v>2</v>
      </c>
      <c r="Q11" s="193">
        <v>1</v>
      </c>
      <c r="R11" s="193">
        <v>30</v>
      </c>
      <c r="S11" s="193">
        <v>0</v>
      </c>
      <c r="T11" s="193">
        <v>0</v>
      </c>
      <c r="U11" s="193" t="s">
        <v>3589</v>
      </c>
      <c r="V11" s="217" t="s">
        <v>3627</v>
      </c>
      <c r="W11" s="369" t="s">
        <v>3626</v>
      </c>
      <c r="X11" s="366" t="s">
        <v>3628</v>
      </c>
      <c r="Y11" s="144" t="s">
        <v>3593</v>
      </c>
      <c r="Z11" s="201">
        <v>1</v>
      </c>
      <c r="AA11" s="197">
        <v>1</v>
      </c>
    </row>
    <row r="12" spans="1:27" x14ac:dyDescent="0.15">
      <c r="A12" s="193">
        <v>902011</v>
      </c>
      <c r="B12" s="362" t="s">
        <v>3629</v>
      </c>
      <c r="C12" s="193" t="s">
        <v>3587</v>
      </c>
      <c r="D12" s="193"/>
      <c r="E12" s="193">
        <v>2</v>
      </c>
      <c r="F12" s="193">
        <v>1</v>
      </c>
      <c r="G12" s="193">
        <v>1</v>
      </c>
      <c r="H12" s="193">
        <v>40</v>
      </c>
      <c r="I12" s="193" t="s">
        <v>3630</v>
      </c>
      <c r="J12" s="193">
        <v>999</v>
      </c>
      <c r="K12" s="193" t="b">
        <v>1</v>
      </c>
      <c r="L12" s="204">
        <v>7</v>
      </c>
      <c r="M12" s="194">
        <v>105</v>
      </c>
      <c r="N12" s="194">
        <v>140</v>
      </c>
      <c r="O12" s="157" t="s">
        <v>3383</v>
      </c>
      <c r="P12" s="365">
        <v>2</v>
      </c>
      <c r="Q12" s="365">
        <v>1</v>
      </c>
      <c r="R12" s="193">
        <v>30</v>
      </c>
      <c r="S12" s="193">
        <v>0</v>
      </c>
      <c r="T12" s="193">
        <v>0</v>
      </c>
      <c r="U12" s="193" t="s">
        <v>3589</v>
      </c>
      <c r="V12" s="193" t="s">
        <v>3631</v>
      </c>
      <c r="W12" s="193" t="s">
        <v>3629</v>
      </c>
      <c r="X12" s="366" t="s">
        <v>3628</v>
      </c>
      <c r="Y12" s="144" t="s">
        <v>3593</v>
      </c>
      <c r="Z12" s="201">
        <v>1</v>
      </c>
      <c r="AA12" s="197">
        <v>1</v>
      </c>
    </row>
    <row r="13" spans="1:27" x14ac:dyDescent="0.15">
      <c r="A13" s="193">
        <v>902012</v>
      </c>
      <c r="B13" s="157" t="s">
        <v>3632</v>
      </c>
      <c r="C13" s="157" t="s">
        <v>3587</v>
      </c>
      <c r="D13" s="157"/>
      <c r="E13" s="193">
        <v>2</v>
      </c>
      <c r="F13" s="193">
        <v>1</v>
      </c>
      <c r="G13" s="157">
        <v>1</v>
      </c>
      <c r="H13" s="157">
        <v>10</v>
      </c>
      <c r="I13" s="157" t="s">
        <v>3603</v>
      </c>
      <c r="J13" s="193">
        <v>999</v>
      </c>
      <c r="K13" s="157" t="b">
        <v>1</v>
      </c>
      <c r="L13" s="204">
        <v>5</v>
      </c>
      <c r="M13" s="194">
        <v>75</v>
      </c>
      <c r="N13" s="194">
        <v>100</v>
      </c>
      <c r="O13" s="157" t="s">
        <v>3383</v>
      </c>
      <c r="P13" s="157">
        <v>2</v>
      </c>
      <c r="Q13" s="157">
        <v>1</v>
      </c>
      <c r="R13" s="157">
        <v>30</v>
      </c>
      <c r="S13" s="157">
        <v>0</v>
      </c>
      <c r="T13" s="157">
        <v>0</v>
      </c>
      <c r="U13" s="362" t="s">
        <v>3589</v>
      </c>
      <c r="V13" s="157" t="s">
        <v>3633</v>
      </c>
      <c r="W13" s="157" t="s">
        <v>3632</v>
      </c>
      <c r="X13" s="366" t="s">
        <v>3634</v>
      </c>
      <c r="Y13" s="144" t="s">
        <v>3593</v>
      </c>
      <c r="Z13" s="201">
        <v>1</v>
      </c>
      <c r="AA13" s="197">
        <v>1</v>
      </c>
    </row>
    <row r="14" spans="1:27" x14ac:dyDescent="0.15">
      <c r="A14" s="363">
        <v>902013</v>
      </c>
      <c r="B14" s="363" t="s">
        <v>3635</v>
      </c>
      <c r="C14" s="363" t="s">
        <v>3587</v>
      </c>
      <c r="D14" s="363"/>
      <c r="E14" s="193">
        <v>2</v>
      </c>
      <c r="F14" s="363">
        <v>1</v>
      </c>
      <c r="G14" s="363">
        <v>1</v>
      </c>
      <c r="H14" s="363">
        <v>50</v>
      </c>
      <c r="I14" s="363" t="s">
        <v>3636</v>
      </c>
      <c r="J14" s="193">
        <v>999</v>
      </c>
      <c r="K14" s="363" t="b">
        <v>1</v>
      </c>
      <c r="L14" s="204">
        <v>7</v>
      </c>
      <c r="M14" s="194">
        <v>105</v>
      </c>
      <c r="N14" s="194">
        <v>140</v>
      </c>
      <c r="O14" s="363" t="s">
        <v>3383</v>
      </c>
      <c r="P14" s="363">
        <v>2</v>
      </c>
      <c r="Q14" s="363">
        <v>1</v>
      </c>
      <c r="R14" s="363">
        <v>30</v>
      </c>
      <c r="S14" s="363">
        <v>0</v>
      </c>
      <c r="T14" s="363">
        <v>0</v>
      </c>
      <c r="U14" s="363" t="s">
        <v>3589</v>
      </c>
      <c r="V14" s="363" t="s">
        <v>3637</v>
      </c>
      <c r="W14" s="363" t="s">
        <v>3635</v>
      </c>
      <c r="X14" s="363" t="s">
        <v>3638</v>
      </c>
      <c r="Y14" s="363" t="s">
        <v>3593</v>
      </c>
      <c r="Z14" s="201">
        <v>1</v>
      </c>
      <c r="AA14" s="197">
        <v>1</v>
      </c>
    </row>
    <row r="15" spans="1:27" x14ac:dyDescent="0.15">
      <c r="A15" s="363">
        <v>902014</v>
      </c>
      <c r="B15" s="363" t="s">
        <v>3639</v>
      </c>
      <c r="C15" s="363" t="s">
        <v>3587</v>
      </c>
      <c r="D15" s="363"/>
      <c r="E15" s="193">
        <v>2</v>
      </c>
      <c r="F15" s="363">
        <v>1</v>
      </c>
      <c r="G15" s="363">
        <v>1</v>
      </c>
      <c r="H15" s="363">
        <v>30</v>
      </c>
      <c r="I15" s="363" t="s">
        <v>3640</v>
      </c>
      <c r="J15" s="193">
        <v>999</v>
      </c>
      <c r="K15" s="363" t="b">
        <v>1</v>
      </c>
      <c r="L15" s="204">
        <v>5</v>
      </c>
      <c r="M15" s="194">
        <v>75</v>
      </c>
      <c r="N15" s="194">
        <v>100</v>
      </c>
      <c r="O15" s="363" t="s">
        <v>3383</v>
      </c>
      <c r="P15" s="363">
        <v>2</v>
      </c>
      <c r="Q15" s="363">
        <v>1</v>
      </c>
      <c r="R15" s="363">
        <v>30</v>
      </c>
      <c r="S15" s="363">
        <v>0</v>
      </c>
      <c r="T15" s="363">
        <v>0</v>
      </c>
      <c r="U15" s="363" t="s">
        <v>3589</v>
      </c>
      <c r="V15" s="363" t="s">
        <v>3641</v>
      </c>
      <c r="W15" s="363" t="s">
        <v>3639</v>
      </c>
      <c r="X15" s="363" t="s">
        <v>3642</v>
      </c>
      <c r="Y15" s="363" t="s">
        <v>3593</v>
      </c>
      <c r="Z15" s="201">
        <v>1</v>
      </c>
      <c r="AA15" s="197">
        <v>1</v>
      </c>
    </row>
    <row r="16" spans="1:27" x14ac:dyDescent="0.15">
      <c r="A16" s="363">
        <v>902015</v>
      </c>
      <c r="B16" s="363" t="s">
        <v>3643</v>
      </c>
      <c r="C16" s="363" t="s">
        <v>3587</v>
      </c>
      <c r="D16" s="363"/>
      <c r="E16" s="193">
        <v>2</v>
      </c>
      <c r="F16" s="363">
        <v>1</v>
      </c>
      <c r="G16" s="363">
        <v>30</v>
      </c>
      <c r="H16" s="363">
        <v>30</v>
      </c>
      <c r="I16" s="363" t="s">
        <v>3640</v>
      </c>
      <c r="J16" s="193">
        <v>999</v>
      </c>
      <c r="K16" s="363" t="b">
        <v>1</v>
      </c>
      <c r="L16" s="204">
        <v>5</v>
      </c>
      <c r="M16" s="194">
        <v>75</v>
      </c>
      <c r="N16" s="194">
        <v>100</v>
      </c>
      <c r="O16" s="363" t="s">
        <v>3383</v>
      </c>
      <c r="P16" s="363">
        <v>2</v>
      </c>
      <c r="Q16" s="363">
        <v>1</v>
      </c>
      <c r="R16" s="363">
        <v>30</v>
      </c>
      <c r="S16" s="363">
        <v>0</v>
      </c>
      <c r="T16" s="363">
        <v>0</v>
      </c>
      <c r="U16" s="363" t="s">
        <v>3589</v>
      </c>
      <c r="V16" s="363" t="s">
        <v>3644</v>
      </c>
      <c r="W16" s="363" t="s">
        <v>3643</v>
      </c>
      <c r="X16" s="363" t="s">
        <v>3645</v>
      </c>
      <c r="Y16" s="363" t="s">
        <v>3593</v>
      </c>
      <c r="Z16" s="201">
        <v>1</v>
      </c>
      <c r="AA16" s="197">
        <v>1</v>
      </c>
    </row>
    <row r="17" spans="1:27" x14ac:dyDescent="0.15">
      <c r="A17" s="363">
        <v>902016</v>
      </c>
      <c r="B17" s="363" t="s">
        <v>3646</v>
      </c>
      <c r="C17" s="363" t="s">
        <v>3587</v>
      </c>
      <c r="D17" s="363"/>
      <c r="E17" s="193">
        <v>2</v>
      </c>
      <c r="F17" s="363">
        <v>1</v>
      </c>
      <c r="G17" s="363">
        <v>1</v>
      </c>
      <c r="H17" s="363">
        <v>30</v>
      </c>
      <c r="I17" s="363" t="s">
        <v>3640</v>
      </c>
      <c r="J17" s="193">
        <v>999</v>
      </c>
      <c r="K17" s="363" t="b">
        <v>1</v>
      </c>
      <c r="L17" s="204">
        <v>5</v>
      </c>
      <c r="M17" s="194">
        <v>75</v>
      </c>
      <c r="N17" s="194">
        <v>100</v>
      </c>
      <c r="O17" s="363" t="s">
        <v>3383</v>
      </c>
      <c r="P17" s="363">
        <v>2</v>
      </c>
      <c r="Q17" s="363">
        <v>1</v>
      </c>
      <c r="R17" s="363">
        <v>30</v>
      </c>
      <c r="S17" s="363">
        <v>0</v>
      </c>
      <c r="T17" s="363">
        <v>0</v>
      </c>
      <c r="U17" s="363" t="s">
        <v>3589</v>
      </c>
      <c r="V17" s="363" t="s">
        <v>3647</v>
      </c>
      <c r="W17" s="363" t="s">
        <v>3646</v>
      </c>
      <c r="X17" s="363" t="s">
        <v>3648</v>
      </c>
      <c r="Y17" s="363" t="s">
        <v>3593</v>
      </c>
      <c r="Z17" s="201">
        <v>1</v>
      </c>
      <c r="AA17" s="197">
        <v>1</v>
      </c>
    </row>
    <row r="18" spans="1:27" x14ac:dyDescent="0.15">
      <c r="A18" s="363">
        <v>902017</v>
      </c>
      <c r="B18" s="363" t="s">
        <v>3649</v>
      </c>
      <c r="C18" s="363" t="s">
        <v>3587</v>
      </c>
      <c r="D18" s="363"/>
      <c r="E18" s="193">
        <v>2</v>
      </c>
      <c r="F18" s="363">
        <v>1</v>
      </c>
      <c r="G18" s="363">
        <v>1</v>
      </c>
      <c r="H18" s="363">
        <v>30</v>
      </c>
      <c r="I18" s="363" t="s">
        <v>3640</v>
      </c>
      <c r="J18" s="193">
        <v>999</v>
      </c>
      <c r="K18" s="363" t="b">
        <v>1</v>
      </c>
      <c r="L18" s="204">
        <v>5</v>
      </c>
      <c r="M18" s="194">
        <v>75</v>
      </c>
      <c r="N18" s="194">
        <v>100</v>
      </c>
      <c r="O18" s="363" t="s">
        <v>3383</v>
      </c>
      <c r="P18" s="363">
        <v>2</v>
      </c>
      <c r="Q18" s="363">
        <v>1</v>
      </c>
      <c r="R18" s="363">
        <v>30</v>
      </c>
      <c r="S18" s="363">
        <v>0</v>
      </c>
      <c r="T18" s="363">
        <v>0</v>
      </c>
      <c r="U18" s="363" t="s">
        <v>3589</v>
      </c>
      <c r="V18" s="363" t="s">
        <v>3650</v>
      </c>
      <c r="W18" s="363" t="s">
        <v>3649</v>
      </c>
      <c r="X18" s="363" t="s">
        <v>3628</v>
      </c>
      <c r="Y18" s="363" t="s">
        <v>3593</v>
      </c>
      <c r="Z18" s="201">
        <v>1</v>
      </c>
      <c r="AA18" s="197">
        <v>1</v>
      </c>
    </row>
    <row r="19" spans="1:27" x14ac:dyDescent="0.15">
      <c r="A19" s="363">
        <v>902018</v>
      </c>
      <c r="B19" s="363" t="s">
        <v>3651</v>
      </c>
      <c r="C19" s="363" t="s">
        <v>3587</v>
      </c>
      <c r="D19" s="363"/>
      <c r="E19" s="193">
        <v>2</v>
      </c>
      <c r="F19" s="363">
        <v>1</v>
      </c>
      <c r="G19" s="363">
        <v>1</v>
      </c>
      <c r="H19" s="363">
        <v>30</v>
      </c>
      <c r="I19" s="363" t="s">
        <v>3640</v>
      </c>
      <c r="J19" s="193">
        <v>999</v>
      </c>
      <c r="K19" s="363" t="b">
        <v>1</v>
      </c>
      <c r="L19" s="204">
        <v>5</v>
      </c>
      <c r="M19" s="194">
        <v>75</v>
      </c>
      <c r="N19" s="194">
        <v>100</v>
      </c>
      <c r="O19" s="363" t="s">
        <v>3383</v>
      </c>
      <c r="P19" s="363">
        <v>2</v>
      </c>
      <c r="Q19" s="363">
        <v>1</v>
      </c>
      <c r="R19" s="363">
        <v>30</v>
      </c>
      <c r="S19" s="363">
        <v>0</v>
      </c>
      <c r="T19" s="363">
        <v>0</v>
      </c>
      <c r="U19" s="363" t="s">
        <v>3589</v>
      </c>
      <c r="V19" s="363" t="s">
        <v>3652</v>
      </c>
      <c r="W19" s="363" t="s">
        <v>3651</v>
      </c>
      <c r="X19" s="363" t="s">
        <v>3653</v>
      </c>
      <c r="Y19" s="363" t="s">
        <v>3593</v>
      </c>
      <c r="Z19" s="201">
        <v>1</v>
      </c>
      <c r="AA19" s="197">
        <v>1</v>
      </c>
    </row>
    <row r="20" spans="1:27" x14ac:dyDescent="0.15">
      <c r="A20" s="363">
        <v>902019</v>
      </c>
      <c r="B20" s="363" t="s">
        <v>3654</v>
      </c>
      <c r="C20" s="363" t="s">
        <v>3587</v>
      </c>
      <c r="D20" s="363"/>
      <c r="E20" s="193">
        <v>2</v>
      </c>
      <c r="F20" s="363">
        <v>1</v>
      </c>
      <c r="G20" s="363">
        <v>1</v>
      </c>
      <c r="H20" s="363">
        <v>30</v>
      </c>
      <c r="I20" s="363" t="s">
        <v>3640</v>
      </c>
      <c r="J20" s="193">
        <v>999</v>
      </c>
      <c r="K20" s="363" t="b">
        <v>1</v>
      </c>
      <c r="L20" s="204">
        <v>5</v>
      </c>
      <c r="M20" s="194">
        <v>75</v>
      </c>
      <c r="N20" s="194">
        <v>100</v>
      </c>
      <c r="O20" s="363" t="s">
        <v>3383</v>
      </c>
      <c r="P20" s="363">
        <v>2</v>
      </c>
      <c r="Q20" s="363">
        <v>1</v>
      </c>
      <c r="R20" s="363">
        <v>30</v>
      </c>
      <c r="S20" s="363">
        <v>0</v>
      </c>
      <c r="T20" s="363">
        <v>0</v>
      </c>
      <c r="U20" s="363" t="s">
        <v>3589</v>
      </c>
      <c r="V20" s="363" t="s">
        <v>3655</v>
      </c>
      <c r="W20" s="363" t="s">
        <v>3654</v>
      </c>
      <c r="X20" s="363" t="s">
        <v>3645</v>
      </c>
      <c r="Y20" s="363" t="s">
        <v>3593</v>
      </c>
      <c r="Z20" s="201">
        <v>1</v>
      </c>
      <c r="AA20" s="197">
        <v>1</v>
      </c>
    </row>
    <row r="21" spans="1:27" x14ac:dyDescent="0.15">
      <c r="A21" s="363">
        <v>902020</v>
      </c>
      <c r="B21" s="363" t="s">
        <v>3656</v>
      </c>
      <c r="C21" s="363" t="s">
        <v>3587</v>
      </c>
      <c r="D21" s="363"/>
      <c r="E21" s="193">
        <v>2</v>
      </c>
      <c r="F21" s="363">
        <v>1</v>
      </c>
      <c r="G21" s="363">
        <v>1</v>
      </c>
      <c r="H21" s="363">
        <v>40</v>
      </c>
      <c r="I21" s="363" t="s">
        <v>3630</v>
      </c>
      <c r="J21" s="193">
        <v>999</v>
      </c>
      <c r="K21" s="363" t="b">
        <v>1</v>
      </c>
      <c r="L21" s="204">
        <v>7</v>
      </c>
      <c r="M21" s="194">
        <v>105</v>
      </c>
      <c r="N21" s="194">
        <v>140</v>
      </c>
      <c r="O21" s="363" t="s">
        <v>3383</v>
      </c>
      <c r="P21" s="363">
        <v>2</v>
      </c>
      <c r="Q21" s="363">
        <v>1</v>
      </c>
      <c r="R21" s="363">
        <v>30</v>
      </c>
      <c r="S21" s="363">
        <v>0</v>
      </c>
      <c r="T21" s="363">
        <v>0</v>
      </c>
      <c r="U21" s="363" t="s">
        <v>3589</v>
      </c>
      <c r="V21" s="363" t="s">
        <v>3657</v>
      </c>
      <c r="W21" s="363" t="s">
        <v>3656</v>
      </c>
      <c r="X21" s="363" t="s">
        <v>3658</v>
      </c>
      <c r="Y21" s="363" t="s">
        <v>3593</v>
      </c>
      <c r="Z21" s="201">
        <v>1</v>
      </c>
      <c r="AA21" s="197">
        <v>1</v>
      </c>
    </row>
    <row r="22" spans="1:27" x14ac:dyDescent="0.15">
      <c r="A22" s="363">
        <v>902021</v>
      </c>
      <c r="B22" s="363" t="s">
        <v>3659</v>
      </c>
      <c r="C22" s="363" t="s">
        <v>3587</v>
      </c>
      <c r="D22" s="363"/>
      <c r="E22" s="193">
        <v>2</v>
      </c>
      <c r="F22" s="363">
        <v>1</v>
      </c>
      <c r="G22" s="363">
        <v>1</v>
      </c>
      <c r="H22" s="363">
        <v>50</v>
      </c>
      <c r="I22" s="363" t="s">
        <v>3636</v>
      </c>
      <c r="J22" s="193">
        <v>999</v>
      </c>
      <c r="K22" s="363" t="b">
        <v>1</v>
      </c>
      <c r="L22" s="204">
        <v>10</v>
      </c>
      <c r="M22" s="194">
        <v>150</v>
      </c>
      <c r="N22" s="194">
        <v>200</v>
      </c>
      <c r="O22" s="363" t="s">
        <v>3383</v>
      </c>
      <c r="P22" s="363">
        <v>2</v>
      </c>
      <c r="Q22" s="363">
        <v>1</v>
      </c>
      <c r="R22" s="363">
        <v>30</v>
      </c>
      <c r="S22" s="363">
        <v>0</v>
      </c>
      <c r="T22" s="363">
        <v>0</v>
      </c>
      <c r="U22" s="363" t="s">
        <v>3589</v>
      </c>
      <c r="V22" s="363" t="s">
        <v>3660</v>
      </c>
      <c r="W22" s="363" t="s">
        <v>3659</v>
      </c>
      <c r="X22" s="363" t="s">
        <v>3661</v>
      </c>
      <c r="Y22" s="363" t="s">
        <v>3593</v>
      </c>
      <c r="Z22" s="201">
        <v>1</v>
      </c>
      <c r="AA22" s="197">
        <v>1</v>
      </c>
    </row>
    <row r="23" spans="1:27" x14ac:dyDescent="0.15">
      <c r="A23" s="363">
        <v>902022</v>
      </c>
      <c r="B23" s="363" t="s">
        <v>3662</v>
      </c>
      <c r="C23" s="363" t="s">
        <v>3587</v>
      </c>
      <c r="D23" s="363"/>
      <c r="E23" s="193">
        <v>2</v>
      </c>
      <c r="F23" s="363">
        <v>1</v>
      </c>
      <c r="G23" s="363">
        <v>30</v>
      </c>
      <c r="H23" s="363">
        <v>40</v>
      </c>
      <c r="I23" s="363" t="s">
        <v>3630</v>
      </c>
      <c r="J23" s="193">
        <v>999</v>
      </c>
      <c r="K23" s="363" t="b">
        <v>1</v>
      </c>
      <c r="L23" s="204">
        <v>10</v>
      </c>
      <c r="M23" s="194">
        <v>150</v>
      </c>
      <c r="N23" s="194">
        <v>200</v>
      </c>
      <c r="O23" s="363" t="s">
        <v>3383</v>
      </c>
      <c r="P23" s="363">
        <v>2</v>
      </c>
      <c r="Q23" s="363">
        <v>1</v>
      </c>
      <c r="R23" s="363">
        <v>30</v>
      </c>
      <c r="S23" s="363">
        <v>0</v>
      </c>
      <c r="T23" s="363">
        <v>0</v>
      </c>
      <c r="U23" s="363" t="s">
        <v>3589</v>
      </c>
      <c r="V23" s="363" t="s">
        <v>3663</v>
      </c>
      <c r="W23" s="363" t="s">
        <v>3662</v>
      </c>
      <c r="X23" s="363" t="s">
        <v>3664</v>
      </c>
      <c r="Y23" s="363" t="s">
        <v>3593</v>
      </c>
      <c r="Z23" s="201">
        <v>1</v>
      </c>
      <c r="AA23" s="197">
        <v>1</v>
      </c>
    </row>
    <row r="24" spans="1:27" x14ac:dyDescent="0.15">
      <c r="A24" s="363">
        <v>902023</v>
      </c>
      <c r="B24" s="363" t="s">
        <v>3665</v>
      </c>
      <c r="C24" s="363" t="s">
        <v>3587</v>
      </c>
      <c r="D24" s="363"/>
      <c r="E24" s="193">
        <v>2</v>
      </c>
      <c r="F24" s="363">
        <v>1</v>
      </c>
      <c r="G24" s="363">
        <v>1</v>
      </c>
      <c r="H24" s="363">
        <v>50</v>
      </c>
      <c r="I24" s="363" t="s">
        <v>3636</v>
      </c>
      <c r="J24" s="193">
        <v>999</v>
      </c>
      <c r="K24" s="363" t="b">
        <v>1</v>
      </c>
      <c r="L24" s="204">
        <v>10</v>
      </c>
      <c r="M24" s="194">
        <v>150</v>
      </c>
      <c r="N24" s="194">
        <v>200</v>
      </c>
      <c r="O24" s="363" t="s">
        <v>3383</v>
      </c>
      <c r="P24" s="363">
        <v>2</v>
      </c>
      <c r="Q24" s="363">
        <v>1</v>
      </c>
      <c r="R24" s="363">
        <v>30</v>
      </c>
      <c r="S24" s="363">
        <v>0</v>
      </c>
      <c r="T24" s="363">
        <v>0</v>
      </c>
      <c r="U24" s="363" t="s">
        <v>3589</v>
      </c>
      <c r="V24" s="363" t="s">
        <v>3666</v>
      </c>
      <c r="W24" s="363" t="s">
        <v>3665</v>
      </c>
      <c r="X24" s="363" t="s">
        <v>3667</v>
      </c>
      <c r="Y24" s="363" t="s">
        <v>3593</v>
      </c>
      <c r="Z24" s="201">
        <v>1</v>
      </c>
      <c r="AA24" s="197">
        <v>1</v>
      </c>
    </row>
    <row r="25" spans="1:27" x14ac:dyDescent="0.15">
      <c r="A25" s="363">
        <v>902024</v>
      </c>
      <c r="B25" s="363" t="s">
        <v>3668</v>
      </c>
      <c r="C25" s="363" t="s">
        <v>3587</v>
      </c>
      <c r="D25" s="363"/>
      <c r="E25" s="193">
        <v>2</v>
      </c>
      <c r="F25" s="363">
        <v>1</v>
      </c>
      <c r="G25" s="363">
        <v>30</v>
      </c>
      <c r="H25" s="363">
        <v>40</v>
      </c>
      <c r="I25" s="363" t="s">
        <v>3630</v>
      </c>
      <c r="J25" s="193">
        <v>999</v>
      </c>
      <c r="K25" s="363" t="b">
        <v>1</v>
      </c>
      <c r="L25" s="204">
        <v>10</v>
      </c>
      <c r="M25" s="194">
        <v>150</v>
      </c>
      <c r="N25" s="194">
        <v>200</v>
      </c>
      <c r="O25" s="363" t="s">
        <v>3383</v>
      </c>
      <c r="P25" s="363">
        <v>2</v>
      </c>
      <c r="Q25" s="363">
        <v>1</v>
      </c>
      <c r="R25" s="363">
        <v>30</v>
      </c>
      <c r="S25" s="363">
        <v>0</v>
      </c>
      <c r="T25" s="363">
        <v>0</v>
      </c>
      <c r="U25" s="363" t="s">
        <v>3589</v>
      </c>
      <c r="V25" s="363" t="s">
        <v>3669</v>
      </c>
      <c r="W25" s="363" t="s">
        <v>3668</v>
      </c>
      <c r="X25" s="363" t="s">
        <v>3670</v>
      </c>
      <c r="Y25" s="363" t="s">
        <v>3593</v>
      </c>
      <c r="Z25" s="201">
        <v>1</v>
      </c>
      <c r="AA25" s="197">
        <v>1</v>
      </c>
    </row>
    <row r="26" spans="1:27" x14ac:dyDescent="0.15">
      <c r="A26" s="363">
        <v>902025</v>
      </c>
      <c r="B26" s="363" t="s">
        <v>3671</v>
      </c>
      <c r="C26" s="363" t="s">
        <v>3587</v>
      </c>
      <c r="D26" s="363"/>
      <c r="E26" s="193">
        <v>2</v>
      </c>
      <c r="F26" s="363">
        <v>1</v>
      </c>
      <c r="G26" s="363">
        <v>5</v>
      </c>
      <c r="H26" s="363">
        <v>50</v>
      </c>
      <c r="I26" s="363" t="s">
        <v>3672</v>
      </c>
      <c r="J26" s="193">
        <v>999</v>
      </c>
      <c r="K26" s="363" t="b">
        <v>1</v>
      </c>
      <c r="L26" s="204">
        <v>12</v>
      </c>
      <c r="M26" s="194">
        <v>180</v>
      </c>
      <c r="N26" s="194">
        <v>240</v>
      </c>
      <c r="O26" s="363" t="s">
        <v>3383</v>
      </c>
      <c r="P26" s="363">
        <v>2</v>
      </c>
      <c r="Q26" s="363">
        <v>1</v>
      </c>
      <c r="R26" s="363">
        <v>30</v>
      </c>
      <c r="S26" s="363">
        <v>0</v>
      </c>
      <c r="T26" s="363">
        <v>0</v>
      </c>
      <c r="U26" s="363" t="s">
        <v>3612</v>
      </c>
      <c r="V26" s="363" t="s">
        <v>3673</v>
      </c>
      <c r="W26" s="363" t="s">
        <v>3671</v>
      </c>
      <c r="X26" s="363" t="s">
        <v>3674</v>
      </c>
      <c r="Y26" s="363" t="s">
        <v>3593</v>
      </c>
      <c r="Z26" s="201">
        <v>1</v>
      </c>
      <c r="AA26" s="197">
        <v>1</v>
      </c>
    </row>
    <row r="27" spans="1:27" x14ac:dyDescent="0.15">
      <c r="A27" s="363">
        <v>902026</v>
      </c>
      <c r="B27" s="363" t="s">
        <v>3675</v>
      </c>
      <c r="C27" s="363" t="s">
        <v>3587</v>
      </c>
      <c r="D27" s="363"/>
      <c r="E27" s="193">
        <v>2</v>
      </c>
      <c r="F27" s="363">
        <v>0</v>
      </c>
      <c r="G27" s="363">
        <v>1</v>
      </c>
      <c r="H27" s="363">
        <v>40</v>
      </c>
      <c r="I27" s="363" t="s">
        <v>3630</v>
      </c>
      <c r="J27" s="193">
        <v>999</v>
      </c>
      <c r="K27" s="363" t="b">
        <v>1</v>
      </c>
      <c r="L27" s="204">
        <v>7</v>
      </c>
      <c r="M27" s="194">
        <v>105</v>
      </c>
      <c r="N27" s="194">
        <v>140</v>
      </c>
      <c r="O27" s="363" t="s">
        <v>3383</v>
      </c>
      <c r="P27" s="363">
        <v>2</v>
      </c>
      <c r="Q27" s="363">
        <v>1</v>
      </c>
      <c r="R27" s="363">
        <v>30</v>
      </c>
      <c r="S27" s="363">
        <v>0</v>
      </c>
      <c r="T27" s="363">
        <v>0</v>
      </c>
      <c r="U27" s="363" t="s">
        <v>3589</v>
      </c>
      <c r="V27" s="363" t="s">
        <v>3676</v>
      </c>
      <c r="W27" s="363" t="s">
        <v>3675</v>
      </c>
      <c r="X27" s="363" t="s">
        <v>3648</v>
      </c>
      <c r="Y27" s="363" t="s">
        <v>3593</v>
      </c>
      <c r="Z27" s="201">
        <v>1</v>
      </c>
      <c r="AA27" s="197">
        <v>1</v>
      </c>
    </row>
    <row r="28" spans="1:27" x14ac:dyDescent="0.15">
      <c r="A28" s="363">
        <v>902027</v>
      </c>
      <c r="B28" s="363" t="s">
        <v>3677</v>
      </c>
      <c r="C28" s="363" t="s">
        <v>3587</v>
      </c>
      <c r="D28" s="363"/>
      <c r="E28" s="193">
        <v>2</v>
      </c>
      <c r="F28" s="363">
        <v>0</v>
      </c>
      <c r="G28" s="363">
        <v>1</v>
      </c>
      <c r="H28" s="363">
        <v>40</v>
      </c>
      <c r="I28" s="363" t="s">
        <v>3630</v>
      </c>
      <c r="J28" s="193">
        <v>999</v>
      </c>
      <c r="K28" s="363" t="b">
        <v>1</v>
      </c>
      <c r="L28" s="204">
        <v>7</v>
      </c>
      <c r="M28" s="194">
        <v>105</v>
      </c>
      <c r="N28" s="194">
        <v>140</v>
      </c>
      <c r="O28" s="363" t="s">
        <v>3383</v>
      </c>
      <c r="P28" s="363">
        <v>2</v>
      </c>
      <c r="Q28" s="363">
        <v>1</v>
      </c>
      <c r="R28" s="363">
        <v>30</v>
      </c>
      <c r="S28" s="363">
        <v>0</v>
      </c>
      <c r="T28" s="363">
        <v>0</v>
      </c>
      <c r="U28" s="363" t="s">
        <v>3589</v>
      </c>
      <c r="V28" s="363" t="s">
        <v>3678</v>
      </c>
      <c r="W28" s="363" t="s">
        <v>3677</v>
      </c>
      <c r="X28" s="363" t="s">
        <v>3634</v>
      </c>
      <c r="Y28" s="363" t="s">
        <v>3593</v>
      </c>
      <c r="Z28" s="201">
        <v>1</v>
      </c>
      <c r="AA28" s="197">
        <v>1</v>
      </c>
    </row>
    <row r="29" spans="1:27" x14ac:dyDescent="0.15">
      <c r="A29" s="363">
        <v>902028</v>
      </c>
      <c r="B29" s="363" t="s">
        <v>3679</v>
      </c>
      <c r="C29" s="363" t="s">
        <v>3587</v>
      </c>
      <c r="D29" s="363"/>
      <c r="E29" s="193">
        <v>2</v>
      </c>
      <c r="F29" s="363">
        <v>0</v>
      </c>
      <c r="G29" s="363">
        <v>1</v>
      </c>
      <c r="H29" s="363">
        <v>40</v>
      </c>
      <c r="I29" s="363" t="s">
        <v>3630</v>
      </c>
      <c r="J29" s="193">
        <v>999</v>
      </c>
      <c r="K29" s="363" t="b">
        <v>1</v>
      </c>
      <c r="L29" s="204">
        <v>7</v>
      </c>
      <c r="M29" s="194">
        <v>105</v>
      </c>
      <c r="N29" s="194">
        <v>140</v>
      </c>
      <c r="O29" s="363" t="s">
        <v>3383</v>
      </c>
      <c r="P29" s="363">
        <v>2</v>
      </c>
      <c r="Q29" s="363">
        <v>1</v>
      </c>
      <c r="R29" s="363">
        <v>30</v>
      </c>
      <c r="S29" s="363">
        <v>0</v>
      </c>
      <c r="T29" s="363">
        <v>0</v>
      </c>
      <c r="U29" s="363" t="s">
        <v>3589</v>
      </c>
      <c r="V29" s="363" t="s">
        <v>3680</v>
      </c>
      <c r="W29" s="363" t="s">
        <v>3679</v>
      </c>
      <c r="X29" s="363" t="s">
        <v>3658</v>
      </c>
      <c r="Y29" s="363" t="s">
        <v>3593</v>
      </c>
      <c r="Z29" s="201">
        <v>1</v>
      </c>
      <c r="AA29" s="197">
        <v>1</v>
      </c>
    </row>
    <row r="30" spans="1:27" x14ac:dyDescent="0.15">
      <c r="A30" s="363">
        <v>902029</v>
      </c>
      <c r="B30" s="363" t="s">
        <v>3681</v>
      </c>
      <c r="C30" s="363" t="s">
        <v>3587</v>
      </c>
      <c r="D30" s="363"/>
      <c r="E30" s="193">
        <v>2</v>
      </c>
      <c r="F30" s="363">
        <v>0</v>
      </c>
      <c r="G30" s="363">
        <v>1</v>
      </c>
      <c r="H30" s="363">
        <v>40</v>
      </c>
      <c r="I30" s="363" t="s">
        <v>3630</v>
      </c>
      <c r="J30" s="193">
        <v>999</v>
      </c>
      <c r="K30" s="363" t="b">
        <v>1</v>
      </c>
      <c r="L30" s="204">
        <v>7</v>
      </c>
      <c r="M30" s="194">
        <v>105</v>
      </c>
      <c r="N30" s="194">
        <v>140</v>
      </c>
      <c r="O30" s="363" t="s">
        <v>3383</v>
      </c>
      <c r="P30" s="363">
        <v>2</v>
      </c>
      <c r="Q30" s="363">
        <v>1</v>
      </c>
      <c r="R30" s="363">
        <v>30</v>
      </c>
      <c r="S30" s="363">
        <v>0</v>
      </c>
      <c r="T30" s="363">
        <v>0</v>
      </c>
      <c r="U30" s="363" t="s">
        <v>3589</v>
      </c>
      <c r="V30" s="363" t="s">
        <v>3682</v>
      </c>
      <c r="W30" s="363" t="s">
        <v>3681</v>
      </c>
      <c r="X30" s="363" t="s">
        <v>3683</v>
      </c>
      <c r="Y30" s="363" t="s">
        <v>3593</v>
      </c>
      <c r="Z30" s="201">
        <v>1</v>
      </c>
      <c r="AA30" s="197">
        <v>1</v>
      </c>
    </row>
    <row r="31" spans="1:27" x14ac:dyDescent="0.15">
      <c r="A31" s="363">
        <v>902036</v>
      </c>
      <c r="B31" s="363" t="s">
        <v>3684</v>
      </c>
      <c r="C31" s="363" t="s">
        <v>3587</v>
      </c>
      <c r="D31" s="363">
        <v>1001</v>
      </c>
      <c r="E31" s="193">
        <v>2</v>
      </c>
      <c r="F31" s="363">
        <v>1</v>
      </c>
      <c r="G31" s="363">
        <v>24</v>
      </c>
      <c r="H31" s="363">
        <v>5</v>
      </c>
      <c r="I31" s="363" t="s">
        <v>3685</v>
      </c>
      <c r="J31" s="193">
        <v>999</v>
      </c>
      <c r="K31" s="363" t="b">
        <v>1</v>
      </c>
      <c r="L31" s="193">
        <v>5</v>
      </c>
      <c r="M31" s="194">
        <v>75</v>
      </c>
      <c r="N31" s="194">
        <v>100</v>
      </c>
      <c r="O31" s="363" t="s">
        <v>3383</v>
      </c>
      <c r="P31" s="363">
        <v>2</v>
      </c>
      <c r="Q31" s="363">
        <v>1</v>
      </c>
      <c r="R31" s="363">
        <v>30</v>
      </c>
      <c r="S31" s="363">
        <v>0</v>
      </c>
      <c r="T31" s="363">
        <v>0</v>
      </c>
      <c r="U31" s="363" t="s">
        <v>3589</v>
      </c>
      <c r="V31" s="363" t="s">
        <v>3686</v>
      </c>
      <c r="W31" s="363" t="s">
        <v>3687</v>
      </c>
      <c r="X31" s="363" t="s">
        <v>3688</v>
      </c>
      <c r="Y31" s="363" t="s">
        <v>3593</v>
      </c>
      <c r="Z31" s="201">
        <v>1</v>
      </c>
      <c r="AA31" s="197">
        <v>1</v>
      </c>
    </row>
    <row r="32" spans="1:27" x14ac:dyDescent="0.15">
      <c r="A32" s="363">
        <v>902037</v>
      </c>
      <c r="B32" s="363" t="s">
        <v>3689</v>
      </c>
      <c r="C32" s="363" t="s">
        <v>3587</v>
      </c>
      <c r="D32" s="363">
        <v>1002</v>
      </c>
      <c r="E32" s="193">
        <v>2</v>
      </c>
      <c r="F32" s="363">
        <v>1</v>
      </c>
      <c r="G32" s="363">
        <v>24</v>
      </c>
      <c r="H32" s="363">
        <v>5</v>
      </c>
      <c r="I32" s="363" t="s">
        <v>3685</v>
      </c>
      <c r="J32" s="193">
        <v>999</v>
      </c>
      <c r="K32" s="363" t="b">
        <v>1</v>
      </c>
      <c r="L32" s="193">
        <v>5</v>
      </c>
      <c r="M32" s="194">
        <v>75</v>
      </c>
      <c r="N32" s="194">
        <v>100</v>
      </c>
      <c r="O32" s="363" t="s">
        <v>3383</v>
      </c>
      <c r="P32" s="363">
        <v>2</v>
      </c>
      <c r="Q32" s="363">
        <v>1</v>
      </c>
      <c r="R32" s="363">
        <v>30</v>
      </c>
      <c r="S32" s="363">
        <v>0</v>
      </c>
      <c r="T32" s="363">
        <v>0</v>
      </c>
      <c r="U32" s="363" t="s">
        <v>3589</v>
      </c>
      <c r="V32" s="363" t="s">
        <v>3690</v>
      </c>
      <c r="W32" s="363" t="s">
        <v>3691</v>
      </c>
      <c r="X32" s="363" t="s">
        <v>3692</v>
      </c>
      <c r="Y32" s="363" t="s">
        <v>3593</v>
      </c>
      <c r="Z32" s="201">
        <v>1</v>
      </c>
      <c r="AA32" s="197">
        <v>1</v>
      </c>
    </row>
    <row r="33" spans="1:27" x14ac:dyDescent="0.15">
      <c r="A33" s="363">
        <v>902038</v>
      </c>
      <c r="B33" s="363" t="s">
        <v>3693</v>
      </c>
      <c r="C33" s="363" t="s">
        <v>3587</v>
      </c>
      <c r="D33" s="363">
        <v>1004</v>
      </c>
      <c r="E33" s="193">
        <v>2</v>
      </c>
      <c r="F33" s="363">
        <v>1</v>
      </c>
      <c r="G33" s="363">
        <v>24</v>
      </c>
      <c r="H33" s="363">
        <v>5</v>
      </c>
      <c r="I33" s="363" t="s">
        <v>3685</v>
      </c>
      <c r="J33" s="193">
        <v>999</v>
      </c>
      <c r="K33" s="363" t="b">
        <v>1</v>
      </c>
      <c r="L33" s="193">
        <v>5</v>
      </c>
      <c r="M33" s="194">
        <v>75</v>
      </c>
      <c r="N33" s="194">
        <v>100</v>
      </c>
      <c r="O33" s="363" t="s">
        <v>3383</v>
      </c>
      <c r="P33" s="363">
        <v>2</v>
      </c>
      <c r="Q33" s="363">
        <v>1</v>
      </c>
      <c r="R33" s="363">
        <v>30</v>
      </c>
      <c r="S33" s="363">
        <v>0</v>
      </c>
      <c r="T33" s="363">
        <v>0</v>
      </c>
      <c r="U33" s="363" t="s">
        <v>3589</v>
      </c>
      <c r="V33" s="363" t="s">
        <v>3694</v>
      </c>
      <c r="W33" s="363" t="s">
        <v>3695</v>
      </c>
      <c r="X33" s="363" t="s">
        <v>3696</v>
      </c>
      <c r="Y33" s="363" t="s">
        <v>3593</v>
      </c>
      <c r="Z33" s="201">
        <v>1</v>
      </c>
      <c r="AA33" s="197">
        <v>1</v>
      </c>
    </row>
    <row r="34" spans="1:27" x14ac:dyDescent="0.15">
      <c r="A34" s="363">
        <v>902039</v>
      </c>
      <c r="B34" s="363" t="s">
        <v>3697</v>
      </c>
      <c r="C34" s="363" t="s">
        <v>3587</v>
      </c>
      <c r="D34" s="363">
        <v>1001</v>
      </c>
      <c r="E34" s="193">
        <v>2</v>
      </c>
      <c r="F34" s="363">
        <v>0</v>
      </c>
      <c r="G34" s="363">
        <v>30</v>
      </c>
      <c r="H34" s="363">
        <v>5</v>
      </c>
      <c r="I34" s="363" t="s">
        <v>3588</v>
      </c>
      <c r="J34" s="193">
        <v>999</v>
      </c>
      <c r="K34" s="363" t="b">
        <v>1</v>
      </c>
      <c r="L34" s="193">
        <v>5</v>
      </c>
      <c r="M34" s="194">
        <v>75</v>
      </c>
      <c r="N34" s="194">
        <v>100</v>
      </c>
      <c r="O34" s="363" t="s">
        <v>3383</v>
      </c>
      <c r="P34" s="363">
        <v>2</v>
      </c>
      <c r="Q34" s="363">
        <v>1</v>
      </c>
      <c r="R34" s="363">
        <v>30</v>
      </c>
      <c r="S34" s="363">
        <v>0</v>
      </c>
      <c r="T34" s="363">
        <v>0</v>
      </c>
      <c r="U34" s="363" t="s">
        <v>3589</v>
      </c>
      <c r="V34" s="363" t="s">
        <v>3698</v>
      </c>
      <c r="W34" s="363" t="s">
        <v>3699</v>
      </c>
      <c r="X34" s="363" t="s">
        <v>3700</v>
      </c>
      <c r="Y34" s="363" t="s">
        <v>3593</v>
      </c>
      <c r="Z34" s="201">
        <v>1</v>
      </c>
      <c r="AA34" s="197">
        <v>1</v>
      </c>
    </row>
    <row r="35" spans="1:27" x14ac:dyDescent="0.15">
      <c r="A35" s="363">
        <v>902041</v>
      </c>
      <c r="B35" s="363" t="s">
        <v>3701</v>
      </c>
      <c r="C35" s="363" t="s">
        <v>3587</v>
      </c>
      <c r="D35" s="363">
        <v>1050</v>
      </c>
      <c r="E35" s="193">
        <v>2</v>
      </c>
      <c r="F35" s="363">
        <v>1</v>
      </c>
      <c r="G35" s="363">
        <v>30</v>
      </c>
      <c r="H35" s="363">
        <v>40</v>
      </c>
      <c r="I35" s="363" t="s">
        <v>3630</v>
      </c>
      <c r="J35" s="193">
        <v>999</v>
      </c>
      <c r="K35" s="363" t="b">
        <v>1</v>
      </c>
      <c r="L35" s="157">
        <v>10</v>
      </c>
      <c r="M35" s="194">
        <v>150</v>
      </c>
      <c r="N35" s="194">
        <v>200</v>
      </c>
      <c r="O35" s="363" t="s">
        <v>3383</v>
      </c>
      <c r="P35" s="363">
        <v>2</v>
      </c>
      <c r="Q35" s="363">
        <v>1</v>
      </c>
      <c r="R35" s="363">
        <v>30</v>
      </c>
      <c r="S35" s="363">
        <v>0</v>
      </c>
      <c r="T35" s="363">
        <v>0</v>
      </c>
      <c r="U35" s="363" t="s">
        <v>3589</v>
      </c>
      <c r="V35" s="363" t="s">
        <v>3702</v>
      </c>
      <c r="W35" s="363" t="s">
        <v>3703</v>
      </c>
      <c r="X35" s="363" t="s">
        <v>3704</v>
      </c>
      <c r="Y35" s="363" t="s">
        <v>3593</v>
      </c>
      <c r="Z35" s="201">
        <v>1</v>
      </c>
      <c r="AA35" s="197">
        <v>1</v>
      </c>
    </row>
    <row r="36" spans="1:27" x14ac:dyDescent="0.15">
      <c r="A36" s="363">
        <v>902043</v>
      </c>
      <c r="B36" s="363" t="s">
        <v>3705</v>
      </c>
      <c r="C36" s="363" t="s">
        <v>3587</v>
      </c>
      <c r="D36" s="363"/>
      <c r="E36" s="193">
        <v>2</v>
      </c>
      <c r="F36" s="363">
        <v>1</v>
      </c>
      <c r="G36" s="363">
        <v>5</v>
      </c>
      <c r="H36" s="363">
        <v>30</v>
      </c>
      <c r="I36" s="363" t="s">
        <v>3706</v>
      </c>
      <c r="J36" s="193">
        <v>999</v>
      </c>
      <c r="K36" s="363" t="b">
        <v>1</v>
      </c>
      <c r="L36" s="194">
        <v>10</v>
      </c>
      <c r="M36" s="194">
        <v>150</v>
      </c>
      <c r="N36" s="194">
        <v>200</v>
      </c>
      <c r="O36" s="363" t="s">
        <v>3383</v>
      </c>
      <c r="P36" s="363">
        <v>2</v>
      </c>
      <c r="Q36" s="363">
        <v>1</v>
      </c>
      <c r="R36" s="363">
        <v>30</v>
      </c>
      <c r="S36" s="363">
        <v>0</v>
      </c>
      <c r="T36" s="363">
        <v>0</v>
      </c>
      <c r="U36" s="363" t="s">
        <v>3612</v>
      </c>
      <c r="V36" s="363" t="s">
        <v>3707</v>
      </c>
      <c r="W36" s="363" t="s">
        <v>3705</v>
      </c>
      <c r="X36" s="363" t="s">
        <v>3708</v>
      </c>
      <c r="Y36" s="363" t="s">
        <v>3593</v>
      </c>
      <c r="Z36" s="201">
        <v>1</v>
      </c>
      <c r="AA36" s="197">
        <v>1</v>
      </c>
    </row>
    <row r="37" spans="1:27" x14ac:dyDescent="0.15">
      <c r="A37" s="363">
        <v>902045</v>
      </c>
      <c r="B37" s="363" t="s">
        <v>3709</v>
      </c>
      <c r="C37" s="363" t="s">
        <v>3587</v>
      </c>
      <c r="D37" s="363"/>
      <c r="E37" s="193">
        <v>2</v>
      </c>
      <c r="F37" s="363">
        <v>1</v>
      </c>
      <c r="G37" s="363">
        <v>5</v>
      </c>
      <c r="H37" s="363">
        <v>30</v>
      </c>
      <c r="I37" s="363" t="s">
        <v>3706</v>
      </c>
      <c r="J37" s="193">
        <v>999</v>
      </c>
      <c r="K37" s="363" t="b">
        <v>1</v>
      </c>
      <c r="L37" s="194">
        <v>10</v>
      </c>
      <c r="M37" s="194">
        <v>150</v>
      </c>
      <c r="N37" s="194">
        <v>200</v>
      </c>
      <c r="O37" s="363" t="s">
        <v>3383</v>
      </c>
      <c r="P37" s="363">
        <v>2</v>
      </c>
      <c r="Q37" s="363">
        <v>1</v>
      </c>
      <c r="R37" s="363">
        <v>30</v>
      </c>
      <c r="S37" s="363">
        <v>0</v>
      </c>
      <c r="T37" s="363">
        <v>0</v>
      </c>
      <c r="U37" s="363" t="s">
        <v>3612</v>
      </c>
      <c r="V37" s="363" t="s">
        <v>3710</v>
      </c>
      <c r="W37" s="363" t="s">
        <v>3709</v>
      </c>
      <c r="X37" s="363" t="s">
        <v>3711</v>
      </c>
      <c r="Y37" s="363" t="s">
        <v>3593</v>
      </c>
      <c r="Z37" s="201">
        <v>1</v>
      </c>
      <c r="AA37" s="197">
        <v>1</v>
      </c>
    </row>
    <row r="38" spans="1:27" x14ac:dyDescent="0.15">
      <c r="A38" s="363">
        <v>902047</v>
      </c>
      <c r="B38" s="363" t="s">
        <v>3712</v>
      </c>
      <c r="C38" s="363" t="s">
        <v>3587</v>
      </c>
      <c r="D38" s="363"/>
      <c r="E38" s="193">
        <v>2</v>
      </c>
      <c r="F38" s="363">
        <v>1</v>
      </c>
      <c r="G38" s="363">
        <v>5</v>
      </c>
      <c r="H38" s="363">
        <v>30</v>
      </c>
      <c r="I38" s="363" t="s">
        <v>3706</v>
      </c>
      <c r="J38" s="193">
        <v>999</v>
      </c>
      <c r="K38" s="363" t="b">
        <v>1</v>
      </c>
      <c r="L38" s="194">
        <v>10</v>
      </c>
      <c r="M38" s="194">
        <v>150</v>
      </c>
      <c r="N38" s="194">
        <v>200</v>
      </c>
      <c r="O38" s="363" t="s">
        <v>3383</v>
      </c>
      <c r="P38" s="363">
        <v>2</v>
      </c>
      <c r="Q38" s="363">
        <v>1</v>
      </c>
      <c r="R38" s="363">
        <v>30</v>
      </c>
      <c r="S38" s="363">
        <v>0</v>
      </c>
      <c r="T38" s="363">
        <v>0</v>
      </c>
      <c r="U38" s="363" t="s">
        <v>3612</v>
      </c>
      <c r="V38" s="363" t="s">
        <v>3713</v>
      </c>
      <c r="W38" s="363" t="s">
        <v>3712</v>
      </c>
      <c r="X38" s="363" t="s">
        <v>3714</v>
      </c>
      <c r="Y38" s="363" t="s">
        <v>3593</v>
      </c>
      <c r="Z38" s="201">
        <v>1</v>
      </c>
      <c r="AA38" s="197">
        <v>1</v>
      </c>
    </row>
    <row r="39" spans="1:27" x14ac:dyDescent="0.15">
      <c r="A39" s="363">
        <v>902049</v>
      </c>
      <c r="B39" s="363" t="s">
        <v>3715</v>
      </c>
      <c r="C39" s="363" t="s">
        <v>3587</v>
      </c>
      <c r="D39" s="363"/>
      <c r="E39" s="193">
        <v>7</v>
      </c>
      <c r="F39" s="363">
        <v>0</v>
      </c>
      <c r="G39" s="363">
        <v>5</v>
      </c>
      <c r="H39" s="363">
        <v>100</v>
      </c>
      <c r="I39" s="363" t="s">
        <v>3716</v>
      </c>
      <c r="J39" s="193">
        <v>999</v>
      </c>
      <c r="K39" s="363" t="b">
        <v>1</v>
      </c>
      <c r="L39" s="209">
        <v>10</v>
      </c>
      <c r="M39" s="194">
        <v>150</v>
      </c>
      <c r="N39" s="194">
        <v>200</v>
      </c>
      <c r="O39" s="363" t="s">
        <v>3383</v>
      </c>
      <c r="P39" s="363">
        <v>2</v>
      </c>
      <c r="Q39" s="363">
        <v>1</v>
      </c>
      <c r="R39" s="363">
        <v>30</v>
      </c>
      <c r="S39" s="363">
        <v>0</v>
      </c>
      <c r="T39" s="363">
        <v>0</v>
      </c>
      <c r="U39" s="363" t="s">
        <v>3612</v>
      </c>
      <c r="V39" s="363" t="s">
        <v>3717</v>
      </c>
      <c r="W39" s="363" t="s">
        <v>3715</v>
      </c>
      <c r="X39" s="363" t="s">
        <v>3718</v>
      </c>
      <c r="Y39" s="363" t="s">
        <v>3593</v>
      </c>
      <c r="Z39" s="201">
        <v>1</v>
      </c>
      <c r="AA39" s="197">
        <v>1</v>
      </c>
    </row>
    <row r="40" spans="1:27" x14ac:dyDescent="0.15">
      <c r="A40" s="363">
        <v>902051</v>
      </c>
      <c r="B40" s="363" t="s">
        <v>3719</v>
      </c>
      <c r="C40" s="363" t="s">
        <v>3587</v>
      </c>
      <c r="D40" s="363"/>
      <c r="E40" s="193">
        <v>2</v>
      </c>
      <c r="F40" s="363">
        <v>1</v>
      </c>
      <c r="G40" s="363">
        <v>5</v>
      </c>
      <c r="H40" s="363">
        <v>5</v>
      </c>
      <c r="I40" s="363" t="s">
        <v>3588</v>
      </c>
      <c r="J40" s="193">
        <v>999</v>
      </c>
      <c r="K40" s="363" t="b">
        <v>1</v>
      </c>
      <c r="L40" s="194">
        <v>1</v>
      </c>
      <c r="M40" s="194">
        <v>15</v>
      </c>
      <c r="N40" s="194">
        <v>20</v>
      </c>
      <c r="O40" s="363" t="s">
        <v>3383</v>
      </c>
      <c r="P40" s="363">
        <v>2</v>
      </c>
      <c r="Q40" s="363">
        <v>1</v>
      </c>
      <c r="R40" s="363">
        <v>30</v>
      </c>
      <c r="S40" s="363">
        <v>0</v>
      </c>
      <c r="T40" s="363">
        <v>0</v>
      </c>
      <c r="U40" s="363" t="s">
        <v>3612</v>
      </c>
      <c r="V40" s="363" t="s">
        <v>3720</v>
      </c>
      <c r="W40" s="363" t="s">
        <v>3719</v>
      </c>
      <c r="X40" s="363" t="s">
        <v>3721</v>
      </c>
      <c r="Y40" s="363" t="s">
        <v>3593</v>
      </c>
      <c r="Z40" s="201">
        <v>1</v>
      </c>
      <c r="AA40" s="197">
        <v>1</v>
      </c>
    </row>
    <row r="41" spans="1:27" x14ac:dyDescent="0.15">
      <c r="A41" s="363">
        <v>902053</v>
      </c>
      <c r="B41" s="363" t="s">
        <v>3722</v>
      </c>
      <c r="C41" s="363" t="s">
        <v>3587</v>
      </c>
      <c r="D41" s="363"/>
      <c r="E41" s="193">
        <v>2</v>
      </c>
      <c r="F41" s="363">
        <v>1</v>
      </c>
      <c r="G41" s="363">
        <v>1</v>
      </c>
      <c r="H41" s="363">
        <v>10</v>
      </c>
      <c r="I41" s="363" t="s">
        <v>3617</v>
      </c>
      <c r="J41" s="193">
        <v>999</v>
      </c>
      <c r="K41" s="363" t="b">
        <v>1</v>
      </c>
      <c r="L41" s="194">
        <v>1</v>
      </c>
      <c r="M41" s="194">
        <v>15</v>
      </c>
      <c r="N41" s="194">
        <v>20</v>
      </c>
      <c r="O41" s="363" t="s">
        <v>3383</v>
      </c>
      <c r="P41" s="363">
        <v>2</v>
      </c>
      <c r="Q41" s="363">
        <v>1</v>
      </c>
      <c r="R41" s="363">
        <v>30</v>
      </c>
      <c r="S41" s="363">
        <v>0</v>
      </c>
      <c r="T41" s="363">
        <v>0</v>
      </c>
      <c r="U41" s="363" t="s">
        <v>3589</v>
      </c>
      <c r="V41" s="363" t="s">
        <v>3723</v>
      </c>
      <c r="W41" s="363" t="s">
        <v>3722</v>
      </c>
      <c r="X41" s="363" t="s">
        <v>3724</v>
      </c>
      <c r="Y41" s="363" t="s">
        <v>3593</v>
      </c>
      <c r="Z41" s="201">
        <v>1</v>
      </c>
      <c r="AA41" s="197">
        <v>1</v>
      </c>
    </row>
    <row r="42" spans="1:27" x14ac:dyDescent="0.15">
      <c r="A42" s="363">
        <v>902055</v>
      </c>
      <c r="B42" s="363" t="s">
        <v>3725</v>
      </c>
      <c r="C42" s="363" t="s">
        <v>3587</v>
      </c>
      <c r="D42" s="363"/>
      <c r="E42" s="193">
        <v>2</v>
      </c>
      <c r="F42" s="363">
        <v>1</v>
      </c>
      <c r="G42" s="363">
        <v>1</v>
      </c>
      <c r="H42" s="363">
        <v>10</v>
      </c>
      <c r="I42" s="363" t="s">
        <v>3617</v>
      </c>
      <c r="J42" s="193">
        <v>999</v>
      </c>
      <c r="K42" s="363" t="b">
        <v>1</v>
      </c>
      <c r="L42" s="194">
        <v>1</v>
      </c>
      <c r="M42" s="194">
        <v>15</v>
      </c>
      <c r="N42" s="194">
        <v>20</v>
      </c>
      <c r="O42" s="363" t="s">
        <v>3383</v>
      </c>
      <c r="P42" s="363">
        <v>2</v>
      </c>
      <c r="Q42" s="363">
        <v>1</v>
      </c>
      <c r="R42" s="363">
        <v>30</v>
      </c>
      <c r="S42" s="363">
        <v>0</v>
      </c>
      <c r="T42" s="363">
        <v>0</v>
      </c>
      <c r="U42" s="363" t="s">
        <v>3589</v>
      </c>
      <c r="V42" s="363" t="s">
        <v>3726</v>
      </c>
      <c r="W42" s="363" t="s">
        <v>3725</v>
      </c>
      <c r="X42" s="363" t="s">
        <v>3727</v>
      </c>
      <c r="Y42" s="363" t="s">
        <v>3593</v>
      </c>
      <c r="Z42" s="201">
        <v>1</v>
      </c>
      <c r="AA42" s="197">
        <v>1</v>
      </c>
    </row>
    <row r="43" spans="1:27" x14ac:dyDescent="0.15">
      <c r="A43" s="363">
        <v>902057</v>
      </c>
      <c r="B43" s="363" t="s">
        <v>3728</v>
      </c>
      <c r="C43" s="363" t="s">
        <v>3587</v>
      </c>
      <c r="D43" s="363"/>
      <c r="E43" s="193">
        <v>2</v>
      </c>
      <c r="F43" s="363">
        <v>1</v>
      </c>
      <c r="G43" s="363">
        <v>1</v>
      </c>
      <c r="H43" s="363">
        <v>10</v>
      </c>
      <c r="I43" s="363" t="s">
        <v>3617</v>
      </c>
      <c r="J43" s="193">
        <v>999</v>
      </c>
      <c r="K43" s="363" t="b">
        <v>1</v>
      </c>
      <c r="L43" s="194">
        <v>1</v>
      </c>
      <c r="M43" s="194">
        <v>15</v>
      </c>
      <c r="N43" s="194">
        <v>20</v>
      </c>
      <c r="O43" s="363" t="s">
        <v>3383</v>
      </c>
      <c r="P43" s="363">
        <v>2</v>
      </c>
      <c r="Q43" s="363">
        <v>1</v>
      </c>
      <c r="R43" s="363">
        <v>30</v>
      </c>
      <c r="S43" s="363">
        <v>0</v>
      </c>
      <c r="T43" s="363">
        <v>0</v>
      </c>
      <c r="U43" s="363" t="s">
        <v>3589</v>
      </c>
      <c r="V43" s="363" t="s">
        <v>3729</v>
      </c>
      <c r="W43" s="363" t="s">
        <v>3728</v>
      </c>
      <c r="X43" s="363" t="s">
        <v>3730</v>
      </c>
      <c r="Y43" s="363" t="s">
        <v>3593</v>
      </c>
      <c r="Z43" s="201">
        <v>1</v>
      </c>
      <c r="AA43" s="197">
        <v>1</v>
      </c>
    </row>
    <row r="44" spans="1:27" x14ac:dyDescent="0.15">
      <c r="A44" s="363">
        <v>902059</v>
      </c>
      <c r="B44" s="363" t="s">
        <v>3731</v>
      </c>
      <c r="C44" s="363" t="s">
        <v>3587</v>
      </c>
      <c r="D44" s="363"/>
      <c r="E44" s="193">
        <v>2</v>
      </c>
      <c r="F44" s="363">
        <v>1</v>
      </c>
      <c r="G44" s="363">
        <v>5</v>
      </c>
      <c r="H44" s="363">
        <v>40</v>
      </c>
      <c r="I44" s="363" t="s">
        <v>3706</v>
      </c>
      <c r="J44" s="193">
        <v>999</v>
      </c>
      <c r="K44" s="363" t="b">
        <v>1</v>
      </c>
      <c r="L44" s="194">
        <v>10</v>
      </c>
      <c r="M44" s="194">
        <v>150</v>
      </c>
      <c r="N44" s="194">
        <v>200</v>
      </c>
      <c r="O44" s="363" t="s">
        <v>3383</v>
      </c>
      <c r="P44" s="363">
        <v>2</v>
      </c>
      <c r="Q44" s="363">
        <v>1</v>
      </c>
      <c r="R44" s="363">
        <v>30</v>
      </c>
      <c r="S44" s="363">
        <v>0</v>
      </c>
      <c r="T44" s="363">
        <v>0</v>
      </c>
      <c r="U44" s="363" t="s">
        <v>3612</v>
      </c>
      <c r="V44" s="363" t="s">
        <v>3732</v>
      </c>
      <c r="W44" s="363" t="s">
        <v>3731</v>
      </c>
      <c r="X44" s="363" t="s">
        <v>3615</v>
      </c>
      <c r="Y44" s="363" t="s">
        <v>3593</v>
      </c>
      <c r="Z44" s="201">
        <v>1</v>
      </c>
      <c r="AA44" s="197">
        <v>1</v>
      </c>
    </row>
    <row r="45" spans="1:27" x14ac:dyDescent="0.15">
      <c r="A45" s="363">
        <v>902060</v>
      </c>
      <c r="B45" t="s">
        <v>3733</v>
      </c>
      <c r="C45" s="363" t="s">
        <v>3587</v>
      </c>
      <c r="E45" s="193">
        <v>4</v>
      </c>
      <c r="F45" s="363">
        <v>1</v>
      </c>
      <c r="G45" s="363">
        <v>5</v>
      </c>
      <c r="H45" s="363">
        <v>40</v>
      </c>
      <c r="I45" s="363" t="s">
        <v>3706</v>
      </c>
      <c r="J45" s="193">
        <v>999</v>
      </c>
      <c r="K45" s="363" t="b">
        <v>1</v>
      </c>
      <c r="L45" s="194">
        <v>10</v>
      </c>
      <c r="M45" s="194">
        <v>150</v>
      </c>
      <c r="N45" s="194">
        <v>200</v>
      </c>
      <c r="O45" s="363" t="s">
        <v>3383</v>
      </c>
      <c r="P45" s="363">
        <v>2</v>
      </c>
      <c r="Q45" s="363">
        <v>1</v>
      </c>
      <c r="R45" s="363">
        <v>30</v>
      </c>
      <c r="S45" s="363">
        <v>0</v>
      </c>
      <c r="T45" s="363">
        <v>0</v>
      </c>
      <c r="U45" s="363" t="s">
        <v>3612</v>
      </c>
      <c r="V45" t="s">
        <v>3734</v>
      </c>
      <c r="W45" t="s">
        <v>3733</v>
      </c>
      <c r="X45" s="363" t="s">
        <v>3735</v>
      </c>
      <c r="Y45" s="363" t="s">
        <v>3593</v>
      </c>
      <c r="Z45" s="201">
        <v>0</v>
      </c>
      <c r="AA45" s="197">
        <v>0</v>
      </c>
    </row>
    <row r="46" spans="1:27" x14ac:dyDescent="0.15">
      <c r="A46" s="157">
        <v>901500</v>
      </c>
      <c r="B46" s="370" t="s">
        <v>3736</v>
      </c>
      <c r="C46" s="363" t="s">
        <v>3587</v>
      </c>
      <c r="D46" s="363"/>
      <c r="E46" s="157">
        <v>7</v>
      </c>
      <c r="F46" s="157">
        <v>0</v>
      </c>
      <c r="G46" s="157">
        <v>27</v>
      </c>
      <c r="H46" s="157">
        <v>0</v>
      </c>
      <c r="I46" s="157" t="s">
        <v>3737</v>
      </c>
      <c r="J46" s="193">
        <v>999</v>
      </c>
      <c r="K46" s="157" t="b">
        <v>1</v>
      </c>
      <c r="L46" s="157">
        <v>1050</v>
      </c>
      <c r="M46" s="194">
        <v>2100</v>
      </c>
      <c r="N46" s="194">
        <v>3150</v>
      </c>
      <c r="O46" s="157" t="s">
        <v>3383</v>
      </c>
      <c r="P46" s="157">
        <v>99</v>
      </c>
      <c r="Q46" s="157">
        <v>3</v>
      </c>
      <c r="R46" s="157">
        <v>15</v>
      </c>
      <c r="S46" s="363">
        <v>0</v>
      </c>
      <c r="T46" s="157">
        <v>0</v>
      </c>
      <c r="U46" s="157" t="s">
        <v>3589</v>
      </c>
      <c r="V46" s="157" t="s">
        <v>3738</v>
      </c>
      <c r="W46" s="157" t="s">
        <v>3737</v>
      </c>
      <c r="X46" s="157" t="s">
        <v>3435</v>
      </c>
      <c r="Y46" s="157" t="s">
        <v>3388</v>
      </c>
      <c r="Z46" s="201">
        <v>0</v>
      </c>
      <c r="AA46" s="197">
        <v>0</v>
      </c>
    </row>
    <row r="47" spans="1:27" x14ac:dyDescent="0.15">
      <c r="A47" s="157">
        <v>901501</v>
      </c>
      <c r="B47" s="370" t="s">
        <v>3739</v>
      </c>
      <c r="C47" s="363" t="s">
        <v>3587</v>
      </c>
      <c r="E47" s="157">
        <v>7</v>
      </c>
      <c r="F47" s="157">
        <v>0</v>
      </c>
      <c r="G47" s="157">
        <v>27</v>
      </c>
      <c r="H47" s="157">
        <v>0</v>
      </c>
      <c r="I47" s="157" t="s">
        <v>3740</v>
      </c>
      <c r="J47" s="193">
        <v>999</v>
      </c>
      <c r="K47" s="157" t="b">
        <v>1</v>
      </c>
      <c r="L47" s="157">
        <v>1050</v>
      </c>
      <c r="M47" s="194">
        <v>2100</v>
      </c>
      <c r="N47" s="194">
        <v>3150</v>
      </c>
      <c r="O47" s="157" t="s">
        <v>3383</v>
      </c>
      <c r="P47" s="157">
        <v>99</v>
      </c>
      <c r="Q47" s="157">
        <v>3</v>
      </c>
      <c r="R47" s="157">
        <v>15</v>
      </c>
      <c r="S47" s="363">
        <v>0</v>
      </c>
      <c r="T47" s="157">
        <v>0</v>
      </c>
      <c r="U47" s="157" t="s">
        <v>3589</v>
      </c>
      <c r="V47" s="157" t="s">
        <v>3741</v>
      </c>
      <c r="W47" s="157" t="s">
        <v>3740</v>
      </c>
      <c r="X47" s="157" t="s">
        <v>3435</v>
      </c>
      <c r="Y47" s="157" t="s">
        <v>3388</v>
      </c>
      <c r="Z47" s="201">
        <v>0</v>
      </c>
      <c r="AA47" s="197">
        <v>0</v>
      </c>
    </row>
    <row r="48" spans="1:27" x14ac:dyDescent="0.15">
      <c r="A48" s="157">
        <v>901502</v>
      </c>
      <c r="B48" s="157" t="s">
        <v>3742</v>
      </c>
      <c r="C48" s="363" t="s">
        <v>3587</v>
      </c>
      <c r="D48" s="363"/>
      <c r="E48" s="157">
        <v>7</v>
      </c>
      <c r="F48" s="157">
        <v>0</v>
      </c>
      <c r="G48" s="157">
        <v>27</v>
      </c>
      <c r="H48" s="157">
        <v>0</v>
      </c>
      <c r="I48" s="157" t="s">
        <v>3743</v>
      </c>
      <c r="J48" s="193">
        <v>999</v>
      </c>
      <c r="K48" s="157" t="b">
        <v>1</v>
      </c>
      <c r="L48" s="157">
        <v>1050</v>
      </c>
      <c r="M48" s="194">
        <v>2100</v>
      </c>
      <c r="N48" s="194">
        <v>3150</v>
      </c>
      <c r="O48" s="157" t="s">
        <v>3383</v>
      </c>
      <c r="P48" s="157">
        <v>99</v>
      </c>
      <c r="Q48" s="157">
        <v>3</v>
      </c>
      <c r="R48" s="157">
        <v>15</v>
      </c>
      <c r="S48" s="363">
        <v>0</v>
      </c>
      <c r="T48" s="157">
        <v>0</v>
      </c>
      <c r="U48" s="157" t="s">
        <v>3589</v>
      </c>
      <c r="V48" s="157" t="s">
        <v>3744</v>
      </c>
      <c r="W48" s="157" t="s">
        <v>3743</v>
      </c>
      <c r="X48" s="157" t="s">
        <v>3435</v>
      </c>
      <c r="Y48" s="157" t="s">
        <v>3388</v>
      </c>
      <c r="Z48" s="201">
        <v>0</v>
      </c>
      <c r="AA48" s="197">
        <v>0</v>
      </c>
    </row>
    <row r="49" spans="1:27" x14ac:dyDescent="0.15">
      <c r="A49" s="157">
        <v>901503</v>
      </c>
      <c r="B49" s="157" t="s">
        <v>3745</v>
      </c>
      <c r="C49" s="363" t="s">
        <v>3587</v>
      </c>
      <c r="E49" s="157">
        <v>7</v>
      </c>
      <c r="F49" s="157">
        <v>0</v>
      </c>
      <c r="G49" s="157">
        <v>27</v>
      </c>
      <c r="H49" s="157">
        <v>0</v>
      </c>
      <c r="I49" s="157" t="s">
        <v>3746</v>
      </c>
      <c r="J49" s="193">
        <v>999</v>
      </c>
      <c r="K49" s="157" t="b">
        <v>1</v>
      </c>
      <c r="L49" s="157">
        <v>1050</v>
      </c>
      <c r="M49" s="194">
        <v>2100</v>
      </c>
      <c r="N49" s="194">
        <v>3150</v>
      </c>
      <c r="O49" s="157" t="s">
        <v>3383</v>
      </c>
      <c r="P49" s="157">
        <v>99</v>
      </c>
      <c r="Q49" s="157">
        <v>3</v>
      </c>
      <c r="R49" s="157">
        <v>15</v>
      </c>
      <c r="S49" s="363">
        <v>0</v>
      </c>
      <c r="T49" s="157">
        <v>0</v>
      </c>
      <c r="U49" s="157" t="s">
        <v>3589</v>
      </c>
      <c r="V49" s="157" t="s">
        <v>3747</v>
      </c>
      <c r="W49" s="157" t="s">
        <v>3746</v>
      </c>
      <c r="X49" s="157" t="s">
        <v>3435</v>
      </c>
      <c r="Y49" s="157" t="s">
        <v>3388</v>
      </c>
      <c r="Z49" s="201">
        <v>0</v>
      </c>
      <c r="AA49" s="197">
        <v>0</v>
      </c>
    </row>
    <row r="50" spans="1:27" x14ac:dyDescent="0.15">
      <c r="A50" s="157">
        <v>901504</v>
      </c>
      <c r="B50" s="157" t="s">
        <v>3748</v>
      </c>
      <c r="C50" s="363" t="s">
        <v>3587</v>
      </c>
      <c r="D50" s="363"/>
      <c r="E50" s="157">
        <v>7</v>
      </c>
      <c r="F50" s="157">
        <v>0</v>
      </c>
      <c r="G50" s="157">
        <v>27</v>
      </c>
      <c r="H50" s="157">
        <v>0</v>
      </c>
      <c r="I50" s="157" t="s">
        <v>3737</v>
      </c>
      <c r="J50" s="193">
        <v>999</v>
      </c>
      <c r="K50" s="157" t="b">
        <v>1</v>
      </c>
      <c r="L50" s="157">
        <v>1050</v>
      </c>
      <c r="M50" s="194">
        <v>2100</v>
      </c>
      <c r="N50" s="194">
        <v>3150</v>
      </c>
      <c r="O50" s="157" t="s">
        <v>3383</v>
      </c>
      <c r="P50" s="157">
        <v>99</v>
      </c>
      <c r="Q50" s="157">
        <v>3</v>
      </c>
      <c r="R50" s="157">
        <v>15</v>
      </c>
      <c r="S50" s="363">
        <v>0</v>
      </c>
      <c r="T50" s="157">
        <v>0</v>
      </c>
      <c r="U50" s="157" t="s">
        <v>3589</v>
      </c>
      <c r="V50" s="157" t="s">
        <v>3749</v>
      </c>
      <c r="W50" s="157" t="s">
        <v>3737</v>
      </c>
      <c r="X50" s="157" t="s">
        <v>3750</v>
      </c>
      <c r="Y50" s="157" t="s">
        <v>3388</v>
      </c>
      <c r="Z50" s="201">
        <v>0</v>
      </c>
      <c r="AA50" s="197">
        <v>0</v>
      </c>
    </row>
    <row r="51" spans="1:27" x14ac:dyDescent="0.15">
      <c r="A51" s="157">
        <v>901505</v>
      </c>
      <c r="B51" s="157" t="s">
        <v>3751</v>
      </c>
      <c r="C51" s="363" t="s">
        <v>3587</v>
      </c>
      <c r="E51" s="157">
        <v>7</v>
      </c>
      <c r="F51" s="157">
        <v>0</v>
      </c>
      <c r="G51" s="157">
        <v>27</v>
      </c>
      <c r="H51" s="157">
        <v>0</v>
      </c>
      <c r="I51" s="157" t="s">
        <v>3740</v>
      </c>
      <c r="J51" s="193">
        <v>999</v>
      </c>
      <c r="K51" s="157" t="b">
        <v>1</v>
      </c>
      <c r="L51" s="157">
        <v>1050</v>
      </c>
      <c r="M51" s="194">
        <v>2100</v>
      </c>
      <c r="N51" s="194">
        <v>3150</v>
      </c>
      <c r="O51" s="157" t="s">
        <v>3383</v>
      </c>
      <c r="P51" s="157">
        <v>99</v>
      </c>
      <c r="Q51" s="157">
        <v>3</v>
      </c>
      <c r="R51" s="157">
        <v>15</v>
      </c>
      <c r="S51" s="363">
        <v>0</v>
      </c>
      <c r="T51" s="157">
        <v>0</v>
      </c>
      <c r="U51" s="157" t="s">
        <v>3589</v>
      </c>
      <c r="V51" s="157" t="s">
        <v>3752</v>
      </c>
      <c r="W51" s="157" t="s">
        <v>3740</v>
      </c>
      <c r="X51" s="157" t="s">
        <v>3753</v>
      </c>
      <c r="Y51" s="157" t="s">
        <v>3388</v>
      </c>
      <c r="Z51" s="201">
        <v>0</v>
      </c>
      <c r="AA51" s="197">
        <v>0</v>
      </c>
    </row>
    <row r="52" spans="1:27" x14ac:dyDescent="0.15">
      <c r="A52" s="157">
        <v>901506</v>
      </c>
      <c r="B52" s="157" t="s">
        <v>3754</v>
      </c>
      <c r="C52" s="363" t="s">
        <v>3587</v>
      </c>
      <c r="D52" s="363"/>
      <c r="E52" s="157">
        <v>7</v>
      </c>
      <c r="F52" s="157">
        <v>0</v>
      </c>
      <c r="G52" s="157">
        <v>27</v>
      </c>
      <c r="H52" s="157">
        <v>0</v>
      </c>
      <c r="I52" s="157" t="s">
        <v>3743</v>
      </c>
      <c r="J52" s="193">
        <v>999</v>
      </c>
      <c r="K52" s="157" t="b">
        <v>1</v>
      </c>
      <c r="L52" s="157">
        <v>1050</v>
      </c>
      <c r="M52" s="194">
        <v>2100</v>
      </c>
      <c r="N52" s="194">
        <v>3150</v>
      </c>
      <c r="O52" s="157" t="s">
        <v>3383</v>
      </c>
      <c r="P52" s="157">
        <v>99</v>
      </c>
      <c r="Q52" s="157">
        <v>3</v>
      </c>
      <c r="R52" s="157">
        <v>15</v>
      </c>
      <c r="S52" s="363">
        <v>0</v>
      </c>
      <c r="T52" s="157">
        <v>0</v>
      </c>
      <c r="U52" s="157" t="s">
        <v>3589</v>
      </c>
      <c r="V52" s="157" t="s">
        <v>3755</v>
      </c>
      <c r="W52" s="157" t="s">
        <v>3743</v>
      </c>
      <c r="X52" s="157" t="s">
        <v>3753</v>
      </c>
      <c r="Y52" s="157" t="s">
        <v>3388</v>
      </c>
      <c r="Z52" s="201">
        <v>0</v>
      </c>
      <c r="AA52" s="197">
        <v>0</v>
      </c>
    </row>
    <row r="53" spans="1:27" x14ac:dyDescent="0.15">
      <c r="A53" s="157">
        <v>901507</v>
      </c>
      <c r="B53" s="157" t="s">
        <v>3756</v>
      </c>
      <c r="C53" s="363" t="s">
        <v>3587</v>
      </c>
      <c r="E53" s="157">
        <v>7</v>
      </c>
      <c r="F53" s="157">
        <v>0</v>
      </c>
      <c r="G53" s="157">
        <v>27</v>
      </c>
      <c r="H53" s="157">
        <v>0</v>
      </c>
      <c r="I53" s="157" t="s">
        <v>3746</v>
      </c>
      <c r="J53" s="193">
        <v>999</v>
      </c>
      <c r="K53" s="157" t="b">
        <v>1</v>
      </c>
      <c r="L53" s="157">
        <v>1050</v>
      </c>
      <c r="M53" s="194">
        <v>2100</v>
      </c>
      <c r="N53" s="194">
        <v>3150</v>
      </c>
      <c r="O53" s="157" t="s">
        <v>3383</v>
      </c>
      <c r="P53" s="157">
        <v>99</v>
      </c>
      <c r="Q53" s="157">
        <v>3</v>
      </c>
      <c r="R53" s="157">
        <v>15</v>
      </c>
      <c r="S53" s="363">
        <v>0</v>
      </c>
      <c r="T53" s="157">
        <v>0</v>
      </c>
      <c r="U53" s="157" t="s">
        <v>3589</v>
      </c>
      <c r="V53" s="157" t="s">
        <v>3757</v>
      </c>
      <c r="W53" s="157" t="s">
        <v>3746</v>
      </c>
      <c r="X53" s="157" t="s">
        <v>3758</v>
      </c>
      <c r="Y53" s="157" t="s">
        <v>3388</v>
      </c>
      <c r="Z53" s="201">
        <v>0</v>
      </c>
      <c r="AA53" s="197">
        <v>0</v>
      </c>
    </row>
    <row r="54" spans="1:27" x14ac:dyDescent="0.15">
      <c r="A54" s="157">
        <v>901508</v>
      </c>
      <c r="B54" s="157" t="s">
        <v>3759</v>
      </c>
      <c r="C54" s="363" t="s">
        <v>3587</v>
      </c>
      <c r="D54" s="363"/>
      <c r="E54" s="157">
        <v>7</v>
      </c>
      <c r="F54" s="157">
        <v>0</v>
      </c>
      <c r="G54" s="157">
        <v>27</v>
      </c>
      <c r="H54" s="157">
        <v>0</v>
      </c>
      <c r="I54" s="157" t="s">
        <v>3737</v>
      </c>
      <c r="J54" s="193">
        <v>999</v>
      </c>
      <c r="K54" s="157" t="b">
        <v>1</v>
      </c>
      <c r="L54" s="157">
        <v>1050</v>
      </c>
      <c r="M54" s="194">
        <v>2100</v>
      </c>
      <c r="N54" s="194">
        <v>3150</v>
      </c>
      <c r="O54" s="157" t="s">
        <v>3383</v>
      </c>
      <c r="P54" s="157">
        <v>99</v>
      </c>
      <c r="Q54" s="157">
        <v>3</v>
      </c>
      <c r="R54" s="157">
        <v>15</v>
      </c>
      <c r="S54" s="363">
        <v>0</v>
      </c>
      <c r="T54" s="157">
        <v>0</v>
      </c>
      <c r="U54" s="157" t="s">
        <v>3589</v>
      </c>
      <c r="V54" s="157" t="s">
        <v>3760</v>
      </c>
      <c r="W54" s="157" t="s">
        <v>3737</v>
      </c>
      <c r="X54" s="157" t="s">
        <v>3761</v>
      </c>
      <c r="Y54" s="157" t="s">
        <v>3388</v>
      </c>
      <c r="Z54" s="201">
        <v>0</v>
      </c>
      <c r="AA54" s="197">
        <v>0</v>
      </c>
    </row>
    <row r="55" spans="1:27" x14ac:dyDescent="0.15">
      <c r="A55" s="157">
        <v>901509</v>
      </c>
      <c r="B55" s="157" t="s">
        <v>3762</v>
      </c>
      <c r="C55" s="363" t="s">
        <v>3587</v>
      </c>
      <c r="E55" s="157">
        <v>7</v>
      </c>
      <c r="F55" s="157">
        <v>0</v>
      </c>
      <c r="G55" s="157">
        <v>27</v>
      </c>
      <c r="H55" s="157">
        <v>0</v>
      </c>
      <c r="I55" s="157" t="s">
        <v>3740</v>
      </c>
      <c r="J55" s="193">
        <v>999</v>
      </c>
      <c r="K55" s="157" t="b">
        <v>1</v>
      </c>
      <c r="L55" s="157">
        <v>1050</v>
      </c>
      <c r="M55" s="194">
        <v>2100</v>
      </c>
      <c r="N55" s="194">
        <v>3150</v>
      </c>
      <c r="O55" s="157" t="s">
        <v>3383</v>
      </c>
      <c r="P55" s="157">
        <v>99</v>
      </c>
      <c r="Q55" s="157">
        <v>3</v>
      </c>
      <c r="R55" s="157">
        <v>15</v>
      </c>
      <c r="S55" s="363">
        <v>0</v>
      </c>
      <c r="T55" s="157">
        <v>0</v>
      </c>
      <c r="U55" s="157" t="s">
        <v>3589</v>
      </c>
      <c r="V55" s="157" t="s">
        <v>3763</v>
      </c>
      <c r="W55" s="157" t="s">
        <v>3740</v>
      </c>
      <c r="X55" s="157" t="s">
        <v>3764</v>
      </c>
      <c r="Y55" s="157" t="s">
        <v>3388</v>
      </c>
      <c r="Z55" s="201">
        <v>0</v>
      </c>
      <c r="AA55" s="197">
        <v>0</v>
      </c>
    </row>
    <row r="56" spans="1:27" x14ac:dyDescent="0.15">
      <c r="A56" s="157">
        <v>901510</v>
      </c>
      <c r="B56" s="157" t="s">
        <v>3765</v>
      </c>
      <c r="C56" s="363" t="s">
        <v>3587</v>
      </c>
      <c r="D56" s="363"/>
      <c r="E56" s="157">
        <v>7</v>
      </c>
      <c r="F56" s="157">
        <v>0</v>
      </c>
      <c r="G56" s="157">
        <v>27</v>
      </c>
      <c r="H56" s="157">
        <v>0</v>
      </c>
      <c r="I56" s="157" t="s">
        <v>3743</v>
      </c>
      <c r="J56" s="193">
        <v>999</v>
      </c>
      <c r="K56" s="157" t="b">
        <v>1</v>
      </c>
      <c r="L56" s="157">
        <v>1050</v>
      </c>
      <c r="M56" s="194">
        <v>2100</v>
      </c>
      <c r="N56" s="194">
        <v>3150</v>
      </c>
      <c r="O56" s="157" t="s">
        <v>3383</v>
      </c>
      <c r="P56" s="157">
        <v>99</v>
      </c>
      <c r="Q56" s="157">
        <v>3</v>
      </c>
      <c r="R56" s="157">
        <v>15</v>
      </c>
      <c r="S56" s="363">
        <v>0</v>
      </c>
      <c r="T56" s="157">
        <v>0</v>
      </c>
      <c r="U56" s="157" t="s">
        <v>3589</v>
      </c>
      <c r="V56" s="157" t="s">
        <v>3766</v>
      </c>
      <c r="W56" s="157" t="s">
        <v>3743</v>
      </c>
      <c r="X56" s="157" t="s">
        <v>3767</v>
      </c>
      <c r="Y56" s="157" t="s">
        <v>3388</v>
      </c>
      <c r="Z56" s="201">
        <v>0</v>
      </c>
      <c r="AA56" s="197">
        <v>0</v>
      </c>
    </row>
    <row r="57" spans="1:27" x14ac:dyDescent="0.15">
      <c r="A57" s="157">
        <v>901511</v>
      </c>
      <c r="B57" s="157" t="s">
        <v>3768</v>
      </c>
      <c r="C57" s="363" t="s">
        <v>3587</v>
      </c>
      <c r="E57" s="157">
        <v>7</v>
      </c>
      <c r="F57" s="157">
        <v>0</v>
      </c>
      <c r="G57" s="157">
        <v>27</v>
      </c>
      <c r="H57" s="157">
        <v>0</v>
      </c>
      <c r="I57" s="157" t="s">
        <v>3746</v>
      </c>
      <c r="J57" s="193">
        <v>999</v>
      </c>
      <c r="K57" s="157" t="b">
        <v>1</v>
      </c>
      <c r="L57" s="157">
        <v>1050</v>
      </c>
      <c r="M57" s="194">
        <v>2100</v>
      </c>
      <c r="N57" s="194">
        <v>3150</v>
      </c>
      <c r="O57" s="157" t="s">
        <v>3383</v>
      </c>
      <c r="P57" s="157">
        <v>99</v>
      </c>
      <c r="Q57" s="157">
        <v>3</v>
      </c>
      <c r="R57" s="157">
        <v>15</v>
      </c>
      <c r="S57" s="363">
        <v>0</v>
      </c>
      <c r="T57" s="157">
        <v>0</v>
      </c>
      <c r="U57" s="157" t="s">
        <v>3589</v>
      </c>
      <c r="V57" s="157" t="s">
        <v>3769</v>
      </c>
      <c r="W57" s="157" t="s">
        <v>3746</v>
      </c>
      <c r="X57" s="157" t="s">
        <v>3674</v>
      </c>
      <c r="Y57" s="157" t="s">
        <v>3388</v>
      </c>
      <c r="Z57" s="201">
        <v>0</v>
      </c>
      <c r="AA57" s="197">
        <v>0</v>
      </c>
    </row>
    <row r="58" spans="1:27" x14ac:dyDescent="0.15">
      <c r="A58" s="239">
        <v>901512</v>
      </c>
      <c r="B58" s="239" t="s">
        <v>3770</v>
      </c>
      <c r="C58" s="363" t="s">
        <v>3587</v>
      </c>
      <c r="E58" s="239">
        <v>7</v>
      </c>
      <c r="F58" s="239">
        <v>0</v>
      </c>
      <c r="G58" s="239">
        <v>27</v>
      </c>
      <c r="H58" s="157">
        <v>0</v>
      </c>
      <c r="I58" s="239"/>
      <c r="J58" s="239">
        <v>999</v>
      </c>
      <c r="K58" s="239" t="b">
        <v>1</v>
      </c>
      <c r="L58" s="239">
        <v>10500</v>
      </c>
      <c r="M58" s="194">
        <v>21000</v>
      </c>
      <c r="N58" s="194">
        <v>31500</v>
      </c>
      <c r="O58" s="239" t="s">
        <v>3383</v>
      </c>
      <c r="P58" s="239">
        <v>99</v>
      </c>
      <c r="Q58" s="239">
        <v>3</v>
      </c>
      <c r="R58" s="239">
        <v>15</v>
      </c>
      <c r="S58" s="363">
        <v>0</v>
      </c>
      <c r="T58" s="239">
        <v>0</v>
      </c>
      <c r="U58" s="239" t="s">
        <v>3589</v>
      </c>
      <c r="V58" s="239" t="s">
        <v>3771</v>
      </c>
      <c r="W58" s="239" t="s">
        <v>3772</v>
      </c>
      <c r="X58" s="239" t="s">
        <v>3704</v>
      </c>
      <c r="Y58" s="239" t="s">
        <v>3388</v>
      </c>
      <c r="Z58" s="367">
        <v>1</v>
      </c>
      <c r="AA58" s="368">
        <v>0</v>
      </c>
    </row>
    <row r="59" spans="1:27" x14ac:dyDescent="0.15">
      <c r="A59" s="209">
        <v>902061</v>
      </c>
      <c r="B59" s="104" t="s">
        <v>3773</v>
      </c>
      <c r="C59" s="209" t="s">
        <v>3587</v>
      </c>
      <c r="D59" s="104"/>
      <c r="E59" s="211">
        <v>2</v>
      </c>
      <c r="F59" s="209">
        <v>1</v>
      </c>
      <c r="G59" s="209">
        <v>1</v>
      </c>
      <c r="H59" s="209">
        <v>30</v>
      </c>
      <c r="I59" s="209" t="s">
        <v>3640</v>
      </c>
      <c r="J59" s="211">
        <v>999</v>
      </c>
      <c r="K59" s="209" t="b">
        <v>1</v>
      </c>
      <c r="L59" s="211">
        <v>5</v>
      </c>
      <c r="M59" s="194">
        <v>75</v>
      </c>
      <c r="N59" s="194">
        <v>100</v>
      </c>
      <c r="O59" s="209" t="s">
        <v>3383</v>
      </c>
      <c r="P59" s="209">
        <v>2</v>
      </c>
      <c r="Q59" s="209">
        <v>1</v>
      </c>
      <c r="R59" s="209">
        <v>30</v>
      </c>
      <c r="S59" s="209">
        <v>0</v>
      </c>
      <c r="T59" s="209">
        <v>0</v>
      </c>
      <c r="U59" s="209" t="s">
        <v>3589</v>
      </c>
      <c r="V59" s="104" t="s">
        <v>3774</v>
      </c>
      <c r="W59" s="104" t="s">
        <v>3773</v>
      </c>
      <c r="X59" s="209" t="s">
        <v>3775</v>
      </c>
      <c r="Y59" s="209" t="s">
        <v>3593</v>
      </c>
      <c r="Z59" s="201">
        <v>1</v>
      </c>
      <c r="AA59" s="197">
        <v>1</v>
      </c>
    </row>
    <row r="60" spans="1:27" x14ac:dyDescent="0.15">
      <c r="A60" s="209">
        <v>902062</v>
      </c>
      <c r="B60" s="104" t="s">
        <v>3776</v>
      </c>
      <c r="C60" s="209" t="s">
        <v>3587</v>
      </c>
      <c r="D60" s="104"/>
      <c r="E60" s="211">
        <v>4</v>
      </c>
      <c r="F60" s="209">
        <v>1</v>
      </c>
      <c r="G60" s="209">
        <v>1</v>
      </c>
      <c r="H60" s="209">
        <v>50</v>
      </c>
      <c r="I60" s="209" t="s">
        <v>3777</v>
      </c>
      <c r="J60" s="211">
        <v>999</v>
      </c>
      <c r="K60" s="209" t="b">
        <v>1</v>
      </c>
      <c r="L60" s="211">
        <v>7</v>
      </c>
      <c r="M60" s="194">
        <v>105</v>
      </c>
      <c r="N60" s="194">
        <v>140</v>
      </c>
      <c r="O60" s="209" t="s">
        <v>3383</v>
      </c>
      <c r="P60" s="209">
        <v>2</v>
      </c>
      <c r="Q60" s="209">
        <v>1</v>
      </c>
      <c r="R60" s="209">
        <v>30</v>
      </c>
      <c r="S60" s="209">
        <v>0</v>
      </c>
      <c r="T60" s="209">
        <v>0</v>
      </c>
      <c r="U60" s="209" t="s">
        <v>3589</v>
      </c>
      <c r="V60" s="104" t="s">
        <v>3778</v>
      </c>
      <c r="W60" s="104" t="s">
        <v>3776</v>
      </c>
      <c r="X60" s="209" t="s">
        <v>3779</v>
      </c>
      <c r="Y60" s="209" t="s">
        <v>3593</v>
      </c>
      <c r="Z60" s="201">
        <v>1</v>
      </c>
      <c r="AA60" s="197">
        <v>1</v>
      </c>
    </row>
    <row r="61" spans="1:27" x14ac:dyDescent="0.15">
      <c r="A61" s="209">
        <v>902063</v>
      </c>
      <c r="B61" s="104" t="s">
        <v>3780</v>
      </c>
      <c r="C61" s="209" t="s">
        <v>3587</v>
      </c>
      <c r="D61" s="104"/>
      <c r="E61" s="211">
        <v>6</v>
      </c>
      <c r="F61" s="209">
        <v>1</v>
      </c>
      <c r="G61" s="209">
        <v>1</v>
      </c>
      <c r="H61" s="209">
        <v>80</v>
      </c>
      <c r="I61" s="209" t="s">
        <v>3781</v>
      </c>
      <c r="J61" s="211">
        <v>999</v>
      </c>
      <c r="K61" s="209" t="b">
        <v>1</v>
      </c>
      <c r="L61" s="211">
        <v>10</v>
      </c>
      <c r="M61" s="194">
        <v>150</v>
      </c>
      <c r="N61" s="194">
        <v>200</v>
      </c>
      <c r="O61" s="209" t="s">
        <v>3383</v>
      </c>
      <c r="P61" s="209">
        <v>2</v>
      </c>
      <c r="Q61" s="209">
        <v>1</v>
      </c>
      <c r="R61" s="209">
        <v>30</v>
      </c>
      <c r="S61" s="209">
        <v>0</v>
      </c>
      <c r="T61" s="209">
        <v>0</v>
      </c>
      <c r="U61" s="209" t="s">
        <v>3589</v>
      </c>
      <c r="V61" s="104" t="s">
        <v>3782</v>
      </c>
      <c r="W61" s="104" t="s">
        <v>3780</v>
      </c>
      <c r="X61" s="209" t="s">
        <v>3783</v>
      </c>
      <c r="Y61" s="209" t="s">
        <v>3593</v>
      </c>
      <c r="Z61" s="201">
        <v>1</v>
      </c>
      <c r="AA61" s="197">
        <v>1</v>
      </c>
    </row>
    <row r="62" spans="1:27" x14ac:dyDescent="0.15">
      <c r="A62" s="209">
        <v>902064</v>
      </c>
      <c r="B62" s="104" t="s">
        <v>3784</v>
      </c>
      <c r="C62" s="209" t="s">
        <v>3587</v>
      </c>
      <c r="D62" s="104"/>
      <c r="E62" s="211">
        <v>2</v>
      </c>
      <c r="F62" s="209">
        <v>1</v>
      </c>
      <c r="G62" s="209">
        <v>1</v>
      </c>
      <c r="H62" s="209">
        <v>30</v>
      </c>
      <c r="I62" s="209" t="s">
        <v>3640</v>
      </c>
      <c r="J62" s="211">
        <v>999</v>
      </c>
      <c r="K62" s="209" t="b">
        <v>1</v>
      </c>
      <c r="L62" s="211">
        <v>5</v>
      </c>
      <c r="M62" s="194">
        <v>75</v>
      </c>
      <c r="N62" s="194">
        <v>100</v>
      </c>
      <c r="O62" s="209" t="s">
        <v>3383</v>
      </c>
      <c r="P62" s="209">
        <v>2</v>
      </c>
      <c r="Q62" s="209">
        <v>1</v>
      </c>
      <c r="R62" s="209">
        <v>30</v>
      </c>
      <c r="S62" s="209">
        <v>0</v>
      </c>
      <c r="T62" s="209">
        <v>0</v>
      </c>
      <c r="U62" s="209" t="s">
        <v>3589</v>
      </c>
      <c r="V62" s="104" t="s">
        <v>3785</v>
      </c>
      <c r="W62" s="104" t="s">
        <v>3784</v>
      </c>
      <c r="X62" s="209" t="s">
        <v>3786</v>
      </c>
      <c r="Y62" s="209" t="s">
        <v>3593</v>
      </c>
      <c r="Z62" s="201">
        <v>1</v>
      </c>
      <c r="AA62" s="197">
        <v>1</v>
      </c>
    </row>
    <row r="63" spans="1:27" x14ac:dyDescent="0.15">
      <c r="A63" s="209">
        <v>902065</v>
      </c>
      <c r="B63" s="104" t="s">
        <v>3787</v>
      </c>
      <c r="C63" s="209" t="s">
        <v>3587</v>
      </c>
      <c r="D63" s="104"/>
      <c r="E63" s="211">
        <v>4</v>
      </c>
      <c r="F63" s="209">
        <v>1</v>
      </c>
      <c r="G63" s="209">
        <v>1</v>
      </c>
      <c r="H63" s="209">
        <v>50</v>
      </c>
      <c r="I63" s="209" t="s">
        <v>3777</v>
      </c>
      <c r="J63" s="211">
        <v>999</v>
      </c>
      <c r="K63" s="209" t="b">
        <v>1</v>
      </c>
      <c r="L63" s="211">
        <v>7</v>
      </c>
      <c r="M63" s="194">
        <v>105</v>
      </c>
      <c r="N63" s="194">
        <v>140</v>
      </c>
      <c r="O63" s="209" t="s">
        <v>3383</v>
      </c>
      <c r="P63" s="209">
        <v>2</v>
      </c>
      <c r="Q63" s="209">
        <v>1</v>
      </c>
      <c r="R63" s="209">
        <v>30</v>
      </c>
      <c r="S63" s="209">
        <v>0</v>
      </c>
      <c r="T63" s="209">
        <v>0</v>
      </c>
      <c r="U63" s="209" t="s">
        <v>3589</v>
      </c>
      <c r="V63" s="104" t="s">
        <v>3788</v>
      </c>
      <c r="W63" s="104" t="s">
        <v>3787</v>
      </c>
      <c r="X63" s="209" t="s">
        <v>3789</v>
      </c>
      <c r="Y63" s="209" t="s">
        <v>3593</v>
      </c>
      <c r="Z63" s="201">
        <v>1</v>
      </c>
      <c r="AA63" s="197">
        <v>1</v>
      </c>
    </row>
    <row r="64" spans="1:27" x14ac:dyDescent="0.15">
      <c r="A64" s="209">
        <v>902066</v>
      </c>
      <c r="B64" s="104" t="s">
        <v>3790</v>
      </c>
      <c r="C64" s="209" t="s">
        <v>3587</v>
      </c>
      <c r="D64" s="104"/>
      <c r="E64" s="211">
        <v>6</v>
      </c>
      <c r="F64" s="209">
        <v>1</v>
      </c>
      <c r="G64" s="209">
        <v>1</v>
      </c>
      <c r="H64" s="209">
        <v>80</v>
      </c>
      <c r="I64" s="209" t="s">
        <v>3781</v>
      </c>
      <c r="J64" s="211">
        <v>999</v>
      </c>
      <c r="K64" s="209" t="b">
        <v>1</v>
      </c>
      <c r="L64" s="211">
        <v>10</v>
      </c>
      <c r="M64" s="194">
        <v>150</v>
      </c>
      <c r="N64" s="194">
        <v>200</v>
      </c>
      <c r="O64" s="209" t="s">
        <v>3383</v>
      </c>
      <c r="P64" s="209">
        <v>2</v>
      </c>
      <c r="Q64" s="209">
        <v>1</v>
      </c>
      <c r="R64" s="209">
        <v>30</v>
      </c>
      <c r="S64" s="209">
        <v>0</v>
      </c>
      <c r="T64" s="209">
        <v>0</v>
      </c>
      <c r="U64" s="209" t="s">
        <v>3589</v>
      </c>
      <c r="V64" s="104" t="s">
        <v>3791</v>
      </c>
      <c r="W64" s="104" t="s">
        <v>3790</v>
      </c>
      <c r="X64" s="209" t="s">
        <v>3792</v>
      </c>
      <c r="Y64" s="209" t="s">
        <v>3593</v>
      </c>
      <c r="Z64" s="201">
        <v>1</v>
      </c>
      <c r="AA64" s="197">
        <v>1</v>
      </c>
    </row>
    <row r="65" spans="1:27" x14ac:dyDescent="0.15">
      <c r="A65" s="209">
        <v>902067</v>
      </c>
      <c r="B65" s="104" t="s">
        <v>3793</v>
      </c>
      <c r="C65" s="209" t="s">
        <v>3587</v>
      </c>
      <c r="D65" s="104"/>
      <c r="E65" s="211">
        <v>2</v>
      </c>
      <c r="F65" s="209">
        <v>1</v>
      </c>
      <c r="G65" s="209">
        <v>1</v>
      </c>
      <c r="H65" s="209">
        <v>30</v>
      </c>
      <c r="I65" s="209" t="s">
        <v>3640</v>
      </c>
      <c r="J65" s="211">
        <v>999</v>
      </c>
      <c r="K65" s="209" t="b">
        <v>1</v>
      </c>
      <c r="L65" s="211">
        <v>5</v>
      </c>
      <c r="M65" s="194">
        <v>75</v>
      </c>
      <c r="N65" s="194">
        <v>100</v>
      </c>
      <c r="O65" s="209" t="s">
        <v>3383</v>
      </c>
      <c r="P65" s="209">
        <v>2</v>
      </c>
      <c r="Q65" s="209">
        <v>1</v>
      </c>
      <c r="R65" s="209">
        <v>30</v>
      </c>
      <c r="S65" s="209">
        <v>0</v>
      </c>
      <c r="T65" s="209">
        <v>0</v>
      </c>
      <c r="U65" s="209" t="s">
        <v>3589</v>
      </c>
      <c r="V65" s="104" t="s">
        <v>3794</v>
      </c>
      <c r="W65" s="104" t="s">
        <v>3793</v>
      </c>
      <c r="X65" s="209" t="s">
        <v>3795</v>
      </c>
      <c r="Y65" s="209" t="s">
        <v>3593</v>
      </c>
      <c r="Z65" s="201">
        <v>1</v>
      </c>
      <c r="AA65" s="197">
        <v>1</v>
      </c>
    </row>
    <row r="66" spans="1:27" x14ac:dyDescent="0.15">
      <c r="A66" s="209">
        <v>902068</v>
      </c>
      <c r="B66" s="104" t="s">
        <v>3796</v>
      </c>
      <c r="C66" s="209" t="s">
        <v>3587</v>
      </c>
      <c r="D66" s="104"/>
      <c r="E66" s="211">
        <v>4</v>
      </c>
      <c r="F66" s="209">
        <v>1</v>
      </c>
      <c r="G66" s="209">
        <v>1</v>
      </c>
      <c r="H66" s="209">
        <v>50</v>
      </c>
      <c r="I66" s="209" t="s">
        <v>3777</v>
      </c>
      <c r="J66" s="211">
        <v>999</v>
      </c>
      <c r="K66" s="209" t="b">
        <v>1</v>
      </c>
      <c r="L66" s="211">
        <v>7</v>
      </c>
      <c r="M66" s="194">
        <v>105</v>
      </c>
      <c r="N66" s="194">
        <v>140</v>
      </c>
      <c r="O66" s="209" t="s">
        <v>3383</v>
      </c>
      <c r="P66" s="209">
        <v>2</v>
      </c>
      <c r="Q66" s="209">
        <v>1</v>
      </c>
      <c r="R66" s="209">
        <v>30</v>
      </c>
      <c r="S66" s="209">
        <v>0</v>
      </c>
      <c r="T66" s="209">
        <v>0</v>
      </c>
      <c r="U66" s="209" t="s">
        <v>3589</v>
      </c>
      <c r="V66" s="104" t="s">
        <v>3797</v>
      </c>
      <c r="W66" s="104" t="s">
        <v>3796</v>
      </c>
      <c r="X66" s="209" t="s">
        <v>3798</v>
      </c>
      <c r="Y66" s="209" t="s">
        <v>3593</v>
      </c>
      <c r="Z66" s="201">
        <v>1</v>
      </c>
      <c r="AA66" s="197">
        <v>1</v>
      </c>
    </row>
    <row r="67" spans="1:27" x14ac:dyDescent="0.15">
      <c r="A67" s="209">
        <v>902069</v>
      </c>
      <c r="B67" s="104" t="s">
        <v>3799</v>
      </c>
      <c r="C67" s="209" t="s">
        <v>3587</v>
      </c>
      <c r="D67" s="104"/>
      <c r="E67" s="211">
        <v>6</v>
      </c>
      <c r="F67" s="209">
        <v>1</v>
      </c>
      <c r="G67" s="209">
        <v>1</v>
      </c>
      <c r="H67" s="209">
        <v>80</v>
      </c>
      <c r="I67" s="209" t="s">
        <v>3781</v>
      </c>
      <c r="J67" s="211">
        <v>999</v>
      </c>
      <c r="K67" s="209" t="b">
        <v>1</v>
      </c>
      <c r="L67" s="211">
        <v>10</v>
      </c>
      <c r="M67" s="194">
        <v>150</v>
      </c>
      <c r="N67" s="194">
        <v>200</v>
      </c>
      <c r="O67" s="209" t="s">
        <v>3383</v>
      </c>
      <c r="P67" s="209">
        <v>2</v>
      </c>
      <c r="Q67" s="209">
        <v>1</v>
      </c>
      <c r="R67" s="209">
        <v>30</v>
      </c>
      <c r="S67" s="209">
        <v>0</v>
      </c>
      <c r="T67" s="209">
        <v>0</v>
      </c>
      <c r="U67" s="209" t="s">
        <v>3589</v>
      </c>
      <c r="V67" s="104" t="s">
        <v>3800</v>
      </c>
      <c r="W67" s="104" t="s">
        <v>3799</v>
      </c>
      <c r="X67" s="209" t="s">
        <v>3801</v>
      </c>
      <c r="Y67" s="209" t="s">
        <v>3593</v>
      </c>
      <c r="Z67" s="201">
        <v>1</v>
      </c>
      <c r="AA67" s="197">
        <v>1</v>
      </c>
    </row>
    <row r="68" spans="1:27" x14ac:dyDescent="0.15">
      <c r="A68" s="209">
        <v>902070</v>
      </c>
      <c r="B68" s="104" t="s">
        <v>3802</v>
      </c>
      <c r="C68" s="209" t="s">
        <v>3587</v>
      </c>
      <c r="D68" s="104"/>
      <c r="E68" s="211">
        <v>2</v>
      </c>
      <c r="F68" s="209">
        <v>1</v>
      </c>
      <c r="G68" s="209">
        <v>1</v>
      </c>
      <c r="H68" s="209">
        <v>30</v>
      </c>
      <c r="I68" s="209" t="s">
        <v>3640</v>
      </c>
      <c r="J68" s="211">
        <v>999</v>
      </c>
      <c r="K68" s="209" t="b">
        <v>1</v>
      </c>
      <c r="L68" s="211">
        <v>5</v>
      </c>
      <c r="M68" s="194">
        <v>75</v>
      </c>
      <c r="N68" s="194">
        <v>100</v>
      </c>
      <c r="O68" s="209" t="s">
        <v>3383</v>
      </c>
      <c r="P68" s="209">
        <v>2</v>
      </c>
      <c r="Q68" s="209">
        <v>1</v>
      </c>
      <c r="R68" s="209">
        <v>30</v>
      </c>
      <c r="S68" s="209">
        <v>0</v>
      </c>
      <c r="T68" s="209">
        <v>0</v>
      </c>
      <c r="U68" s="209" t="s">
        <v>3589</v>
      </c>
      <c r="V68" s="104" t="s">
        <v>3803</v>
      </c>
      <c r="W68" s="104" t="s">
        <v>3802</v>
      </c>
      <c r="X68" s="209" t="s">
        <v>3804</v>
      </c>
      <c r="Y68" s="209" t="s">
        <v>3593</v>
      </c>
      <c r="Z68" s="201">
        <v>1</v>
      </c>
      <c r="AA68" s="197">
        <v>1</v>
      </c>
    </row>
    <row r="69" spans="1:27" x14ac:dyDescent="0.15">
      <c r="A69" s="209">
        <v>902071</v>
      </c>
      <c r="B69" s="104" t="s">
        <v>3805</v>
      </c>
      <c r="C69" s="209" t="s">
        <v>3587</v>
      </c>
      <c r="D69" s="104"/>
      <c r="E69" s="211">
        <v>4</v>
      </c>
      <c r="F69" s="209">
        <v>1</v>
      </c>
      <c r="G69" s="209">
        <v>1</v>
      </c>
      <c r="H69" s="209">
        <v>50</v>
      </c>
      <c r="I69" s="209" t="s">
        <v>3777</v>
      </c>
      <c r="J69" s="211">
        <v>999</v>
      </c>
      <c r="K69" s="209" t="b">
        <v>1</v>
      </c>
      <c r="L69" s="211">
        <v>7</v>
      </c>
      <c r="M69" s="194">
        <v>105</v>
      </c>
      <c r="N69" s="194">
        <v>140</v>
      </c>
      <c r="O69" s="209" t="s">
        <v>3383</v>
      </c>
      <c r="P69" s="209">
        <v>2</v>
      </c>
      <c r="Q69" s="209">
        <v>1</v>
      </c>
      <c r="R69" s="209">
        <v>30</v>
      </c>
      <c r="S69" s="209">
        <v>0</v>
      </c>
      <c r="T69" s="209">
        <v>0</v>
      </c>
      <c r="U69" s="209" t="s">
        <v>3589</v>
      </c>
      <c r="V69" s="104" t="s">
        <v>3806</v>
      </c>
      <c r="W69" s="104" t="s">
        <v>3805</v>
      </c>
      <c r="X69" s="209" t="s">
        <v>3807</v>
      </c>
      <c r="Y69" s="209" t="s">
        <v>3593</v>
      </c>
      <c r="Z69" s="201">
        <v>1</v>
      </c>
      <c r="AA69" s="197">
        <v>1</v>
      </c>
    </row>
    <row r="70" spans="1:27" x14ac:dyDescent="0.15">
      <c r="A70" s="209">
        <v>902072</v>
      </c>
      <c r="B70" s="104" t="s">
        <v>3808</v>
      </c>
      <c r="C70" s="209" t="s">
        <v>3587</v>
      </c>
      <c r="D70" s="104"/>
      <c r="E70" s="211">
        <v>6</v>
      </c>
      <c r="F70" s="209">
        <v>1</v>
      </c>
      <c r="G70" s="209">
        <v>1</v>
      </c>
      <c r="H70" s="209">
        <v>80</v>
      </c>
      <c r="I70" s="209" t="s">
        <v>3781</v>
      </c>
      <c r="J70" s="211">
        <v>999</v>
      </c>
      <c r="K70" s="209" t="b">
        <v>1</v>
      </c>
      <c r="L70" s="211">
        <v>10</v>
      </c>
      <c r="M70" s="194">
        <v>150</v>
      </c>
      <c r="N70" s="194">
        <v>200</v>
      </c>
      <c r="O70" s="209" t="s">
        <v>3383</v>
      </c>
      <c r="P70" s="209">
        <v>2</v>
      </c>
      <c r="Q70" s="209">
        <v>1</v>
      </c>
      <c r="R70" s="209">
        <v>30</v>
      </c>
      <c r="S70" s="209">
        <v>0</v>
      </c>
      <c r="T70" s="209">
        <v>0</v>
      </c>
      <c r="U70" s="209" t="s">
        <v>3589</v>
      </c>
      <c r="V70" s="104" t="s">
        <v>3809</v>
      </c>
      <c r="W70" s="104" t="s">
        <v>3808</v>
      </c>
      <c r="X70" s="209" t="s">
        <v>3810</v>
      </c>
      <c r="Y70" s="209" t="s">
        <v>3593</v>
      </c>
      <c r="Z70" s="201">
        <v>1</v>
      </c>
      <c r="AA70" s="197">
        <v>1</v>
      </c>
    </row>
  </sheetData>
  <phoneticPr fontId="45" type="noConversion"/>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AA70"/>
  <sheetViews>
    <sheetView zoomScale="85" zoomScaleNormal="85" workbookViewId="0">
      <pane ySplit="1" topLeftCell="A50" activePane="bottomLeft" state="frozen"/>
      <selection pane="bottomLeft" activeCell="H73" sqref="H73"/>
    </sheetView>
  </sheetViews>
  <sheetFormatPr defaultColWidth="9" defaultRowHeight="13.5" x14ac:dyDescent="0.15"/>
  <cols>
    <col min="2" max="2" width="13.75" customWidth="1"/>
    <col min="3" max="7" width="9" customWidth="1"/>
    <col min="8" max="8" width="13.875" customWidth="1"/>
    <col min="9" max="9" width="24.625" customWidth="1"/>
    <col min="10" max="10" width="9" customWidth="1"/>
    <col min="11" max="11" width="9.75" customWidth="1"/>
    <col min="12" max="12" width="11.625" customWidth="1"/>
    <col min="13" max="13" width="21" customWidth="1"/>
    <col min="14" max="14" width="17.625" customWidth="1"/>
    <col min="15" max="15" width="9" customWidth="1"/>
    <col min="16" max="17" width="9.875" customWidth="1"/>
    <col min="18" max="18" width="7.75" customWidth="1"/>
    <col min="19" max="19" width="17.25" customWidth="1"/>
    <col min="20" max="20" width="4.75" customWidth="1"/>
    <col min="21" max="21" width="10.625" hidden="1" customWidth="1"/>
    <col min="22" max="22" width="37.75" customWidth="1"/>
    <col min="23" max="23" width="17.375" customWidth="1"/>
    <col min="24" max="24" width="19.5" customWidth="1"/>
    <col min="26" max="26" width="18.625" customWidth="1"/>
  </cols>
  <sheetData>
    <row r="1" spans="1:27" s="1" customFormat="1" ht="27" x14ac:dyDescent="0.15">
      <c r="A1" s="361" t="s">
        <v>0</v>
      </c>
      <c r="B1" s="361" t="s">
        <v>1</v>
      </c>
      <c r="C1" s="361" t="s">
        <v>3</v>
      </c>
      <c r="D1" s="361" t="s">
        <v>3367</v>
      </c>
      <c r="E1" s="361" t="s">
        <v>7</v>
      </c>
      <c r="F1" s="361" t="s">
        <v>9</v>
      </c>
      <c r="G1" s="361" t="s">
        <v>10</v>
      </c>
      <c r="H1" s="361" t="s">
        <v>3584</v>
      </c>
      <c r="I1" s="361" t="s">
        <v>3369</v>
      </c>
      <c r="J1" s="361" t="s">
        <v>16</v>
      </c>
      <c r="K1" s="364" t="s">
        <v>17</v>
      </c>
      <c r="L1" s="361" t="s">
        <v>18</v>
      </c>
      <c r="M1" s="361" t="s">
        <v>19</v>
      </c>
      <c r="N1" s="361" t="s">
        <v>20</v>
      </c>
      <c r="O1" s="361" t="s">
        <v>3371</v>
      </c>
      <c r="P1" s="157" t="s">
        <v>3372</v>
      </c>
      <c r="Q1" s="157" t="s">
        <v>22</v>
      </c>
      <c r="R1" s="157" t="s">
        <v>3374</v>
      </c>
      <c r="S1" s="361" t="s">
        <v>3585</v>
      </c>
      <c r="T1" s="361" t="s">
        <v>3375</v>
      </c>
      <c r="U1" s="361" t="s">
        <v>23</v>
      </c>
      <c r="V1" s="361" t="s">
        <v>24</v>
      </c>
      <c r="W1" s="361" t="s">
        <v>3376</v>
      </c>
      <c r="X1" s="361" t="s">
        <v>26</v>
      </c>
      <c r="Y1" s="361" t="s">
        <v>27</v>
      </c>
      <c r="Z1" s="201" t="s">
        <v>28</v>
      </c>
      <c r="AA1" s="197" t="s">
        <v>29</v>
      </c>
    </row>
    <row r="2" spans="1:27" s="5" customFormat="1" ht="17.25" x14ac:dyDescent="0.3">
      <c r="A2" s="193">
        <v>902001</v>
      </c>
      <c r="B2" s="206" t="s">
        <v>3811</v>
      </c>
      <c r="C2" s="193" t="s">
        <v>3587</v>
      </c>
      <c r="D2" s="193">
        <v>1005</v>
      </c>
      <c r="E2" s="193">
        <v>2</v>
      </c>
      <c r="F2" s="193">
        <v>1</v>
      </c>
      <c r="G2" s="193">
        <v>30</v>
      </c>
      <c r="H2" s="193">
        <v>10</v>
      </c>
      <c r="I2" s="193" t="s">
        <v>3588</v>
      </c>
      <c r="J2" s="193">
        <v>999</v>
      </c>
      <c r="K2" s="193" t="b">
        <v>1</v>
      </c>
      <c r="L2" s="193">
        <v>5</v>
      </c>
      <c r="M2" s="194">
        <v>75</v>
      </c>
      <c r="N2" s="194">
        <v>100</v>
      </c>
      <c r="O2" s="157" t="s">
        <v>3383</v>
      </c>
      <c r="P2" s="157">
        <v>2</v>
      </c>
      <c r="Q2" s="157">
        <v>1</v>
      </c>
      <c r="R2" s="157">
        <v>30</v>
      </c>
      <c r="S2" s="193">
        <v>0</v>
      </c>
      <c r="T2" s="193">
        <v>0</v>
      </c>
      <c r="U2" s="193" t="s">
        <v>3589</v>
      </c>
      <c r="V2" s="206" t="s">
        <v>3812</v>
      </c>
      <c r="W2" s="206" t="s">
        <v>3813</v>
      </c>
      <c r="X2" s="366" t="s">
        <v>3592</v>
      </c>
      <c r="Y2" s="193" t="s">
        <v>3593</v>
      </c>
      <c r="Z2" s="201">
        <v>1</v>
      </c>
      <c r="AA2" s="197">
        <v>1</v>
      </c>
    </row>
    <row r="3" spans="1:27" s="5" customFormat="1" ht="17.25" x14ac:dyDescent="0.3">
      <c r="A3" s="193">
        <v>902002</v>
      </c>
      <c r="B3" s="206" t="s">
        <v>3814</v>
      </c>
      <c r="C3" s="193" t="s">
        <v>3587</v>
      </c>
      <c r="D3" s="193">
        <v>1002</v>
      </c>
      <c r="E3" s="193">
        <v>2</v>
      </c>
      <c r="F3" s="193">
        <v>1</v>
      </c>
      <c r="G3" s="193">
        <v>30</v>
      </c>
      <c r="H3" s="193">
        <v>10</v>
      </c>
      <c r="I3" s="193" t="s">
        <v>3588</v>
      </c>
      <c r="J3" s="193">
        <v>999</v>
      </c>
      <c r="K3" s="193" t="b">
        <v>1</v>
      </c>
      <c r="L3" s="193">
        <v>5</v>
      </c>
      <c r="M3" s="194">
        <v>75</v>
      </c>
      <c r="N3" s="194">
        <v>100</v>
      </c>
      <c r="O3" s="193" t="s">
        <v>3383</v>
      </c>
      <c r="P3" s="157">
        <v>2</v>
      </c>
      <c r="Q3" s="157">
        <v>1</v>
      </c>
      <c r="R3" s="157">
        <v>30</v>
      </c>
      <c r="S3" s="193">
        <v>0</v>
      </c>
      <c r="T3" s="193">
        <v>0</v>
      </c>
      <c r="U3" s="193" t="s">
        <v>3589</v>
      </c>
      <c r="V3" s="206" t="s">
        <v>3815</v>
      </c>
      <c r="W3" s="206" t="s">
        <v>3816</v>
      </c>
      <c r="X3" s="366" t="s">
        <v>3597</v>
      </c>
      <c r="Y3" s="193" t="s">
        <v>3593</v>
      </c>
      <c r="Z3" s="201">
        <v>1</v>
      </c>
      <c r="AA3" s="197">
        <v>1</v>
      </c>
    </row>
    <row r="4" spans="1:27" s="5" customFormat="1" ht="17.25" x14ac:dyDescent="0.3">
      <c r="A4" s="193">
        <v>902003</v>
      </c>
      <c r="B4" s="206" t="s">
        <v>3817</v>
      </c>
      <c r="C4" s="193" t="s">
        <v>3587</v>
      </c>
      <c r="D4" s="193">
        <v>1003</v>
      </c>
      <c r="E4" s="193">
        <v>2</v>
      </c>
      <c r="F4" s="193">
        <v>1</v>
      </c>
      <c r="G4" s="193">
        <v>30</v>
      </c>
      <c r="H4" s="193">
        <v>10</v>
      </c>
      <c r="I4" s="193" t="s">
        <v>3588</v>
      </c>
      <c r="J4" s="193">
        <v>999</v>
      </c>
      <c r="K4" s="193" t="b">
        <v>1</v>
      </c>
      <c r="L4" s="193">
        <v>5</v>
      </c>
      <c r="M4" s="194">
        <v>75</v>
      </c>
      <c r="N4" s="194">
        <v>100</v>
      </c>
      <c r="O4" s="157" t="s">
        <v>3383</v>
      </c>
      <c r="P4" s="157">
        <v>2</v>
      </c>
      <c r="Q4" s="157">
        <v>1</v>
      </c>
      <c r="R4" s="157">
        <v>30</v>
      </c>
      <c r="S4" s="193">
        <v>0</v>
      </c>
      <c r="T4" s="193">
        <v>0</v>
      </c>
      <c r="U4" s="193" t="s">
        <v>3589</v>
      </c>
      <c r="V4" s="206" t="s">
        <v>3818</v>
      </c>
      <c r="W4" s="206" t="s">
        <v>3819</v>
      </c>
      <c r="X4" s="366" t="s">
        <v>3601</v>
      </c>
      <c r="Y4" s="193" t="s">
        <v>3593</v>
      </c>
      <c r="Z4" s="201">
        <v>1</v>
      </c>
      <c r="AA4" s="197">
        <v>1</v>
      </c>
    </row>
    <row r="5" spans="1:27" s="5" customFormat="1" ht="17.25" x14ac:dyDescent="0.3">
      <c r="A5" s="193">
        <v>902004</v>
      </c>
      <c r="B5" s="206" t="s">
        <v>3820</v>
      </c>
      <c r="C5" s="193" t="s">
        <v>3587</v>
      </c>
      <c r="D5" s="193">
        <v>1007</v>
      </c>
      <c r="E5" s="193">
        <v>2</v>
      </c>
      <c r="F5" s="193">
        <v>1</v>
      </c>
      <c r="G5" s="193">
        <v>1</v>
      </c>
      <c r="H5" s="193">
        <v>20</v>
      </c>
      <c r="I5" s="193" t="s">
        <v>3603</v>
      </c>
      <c r="J5" s="193">
        <v>999</v>
      </c>
      <c r="K5" s="193" t="b">
        <v>1</v>
      </c>
      <c r="L5" s="193">
        <v>5</v>
      </c>
      <c r="M5" s="194">
        <v>75</v>
      </c>
      <c r="N5" s="194">
        <v>100</v>
      </c>
      <c r="O5" s="193" t="s">
        <v>3383</v>
      </c>
      <c r="P5" s="157">
        <v>2</v>
      </c>
      <c r="Q5" s="157">
        <v>1</v>
      </c>
      <c r="R5" s="157">
        <v>30</v>
      </c>
      <c r="S5" s="193">
        <v>0</v>
      </c>
      <c r="T5" s="193">
        <v>0</v>
      </c>
      <c r="U5" s="193" t="s">
        <v>3589</v>
      </c>
      <c r="V5" s="206" t="s">
        <v>3821</v>
      </c>
      <c r="W5" s="206" t="s">
        <v>3822</v>
      </c>
      <c r="X5" s="366" t="s">
        <v>3606</v>
      </c>
      <c r="Y5" s="193" t="s">
        <v>3593</v>
      </c>
      <c r="Z5" s="201">
        <v>1</v>
      </c>
      <c r="AA5" s="197">
        <v>1</v>
      </c>
    </row>
    <row r="6" spans="1:27" s="5" customFormat="1" ht="17.25" x14ac:dyDescent="0.3">
      <c r="A6" s="193">
        <v>902005</v>
      </c>
      <c r="B6" s="206" t="s">
        <v>3823</v>
      </c>
      <c r="C6" s="193" t="s">
        <v>3587</v>
      </c>
      <c r="D6" s="193">
        <v>1006</v>
      </c>
      <c r="E6" s="193">
        <v>2</v>
      </c>
      <c r="F6" s="193">
        <v>1</v>
      </c>
      <c r="G6" s="193">
        <v>1</v>
      </c>
      <c r="H6" s="193">
        <v>20</v>
      </c>
      <c r="I6" s="193" t="s">
        <v>3603</v>
      </c>
      <c r="J6" s="193">
        <v>999</v>
      </c>
      <c r="K6" s="193" t="b">
        <v>1</v>
      </c>
      <c r="L6" s="193">
        <v>5</v>
      </c>
      <c r="M6" s="194">
        <v>75</v>
      </c>
      <c r="N6" s="194">
        <v>100</v>
      </c>
      <c r="O6" s="157" t="s">
        <v>3383</v>
      </c>
      <c r="P6" s="157">
        <v>2</v>
      </c>
      <c r="Q6" s="157">
        <v>1</v>
      </c>
      <c r="R6" s="157">
        <v>30</v>
      </c>
      <c r="S6" s="193">
        <v>0</v>
      </c>
      <c r="T6" s="193">
        <v>0</v>
      </c>
      <c r="U6" s="193" t="s">
        <v>3589</v>
      </c>
      <c r="V6" s="206" t="s">
        <v>3824</v>
      </c>
      <c r="W6" s="206" t="s">
        <v>3825</v>
      </c>
      <c r="X6" s="366" t="s">
        <v>3610</v>
      </c>
      <c r="Y6" s="193" t="s">
        <v>3593</v>
      </c>
      <c r="Z6" s="201">
        <v>1</v>
      </c>
      <c r="AA6" s="197">
        <v>1</v>
      </c>
    </row>
    <row r="7" spans="1:27" s="5" customFormat="1" ht="17.25" x14ac:dyDescent="0.3">
      <c r="A7" s="193">
        <v>902006</v>
      </c>
      <c r="B7" s="206" t="s">
        <v>3826</v>
      </c>
      <c r="C7" s="193" t="s">
        <v>3587</v>
      </c>
      <c r="D7" s="193">
        <v>1003</v>
      </c>
      <c r="E7" s="193">
        <v>2</v>
      </c>
      <c r="F7" s="193">
        <v>1</v>
      </c>
      <c r="G7" s="193">
        <v>5</v>
      </c>
      <c r="H7" s="193">
        <v>10</v>
      </c>
      <c r="I7" s="193" t="s">
        <v>3588</v>
      </c>
      <c r="J7" s="193">
        <v>999</v>
      </c>
      <c r="K7" s="193" t="b">
        <v>1</v>
      </c>
      <c r="L7" s="193">
        <v>5</v>
      </c>
      <c r="M7" s="194">
        <v>75</v>
      </c>
      <c r="N7" s="194">
        <v>100</v>
      </c>
      <c r="O7" s="193" t="s">
        <v>3383</v>
      </c>
      <c r="P7" s="157">
        <v>2</v>
      </c>
      <c r="Q7" s="157">
        <v>1</v>
      </c>
      <c r="R7" s="157">
        <v>30</v>
      </c>
      <c r="S7" s="193">
        <v>0</v>
      </c>
      <c r="T7" s="193">
        <v>0</v>
      </c>
      <c r="U7" s="193" t="s">
        <v>3612</v>
      </c>
      <c r="V7" s="206" t="s">
        <v>3827</v>
      </c>
      <c r="W7" s="206" t="s">
        <v>3828</v>
      </c>
      <c r="X7" s="366" t="s">
        <v>3615</v>
      </c>
      <c r="Y7" s="193" t="s">
        <v>3593</v>
      </c>
      <c r="Z7" s="201">
        <v>1</v>
      </c>
      <c r="AA7" s="197">
        <v>1</v>
      </c>
    </row>
    <row r="8" spans="1:27" s="5" customFormat="1" ht="17.25" x14ac:dyDescent="0.3">
      <c r="A8" s="193">
        <v>902007</v>
      </c>
      <c r="B8" s="206" t="s">
        <v>3829</v>
      </c>
      <c r="C8" s="193" t="s">
        <v>3587</v>
      </c>
      <c r="D8" s="193">
        <v>1010</v>
      </c>
      <c r="E8" s="193">
        <v>2</v>
      </c>
      <c r="F8" s="193">
        <v>1</v>
      </c>
      <c r="G8" s="193">
        <v>5</v>
      </c>
      <c r="H8" s="193">
        <v>10</v>
      </c>
      <c r="I8" s="193" t="s">
        <v>3617</v>
      </c>
      <c r="J8" s="193">
        <v>999</v>
      </c>
      <c r="K8" s="193" t="b">
        <v>1</v>
      </c>
      <c r="L8" s="193">
        <v>5</v>
      </c>
      <c r="M8" s="194">
        <v>75</v>
      </c>
      <c r="N8" s="194">
        <v>100</v>
      </c>
      <c r="O8" s="157" t="s">
        <v>3383</v>
      </c>
      <c r="P8" s="157">
        <v>2</v>
      </c>
      <c r="Q8" s="157">
        <v>1</v>
      </c>
      <c r="R8" s="157">
        <v>30</v>
      </c>
      <c r="S8" s="193">
        <v>0</v>
      </c>
      <c r="T8" s="193">
        <v>0</v>
      </c>
      <c r="U8" s="193" t="s">
        <v>3612</v>
      </c>
      <c r="V8" s="206" t="s">
        <v>3830</v>
      </c>
      <c r="W8" s="206" t="s">
        <v>3831</v>
      </c>
      <c r="X8" s="366" t="s">
        <v>3620</v>
      </c>
      <c r="Y8" s="193" t="s">
        <v>3593</v>
      </c>
      <c r="Z8" s="201">
        <v>1</v>
      </c>
      <c r="AA8" s="197">
        <v>1</v>
      </c>
    </row>
    <row r="9" spans="1:27" ht="17.25" x14ac:dyDescent="0.3">
      <c r="A9" s="193">
        <v>902008</v>
      </c>
      <c r="B9" s="206" t="s">
        <v>3832</v>
      </c>
      <c r="C9" s="362" t="s">
        <v>3587</v>
      </c>
      <c r="D9" s="362"/>
      <c r="E9" s="193">
        <v>2</v>
      </c>
      <c r="F9" s="193">
        <v>1</v>
      </c>
      <c r="G9" s="193">
        <v>5</v>
      </c>
      <c r="H9" s="193">
        <v>20</v>
      </c>
      <c r="I9" s="193" t="s">
        <v>3622</v>
      </c>
      <c r="J9" s="193">
        <v>999</v>
      </c>
      <c r="K9" s="193" t="b">
        <v>1</v>
      </c>
      <c r="L9" s="204">
        <v>7</v>
      </c>
      <c r="M9" s="194">
        <v>105</v>
      </c>
      <c r="N9" s="194">
        <v>140</v>
      </c>
      <c r="O9" s="193" t="s">
        <v>3383</v>
      </c>
      <c r="P9" s="193">
        <v>2</v>
      </c>
      <c r="Q9" s="193">
        <v>1</v>
      </c>
      <c r="R9" s="193">
        <v>30</v>
      </c>
      <c r="S9" s="193">
        <v>0</v>
      </c>
      <c r="T9" s="193">
        <v>0</v>
      </c>
      <c r="U9" s="193" t="s">
        <v>3612</v>
      </c>
      <c r="V9" s="206" t="s">
        <v>3833</v>
      </c>
      <c r="W9" s="206" t="s">
        <v>3834</v>
      </c>
      <c r="X9" s="366" t="s">
        <v>3620</v>
      </c>
      <c r="Y9" s="144" t="s">
        <v>3593</v>
      </c>
      <c r="Z9" s="201">
        <v>1</v>
      </c>
      <c r="AA9" s="197">
        <v>1</v>
      </c>
    </row>
    <row r="10" spans="1:27" ht="17.25" x14ac:dyDescent="0.3">
      <c r="A10" s="193">
        <v>902009</v>
      </c>
      <c r="B10" s="206" t="s">
        <v>3835</v>
      </c>
      <c r="C10" s="362" t="s">
        <v>3587</v>
      </c>
      <c r="D10" s="362"/>
      <c r="E10" s="193">
        <v>2</v>
      </c>
      <c r="F10" s="193">
        <v>1</v>
      </c>
      <c r="G10" s="193">
        <v>1</v>
      </c>
      <c r="H10" s="193">
        <v>10</v>
      </c>
      <c r="I10" s="362" t="s">
        <v>3603</v>
      </c>
      <c r="J10" s="193">
        <v>999</v>
      </c>
      <c r="K10" s="193" t="b">
        <v>1</v>
      </c>
      <c r="L10" s="204">
        <v>5</v>
      </c>
      <c r="M10" s="194">
        <v>75</v>
      </c>
      <c r="N10" s="194">
        <v>100</v>
      </c>
      <c r="O10" s="193" t="s">
        <v>3383</v>
      </c>
      <c r="P10" s="193">
        <v>2</v>
      </c>
      <c r="Q10" s="193">
        <v>1</v>
      </c>
      <c r="R10" s="193">
        <v>30</v>
      </c>
      <c r="S10" s="193">
        <v>0</v>
      </c>
      <c r="T10" s="193">
        <v>0</v>
      </c>
      <c r="U10" s="193" t="s">
        <v>3589</v>
      </c>
      <c r="V10" s="206" t="s">
        <v>3836</v>
      </c>
      <c r="W10" s="206" t="s">
        <v>3835</v>
      </c>
      <c r="X10" s="366" t="s">
        <v>3592</v>
      </c>
      <c r="Y10" s="144" t="s">
        <v>3593</v>
      </c>
      <c r="Z10" s="201">
        <v>1</v>
      </c>
      <c r="AA10" s="197">
        <v>1</v>
      </c>
    </row>
    <row r="11" spans="1:27" ht="17.25" x14ac:dyDescent="0.3">
      <c r="A11" s="193">
        <v>902010</v>
      </c>
      <c r="B11" s="206" t="s">
        <v>3837</v>
      </c>
      <c r="C11" s="362" t="s">
        <v>3587</v>
      </c>
      <c r="D11" s="362"/>
      <c r="E11" s="193">
        <v>2</v>
      </c>
      <c r="F11" s="193">
        <v>1</v>
      </c>
      <c r="G11" s="193">
        <v>1</v>
      </c>
      <c r="H11" s="193">
        <v>10</v>
      </c>
      <c r="I11" s="362" t="s">
        <v>3603</v>
      </c>
      <c r="J11" s="193">
        <v>999</v>
      </c>
      <c r="K11" s="193" t="b">
        <v>1</v>
      </c>
      <c r="L11" s="204">
        <v>5</v>
      </c>
      <c r="M11" s="194">
        <v>75</v>
      </c>
      <c r="N11" s="194">
        <v>100</v>
      </c>
      <c r="O11" s="193" t="s">
        <v>3383</v>
      </c>
      <c r="P11" s="193">
        <v>2</v>
      </c>
      <c r="Q11" s="193">
        <v>1</v>
      </c>
      <c r="R11" s="193">
        <v>30</v>
      </c>
      <c r="S11" s="193">
        <v>0</v>
      </c>
      <c r="T11" s="193">
        <v>0</v>
      </c>
      <c r="U11" s="193" t="s">
        <v>3589</v>
      </c>
      <c r="V11" s="206" t="s">
        <v>3838</v>
      </c>
      <c r="W11" s="206" t="s">
        <v>3839</v>
      </c>
      <c r="X11" s="366" t="s">
        <v>3628</v>
      </c>
      <c r="Y11" s="144" t="s">
        <v>3593</v>
      </c>
      <c r="Z11" s="201">
        <v>1</v>
      </c>
      <c r="AA11" s="197">
        <v>1</v>
      </c>
    </row>
    <row r="12" spans="1:27" ht="17.25" x14ac:dyDescent="0.3">
      <c r="A12" s="193">
        <v>902011</v>
      </c>
      <c r="B12" s="206" t="s">
        <v>3840</v>
      </c>
      <c r="C12" s="193" t="s">
        <v>3587</v>
      </c>
      <c r="D12" s="193"/>
      <c r="E12" s="193">
        <v>2</v>
      </c>
      <c r="F12" s="193">
        <v>1</v>
      </c>
      <c r="G12" s="193">
        <v>1</v>
      </c>
      <c r="H12" s="193">
        <v>40</v>
      </c>
      <c r="I12" s="193" t="s">
        <v>3630</v>
      </c>
      <c r="J12" s="193">
        <v>999</v>
      </c>
      <c r="K12" s="193" t="b">
        <v>1</v>
      </c>
      <c r="L12" s="204">
        <v>7</v>
      </c>
      <c r="M12" s="194">
        <v>105</v>
      </c>
      <c r="N12" s="194">
        <v>140</v>
      </c>
      <c r="O12" s="157" t="s">
        <v>3383</v>
      </c>
      <c r="P12" s="365">
        <v>2</v>
      </c>
      <c r="Q12" s="365">
        <v>1</v>
      </c>
      <c r="R12" s="193">
        <v>30</v>
      </c>
      <c r="S12" s="193">
        <v>0</v>
      </c>
      <c r="T12" s="193">
        <v>0</v>
      </c>
      <c r="U12" s="193" t="s">
        <v>3589</v>
      </c>
      <c r="V12" s="206" t="s">
        <v>3841</v>
      </c>
      <c r="W12" s="206" t="s">
        <v>3840</v>
      </c>
      <c r="X12" s="366" t="s">
        <v>3628</v>
      </c>
      <c r="Y12" s="144" t="s">
        <v>3593</v>
      </c>
      <c r="Z12" s="201">
        <v>1</v>
      </c>
      <c r="AA12" s="197">
        <v>1</v>
      </c>
    </row>
    <row r="13" spans="1:27" ht="17.25" x14ac:dyDescent="0.3">
      <c r="A13" s="193">
        <v>902012</v>
      </c>
      <c r="B13" s="206" t="s">
        <v>3842</v>
      </c>
      <c r="C13" s="157" t="s">
        <v>3587</v>
      </c>
      <c r="D13" s="157"/>
      <c r="E13" s="193">
        <v>2</v>
      </c>
      <c r="F13" s="193">
        <v>1</v>
      </c>
      <c r="G13" s="157">
        <v>1</v>
      </c>
      <c r="H13" s="157">
        <v>10</v>
      </c>
      <c r="I13" s="157" t="s">
        <v>3603</v>
      </c>
      <c r="J13" s="193">
        <v>999</v>
      </c>
      <c r="K13" s="157" t="b">
        <v>1</v>
      </c>
      <c r="L13" s="204">
        <v>5</v>
      </c>
      <c r="M13" s="194">
        <v>75</v>
      </c>
      <c r="N13" s="194">
        <v>100</v>
      </c>
      <c r="O13" s="157" t="s">
        <v>3383</v>
      </c>
      <c r="P13" s="157">
        <v>2</v>
      </c>
      <c r="Q13" s="157">
        <v>1</v>
      </c>
      <c r="R13" s="157">
        <v>30</v>
      </c>
      <c r="S13" s="157">
        <v>0</v>
      </c>
      <c r="T13" s="157">
        <v>0</v>
      </c>
      <c r="U13" s="362" t="s">
        <v>3589</v>
      </c>
      <c r="V13" s="206" t="s">
        <v>3843</v>
      </c>
      <c r="W13" s="206" t="s">
        <v>3844</v>
      </c>
      <c r="X13" s="366" t="s">
        <v>3634</v>
      </c>
      <c r="Y13" s="144" t="s">
        <v>3593</v>
      </c>
      <c r="Z13" s="201">
        <v>1</v>
      </c>
      <c r="AA13" s="197">
        <v>1</v>
      </c>
    </row>
    <row r="14" spans="1:27" ht="17.25" x14ac:dyDescent="0.3">
      <c r="A14" s="363">
        <v>902013</v>
      </c>
      <c r="B14" s="206" t="s">
        <v>3845</v>
      </c>
      <c r="C14" s="363" t="s">
        <v>3587</v>
      </c>
      <c r="D14" s="363"/>
      <c r="E14" s="193">
        <v>2</v>
      </c>
      <c r="F14" s="363">
        <v>1</v>
      </c>
      <c r="G14" s="363">
        <v>1</v>
      </c>
      <c r="H14" s="363">
        <v>50</v>
      </c>
      <c r="I14" s="363" t="s">
        <v>3636</v>
      </c>
      <c r="J14" s="193">
        <v>999</v>
      </c>
      <c r="K14" s="363" t="b">
        <v>1</v>
      </c>
      <c r="L14" s="204">
        <v>7</v>
      </c>
      <c r="M14" s="194">
        <v>105</v>
      </c>
      <c r="N14" s="194">
        <v>140</v>
      </c>
      <c r="O14" s="363" t="s">
        <v>3383</v>
      </c>
      <c r="P14" s="363">
        <v>2</v>
      </c>
      <c r="Q14" s="363">
        <v>1</v>
      </c>
      <c r="R14" s="363">
        <v>30</v>
      </c>
      <c r="S14" s="363">
        <v>0</v>
      </c>
      <c r="T14" s="363">
        <v>0</v>
      </c>
      <c r="U14" s="363" t="s">
        <v>3589</v>
      </c>
      <c r="V14" s="206" t="s">
        <v>3846</v>
      </c>
      <c r="W14" s="206" t="s">
        <v>3845</v>
      </c>
      <c r="X14" s="363" t="s">
        <v>3638</v>
      </c>
      <c r="Y14" s="363" t="s">
        <v>3593</v>
      </c>
      <c r="Z14" s="201">
        <v>1</v>
      </c>
      <c r="AA14" s="197">
        <v>1</v>
      </c>
    </row>
    <row r="15" spans="1:27" ht="17.25" x14ac:dyDescent="0.3">
      <c r="A15" s="363">
        <v>902014</v>
      </c>
      <c r="B15" s="206" t="s">
        <v>3847</v>
      </c>
      <c r="C15" s="363" t="s">
        <v>3587</v>
      </c>
      <c r="D15" s="363"/>
      <c r="E15" s="193">
        <v>2</v>
      </c>
      <c r="F15" s="363">
        <v>1</v>
      </c>
      <c r="G15" s="363">
        <v>1</v>
      </c>
      <c r="H15" s="363">
        <v>30</v>
      </c>
      <c r="I15" s="363" t="s">
        <v>3640</v>
      </c>
      <c r="J15" s="193">
        <v>999</v>
      </c>
      <c r="K15" s="363" t="b">
        <v>1</v>
      </c>
      <c r="L15" s="204">
        <v>5</v>
      </c>
      <c r="M15" s="194">
        <v>75</v>
      </c>
      <c r="N15" s="194">
        <v>100</v>
      </c>
      <c r="O15" s="363" t="s">
        <v>3383</v>
      </c>
      <c r="P15" s="363">
        <v>2</v>
      </c>
      <c r="Q15" s="363">
        <v>1</v>
      </c>
      <c r="R15" s="363">
        <v>30</v>
      </c>
      <c r="S15" s="363">
        <v>0</v>
      </c>
      <c r="T15" s="363">
        <v>0</v>
      </c>
      <c r="U15" s="363" t="s">
        <v>3589</v>
      </c>
      <c r="V15" s="206" t="s">
        <v>3848</v>
      </c>
      <c r="W15" s="206" t="s">
        <v>3847</v>
      </c>
      <c r="X15" s="363" t="s">
        <v>3642</v>
      </c>
      <c r="Y15" s="363" t="s">
        <v>3593</v>
      </c>
      <c r="Z15" s="201">
        <v>1</v>
      </c>
      <c r="AA15" s="197">
        <v>1</v>
      </c>
    </row>
    <row r="16" spans="1:27" ht="17.25" x14ac:dyDescent="0.3">
      <c r="A16" s="363">
        <v>902015</v>
      </c>
      <c r="B16" s="206" t="s">
        <v>3849</v>
      </c>
      <c r="C16" s="363" t="s">
        <v>3587</v>
      </c>
      <c r="D16" s="363"/>
      <c r="E16" s="193">
        <v>2</v>
      </c>
      <c r="F16" s="363">
        <v>1</v>
      </c>
      <c r="G16" s="363">
        <v>30</v>
      </c>
      <c r="H16" s="363">
        <v>30</v>
      </c>
      <c r="I16" s="363" t="s">
        <v>3640</v>
      </c>
      <c r="J16" s="193">
        <v>999</v>
      </c>
      <c r="K16" s="363" t="b">
        <v>1</v>
      </c>
      <c r="L16" s="204">
        <v>5</v>
      </c>
      <c r="M16" s="194">
        <v>75</v>
      </c>
      <c r="N16" s="194">
        <v>100</v>
      </c>
      <c r="O16" s="363" t="s">
        <v>3383</v>
      </c>
      <c r="P16" s="363">
        <v>2</v>
      </c>
      <c r="Q16" s="363">
        <v>1</v>
      </c>
      <c r="R16" s="363">
        <v>30</v>
      </c>
      <c r="S16" s="363">
        <v>0</v>
      </c>
      <c r="T16" s="363">
        <v>0</v>
      </c>
      <c r="U16" s="363" t="s">
        <v>3589</v>
      </c>
      <c r="V16" s="206" t="s">
        <v>3850</v>
      </c>
      <c r="W16" s="206" t="s">
        <v>3849</v>
      </c>
      <c r="X16" s="363" t="s">
        <v>3645</v>
      </c>
      <c r="Y16" s="363" t="s">
        <v>3593</v>
      </c>
      <c r="Z16" s="201">
        <v>1</v>
      </c>
      <c r="AA16" s="197">
        <v>1</v>
      </c>
    </row>
    <row r="17" spans="1:27" ht="17.25" x14ac:dyDescent="0.3">
      <c r="A17" s="363">
        <v>902016</v>
      </c>
      <c r="B17" s="206" t="s">
        <v>3851</v>
      </c>
      <c r="C17" s="363" t="s">
        <v>3587</v>
      </c>
      <c r="D17" s="363"/>
      <c r="E17" s="193">
        <v>2</v>
      </c>
      <c r="F17" s="363">
        <v>1</v>
      </c>
      <c r="G17" s="363">
        <v>1</v>
      </c>
      <c r="H17" s="363">
        <v>30</v>
      </c>
      <c r="I17" s="363" t="s">
        <v>3640</v>
      </c>
      <c r="J17" s="193">
        <v>999</v>
      </c>
      <c r="K17" s="363" t="b">
        <v>1</v>
      </c>
      <c r="L17" s="204">
        <v>5</v>
      </c>
      <c r="M17" s="194">
        <v>75</v>
      </c>
      <c r="N17" s="194">
        <v>100</v>
      </c>
      <c r="O17" s="363" t="s">
        <v>3383</v>
      </c>
      <c r="P17" s="363">
        <v>2</v>
      </c>
      <c r="Q17" s="363">
        <v>1</v>
      </c>
      <c r="R17" s="363">
        <v>30</v>
      </c>
      <c r="S17" s="363">
        <v>0</v>
      </c>
      <c r="T17" s="363">
        <v>0</v>
      </c>
      <c r="U17" s="363" t="s">
        <v>3589</v>
      </c>
      <c r="V17" s="206" t="s">
        <v>3852</v>
      </c>
      <c r="W17" s="206" t="s">
        <v>3851</v>
      </c>
      <c r="X17" s="363" t="s">
        <v>3648</v>
      </c>
      <c r="Y17" s="363" t="s">
        <v>3593</v>
      </c>
      <c r="Z17" s="201">
        <v>1</v>
      </c>
      <c r="AA17" s="197">
        <v>1</v>
      </c>
    </row>
    <row r="18" spans="1:27" ht="17.25" x14ac:dyDescent="0.3">
      <c r="A18" s="363">
        <v>902017</v>
      </c>
      <c r="B18" s="206" t="s">
        <v>3853</v>
      </c>
      <c r="C18" s="363" t="s">
        <v>3587</v>
      </c>
      <c r="D18" s="363"/>
      <c r="E18" s="193">
        <v>2</v>
      </c>
      <c r="F18" s="363">
        <v>1</v>
      </c>
      <c r="G18" s="363">
        <v>1</v>
      </c>
      <c r="H18" s="363">
        <v>30</v>
      </c>
      <c r="I18" s="363" t="s">
        <v>3640</v>
      </c>
      <c r="J18" s="193">
        <v>999</v>
      </c>
      <c r="K18" s="363" t="b">
        <v>1</v>
      </c>
      <c r="L18" s="204">
        <v>5</v>
      </c>
      <c r="M18" s="194">
        <v>75</v>
      </c>
      <c r="N18" s="194">
        <v>100</v>
      </c>
      <c r="O18" s="363" t="s">
        <v>3383</v>
      </c>
      <c r="P18" s="363">
        <v>2</v>
      </c>
      <c r="Q18" s="363">
        <v>1</v>
      </c>
      <c r="R18" s="363">
        <v>30</v>
      </c>
      <c r="S18" s="363">
        <v>0</v>
      </c>
      <c r="T18" s="363">
        <v>0</v>
      </c>
      <c r="U18" s="363" t="s">
        <v>3589</v>
      </c>
      <c r="V18" s="206" t="s">
        <v>3854</v>
      </c>
      <c r="W18" s="206" t="s">
        <v>3855</v>
      </c>
      <c r="X18" s="363" t="s">
        <v>3628</v>
      </c>
      <c r="Y18" s="363" t="s">
        <v>3593</v>
      </c>
      <c r="Z18" s="201">
        <v>1</v>
      </c>
      <c r="AA18" s="197">
        <v>1</v>
      </c>
    </row>
    <row r="19" spans="1:27" ht="17.25" x14ac:dyDescent="0.3">
      <c r="A19" s="363">
        <v>902018</v>
      </c>
      <c r="B19" s="206" t="s">
        <v>3856</v>
      </c>
      <c r="C19" s="363" t="s">
        <v>3587</v>
      </c>
      <c r="D19" s="363"/>
      <c r="E19" s="193">
        <v>2</v>
      </c>
      <c r="F19" s="363">
        <v>1</v>
      </c>
      <c r="G19" s="363">
        <v>1</v>
      </c>
      <c r="H19" s="363">
        <v>30</v>
      </c>
      <c r="I19" s="363" t="s">
        <v>3640</v>
      </c>
      <c r="J19" s="193">
        <v>999</v>
      </c>
      <c r="K19" s="363" t="b">
        <v>1</v>
      </c>
      <c r="L19" s="204">
        <v>5</v>
      </c>
      <c r="M19" s="194">
        <v>75</v>
      </c>
      <c r="N19" s="194">
        <v>100</v>
      </c>
      <c r="O19" s="363" t="s">
        <v>3383</v>
      </c>
      <c r="P19" s="363">
        <v>2</v>
      </c>
      <c r="Q19" s="363">
        <v>1</v>
      </c>
      <c r="R19" s="363">
        <v>30</v>
      </c>
      <c r="S19" s="363">
        <v>0</v>
      </c>
      <c r="T19" s="363">
        <v>0</v>
      </c>
      <c r="U19" s="363" t="s">
        <v>3589</v>
      </c>
      <c r="V19" s="206" t="s">
        <v>3857</v>
      </c>
      <c r="W19" s="206" t="s">
        <v>3856</v>
      </c>
      <c r="X19" s="363" t="s">
        <v>3653</v>
      </c>
      <c r="Y19" s="363" t="s">
        <v>3593</v>
      </c>
      <c r="Z19" s="201">
        <v>1</v>
      </c>
      <c r="AA19" s="197">
        <v>1</v>
      </c>
    </row>
    <row r="20" spans="1:27" ht="17.25" x14ac:dyDescent="0.3">
      <c r="A20" s="363">
        <v>902019</v>
      </c>
      <c r="B20" s="206" t="s">
        <v>3858</v>
      </c>
      <c r="C20" s="363" t="s">
        <v>3587</v>
      </c>
      <c r="D20" s="363"/>
      <c r="E20" s="193">
        <v>2</v>
      </c>
      <c r="F20" s="363">
        <v>1</v>
      </c>
      <c r="G20" s="363">
        <v>1</v>
      </c>
      <c r="H20" s="363">
        <v>30</v>
      </c>
      <c r="I20" s="363" t="s">
        <v>3640</v>
      </c>
      <c r="J20" s="193">
        <v>999</v>
      </c>
      <c r="K20" s="363" t="b">
        <v>1</v>
      </c>
      <c r="L20" s="204">
        <v>5</v>
      </c>
      <c r="M20" s="194">
        <v>75</v>
      </c>
      <c r="N20" s="194">
        <v>100</v>
      </c>
      <c r="O20" s="363" t="s">
        <v>3383</v>
      </c>
      <c r="P20" s="363">
        <v>2</v>
      </c>
      <c r="Q20" s="363">
        <v>1</v>
      </c>
      <c r="R20" s="363">
        <v>30</v>
      </c>
      <c r="S20" s="363">
        <v>0</v>
      </c>
      <c r="T20" s="363">
        <v>0</v>
      </c>
      <c r="U20" s="363" t="s">
        <v>3589</v>
      </c>
      <c r="V20" s="206" t="s">
        <v>3859</v>
      </c>
      <c r="W20" s="206" t="s">
        <v>3858</v>
      </c>
      <c r="X20" s="363" t="s">
        <v>3645</v>
      </c>
      <c r="Y20" s="363" t="s">
        <v>3593</v>
      </c>
      <c r="Z20" s="201">
        <v>1</v>
      </c>
      <c r="AA20" s="197">
        <v>1</v>
      </c>
    </row>
    <row r="21" spans="1:27" ht="17.25" x14ac:dyDescent="0.3">
      <c r="A21" s="363">
        <v>902020</v>
      </c>
      <c r="B21" s="206" t="s">
        <v>3860</v>
      </c>
      <c r="C21" s="363" t="s">
        <v>3587</v>
      </c>
      <c r="D21" s="363"/>
      <c r="E21" s="193">
        <v>2</v>
      </c>
      <c r="F21" s="363">
        <v>1</v>
      </c>
      <c r="G21" s="363">
        <v>1</v>
      </c>
      <c r="H21" s="363">
        <v>40</v>
      </c>
      <c r="I21" s="363" t="s">
        <v>3630</v>
      </c>
      <c r="J21" s="193">
        <v>999</v>
      </c>
      <c r="K21" s="363" t="b">
        <v>1</v>
      </c>
      <c r="L21" s="204">
        <v>7</v>
      </c>
      <c r="M21" s="194">
        <v>105</v>
      </c>
      <c r="N21" s="194">
        <v>140</v>
      </c>
      <c r="O21" s="363" t="s">
        <v>3383</v>
      </c>
      <c r="P21" s="363">
        <v>2</v>
      </c>
      <c r="Q21" s="363">
        <v>1</v>
      </c>
      <c r="R21" s="363">
        <v>30</v>
      </c>
      <c r="S21" s="363">
        <v>0</v>
      </c>
      <c r="T21" s="363">
        <v>0</v>
      </c>
      <c r="U21" s="363" t="s">
        <v>3589</v>
      </c>
      <c r="V21" s="206" t="s">
        <v>3861</v>
      </c>
      <c r="W21" s="206" t="s">
        <v>3862</v>
      </c>
      <c r="X21" s="363" t="s">
        <v>3658</v>
      </c>
      <c r="Y21" s="363" t="s">
        <v>3593</v>
      </c>
      <c r="Z21" s="201">
        <v>1</v>
      </c>
      <c r="AA21" s="197">
        <v>1</v>
      </c>
    </row>
    <row r="22" spans="1:27" ht="17.25" x14ac:dyDescent="0.3">
      <c r="A22" s="363">
        <v>902021</v>
      </c>
      <c r="B22" s="206" t="s">
        <v>3863</v>
      </c>
      <c r="C22" s="363" t="s">
        <v>3587</v>
      </c>
      <c r="D22" s="363"/>
      <c r="E22" s="193">
        <v>2</v>
      </c>
      <c r="F22" s="363">
        <v>1</v>
      </c>
      <c r="G22" s="363">
        <v>1</v>
      </c>
      <c r="H22" s="363">
        <v>50</v>
      </c>
      <c r="I22" s="363" t="s">
        <v>3636</v>
      </c>
      <c r="J22" s="193">
        <v>999</v>
      </c>
      <c r="K22" s="363" t="b">
        <v>1</v>
      </c>
      <c r="L22" s="204">
        <v>10</v>
      </c>
      <c r="M22" s="194">
        <v>150</v>
      </c>
      <c r="N22" s="194">
        <v>200</v>
      </c>
      <c r="O22" s="363" t="s">
        <v>3383</v>
      </c>
      <c r="P22" s="363">
        <v>2</v>
      </c>
      <c r="Q22" s="363">
        <v>1</v>
      </c>
      <c r="R22" s="363">
        <v>30</v>
      </c>
      <c r="S22" s="363">
        <v>0</v>
      </c>
      <c r="T22" s="363">
        <v>0</v>
      </c>
      <c r="U22" s="363" t="s">
        <v>3589</v>
      </c>
      <c r="V22" s="206" t="s">
        <v>3864</v>
      </c>
      <c r="W22" s="206" t="s">
        <v>3865</v>
      </c>
      <c r="X22" s="363" t="s">
        <v>3661</v>
      </c>
      <c r="Y22" s="363" t="s">
        <v>3593</v>
      </c>
      <c r="Z22" s="201">
        <v>1</v>
      </c>
      <c r="AA22" s="197">
        <v>1</v>
      </c>
    </row>
    <row r="23" spans="1:27" ht="17.25" x14ac:dyDescent="0.3">
      <c r="A23" s="363">
        <v>902022</v>
      </c>
      <c r="B23" s="206" t="s">
        <v>3866</v>
      </c>
      <c r="C23" s="363" t="s">
        <v>3587</v>
      </c>
      <c r="D23" s="363"/>
      <c r="E23" s="193">
        <v>2</v>
      </c>
      <c r="F23" s="363">
        <v>1</v>
      </c>
      <c r="G23" s="363">
        <v>30</v>
      </c>
      <c r="H23" s="363">
        <v>40</v>
      </c>
      <c r="I23" s="363" t="s">
        <v>3630</v>
      </c>
      <c r="J23" s="193">
        <v>999</v>
      </c>
      <c r="K23" s="363" t="b">
        <v>1</v>
      </c>
      <c r="L23" s="204">
        <v>10</v>
      </c>
      <c r="M23" s="194">
        <v>150</v>
      </c>
      <c r="N23" s="194">
        <v>200</v>
      </c>
      <c r="O23" s="363" t="s">
        <v>3383</v>
      </c>
      <c r="P23" s="363">
        <v>2</v>
      </c>
      <c r="Q23" s="363">
        <v>1</v>
      </c>
      <c r="R23" s="363">
        <v>30</v>
      </c>
      <c r="S23" s="363">
        <v>0</v>
      </c>
      <c r="T23" s="363">
        <v>0</v>
      </c>
      <c r="U23" s="363" t="s">
        <v>3589</v>
      </c>
      <c r="V23" s="206" t="s">
        <v>3867</v>
      </c>
      <c r="W23" s="206" t="s">
        <v>3866</v>
      </c>
      <c r="X23" s="363" t="s">
        <v>3664</v>
      </c>
      <c r="Y23" s="363" t="s">
        <v>3593</v>
      </c>
      <c r="Z23" s="201">
        <v>1</v>
      </c>
      <c r="AA23" s="197">
        <v>1</v>
      </c>
    </row>
    <row r="24" spans="1:27" ht="17.25" x14ac:dyDescent="0.3">
      <c r="A24" s="363">
        <v>902023</v>
      </c>
      <c r="B24" s="206" t="s">
        <v>3868</v>
      </c>
      <c r="C24" s="363" t="s">
        <v>3587</v>
      </c>
      <c r="D24" s="363"/>
      <c r="E24" s="193">
        <v>2</v>
      </c>
      <c r="F24" s="363">
        <v>1</v>
      </c>
      <c r="G24" s="363">
        <v>1</v>
      </c>
      <c r="H24" s="363">
        <v>50</v>
      </c>
      <c r="I24" s="363" t="s">
        <v>3636</v>
      </c>
      <c r="J24" s="193">
        <v>999</v>
      </c>
      <c r="K24" s="363" t="b">
        <v>1</v>
      </c>
      <c r="L24" s="204">
        <v>10</v>
      </c>
      <c r="M24" s="194">
        <v>150</v>
      </c>
      <c r="N24" s="194">
        <v>200</v>
      </c>
      <c r="O24" s="363" t="s">
        <v>3383</v>
      </c>
      <c r="P24" s="363">
        <v>2</v>
      </c>
      <c r="Q24" s="363">
        <v>1</v>
      </c>
      <c r="R24" s="363">
        <v>30</v>
      </c>
      <c r="S24" s="363">
        <v>0</v>
      </c>
      <c r="T24" s="363">
        <v>0</v>
      </c>
      <c r="U24" s="363" t="s">
        <v>3589</v>
      </c>
      <c r="V24" s="206" t="s">
        <v>3869</v>
      </c>
      <c r="W24" s="206" t="s">
        <v>3870</v>
      </c>
      <c r="X24" s="363" t="s">
        <v>3667</v>
      </c>
      <c r="Y24" s="363" t="s">
        <v>3593</v>
      </c>
      <c r="Z24" s="201">
        <v>1</v>
      </c>
      <c r="AA24" s="197">
        <v>1</v>
      </c>
    </row>
    <row r="25" spans="1:27" ht="17.25" x14ac:dyDescent="0.3">
      <c r="A25" s="363">
        <v>902024</v>
      </c>
      <c r="B25" s="206" t="s">
        <v>3871</v>
      </c>
      <c r="C25" s="363" t="s">
        <v>3587</v>
      </c>
      <c r="D25" s="363"/>
      <c r="E25" s="193">
        <v>2</v>
      </c>
      <c r="F25" s="363">
        <v>1</v>
      </c>
      <c r="G25" s="363">
        <v>30</v>
      </c>
      <c r="H25" s="363">
        <v>40</v>
      </c>
      <c r="I25" s="363" t="s">
        <v>3630</v>
      </c>
      <c r="J25" s="193">
        <v>999</v>
      </c>
      <c r="K25" s="363" t="b">
        <v>1</v>
      </c>
      <c r="L25" s="204">
        <v>10</v>
      </c>
      <c r="M25" s="194">
        <v>150</v>
      </c>
      <c r="N25" s="194">
        <v>200</v>
      </c>
      <c r="O25" s="363" t="s">
        <v>3383</v>
      </c>
      <c r="P25" s="363">
        <v>2</v>
      </c>
      <c r="Q25" s="363">
        <v>1</v>
      </c>
      <c r="R25" s="363">
        <v>30</v>
      </c>
      <c r="S25" s="363">
        <v>0</v>
      </c>
      <c r="T25" s="363">
        <v>0</v>
      </c>
      <c r="U25" s="363" t="s">
        <v>3589</v>
      </c>
      <c r="V25" s="206" t="s">
        <v>3872</v>
      </c>
      <c r="W25" s="206" t="s">
        <v>3873</v>
      </c>
      <c r="X25" s="363" t="s">
        <v>3670</v>
      </c>
      <c r="Y25" s="363" t="s">
        <v>3593</v>
      </c>
      <c r="Z25" s="201">
        <v>1</v>
      </c>
      <c r="AA25" s="197">
        <v>1</v>
      </c>
    </row>
    <row r="26" spans="1:27" ht="17.25" x14ac:dyDescent="0.3">
      <c r="A26" s="363">
        <v>902025</v>
      </c>
      <c r="B26" s="206" t="s">
        <v>3874</v>
      </c>
      <c r="C26" s="363" t="s">
        <v>3587</v>
      </c>
      <c r="D26" s="363"/>
      <c r="E26" s="193">
        <v>2</v>
      </c>
      <c r="F26" s="363">
        <v>1</v>
      </c>
      <c r="G26" s="363">
        <v>5</v>
      </c>
      <c r="H26" s="363">
        <v>50</v>
      </c>
      <c r="I26" s="363" t="s">
        <v>3672</v>
      </c>
      <c r="J26" s="193">
        <v>999</v>
      </c>
      <c r="K26" s="363" t="b">
        <v>1</v>
      </c>
      <c r="L26" s="204">
        <v>12</v>
      </c>
      <c r="M26" s="194">
        <v>180</v>
      </c>
      <c r="N26" s="194">
        <v>240</v>
      </c>
      <c r="O26" s="363" t="s">
        <v>3383</v>
      </c>
      <c r="P26" s="363">
        <v>2</v>
      </c>
      <c r="Q26" s="363">
        <v>1</v>
      </c>
      <c r="R26" s="363">
        <v>30</v>
      </c>
      <c r="S26" s="363">
        <v>0</v>
      </c>
      <c r="T26" s="363">
        <v>0</v>
      </c>
      <c r="U26" s="363" t="s">
        <v>3612</v>
      </c>
      <c r="V26" s="206" t="s">
        <v>3875</v>
      </c>
      <c r="W26" s="206" t="s">
        <v>3874</v>
      </c>
      <c r="X26" s="363" t="s">
        <v>3674</v>
      </c>
      <c r="Y26" s="363" t="s">
        <v>3593</v>
      </c>
      <c r="Z26" s="201">
        <v>1</v>
      </c>
      <c r="AA26" s="197">
        <v>1</v>
      </c>
    </row>
    <row r="27" spans="1:27" ht="17.25" x14ac:dyDescent="0.3">
      <c r="A27" s="363">
        <v>902026</v>
      </c>
      <c r="B27" s="206" t="s">
        <v>3876</v>
      </c>
      <c r="C27" s="363" t="s">
        <v>3587</v>
      </c>
      <c r="D27" s="363"/>
      <c r="E27" s="193">
        <v>2</v>
      </c>
      <c r="F27" s="363">
        <v>0</v>
      </c>
      <c r="G27" s="363">
        <v>1</v>
      </c>
      <c r="H27" s="363">
        <v>40</v>
      </c>
      <c r="I27" s="363" t="s">
        <v>3630</v>
      </c>
      <c r="J27" s="193">
        <v>999</v>
      </c>
      <c r="K27" s="363" t="b">
        <v>1</v>
      </c>
      <c r="L27" s="204">
        <v>7</v>
      </c>
      <c r="M27" s="194">
        <v>105</v>
      </c>
      <c r="N27" s="194">
        <v>140</v>
      </c>
      <c r="O27" s="363" t="s">
        <v>3383</v>
      </c>
      <c r="P27" s="363">
        <v>2</v>
      </c>
      <c r="Q27" s="363">
        <v>1</v>
      </c>
      <c r="R27" s="363">
        <v>30</v>
      </c>
      <c r="S27" s="363">
        <v>0</v>
      </c>
      <c r="T27" s="363">
        <v>0</v>
      </c>
      <c r="U27" s="363" t="s">
        <v>3589</v>
      </c>
      <c r="V27" s="206" t="s">
        <v>3877</v>
      </c>
      <c r="W27" s="206" t="s">
        <v>3876</v>
      </c>
      <c r="X27" s="363" t="s">
        <v>3648</v>
      </c>
      <c r="Y27" s="363" t="s">
        <v>3593</v>
      </c>
      <c r="Z27" s="201">
        <v>1</v>
      </c>
      <c r="AA27" s="197">
        <v>1</v>
      </c>
    </row>
    <row r="28" spans="1:27" ht="17.25" x14ac:dyDescent="0.3">
      <c r="A28" s="363">
        <v>902027</v>
      </c>
      <c r="B28" s="206" t="s">
        <v>3878</v>
      </c>
      <c r="C28" s="363" t="s">
        <v>3587</v>
      </c>
      <c r="D28" s="363"/>
      <c r="E28" s="193">
        <v>2</v>
      </c>
      <c r="F28" s="363">
        <v>0</v>
      </c>
      <c r="G28" s="363">
        <v>1</v>
      </c>
      <c r="H28" s="363">
        <v>40</v>
      </c>
      <c r="I28" s="363" t="s">
        <v>3630</v>
      </c>
      <c r="J28" s="193">
        <v>999</v>
      </c>
      <c r="K28" s="363" t="b">
        <v>1</v>
      </c>
      <c r="L28" s="204">
        <v>7</v>
      </c>
      <c r="M28" s="194">
        <v>105</v>
      </c>
      <c r="N28" s="194">
        <v>140</v>
      </c>
      <c r="O28" s="363" t="s">
        <v>3383</v>
      </c>
      <c r="P28" s="363">
        <v>2</v>
      </c>
      <c r="Q28" s="363">
        <v>1</v>
      </c>
      <c r="R28" s="363">
        <v>30</v>
      </c>
      <c r="S28" s="363">
        <v>0</v>
      </c>
      <c r="T28" s="363">
        <v>0</v>
      </c>
      <c r="U28" s="363" t="s">
        <v>3589</v>
      </c>
      <c r="V28" s="206" t="s">
        <v>3879</v>
      </c>
      <c r="W28" s="206" t="s">
        <v>3878</v>
      </c>
      <c r="X28" s="363" t="s">
        <v>3634</v>
      </c>
      <c r="Y28" s="363" t="s">
        <v>3593</v>
      </c>
      <c r="Z28" s="201">
        <v>1</v>
      </c>
      <c r="AA28" s="197">
        <v>1</v>
      </c>
    </row>
    <row r="29" spans="1:27" ht="17.25" x14ac:dyDescent="0.3">
      <c r="A29" s="363">
        <v>902028</v>
      </c>
      <c r="B29" s="206" t="s">
        <v>3880</v>
      </c>
      <c r="C29" s="363" t="s">
        <v>3587</v>
      </c>
      <c r="D29" s="363"/>
      <c r="E29" s="193">
        <v>2</v>
      </c>
      <c r="F29" s="363">
        <v>0</v>
      </c>
      <c r="G29" s="363">
        <v>1</v>
      </c>
      <c r="H29" s="363">
        <v>40</v>
      </c>
      <c r="I29" s="363" t="s">
        <v>3630</v>
      </c>
      <c r="J29" s="193">
        <v>999</v>
      </c>
      <c r="K29" s="363" t="b">
        <v>1</v>
      </c>
      <c r="L29" s="204">
        <v>7</v>
      </c>
      <c r="M29" s="194">
        <v>105</v>
      </c>
      <c r="N29" s="194">
        <v>140</v>
      </c>
      <c r="O29" s="363" t="s">
        <v>3383</v>
      </c>
      <c r="P29" s="363">
        <v>2</v>
      </c>
      <c r="Q29" s="363">
        <v>1</v>
      </c>
      <c r="R29" s="363">
        <v>30</v>
      </c>
      <c r="S29" s="363">
        <v>0</v>
      </c>
      <c r="T29" s="363">
        <v>0</v>
      </c>
      <c r="U29" s="363" t="s">
        <v>3589</v>
      </c>
      <c r="V29" s="206" t="s">
        <v>3881</v>
      </c>
      <c r="W29" s="206" t="s">
        <v>3880</v>
      </c>
      <c r="X29" s="363" t="s">
        <v>3658</v>
      </c>
      <c r="Y29" s="363" t="s">
        <v>3593</v>
      </c>
      <c r="Z29" s="201">
        <v>1</v>
      </c>
      <c r="AA29" s="197">
        <v>1</v>
      </c>
    </row>
    <row r="30" spans="1:27" ht="17.25" x14ac:dyDescent="0.3">
      <c r="A30" s="363">
        <v>902029</v>
      </c>
      <c r="B30" s="206" t="s">
        <v>3882</v>
      </c>
      <c r="C30" s="363" t="s">
        <v>3587</v>
      </c>
      <c r="D30" s="363"/>
      <c r="E30" s="193">
        <v>2</v>
      </c>
      <c r="F30" s="363">
        <v>0</v>
      </c>
      <c r="G30" s="363">
        <v>1</v>
      </c>
      <c r="H30" s="363">
        <v>40</v>
      </c>
      <c r="I30" s="363" t="s">
        <v>3630</v>
      </c>
      <c r="J30" s="193">
        <v>999</v>
      </c>
      <c r="K30" s="363" t="b">
        <v>1</v>
      </c>
      <c r="L30" s="204">
        <v>7</v>
      </c>
      <c r="M30" s="194">
        <v>105</v>
      </c>
      <c r="N30" s="194">
        <v>140</v>
      </c>
      <c r="O30" s="363" t="s">
        <v>3383</v>
      </c>
      <c r="P30" s="363">
        <v>2</v>
      </c>
      <c r="Q30" s="363">
        <v>1</v>
      </c>
      <c r="R30" s="363">
        <v>30</v>
      </c>
      <c r="S30" s="363">
        <v>0</v>
      </c>
      <c r="T30" s="363">
        <v>0</v>
      </c>
      <c r="U30" s="363" t="s">
        <v>3589</v>
      </c>
      <c r="V30" s="206" t="s">
        <v>3883</v>
      </c>
      <c r="W30" s="206" t="s">
        <v>3882</v>
      </c>
      <c r="X30" s="363" t="s">
        <v>3683</v>
      </c>
      <c r="Y30" s="363" t="s">
        <v>3593</v>
      </c>
      <c r="Z30" s="201">
        <v>1</v>
      </c>
      <c r="AA30" s="197">
        <v>1</v>
      </c>
    </row>
    <row r="31" spans="1:27" ht="17.25" x14ac:dyDescent="0.3">
      <c r="A31" s="363">
        <v>902036</v>
      </c>
      <c r="B31" s="206" t="s">
        <v>3884</v>
      </c>
      <c r="C31" s="363" t="s">
        <v>3587</v>
      </c>
      <c r="D31" s="363">
        <v>1001</v>
      </c>
      <c r="E31" s="193">
        <v>2</v>
      </c>
      <c r="F31" s="363">
        <v>1</v>
      </c>
      <c r="G31" s="363">
        <v>24</v>
      </c>
      <c r="H31" s="363">
        <v>5</v>
      </c>
      <c r="I31" s="363" t="s">
        <v>3685</v>
      </c>
      <c r="J31" s="193">
        <v>999</v>
      </c>
      <c r="K31" s="363" t="b">
        <v>1</v>
      </c>
      <c r="L31" s="193">
        <v>5</v>
      </c>
      <c r="M31" s="194">
        <v>75</v>
      </c>
      <c r="N31" s="194">
        <v>100</v>
      </c>
      <c r="O31" s="363" t="s">
        <v>3383</v>
      </c>
      <c r="P31" s="363">
        <v>2</v>
      </c>
      <c r="Q31" s="363">
        <v>1</v>
      </c>
      <c r="R31" s="363">
        <v>30</v>
      </c>
      <c r="S31" s="363">
        <v>0</v>
      </c>
      <c r="T31" s="363">
        <v>0</v>
      </c>
      <c r="U31" s="363" t="s">
        <v>3589</v>
      </c>
      <c r="V31" s="206" t="s">
        <v>3885</v>
      </c>
      <c r="W31" s="206" t="s">
        <v>3886</v>
      </c>
      <c r="X31" s="363" t="s">
        <v>3688</v>
      </c>
      <c r="Y31" s="363" t="s">
        <v>3593</v>
      </c>
      <c r="Z31" s="201">
        <v>1</v>
      </c>
      <c r="AA31" s="197">
        <v>1</v>
      </c>
    </row>
    <row r="32" spans="1:27" ht="17.25" x14ac:dyDescent="0.3">
      <c r="A32" s="363">
        <v>902037</v>
      </c>
      <c r="B32" s="206" t="s">
        <v>3887</v>
      </c>
      <c r="C32" s="363" t="s">
        <v>3587</v>
      </c>
      <c r="D32" s="363">
        <v>1002</v>
      </c>
      <c r="E32" s="193">
        <v>2</v>
      </c>
      <c r="F32" s="363">
        <v>1</v>
      </c>
      <c r="G32" s="363">
        <v>24</v>
      </c>
      <c r="H32" s="363">
        <v>5</v>
      </c>
      <c r="I32" s="363" t="s">
        <v>3685</v>
      </c>
      <c r="J32" s="193">
        <v>999</v>
      </c>
      <c r="K32" s="363" t="b">
        <v>1</v>
      </c>
      <c r="L32" s="193">
        <v>5</v>
      </c>
      <c r="M32" s="194">
        <v>75</v>
      </c>
      <c r="N32" s="194">
        <v>100</v>
      </c>
      <c r="O32" s="363" t="s">
        <v>3383</v>
      </c>
      <c r="P32" s="363">
        <v>2</v>
      </c>
      <c r="Q32" s="363">
        <v>1</v>
      </c>
      <c r="R32" s="363">
        <v>30</v>
      </c>
      <c r="S32" s="363">
        <v>0</v>
      </c>
      <c r="T32" s="363">
        <v>0</v>
      </c>
      <c r="U32" s="363" t="s">
        <v>3589</v>
      </c>
      <c r="V32" s="206" t="s">
        <v>3888</v>
      </c>
      <c r="W32" s="206" t="s">
        <v>3889</v>
      </c>
      <c r="X32" s="363" t="s">
        <v>3692</v>
      </c>
      <c r="Y32" s="363" t="s">
        <v>3593</v>
      </c>
      <c r="Z32" s="201">
        <v>1</v>
      </c>
      <c r="AA32" s="197">
        <v>1</v>
      </c>
    </row>
    <row r="33" spans="1:27" ht="17.25" x14ac:dyDescent="0.3">
      <c r="A33" s="363">
        <v>902038</v>
      </c>
      <c r="B33" s="206" t="s">
        <v>3890</v>
      </c>
      <c r="C33" s="363" t="s">
        <v>3587</v>
      </c>
      <c r="D33" s="363">
        <v>1004</v>
      </c>
      <c r="E33" s="193">
        <v>2</v>
      </c>
      <c r="F33" s="363">
        <v>1</v>
      </c>
      <c r="G33" s="363">
        <v>24</v>
      </c>
      <c r="H33" s="363">
        <v>5</v>
      </c>
      <c r="I33" s="363" t="s">
        <v>3685</v>
      </c>
      <c r="J33" s="193">
        <v>999</v>
      </c>
      <c r="K33" s="363" t="b">
        <v>1</v>
      </c>
      <c r="L33" s="193">
        <v>5</v>
      </c>
      <c r="M33" s="194">
        <v>75</v>
      </c>
      <c r="N33" s="194">
        <v>100</v>
      </c>
      <c r="O33" s="363" t="s">
        <v>3383</v>
      </c>
      <c r="P33" s="363">
        <v>2</v>
      </c>
      <c r="Q33" s="363">
        <v>1</v>
      </c>
      <c r="R33" s="363">
        <v>30</v>
      </c>
      <c r="S33" s="363">
        <v>0</v>
      </c>
      <c r="T33" s="363">
        <v>0</v>
      </c>
      <c r="U33" s="363" t="s">
        <v>3589</v>
      </c>
      <c r="V33" s="206" t="s">
        <v>3891</v>
      </c>
      <c r="W33" s="206" t="s">
        <v>3892</v>
      </c>
      <c r="X33" s="363" t="s">
        <v>3696</v>
      </c>
      <c r="Y33" s="363" t="s">
        <v>3593</v>
      </c>
      <c r="Z33" s="201">
        <v>1</v>
      </c>
      <c r="AA33" s="197">
        <v>1</v>
      </c>
    </row>
    <row r="34" spans="1:27" ht="17.25" x14ac:dyDescent="0.3">
      <c r="A34" s="363">
        <v>902039</v>
      </c>
      <c r="B34" s="206" t="s">
        <v>3893</v>
      </c>
      <c r="C34" s="363" t="s">
        <v>3587</v>
      </c>
      <c r="D34" s="363">
        <v>1001</v>
      </c>
      <c r="E34" s="193">
        <v>2</v>
      </c>
      <c r="F34" s="363">
        <v>0</v>
      </c>
      <c r="G34" s="363">
        <v>30</v>
      </c>
      <c r="H34" s="363">
        <v>5</v>
      </c>
      <c r="I34" s="363" t="s">
        <v>3588</v>
      </c>
      <c r="J34" s="193">
        <v>999</v>
      </c>
      <c r="K34" s="363" t="b">
        <v>1</v>
      </c>
      <c r="L34" s="193">
        <v>5</v>
      </c>
      <c r="M34" s="194">
        <v>75</v>
      </c>
      <c r="N34" s="194">
        <v>100</v>
      </c>
      <c r="O34" s="363" t="s">
        <v>3383</v>
      </c>
      <c r="P34" s="363">
        <v>2</v>
      </c>
      <c r="Q34" s="363">
        <v>1</v>
      </c>
      <c r="R34" s="363">
        <v>30</v>
      </c>
      <c r="S34" s="363">
        <v>0</v>
      </c>
      <c r="T34" s="363">
        <v>0</v>
      </c>
      <c r="U34" s="363" t="s">
        <v>3589</v>
      </c>
      <c r="V34" s="206" t="s">
        <v>3894</v>
      </c>
      <c r="W34" s="206" t="s">
        <v>3895</v>
      </c>
      <c r="X34" s="363" t="s">
        <v>3700</v>
      </c>
      <c r="Y34" s="363" t="s">
        <v>3593</v>
      </c>
      <c r="Z34" s="201">
        <v>1</v>
      </c>
      <c r="AA34" s="197">
        <v>1</v>
      </c>
    </row>
    <row r="35" spans="1:27" ht="17.25" x14ac:dyDescent="0.3">
      <c r="A35" s="363">
        <v>902041</v>
      </c>
      <c r="B35" s="206" t="s">
        <v>3896</v>
      </c>
      <c r="C35" s="363" t="s">
        <v>3587</v>
      </c>
      <c r="D35" s="363">
        <v>1050</v>
      </c>
      <c r="E35" s="193">
        <v>2</v>
      </c>
      <c r="F35" s="363">
        <v>1</v>
      </c>
      <c r="G35" s="363">
        <v>30</v>
      </c>
      <c r="H35" s="363">
        <v>40</v>
      </c>
      <c r="I35" s="363" t="s">
        <v>3630</v>
      </c>
      <c r="J35" s="193">
        <v>999</v>
      </c>
      <c r="K35" s="363" t="b">
        <v>1</v>
      </c>
      <c r="L35" s="157">
        <v>10</v>
      </c>
      <c r="M35" s="194">
        <v>150</v>
      </c>
      <c r="N35" s="194">
        <v>200</v>
      </c>
      <c r="O35" s="363" t="s">
        <v>3383</v>
      </c>
      <c r="P35" s="363">
        <v>2</v>
      </c>
      <c r="Q35" s="363">
        <v>1</v>
      </c>
      <c r="R35" s="363">
        <v>30</v>
      </c>
      <c r="S35" s="363">
        <v>0</v>
      </c>
      <c r="T35" s="363">
        <v>0</v>
      </c>
      <c r="U35" s="363" t="s">
        <v>3589</v>
      </c>
      <c r="V35" s="206" t="s">
        <v>3897</v>
      </c>
      <c r="W35" s="206" t="s">
        <v>3898</v>
      </c>
      <c r="X35" s="363" t="s">
        <v>3704</v>
      </c>
      <c r="Y35" s="363" t="s">
        <v>3593</v>
      </c>
      <c r="Z35" s="201">
        <v>1</v>
      </c>
      <c r="AA35" s="197">
        <v>1</v>
      </c>
    </row>
    <row r="36" spans="1:27" ht="17.25" x14ac:dyDescent="0.3">
      <c r="A36" s="363">
        <v>902043</v>
      </c>
      <c r="B36" s="206" t="s">
        <v>3899</v>
      </c>
      <c r="C36" s="363" t="s">
        <v>3587</v>
      </c>
      <c r="D36" s="363"/>
      <c r="E36" s="193">
        <v>2</v>
      </c>
      <c r="F36" s="363">
        <v>1</v>
      </c>
      <c r="G36" s="363">
        <v>5</v>
      </c>
      <c r="H36" s="363">
        <v>30</v>
      </c>
      <c r="I36" s="363" t="s">
        <v>3706</v>
      </c>
      <c r="J36" s="193">
        <v>999</v>
      </c>
      <c r="K36" s="363" t="b">
        <v>1</v>
      </c>
      <c r="L36" s="194">
        <v>10</v>
      </c>
      <c r="M36" s="194">
        <v>150</v>
      </c>
      <c r="N36" s="194">
        <v>200</v>
      </c>
      <c r="O36" s="363" t="s">
        <v>3383</v>
      </c>
      <c r="P36" s="363">
        <v>2</v>
      </c>
      <c r="Q36" s="363">
        <v>1</v>
      </c>
      <c r="R36" s="363">
        <v>30</v>
      </c>
      <c r="S36" s="363">
        <v>0</v>
      </c>
      <c r="T36" s="363">
        <v>0</v>
      </c>
      <c r="U36" s="363" t="s">
        <v>3612</v>
      </c>
      <c r="V36" s="206" t="s">
        <v>3900</v>
      </c>
      <c r="W36" s="206" t="s">
        <v>3899</v>
      </c>
      <c r="X36" s="363" t="s">
        <v>3708</v>
      </c>
      <c r="Y36" s="363" t="s">
        <v>3593</v>
      </c>
      <c r="Z36" s="201">
        <v>1</v>
      </c>
      <c r="AA36" s="197">
        <v>1</v>
      </c>
    </row>
    <row r="37" spans="1:27" ht="17.25" x14ac:dyDescent="0.3">
      <c r="A37" s="363">
        <v>902045</v>
      </c>
      <c r="B37" s="206" t="s">
        <v>3901</v>
      </c>
      <c r="C37" s="363" t="s">
        <v>3587</v>
      </c>
      <c r="D37" s="363"/>
      <c r="E37" s="193">
        <v>2</v>
      </c>
      <c r="F37" s="363">
        <v>1</v>
      </c>
      <c r="G37" s="363">
        <v>5</v>
      </c>
      <c r="H37" s="363">
        <v>30</v>
      </c>
      <c r="I37" s="363" t="s">
        <v>3706</v>
      </c>
      <c r="J37" s="193">
        <v>999</v>
      </c>
      <c r="K37" s="363" t="b">
        <v>1</v>
      </c>
      <c r="L37" s="194">
        <v>10</v>
      </c>
      <c r="M37" s="194">
        <v>150</v>
      </c>
      <c r="N37" s="194">
        <v>200</v>
      </c>
      <c r="O37" s="363" t="s">
        <v>3383</v>
      </c>
      <c r="P37" s="363">
        <v>2</v>
      </c>
      <c r="Q37" s="363">
        <v>1</v>
      </c>
      <c r="R37" s="363">
        <v>30</v>
      </c>
      <c r="S37" s="363">
        <v>0</v>
      </c>
      <c r="T37" s="363">
        <v>0</v>
      </c>
      <c r="U37" s="363" t="s">
        <v>3612</v>
      </c>
      <c r="V37" s="206" t="s">
        <v>3902</v>
      </c>
      <c r="W37" s="206" t="s">
        <v>3903</v>
      </c>
      <c r="X37" s="363" t="s">
        <v>3711</v>
      </c>
      <c r="Y37" s="363" t="s">
        <v>3593</v>
      </c>
      <c r="Z37" s="201">
        <v>1</v>
      </c>
      <c r="AA37" s="197">
        <v>1</v>
      </c>
    </row>
    <row r="38" spans="1:27" ht="17.25" x14ac:dyDescent="0.3">
      <c r="A38" s="363">
        <v>902047</v>
      </c>
      <c r="B38" s="206" t="s">
        <v>3904</v>
      </c>
      <c r="C38" s="363" t="s">
        <v>3587</v>
      </c>
      <c r="D38" s="363"/>
      <c r="E38" s="193">
        <v>2</v>
      </c>
      <c r="F38" s="363">
        <v>1</v>
      </c>
      <c r="G38" s="363">
        <v>5</v>
      </c>
      <c r="H38" s="363">
        <v>30</v>
      </c>
      <c r="I38" s="363" t="s">
        <v>3706</v>
      </c>
      <c r="J38" s="193">
        <v>999</v>
      </c>
      <c r="K38" s="363" t="b">
        <v>1</v>
      </c>
      <c r="L38" s="194">
        <v>10</v>
      </c>
      <c r="M38" s="194">
        <v>150</v>
      </c>
      <c r="N38" s="194">
        <v>200</v>
      </c>
      <c r="O38" s="363" t="s">
        <v>3383</v>
      </c>
      <c r="P38" s="363">
        <v>2</v>
      </c>
      <c r="Q38" s="363">
        <v>1</v>
      </c>
      <c r="R38" s="363">
        <v>30</v>
      </c>
      <c r="S38" s="363">
        <v>0</v>
      </c>
      <c r="T38" s="363">
        <v>0</v>
      </c>
      <c r="U38" s="363" t="s">
        <v>3612</v>
      </c>
      <c r="V38" s="206" t="s">
        <v>3905</v>
      </c>
      <c r="W38" s="206" t="s">
        <v>3904</v>
      </c>
      <c r="X38" s="363" t="s">
        <v>3714</v>
      </c>
      <c r="Y38" s="363" t="s">
        <v>3593</v>
      </c>
      <c r="Z38" s="201">
        <v>1</v>
      </c>
      <c r="AA38" s="197">
        <v>1</v>
      </c>
    </row>
    <row r="39" spans="1:27" ht="17.25" x14ac:dyDescent="0.3">
      <c r="A39" s="363">
        <v>902049</v>
      </c>
      <c r="B39" s="206" t="s">
        <v>3906</v>
      </c>
      <c r="C39" s="363" t="s">
        <v>3587</v>
      </c>
      <c r="D39" s="363"/>
      <c r="E39" s="193">
        <v>7</v>
      </c>
      <c r="F39" s="363">
        <v>0</v>
      </c>
      <c r="G39" s="363">
        <v>5</v>
      </c>
      <c r="H39" s="363">
        <v>100</v>
      </c>
      <c r="I39" s="363" t="s">
        <v>3716</v>
      </c>
      <c r="J39" s="193">
        <v>999</v>
      </c>
      <c r="K39" s="363" t="b">
        <v>1</v>
      </c>
      <c r="L39" s="209">
        <v>10</v>
      </c>
      <c r="M39" s="194">
        <v>150</v>
      </c>
      <c r="N39" s="194">
        <v>200</v>
      </c>
      <c r="O39" s="363" t="s">
        <v>3383</v>
      </c>
      <c r="P39" s="363">
        <v>2</v>
      </c>
      <c r="Q39" s="363">
        <v>1</v>
      </c>
      <c r="R39" s="363">
        <v>30</v>
      </c>
      <c r="S39" s="363">
        <v>0</v>
      </c>
      <c r="T39" s="363">
        <v>0</v>
      </c>
      <c r="U39" s="363" t="s">
        <v>3612</v>
      </c>
      <c r="V39" s="206" t="s">
        <v>3907</v>
      </c>
      <c r="W39" s="206" t="s">
        <v>3906</v>
      </c>
      <c r="X39" s="363" t="s">
        <v>3718</v>
      </c>
      <c r="Y39" s="363" t="s">
        <v>3593</v>
      </c>
      <c r="Z39" s="201">
        <v>1</v>
      </c>
      <c r="AA39" s="197">
        <v>1</v>
      </c>
    </row>
    <row r="40" spans="1:27" ht="17.25" x14ac:dyDescent="0.3">
      <c r="A40" s="363">
        <v>902051</v>
      </c>
      <c r="B40" s="206" t="s">
        <v>3908</v>
      </c>
      <c r="C40" s="363" t="s">
        <v>3587</v>
      </c>
      <c r="D40" s="363"/>
      <c r="E40" s="193">
        <v>2</v>
      </c>
      <c r="F40" s="363">
        <v>1</v>
      </c>
      <c r="G40" s="363">
        <v>5</v>
      </c>
      <c r="H40" s="363">
        <v>5</v>
      </c>
      <c r="I40" s="363" t="s">
        <v>3588</v>
      </c>
      <c r="J40" s="193">
        <v>999</v>
      </c>
      <c r="K40" s="363" t="b">
        <v>1</v>
      </c>
      <c r="L40" s="194">
        <v>1</v>
      </c>
      <c r="M40" s="194">
        <v>15</v>
      </c>
      <c r="N40" s="194">
        <v>20</v>
      </c>
      <c r="O40" s="363" t="s">
        <v>3383</v>
      </c>
      <c r="P40" s="363">
        <v>2</v>
      </c>
      <c r="Q40" s="363">
        <v>1</v>
      </c>
      <c r="R40" s="363">
        <v>30</v>
      </c>
      <c r="S40" s="363">
        <v>0</v>
      </c>
      <c r="T40" s="363">
        <v>0</v>
      </c>
      <c r="U40" s="363" t="s">
        <v>3612</v>
      </c>
      <c r="V40" s="206" t="s">
        <v>3909</v>
      </c>
      <c r="W40" s="206" t="s">
        <v>3910</v>
      </c>
      <c r="X40" s="363" t="s">
        <v>3721</v>
      </c>
      <c r="Y40" s="363" t="s">
        <v>3593</v>
      </c>
      <c r="Z40" s="201">
        <v>1</v>
      </c>
      <c r="AA40" s="197">
        <v>1</v>
      </c>
    </row>
    <row r="41" spans="1:27" ht="17.25" x14ac:dyDescent="0.3">
      <c r="A41" s="363">
        <v>902053</v>
      </c>
      <c r="B41" s="206" t="s">
        <v>3911</v>
      </c>
      <c r="C41" s="363" t="s">
        <v>3587</v>
      </c>
      <c r="D41" s="363"/>
      <c r="E41" s="193">
        <v>2</v>
      </c>
      <c r="F41" s="363">
        <v>1</v>
      </c>
      <c r="G41" s="363">
        <v>1</v>
      </c>
      <c r="H41" s="363">
        <v>10</v>
      </c>
      <c r="I41" s="363" t="s">
        <v>3617</v>
      </c>
      <c r="J41" s="193">
        <v>999</v>
      </c>
      <c r="K41" s="363" t="b">
        <v>1</v>
      </c>
      <c r="L41" s="194">
        <v>1</v>
      </c>
      <c r="M41" s="194">
        <v>15</v>
      </c>
      <c r="N41" s="194">
        <v>20</v>
      </c>
      <c r="O41" s="363" t="s">
        <v>3383</v>
      </c>
      <c r="P41" s="363">
        <v>2</v>
      </c>
      <c r="Q41" s="363">
        <v>1</v>
      </c>
      <c r="R41" s="363">
        <v>30</v>
      </c>
      <c r="S41" s="363">
        <v>0</v>
      </c>
      <c r="T41" s="363">
        <v>0</v>
      </c>
      <c r="U41" s="363" t="s">
        <v>3589</v>
      </c>
      <c r="V41" s="206" t="s">
        <v>3912</v>
      </c>
      <c r="W41" s="206" t="s">
        <v>3911</v>
      </c>
      <c r="X41" s="363" t="s">
        <v>3724</v>
      </c>
      <c r="Y41" s="363" t="s">
        <v>3593</v>
      </c>
      <c r="Z41" s="201">
        <v>1</v>
      </c>
      <c r="AA41" s="197">
        <v>1</v>
      </c>
    </row>
    <row r="42" spans="1:27" ht="17.25" x14ac:dyDescent="0.3">
      <c r="A42" s="363">
        <v>902055</v>
      </c>
      <c r="B42" s="206" t="s">
        <v>3913</v>
      </c>
      <c r="C42" s="363" t="s">
        <v>3587</v>
      </c>
      <c r="D42" s="363"/>
      <c r="E42" s="193">
        <v>2</v>
      </c>
      <c r="F42" s="363">
        <v>1</v>
      </c>
      <c r="G42" s="363">
        <v>1</v>
      </c>
      <c r="H42" s="363">
        <v>10</v>
      </c>
      <c r="I42" s="363" t="s">
        <v>3617</v>
      </c>
      <c r="J42" s="193">
        <v>999</v>
      </c>
      <c r="K42" s="363" t="b">
        <v>1</v>
      </c>
      <c r="L42" s="194">
        <v>1</v>
      </c>
      <c r="M42" s="194">
        <v>15</v>
      </c>
      <c r="N42" s="194">
        <v>20</v>
      </c>
      <c r="O42" s="363" t="s">
        <v>3383</v>
      </c>
      <c r="P42" s="363">
        <v>2</v>
      </c>
      <c r="Q42" s="363">
        <v>1</v>
      </c>
      <c r="R42" s="363">
        <v>30</v>
      </c>
      <c r="S42" s="363">
        <v>0</v>
      </c>
      <c r="T42" s="363">
        <v>0</v>
      </c>
      <c r="U42" s="363" t="s">
        <v>3589</v>
      </c>
      <c r="V42" s="206" t="s">
        <v>3914</v>
      </c>
      <c r="W42" s="206" t="s">
        <v>3913</v>
      </c>
      <c r="X42" s="363" t="s">
        <v>3727</v>
      </c>
      <c r="Y42" s="363" t="s">
        <v>3593</v>
      </c>
      <c r="Z42" s="201">
        <v>1</v>
      </c>
      <c r="AA42" s="197">
        <v>1</v>
      </c>
    </row>
    <row r="43" spans="1:27" ht="17.25" x14ac:dyDescent="0.3">
      <c r="A43" s="363">
        <v>902057</v>
      </c>
      <c r="B43" s="206" t="s">
        <v>3915</v>
      </c>
      <c r="C43" s="363" t="s">
        <v>3587</v>
      </c>
      <c r="D43" s="363"/>
      <c r="E43" s="193">
        <v>2</v>
      </c>
      <c r="F43" s="363">
        <v>1</v>
      </c>
      <c r="G43" s="363">
        <v>1</v>
      </c>
      <c r="H43" s="363">
        <v>10</v>
      </c>
      <c r="I43" s="363" t="s">
        <v>3617</v>
      </c>
      <c r="J43" s="193">
        <v>999</v>
      </c>
      <c r="K43" s="363" t="b">
        <v>1</v>
      </c>
      <c r="L43" s="194">
        <v>1</v>
      </c>
      <c r="M43" s="194">
        <v>15</v>
      </c>
      <c r="N43" s="194">
        <v>20</v>
      </c>
      <c r="O43" s="363" t="s">
        <v>3383</v>
      </c>
      <c r="P43" s="363">
        <v>2</v>
      </c>
      <c r="Q43" s="363">
        <v>1</v>
      </c>
      <c r="R43" s="363">
        <v>30</v>
      </c>
      <c r="S43" s="363">
        <v>0</v>
      </c>
      <c r="T43" s="363">
        <v>0</v>
      </c>
      <c r="U43" s="363" t="s">
        <v>3589</v>
      </c>
      <c r="V43" s="206" t="s">
        <v>3916</v>
      </c>
      <c r="W43" s="206" t="s">
        <v>3915</v>
      </c>
      <c r="X43" s="363" t="s">
        <v>3730</v>
      </c>
      <c r="Y43" s="363" t="s">
        <v>3593</v>
      </c>
      <c r="Z43" s="201">
        <v>1</v>
      </c>
      <c r="AA43" s="197">
        <v>1</v>
      </c>
    </row>
    <row r="44" spans="1:27" ht="17.25" x14ac:dyDescent="0.3">
      <c r="A44" s="363">
        <v>902059</v>
      </c>
      <c r="B44" s="206" t="s">
        <v>3917</v>
      </c>
      <c r="C44" s="363" t="s">
        <v>3587</v>
      </c>
      <c r="D44" s="363"/>
      <c r="E44" s="193">
        <v>2</v>
      </c>
      <c r="F44" s="363">
        <v>1</v>
      </c>
      <c r="G44" s="363">
        <v>5</v>
      </c>
      <c r="H44" s="363">
        <v>40</v>
      </c>
      <c r="I44" s="363" t="s">
        <v>3706</v>
      </c>
      <c r="J44" s="193">
        <v>999</v>
      </c>
      <c r="K44" s="363" t="b">
        <v>1</v>
      </c>
      <c r="L44" s="194">
        <v>10</v>
      </c>
      <c r="M44" s="194">
        <v>150</v>
      </c>
      <c r="N44" s="194">
        <v>200</v>
      </c>
      <c r="O44" s="363" t="s">
        <v>3383</v>
      </c>
      <c r="P44" s="363">
        <v>2</v>
      </c>
      <c r="Q44" s="363">
        <v>1</v>
      </c>
      <c r="R44" s="363">
        <v>30</v>
      </c>
      <c r="S44" s="363">
        <v>0</v>
      </c>
      <c r="T44" s="363">
        <v>0</v>
      </c>
      <c r="U44" s="363" t="s">
        <v>3612</v>
      </c>
      <c r="V44" s="206" t="s">
        <v>3918</v>
      </c>
      <c r="W44" s="206" t="s">
        <v>3919</v>
      </c>
      <c r="X44" s="363" t="s">
        <v>3615</v>
      </c>
      <c r="Y44" s="363" t="s">
        <v>3593</v>
      </c>
      <c r="Z44" s="201">
        <v>1</v>
      </c>
      <c r="AA44" s="197">
        <v>1</v>
      </c>
    </row>
    <row r="45" spans="1:27" ht="17.25" x14ac:dyDescent="0.3">
      <c r="A45" s="363">
        <v>902060</v>
      </c>
      <c r="B45" s="206" t="s">
        <v>3920</v>
      </c>
      <c r="C45" s="363" t="s">
        <v>3587</v>
      </c>
      <c r="E45" s="193">
        <v>4</v>
      </c>
      <c r="F45" s="363">
        <v>1</v>
      </c>
      <c r="G45" s="363">
        <v>5</v>
      </c>
      <c r="H45" s="363">
        <v>40</v>
      </c>
      <c r="I45" s="363" t="s">
        <v>3706</v>
      </c>
      <c r="J45" s="193">
        <v>999</v>
      </c>
      <c r="K45" s="363" t="b">
        <v>1</v>
      </c>
      <c r="L45" s="194">
        <v>10</v>
      </c>
      <c r="M45" s="194">
        <v>150</v>
      </c>
      <c r="N45" s="194">
        <v>200</v>
      </c>
      <c r="O45" s="363" t="s">
        <v>3383</v>
      </c>
      <c r="P45" s="363">
        <v>2</v>
      </c>
      <c r="Q45" s="363">
        <v>1</v>
      </c>
      <c r="R45" s="363">
        <v>30</v>
      </c>
      <c r="S45" s="363">
        <v>0</v>
      </c>
      <c r="T45" s="363">
        <v>0</v>
      </c>
      <c r="U45" s="363" t="s">
        <v>3612</v>
      </c>
      <c r="V45" s="206" t="s">
        <v>3921</v>
      </c>
      <c r="W45" s="206" t="s">
        <v>3922</v>
      </c>
      <c r="X45" s="363" t="s">
        <v>3735</v>
      </c>
      <c r="Y45" s="363" t="s">
        <v>3593</v>
      </c>
      <c r="Z45" s="201">
        <v>0</v>
      </c>
      <c r="AA45" s="197">
        <v>0</v>
      </c>
    </row>
    <row r="46" spans="1:27" ht="17.25" x14ac:dyDescent="0.3">
      <c r="A46" s="157">
        <v>901500</v>
      </c>
      <c r="B46" s="206" t="s">
        <v>3923</v>
      </c>
      <c r="C46" s="363" t="s">
        <v>3587</v>
      </c>
      <c r="D46" s="363"/>
      <c r="E46" s="157">
        <v>7</v>
      </c>
      <c r="F46" s="157">
        <v>0</v>
      </c>
      <c r="G46" s="157">
        <v>27</v>
      </c>
      <c r="H46" s="157">
        <v>0</v>
      </c>
      <c r="I46" s="157" t="s">
        <v>3737</v>
      </c>
      <c r="J46" s="193">
        <v>999</v>
      </c>
      <c r="K46" s="157" t="b">
        <v>1</v>
      </c>
      <c r="L46" s="157">
        <v>1050</v>
      </c>
      <c r="M46" s="194">
        <v>2100</v>
      </c>
      <c r="N46" s="194">
        <v>3150</v>
      </c>
      <c r="O46" s="157" t="s">
        <v>3383</v>
      </c>
      <c r="P46" s="157">
        <v>99</v>
      </c>
      <c r="Q46" s="157">
        <v>3</v>
      </c>
      <c r="R46" s="157">
        <v>15</v>
      </c>
      <c r="S46" s="363">
        <v>0</v>
      </c>
      <c r="T46" s="157">
        <v>0</v>
      </c>
      <c r="U46" s="157" t="s">
        <v>3589</v>
      </c>
      <c r="V46" s="206" t="s">
        <v>3924</v>
      </c>
      <c r="W46" s="206" t="s">
        <v>3925</v>
      </c>
      <c r="X46" s="157" t="s">
        <v>3435</v>
      </c>
      <c r="Y46" s="157" t="s">
        <v>3388</v>
      </c>
      <c r="Z46" s="201">
        <v>0</v>
      </c>
      <c r="AA46" s="197">
        <v>0</v>
      </c>
    </row>
    <row r="47" spans="1:27" ht="17.25" x14ac:dyDescent="0.3">
      <c r="A47" s="157">
        <v>901501</v>
      </c>
      <c r="B47" s="206" t="s">
        <v>3926</v>
      </c>
      <c r="C47" s="363" t="s">
        <v>3587</v>
      </c>
      <c r="E47" s="157">
        <v>7</v>
      </c>
      <c r="F47" s="157">
        <v>0</v>
      </c>
      <c r="G47" s="157">
        <v>27</v>
      </c>
      <c r="H47" s="157">
        <v>0</v>
      </c>
      <c r="I47" s="157" t="s">
        <v>3740</v>
      </c>
      <c r="J47" s="193">
        <v>999</v>
      </c>
      <c r="K47" s="157" t="b">
        <v>1</v>
      </c>
      <c r="L47" s="157">
        <v>1050</v>
      </c>
      <c r="M47" s="194">
        <v>2100</v>
      </c>
      <c r="N47" s="194">
        <v>3150</v>
      </c>
      <c r="O47" s="157" t="s">
        <v>3383</v>
      </c>
      <c r="P47" s="157">
        <v>99</v>
      </c>
      <c r="Q47" s="157">
        <v>3</v>
      </c>
      <c r="R47" s="157">
        <v>15</v>
      </c>
      <c r="S47" s="363">
        <v>0</v>
      </c>
      <c r="T47" s="157">
        <v>0</v>
      </c>
      <c r="U47" s="157" t="s">
        <v>3589</v>
      </c>
      <c r="V47" s="206" t="s">
        <v>3927</v>
      </c>
      <c r="W47" s="206" t="s">
        <v>3928</v>
      </c>
      <c r="X47" s="157" t="s">
        <v>3435</v>
      </c>
      <c r="Y47" s="157" t="s">
        <v>3388</v>
      </c>
      <c r="Z47" s="201">
        <v>0</v>
      </c>
      <c r="AA47" s="197">
        <v>0</v>
      </c>
    </row>
    <row r="48" spans="1:27" ht="17.25" x14ac:dyDescent="0.3">
      <c r="A48" s="157">
        <v>901502</v>
      </c>
      <c r="B48" s="206" t="s">
        <v>3929</v>
      </c>
      <c r="C48" s="363" t="s">
        <v>3587</v>
      </c>
      <c r="D48" s="363"/>
      <c r="E48" s="157">
        <v>7</v>
      </c>
      <c r="F48" s="157">
        <v>0</v>
      </c>
      <c r="G48" s="157">
        <v>27</v>
      </c>
      <c r="H48" s="157">
        <v>0</v>
      </c>
      <c r="I48" s="157" t="s">
        <v>3743</v>
      </c>
      <c r="J48" s="193">
        <v>999</v>
      </c>
      <c r="K48" s="157" t="b">
        <v>1</v>
      </c>
      <c r="L48" s="157">
        <v>1050</v>
      </c>
      <c r="M48" s="194">
        <v>2100</v>
      </c>
      <c r="N48" s="194">
        <v>3150</v>
      </c>
      <c r="O48" s="157" t="s">
        <v>3383</v>
      </c>
      <c r="P48" s="157">
        <v>99</v>
      </c>
      <c r="Q48" s="157">
        <v>3</v>
      </c>
      <c r="R48" s="157">
        <v>15</v>
      </c>
      <c r="S48" s="363">
        <v>0</v>
      </c>
      <c r="T48" s="157">
        <v>0</v>
      </c>
      <c r="U48" s="157" t="s">
        <v>3589</v>
      </c>
      <c r="V48" s="206" t="s">
        <v>3930</v>
      </c>
      <c r="W48" s="206" t="s">
        <v>3931</v>
      </c>
      <c r="X48" s="157" t="s">
        <v>3435</v>
      </c>
      <c r="Y48" s="157" t="s">
        <v>3388</v>
      </c>
      <c r="Z48" s="201">
        <v>0</v>
      </c>
      <c r="AA48" s="197">
        <v>0</v>
      </c>
    </row>
    <row r="49" spans="1:27" ht="17.25" x14ac:dyDescent="0.3">
      <c r="A49" s="157">
        <v>901503</v>
      </c>
      <c r="B49" s="206" t="s">
        <v>3932</v>
      </c>
      <c r="C49" s="363" t="s">
        <v>3587</v>
      </c>
      <c r="E49" s="157">
        <v>7</v>
      </c>
      <c r="F49" s="157">
        <v>0</v>
      </c>
      <c r="G49" s="157">
        <v>27</v>
      </c>
      <c r="H49" s="157">
        <v>0</v>
      </c>
      <c r="I49" s="157" t="s">
        <v>3746</v>
      </c>
      <c r="J49" s="193">
        <v>999</v>
      </c>
      <c r="K49" s="157" t="b">
        <v>1</v>
      </c>
      <c r="L49" s="157">
        <v>1050</v>
      </c>
      <c r="M49" s="194">
        <v>2100</v>
      </c>
      <c r="N49" s="194">
        <v>3150</v>
      </c>
      <c r="O49" s="157" t="s">
        <v>3383</v>
      </c>
      <c r="P49" s="157">
        <v>99</v>
      </c>
      <c r="Q49" s="157">
        <v>3</v>
      </c>
      <c r="R49" s="157">
        <v>15</v>
      </c>
      <c r="S49" s="363">
        <v>0</v>
      </c>
      <c r="T49" s="157">
        <v>0</v>
      </c>
      <c r="U49" s="157" t="s">
        <v>3589</v>
      </c>
      <c r="V49" s="206" t="s">
        <v>3933</v>
      </c>
      <c r="W49" s="206" t="s">
        <v>3934</v>
      </c>
      <c r="X49" s="157" t="s">
        <v>3435</v>
      </c>
      <c r="Y49" s="157" t="s">
        <v>3388</v>
      </c>
      <c r="Z49" s="201">
        <v>0</v>
      </c>
      <c r="AA49" s="197">
        <v>0</v>
      </c>
    </row>
    <row r="50" spans="1:27" ht="17.25" x14ac:dyDescent="0.3">
      <c r="A50" s="157">
        <v>901504</v>
      </c>
      <c r="B50" s="206" t="s">
        <v>3935</v>
      </c>
      <c r="C50" s="363" t="s">
        <v>3587</v>
      </c>
      <c r="D50" s="363"/>
      <c r="E50" s="157">
        <v>7</v>
      </c>
      <c r="F50" s="157">
        <v>0</v>
      </c>
      <c r="G50" s="157">
        <v>27</v>
      </c>
      <c r="H50" s="157">
        <v>0</v>
      </c>
      <c r="I50" s="157" t="s">
        <v>3737</v>
      </c>
      <c r="J50" s="193">
        <v>999</v>
      </c>
      <c r="K50" s="157" t="b">
        <v>1</v>
      </c>
      <c r="L50" s="157">
        <v>1050</v>
      </c>
      <c r="M50" s="194">
        <v>2100</v>
      </c>
      <c r="N50" s="194">
        <v>3150</v>
      </c>
      <c r="O50" s="157" t="s">
        <v>3383</v>
      </c>
      <c r="P50" s="157">
        <v>99</v>
      </c>
      <c r="Q50" s="157">
        <v>3</v>
      </c>
      <c r="R50" s="157">
        <v>15</v>
      </c>
      <c r="S50" s="363">
        <v>0</v>
      </c>
      <c r="T50" s="157">
        <v>0</v>
      </c>
      <c r="U50" s="157" t="s">
        <v>3589</v>
      </c>
      <c r="V50" s="206" t="s">
        <v>3936</v>
      </c>
      <c r="W50" s="206" t="s">
        <v>3925</v>
      </c>
      <c r="X50" s="157" t="s">
        <v>3750</v>
      </c>
      <c r="Y50" s="157" t="s">
        <v>3388</v>
      </c>
      <c r="Z50" s="201">
        <v>0</v>
      </c>
      <c r="AA50" s="197">
        <v>0</v>
      </c>
    </row>
    <row r="51" spans="1:27" ht="17.25" x14ac:dyDescent="0.3">
      <c r="A51" s="157">
        <v>901505</v>
      </c>
      <c r="B51" s="206" t="s">
        <v>3937</v>
      </c>
      <c r="C51" s="363" t="s">
        <v>3587</v>
      </c>
      <c r="E51" s="157">
        <v>7</v>
      </c>
      <c r="F51" s="157">
        <v>0</v>
      </c>
      <c r="G51" s="157">
        <v>27</v>
      </c>
      <c r="H51" s="157">
        <v>0</v>
      </c>
      <c r="I51" s="157" t="s">
        <v>3740</v>
      </c>
      <c r="J51" s="193">
        <v>999</v>
      </c>
      <c r="K51" s="157" t="b">
        <v>1</v>
      </c>
      <c r="L51" s="157">
        <v>1050</v>
      </c>
      <c r="M51" s="194">
        <v>2100</v>
      </c>
      <c r="N51" s="194">
        <v>3150</v>
      </c>
      <c r="O51" s="157" t="s">
        <v>3383</v>
      </c>
      <c r="P51" s="157">
        <v>99</v>
      </c>
      <c r="Q51" s="157">
        <v>3</v>
      </c>
      <c r="R51" s="157">
        <v>15</v>
      </c>
      <c r="S51" s="363">
        <v>0</v>
      </c>
      <c r="T51" s="157">
        <v>0</v>
      </c>
      <c r="U51" s="157" t="s">
        <v>3589</v>
      </c>
      <c r="V51" s="206" t="s">
        <v>3938</v>
      </c>
      <c r="W51" s="206" t="s">
        <v>3928</v>
      </c>
      <c r="X51" s="157" t="s">
        <v>3753</v>
      </c>
      <c r="Y51" s="157" t="s">
        <v>3388</v>
      </c>
      <c r="Z51" s="201">
        <v>0</v>
      </c>
      <c r="AA51" s="197">
        <v>0</v>
      </c>
    </row>
    <row r="52" spans="1:27" ht="17.25" x14ac:dyDescent="0.3">
      <c r="A52" s="157">
        <v>901506</v>
      </c>
      <c r="B52" s="206" t="s">
        <v>3939</v>
      </c>
      <c r="C52" s="363" t="s">
        <v>3587</v>
      </c>
      <c r="D52" s="363"/>
      <c r="E52" s="157">
        <v>7</v>
      </c>
      <c r="F52" s="157">
        <v>0</v>
      </c>
      <c r="G52" s="157">
        <v>27</v>
      </c>
      <c r="H52" s="157">
        <v>0</v>
      </c>
      <c r="I52" s="157" t="s">
        <v>3743</v>
      </c>
      <c r="J52" s="193">
        <v>999</v>
      </c>
      <c r="K52" s="157" t="b">
        <v>1</v>
      </c>
      <c r="L52" s="157">
        <v>1050</v>
      </c>
      <c r="M52" s="194">
        <v>2100</v>
      </c>
      <c r="N52" s="194">
        <v>3150</v>
      </c>
      <c r="O52" s="157" t="s">
        <v>3383</v>
      </c>
      <c r="P52" s="157">
        <v>99</v>
      </c>
      <c r="Q52" s="157">
        <v>3</v>
      </c>
      <c r="R52" s="157">
        <v>15</v>
      </c>
      <c r="S52" s="363">
        <v>0</v>
      </c>
      <c r="T52" s="157">
        <v>0</v>
      </c>
      <c r="U52" s="157" t="s">
        <v>3589</v>
      </c>
      <c r="V52" s="206" t="s">
        <v>3940</v>
      </c>
      <c r="W52" s="206" t="s">
        <v>3931</v>
      </c>
      <c r="X52" s="157" t="s">
        <v>3753</v>
      </c>
      <c r="Y52" s="157" t="s">
        <v>3388</v>
      </c>
      <c r="Z52" s="201">
        <v>0</v>
      </c>
      <c r="AA52" s="197">
        <v>0</v>
      </c>
    </row>
    <row r="53" spans="1:27" ht="17.25" x14ac:dyDescent="0.3">
      <c r="A53" s="157">
        <v>901507</v>
      </c>
      <c r="B53" s="206" t="s">
        <v>3941</v>
      </c>
      <c r="C53" s="363" t="s">
        <v>3587</v>
      </c>
      <c r="E53" s="157">
        <v>7</v>
      </c>
      <c r="F53" s="157">
        <v>0</v>
      </c>
      <c r="G53" s="157">
        <v>27</v>
      </c>
      <c r="H53" s="157">
        <v>0</v>
      </c>
      <c r="I53" s="157" t="s">
        <v>3746</v>
      </c>
      <c r="J53" s="193">
        <v>999</v>
      </c>
      <c r="K53" s="157" t="b">
        <v>1</v>
      </c>
      <c r="L53" s="157">
        <v>1050</v>
      </c>
      <c r="M53" s="194">
        <v>2100</v>
      </c>
      <c r="N53" s="194">
        <v>3150</v>
      </c>
      <c r="O53" s="157" t="s">
        <v>3383</v>
      </c>
      <c r="P53" s="157">
        <v>99</v>
      </c>
      <c r="Q53" s="157">
        <v>3</v>
      </c>
      <c r="R53" s="157">
        <v>15</v>
      </c>
      <c r="S53" s="363">
        <v>0</v>
      </c>
      <c r="T53" s="157">
        <v>0</v>
      </c>
      <c r="U53" s="157" t="s">
        <v>3589</v>
      </c>
      <c r="V53" s="206" t="s">
        <v>3942</v>
      </c>
      <c r="W53" s="206" t="s">
        <v>3934</v>
      </c>
      <c r="X53" s="157" t="s">
        <v>3758</v>
      </c>
      <c r="Y53" s="157" t="s">
        <v>3388</v>
      </c>
      <c r="Z53" s="201">
        <v>0</v>
      </c>
      <c r="AA53" s="197">
        <v>0</v>
      </c>
    </row>
    <row r="54" spans="1:27" ht="17.25" x14ac:dyDescent="0.3">
      <c r="A54" s="157">
        <v>901508</v>
      </c>
      <c r="B54" s="206" t="s">
        <v>3943</v>
      </c>
      <c r="C54" s="363" t="s">
        <v>3587</v>
      </c>
      <c r="D54" s="363"/>
      <c r="E54" s="157">
        <v>7</v>
      </c>
      <c r="F54" s="157">
        <v>0</v>
      </c>
      <c r="G54" s="157">
        <v>27</v>
      </c>
      <c r="H54" s="157">
        <v>0</v>
      </c>
      <c r="I54" s="157" t="s">
        <v>3737</v>
      </c>
      <c r="J54" s="193">
        <v>999</v>
      </c>
      <c r="K54" s="157" t="b">
        <v>1</v>
      </c>
      <c r="L54" s="157">
        <v>1050</v>
      </c>
      <c r="M54" s="194">
        <v>2100</v>
      </c>
      <c r="N54" s="194">
        <v>3150</v>
      </c>
      <c r="O54" s="157" t="s">
        <v>3383</v>
      </c>
      <c r="P54" s="157">
        <v>99</v>
      </c>
      <c r="Q54" s="157">
        <v>3</v>
      </c>
      <c r="R54" s="157">
        <v>15</v>
      </c>
      <c r="S54" s="363">
        <v>0</v>
      </c>
      <c r="T54" s="157">
        <v>0</v>
      </c>
      <c r="U54" s="157" t="s">
        <v>3589</v>
      </c>
      <c r="V54" s="206" t="s">
        <v>3944</v>
      </c>
      <c r="W54" s="206" t="s">
        <v>3925</v>
      </c>
      <c r="X54" s="157" t="s">
        <v>3761</v>
      </c>
      <c r="Y54" s="157" t="s">
        <v>3388</v>
      </c>
      <c r="Z54" s="201">
        <v>0</v>
      </c>
      <c r="AA54" s="197">
        <v>0</v>
      </c>
    </row>
    <row r="55" spans="1:27" ht="17.25" x14ac:dyDescent="0.3">
      <c r="A55" s="157">
        <v>901509</v>
      </c>
      <c r="B55" s="206" t="s">
        <v>3945</v>
      </c>
      <c r="C55" s="363" t="s">
        <v>3587</v>
      </c>
      <c r="E55" s="157">
        <v>7</v>
      </c>
      <c r="F55" s="157">
        <v>0</v>
      </c>
      <c r="G55" s="157">
        <v>27</v>
      </c>
      <c r="H55" s="157">
        <v>0</v>
      </c>
      <c r="I55" s="157" t="s">
        <v>3740</v>
      </c>
      <c r="J55" s="193">
        <v>999</v>
      </c>
      <c r="K55" s="157" t="b">
        <v>1</v>
      </c>
      <c r="L55" s="157">
        <v>1050</v>
      </c>
      <c r="M55" s="194">
        <v>2100</v>
      </c>
      <c r="N55" s="194">
        <v>3150</v>
      </c>
      <c r="O55" s="157" t="s">
        <v>3383</v>
      </c>
      <c r="P55" s="157">
        <v>99</v>
      </c>
      <c r="Q55" s="157">
        <v>3</v>
      </c>
      <c r="R55" s="157">
        <v>15</v>
      </c>
      <c r="S55" s="363">
        <v>0</v>
      </c>
      <c r="T55" s="157">
        <v>0</v>
      </c>
      <c r="U55" s="157" t="s">
        <v>3589</v>
      </c>
      <c r="V55" s="206" t="s">
        <v>3946</v>
      </c>
      <c r="W55" s="206" t="s">
        <v>3928</v>
      </c>
      <c r="X55" s="157" t="s">
        <v>3764</v>
      </c>
      <c r="Y55" s="157" t="s">
        <v>3388</v>
      </c>
      <c r="Z55" s="201">
        <v>0</v>
      </c>
      <c r="AA55" s="197">
        <v>0</v>
      </c>
    </row>
    <row r="56" spans="1:27" ht="17.25" x14ac:dyDescent="0.3">
      <c r="A56" s="157">
        <v>901510</v>
      </c>
      <c r="B56" s="206" t="s">
        <v>3947</v>
      </c>
      <c r="C56" s="363" t="s">
        <v>3587</v>
      </c>
      <c r="D56" s="363"/>
      <c r="E56" s="157">
        <v>7</v>
      </c>
      <c r="F56" s="157">
        <v>0</v>
      </c>
      <c r="G56" s="157">
        <v>27</v>
      </c>
      <c r="H56" s="157">
        <v>0</v>
      </c>
      <c r="I56" s="157" t="s">
        <v>3743</v>
      </c>
      <c r="J56" s="193">
        <v>999</v>
      </c>
      <c r="K56" s="157" t="b">
        <v>1</v>
      </c>
      <c r="L56" s="157">
        <v>1050</v>
      </c>
      <c r="M56" s="194">
        <v>2100</v>
      </c>
      <c r="N56" s="194">
        <v>3150</v>
      </c>
      <c r="O56" s="157" t="s">
        <v>3383</v>
      </c>
      <c r="P56" s="157">
        <v>99</v>
      </c>
      <c r="Q56" s="157">
        <v>3</v>
      </c>
      <c r="R56" s="157">
        <v>15</v>
      </c>
      <c r="S56" s="363">
        <v>0</v>
      </c>
      <c r="T56" s="157">
        <v>0</v>
      </c>
      <c r="U56" s="157" t="s">
        <v>3589</v>
      </c>
      <c r="V56" s="206" t="s">
        <v>3948</v>
      </c>
      <c r="W56" s="206" t="s">
        <v>3931</v>
      </c>
      <c r="X56" s="157" t="s">
        <v>3767</v>
      </c>
      <c r="Y56" s="157" t="s">
        <v>3388</v>
      </c>
      <c r="Z56" s="201">
        <v>0</v>
      </c>
      <c r="AA56" s="197">
        <v>0</v>
      </c>
    </row>
    <row r="57" spans="1:27" ht="17.25" x14ac:dyDescent="0.3">
      <c r="A57" s="157">
        <v>901511</v>
      </c>
      <c r="B57" s="206" t="s">
        <v>3949</v>
      </c>
      <c r="C57" s="363" t="s">
        <v>3587</v>
      </c>
      <c r="E57" s="157">
        <v>7</v>
      </c>
      <c r="F57" s="157">
        <v>0</v>
      </c>
      <c r="G57" s="157">
        <v>27</v>
      </c>
      <c r="H57" s="157">
        <v>0</v>
      </c>
      <c r="I57" s="157" t="s">
        <v>3746</v>
      </c>
      <c r="J57" s="193">
        <v>999</v>
      </c>
      <c r="K57" s="157" t="b">
        <v>1</v>
      </c>
      <c r="L57" s="157">
        <v>1050</v>
      </c>
      <c r="M57" s="194">
        <v>2100</v>
      </c>
      <c r="N57" s="194">
        <v>3150</v>
      </c>
      <c r="O57" s="157" t="s">
        <v>3383</v>
      </c>
      <c r="P57" s="157">
        <v>99</v>
      </c>
      <c r="Q57" s="157">
        <v>3</v>
      </c>
      <c r="R57" s="157">
        <v>15</v>
      </c>
      <c r="S57" s="363">
        <v>0</v>
      </c>
      <c r="T57" s="157">
        <v>0</v>
      </c>
      <c r="U57" s="157" t="s">
        <v>3589</v>
      </c>
      <c r="V57" s="206" t="s">
        <v>3950</v>
      </c>
      <c r="W57" s="206" t="s">
        <v>3934</v>
      </c>
      <c r="X57" s="157" t="s">
        <v>3674</v>
      </c>
      <c r="Y57" s="157" t="s">
        <v>3388</v>
      </c>
      <c r="Z57" s="201">
        <v>0</v>
      </c>
      <c r="AA57" s="197">
        <v>0</v>
      </c>
    </row>
    <row r="58" spans="1:27" ht="17.25" x14ac:dyDescent="0.3">
      <c r="A58" s="239">
        <v>901512</v>
      </c>
      <c r="B58" s="206" t="s">
        <v>3951</v>
      </c>
      <c r="C58" s="363" t="s">
        <v>3587</v>
      </c>
      <c r="E58" s="239">
        <v>7</v>
      </c>
      <c r="F58" s="239">
        <v>0</v>
      </c>
      <c r="G58" s="239">
        <v>27</v>
      </c>
      <c r="H58" s="157">
        <v>0</v>
      </c>
      <c r="I58" s="239"/>
      <c r="J58" s="239">
        <v>999</v>
      </c>
      <c r="K58" s="239" t="b">
        <v>1</v>
      </c>
      <c r="L58" s="239">
        <v>10500</v>
      </c>
      <c r="M58" s="194">
        <v>21000</v>
      </c>
      <c r="N58" s="194">
        <v>31500</v>
      </c>
      <c r="O58" s="239" t="s">
        <v>3383</v>
      </c>
      <c r="P58" s="239">
        <v>99</v>
      </c>
      <c r="Q58" s="239">
        <v>3</v>
      </c>
      <c r="R58" s="239">
        <v>15</v>
      </c>
      <c r="S58" s="363">
        <v>0</v>
      </c>
      <c r="T58" s="239">
        <v>0</v>
      </c>
      <c r="U58" s="239" t="s">
        <v>3589</v>
      </c>
      <c r="V58" s="206" t="s">
        <v>3952</v>
      </c>
      <c r="W58" s="206" t="s">
        <v>3953</v>
      </c>
      <c r="X58" s="239" t="s">
        <v>3704</v>
      </c>
      <c r="Y58" s="239" t="s">
        <v>3388</v>
      </c>
      <c r="Z58" s="367">
        <v>1</v>
      </c>
      <c r="AA58" s="368">
        <v>0</v>
      </c>
    </row>
    <row r="59" spans="1:27" ht="17.25" x14ac:dyDescent="0.3">
      <c r="A59" s="209">
        <v>902061</v>
      </c>
      <c r="B59" s="206" t="s">
        <v>3954</v>
      </c>
      <c r="C59" s="209" t="s">
        <v>3587</v>
      </c>
      <c r="D59" s="104"/>
      <c r="E59" s="211">
        <v>2</v>
      </c>
      <c r="F59" s="209">
        <v>1</v>
      </c>
      <c r="G59" s="209">
        <v>1</v>
      </c>
      <c r="H59" s="209">
        <v>30</v>
      </c>
      <c r="I59" s="209" t="s">
        <v>3640</v>
      </c>
      <c r="J59" s="211">
        <v>999</v>
      </c>
      <c r="K59" s="209" t="b">
        <v>1</v>
      </c>
      <c r="L59" s="211">
        <v>5</v>
      </c>
      <c r="M59" s="194">
        <v>75</v>
      </c>
      <c r="N59" s="194">
        <v>100</v>
      </c>
      <c r="O59" s="209" t="s">
        <v>3383</v>
      </c>
      <c r="P59" s="209">
        <v>2</v>
      </c>
      <c r="Q59" s="209">
        <v>1</v>
      </c>
      <c r="R59" s="209">
        <v>30</v>
      </c>
      <c r="S59" s="209">
        <v>0</v>
      </c>
      <c r="T59" s="209">
        <v>0</v>
      </c>
      <c r="U59" s="209" t="s">
        <v>3589</v>
      </c>
      <c r="V59" s="206" t="s">
        <v>3955</v>
      </c>
      <c r="W59" s="206" t="s">
        <v>3954</v>
      </c>
      <c r="X59" s="209" t="s">
        <v>3775</v>
      </c>
      <c r="Y59" s="209" t="s">
        <v>3593</v>
      </c>
      <c r="Z59" s="201">
        <v>1</v>
      </c>
      <c r="AA59" s="197">
        <v>1</v>
      </c>
    </row>
    <row r="60" spans="1:27" ht="17.25" x14ac:dyDescent="0.3">
      <c r="A60" s="209">
        <v>902062</v>
      </c>
      <c r="B60" s="206" t="s">
        <v>3956</v>
      </c>
      <c r="C60" s="209" t="s">
        <v>3587</v>
      </c>
      <c r="D60" s="104"/>
      <c r="E60" s="211">
        <v>4</v>
      </c>
      <c r="F60" s="209">
        <v>1</v>
      </c>
      <c r="G60" s="209">
        <v>1</v>
      </c>
      <c r="H60" s="209">
        <v>50</v>
      </c>
      <c r="I60" s="209" t="s">
        <v>3777</v>
      </c>
      <c r="J60" s="211">
        <v>999</v>
      </c>
      <c r="K60" s="209" t="b">
        <v>1</v>
      </c>
      <c r="L60" s="211">
        <v>7</v>
      </c>
      <c r="M60" s="194">
        <v>105</v>
      </c>
      <c r="N60" s="194">
        <v>140</v>
      </c>
      <c r="O60" s="209" t="s">
        <v>3383</v>
      </c>
      <c r="P60" s="209">
        <v>2</v>
      </c>
      <c r="Q60" s="209">
        <v>1</v>
      </c>
      <c r="R60" s="209">
        <v>30</v>
      </c>
      <c r="S60" s="209">
        <v>0</v>
      </c>
      <c r="T60" s="209">
        <v>0</v>
      </c>
      <c r="U60" s="209" t="s">
        <v>3589</v>
      </c>
      <c r="V60" s="206" t="s">
        <v>3957</v>
      </c>
      <c r="W60" s="206" t="s">
        <v>3958</v>
      </c>
      <c r="X60" s="209" t="s">
        <v>3779</v>
      </c>
      <c r="Y60" s="209" t="s">
        <v>3593</v>
      </c>
      <c r="Z60" s="201">
        <v>1</v>
      </c>
      <c r="AA60" s="197">
        <v>1</v>
      </c>
    </row>
    <row r="61" spans="1:27" ht="17.25" x14ac:dyDescent="0.3">
      <c r="A61" s="209">
        <v>902063</v>
      </c>
      <c r="B61" s="206" t="s">
        <v>3959</v>
      </c>
      <c r="C61" s="209" t="s">
        <v>3587</v>
      </c>
      <c r="D61" s="104"/>
      <c r="E61" s="211">
        <v>6</v>
      </c>
      <c r="F61" s="209">
        <v>1</v>
      </c>
      <c r="G61" s="209">
        <v>1</v>
      </c>
      <c r="H61" s="209">
        <v>80</v>
      </c>
      <c r="I61" s="209" t="s">
        <v>3781</v>
      </c>
      <c r="J61" s="211">
        <v>999</v>
      </c>
      <c r="K61" s="209" t="b">
        <v>1</v>
      </c>
      <c r="L61" s="211">
        <v>10</v>
      </c>
      <c r="M61" s="194">
        <v>150</v>
      </c>
      <c r="N61" s="194">
        <v>200</v>
      </c>
      <c r="O61" s="209" t="s">
        <v>3383</v>
      </c>
      <c r="P61" s="209">
        <v>2</v>
      </c>
      <c r="Q61" s="209">
        <v>1</v>
      </c>
      <c r="R61" s="209">
        <v>30</v>
      </c>
      <c r="S61" s="209">
        <v>0</v>
      </c>
      <c r="T61" s="209">
        <v>0</v>
      </c>
      <c r="U61" s="209" t="s">
        <v>3589</v>
      </c>
      <c r="V61" s="206" t="s">
        <v>3960</v>
      </c>
      <c r="W61" s="206" t="s">
        <v>3959</v>
      </c>
      <c r="X61" s="209" t="s">
        <v>3783</v>
      </c>
      <c r="Y61" s="209" t="s">
        <v>3593</v>
      </c>
      <c r="Z61" s="201">
        <v>1</v>
      </c>
      <c r="AA61" s="197">
        <v>1</v>
      </c>
    </row>
    <row r="62" spans="1:27" ht="17.25" x14ac:dyDescent="0.3">
      <c r="A62" s="209">
        <v>902064</v>
      </c>
      <c r="B62" s="206" t="s">
        <v>3961</v>
      </c>
      <c r="C62" s="209" t="s">
        <v>3587</v>
      </c>
      <c r="D62" s="104"/>
      <c r="E62" s="211">
        <v>2</v>
      </c>
      <c r="F62" s="209">
        <v>1</v>
      </c>
      <c r="G62" s="209">
        <v>1</v>
      </c>
      <c r="H62" s="209">
        <v>30</v>
      </c>
      <c r="I62" s="209" t="s">
        <v>3640</v>
      </c>
      <c r="J62" s="211">
        <v>999</v>
      </c>
      <c r="K62" s="209" t="b">
        <v>1</v>
      </c>
      <c r="L62" s="211">
        <v>5</v>
      </c>
      <c r="M62" s="194">
        <v>75</v>
      </c>
      <c r="N62" s="194">
        <v>100</v>
      </c>
      <c r="O62" s="209" t="s">
        <v>3383</v>
      </c>
      <c r="P62" s="209">
        <v>2</v>
      </c>
      <c r="Q62" s="209">
        <v>1</v>
      </c>
      <c r="R62" s="209">
        <v>30</v>
      </c>
      <c r="S62" s="209">
        <v>0</v>
      </c>
      <c r="T62" s="209">
        <v>0</v>
      </c>
      <c r="U62" s="209" t="s">
        <v>3589</v>
      </c>
      <c r="V62" s="206" t="s">
        <v>3962</v>
      </c>
      <c r="W62" s="206" t="s">
        <v>3961</v>
      </c>
      <c r="X62" s="209" t="s">
        <v>3786</v>
      </c>
      <c r="Y62" s="209" t="s">
        <v>3593</v>
      </c>
      <c r="Z62" s="201">
        <v>1</v>
      </c>
      <c r="AA62" s="197">
        <v>1</v>
      </c>
    </row>
    <row r="63" spans="1:27" ht="17.25" x14ac:dyDescent="0.3">
      <c r="A63" s="209">
        <v>902065</v>
      </c>
      <c r="B63" s="206" t="s">
        <v>3963</v>
      </c>
      <c r="C63" s="209" t="s">
        <v>3587</v>
      </c>
      <c r="D63" s="104"/>
      <c r="E63" s="211">
        <v>4</v>
      </c>
      <c r="F63" s="209">
        <v>1</v>
      </c>
      <c r="G63" s="209">
        <v>1</v>
      </c>
      <c r="H63" s="209">
        <v>50</v>
      </c>
      <c r="I63" s="209" t="s">
        <v>3777</v>
      </c>
      <c r="J63" s="211">
        <v>999</v>
      </c>
      <c r="K63" s="209" t="b">
        <v>1</v>
      </c>
      <c r="L63" s="211">
        <v>7</v>
      </c>
      <c r="M63" s="194">
        <v>105</v>
      </c>
      <c r="N63" s="194">
        <v>140</v>
      </c>
      <c r="O63" s="209" t="s">
        <v>3383</v>
      </c>
      <c r="P63" s="209">
        <v>2</v>
      </c>
      <c r="Q63" s="209">
        <v>1</v>
      </c>
      <c r="R63" s="209">
        <v>30</v>
      </c>
      <c r="S63" s="209">
        <v>0</v>
      </c>
      <c r="T63" s="209">
        <v>0</v>
      </c>
      <c r="U63" s="209" t="s">
        <v>3589</v>
      </c>
      <c r="V63" s="206" t="s">
        <v>3964</v>
      </c>
      <c r="W63" s="206" t="s">
        <v>3965</v>
      </c>
      <c r="X63" s="209" t="s">
        <v>3789</v>
      </c>
      <c r="Y63" s="209" t="s">
        <v>3593</v>
      </c>
      <c r="Z63" s="201">
        <v>1</v>
      </c>
      <c r="AA63" s="197">
        <v>1</v>
      </c>
    </row>
    <row r="64" spans="1:27" ht="17.25" x14ac:dyDescent="0.3">
      <c r="A64" s="209">
        <v>902066</v>
      </c>
      <c r="B64" s="206" t="s">
        <v>3966</v>
      </c>
      <c r="C64" s="209" t="s">
        <v>3587</v>
      </c>
      <c r="D64" s="104"/>
      <c r="E64" s="211">
        <v>6</v>
      </c>
      <c r="F64" s="209">
        <v>1</v>
      </c>
      <c r="G64" s="209">
        <v>1</v>
      </c>
      <c r="H64" s="209">
        <v>80</v>
      </c>
      <c r="I64" s="209" t="s">
        <v>3781</v>
      </c>
      <c r="J64" s="211">
        <v>999</v>
      </c>
      <c r="K64" s="209" t="b">
        <v>1</v>
      </c>
      <c r="L64" s="211">
        <v>10</v>
      </c>
      <c r="M64" s="194">
        <v>150</v>
      </c>
      <c r="N64" s="194">
        <v>200</v>
      </c>
      <c r="O64" s="209" t="s">
        <v>3383</v>
      </c>
      <c r="P64" s="209">
        <v>2</v>
      </c>
      <c r="Q64" s="209">
        <v>1</v>
      </c>
      <c r="R64" s="209">
        <v>30</v>
      </c>
      <c r="S64" s="209">
        <v>0</v>
      </c>
      <c r="T64" s="209">
        <v>0</v>
      </c>
      <c r="U64" s="209" t="s">
        <v>3589</v>
      </c>
      <c r="V64" s="206" t="s">
        <v>3967</v>
      </c>
      <c r="W64" s="206" t="s">
        <v>3966</v>
      </c>
      <c r="X64" s="209" t="s">
        <v>3792</v>
      </c>
      <c r="Y64" s="209" t="s">
        <v>3593</v>
      </c>
      <c r="Z64" s="201">
        <v>1</v>
      </c>
      <c r="AA64" s="197">
        <v>1</v>
      </c>
    </row>
    <row r="65" spans="1:27" ht="17.25" x14ac:dyDescent="0.3">
      <c r="A65" s="209">
        <v>902067</v>
      </c>
      <c r="B65" s="206" t="s">
        <v>3968</v>
      </c>
      <c r="C65" s="209" t="s">
        <v>3587</v>
      </c>
      <c r="D65" s="104"/>
      <c r="E65" s="211">
        <v>2</v>
      </c>
      <c r="F65" s="209">
        <v>1</v>
      </c>
      <c r="G65" s="209">
        <v>1</v>
      </c>
      <c r="H65" s="209">
        <v>30</v>
      </c>
      <c r="I65" s="209" t="s">
        <v>3640</v>
      </c>
      <c r="J65" s="211">
        <v>999</v>
      </c>
      <c r="K65" s="209" t="b">
        <v>1</v>
      </c>
      <c r="L65" s="211">
        <v>5</v>
      </c>
      <c r="M65" s="194">
        <v>75</v>
      </c>
      <c r="N65" s="194">
        <v>100</v>
      </c>
      <c r="O65" s="209" t="s">
        <v>3383</v>
      </c>
      <c r="P65" s="209">
        <v>2</v>
      </c>
      <c r="Q65" s="209">
        <v>1</v>
      </c>
      <c r="R65" s="209">
        <v>30</v>
      </c>
      <c r="S65" s="209">
        <v>0</v>
      </c>
      <c r="T65" s="209">
        <v>0</v>
      </c>
      <c r="U65" s="209" t="s">
        <v>3589</v>
      </c>
      <c r="V65" s="206" t="s">
        <v>3969</v>
      </c>
      <c r="W65" s="206" t="s">
        <v>3968</v>
      </c>
      <c r="X65" s="209" t="s">
        <v>3795</v>
      </c>
      <c r="Y65" s="209" t="s">
        <v>3593</v>
      </c>
      <c r="Z65" s="201">
        <v>1</v>
      </c>
      <c r="AA65" s="197">
        <v>1</v>
      </c>
    </row>
    <row r="66" spans="1:27" ht="17.25" x14ac:dyDescent="0.3">
      <c r="A66" s="209">
        <v>902068</v>
      </c>
      <c r="B66" s="206" t="s">
        <v>3970</v>
      </c>
      <c r="C66" s="209" t="s">
        <v>3587</v>
      </c>
      <c r="D66" s="104"/>
      <c r="E66" s="211">
        <v>4</v>
      </c>
      <c r="F66" s="209">
        <v>1</v>
      </c>
      <c r="G66" s="209">
        <v>1</v>
      </c>
      <c r="H66" s="209">
        <v>50</v>
      </c>
      <c r="I66" s="209" t="s">
        <v>3777</v>
      </c>
      <c r="J66" s="211">
        <v>999</v>
      </c>
      <c r="K66" s="209" t="b">
        <v>1</v>
      </c>
      <c r="L66" s="211">
        <v>7</v>
      </c>
      <c r="M66" s="194">
        <v>105</v>
      </c>
      <c r="N66" s="194">
        <v>140</v>
      </c>
      <c r="O66" s="209" t="s">
        <v>3383</v>
      </c>
      <c r="P66" s="209">
        <v>2</v>
      </c>
      <c r="Q66" s="209">
        <v>1</v>
      </c>
      <c r="R66" s="209">
        <v>30</v>
      </c>
      <c r="S66" s="209">
        <v>0</v>
      </c>
      <c r="T66" s="209">
        <v>0</v>
      </c>
      <c r="U66" s="209" t="s">
        <v>3589</v>
      </c>
      <c r="V66" s="206" t="s">
        <v>3971</v>
      </c>
      <c r="W66" s="206" t="s">
        <v>3972</v>
      </c>
      <c r="X66" s="209" t="s">
        <v>3798</v>
      </c>
      <c r="Y66" s="209" t="s">
        <v>3593</v>
      </c>
      <c r="Z66" s="201">
        <v>1</v>
      </c>
      <c r="AA66" s="197">
        <v>1</v>
      </c>
    </row>
    <row r="67" spans="1:27" ht="17.25" x14ac:dyDescent="0.3">
      <c r="A67" s="209">
        <v>902069</v>
      </c>
      <c r="B67" s="206" t="s">
        <v>3973</v>
      </c>
      <c r="C67" s="209" t="s">
        <v>3587</v>
      </c>
      <c r="D67" s="104"/>
      <c r="E67" s="211">
        <v>6</v>
      </c>
      <c r="F67" s="209">
        <v>1</v>
      </c>
      <c r="G67" s="209">
        <v>1</v>
      </c>
      <c r="H67" s="209">
        <v>80</v>
      </c>
      <c r="I67" s="209" t="s">
        <v>3781</v>
      </c>
      <c r="J67" s="211">
        <v>999</v>
      </c>
      <c r="K67" s="209" t="b">
        <v>1</v>
      </c>
      <c r="L67" s="211">
        <v>10</v>
      </c>
      <c r="M67" s="194">
        <v>150</v>
      </c>
      <c r="N67" s="194">
        <v>200</v>
      </c>
      <c r="O67" s="209" t="s">
        <v>3383</v>
      </c>
      <c r="P67" s="209">
        <v>2</v>
      </c>
      <c r="Q67" s="209">
        <v>1</v>
      </c>
      <c r="R67" s="209">
        <v>30</v>
      </c>
      <c r="S67" s="209">
        <v>0</v>
      </c>
      <c r="T67" s="209">
        <v>0</v>
      </c>
      <c r="U67" s="209" t="s">
        <v>3589</v>
      </c>
      <c r="V67" s="206" t="s">
        <v>3974</v>
      </c>
      <c r="W67" s="206" t="s">
        <v>3975</v>
      </c>
      <c r="X67" s="209" t="s">
        <v>3801</v>
      </c>
      <c r="Y67" s="209" t="s">
        <v>3593</v>
      </c>
      <c r="Z67" s="201">
        <v>1</v>
      </c>
      <c r="AA67" s="197">
        <v>1</v>
      </c>
    </row>
    <row r="68" spans="1:27" ht="17.25" x14ac:dyDescent="0.3">
      <c r="A68" s="209">
        <v>902070</v>
      </c>
      <c r="B68" s="206" t="s">
        <v>3976</v>
      </c>
      <c r="C68" s="209" t="s">
        <v>3587</v>
      </c>
      <c r="D68" s="104"/>
      <c r="E68" s="211">
        <v>2</v>
      </c>
      <c r="F68" s="209">
        <v>1</v>
      </c>
      <c r="G68" s="209">
        <v>1</v>
      </c>
      <c r="H68" s="209">
        <v>30</v>
      </c>
      <c r="I68" s="209" t="s">
        <v>3640</v>
      </c>
      <c r="J68" s="211">
        <v>999</v>
      </c>
      <c r="K68" s="209" t="b">
        <v>1</v>
      </c>
      <c r="L68" s="211">
        <v>5</v>
      </c>
      <c r="M68" s="194">
        <v>75</v>
      </c>
      <c r="N68" s="194">
        <v>100</v>
      </c>
      <c r="O68" s="209" t="s">
        <v>3383</v>
      </c>
      <c r="P68" s="209">
        <v>2</v>
      </c>
      <c r="Q68" s="209">
        <v>1</v>
      </c>
      <c r="R68" s="209">
        <v>30</v>
      </c>
      <c r="S68" s="209">
        <v>0</v>
      </c>
      <c r="T68" s="209">
        <v>0</v>
      </c>
      <c r="U68" s="209" t="s">
        <v>3589</v>
      </c>
      <c r="V68" s="206" t="s">
        <v>3977</v>
      </c>
      <c r="W68" s="206" t="s">
        <v>3978</v>
      </c>
      <c r="X68" s="209" t="s">
        <v>3804</v>
      </c>
      <c r="Y68" s="209" t="s">
        <v>3593</v>
      </c>
      <c r="Z68" s="201">
        <v>1</v>
      </c>
      <c r="AA68" s="197">
        <v>1</v>
      </c>
    </row>
    <row r="69" spans="1:27" ht="17.25" x14ac:dyDescent="0.3">
      <c r="A69" s="209">
        <v>902071</v>
      </c>
      <c r="B69" s="206" t="s">
        <v>3979</v>
      </c>
      <c r="C69" s="209" t="s">
        <v>3587</v>
      </c>
      <c r="D69" s="104"/>
      <c r="E69" s="211">
        <v>4</v>
      </c>
      <c r="F69" s="209">
        <v>1</v>
      </c>
      <c r="G69" s="209">
        <v>1</v>
      </c>
      <c r="H69" s="209">
        <v>50</v>
      </c>
      <c r="I69" s="209" t="s">
        <v>3777</v>
      </c>
      <c r="J69" s="211">
        <v>999</v>
      </c>
      <c r="K69" s="209" t="b">
        <v>1</v>
      </c>
      <c r="L69" s="211">
        <v>7</v>
      </c>
      <c r="M69" s="194">
        <v>105</v>
      </c>
      <c r="N69" s="194">
        <v>140</v>
      </c>
      <c r="O69" s="209" t="s">
        <v>3383</v>
      </c>
      <c r="P69" s="209">
        <v>2</v>
      </c>
      <c r="Q69" s="209">
        <v>1</v>
      </c>
      <c r="R69" s="209">
        <v>30</v>
      </c>
      <c r="S69" s="209">
        <v>0</v>
      </c>
      <c r="T69" s="209">
        <v>0</v>
      </c>
      <c r="U69" s="209" t="s">
        <v>3589</v>
      </c>
      <c r="V69" s="206" t="s">
        <v>3980</v>
      </c>
      <c r="W69" s="206" t="s">
        <v>3981</v>
      </c>
      <c r="X69" s="209" t="s">
        <v>3807</v>
      </c>
      <c r="Y69" s="209" t="s">
        <v>3593</v>
      </c>
      <c r="Z69" s="201">
        <v>1</v>
      </c>
      <c r="AA69" s="197">
        <v>1</v>
      </c>
    </row>
    <row r="70" spans="1:27" ht="17.25" x14ac:dyDescent="0.3">
      <c r="A70" s="209">
        <v>902072</v>
      </c>
      <c r="B70" s="206" t="s">
        <v>3982</v>
      </c>
      <c r="C70" s="209" t="s">
        <v>3587</v>
      </c>
      <c r="D70" s="104"/>
      <c r="E70" s="211">
        <v>6</v>
      </c>
      <c r="F70" s="209">
        <v>1</v>
      </c>
      <c r="G70" s="209">
        <v>1</v>
      </c>
      <c r="H70" s="209">
        <v>80</v>
      </c>
      <c r="I70" s="209" t="s">
        <v>3781</v>
      </c>
      <c r="J70" s="211">
        <v>999</v>
      </c>
      <c r="K70" s="209" t="b">
        <v>1</v>
      </c>
      <c r="L70" s="211">
        <v>10</v>
      </c>
      <c r="M70" s="194">
        <v>150</v>
      </c>
      <c r="N70" s="194">
        <v>200</v>
      </c>
      <c r="O70" s="209" t="s">
        <v>3383</v>
      </c>
      <c r="P70" s="209">
        <v>2</v>
      </c>
      <c r="Q70" s="209">
        <v>1</v>
      </c>
      <c r="R70" s="209">
        <v>30</v>
      </c>
      <c r="S70" s="209">
        <v>0</v>
      </c>
      <c r="T70" s="209">
        <v>0</v>
      </c>
      <c r="U70" s="209" t="s">
        <v>3589</v>
      </c>
      <c r="V70" s="206" t="s">
        <v>3983</v>
      </c>
      <c r="W70" s="206" t="s">
        <v>3984</v>
      </c>
      <c r="X70" s="209" t="s">
        <v>3810</v>
      </c>
      <c r="Y70" s="209" t="s">
        <v>3593</v>
      </c>
      <c r="Z70" s="201">
        <v>1</v>
      </c>
      <c r="AA70" s="197">
        <v>1</v>
      </c>
    </row>
  </sheetData>
  <phoneticPr fontId="45" type="noConversion"/>
  <pageMargins left="0.7" right="0.7" top="0.75" bottom="0.75" header="0.3" footer="0.3"/>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AA130"/>
  <sheetViews>
    <sheetView topLeftCell="A106" workbookViewId="0">
      <pane xSplit="2" topLeftCell="S1" activePane="topRight" state="frozen"/>
      <selection pane="topRight" activeCell="AB127" sqref="AB127"/>
    </sheetView>
  </sheetViews>
  <sheetFormatPr defaultColWidth="9" defaultRowHeight="13.5" x14ac:dyDescent="0.15"/>
  <cols>
    <col min="2" max="2" width="22.625" customWidth="1"/>
    <col min="3" max="4" width="13.25" customWidth="1"/>
    <col min="7" max="7" width="11.375" customWidth="1"/>
    <col min="8" max="8" width="19" customWidth="1"/>
    <col min="11" max="11" width="13.75" customWidth="1"/>
    <col min="12" max="12" width="19.25" customWidth="1"/>
    <col min="13" max="14" width="14.125" customWidth="1"/>
    <col min="15" max="16" width="14.5" customWidth="1"/>
    <col min="17" max="18" width="17.25" customWidth="1"/>
    <col min="20" max="20" width="37.75" style="10" customWidth="1"/>
    <col min="21" max="21" width="23.625" customWidth="1"/>
    <col min="22" max="22" width="14.5" customWidth="1"/>
    <col min="26" max="27" width="9" style="199"/>
  </cols>
  <sheetData>
    <row r="1" spans="1:27" ht="27" x14ac:dyDescent="0.15">
      <c r="A1" s="196" t="s">
        <v>0</v>
      </c>
      <c r="B1" s="196" t="s">
        <v>1</v>
      </c>
      <c r="C1" s="196" t="s">
        <v>3</v>
      </c>
      <c r="D1" s="196" t="s">
        <v>3367</v>
      </c>
      <c r="E1" s="196" t="s">
        <v>7</v>
      </c>
      <c r="F1" s="196" t="s">
        <v>9</v>
      </c>
      <c r="G1" s="196" t="s">
        <v>10</v>
      </c>
      <c r="H1" s="196" t="s">
        <v>3369</v>
      </c>
      <c r="I1" s="196" t="s">
        <v>16</v>
      </c>
      <c r="J1" s="196" t="s">
        <v>17</v>
      </c>
      <c r="K1" s="196" t="s">
        <v>18</v>
      </c>
      <c r="L1" s="195" t="s">
        <v>19</v>
      </c>
      <c r="M1" s="195" t="s">
        <v>20</v>
      </c>
      <c r="N1" s="196" t="s">
        <v>3371</v>
      </c>
      <c r="O1" s="196" t="s">
        <v>3372</v>
      </c>
      <c r="P1" s="196" t="s">
        <v>22</v>
      </c>
      <c r="Q1" s="196" t="s">
        <v>3585</v>
      </c>
      <c r="R1" s="196" t="s">
        <v>3375</v>
      </c>
      <c r="S1" s="196" t="s">
        <v>23</v>
      </c>
      <c r="T1" s="196" t="s">
        <v>24</v>
      </c>
      <c r="U1" s="196" t="s">
        <v>3376</v>
      </c>
      <c r="V1" s="196" t="s">
        <v>26</v>
      </c>
      <c r="W1" s="196" t="s">
        <v>27</v>
      </c>
      <c r="X1" s="197" t="s">
        <v>28</v>
      </c>
      <c r="Y1" s="197" t="s">
        <v>29</v>
      </c>
      <c r="Z1" s="199" t="s">
        <v>3985</v>
      </c>
      <c r="AA1" s="199" t="s">
        <v>3986</v>
      </c>
    </row>
    <row r="2" spans="1:27" s="5" customFormat="1" x14ac:dyDescent="0.15">
      <c r="A2" s="84">
        <v>904001</v>
      </c>
      <c r="B2" s="84" t="s">
        <v>3987</v>
      </c>
      <c r="C2" s="84" t="s">
        <v>3988</v>
      </c>
      <c r="D2" s="84">
        <v>1001</v>
      </c>
      <c r="E2" s="84">
        <v>2</v>
      </c>
      <c r="F2" s="84">
        <v>1</v>
      </c>
      <c r="G2" s="84">
        <v>0</v>
      </c>
      <c r="H2" s="84" t="s">
        <v>3989</v>
      </c>
      <c r="I2" s="157">
        <v>999</v>
      </c>
      <c r="J2" s="84" t="b">
        <v>1</v>
      </c>
      <c r="K2" s="84">
        <v>15</v>
      </c>
      <c r="L2" s="84">
        <v>225</v>
      </c>
      <c r="M2" s="84">
        <v>300</v>
      </c>
      <c r="N2" s="84" t="s">
        <v>3383</v>
      </c>
      <c r="O2" s="84"/>
      <c r="P2" s="84">
        <v>1</v>
      </c>
      <c r="Q2" s="84"/>
      <c r="R2" s="84">
        <v>0</v>
      </c>
      <c r="S2" s="84" t="s">
        <v>3990</v>
      </c>
      <c r="T2" s="84" t="s">
        <v>3991</v>
      </c>
      <c r="U2" s="84" t="s">
        <v>3992</v>
      </c>
      <c r="V2" s="84" t="s">
        <v>3993</v>
      </c>
      <c r="X2" s="197">
        <v>1</v>
      </c>
      <c r="Y2" s="197">
        <v>1</v>
      </c>
      <c r="Z2" s="356">
        <v>0</v>
      </c>
      <c r="AA2" s="356">
        <v>1</v>
      </c>
    </row>
    <row r="3" spans="1:27" s="5" customFormat="1" x14ac:dyDescent="0.15">
      <c r="A3" s="84">
        <v>904002</v>
      </c>
      <c r="B3" s="84" t="s">
        <v>3994</v>
      </c>
      <c r="C3" s="84" t="s">
        <v>3988</v>
      </c>
      <c r="D3" s="84">
        <v>1001</v>
      </c>
      <c r="E3" s="84">
        <v>2</v>
      </c>
      <c r="F3" s="84">
        <v>1</v>
      </c>
      <c r="G3" s="84">
        <v>0</v>
      </c>
      <c r="H3" s="84" t="s">
        <v>3995</v>
      </c>
      <c r="I3" s="157">
        <v>999</v>
      </c>
      <c r="J3" s="84" t="b">
        <v>1</v>
      </c>
      <c r="K3" s="84">
        <v>15</v>
      </c>
      <c r="L3" s="84">
        <v>225</v>
      </c>
      <c r="M3" s="84">
        <v>300</v>
      </c>
      <c r="N3" s="84" t="s">
        <v>3383</v>
      </c>
      <c r="O3" s="84"/>
      <c r="P3" s="84">
        <v>1</v>
      </c>
      <c r="Q3" s="84"/>
      <c r="R3" s="84">
        <v>0</v>
      </c>
      <c r="S3" s="84" t="s">
        <v>3990</v>
      </c>
      <c r="T3" s="84" t="s">
        <v>3996</v>
      </c>
      <c r="U3" s="84" t="s">
        <v>3997</v>
      </c>
      <c r="V3" s="84" t="s">
        <v>3993</v>
      </c>
      <c r="X3" s="197">
        <v>1</v>
      </c>
      <c r="Y3" s="197">
        <v>1</v>
      </c>
      <c r="Z3" s="356">
        <v>0</v>
      </c>
      <c r="AA3" s="356">
        <v>1</v>
      </c>
    </row>
    <row r="4" spans="1:27" s="5" customFormat="1" x14ac:dyDescent="0.15">
      <c r="A4" s="84">
        <v>904003</v>
      </c>
      <c r="B4" s="84" t="s">
        <v>3998</v>
      </c>
      <c r="C4" s="84" t="s">
        <v>3988</v>
      </c>
      <c r="D4" s="84">
        <v>1001</v>
      </c>
      <c r="E4" s="84">
        <v>2</v>
      </c>
      <c r="F4" s="84">
        <v>1</v>
      </c>
      <c r="G4" s="84">
        <v>0</v>
      </c>
      <c r="H4" s="84" t="s">
        <v>3999</v>
      </c>
      <c r="I4" s="157">
        <v>999</v>
      </c>
      <c r="J4" s="84" t="b">
        <v>1</v>
      </c>
      <c r="K4" s="84">
        <v>15</v>
      </c>
      <c r="L4" s="84">
        <v>225</v>
      </c>
      <c r="M4" s="84">
        <v>300</v>
      </c>
      <c r="N4" s="84" t="s">
        <v>3383</v>
      </c>
      <c r="O4" s="84"/>
      <c r="P4" s="84">
        <v>1</v>
      </c>
      <c r="Q4" s="84"/>
      <c r="R4" s="84">
        <v>0</v>
      </c>
      <c r="S4" s="84" t="s">
        <v>3990</v>
      </c>
      <c r="T4" s="84" t="s">
        <v>4000</v>
      </c>
      <c r="U4" s="84" t="s">
        <v>4001</v>
      </c>
      <c r="V4" s="84" t="s">
        <v>3993</v>
      </c>
      <c r="X4" s="197">
        <v>1</v>
      </c>
      <c r="Y4" s="197">
        <v>1</v>
      </c>
      <c r="Z4" s="356">
        <v>0</v>
      </c>
      <c r="AA4" s="356">
        <v>1</v>
      </c>
    </row>
    <row r="5" spans="1:27" s="5" customFormat="1" x14ac:dyDescent="0.15">
      <c r="A5" s="84">
        <v>904004</v>
      </c>
      <c r="B5" s="84" t="s">
        <v>4002</v>
      </c>
      <c r="C5" s="84" t="s">
        <v>3988</v>
      </c>
      <c r="D5" s="84">
        <v>1001</v>
      </c>
      <c r="E5" s="84">
        <v>2</v>
      </c>
      <c r="F5" s="84">
        <v>1</v>
      </c>
      <c r="G5" s="84">
        <v>0</v>
      </c>
      <c r="H5" s="84" t="s">
        <v>4003</v>
      </c>
      <c r="I5" s="157">
        <v>999</v>
      </c>
      <c r="J5" s="84" t="b">
        <v>1</v>
      </c>
      <c r="K5" s="84">
        <v>15</v>
      </c>
      <c r="L5" s="84">
        <v>225</v>
      </c>
      <c r="M5" s="84">
        <v>300</v>
      </c>
      <c r="N5" s="84" t="s">
        <v>3383</v>
      </c>
      <c r="O5" s="84"/>
      <c r="P5" s="84">
        <v>1</v>
      </c>
      <c r="Q5" s="84"/>
      <c r="R5" s="84">
        <v>0</v>
      </c>
      <c r="S5" s="84" t="s">
        <v>3990</v>
      </c>
      <c r="T5" s="84" t="s">
        <v>4004</v>
      </c>
      <c r="U5" s="84" t="s">
        <v>4005</v>
      </c>
      <c r="V5" s="84" t="s">
        <v>3993</v>
      </c>
      <c r="X5" s="197">
        <v>1</v>
      </c>
      <c r="Y5" s="197">
        <v>1</v>
      </c>
      <c r="Z5" s="356">
        <v>0</v>
      </c>
      <c r="AA5" s="356">
        <v>1</v>
      </c>
    </row>
    <row r="6" spans="1:27" s="5" customFormat="1" x14ac:dyDescent="0.15">
      <c r="A6" s="84">
        <v>904011</v>
      </c>
      <c r="B6" s="84" t="s">
        <v>4006</v>
      </c>
      <c r="C6" s="84" t="s">
        <v>3988</v>
      </c>
      <c r="D6" s="84">
        <v>2001</v>
      </c>
      <c r="E6" s="84">
        <v>2</v>
      </c>
      <c r="F6" s="84">
        <v>1</v>
      </c>
      <c r="G6" s="84">
        <v>0</v>
      </c>
      <c r="H6" s="84" t="s">
        <v>4007</v>
      </c>
      <c r="I6" s="157">
        <v>999</v>
      </c>
      <c r="J6" s="84" t="b">
        <v>1</v>
      </c>
      <c r="K6" s="84">
        <v>15</v>
      </c>
      <c r="L6" s="84">
        <v>225</v>
      </c>
      <c r="M6" s="84">
        <v>300</v>
      </c>
      <c r="N6" s="84" t="s">
        <v>3383</v>
      </c>
      <c r="O6" s="84"/>
      <c r="P6" s="84">
        <v>1</v>
      </c>
      <c r="Q6" s="84"/>
      <c r="R6" s="84">
        <v>0</v>
      </c>
      <c r="S6" s="84" t="s">
        <v>3990</v>
      </c>
      <c r="T6" s="84" t="s">
        <v>4008</v>
      </c>
      <c r="U6" s="84" t="s">
        <v>4009</v>
      </c>
      <c r="V6" s="84" t="s">
        <v>3993</v>
      </c>
      <c r="X6" s="197">
        <v>1</v>
      </c>
      <c r="Y6" s="197">
        <v>1</v>
      </c>
      <c r="Z6" s="356">
        <v>2</v>
      </c>
      <c r="AA6" s="356">
        <v>1</v>
      </c>
    </row>
    <row r="7" spans="1:27" s="5" customFormat="1" x14ac:dyDescent="0.15">
      <c r="A7" s="84">
        <v>904012</v>
      </c>
      <c r="B7" s="84" t="s">
        <v>4010</v>
      </c>
      <c r="C7" s="84" t="s">
        <v>3988</v>
      </c>
      <c r="D7" s="84">
        <v>2001</v>
      </c>
      <c r="E7" s="84">
        <v>2</v>
      </c>
      <c r="F7" s="84">
        <v>1</v>
      </c>
      <c r="G7" s="84">
        <v>0</v>
      </c>
      <c r="H7" s="84" t="s">
        <v>4011</v>
      </c>
      <c r="I7" s="157">
        <v>999</v>
      </c>
      <c r="J7" s="84" t="b">
        <v>1</v>
      </c>
      <c r="K7" s="84">
        <v>15</v>
      </c>
      <c r="L7" s="84">
        <v>225</v>
      </c>
      <c r="M7" s="84">
        <v>300</v>
      </c>
      <c r="N7" s="84" t="s">
        <v>3383</v>
      </c>
      <c r="O7" s="84"/>
      <c r="P7" s="84">
        <v>1</v>
      </c>
      <c r="Q7" s="84"/>
      <c r="R7" s="84">
        <v>0</v>
      </c>
      <c r="S7" s="84" t="s">
        <v>3990</v>
      </c>
      <c r="T7" s="84" t="s">
        <v>4012</v>
      </c>
      <c r="U7" s="84" t="s">
        <v>4013</v>
      </c>
      <c r="V7" s="84" t="s">
        <v>3993</v>
      </c>
      <c r="X7" s="197">
        <v>1</v>
      </c>
      <c r="Y7" s="197">
        <v>1</v>
      </c>
      <c r="Z7" s="356">
        <v>5</v>
      </c>
      <c r="AA7" s="356">
        <v>1</v>
      </c>
    </row>
    <row r="8" spans="1:27" s="5" customFormat="1" x14ac:dyDescent="0.15">
      <c r="A8" s="84">
        <v>904013</v>
      </c>
      <c r="B8" s="84" t="s">
        <v>4014</v>
      </c>
      <c r="C8" s="84" t="s">
        <v>3988</v>
      </c>
      <c r="D8" s="84">
        <v>2001</v>
      </c>
      <c r="E8" s="84">
        <v>2</v>
      </c>
      <c r="F8" s="84">
        <v>1</v>
      </c>
      <c r="G8" s="84">
        <v>0</v>
      </c>
      <c r="H8" s="84" t="s">
        <v>4015</v>
      </c>
      <c r="I8" s="157">
        <v>999</v>
      </c>
      <c r="J8" s="84" t="b">
        <v>1</v>
      </c>
      <c r="K8" s="84">
        <v>15</v>
      </c>
      <c r="L8" s="84">
        <v>225</v>
      </c>
      <c r="M8" s="84">
        <v>300</v>
      </c>
      <c r="N8" s="84" t="s">
        <v>3383</v>
      </c>
      <c r="O8" s="84"/>
      <c r="P8" s="84">
        <v>1</v>
      </c>
      <c r="Q8" s="84"/>
      <c r="R8" s="84">
        <v>0</v>
      </c>
      <c r="S8" s="84" t="s">
        <v>3990</v>
      </c>
      <c r="T8" s="84" t="s">
        <v>4016</v>
      </c>
      <c r="U8" s="84" t="s">
        <v>4017</v>
      </c>
      <c r="V8" s="84" t="s">
        <v>3993</v>
      </c>
      <c r="X8" s="197">
        <v>1</v>
      </c>
      <c r="Y8" s="197">
        <v>1</v>
      </c>
      <c r="Z8" s="356">
        <v>14</v>
      </c>
      <c r="AA8" s="356">
        <v>1</v>
      </c>
    </row>
    <row r="9" spans="1:27" s="5" customFormat="1" x14ac:dyDescent="0.15">
      <c r="A9" s="84">
        <v>904014</v>
      </c>
      <c r="B9" s="84" t="s">
        <v>4018</v>
      </c>
      <c r="C9" s="84" t="s">
        <v>3988</v>
      </c>
      <c r="D9" s="84">
        <v>2001</v>
      </c>
      <c r="E9" s="84">
        <v>2</v>
      </c>
      <c r="F9" s="84">
        <v>1</v>
      </c>
      <c r="G9" s="84">
        <v>0</v>
      </c>
      <c r="H9" s="84" t="s">
        <v>4019</v>
      </c>
      <c r="I9" s="157">
        <v>999</v>
      </c>
      <c r="J9" s="84" t="b">
        <v>1</v>
      </c>
      <c r="K9" s="84">
        <v>15</v>
      </c>
      <c r="L9" s="84">
        <v>225</v>
      </c>
      <c r="M9" s="84">
        <v>300</v>
      </c>
      <c r="N9" s="84" t="s">
        <v>3383</v>
      </c>
      <c r="O9" s="84"/>
      <c r="P9" s="84">
        <v>1</v>
      </c>
      <c r="Q9" s="84"/>
      <c r="R9" s="84">
        <v>0</v>
      </c>
      <c r="S9" s="84" t="s">
        <v>3990</v>
      </c>
      <c r="T9" s="84" t="s">
        <v>4020</v>
      </c>
      <c r="U9" s="84" t="s">
        <v>4021</v>
      </c>
      <c r="V9" s="84" t="s">
        <v>3993</v>
      </c>
      <c r="X9" s="197">
        <v>1</v>
      </c>
      <c r="Y9" s="197">
        <v>1</v>
      </c>
      <c r="Z9" s="356">
        <v>5</v>
      </c>
      <c r="AA9" s="356">
        <v>1</v>
      </c>
    </row>
    <row r="10" spans="1:27" s="5" customFormat="1" x14ac:dyDescent="0.15">
      <c r="A10" s="84">
        <v>904015</v>
      </c>
      <c r="B10" s="84" t="s">
        <v>4022</v>
      </c>
      <c r="C10" s="84" t="s">
        <v>3988</v>
      </c>
      <c r="D10" s="84">
        <v>2002</v>
      </c>
      <c r="E10" s="84">
        <v>2</v>
      </c>
      <c r="F10" s="84">
        <v>1</v>
      </c>
      <c r="G10" s="84">
        <v>0</v>
      </c>
      <c r="H10" s="84" t="s">
        <v>4023</v>
      </c>
      <c r="I10" s="157">
        <v>999</v>
      </c>
      <c r="J10" s="84" t="b">
        <v>1</v>
      </c>
      <c r="K10" s="84">
        <v>15</v>
      </c>
      <c r="L10" s="84">
        <v>225</v>
      </c>
      <c r="M10" s="84">
        <v>300</v>
      </c>
      <c r="N10" s="84" t="s">
        <v>3383</v>
      </c>
      <c r="O10" s="84"/>
      <c r="P10" s="84">
        <v>1</v>
      </c>
      <c r="Q10" s="84"/>
      <c r="R10" s="84">
        <v>0</v>
      </c>
      <c r="S10" s="84" t="s">
        <v>3990</v>
      </c>
      <c r="T10" s="84" t="s">
        <v>4024</v>
      </c>
      <c r="U10" s="84" t="s">
        <v>4025</v>
      </c>
      <c r="V10" s="84" t="s">
        <v>3993</v>
      </c>
      <c r="X10" s="197">
        <v>1</v>
      </c>
      <c r="Y10" s="197">
        <v>1</v>
      </c>
      <c r="Z10" s="356">
        <v>2</v>
      </c>
      <c r="AA10" s="356">
        <v>1</v>
      </c>
    </row>
    <row r="11" spans="1:27" s="5" customFormat="1" x14ac:dyDescent="0.15">
      <c r="A11" s="84">
        <v>904016</v>
      </c>
      <c r="B11" s="84" t="s">
        <v>4026</v>
      </c>
      <c r="C11" s="84" t="s">
        <v>3988</v>
      </c>
      <c r="D11" s="84">
        <v>2002</v>
      </c>
      <c r="E11" s="84">
        <v>2</v>
      </c>
      <c r="F11" s="84">
        <v>1</v>
      </c>
      <c r="G11" s="84">
        <v>0</v>
      </c>
      <c r="H11" s="84" t="s">
        <v>4027</v>
      </c>
      <c r="I11" s="157">
        <v>999</v>
      </c>
      <c r="J11" s="84" t="b">
        <v>1</v>
      </c>
      <c r="K11" s="84">
        <v>15</v>
      </c>
      <c r="L11" s="84">
        <v>225</v>
      </c>
      <c r="M11" s="84">
        <v>300</v>
      </c>
      <c r="N11" s="84" t="s">
        <v>3383</v>
      </c>
      <c r="O11" s="84"/>
      <c r="P11" s="84">
        <v>1</v>
      </c>
      <c r="Q11" s="84"/>
      <c r="R11" s="84">
        <v>0</v>
      </c>
      <c r="S11" s="84" t="s">
        <v>3990</v>
      </c>
      <c r="T11" s="84" t="s">
        <v>4028</v>
      </c>
      <c r="U11" s="84" t="s">
        <v>4029</v>
      </c>
      <c r="V11" s="84" t="s">
        <v>3993</v>
      </c>
      <c r="X11" s="197">
        <v>1</v>
      </c>
      <c r="Y11" s="197">
        <v>1</v>
      </c>
      <c r="Z11" s="356">
        <v>1</v>
      </c>
      <c r="AA11" s="356">
        <v>1</v>
      </c>
    </row>
    <row r="12" spans="1:27" s="5" customFormat="1" x14ac:dyDescent="0.15">
      <c r="A12" s="84">
        <v>904017</v>
      </c>
      <c r="B12" s="84" t="s">
        <v>4030</v>
      </c>
      <c r="C12" s="84" t="s">
        <v>3988</v>
      </c>
      <c r="D12" s="84">
        <v>2002</v>
      </c>
      <c r="E12" s="84">
        <v>2</v>
      </c>
      <c r="F12" s="84">
        <v>1</v>
      </c>
      <c r="G12" s="84">
        <v>0</v>
      </c>
      <c r="H12" s="84" t="s">
        <v>4031</v>
      </c>
      <c r="I12" s="157">
        <v>999</v>
      </c>
      <c r="J12" s="84" t="b">
        <v>1</v>
      </c>
      <c r="K12" s="84">
        <v>15</v>
      </c>
      <c r="L12" s="84">
        <v>225</v>
      </c>
      <c r="M12" s="84">
        <v>300</v>
      </c>
      <c r="N12" s="84" t="s">
        <v>3383</v>
      </c>
      <c r="O12" s="84"/>
      <c r="P12" s="84">
        <v>1</v>
      </c>
      <c r="Q12" s="84"/>
      <c r="R12" s="84">
        <v>0</v>
      </c>
      <c r="S12" s="84" t="s">
        <v>3990</v>
      </c>
      <c r="T12" s="84" t="s">
        <v>4032</v>
      </c>
      <c r="U12" s="84" t="s">
        <v>4033</v>
      </c>
      <c r="V12" s="84" t="s">
        <v>3993</v>
      </c>
      <c r="X12" s="197">
        <v>1</v>
      </c>
      <c r="Y12" s="197">
        <v>1</v>
      </c>
      <c r="Z12" s="356">
        <v>4</v>
      </c>
      <c r="AA12" s="356">
        <v>2</v>
      </c>
    </row>
    <row r="13" spans="1:27" s="5" customFormat="1" x14ac:dyDescent="0.15">
      <c r="A13" s="84">
        <v>904018</v>
      </c>
      <c r="B13" s="84" t="s">
        <v>4034</v>
      </c>
      <c r="C13" s="84" t="s">
        <v>3988</v>
      </c>
      <c r="D13" s="84">
        <v>2002</v>
      </c>
      <c r="E13" s="84">
        <v>2</v>
      </c>
      <c r="F13" s="84">
        <v>1</v>
      </c>
      <c r="G13" s="84">
        <v>0</v>
      </c>
      <c r="H13" s="84" t="s">
        <v>4035</v>
      </c>
      <c r="I13" s="157">
        <v>999</v>
      </c>
      <c r="J13" s="84" t="b">
        <v>1</v>
      </c>
      <c r="K13" s="84">
        <v>15</v>
      </c>
      <c r="L13" s="84">
        <v>225</v>
      </c>
      <c r="M13" s="84">
        <v>300</v>
      </c>
      <c r="N13" s="84" t="s">
        <v>3383</v>
      </c>
      <c r="O13" s="84"/>
      <c r="P13" s="84">
        <v>1</v>
      </c>
      <c r="Q13" s="84"/>
      <c r="R13" s="84">
        <v>0</v>
      </c>
      <c r="S13" s="84" t="s">
        <v>3990</v>
      </c>
      <c r="T13" s="84" t="s">
        <v>4036</v>
      </c>
      <c r="U13" s="84" t="s">
        <v>4037</v>
      </c>
      <c r="V13" s="84" t="s">
        <v>3993</v>
      </c>
      <c r="X13" s="197">
        <v>1</v>
      </c>
      <c r="Y13" s="197">
        <v>1</v>
      </c>
      <c r="Z13" s="356">
        <v>4</v>
      </c>
      <c r="AA13" s="356">
        <v>1</v>
      </c>
    </row>
    <row r="14" spans="1:27" s="5" customFormat="1" x14ac:dyDescent="0.15">
      <c r="A14" s="84">
        <v>904019</v>
      </c>
      <c r="B14" s="84" t="s">
        <v>4038</v>
      </c>
      <c r="C14" s="84" t="s">
        <v>3988</v>
      </c>
      <c r="D14" s="84">
        <v>2003</v>
      </c>
      <c r="E14" s="84">
        <v>2</v>
      </c>
      <c r="F14" s="84">
        <v>1</v>
      </c>
      <c r="G14" s="84">
        <v>0</v>
      </c>
      <c r="H14" s="84" t="s">
        <v>4039</v>
      </c>
      <c r="I14" s="157">
        <v>999</v>
      </c>
      <c r="J14" s="84" t="b">
        <v>1</v>
      </c>
      <c r="K14" s="84">
        <v>15</v>
      </c>
      <c r="L14" s="84">
        <v>225</v>
      </c>
      <c r="M14" s="84">
        <v>300</v>
      </c>
      <c r="N14" s="84" t="s">
        <v>3383</v>
      </c>
      <c r="O14" s="84"/>
      <c r="P14" s="84">
        <v>1</v>
      </c>
      <c r="Q14" s="84"/>
      <c r="R14" s="84">
        <v>0</v>
      </c>
      <c r="S14" s="84" t="s">
        <v>3990</v>
      </c>
      <c r="T14" s="84" t="s">
        <v>4040</v>
      </c>
      <c r="U14" s="84" t="s">
        <v>4041</v>
      </c>
      <c r="V14" s="84" t="s">
        <v>3993</v>
      </c>
      <c r="X14" s="197">
        <v>1</v>
      </c>
      <c r="Y14" s="197">
        <v>1</v>
      </c>
      <c r="Z14" s="356">
        <v>14</v>
      </c>
      <c r="AA14" s="356">
        <v>2</v>
      </c>
    </row>
    <row r="15" spans="1:27" s="5" customFormat="1" x14ac:dyDescent="0.15">
      <c r="A15" s="84">
        <v>904020</v>
      </c>
      <c r="B15" s="84" t="s">
        <v>4042</v>
      </c>
      <c r="C15" s="84" t="s">
        <v>3988</v>
      </c>
      <c r="D15" s="84">
        <v>2003</v>
      </c>
      <c r="E15" s="84">
        <v>2</v>
      </c>
      <c r="F15" s="84">
        <v>1</v>
      </c>
      <c r="G15" s="84">
        <v>0</v>
      </c>
      <c r="H15" s="84" t="s">
        <v>4043</v>
      </c>
      <c r="I15" s="157">
        <v>999</v>
      </c>
      <c r="J15" s="84" t="b">
        <v>1</v>
      </c>
      <c r="K15" s="84">
        <v>15</v>
      </c>
      <c r="L15" s="84">
        <v>225</v>
      </c>
      <c r="M15" s="84">
        <v>300</v>
      </c>
      <c r="N15" s="84" t="s">
        <v>3383</v>
      </c>
      <c r="O15" s="84"/>
      <c r="P15" s="84">
        <v>1</v>
      </c>
      <c r="Q15" s="84"/>
      <c r="R15" s="84">
        <v>0</v>
      </c>
      <c r="S15" s="84" t="s">
        <v>3990</v>
      </c>
      <c r="T15" s="84" t="s">
        <v>4044</v>
      </c>
      <c r="U15" s="84" t="s">
        <v>4045</v>
      </c>
      <c r="V15" s="84" t="s">
        <v>3993</v>
      </c>
      <c r="X15" s="197">
        <v>1</v>
      </c>
      <c r="Y15" s="197">
        <v>1</v>
      </c>
      <c r="Z15" s="356">
        <v>14</v>
      </c>
      <c r="AA15" s="356">
        <v>2</v>
      </c>
    </row>
    <row r="16" spans="1:27" ht="13.15" customHeight="1" x14ac:dyDescent="0.15">
      <c r="A16" s="84">
        <v>904021</v>
      </c>
      <c r="B16" s="84" t="s">
        <v>4046</v>
      </c>
      <c r="C16" s="84" t="s">
        <v>3988</v>
      </c>
      <c r="D16" s="84">
        <v>2003</v>
      </c>
      <c r="E16" s="84">
        <v>2</v>
      </c>
      <c r="F16" s="84">
        <v>0</v>
      </c>
      <c r="G16" s="84">
        <v>0</v>
      </c>
      <c r="H16" s="84" t="s">
        <v>4047</v>
      </c>
      <c r="I16" s="157">
        <v>999</v>
      </c>
      <c r="J16" s="84" t="b">
        <v>1</v>
      </c>
      <c r="K16" s="84">
        <v>15</v>
      </c>
      <c r="L16" s="84">
        <v>225</v>
      </c>
      <c r="M16" s="84">
        <v>300</v>
      </c>
      <c r="N16" s="84" t="s">
        <v>3383</v>
      </c>
      <c r="O16" s="84"/>
      <c r="P16" s="84">
        <v>1</v>
      </c>
      <c r="Q16" s="84"/>
      <c r="R16" s="84">
        <v>0</v>
      </c>
      <c r="S16" s="84" t="s">
        <v>3990</v>
      </c>
      <c r="T16" s="84" t="s">
        <v>4048</v>
      </c>
      <c r="U16" s="84" t="s">
        <v>4049</v>
      </c>
      <c r="V16" s="84" t="s">
        <v>3993</v>
      </c>
      <c r="X16" s="197">
        <v>1</v>
      </c>
      <c r="Y16" s="197">
        <v>1</v>
      </c>
      <c r="Z16" s="199">
        <v>12</v>
      </c>
      <c r="AA16" s="199">
        <v>3</v>
      </c>
    </row>
    <row r="17" spans="1:27" ht="13.15" customHeight="1" x14ac:dyDescent="0.15">
      <c r="A17" s="84">
        <v>904022</v>
      </c>
      <c r="B17" s="84" t="s">
        <v>4050</v>
      </c>
      <c r="C17" s="84" t="s">
        <v>3988</v>
      </c>
      <c r="D17" s="84">
        <v>2003</v>
      </c>
      <c r="E17" s="84">
        <v>2</v>
      </c>
      <c r="F17" s="84">
        <v>0</v>
      </c>
      <c r="G17" s="84">
        <v>0</v>
      </c>
      <c r="H17" s="84" t="s">
        <v>4051</v>
      </c>
      <c r="I17" s="157">
        <v>999</v>
      </c>
      <c r="J17" s="84" t="b">
        <v>1</v>
      </c>
      <c r="K17" s="84">
        <v>15</v>
      </c>
      <c r="L17" s="84">
        <v>225</v>
      </c>
      <c r="M17" s="84">
        <v>300</v>
      </c>
      <c r="N17" s="84" t="s">
        <v>3383</v>
      </c>
      <c r="O17" s="84"/>
      <c r="P17" s="84">
        <v>1</v>
      </c>
      <c r="Q17" s="84"/>
      <c r="R17" s="84">
        <v>0</v>
      </c>
      <c r="S17" s="84" t="s">
        <v>3990</v>
      </c>
      <c r="T17" s="84" t="s">
        <v>4048</v>
      </c>
      <c r="U17" s="84" t="s">
        <v>4049</v>
      </c>
      <c r="V17" s="84" t="s">
        <v>3993</v>
      </c>
      <c r="X17" s="197">
        <v>1</v>
      </c>
      <c r="Y17" s="197">
        <v>1</v>
      </c>
      <c r="Z17" s="199">
        <v>12</v>
      </c>
      <c r="AA17" s="199">
        <v>4</v>
      </c>
    </row>
    <row r="18" spans="1:27" ht="13.15" customHeight="1" x14ac:dyDescent="0.15">
      <c r="A18" s="84">
        <v>904023</v>
      </c>
      <c r="B18" s="84" t="s">
        <v>4052</v>
      </c>
      <c r="C18" s="84" t="s">
        <v>3988</v>
      </c>
      <c r="D18" s="84">
        <v>2003</v>
      </c>
      <c r="E18" s="84">
        <v>2</v>
      </c>
      <c r="F18" s="84">
        <v>0</v>
      </c>
      <c r="G18" s="84">
        <v>0</v>
      </c>
      <c r="H18" s="84" t="s">
        <v>4053</v>
      </c>
      <c r="I18" s="157">
        <v>999</v>
      </c>
      <c r="J18" s="84" t="b">
        <v>1</v>
      </c>
      <c r="K18" s="84">
        <v>15</v>
      </c>
      <c r="L18" s="84">
        <v>225</v>
      </c>
      <c r="M18" s="84">
        <v>300</v>
      </c>
      <c r="N18" s="84" t="s">
        <v>3383</v>
      </c>
      <c r="O18" s="84"/>
      <c r="P18" s="84">
        <v>1</v>
      </c>
      <c r="Q18" s="84"/>
      <c r="R18" s="84">
        <v>0</v>
      </c>
      <c r="S18" s="84" t="s">
        <v>3990</v>
      </c>
      <c r="T18" s="84" t="s">
        <v>4048</v>
      </c>
      <c r="U18" s="84" t="s">
        <v>4049</v>
      </c>
      <c r="V18" s="84" t="s">
        <v>3993</v>
      </c>
      <c r="X18" s="197">
        <v>1</v>
      </c>
      <c r="Y18" s="197">
        <v>1</v>
      </c>
      <c r="Z18" s="199">
        <v>12</v>
      </c>
      <c r="AA18" s="199">
        <v>4</v>
      </c>
    </row>
    <row r="19" spans="1:27" ht="13.15" customHeight="1" x14ac:dyDescent="0.15">
      <c r="A19" s="84">
        <v>904024</v>
      </c>
      <c r="B19" s="84" t="s">
        <v>4054</v>
      </c>
      <c r="C19" s="84" t="s">
        <v>3988</v>
      </c>
      <c r="D19" s="84">
        <v>2003</v>
      </c>
      <c r="E19" s="84">
        <v>2</v>
      </c>
      <c r="F19" s="84">
        <v>0</v>
      </c>
      <c r="G19" s="84">
        <v>0</v>
      </c>
      <c r="H19" s="84" t="s">
        <v>4055</v>
      </c>
      <c r="I19" s="157">
        <v>999</v>
      </c>
      <c r="J19" s="84" t="b">
        <v>1</v>
      </c>
      <c r="K19" s="84">
        <v>15</v>
      </c>
      <c r="L19" s="84">
        <v>225</v>
      </c>
      <c r="M19" s="84">
        <v>300</v>
      </c>
      <c r="N19" s="84" t="s">
        <v>3383</v>
      </c>
      <c r="O19" s="84"/>
      <c r="P19" s="84">
        <v>1</v>
      </c>
      <c r="Q19" s="84"/>
      <c r="R19" s="84">
        <v>0</v>
      </c>
      <c r="S19" s="84" t="s">
        <v>3990</v>
      </c>
      <c r="T19" s="84" t="s">
        <v>4048</v>
      </c>
      <c r="U19" s="84" t="s">
        <v>4049</v>
      </c>
      <c r="V19" s="84" t="s">
        <v>3993</v>
      </c>
      <c r="X19" s="197">
        <v>1</v>
      </c>
      <c r="Y19" s="197">
        <v>1</v>
      </c>
      <c r="Z19" s="199">
        <v>12</v>
      </c>
      <c r="AA19" s="199">
        <v>4</v>
      </c>
    </row>
    <row r="20" spans="1:27" x14ac:dyDescent="0.15">
      <c r="A20" s="84">
        <v>904025</v>
      </c>
      <c r="B20" s="84" t="s">
        <v>4056</v>
      </c>
      <c r="C20" s="84" t="s">
        <v>3988</v>
      </c>
      <c r="D20" s="84">
        <v>2003</v>
      </c>
      <c r="E20" s="84">
        <v>2</v>
      </c>
      <c r="F20" s="84">
        <v>0</v>
      </c>
      <c r="G20" s="84">
        <v>0</v>
      </c>
      <c r="H20" s="84" t="s">
        <v>4057</v>
      </c>
      <c r="I20" s="157">
        <v>999</v>
      </c>
      <c r="J20" s="84" t="b">
        <v>1</v>
      </c>
      <c r="K20" s="84">
        <v>15</v>
      </c>
      <c r="L20" s="84">
        <v>225</v>
      </c>
      <c r="M20" s="84">
        <v>300</v>
      </c>
      <c r="N20" s="84" t="s">
        <v>3383</v>
      </c>
      <c r="O20" s="84"/>
      <c r="P20" s="84">
        <v>1</v>
      </c>
      <c r="Q20" s="84"/>
      <c r="R20" s="84">
        <v>0</v>
      </c>
      <c r="S20" s="84" t="s">
        <v>3990</v>
      </c>
      <c r="T20" s="84" t="s">
        <v>4048</v>
      </c>
      <c r="U20" s="84" t="s">
        <v>4058</v>
      </c>
      <c r="V20" s="84" t="s">
        <v>3993</v>
      </c>
      <c r="X20" s="197">
        <v>1</v>
      </c>
      <c r="Y20" s="197">
        <v>1</v>
      </c>
      <c r="Z20" s="199">
        <v>12</v>
      </c>
      <c r="AA20" s="199">
        <v>4</v>
      </c>
    </row>
    <row r="21" spans="1:27" x14ac:dyDescent="0.15">
      <c r="A21" s="84">
        <v>904026</v>
      </c>
      <c r="B21" s="84" t="s">
        <v>4059</v>
      </c>
      <c r="C21" s="84" t="s">
        <v>3988</v>
      </c>
      <c r="D21" s="84">
        <v>2003</v>
      </c>
      <c r="E21" s="84">
        <v>2</v>
      </c>
      <c r="F21" s="84">
        <v>0</v>
      </c>
      <c r="G21" s="84">
        <v>0</v>
      </c>
      <c r="H21" s="84" t="s">
        <v>4060</v>
      </c>
      <c r="I21" s="157">
        <v>999</v>
      </c>
      <c r="J21" s="84" t="b">
        <v>1</v>
      </c>
      <c r="K21" s="84">
        <v>15</v>
      </c>
      <c r="L21" s="84">
        <v>225</v>
      </c>
      <c r="M21" s="84">
        <v>300</v>
      </c>
      <c r="N21" s="84" t="s">
        <v>3383</v>
      </c>
      <c r="O21" s="84"/>
      <c r="P21" s="84">
        <v>1</v>
      </c>
      <c r="Q21" s="84"/>
      <c r="R21" s="84">
        <v>0</v>
      </c>
      <c r="S21" s="84" t="s">
        <v>3990</v>
      </c>
      <c r="T21" s="84" t="s">
        <v>4061</v>
      </c>
      <c r="U21" s="84" t="s">
        <v>4062</v>
      </c>
      <c r="V21" s="84" t="s">
        <v>3993</v>
      </c>
      <c r="X21" s="197">
        <v>1</v>
      </c>
      <c r="Y21" s="197">
        <v>1</v>
      </c>
      <c r="Z21" s="199">
        <v>1</v>
      </c>
      <c r="AA21" s="199">
        <v>4</v>
      </c>
    </row>
    <row r="22" spans="1:27" x14ac:dyDescent="0.15">
      <c r="A22" s="84">
        <v>904027</v>
      </c>
      <c r="B22" s="84" t="s">
        <v>4063</v>
      </c>
      <c r="C22" s="84" t="s">
        <v>3988</v>
      </c>
      <c r="D22" s="84">
        <v>2003</v>
      </c>
      <c r="E22" s="84">
        <v>2</v>
      </c>
      <c r="F22" s="84">
        <v>0</v>
      </c>
      <c r="G22" s="84">
        <v>0</v>
      </c>
      <c r="H22" s="84" t="s">
        <v>4064</v>
      </c>
      <c r="I22" s="157">
        <v>999</v>
      </c>
      <c r="J22" s="84" t="b">
        <v>1</v>
      </c>
      <c r="K22" s="84">
        <v>15</v>
      </c>
      <c r="L22" s="84">
        <v>225</v>
      </c>
      <c r="M22" s="84">
        <v>300</v>
      </c>
      <c r="N22" s="84" t="s">
        <v>3383</v>
      </c>
      <c r="O22" s="84"/>
      <c r="P22" s="84">
        <v>1</v>
      </c>
      <c r="Q22" s="84"/>
      <c r="R22" s="84">
        <v>0</v>
      </c>
      <c r="S22" s="84" t="s">
        <v>3990</v>
      </c>
      <c r="T22" s="84" t="s">
        <v>4065</v>
      </c>
      <c r="U22" s="84" t="s">
        <v>4066</v>
      </c>
      <c r="V22" s="84" t="s">
        <v>3993</v>
      </c>
      <c r="X22" s="197">
        <v>1</v>
      </c>
      <c r="Y22" s="197">
        <v>1</v>
      </c>
      <c r="Z22" s="199">
        <v>2</v>
      </c>
      <c r="AA22" s="199">
        <v>4</v>
      </c>
    </row>
    <row r="23" spans="1:27" x14ac:dyDescent="0.15">
      <c r="A23" s="84">
        <v>904028</v>
      </c>
      <c r="B23" s="84" t="s">
        <v>4067</v>
      </c>
      <c r="C23" s="84" t="s">
        <v>3988</v>
      </c>
      <c r="D23" s="84">
        <v>2003</v>
      </c>
      <c r="E23" s="84">
        <v>2</v>
      </c>
      <c r="F23" s="84">
        <v>0</v>
      </c>
      <c r="G23" s="84">
        <v>0</v>
      </c>
      <c r="H23" s="84" t="s">
        <v>4068</v>
      </c>
      <c r="I23" s="157">
        <v>999</v>
      </c>
      <c r="J23" s="84" t="b">
        <v>1</v>
      </c>
      <c r="K23" s="84">
        <v>15</v>
      </c>
      <c r="L23" s="84">
        <v>225</v>
      </c>
      <c r="M23" s="84">
        <v>300</v>
      </c>
      <c r="N23" s="84" t="s">
        <v>3383</v>
      </c>
      <c r="O23" s="84"/>
      <c r="P23" s="84">
        <v>1</v>
      </c>
      <c r="Q23" s="84"/>
      <c r="R23" s="84">
        <v>0</v>
      </c>
      <c r="S23" s="84" t="s">
        <v>3990</v>
      </c>
      <c r="T23" s="84" t="s">
        <v>4069</v>
      </c>
      <c r="U23" s="84" t="s">
        <v>4070</v>
      </c>
      <c r="V23" s="84" t="s">
        <v>3993</v>
      </c>
      <c r="X23" s="197">
        <v>1</v>
      </c>
      <c r="Y23" s="197">
        <v>1</v>
      </c>
      <c r="Z23" s="199">
        <v>4</v>
      </c>
      <c r="AA23" s="199">
        <v>4</v>
      </c>
    </row>
    <row r="24" spans="1:27" x14ac:dyDescent="0.15">
      <c r="A24" s="84">
        <v>904029</v>
      </c>
      <c r="B24" s="84" t="s">
        <v>4071</v>
      </c>
      <c r="C24" s="84" t="s">
        <v>3988</v>
      </c>
      <c r="D24" s="84">
        <v>2003</v>
      </c>
      <c r="E24" s="84">
        <v>2</v>
      </c>
      <c r="F24" s="84">
        <v>0</v>
      </c>
      <c r="G24" s="84">
        <v>0</v>
      </c>
      <c r="H24" s="84" t="s">
        <v>4072</v>
      </c>
      <c r="I24" s="157">
        <v>999</v>
      </c>
      <c r="J24" s="84" t="b">
        <v>1</v>
      </c>
      <c r="K24" s="84">
        <v>15</v>
      </c>
      <c r="L24" s="84">
        <v>225</v>
      </c>
      <c r="M24" s="84">
        <v>300</v>
      </c>
      <c r="N24" s="84" t="s">
        <v>3383</v>
      </c>
      <c r="O24" s="84"/>
      <c r="P24" s="84">
        <v>1</v>
      </c>
      <c r="Q24" s="84"/>
      <c r="R24" s="84">
        <v>0</v>
      </c>
      <c r="S24" s="84" t="s">
        <v>3990</v>
      </c>
      <c r="T24" s="84" t="s">
        <v>4073</v>
      </c>
      <c r="U24" s="84" t="s">
        <v>4074</v>
      </c>
      <c r="V24" s="84" t="s">
        <v>3993</v>
      </c>
      <c r="X24" s="197">
        <v>1</v>
      </c>
      <c r="Y24" s="197">
        <v>1</v>
      </c>
      <c r="Z24" s="199">
        <v>4</v>
      </c>
      <c r="AA24" s="199">
        <v>4</v>
      </c>
    </row>
    <row r="25" spans="1:27" x14ac:dyDescent="0.15">
      <c r="A25" s="84">
        <v>904030</v>
      </c>
      <c r="B25" s="84" t="s">
        <v>4075</v>
      </c>
      <c r="C25" s="84" t="s">
        <v>3988</v>
      </c>
      <c r="D25" s="84">
        <v>2003</v>
      </c>
      <c r="E25" s="84">
        <v>2</v>
      </c>
      <c r="F25" s="84">
        <v>0</v>
      </c>
      <c r="G25" s="84">
        <v>0</v>
      </c>
      <c r="H25" s="84" t="s">
        <v>4076</v>
      </c>
      <c r="I25" s="157">
        <v>999</v>
      </c>
      <c r="J25" s="84" t="b">
        <v>1</v>
      </c>
      <c r="K25" s="84">
        <v>15</v>
      </c>
      <c r="L25" s="84">
        <v>225</v>
      </c>
      <c r="M25" s="84">
        <v>300</v>
      </c>
      <c r="N25" s="84" t="s">
        <v>3383</v>
      </c>
      <c r="O25" s="84"/>
      <c r="P25" s="84">
        <v>1</v>
      </c>
      <c r="Q25" s="84"/>
      <c r="R25" s="84">
        <v>0</v>
      </c>
      <c r="S25" s="84" t="s">
        <v>3990</v>
      </c>
      <c r="T25" s="84" t="s">
        <v>4077</v>
      </c>
      <c r="U25" s="84" t="s">
        <v>4078</v>
      </c>
      <c r="V25" s="84" t="s">
        <v>3993</v>
      </c>
      <c r="X25" s="197">
        <v>1</v>
      </c>
      <c r="Y25" s="197">
        <v>1</v>
      </c>
      <c r="Z25" s="199">
        <v>10</v>
      </c>
      <c r="AA25" s="199">
        <v>4</v>
      </c>
    </row>
    <row r="26" spans="1:27" x14ac:dyDescent="0.15">
      <c r="A26" s="84">
        <v>904031</v>
      </c>
      <c r="B26" s="84" t="s">
        <v>4079</v>
      </c>
      <c r="C26" s="84" t="s">
        <v>3988</v>
      </c>
      <c r="D26" s="84">
        <v>2003</v>
      </c>
      <c r="E26" s="84">
        <v>2</v>
      </c>
      <c r="F26" s="84">
        <v>0</v>
      </c>
      <c r="G26" s="84">
        <v>0</v>
      </c>
      <c r="H26" s="84" t="s">
        <v>4080</v>
      </c>
      <c r="I26" s="157">
        <v>999</v>
      </c>
      <c r="J26" s="84" t="b">
        <v>1</v>
      </c>
      <c r="K26" s="84">
        <v>15</v>
      </c>
      <c r="L26" s="84">
        <v>225</v>
      </c>
      <c r="M26" s="84">
        <v>300</v>
      </c>
      <c r="N26" s="84" t="s">
        <v>3383</v>
      </c>
      <c r="O26" s="84"/>
      <c r="P26" s="84">
        <v>1</v>
      </c>
      <c r="Q26" s="84"/>
      <c r="R26" s="84">
        <v>0</v>
      </c>
      <c r="S26" s="84" t="s">
        <v>3990</v>
      </c>
      <c r="T26" s="84" t="s">
        <v>4081</v>
      </c>
      <c r="U26" s="84" t="s">
        <v>4082</v>
      </c>
      <c r="V26" s="84" t="s">
        <v>3993</v>
      </c>
      <c r="X26" s="197">
        <v>1</v>
      </c>
      <c r="Y26" s="197">
        <v>1</v>
      </c>
      <c r="Z26" s="199">
        <v>13</v>
      </c>
      <c r="AA26" s="199">
        <v>4</v>
      </c>
    </row>
    <row r="27" spans="1:27" x14ac:dyDescent="0.15">
      <c r="A27" s="84">
        <v>904032</v>
      </c>
      <c r="B27" s="84" t="s">
        <v>4083</v>
      </c>
      <c r="C27" s="84" t="s">
        <v>3988</v>
      </c>
      <c r="D27" s="84">
        <v>2003</v>
      </c>
      <c r="E27" s="84">
        <v>2</v>
      </c>
      <c r="F27" s="84">
        <v>0</v>
      </c>
      <c r="G27" s="84">
        <v>0</v>
      </c>
      <c r="H27" s="84" t="s">
        <v>4084</v>
      </c>
      <c r="I27" s="157">
        <v>999</v>
      </c>
      <c r="J27" s="84" t="b">
        <v>1</v>
      </c>
      <c r="K27" s="84">
        <v>15</v>
      </c>
      <c r="L27" s="84">
        <v>225</v>
      </c>
      <c r="M27" s="84">
        <v>300</v>
      </c>
      <c r="N27" s="84" t="s">
        <v>3383</v>
      </c>
      <c r="O27" s="84"/>
      <c r="P27" s="84">
        <v>1</v>
      </c>
      <c r="Q27" s="84"/>
      <c r="R27" s="84">
        <v>0</v>
      </c>
      <c r="S27" s="84" t="s">
        <v>3990</v>
      </c>
      <c r="T27" s="84" t="s">
        <v>4085</v>
      </c>
      <c r="U27" s="84" t="s">
        <v>4086</v>
      </c>
      <c r="V27" s="84" t="s">
        <v>3993</v>
      </c>
      <c r="X27" s="197">
        <v>1</v>
      </c>
      <c r="Y27" s="197">
        <v>1</v>
      </c>
      <c r="Z27" s="199">
        <v>14</v>
      </c>
      <c r="AA27" s="199">
        <v>4</v>
      </c>
    </row>
    <row r="28" spans="1:27" x14ac:dyDescent="0.15">
      <c r="A28" s="84">
        <v>904033</v>
      </c>
      <c r="B28" s="84" t="s">
        <v>4087</v>
      </c>
      <c r="C28" s="84" t="s">
        <v>3988</v>
      </c>
      <c r="D28" s="84">
        <v>2003</v>
      </c>
      <c r="E28" s="84">
        <v>2</v>
      </c>
      <c r="F28" s="84">
        <v>0</v>
      </c>
      <c r="G28" s="84">
        <v>0</v>
      </c>
      <c r="H28" s="84" t="s">
        <v>4088</v>
      </c>
      <c r="I28" s="157">
        <v>999</v>
      </c>
      <c r="J28" s="84" t="b">
        <v>1</v>
      </c>
      <c r="K28" s="84">
        <v>15</v>
      </c>
      <c r="L28" s="84">
        <v>225</v>
      </c>
      <c r="M28" s="84">
        <v>300</v>
      </c>
      <c r="N28" s="84" t="s">
        <v>3383</v>
      </c>
      <c r="O28" s="84"/>
      <c r="P28" s="84">
        <v>1</v>
      </c>
      <c r="Q28" s="84"/>
      <c r="R28" s="84">
        <v>0</v>
      </c>
      <c r="S28" s="84" t="s">
        <v>3990</v>
      </c>
      <c r="T28" s="84" t="s">
        <v>4089</v>
      </c>
      <c r="U28" s="84" t="s">
        <v>4090</v>
      </c>
      <c r="V28" s="84" t="s">
        <v>3993</v>
      </c>
      <c r="X28" s="197">
        <v>1</v>
      </c>
      <c r="Y28" s="197">
        <v>1</v>
      </c>
      <c r="Z28" s="199">
        <v>14</v>
      </c>
      <c r="AA28" s="199">
        <v>4</v>
      </c>
    </row>
    <row r="29" spans="1:27" x14ac:dyDescent="0.15">
      <c r="A29" s="84">
        <v>904034</v>
      </c>
      <c r="B29" s="84" t="s">
        <v>4091</v>
      </c>
      <c r="C29" s="84" t="s">
        <v>3988</v>
      </c>
      <c r="D29" s="84">
        <v>2003</v>
      </c>
      <c r="E29" s="84">
        <v>2</v>
      </c>
      <c r="F29" s="84">
        <v>0</v>
      </c>
      <c r="G29" s="84">
        <v>0</v>
      </c>
      <c r="H29" s="84" t="s">
        <v>4092</v>
      </c>
      <c r="I29" s="157">
        <v>999</v>
      </c>
      <c r="J29" s="84" t="b">
        <v>1</v>
      </c>
      <c r="K29" s="84">
        <v>15</v>
      </c>
      <c r="L29" s="84">
        <v>225</v>
      </c>
      <c r="M29" s="84">
        <v>300</v>
      </c>
      <c r="N29" s="84" t="s">
        <v>3383</v>
      </c>
      <c r="O29" s="84"/>
      <c r="P29" s="84">
        <v>1</v>
      </c>
      <c r="Q29" s="84"/>
      <c r="R29" s="84">
        <v>0</v>
      </c>
      <c r="S29" s="84" t="s">
        <v>3990</v>
      </c>
      <c r="T29" s="84" t="s">
        <v>4093</v>
      </c>
      <c r="U29" s="84" t="s">
        <v>4094</v>
      </c>
      <c r="V29" s="84" t="s">
        <v>3993</v>
      </c>
      <c r="X29" s="197">
        <v>1</v>
      </c>
      <c r="Y29" s="197">
        <v>1</v>
      </c>
      <c r="Z29" s="199">
        <v>14</v>
      </c>
      <c r="AA29" s="199">
        <v>4</v>
      </c>
    </row>
    <row r="30" spans="1:27" x14ac:dyDescent="0.15">
      <c r="A30" s="84">
        <v>904035</v>
      </c>
      <c r="B30" s="84" t="s">
        <v>4095</v>
      </c>
      <c r="C30" s="84" t="s">
        <v>3988</v>
      </c>
      <c r="D30" s="84">
        <v>2003</v>
      </c>
      <c r="E30" s="84">
        <v>2</v>
      </c>
      <c r="F30" s="84">
        <v>0</v>
      </c>
      <c r="G30" s="84">
        <v>0</v>
      </c>
      <c r="H30" s="84" t="s">
        <v>4096</v>
      </c>
      <c r="I30" s="157">
        <v>999</v>
      </c>
      <c r="J30" s="84" t="b">
        <v>1</v>
      </c>
      <c r="K30" s="84">
        <v>15</v>
      </c>
      <c r="L30" s="84">
        <v>225</v>
      </c>
      <c r="M30" s="84">
        <v>300</v>
      </c>
      <c r="N30" s="84" t="s">
        <v>3383</v>
      </c>
      <c r="O30" s="84"/>
      <c r="P30" s="84">
        <v>1</v>
      </c>
      <c r="Q30" s="84"/>
      <c r="R30" s="84">
        <v>0</v>
      </c>
      <c r="S30" s="84" t="s">
        <v>3990</v>
      </c>
      <c r="T30" s="84" t="s">
        <v>4097</v>
      </c>
      <c r="U30" s="84" t="s">
        <v>4098</v>
      </c>
      <c r="V30" s="84" t="s">
        <v>3993</v>
      </c>
      <c r="X30" s="197">
        <v>1</v>
      </c>
      <c r="Y30" s="197">
        <v>1</v>
      </c>
      <c r="Z30" s="199">
        <v>14</v>
      </c>
      <c r="AA30" s="199">
        <v>4</v>
      </c>
    </row>
    <row r="31" spans="1:27" x14ac:dyDescent="0.15">
      <c r="A31" s="84">
        <v>904036</v>
      </c>
      <c r="B31" s="84" t="s">
        <v>4099</v>
      </c>
      <c r="C31" s="84" t="s">
        <v>3988</v>
      </c>
      <c r="D31" s="84">
        <v>2003</v>
      </c>
      <c r="E31" s="84">
        <v>2</v>
      </c>
      <c r="F31" s="84">
        <v>0</v>
      </c>
      <c r="G31" s="84">
        <v>0</v>
      </c>
      <c r="H31" s="84" t="s">
        <v>4100</v>
      </c>
      <c r="I31" s="157">
        <v>999</v>
      </c>
      <c r="J31" s="84" t="b">
        <v>1</v>
      </c>
      <c r="K31" s="84">
        <v>15</v>
      </c>
      <c r="L31" s="84">
        <v>225</v>
      </c>
      <c r="M31" s="84">
        <v>300</v>
      </c>
      <c r="N31" s="84" t="s">
        <v>3383</v>
      </c>
      <c r="O31" s="84"/>
      <c r="P31" s="84">
        <v>1</v>
      </c>
      <c r="Q31" s="84"/>
      <c r="R31" s="84">
        <v>0</v>
      </c>
      <c r="S31" s="84" t="s">
        <v>3990</v>
      </c>
      <c r="T31" s="84" t="s">
        <v>4101</v>
      </c>
      <c r="U31" s="84" t="s">
        <v>4102</v>
      </c>
      <c r="V31" s="84" t="s">
        <v>3993</v>
      </c>
      <c r="X31" s="197">
        <v>1</v>
      </c>
      <c r="Y31" s="197">
        <v>1</v>
      </c>
      <c r="Z31" s="199">
        <v>2</v>
      </c>
      <c r="AA31" s="199">
        <v>4</v>
      </c>
    </row>
    <row r="32" spans="1:27" x14ac:dyDescent="0.15">
      <c r="A32" s="84">
        <v>904037</v>
      </c>
      <c r="B32" s="84" t="s">
        <v>4103</v>
      </c>
      <c r="C32" s="84" t="s">
        <v>3988</v>
      </c>
      <c r="D32" s="84">
        <v>2003</v>
      </c>
      <c r="E32" s="84">
        <v>2</v>
      </c>
      <c r="F32" s="84">
        <v>0</v>
      </c>
      <c r="G32" s="84">
        <v>0</v>
      </c>
      <c r="H32" s="84" t="s">
        <v>4104</v>
      </c>
      <c r="I32" s="157">
        <v>999</v>
      </c>
      <c r="J32" s="84" t="b">
        <v>1</v>
      </c>
      <c r="K32" s="84">
        <v>15</v>
      </c>
      <c r="L32" s="84">
        <v>225</v>
      </c>
      <c r="M32" s="84">
        <v>300</v>
      </c>
      <c r="N32" s="84" t="s">
        <v>3383</v>
      </c>
      <c r="O32" s="84"/>
      <c r="P32" s="84">
        <v>1</v>
      </c>
      <c r="Q32" s="84"/>
      <c r="R32" s="84">
        <v>0</v>
      </c>
      <c r="S32" s="84" t="s">
        <v>3990</v>
      </c>
      <c r="T32" s="84" t="s">
        <v>4105</v>
      </c>
      <c r="U32" s="84" t="s">
        <v>4106</v>
      </c>
      <c r="V32" s="84" t="s">
        <v>3993</v>
      </c>
      <c r="X32" s="197">
        <v>1</v>
      </c>
      <c r="Y32" s="197">
        <v>1</v>
      </c>
      <c r="Z32" s="199">
        <v>3</v>
      </c>
      <c r="AA32" s="199">
        <v>4</v>
      </c>
    </row>
    <row r="33" spans="1:27" x14ac:dyDescent="0.15">
      <c r="A33" s="84">
        <v>904038</v>
      </c>
      <c r="B33" s="84" t="s">
        <v>4107</v>
      </c>
      <c r="C33" s="84" t="s">
        <v>3988</v>
      </c>
      <c r="D33" s="84">
        <v>2003</v>
      </c>
      <c r="E33" s="84">
        <v>2</v>
      </c>
      <c r="F33" s="84">
        <v>0</v>
      </c>
      <c r="G33" s="84">
        <v>0</v>
      </c>
      <c r="H33" s="84" t="s">
        <v>4108</v>
      </c>
      <c r="I33" s="157">
        <v>999</v>
      </c>
      <c r="J33" s="84" t="b">
        <v>1</v>
      </c>
      <c r="K33" s="84">
        <v>15</v>
      </c>
      <c r="L33" s="84">
        <v>225</v>
      </c>
      <c r="M33" s="84">
        <v>300</v>
      </c>
      <c r="N33" s="84" t="s">
        <v>3383</v>
      </c>
      <c r="O33" s="84"/>
      <c r="P33" s="84">
        <v>1</v>
      </c>
      <c r="Q33" s="84"/>
      <c r="R33" s="84">
        <v>0</v>
      </c>
      <c r="S33" s="84" t="s">
        <v>3990</v>
      </c>
      <c r="T33" s="84" t="s">
        <v>4109</v>
      </c>
      <c r="U33" s="84" t="s">
        <v>4110</v>
      </c>
      <c r="V33" s="84" t="s">
        <v>3993</v>
      </c>
      <c r="X33" s="197">
        <v>1</v>
      </c>
      <c r="Y33" s="197">
        <v>1</v>
      </c>
      <c r="Z33" s="199">
        <v>5</v>
      </c>
      <c r="AA33" s="199">
        <v>4</v>
      </c>
    </row>
    <row r="34" spans="1:27" x14ac:dyDescent="0.15">
      <c r="A34" s="84">
        <v>904039</v>
      </c>
      <c r="B34" s="84" t="s">
        <v>768</v>
      </c>
      <c r="C34" s="84" t="s">
        <v>3988</v>
      </c>
      <c r="D34" s="84">
        <v>2003</v>
      </c>
      <c r="E34" s="84">
        <v>2</v>
      </c>
      <c r="F34" s="84">
        <v>0</v>
      </c>
      <c r="G34" s="84">
        <v>0</v>
      </c>
      <c r="H34" s="84" t="s">
        <v>4111</v>
      </c>
      <c r="I34" s="157">
        <v>999</v>
      </c>
      <c r="J34" s="84" t="b">
        <v>1</v>
      </c>
      <c r="K34" s="84">
        <v>15</v>
      </c>
      <c r="L34" s="84">
        <v>225</v>
      </c>
      <c r="M34" s="84">
        <v>300</v>
      </c>
      <c r="N34" s="84" t="s">
        <v>3383</v>
      </c>
      <c r="O34" s="84"/>
      <c r="P34" s="84">
        <v>1</v>
      </c>
      <c r="Q34" s="84"/>
      <c r="R34" s="84">
        <v>0</v>
      </c>
      <c r="S34" s="84" t="s">
        <v>3990</v>
      </c>
      <c r="T34" s="84" t="s">
        <v>4112</v>
      </c>
      <c r="U34" s="84" t="s">
        <v>4113</v>
      </c>
      <c r="V34" s="84" t="s">
        <v>3993</v>
      </c>
      <c r="X34" s="197">
        <v>1</v>
      </c>
      <c r="Y34" s="197">
        <v>1</v>
      </c>
      <c r="Z34" s="199">
        <v>6</v>
      </c>
      <c r="AA34" s="199">
        <v>4</v>
      </c>
    </row>
    <row r="35" spans="1:27" x14ac:dyDescent="0.15">
      <c r="A35" s="84">
        <v>904040</v>
      </c>
      <c r="B35" s="84" t="s">
        <v>4114</v>
      </c>
      <c r="C35" s="84" t="s">
        <v>3988</v>
      </c>
      <c r="D35" s="84">
        <v>2003</v>
      </c>
      <c r="E35" s="84">
        <v>2</v>
      </c>
      <c r="F35" s="84">
        <v>0</v>
      </c>
      <c r="G35" s="84">
        <v>0</v>
      </c>
      <c r="H35" s="84" t="s">
        <v>4115</v>
      </c>
      <c r="I35" s="157">
        <v>999</v>
      </c>
      <c r="J35" s="84" t="b">
        <v>1</v>
      </c>
      <c r="K35" s="84">
        <v>15</v>
      </c>
      <c r="L35" s="84">
        <v>225</v>
      </c>
      <c r="M35" s="84">
        <v>300</v>
      </c>
      <c r="N35" s="84" t="s">
        <v>3383</v>
      </c>
      <c r="O35" s="84"/>
      <c r="P35" s="84">
        <v>1</v>
      </c>
      <c r="Q35" s="84"/>
      <c r="R35" s="84">
        <v>0</v>
      </c>
      <c r="S35" s="84" t="s">
        <v>3990</v>
      </c>
      <c r="T35" s="84" t="s">
        <v>4116</v>
      </c>
      <c r="U35" s="84" t="s">
        <v>4117</v>
      </c>
      <c r="V35" s="84" t="s">
        <v>3993</v>
      </c>
      <c r="X35" s="197">
        <v>1</v>
      </c>
      <c r="Y35" s="197">
        <v>1</v>
      </c>
      <c r="Z35" s="199">
        <v>7</v>
      </c>
      <c r="AA35" s="199">
        <v>4</v>
      </c>
    </row>
    <row r="36" spans="1:27" x14ac:dyDescent="0.15">
      <c r="A36" s="84">
        <v>904041</v>
      </c>
      <c r="B36" s="84" t="s">
        <v>4118</v>
      </c>
      <c r="C36" s="84" t="s">
        <v>3988</v>
      </c>
      <c r="D36" s="84">
        <v>2003</v>
      </c>
      <c r="E36" s="84">
        <v>2</v>
      </c>
      <c r="F36" s="84">
        <v>0</v>
      </c>
      <c r="G36" s="84">
        <v>0</v>
      </c>
      <c r="H36" s="84" t="s">
        <v>4119</v>
      </c>
      <c r="I36" s="157">
        <v>999</v>
      </c>
      <c r="J36" s="84" t="b">
        <v>1</v>
      </c>
      <c r="K36" s="84">
        <v>15</v>
      </c>
      <c r="L36" s="84">
        <v>225</v>
      </c>
      <c r="M36" s="84">
        <v>300</v>
      </c>
      <c r="N36" s="84" t="s">
        <v>3383</v>
      </c>
      <c r="O36" s="84"/>
      <c r="P36" s="84">
        <v>1</v>
      </c>
      <c r="Q36" s="84"/>
      <c r="R36" s="84">
        <v>0</v>
      </c>
      <c r="S36" s="84" t="s">
        <v>3990</v>
      </c>
      <c r="T36" s="84" t="s">
        <v>4120</v>
      </c>
      <c r="U36" s="84" t="s">
        <v>4121</v>
      </c>
      <c r="V36" s="84" t="s">
        <v>3993</v>
      </c>
      <c r="X36" s="197">
        <v>1</v>
      </c>
      <c r="Y36" s="197">
        <v>1</v>
      </c>
      <c r="Z36" s="199">
        <v>8</v>
      </c>
      <c r="AA36" s="199">
        <v>4</v>
      </c>
    </row>
    <row r="37" spans="1:27" x14ac:dyDescent="0.15">
      <c r="A37" s="84">
        <v>904042</v>
      </c>
      <c r="B37" s="84" t="s">
        <v>4122</v>
      </c>
      <c r="C37" s="84" t="s">
        <v>3988</v>
      </c>
      <c r="D37" s="84">
        <v>2003</v>
      </c>
      <c r="E37" s="84">
        <v>2</v>
      </c>
      <c r="F37" s="84">
        <v>0</v>
      </c>
      <c r="G37" s="84">
        <v>0</v>
      </c>
      <c r="H37" s="84" t="s">
        <v>4123</v>
      </c>
      <c r="I37" s="157">
        <v>999</v>
      </c>
      <c r="J37" s="84" t="b">
        <v>1</v>
      </c>
      <c r="K37" s="84">
        <v>15</v>
      </c>
      <c r="L37" s="84">
        <v>225</v>
      </c>
      <c r="M37" s="84">
        <v>300</v>
      </c>
      <c r="N37" s="84" t="s">
        <v>3383</v>
      </c>
      <c r="O37" s="84"/>
      <c r="P37" s="84">
        <v>1</v>
      </c>
      <c r="Q37" s="84"/>
      <c r="R37" s="84">
        <v>0</v>
      </c>
      <c r="S37" s="84" t="s">
        <v>3990</v>
      </c>
      <c r="T37" s="84" t="s">
        <v>4124</v>
      </c>
      <c r="U37" s="84" t="s">
        <v>4125</v>
      </c>
      <c r="V37" s="84" t="s">
        <v>3993</v>
      </c>
      <c r="X37" s="197">
        <v>1</v>
      </c>
      <c r="Y37" s="197">
        <v>1</v>
      </c>
      <c r="Z37" s="199">
        <v>9</v>
      </c>
      <c r="AA37" s="199">
        <v>4</v>
      </c>
    </row>
    <row r="38" spans="1:27" x14ac:dyDescent="0.15">
      <c r="A38" s="84">
        <v>904043</v>
      </c>
      <c r="B38" s="84" t="s">
        <v>4126</v>
      </c>
      <c r="C38" s="84" t="s">
        <v>3988</v>
      </c>
      <c r="D38" s="84">
        <v>2003</v>
      </c>
      <c r="E38" s="84">
        <v>2</v>
      </c>
      <c r="F38" s="84">
        <v>0</v>
      </c>
      <c r="G38" s="84">
        <v>0</v>
      </c>
      <c r="H38" s="84" t="s">
        <v>4127</v>
      </c>
      <c r="I38" s="157">
        <v>999</v>
      </c>
      <c r="J38" s="84" t="b">
        <v>1</v>
      </c>
      <c r="K38" s="84">
        <v>15</v>
      </c>
      <c r="L38" s="84">
        <v>225</v>
      </c>
      <c r="M38" s="84">
        <v>300</v>
      </c>
      <c r="N38" s="84" t="s">
        <v>3383</v>
      </c>
      <c r="O38" s="84"/>
      <c r="P38" s="84">
        <v>1</v>
      </c>
      <c r="Q38" s="84"/>
      <c r="R38" s="84">
        <v>0</v>
      </c>
      <c r="S38" s="84" t="s">
        <v>3990</v>
      </c>
      <c r="T38" s="84" t="s">
        <v>4128</v>
      </c>
      <c r="U38" s="84" t="s">
        <v>4129</v>
      </c>
      <c r="V38" s="84" t="s">
        <v>3993</v>
      </c>
      <c r="X38" s="197">
        <v>1</v>
      </c>
      <c r="Y38" s="197">
        <v>1</v>
      </c>
      <c r="Z38" s="199">
        <v>12</v>
      </c>
      <c r="AA38" s="199">
        <v>1</v>
      </c>
    </row>
    <row r="39" spans="1:27" x14ac:dyDescent="0.15">
      <c r="A39" s="84">
        <v>904044</v>
      </c>
      <c r="B39" s="84" t="s">
        <v>4130</v>
      </c>
      <c r="C39" s="84" t="s">
        <v>3988</v>
      </c>
      <c r="D39" s="84">
        <v>2003</v>
      </c>
      <c r="E39" s="84">
        <v>2</v>
      </c>
      <c r="F39" s="84">
        <v>0</v>
      </c>
      <c r="G39" s="84">
        <v>0</v>
      </c>
      <c r="H39" s="84" t="s">
        <v>4131</v>
      </c>
      <c r="I39" s="157">
        <v>999</v>
      </c>
      <c r="J39" s="84" t="b">
        <v>1</v>
      </c>
      <c r="K39" s="84">
        <v>15</v>
      </c>
      <c r="L39" s="84">
        <v>225</v>
      </c>
      <c r="M39" s="84">
        <v>300</v>
      </c>
      <c r="N39" s="84" t="s">
        <v>3383</v>
      </c>
      <c r="O39" s="84"/>
      <c r="P39" s="84">
        <v>1</v>
      </c>
      <c r="Q39" s="84"/>
      <c r="R39" s="84">
        <v>0</v>
      </c>
      <c r="S39" s="84" t="s">
        <v>3990</v>
      </c>
      <c r="T39" s="84" t="s">
        <v>4132</v>
      </c>
      <c r="U39" s="84" t="s">
        <v>4133</v>
      </c>
      <c r="V39" s="84" t="s">
        <v>3993</v>
      </c>
      <c r="X39" s="197">
        <v>1</v>
      </c>
      <c r="Y39" s="197">
        <v>1</v>
      </c>
      <c r="Z39" s="199">
        <v>12</v>
      </c>
      <c r="AA39" s="199">
        <v>1</v>
      </c>
    </row>
    <row r="40" spans="1:27" x14ac:dyDescent="0.15">
      <c r="A40" s="84">
        <v>904045</v>
      </c>
      <c r="B40" s="84" t="s">
        <v>4134</v>
      </c>
      <c r="C40" s="84" t="s">
        <v>3988</v>
      </c>
      <c r="D40" s="84">
        <v>2003</v>
      </c>
      <c r="E40" s="84">
        <v>2</v>
      </c>
      <c r="F40" s="84">
        <v>0</v>
      </c>
      <c r="G40" s="84">
        <v>0</v>
      </c>
      <c r="H40" s="84" t="s">
        <v>4135</v>
      </c>
      <c r="I40" s="157">
        <v>999</v>
      </c>
      <c r="J40" s="84" t="b">
        <v>1</v>
      </c>
      <c r="K40" s="84">
        <v>15</v>
      </c>
      <c r="L40" s="84">
        <v>225</v>
      </c>
      <c r="M40" s="84">
        <v>300</v>
      </c>
      <c r="N40" s="84" t="s">
        <v>3383</v>
      </c>
      <c r="O40" s="84"/>
      <c r="P40" s="84">
        <v>1</v>
      </c>
      <c r="Q40" s="84"/>
      <c r="R40" s="84">
        <v>0</v>
      </c>
      <c r="S40" s="84" t="s">
        <v>3990</v>
      </c>
      <c r="T40" s="84" t="s">
        <v>4136</v>
      </c>
      <c r="U40" s="84" t="s">
        <v>4137</v>
      </c>
      <c r="V40" s="84" t="s">
        <v>3993</v>
      </c>
      <c r="X40" s="197">
        <v>1</v>
      </c>
      <c r="Y40" s="197">
        <v>1</v>
      </c>
      <c r="Z40" s="199">
        <v>12</v>
      </c>
      <c r="AA40" s="199">
        <v>2</v>
      </c>
    </row>
    <row r="41" spans="1:27" x14ac:dyDescent="0.15">
      <c r="A41" s="84">
        <v>904046</v>
      </c>
      <c r="B41" s="84" t="s">
        <v>4138</v>
      </c>
      <c r="C41" s="84" t="s">
        <v>3988</v>
      </c>
      <c r="D41" s="84">
        <v>2003</v>
      </c>
      <c r="E41" s="84">
        <v>2</v>
      </c>
      <c r="F41" s="84">
        <v>0</v>
      </c>
      <c r="G41" s="84">
        <v>0</v>
      </c>
      <c r="H41" s="84" t="s">
        <v>4139</v>
      </c>
      <c r="I41" s="157">
        <v>999</v>
      </c>
      <c r="J41" s="84" t="b">
        <v>1</v>
      </c>
      <c r="K41" s="84">
        <v>15</v>
      </c>
      <c r="L41" s="84">
        <v>225</v>
      </c>
      <c r="M41" s="84">
        <v>300</v>
      </c>
      <c r="N41" s="84" t="s">
        <v>3383</v>
      </c>
      <c r="O41" s="84"/>
      <c r="P41" s="84">
        <v>1</v>
      </c>
      <c r="Q41" s="84"/>
      <c r="R41" s="84">
        <v>0</v>
      </c>
      <c r="S41" s="84" t="s">
        <v>3990</v>
      </c>
      <c r="T41" s="84" t="s">
        <v>4140</v>
      </c>
      <c r="U41" s="84" t="s">
        <v>4141</v>
      </c>
      <c r="V41" s="84" t="s">
        <v>3993</v>
      </c>
      <c r="X41" s="197">
        <v>1</v>
      </c>
      <c r="Y41" s="197">
        <v>1</v>
      </c>
      <c r="Z41" s="199">
        <v>12</v>
      </c>
      <c r="AA41" s="199">
        <v>2</v>
      </c>
    </row>
    <row r="42" spans="1:27" x14ac:dyDescent="0.15">
      <c r="A42" s="84">
        <v>904047</v>
      </c>
      <c r="B42" s="84" t="s">
        <v>4142</v>
      </c>
      <c r="C42" s="84" t="s">
        <v>3988</v>
      </c>
      <c r="D42" s="84">
        <v>2003</v>
      </c>
      <c r="E42" s="84">
        <v>2</v>
      </c>
      <c r="F42" s="84">
        <v>0</v>
      </c>
      <c r="G42" s="84">
        <v>0</v>
      </c>
      <c r="H42" s="84" t="s">
        <v>4143</v>
      </c>
      <c r="I42" s="157">
        <v>999</v>
      </c>
      <c r="J42" s="84" t="b">
        <v>1</v>
      </c>
      <c r="K42" s="84">
        <v>15</v>
      </c>
      <c r="L42" s="84">
        <v>225</v>
      </c>
      <c r="M42" s="84">
        <v>300</v>
      </c>
      <c r="N42" s="84" t="s">
        <v>3383</v>
      </c>
      <c r="O42" s="84"/>
      <c r="P42" s="84">
        <v>1</v>
      </c>
      <c r="Q42" s="84"/>
      <c r="R42" s="84">
        <v>0</v>
      </c>
      <c r="S42" s="84" t="s">
        <v>3990</v>
      </c>
      <c r="T42" s="84" t="s">
        <v>4144</v>
      </c>
      <c r="U42" s="84" t="s">
        <v>4145</v>
      </c>
      <c r="V42" s="84" t="s">
        <v>3993</v>
      </c>
      <c r="X42" s="197">
        <v>1</v>
      </c>
      <c r="Y42" s="197">
        <v>1</v>
      </c>
      <c r="Z42" s="199">
        <v>12</v>
      </c>
      <c r="AA42" s="199">
        <v>3</v>
      </c>
    </row>
    <row r="43" spans="1:27" x14ac:dyDescent="0.15">
      <c r="A43" s="84">
        <v>904048</v>
      </c>
      <c r="B43" s="84" t="s">
        <v>4146</v>
      </c>
      <c r="C43" s="84" t="s">
        <v>3988</v>
      </c>
      <c r="D43" s="84">
        <v>2003</v>
      </c>
      <c r="E43" s="84">
        <v>2</v>
      </c>
      <c r="F43" s="84">
        <v>0</v>
      </c>
      <c r="G43" s="84">
        <v>0</v>
      </c>
      <c r="H43" s="84" t="s">
        <v>4147</v>
      </c>
      <c r="I43" s="157">
        <v>999</v>
      </c>
      <c r="J43" s="84" t="b">
        <v>1</v>
      </c>
      <c r="K43" s="84">
        <v>15</v>
      </c>
      <c r="L43" s="84">
        <v>225</v>
      </c>
      <c r="M43" s="84">
        <v>300</v>
      </c>
      <c r="N43" s="84" t="s">
        <v>3383</v>
      </c>
      <c r="O43" s="84"/>
      <c r="P43" s="84">
        <v>1</v>
      </c>
      <c r="Q43" s="84"/>
      <c r="R43" s="84">
        <v>0</v>
      </c>
      <c r="S43" s="84" t="s">
        <v>3990</v>
      </c>
      <c r="T43" s="84" t="s">
        <v>4148</v>
      </c>
      <c r="U43" s="84" t="s">
        <v>4149</v>
      </c>
      <c r="V43" s="84" t="s">
        <v>3993</v>
      </c>
      <c r="X43" s="197">
        <v>1</v>
      </c>
      <c r="Y43" s="197">
        <v>1</v>
      </c>
      <c r="Z43" s="199">
        <v>12</v>
      </c>
      <c r="AA43" s="199">
        <v>3</v>
      </c>
    </row>
    <row r="44" spans="1:27" x14ac:dyDescent="0.15">
      <c r="A44" s="84">
        <v>904049</v>
      </c>
      <c r="B44" s="84" t="s">
        <v>4150</v>
      </c>
      <c r="C44" s="84" t="s">
        <v>3988</v>
      </c>
      <c r="D44" s="84">
        <v>2003</v>
      </c>
      <c r="E44" s="84">
        <v>2</v>
      </c>
      <c r="F44" s="84">
        <v>0</v>
      </c>
      <c r="G44" s="84">
        <v>0</v>
      </c>
      <c r="H44" s="84" t="s">
        <v>4151</v>
      </c>
      <c r="I44" s="157">
        <v>999</v>
      </c>
      <c r="J44" s="84" t="b">
        <v>1</v>
      </c>
      <c r="K44" s="84">
        <v>15</v>
      </c>
      <c r="L44" s="84">
        <v>225</v>
      </c>
      <c r="M44" s="84">
        <v>300</v>
      </c>
      <c r="N44" s="84" t="s">
        <v>3383</v>
      </c>
      <c r="O44" s="84"/>
      <c r="P44" s="84">
        <v>1</v>
      </c>
      <c r="Q44" s="84"/>
      <c r="R44" s="84">
        <v>0</v>
      </c>
      <c r="S44" s="84" t="s">
        <v>3990</v>
      </c>
      <c r="T44" s="84" t="s">
        <v>4152</v>
      </c>
      <c r="U44" s="84" t="s">
        <v>4153</v>
      </c>
      <c r="V44" s="84" t="s">
        <v>3993</v>
      </c>
      <c r="X44" s="197">
        <v>1</v>
      </c>
      <c r="Y44" s="197">
        <v>1</v>
      </c>
      <c r="Z44" s="199">
        <v>12</v>
      </c>
      <c r="AA44" s="199">
        <v>4</v>
      </c>
    </row>
    <row r="45" spans="1:27" x14ac:dyDescent="0.15">
      <c r="A45" s="84">
        <v>904050</v>
      </c>
      <c r="B45" s="106" t="s">
        <v>4154</v>
      </c>
      <c r="C45" s="84" t="s">
        <v>3988</v>
      </c>
      <c r="D45" s="84">
        <v>2003</v>
      </c>
      <c r="E45" s="84">
        <v>2</v>
      </c>
      <c r="F45" s="84">
        <v>0</v>
      </c>
      <c r="G45" s="84">
        <v>0</v>
      </c>
      <c r="H45" s="84" t="s">
        <v>4155</v>
      </c>
      <c r="I45" s="157">
        <v>999</v>
      </c>
      <c r="J45" s="84" t="b">
        <v>1</v>
      </c>
      <c r="K45" s="84">
        <v>15</v>
      </c>
      <c r="L45" s="84">
        <v>225</v>
      </c>
      <c r="M45" s="84">
        <v>300</v>
      </c>
      <c r="N45" s="84" t="s">
        <v>3383</v>
      </c>
      <c r="O45" s="84"/>
      <c r="P45" s="84">
        <v>1</v>
      </c>
      <c r="Q45" s="84"/>
      <c r="R45" s="84">
        <v>0</v>
      </c>
      <c r="S45" s="84" t="s">
        <v>3990</v>
      </c>
      <c r="T45" s="84" t="s">
        <v>4156</v>
      </c>
      <c r="U45" s="84" t="s">
        <v>4157</v>
      </c>
      <c r="V45" s="84" t="s">
        <v>3993</v>
      </c>
      <c r="X45" s="197">
        <v>1</v>
      </c>
      <c r="Y45" s="197">
        <v>1</v>
      </c>
      <c r="Z45" s="199">
        <v>12</v>
      </c>
      <c r="AA45" s="199">
        <v>4</v>
      </c>
    </row>
    <row r="46" spans="1:27" x14ac:dyDescent="0.15">
      <c r="A46" s="84">
        <v>904051</v>
      </c>
      <c r="B46" s="114" t="s">
        <v>4158</v>
      </c>
      <c r="C46" s="84" t="s">
        <v>3988</v>
      </c>
      <c r="D46" s="84">
        <v>2003</v>
      </c>
      <c r="E46" s="84">
        <v>2</v>
      </c>
      <c r="F46" s="84">
        <v>0</v>
      </c>
      <c r="G46" s="84">
        <v>0</v>
      </c>
      <c r="H46" s="84" t="s">
        <v>4159</v>
      </c>
      <c r="I46" s="157">
        <v>999</v>
      </c>
      <c r="J46" s="84" t="b">
        <v>1</v>
      </c>
      <c r="K46" s="84">
        <v>15</v>
      </c>
      <c r="L46" s="84">
        <v>225</v>
      </c>
      <c r="M46" s="84">
        <v>300</v>
      </c>
      <c r="N46" s="84" t="s">
        <v>3383</v>
      </c>
      <c r="O46" s="84"/>
      <c r="P46" s="84">
        <v>1</v>
      </c>
      <c r="Q46" s="84"/>
      <c r="R46" s="84">
        <v>0</v>
      </c>
      <c r="S46" s="84" t="s">
        <v>3990</v>
      </c>
      <c r="T46" s="84" t="s">
        <v>4160</v>
      </c>
      <c r="U46" s="84" t="s">
        <v>4161</v>
      </c>
      <c r="V46" s="84" t="s">
        <v>3993</v>
      </c>
      <c r="X46" s="197">
        <v>1</v>
      </c>
      <c r="Y46" s="197">
        <v>1</v>
      </c>
      <c r="Z46" s="199">
        <v>12</v>
      </c>
      <c r="AA46" s="199">
        <v>4</v>
      </c>
    </row>
    <row r="47" spans="1:27" x14ac:dyDescent="0.15">
      <c r="A47" s="84">
        <v>904052</v>
      </c>
      <c r="B47" s="114" t="s">
        <v>4162</v>
      </c>
      <c r="C47" s="84" t="s">
        <v>3988</v>
      </c>
      <c r="D47" s="84">
        <v>2003</v>
      </c>
      <c r="E47" s="84">
        <v>2</v>
      </c>
      <c r="F47" s="84">
        <v>0</v>
      </c>
      <c r="G47" s="84">
        <v>0</v>
      </c>
      <c r="H47" s="84" t="s">
        <v>4163</v>
      </c>
      <c r="I47" s="157">
        <v>999</v>
      </c>
      <c r="J47" s="84" t="b">
        <v>1</v>
      </c>
      <c r="K47" s="84">
        <v>15</v>
      </c>
      <c r="L47" s="84">
        <v>225</v>
      </c>
      <c r="M47" s="84">
        <v>300</v>
      </c>
      <c r="N47" s="84" t="s">
        <v>3383</v>
      </c>
      <c r="O47" s="84"/>
      <c r="P47" s="84">
        <v>1</v>
      </c>
      <c r="Q47" s="84"/>
      <c r="R47" s="84">
        <v>0</v>
      </c>
      <c r="S47" s="84" t="s">
        <v>3990</v>
      </c>
      <c r="T47" s="84" t="s">
        <v>4164</v>
      </c>
      <c r="U47" s="84" t="s">
        <v>4165</v>
      </c>
      <c r="V47" s="84" t="s">
        <v>3993</v>
      </c>
      <c r="X47" s="197">
        <v>1</v>
      </c>
      <c r="Y47" s="197">
        <v>1</v>
      </c>
      <c r="Z47" s="199">
        <v>12</v>
      </c>
      <c r="AA47" s="199">
        <v>4</v>
      </c>
    </row>
    <row r="48" spans="1:27" x14ac:dyDescent="0.15">
      <c r="A48" s="84">
        <v>904053</v>
      </c>
      <c r="B48" s="84" t="s">
        <v>4166</v>
      </c>
      <c r="C48" s="84" t="s">
        <v>3988</v>
      </c>
      <c r="D48" s="84">
        <v>2003</v>
      </c>
      <c r="E48" s="84">
        <v>2</v>
      </c>
      <c r="F48" s="84">
        <v>1</v>
      </c>
      <c r="G48" s="84">
        <v>0</v>
      </c>
      <c r="H48" s="504" t="s">
        <v>4167</v>
      </c>
      <c r="I48" s="157">
        <v>999</v>
      </c>
      <c r="J48" s="84" t="b">
        <v>1</v>
      </c>
      <c r="K48" s="84">
        <v>15</v>
      </c>
      <c r="L48" s="84">
        <v>225</v>
      </c>
      <c r="M48" s="84">
        <v>300</v>
      </c>
      <c r="N48" s="84" t="s">
        <v>3383</v>
      </c>
      <c r="O48" s="84"/>
      <c r="P48" s="84">
        <v>1</v>
      </c>
      <c r="Q48" s="84"/>
      <c r="R48" s="84">
        <v>0</v>
      </c>
      <c r="S48" s="84" t="s">
        <v>3990</v>
      </c>
      <c r="T48" s="84" t="s">
        <v>4168</v>
      </c>
      <c r="U48" s="84" t="s">
        <v>4169</v>
      </c>
      <c r="V48" s="84" t="s">
        <v>3993</v>
      </c>
      <c r="X48" s="197">
        <v>1</v>
      </c>
      <c r="Y48" s="197">
        <v>1</v>
      </c>
      <c r="Z48" s="356">
        <v>0</v>
      </c>
      <c r="AA48" s="199">
        <v>1</v>
      </c>
    </row>
    <row r="49" spans="1:27" x14ac:dyDescent="0.15">
      <c r="A49" s="84">
        <v>904054</v>
      </c>
      <c r="B49" s="84" t="s">
        <v>4170</v>
      </c>
      <c r="C49" s="84" t="s">
        <v>3988</v>
      </c>
      <c r="D49" s="84">
        <v>2003</v>
      </c>
      <c r="E49" s="84">
        <v>2</v>
      </c>
      <c r="F49" s="84">
        <v>1</v>
      </c>
      <c r="G49" s="84">
        <v>0</v>
      </c>
      <c r="H49" s="504" t="s">
        <v>4171</v>
      </c>
      <c r="I49" s="157">
        <v>999</v>
      </c>
      <c r="J49" s="84" t="b">
        <v>1</v>
      </c>
      <c r="K49" s="84">
        <v>15</v>
      </c>
      <c r="L49" s="84">
        <v>225</v>
      </c>
      <c r="M49" s="84">
        <v>300</v>
      </c>
      <c r="N49" s="84" t="s">
        <v>3383</v>
      </c>
      <c r="O49" s="84"/>
      <c r="P49" s="84">
        <v>1</v>
      </c>
      <c r="Q49" s="84"/>
      <c r="R49" s="84">
        <v>0</v>
      </c>
      <c r="S49" s="84" t="s">
        <v>3990</v>
      </c>
      <c r="T49" s="84" t="s">
        <v>4172</v>
      </c>
      <c r="U49" s="84" t="s">
        <v>4173</v>
      </c>
      <c r="V49" s="84" t="s">
        <v>3993</v>
      </c>
      <c r="X49" s="197">
        <v>1</v>
      </c>
      <c r="Y49" s="197">
        <v>1</v>
      </c>
      <c r="Z49" s="356">
        <v>0</v>
      </c>
      <c r="AA49" s="199">
        <v>1</v>
      </c>
    </row>
    <row r="50" spans="1:27" x14ac:dyDescent="0.15">
      <c r="A50" s="84">
        <v>904055</v>
      </c>
      <c r="B50" s="84" t="s">
        <v>4174</v>
      </c>
      <c r="C50" s="84" t="s">
        <v>3988</v>
      </c>
      <c r="D50" s="84">
        <v>2003</v>
      </c>
      <c r="E50" s="84">
        <v>2</v>
      </c>
      <c r="F50" s="84">
        <v>1</v>
      </c>
      <c r="G50" s="84">
        <v>0</v>
      </c>
      <c r="H50" s="504" t="s">
        <v>4175</v>
      </c>
      <c r="I50" s="157">
        <v>999</v>
      </c>
      <c r="J50" s="84" t="b">
        <v>1</v>
      </c>
      <c r="K50" s="84">
        <v>15</v>
      </c>
      <c r="L50" s="84">
        <v>225</v>
      </c>
      <c r="M50" s="84">
        <v>300</v>
      </c>
      <c r="N50" s="84" t="s">
        <v>3383</v>
      </c>
      <c r="O50" s="84"/>
      <c r="P50" s="84">
        <v>1</v>
      </c>
      <c r="Q50" s="84"/>
      <c r="R50" s="84">
        <v>0</v>
      </c>
      <c r="S50" s="84" t="s">
        <v>3990</v>
      </c>
      <c r="T50" s="84" t="s">
        <v>4176</v>
      </c>
      <c r="U50" s="84" t="s">
        <v>4177</v>
      </c>
      <c r="V50" s="84" t="s">
        <v>3993</v>
      </c>
      <c r="X50" s="197">
        <v>1</v>
      </c>
      <c r="Y50" s="197">
        <v>1</v>
      </c>
      <c r="Z50" s="356">
        <v>0</v>
      </c>
      <c r="AA50" s="199">
        <v>1</v>
      </c>
    </row>
    <row r="51" spans="1:27" x14ac:dyDescent="0.15">
      <c r="A51" s="84">
        <v>904056</v>
      </c>
      <c r="B51" s="84" t="s">
        <v>4178</v>
      </c>
      <c r="C51" s="84" t="s">
        <v>3988</v>
      </c>
      <c r="D51" s="84">
        <v>2003</v>
      </c>
      <c r="E51" s="84">
        <v>2</v>
      </c>
      <c r="F51" s="84">
        <v>1</v>
      </c>
      <c r="G51" s="84">
        <v>0</v>
      </c>
      <c r="H51" s="504" t="s">
        <v>4179</v>
      </c>
      <c r="I51" s="157">
        <v>999</v>
      </c>
      <c r="J51" s="84" t="b">
        <v>1</v>
      </c>
      <c r="K51" s="84">
        <v>15</v>
      </c>
      <c r="L51" s="84">
        <v>225</v>
      </c>
      <c r="M51" s="84">
        <v>300</v>
      </c>
      <c r="N51" s="84" t="s">
        <v>3383</v>
      </c>
      <c r="O51" s="84"/>
      <c r="P51" s="84">
        <v>1</v>
      </c>
      <c r="Q51" s="84"/>
      <c r="R51" s="84">
        <v>0</v>
      </c>
      <c r="S51" s="84" t="s">
        <v>3990</v>
      </c>
      <c r="T51" s="84" t="s">
        <v>4180</v>
      </c>
      <c r="U51" s="84" t="s">
        <v>4181</v>
      </c>
      <c r="V51" s="84" t="s">
        <v>3993</v>
      </c>
      <c r="X51" s="197">
        <v>1</v>
      </c>
      <c r="Y51" s="197">
        <v>1</v>
      </c>
      <c r="Z51" s="356">
        <v>0</v>
      </c>
      <c r="AA51" s="199">
        <v>1</v>
      </c>
    </row>
    <row r="52" spans="1:27" x14ac:dyDescent="0.15">
      <c r="A52" s="84">
        <v>904057</v>
      </c>
      <c r="B52" s="84" t="s">
        <v>4182</v>
      </c>
      <c r="C52" s="84" t="s">
        <v>3988</v>
      </c>
      <c r="D52" s="84">
        <v>2003</v>
      </c>
      <c r="E52" s="84">
        <v>2</v>
      </c>
      <c r="F52" s="84">
        <v>1</v>
      </c>
      <c r="G52" s="84">
        <v>0</v>
      </c>
      <c r="H52" s="504" t="s">
        <v>4183</v>
      </c>
      <c r="I52" s="157">
        <v>999</v>
      </c>
      <c r="J52" s="84" t="b">
        <v>1</v>
      </c>
      <c r="K52" s="84">
        <v>15</v>
      </c>
      <c r="L52" s="84">
        <v>225</v>
      </c>
      <c r="M52" s="84">
        <v>300</v>
      </c>
      <c r="N52" s="84" t="s">
        <v>3383</v>
      </c>
      <c r="O52" s="84"/>
      <c r="P52" s="84">
        <v>1</v>
      </c>
      <c r="Q52" s="84"/>
      <c r="R52" s="84">
        <v>0</v>
      </c>
      <c r="S52" s="84" t="s">
        <v>3990</v>
      </c>
      <c r="T52" s="84" t="s">
        <v>4184</v>
      </c>
      <c r="U52" s="84" t="s">
        <v>4185</v>
      </c>
      <c r="V52" s="84" t="s">
        <v>3993</v>
      </c>
      <c r="X52" s="197">
        <v>1</v>
      </c>
      <c r="Y52" s="197">
        <v>1</v>
      </c>
      <c r="Z52" s="356">
        <v>0</v>
      </c>
      <c r="AA52" s="199">
        <v>1</v>
      </c>
    </row>
    <row r="53" spans="1:27" x14ac:dyDescent="0.15">
      <c r="A53" s="84">
        <v>904058</v>
      </c>
      <c r="B53" s="84" t="s">
        <v>4186</v>
      </c>
      <c r="C53" s="84" t="s">
        <v>3988</v>
      </c>
      <c r="D53" s="84">
        <v>2003</v>
      </c>
      <c r="E53" s="84">
        <v>2</v>
      </c>
      <c r="F53" s="84">
        <v>1</v>
      </c>
      <c r="G53" s="84">
        <v>0</v>
      </c>
      <c r="H53" s="504" t="s">
        <v>4187</v>
      </c>
      <c r="I53" s="157">
        <v>999</v>
      </c>
      <c r="J53" s="84" t="b">
        <v>1</v>
      </c>
      <c r="K53" s="84">
        <v>15</v>
      </c>
      <c r="L53" s="84">
        <v>225</v>
      </c>
      <c r="M53" s="84">
        <v>300</v>
      </c>
      <c r="N53" s="84" t="s">
        <v>3383</v>
      </c>
      <c r="O53" s="84"/>
      <c r="P53" s="84">
        <v>1</v>
      </c>
      <c r="Q53" s="84"/>
      <c r="R53" s="84">
        <v>0</v>
      </c>
      <c r="S53" s="84" t="s">
        <v>3990</v>
      </c>
      <c r="T53" s="84" t="s">
        <v>4188</v>
      </c>
      <c r="U53" s="84" t="s">
        <v>4189</v>
      </c>
      <c r="V53" s="84" t="s">
        <v>3993</v>
      </c>
      <c r="X53" s="197">
        <v>1</v>
      </c>
      <c r="Y53" s="197">
        <v>1</v>
      </c>
      <c r="Z53" s="356">
        <v>0</v>
      </c>
      <c r="AA53" s="199">
        <v>1</v>
      </c>
    </row>
    <row r="54" spans="1:27" x14ac:dyDescent="0.15">
      <c r="A54" s="84">
        <v>904059</v>
      </c>
      <c r="B54" s="106" t="s">
        <v>4190</v>
      </c>
      <c r="C54" s="84" t="s">
        <v>3988</v>
      </c>
      <c r="D54" s="84">
        <v>2003</v>
      </c>
      <c r="E54" s="84">
        <v>2</v>
      </c>
      <c r="F54" s="84">
        <v>0</v>
      </c>
      <c r="G54" s="84">
        <v>0</v>
      </c>
      <c r="H54" s="84" t="s">
        <v>4191</v>
      </c>
      <c r="I54" s="157">
        <v>999</v>
      </c>
      <c r="J54" s="84" t="b">
        <v>1</v>
      </c>
      <c r="K54" s="84">
        <v>15</v>
      </c>
      <c r="L54" s="84">
        <v>225</v>
      </c>
      <c r="M54" s="84">
        <v>300</v>
      </c>
      <c r="N54" s="84" t="s">
        <v>3383</v>
      </c>
      <c r="O54" s="84"/>
      <c r="P54" s="84">
        <v>1</v>
      </c>
      <c r="Q54" s="84"/>
      <c r="R54" s="84">
        <v>0</v>
      </c>
      <c r="S54" s="84" t="s">
        <v>3990</v>
      </c>
      <c r="T54" s="84" t="s">
        <v>4192</v>
      </c>
      <c r="U54" s="84" t="s">
        <v>4193</v>
      </c>
      <c r="V54" s="84" t="s">
        <v>3993</v>
      </c>
      <c r="X54" s="197">
        <v>1</v>
      </c>
      <c r="Y54" s="197">
        <v>1</v>
      </c>
      <c r="Z54" s="199">
        <v>1</v>
      </c>
      <c r="AA54" s="199">
        <v>4</v>
      </c>
    </row>
    <row r="55" spans="1:27" x14ac:dyDescent="0.15">
      <c r="A55" s="84">
        <v>904060</v>
      </c>
      <c r="B55" s="9" t="s">
        <v>4194</v>
      </c>
      <c r="C55" s="84" t="s">
        <v>3988</v>
      </c>
      <c r="D55" s="84">
        <v>2003</v>
      </c>
      <c r="E55" s="84">
        <v>2</v>
      </c>
      <c r="F55" s="84">
        <v>0</v>
      </c>
      <c r="G55" s="84">
        <v>0</v>
      </c>
      <c r="H55" s="84" t="s">
        <v>4195</v>
      </c>
      <c r="I55" s="157">
        <v>999</v>
      </c>
      <c r="J55" s="84" t="b">
        <v>1</v>
      </c>
      <c r="K55" s="84">
        <v>15</v>
      </c>
      <c r="L55" s="84">
        <v>225</v>
      </c>
      <c r="M55" s="84">
        <v>300</v>
      </c>
      <c r="N55" s="84" t="s">
        <v>3383</v>
      </c>
      <c r="O55" s="84"/>
      <c r="P55" s="84">
        <v>1</v>
      </c>
      <c r="Q55" s="84"/>
      <c r="R55" s="84">
        <v>0</v>
      </c>
      <c r="S55" s="84" t="s">
        <v>3990</v>
      </c>
      <c r="T55" s="84" t="s">
        <v>4196</v>
      </c>
      <c r="U55" s="84" t="s">
        <v>4197</v>
      </c>
      <c r="V55" s="84" t="s">
        <v>3993</v>
      </c>
      <c r="X55" s="197">
        <v>1</v>
      </c>
      <c r="Y55" s="197">
        <v>1</v>
      </c>
      <c r="Z55" s="199">
        <v>1</v>
      </c>
      <c r="AA55" s="199">
        <v>4</v>
      </c>
    </row>
    <row r="56" spans="1:27" x14ac:dyDescent="0.15">
      <c r="A56" s="84">
        <v>904061</v>
      </c>
      <c r="B56" s="114" t="s">
        <v>4198</v>
      </c>
      <c r="C56" s="84" t="s">
        <v>3988</v>
      </c>
      <c r="D56" s="84">
        <v>2003</v>
      </c>
      <c r="E56" s="84">
        <v>2</v>
      </c>
      <c r="F56" s="84">
        <v>0</v>
      </c>
      <c r="G56" s="84">
        <v>0</v>
      </c>
      <c r="H56" s="84" t="s">
        <v>4199</v>
      </c>
      <c r="I56" s="157">
        <v>999</v>
      </c>
      <c r="J56" s="84" t="b">
        <v>1</v>
      </c>
      <c r="K56" s="84">
        <v>15</v>
      </c>
      <c r="L56" s="84">
        <v>225</v>
      </c>
      <c r="M56" s="84">
        <v>300</v>
      </c>
      <c r="N56" s="84" t="s">
        <v>3383</v>
      </c>
      <c r="O56" s="84"/>
      <c r="P56" s="84">
        <v>1</v>
      </c>
      <c r="Q56" s="84"/>
      <c r="R56" s="84">
        <v>0</v>
      </c>
      <c r="S56" s="84" t="s">
        <v>3990</v>
      </c>
      <c r="T56" s="84" t="s">
        <v>4200</v>
      </c>
      <c r="U56" s="84" t="s">
        <v>4201</v>
      </c>
      <c r="V56" s="84" t="s">
        <v>3993</v>
      </c>
      <c r="X56" s="197">
        <v>1</v>
      </c>
      <c r="Y56" s="197">
        <v>1</v>
      </c>
      <c r="Z56" s="199">
        <v>1</v>
      </c>
      <c r="AA56" s="199">
        <v>4</v>
      </c>
    </row>
    <row r="57" spans="1:27" x14ac:dyDescent="0.15">
      <c r="A57" s="84">
        <v>904062</v>
      </c>
      <c r="B57" s="106" t="s">
        <v>4202</v>
      </c>
      <c r="C57" s="84" t="s">
        <v>3988</v>
      </c>
      <c r="D57" s="84">
        <v>2003</v>
      </c>
      <c r="E57" s="84">
        <v>2</v>
      </c>
      <c r="F57" s="84">
        <v>0</v>
      </c>
      <c r="G57" s="84">
        <v>0</v>
      </c>
      <c r="H57" s="84" t="s">
        <v>4203</v>
      </c>
      <c r="I57" s="157">
        <v>999</v>
      </c>
      <c r="J57" s="84" t="b">
        <v>1</v>
      </c>
      <c r="K57" s="84">
        <v>15</v>
      </c>
      <c r="L57" s="84">
        <v>225</v>
      </c>
      <c r="M57" s="84">
        <v>300</v>
      </c>
      <c r="N57" s="84" t="s">
        <v>3383</v>
      </c>
      <c r="O57" s="84"/>
      <c r="P57" s="84">
        <v>1</v>
      </c>
      <c r="Q57" s="84"/>
      <c r="R57" s="84">
        <v>0</v>
      </c>
      <c r="S57" s="84" t="s">
        <v>3990</v>
      </c>
      <c r="T57" s="84" t="s">
        <v>4204</v>
      </c>
      <c r="U57" s="84" t="s">
        <v>4205</v>
      </c>
      <c r="V57" s="84" t="s">
        <v>3993</v>
      </c>
      <c r="X57" s="197">
        <v>1</v>
      </c>
      <c r="Y57" s="197">
        <v>1</v>
      </c>
      <c r="Z57" s="199">
        <v>2</v>
      </c>
      <c r="AA57" s="199">
        <v>4</v>
      </c>
    </row>
    <row r="58" spans="1:27" x14ac:dyDescent="0.15">
      <c r="A58" s="84">
        <v>904063</v>
      </c>
      <c r="B58" s="114" t="s">
        <v>4206</v>
      </c>
      <c r="C58" s="84" t="s">
        <v>3988</v>
      </c>
      <c r="D58" s="84">
        <v>2003</v>
      </c>
      <c r="E58" s="84">
        <v>2</v>
      </c>
      <c r="F58" s="84">
        <v>0</v>
      </c>
      <c r="G58" s="84">
        <v>0</v>
      </c>
      <c r="H58" s="84" t="s">
        <v>4207</v>
      </c>
      <c r="I58" s="157">
        <v>999</v>
      </c>
      <c r="J58" s="84" t="b">
        <v>1</v>
      </c>
      <c r="K58" s="84">
        <v>15</v>
      </c>
      <c r="L58" s="84">
        <v>225</v>
      </c>
      <c r="M58" s="84">
        <v>300</v>
      </c>
      <c r="N58" s="84" t="s">
        <v>3383</v>
      </c>
      <c r="O58" s="84"/>
      <c r="P58" s="84">
        <v>1</v>
      </c>
      <c r="Q58" s="84"/>
      <c r="R58" s="84">
        <v>0</v>
      </c>
      <c r="S58" s="84" t="s">
        <v>3990</v>
      </c>
      <c r="T58" s="84" t="s">
        <v>4208</v>
      </c>
      <c r="U58" s="84" t="s">
        <v>4209</v>
      </c>
      <c r="V58" s="84" t="s">
        <v>3993</v>
      </c>
      <c r="X58" s="197">
        <v>1</v>
      </c>
      <c r="Y58" s="197">
        <v>1</v>
      </c>
      <c r="Z58" s="199">
        <v>2</v>
      </c>
      <c r="AA58" s="199">
        <v>4</v>
      </c>
    </row>
    <row r="59" spans="1:27" x14ac:dyDescent="0.15">
      <c r="A59" s="84">
        <v>904064</v>
      </c>
      <c r="B59" s="114" t="s">
        <v>4210</v>
      </c>
      <c r="C59" s="84" t="s">
        <v>3988</v>
      </c>
      <c r="D59" s="84">
        <v>2003</v>
      </c>
      <c r="E59" s="84">
        <v>2</v>
      </c>
      <c r="F59" s="84">
        <v>0</v>
      </c>
      <c r="G59" s="84">
        <v>0</v>
      </c>
      <c r="H59" s="84" t="s">
        <v>4211</v>
      </c>
      <c r="I59" s="157">
        <v>999</v>
      </c>
      <c r="J59" s="84" t="b">
        <v>1</v>
      </c>
      <c r="K59" s="84">
        <v>15</v>
      </c>
      <c r="L59" s="84">
        <v>225</v>
      </c>
      <c r="M59" s="84">
        <v>300</v>
      </c>
      <c r="N59" s="84" t="s">
        <v>3383</v>
      </c>
      <c r="O59" s="84"/>
      <c r="P59" s="84">
        <v>1</v>
      </c>
      <c r="Q59" s="84"/>
      <c r="R59" s="84">
        <v>0</v>
      </c>
      <c r="S59" s="84" t="s">
        <v>3990</v>
      </c>
      <c r="T59" s="84" t="s">
        <v>4212</v>
      </c>
      <c r="U59" s="84" t="s">
        <v>4213</v>
      </c>
      <c r="V59" s="84" t="s">
        <v>3993</v>
      </c>
      <c r="X59" s="197">
        <v>1</v>
      </c>
      <c r="Y59" s="197">
        <v>1</v>
      </c>
      <c r="Z59" s="199">
        <v>2</v>
      </c>
      <c r="AA59" s="199">
        <v>4</v>
      </c>
    </row>
    <row r="60" spans="1:27" x14ac:dyDescent="0.15">
      <c r="A60" s="84">
        <v>904065</v>
      </c>
      <c r="B60" s="106" t="s">
        <v>4214</v>
      </c>
      <c r="C60" s="84" t="s">
        <v>3988</v>
      </c>
      <c r="D60" s="84">
        <v>2003</v>
      </c>
      <c r="E60" s="84">
        <v>2</v>
      </c>
      <c r="F60" s="84">
        <v>0</v>
      </c>
      <c r="G60" s="84">
        <v>0</v>
      </c>
      <c r="H60" s="84" t="s">
        <v>4215</v>
      </c>
      <c r="I60" s="157">
        <v>999</v>
      </c>
      <c r="J60" s="84" t="b">
        <v>1</v>
      </c>
      <c r="K60" s="84">
        <v>15</v>
      </c>
      <c r="L60" s="84">
        <v>225</v>
      </c>
      <c r="M60" s="84">
        <v>300</v>
      </c>
      <c r="N60" s="84" t="s">
        <v>3383</v>
      </c>
      <c r="O60" s="84"/>
      <c r="P60" s="84">
        <v>1</v>
      </c>
      <c r="Q60" s="84"/>
      <c r="R60" s="84">
        <v>0</v>
      </c>
      <c r="S60" s="84" t="s">
        <v>3990</v>
      </c>
      <c r="T60" s="84" t="s">
        <v>4216</v>
      </c>
      <c r="U60" s="84" t="s">
        <v>4217</v>
      </c>
      <c r="V60" s="84" t="s">
        <v>3993</v>
      </c>
      <c r="X60" s="197">
        <v>1</v>
      </c>
      <c r="Y60" s="197">
        <v>1</v>
      </c>
      <c r="Z60" s="199">
        <v>2</v>
      </c>
      <c r="AA60" s="199">
        <v>4</v>
      </c>
    </row>
    <row r="61" spans="1:27" x14ac:dyDescent="0.15">
      <c r="A61" s="84">
        <v>904066</v>
      </c>
      <c r="B61" s="114" t="s">
        <v>4218</v>
      </c>
      <c r="C61" s="84" t="s">
        <v>3988</v>
      </c>
      <c r="D61" s="84">
        <v>2003</v>
      </c>
      <c r="E61" s="84">
        <v>2</v>
      </c>
      <c r="F61" s="84">
        <v>0</v>
      </c>
      <c r="G61" s="84">
        <v>0</v>
      </c>
      <c r="H61" s="84" t="s">
        <v>4219</v>
      </c>
      <c r="I61" s="157">
        <v>999</v>
      </c>
      <c r="J61" s="84" t="b">
        <v>1</v>
      </c>
      <c r="K61" s="84">
        <v>15</v>
      </c>
      <c r="L61" s="84">
        <v>225</v>
      </c>
      <c r="M61" s="84">
        <v>300</v>
      </c>
      <c r="N61" s="84" t="s">
        <v>3383</v>
      </c>
      <c r="O61" s="84"/>
      <c r="P61" s="84">
        <v>1</v>
      </c>
      <c r="Q61" s="84"/>
      <c r="R61" s="84">
        <v>0</v>
      </c>
      <c r="S61" s="84" t="s">
        <v>3990</v>
      </c>
      <c r="T61" s="84" t="s">
        <v>4220</v>
      </c>
      <c r="U61" s="84" t="s">
        <v>4221</v>
      </c>
      <c r="V61" s="84" t="s">
        <v>3993</v>
      </c>
      <c r="X61" s="197">
        <v>1</v>
      </c>
      <c r="Y61" s="197">
        <v>1</v>
      </c>
      <c r="Z61" s="199">
        <v>2</v>
      </c>
      <c r="AA61" s="199">
        <v>4</v>
      </c>
    </row>
    <row r="62" spans="1:27" x14ac:dyDescent="0.15">
      <c r="A62" s="84">
        <v>904067</v>
      </c>
      <c r="B62" s="114" t="s">
        <v>4222</v>
      </c>
      <c r="C62" s="84" t="s">
        <v>3988</v>
      </c>
      <c r="D62" s="84">
        <v>2003</v>
      </c>
      <c r="E62" s="84">
        <v>2</v>
      </c>
      <c r="F62" s="84">
        <v>0</v>
      </c>
      <c r="G62" s="84">
        <v>0</v>
      </c>
      <c r="H62" s="84" t="s">
        <v>4223</v>
      </c>
      <c r="I62" s="157">
        <v>999</v>
      </c>
      <c r="J62" s="84" t="b">
        <v>1</v>
      </c>
      <c r="K62" s="84">
        <v>15</v>
      </c>
      <c r="L62" s="84">
        <v>225</v>
      </c>
      <c r="M62" s="84">
        <v>300</v>
      </c>
      <c r="N62" s="84" t="s">
        <v>3383</v>
      </c>
      <c r="O62" s="84"/>
      <c r="P62" s="84">
        <v>1</v>
      </c>
      <c r="Q62" s="84"/>
      <c r="R62" s="84">
        <v>0</v>
      </c>
      <c r="S62" s="84" t="s">
        <v>3990</v>
      </c>
      <c r="T62" s="84" t="s">
        <v>4224</v>
      </c>
      <c r="U62" s="84" t="s">
        <v>4225</v>
      </c>
      <c r="V62" s="84" t="s">
        <v>3993</v>
      </c>
      <c r="X62" s="197">
        <v>1</v>
      </c>
      <c r="Y62" s="197">
        <v>1</v>
      </c>
      <c r="Z62" s="199">
        <v>2</v>
      </c>
      <c r="AA62" s="199">
        <v>4</v>
      </c>
    </row>
    <row r="63" spans="1:27" x14ac:dyDescent="0.15">
      <c r="A63" s="84">
        <v>904068</v>
      </c>
      <c r="B63" s="106" t="s">
        <v>4226</v>
      </c>
      <c r="C63" s="84" t="s">
        <v>3988</v>
      </c>
      <c r="D63" s="84">
        <v>2003</v>
      </c>
      <c r="E63" s="84">
        <v>2</v>
      </c>
      <c r="F63" s="84">
        <v>0</v>
      </c>
      <c r="G63" s="84">
        <v>0</v>
      </c>
      <c r="H63" s="84" t="s">
        <v>4227</v>
      </c>
      <c r="I63" s="157">
        <v>999</v>
      </c>
      <c r="J63" s="84" t="b">
        <v>1</v>
      </c>
      <c r="K63" s="84">
        <v>15</v>
      </c>
      <c r="L63" s="84">
        <v>225</v>
      </c>
      <c r="M63" s="84">
        <v>300</v>
      </c>
      <c r="N63" s="84" t="s">
        <v>3383</v>
      </c>
      <c r="O63" s="84"/>
      <c r="P63" s="84">
        <v>1</v>
      </c>
      <c r="Q63" s="84"/>
      <c r="R63" s="84">
        <v>0</v>
      </c>
      <c r="S63" s="84" t="s">
        <v>3990</v>
      </c>
      <c r="T63" s="84" t="s">
        <v>4228</v>
      </c>
      <c r="U63" s="84" t="s">
        <v>4229</v>
      </c>
      <c r="V63" s="84" t="s">
        <v>3993</v>
      </c>
      <c r="X63" s="197">
        <v>1</v>
      </c>
      <c r="Y63" s="197">
        <v>1</v>
      </c>
      <c r="Z63" s="199">
        <v>3</v>
      </c>
      <c r="AA63" s="199">
        <v>4</v>
      </c>
    </row>
    <row r="64" spans="1:27" x14ac:dyDescent="0.15">
      <c r="A64" s="84">
        <v>904069</v>
      </c>
      <c r="B64" s="114" t="s">
        <v>4230</v>
      </c>
      <c r="C64" s="84" t="s">
        <v>3988</v>
      </c>
      <c r="D64" s="84">
        <v>2003</v>
      </c>
      <c r="E64" s="84">
        <v>2</v>
      </c>
      <c r="F64" s="84">
        <v>0</v>
      </c>
      <c r="G64" s="84">
        <v>0</v>
      </c>
      <c r="H64" s="84" t="s">
        <v>4231</v>
      </c>
      <c r="I64" s="157">
        <v>999</v>
      </c>
      <c r="J64" s="84" t="b">
        <v>1</v>
      </c>
      <c r="K64" s="84">
        <v>15</v>
      </c>
      <c r="L64" s="84">
        <v>225</v>
      </c>
      <c r="M64" s="84">
        <v>300</v>
      </c>
      <c r="N64" s="84" t="s">
        <v>3383</v>
      </c>
      <c r="O64" s="84"/>
      <c r="P64" s="84">
        <v>1</v>
      </c>
      <c r="Q64" s="84"/>
      <c r="R64" s="84">
        <v>0</v>
      </c>
      <c r="S64" s="84" t="s">
        <v>3990</v>
      </c>
      <c r="T64" s="84" t="s">
        <v>4232</v>
      </c>
      <c r="U64" s="84" t="s">
        <v>4233</v>
      </c>
      <c r="V64" s="84" t="s">
        <v>3993</v>
      </c>
      <c r="X64" s="197">
        <v>1</v>
      </c>
      <c r="Y64" s="197">
        <v>1</v>
      </c>
      <c r="Z64" s="199">
        <v>3</v>
      </c>
      <c r="AA64" s="199">
        <v>4</v>
      </c>
    </row>
    <row r="65" spans="1:27" x14ac:dyDescent="0.15">
      <c r="A65" s="84">
        <v>904070</v>
      </c>
      <c r="B65" s="114" t="s">
        <v>4234</v>
      </c>
      <c r="C65" s="84" t="s">
        <v>3988</v>
      </c>
      <c r="D65" s="84">
        <v>2003</v>
      </c>
      <c r="E65" s="84">
        <v>2</v>
      </c>
      <c r="F65" s="84">
        <v>0</v>
      </c>
      <c r="G65" s="84">
        <v>0</v>
      </c>
      <c r="H65" s="84" t="s">
        <v>4235</v>
      </c>
      <c r="I65" s="157">
        <v>999</v>
      </c>
      <c r="J65" s="84" t="b">
        <v>1</v>
      </c>
      <c r="K65" s="84">
        <v>15</v>
      </c>
      <c r="L65" s="84">
        <v>225</v>
      </c>
      <c r="M65" s="84">
        <v>300</v>
      </c>
      <c r="N65" s="84" t="s">
        <v>3383</v>
      </c>
      <c r="O65" s="84"/>
      <c r="P65" s="84">
        <v>1</v>
      </c>
      <c r="Q65" s="84"/>
      <c r="R65" s="84">
        <v>0</v>
      </c>
      <c r="S65" s="84" t="s">
        <v>3990</v>
      </c>
      <c r="T65" s="84" t="s">
        <v>4236</v>
      </c>
      <c r="U65" s="84" t="s">
        <v>4237</v>
      </c>
      <c r="V65" s="84" t="s">
        <v>3993</v>
      </c>
      <c r="X65" s="197">
        <v>1</v>
      </c>
      <c r="Y65" s="197">
        <v>1</v>
      </c>
      <c r="Z65" s="199">
        <v>3</v>
      </c>
      <c r="AA65" s="199">
        <v>4</v>
      </c>
    </row>
    <row r="66" spans="1:27" x14ac:dyDescent="0.15">
      <c r="A66" s="84">
        <v>904071</v>
      </c>
      <c r="B66" s="106" t="s">
        <v>4238</v>
      </c>
      <c r="C66" s="84" t="s">
        <v>3988</v>
      </c>
      <c r="D66" s="84">
        <v>2003</v>
      </c>
      <c r="E66" s="84">
        <v>2</v>
      </c>
      <c r="F66" s="84">
        <v>0</v>
      </c>
      <c r="G66" s="84">
        <v>0</v>
      </c>
      <c r="H66" s="84" t="s">
        <v>4239</v>
      </c>
      <c r="I66" s="157">
        <v>999</v>
      </c>
      <c r="J66" s="84" t="b">
        <v>1</v>
      </c>
      <c r="K66" s="84">
        <v>15</v>
      </c>
      <c r="L66" s="84">
        <v>225</v>
      </c>
      <c r="M66" s="84">
        <v>300</v>
      </c>
      <c r="N66" s="84" t="s">
        <v>3383</v>
      </c>
      <c r="O66" s="84"/>
      <c r="P66" s="84">
        <v>1</v>
      </c>
      <c r="Q66" s="84"/>
      <c r="R66" s="84">
        <v>0</v>
      </c>
      <c r="S66" s="84" t="s">
        <v>3990</v>
      </c>
      <c r="T66" s="84" t="s">
        <v>4240</v>
      </c>
      <c r="U66" s="84" t="s">
        <v>4241</v>
      </c>
      <c r="V66" s="84" t="s">
        <v>3993</v>
      </c>
      <c r="X66" s="197">
        <v>1</v>
      </c>
      <c r="Y66" s="197">
        <v>1</v>
      </c>
      <c r="Z66" s="199">
        <v>4</v>
      </c>
      <c r="AA66" s="199">
        <v>4</v>
      </c>
    </row>
    <row r="67" spans="1:27" x14ac:dyDescent="0.15">
      <c r="A67" s="84">
        <v>904072</v>
      </c>
      <c r="B67" s="114" t="s">
        <v>4242</v>
      </c>
      <c r="C67" s="84" t="s">
        <v>3988</v>
      </c>
      <c r="D67" s="84">
        <v>2003</v>
      </c>
      <c r="E67" s="84">
        <v>2</v>
      </c>
      <c r="F67" s="84">
        <v>0</v>
      </c>
      <c r="G67" s="84">
        <v>0</v>
      </c>
      <c r="H67" s="84" t="s">
        <v>4243</v>
      </c>
      <c r="I67" s="157">
        <v>999</v>
      </c>
      <c r="J67" s="84" t="b">
        <v>1</v>
      </c>
      <c r="K67" s="84">
        <v>15</v>
      </c>
      <c r="L67" s="84">
        <v>225</v>
      </c>
      <c r="M67" s="84">
        <v>300</v>
      </c>
      <c r="N67" s="84" t="s">
        <v>3383</v>
      </c>
      <c r="O67" s="84"/>
      <c r="P67" s="84">
        <v>1</v>
      </c>
      <c r="Q67" s="84"/>
      <c r="R67" s="84">
        <v>0</v>
      </c>
      <c r="S67" s="84" t="s">
        <v>3990</v>
      </c>
      <c r="T67" s="84" t="s">
        <v>4244</v>
      </c>
      <c r="U67" s="84" t="s">
        <v>4245</v>
      </c>
      <c r="V67" s="84" t="s">
        <v>3993</v>
      </c>
      <c r="X67" s="197">
        <v>1</v>
      </c>
      <c r="Y67" s="197">
        <v>1</v>
      </c>
      <c r="Z67" s="199">
        <v>4</v>
      </c>
      <c r="AA67" s="199">
        <v>4</v>
      </c>
    </row>
    <row r="68" spans="1:27" x14ac:dyDescent="0.15">
      <c r="A68" s="84">
        <v>904073</v>
      </c>
      <c r="B68" s="114" t="s">
        <v>4246</v>
      </c>
      <c r="C68" s="84" t="s">
        <v>3988</v>
      </c>
      <c r="D68" s="84">
        <v>2003</v>
      </c>
      <c r="E68" s="84">
        <v>2</v>
      </c>
      <c r="F68" s="84">
        <v>0</v>
      </c>
      <c r="G68" s="84">
        <v>0</v>
      </c>
      <c r="H68" s="84" t="s">
        <v>4247</v>
      </c>
      <c r="I68" s="157">
        <v>999</v>
      </c>
      <c r="J68" s="84" t="b">
        <v>1</v>
      </c>
      <c r="K68" s="84">
        <v>15</v>
      </c>
      <c r="L68" s="84">
        <v>225</v>
      </c>
      <c r="M68" s="84">
        <v>300</v>
      </c>
      <c r="N68" s="84" t="s">
        <v>3383</v>
      </c>
      <c r="O68" s="84"/>
      <c r="P68" s="84">
        <v>1</v>
      </c>
      <c r="Q68" s="84"/>
      <c r="R68" s="84">
        <v>0</v>
      </c>
      <c r="S68" s="84" t="s">
        <v>3990</v>
      </c>
      <c r="T68" s="84" t="s">
        <v>4248</v>
      </c>
      <c r="U68" s="84" t="s">
        <v>4249</v>
      </c>
      <c r="V68" s="84" t="s">
        <v>3993</v>
      </c>
      <c r="X68" s="197">
        <v>1</v>
      </c>
      <c r="Y68" s="197">
        <v>1</v>
      </c>
      <c r="Z68" s="199">
        <v>4</v>
      </c>
      <c r="AA68" s="199">
        <v>4</v>
      </c>
    </row>
    <row r="69" spans="1:27" x14ac:dyDescent="0.15">
      <c r="A69" s="84">
        <v>904074</v>
      </c>
      <c r="B69" s="106" t="s">
        <v>4250</v>
      </c>
      <c r="C69" s="84" t="s">
        <v>3988</v>
      </c>
      <c r="D69" s="84">
        <v>2003</v>
      </c>
      <c r="E69" s="84">
        <v>2</v>
      </c>
      <c r="F69" s="84">
        <v>0</v>
      </c>
      <c r="G69" s="84">
        <v>0</v>
      </c>
      <c r="H69" s="84" t="s">
        <v>4251</v>
      </c>
      <c r="I69" s="157">
        <v>999</v>
      </c>
      <c r="J69" s="84" t="b">
        <v>1</v>
      </c>
      <c r="K69" s="84">
        <v>15</v>
      </c>
      <c r="L69" s="84">
        <v>225</v>
      </c>
      <c r="M69" s="84">
        <v>300</v>
      </c>
      <c r="N69" s="84" t="s">
        <v>3383</v>
      </c>
      <c r="O69" s="84"/>
      <c r="P69" s="84">
        <v>1</v>
      </c>
      <c r="Q69" s="84"/>
      <c r="R69" s="84">
        <v>0</v>
      </c>
      <c r="S69" s="84" t="s">
        <v>3990</v>
      </c>
      <c r="T69" s="84" t="s">
        <v>4252</v>
      </c>
      <c r="U69" s="84" t="s">
        <v>4253</v>
      </c>
      <c r="V69" s="84" t="s">
        <v>3993</v>
      </c>
      <c r="X69" s="197">
        <v>1</v>
      </c>
      <c r="Y69" s="197">
        <v>1</v>
      </c>
      <c r="Z69" s="199">
        <v>4</v>
      </c>
      <c r="AA69" s="199">
        <v>4</v>
      </c>
    </row>
    <row r="70" spans="1:27" x14ac:dyDescent="0.15">
      <c r="A70" s="84">
        <v>904075</v>
      </c>
      <c r="B70" s="114" t="s">
        <v>4254</v>
      </c>
      <c r="C70" s="84" t="s">
        <v>3988</v>
      </c>
      <c r="D70" s="84">
        <v>2003</v>
      </c>
      <c r="E70" s="84">
        <v>2</v>
      </c>
      <c r="F70" s="84">
        <v>0</v>
      </c>
      <c r="G70" s="84">
        <v>0</v>
      </c>
      <c r="H70" s="84" t="s">
        <v>4255</v>
      </c>
      <c r="I70" s="157">
        <v>999</v>
      </c>
      <c r="J70" s="84" t="b">
        <v>1</v>
      </c>
      <c r="K70" s="84">
        <v>15</v>
      </c>
      <c r="L70" s="84">
        <v>225</v>
      </c>
      <c r="M70" s="84">
        <v>300</v>
      </c>
      <c r="N70" s="84" t="s">
        <v>3383</v>
      </c>
      <c r="O70" s="84"/>
      <c r="P70" s="84">
        <v>1</v>
      </c>
      <c r="Q70" s="84"/>
      <c r="R70" s="84">
        <v>0</v>
      </c>
      <c r="S70" s="84" t="s">
        <v>3990</v>
      </c>
      <c r="T70" s="84" t="s">
        <v>4256</v>
      </c>
      <c r="U70" s="84" t="s">
        <v>4257</v>
      </c>
      <c r="V70" s="84" t="s">
        <v>3993</v>
      </c>
      <c r="X70" s="197">
        <v>1</v>
      </c>
      <c r="Y70" s="197">
        <v>1</v>
      </c>
      <c r="Z70" s="199">
        <v>4</v>
      </c>
      <c r="AA70" s="199">
        <v>4</v>
      </c>
    </row>
    <row r="71" spans="1:27" x14ac:dyDescent="0.15">
      <c r="A71" s="84">
        <v>904076</v>
      </c>
      <c r="B71" s="114" t="s">
        <v>4258</v>
      </c>
      <c r="C71" s="84" t="s">
        <v>3988</v>
      </c>
      <c r="D71" s="84">
        <v>2003</v>
      </c>
      <c r="E71" s="84">
        <v>2</v>
      </c>
      <c r="F71" s="84">
        <v>0</v>
      </c>
      <c r="G71" s="84">
        <v>0</v>
      </c>
      <c r="H71" s="84" t="s">
        <v>4259</v>
      </c>
      <c r="I71" s="157">
        <v>999</v>
      </c>
      <c r="J71" s="84" t="b">
        <v>1</v>
      </c>
      <c r="K71" s="84">
        <v>15</v>
      </c>
      <c r="L71" s="84">
        <v>225</v>
      </c>
      <c r="M71" s="84">
        <v>300</v>
      </c>
      <c r="N71" s="84" t="s">
        <v>3383</v>
      </c>
      <c r="O71" s="84"/>
      <c r="P71" s="84">
        <v>1</v>
      </c>
      <c r="Q71" s="84"/>
      <c r="R71" s="84">
        <v>0</v>
      </c>
      <c r="S71" s="84" t="s">
        <v>3990</v>
      </c>
      <c r="T71" s="84" t="s">
        <v>4260</v>
      </c>
      <c r="U71" s="84" t="s">
        <v>4261</v>
      </c>
      <c r="V71" s="84" t="s">
        <v>3993</v>
      </c>
      <c r="X71" s="197">
        <v>1</v>
      </c>
      <c r="Y71" s="197">
        <v>1</v>
      </c>
      <c r="Z71" s="199">
        <v>4</v>
      </c>
      <c r="AA71" s="199">
        <v>4</v>
      </c>
    </row>
    <row r="72" spans="1:27" x14ac:dyDescent="0.15">
      <c r="A72" s="84">
        <v>904077</v>
      </c>
      <c r="B72" s="106" t="s">
        <v>4262</v>
      </c>
      <c r="C72" s="84" t="s">
        <v>3988</v>
      </c>
      <c r="D72" s="84">
        <v>2003</v>
      </c>
      <c r="E72" s="84">
        <v>2</v>
      </c>
      <c r="F72" s="84">
        <v>0</v>
      </c>
      <c r="G72" s="84">
        <v>0</v>
      </c>
      <c r="H72" s="84" t="s">
        <v>4263</v>
      </c>
      <c r="I72" s="157">
        <v>999</v>
      </c>
      <c r="J72" s="84" t="b">
        <v>1</v>
      </c>
      <c r="K72" s="84">
        <v>15</v>
      </c>
      <c r="L72" s="84">
        <v>225</v>
      </c>
      <c r="M72" s="84">
        <v>300</v>
      </c>
      <c r="N72" s="84" t="s">
        <v>3383</v>
      </c>
      <c r="O72" s="84"/>
      <c r="P72" s="84">
        <v>1</v>
      </c>
      <c r="Q72" s="84"/>
      <c r="R72" s="84">
        <v>0</v>
      </c>
      <c r="S72" s="84" t="s">
        <v>3990</v>
      </c>
      <c r="T72" s="84" t="s">
        <v>4264</v>
      </c>
      <c r="U72" s="84" t="s">
        <v>4265</v>
      </c>
      <c r="V72" s="84" t="s">
        <v>3993</v>
      </c>
      <c r="X72" s="197">
        <v>1</v>
      </c>
      <c r="Y72" s="197">
        <v>1</v>
      </c>
      <c r="Z72" s="199">
        <v>5</v>
      </c>
      <c r="AA72" s="199">
        <v>4</v>
      </c>
    </row>
    <row r="73" spans="1:27" x14ac:dyDescent="0.15">
      <c r="A73" s="84">
        <v>904078</v>
      </c>
      <c r="B73" s="114" t="s">
        <v>4266</v>
      </c>
      <c r="C73" s="84" t="s">
        <v>3988</v>
      </c>
      <c r="D73" s="84">
        <v>2003</v>
      </c>
      <c r="E73" s="84">
        <v>2</v>
      </c>
      <c r="F73" s="84">
        <v>0</v>
      </c>
      <c r="G73" s="84">
        <v>0</v>
      </c>
      <c r="H73" s="84" t="s">
        <v>4267</v>
      </c>
      <c r="I73" s="157">
        <v>999</v>
      </c>
      <c r="J73" s="84" t="b">
        <v>1</v>
      </c>
      <c r="K73" s="84">
        <v>15</v>
      </c>
      <c r="L73" s="84">
        <v>225</v>
      </c>
      <c r="M73" s="84">
        <v>300</v>
      </c>
      <c r="N73" s="84" t="s">
        <v>3383</v>
      </c>
      <c r="O73" s="84"/>
      <c r="P73" s="84">
        <v>1</v>
      </c>
      <c r="Q73" s="84"/>
      <c r="R73" s="84">
        <v>0</v>
      </c>
      <c r="S73" s="84" t="s">
        <v>3990</v>
      </c>
      <c r="T73" s="84" t="s">
        <v>4268</v>
      </c>
      <c r="U73" s="84" t="s">
        <v>4269</v>
      </c>
      <c r="V73" s="84" t="s">
        <v>3993</v>
      </c>
      <c r="X73" s="197">
        <v>1</v>
      </c>
      <c r="Y73" s="197">
        <v>1</v>
      </c>
      <c r="Z73" s="199">
        <v>5</v>
      </c>
      <c r="AA73" s="199">
        <v>4</v>
      </c>
    </row>
    <row r="74" spans="1:27" x14ac:dyDescent="0.15">
      <c r="A74" s="84">
        <v>904079</v>
      </c>
      <c r="B74" s="114" t="s">
        <v>4270</v>
      </c>
      <c r="C74" s="84" t="s">
        <v>3988</v>
      </c>
      <c r="D74" s="84">
        <v>2003</v>
      </c>
      <c r="E74" s="84">
        <v>2</v>
      </c>
      <c r="F74" s="84">
        <v>0</v>
      </c>
      <c r="G74" s="84">
        <v>0</v>
      </c>
      <c r="H74" s="84" t="s">
        <v>4271</v>
      </c>
      <c r="I74" s="157">
        <v>999</v>
      </c>
      <c r="J74" s="84" t="b">
        <v>1</v>
      </c>
      <c r="K74" s="84">
        <v>15</v>
      </c>
      <c r="L74" s="84">
        <v>225</v>
      </c>
      <c r="M74" s="84">
        <v>300</v>
      </c>
      <c r="N74" s="84" t="s">
        <v>3383</v>
      </c>
      <c r="O74" s="84"/>
      <c r="P74" s="84">
        <v>1</v>
      </c>
      <c r="Q74" s="84"/>
      <c r="R74" s="84">
        <v>0</v>
      </c>
      <c r="S74" s="84" t="s">
        <v>3990</v>
      </c>
      <c r="T74" s="84" t="s">
        <v>4272</v>
      </c>
      <c r="U74" s="84" t="s">
        <v>4273</v>
      </c>
      <c r="V74" s="84" t="s">
        <v>3993</v>
      </c>
      <c r="X74" s="197">
        <v>1</v>
      </c>
      <c r="Y74" s="197">
        <v>1</v>
      </c>
      <c r="Z74" s="199">
        <v>5</v>
      </c>
      <c r="AA74" s="199">
        <v>4</v>
      </c>
    </row>
    <row r="75" spans="1:27" x14ac:dyDescent="0.15">
      <c r="A75" s="84">
        <v>904080</v>
      </c>
      <c r="B75" s="106" t="s">
        <v>4274</v>
      </c>
      <c r="C75" s="84" t="s">
        <v>3988</v>
      </c>
      <c r="D75" s="84">
        <v>2003</v>
      </c>
      <c r="E75" s="84">
        <v>2</v>
      </c>
      <c r="F75" s="84">
        <v>0</v>
      </c>
      <c r="G75" s="84">
        <v>0</v>
      </c>
      <c r="H75" s="84" t="s">
        <v>4275</v>
      </c>
      <c r="I75" s="157">
        <v>999</v>
      </c>
      <c r="J75" s="84" t="b">
        <v>1</v>
      </c>
      <c r="K75" s="84">
        <v>15</v>
      </c>
      <c r="L75" s="84">
        <v>225</v>
      </c>
      <c r="M75" s="84">
        <v>300</v>
      </c>
      <c r="N75" s="84" t="s">
        <v>3383</v>
      </c>
      <c r="O75" s="84"/>
      <c r="P75" s="84">
        <v>1</v>
      </c>
      <c r="Q75" s="84"/>
      <c r="R75" s="84">
        <v>0</v>
      </c>
      <c r="S75" s="84" t="s">
        <v>3990</v>
      </c>
      <c r="T75" s="84" t="s">
        <v>4276</v>
      </c>
      <c r="U75" s="84" t="s">
        <v>4277</v>
      </c>
      <c r="V75" s="84" t="s">
        <v>3993</v>
      </c>
      <c r="X75" s="197">
        <v>1</v>
      </c>
      <c r="Y75" s="197">
        <v>1</v>
      </c>
      <c r="Z75" s="199">
        <v>6</v>
      </c>
      <c r="AA75" s="199">
        <v>4</v>
      </c>
    </row>
    <row r="76" spans="1:27" x14ac:dyDescent="0.15">
      <c r="A76" s="84">
        <v>904081</v>
      </c>
      <c r="B76" s="114" t="s">
        <v>4278</v>
      </c>
      <c r="C76" s="84" t="s">
        <v>3988</v>
      </c>
      <c r="D76" s="84">
        <v>2003</v>
      </c>
      <c r="E76" s="84">
        <v>2</v>
      </c>
      <c r="F76" s="84">
        <v>0</v>
      </c>
      <c r="G76" s="84">
        <v>0</v>
      </c>
      <c r="H76" s="84" t="s">
        <v>4279</v>
      </c>
      <c r="I76" s="157">
        <v>999</v>
      </c>
      <c r="J76" s="84" t="b">
        <v>1</v>
      </c>
      <c r="K76" s="84">
        <v>15</v>
      </c>
      <c r="L76" s="84">
        <v>225</v>
      </c>
      <c r="M76" s="84">
        <v>300</v>
      </c>
      <c r="N76" s="84" t="s">
        <v>3383</v>
      </c>
      <c r="O76" s="84"/>
      <c r="P76" s="84">
        <v>1</v>
      </c>
      <c r="Q76" s="84"/>
      <c r="R76" s="84">
        <v>0</v>
      </c>
      <c r="S76" s="84" t="s">
        <v>3990</v>
      </c>
      <c r="T76" s="84" t="s">
        <v>4280</v>
      </c>
      <c r="U76" s="84" t="s">
        <v>4281</v>
      </c>
      <c r="V76" s="84" t="s">
        <v>3993</v>
      </c>
      <c r="X76" s="197">
        <v>1</v>
      </c>
      <c r="Y76" s="197">
        <v>1</v>
      </c>
      <c r="Z76" s="199">
        <v>6</v>
      </c>
      <c r="AA76" s="199">
        <v>4</v>
      </c>
    </row>
    <row r="77" spans="1:27" x14ac:dyDescent="0.15">
      <c r="A77" s="84">
        <v>904082</v>
      </c>
      <c r="B77" s="114" t="s">
        <v>4282</v>
      </c>
      <c r="C77" s="84" t="s">
        <v>3988</v>
      </c>
      <c r="D77" s="84">
        <v>2003</v>
      </c>
      <c r="E77" s="84">
        <v>2</v>
      </c>
      <c r="F77" s="84">
        <v>0</v>
      </c>
      <c r="G77" s="84">
        <v>0</v>
      </c>
      <c r="H77" s="84" t="s">
        <v>4283</v>
      </c>
      <c r="I77" s="157">
        <v>999</v>
      </c>
      <c r="J77" s="84" t="b">
        <v>1</v>
      </c>
      <c r="K77" s="84">
        <v>15</v>
      </c>
      <c r="L77" s="84">
        <v>225</v>
      </c>
      <c r="M77" s="84">
        <v>300</v>
      </c>
      <c r="N77" s="84" t="s">
        <v>3383</v>
      </c>
      <c r="O77" s="84"/>
      <c r="P77" s="84">
        <v>1</v>
      </c>
      <c r="Q77" s="84"/>
      <c r="R77" s="84">
        <v>0</v>
      </c>
      <c r="S77" s="84" t="s">
        <v>3990</v>
      </c>
      <c r="T77" s="84" t="s">
        <v>4284</v>
      </c>
      <c r="U77" s="84" t="s">
        <v>4285</v>
      </c>
      <c r="V77" s="84" t="s">
        <v>3993</v>
      </c>
      <c r="X77" s="197">
        <v>1</v>
      </c>
      <c r="Y77" s="197">
        <v>1</v>
      </c>
      <c r="Z77" s="199">
        <v>6</v>
      </c>
      <c r="AA77" s="199">
        <v>4</v>
      </c>
    </row>
    <row r="78" spans="1:27" x14ac:dyDescent="0.15">
      <c r="A78" s="84">
        <v>904083</v>
      </c>
      <c r="B78" s="106" t="s">
        <v>4286</v>
      </c>
      <c r="C78" s="84" t="s">
        <v>3988</v>
      </c>
      <c r="D78" s="84">
        <v>2003</v>
      </c>
      <c r="E78" s="84">
        <v>2</v>
      </c>
      <c r="F78" s="84">
        <v>0</v>
      </c>
      <c r="G78" s="84">
        <v>0</v>
      </c>
      <c r="H78" s="84" t="s">
        <v>4287</v>
      </c>
      <c r="I78" s="157">
        <v>999</v>
      </c>
      <c r="J78" s="84" t="b">
        <v>1</v>
      </c>
      <c r="K78" s="84">
        <v>15</v>
      </c>
      <c r="L78" s="84">
        <v>225</v>
      </c>
      <c r="M78" s="84">
        <v>300</v>
      </c>
      <c r="N78" s="84" t="s">
        <v>3383</v>
      </c>
      <c r="O78" s="84"/>
      <c r="P78" s="84">
        <v>1</v>
      </c>
      <c r="Q78" s="84"/>
      <c r="R78" s="84">
        <v>0</v>
      </c>
      <c r="S78" s="84" t="s">
        <v>3990</v>
      </c>
      <c r="T78" s="84" t="s">
        <v>4288</v>
      </c>
      <c r="U78" s="84" t="s">
        <v>4289</v>
      </c>
      <c r="V78" s="84" t="s">
        <v>3993</v>
      </c>
      <c r="X78" s="197">
        <v>1</v>
      </c>
      <c r="Y78" s="197">
        <v>1</v>
      </c>
      <c r="Z78" s="199">
        <v>7</v>
      </c>
      <c r="AA78" s="199">
        <v>4</v>
      </c>
    </row>
    <row r="79" spans="1:27" x14ac:dyDescent="0.15">
      <c r="A79" s="84">
        <v>904084</v>
      </c>
      <c r="B79" s="114" t="s">
        <v>4290</v>
      </c>
      <c r="C79" s="84" t="s">
        <v>3988</v>
      </c>
      <c r="D79" s="84">
        <v>2003</v>
      </c>
      <c r="E79" s="84">
        <v>2</v>
      </c>
      <c r="F79" s="84">
        <v>0</v>
      </c>
      <c r="G79" s="84">
        <v>0</v>
      </c>
      <c r="H79" s="84" t="s">
        <v>4291</v>
      </c>
      <c r="I79" s="157">
        <v>999</v>
      </c>
      <c r="J79" s="84" t="b">
        <v>1</v>
      </c>
      <c r="K79" s="84">
        <v>15</v>
      </c>
      <c r="L79" s="84">
        <v>225</v>
      </c>
      <c r="M79" s="84">
        <v>300</v>
      </c>
      <c r="N79" s="84" t="s">
        <v>3383</v>
      </c>
      <c r="O79" s="84"/>
      <c r="P79" s="84">
        <v>1</v>
      </c>
      <c r="Q79" s="84"/>
      <c r="R79" s="84">
        <v>0</v>
      </c>
      <c r="S79" s="84" t="s">
        <v>3990</v>
      </c>
      <c r="T79" s="84" t="s">
        <v>4292</v>
      </c>
      <c r="U79" s="84" t="s">
        <v>4293</v>
      </c>
      <c r="V79" s="84" t="s">
        <v>3993</v>
      </c>
      <c r="X79" s="197">
        <v>1</v>
      </c>
      <c r="Y79" s="197">
        <v>1</v>
      </c>
      <c r="Z79" s="199">
        <v>7</v>
      </c>
      <c r="AA79" s="199">
        <v>4</v>
      </c>
    </row>
    <row r="80" spans="1:27" x14ac:dyDescent="0.15">
      <c r="A80" s="84">
        <v>904085</v>
      </c>
      <c r="B80" s="114" t="s">
        <v>4294</v>
      </c>
      <c r="C80" s="84" t="s">
        <v>3988</v>
      </c>
      <c r="D80" s="84">
        <v>2003</v>
      </c>
      <c r="E80" s="84">
        <v>2</v>
      </c>
      <c r="F80" s="84">
        <v>0</v>
      </c>
      <c r="G80" s="84">
        <v>0</v>
      </c>
      <c r="H80" s="84" t="s">
        <v>4295</v>
      </c>
      <c r="I80" s="157">
        <v>999</v>
      </c>
      <c r="J80" s="84" t="b">
        <v>1</v>
      </c>
      <c r="K80" s="84">
        <v>15</v>
      </c>
      <c r="L80" s="84">
        <v>225</v>
      </c>
      <c r="M80" s="84">
        <v>300</v>
      </c>
      <c r="N80" s="84" t="s">
        <v>3383</v>
      </c>
      <c r="O80" s="84"/>
      <c r="P80" s="84">
        <v>1</v>
      </c>
      <c r="Q80" s="84"/>
      <c r="R80" s="84">
        <v>0</v>
      </c>
      <c r="S80" s="84" t="s">
        <v>3990</v>
      </c>
      <c r="T80" s="84" t="s">
        <v>4296</v>
      </c>
      <c r="U80" s="84" t="s">
        <v>4297</v>
      </c>
      <c r="V80" s="84" t="s">
        <v>3993</v>
      </c>
      <c r="X80" s="197">
        <v>1</v>
      </c>
      <c r="Y80" s="197">
        <v>1</v>
      </c>
      <c r="Z80" s="199">
        <v>7</v>
      </c>
      <c r="AA80" s="199">
        <v>4</v>
      </c>
    </row>
    <row r="81" spans="1:27" x14ac:dyDescent="0.15">
      <c r="A81" s="84">
        <v>904086</v>
      </c>
      <c r="B81" s="106" t="s">
        <v>4298</v>
      </c>
      <c r="C81" s="84" t="s">
        <v>3988</v>
      </c>
      <c r="D81" s="84">
        <v>2003</v>
      </c>
      <c r="E81" s="84">
        <v>2</v>
      </c>
      <c r="F81" s="84">
        <v>0</v>
      </c>
      <c r="G81" s="84">
        <v>0</v>
      </c>
      <c r="H81" s="84" t="s">
        <v>4299</v>
      </c>
      <c r="I81" s="157">
        <v>999</v>
      </c>
      <c r="J81" s="84" t="b">
        <v>1</v>
      </c>
      <c r="K81" s="84">
        <v>15</v>
      </c>
      <c r="L81" s="84">
        <v>225</v>
      </c>
      <c r="M81" s="84">
        <v>300</v>
      </c>
      <c r="N81" s="84" t="s">
        <v>3383</v>
      </c>
      <c r="O81" s="84"/>
      <c r="P81" s="84">
        <v>1</v>
      </c>
      <c r="Q81" s="84"/>
      <c r="R81" s="84">
        <v>0</v>
      </c>
      <c r="S81" s="84" t="s">
        <v>3990</v>
      </c>
      <c r="T81" s="84" t="s">
        <v>4300</v>
      </c>
      <c r="U81" s="84" t="s">
        <v>4301</v>
      </c>
      <c r="V81" s="84" t="s">
        <v>3993</v>
      </c>
      <c r="X81" s="197">
        <v>1</v>
      </c>
      <c r="Y81" s="197">
        <v>1</v>
      </c>
      <c r="Z81" s="199">
        <v>8</v>
      </c>
      <c r="AA81" s="199">
        <v>4</v>
      </c>
    </row>
    <row r="82" spans="1:27" x14ac:dyDescent="0.15">
      <c r="A82" s="84">
        <v>904087</v>
      </c>
      <c r="B82" s="114" t="s">
        <v>4302</v>
      </c>
      <c r="C82" s="84" t="s">
        <v>3988</v>
      </c>
      <c r="D82" s="84">
        <v>2003</v>
      </c>
      <c r="E82" s="84">
        <v>2</v>
      </c>
      <c r="F82" s="84">
        <v>0</v>
      </c>
      <c r="G82" s="84">
        <v>0</v>
      </c>
      <c r="H82" s="84" t="s">
        <v>4303</v>
      </c>
      <c r="I82" s="157">
        <v>999</v>
      </c>
      <c r="J82" s="84" t="b">
        <v>1</v>
      </c>
      <c r="K82" s="84">
        <v>15</v>
      </c>
      <c r="L82" s="84">
        <v>225</v>
      </c>
      <c r="M82" s="84">
        <v>300</v>
      </c>
      <c r="N82" s="84" t="s">
        <v>3383</v>
      </c>
      <c r="O82" s="84"/>
      <c r="P82" s="84">
        <v>1</v>
      </c>
      <c r="Q82" s="84"/>
      <c r="R82" s="84">
        <v>0</v>
      </c>
      <c r="S82" s="84" t="s">
        <v>3990</v>
      </c>
      <c r="T82" s="84" t="s">
        <v>4304</v>
      </c>
      <c r="U82" s="84" t="s">
        <v>4305</v>
      </c>
      <c r="V82" s="84" t="s">
        <v>3993</v>
      </c>
      <c r="X82" s="197">
        <v>1</v>
      </c>
      <c r="Y82" s="197">
        <v>1</v>
      </c>
      <c r="Z82" s="199">
        <v>8</v>
      </c>
      <c r="AA82" s="199">
        <v>4</v>
      </c>
    </row>
    <row r="83" spans="1:27" x14ac:dyDescent="0.15">
      <c r="A83" s="84">
        <v>904088</v>
      </c>
      <c r="B83" s="114" t="s">
        <v>4306</v>
      </c>
      <c r="C83" s="84" t="s">
        <v>3988</v>
      </c>
      <c r="D83" s="84">
        <v>2003</v>
      </c>
      <c r="E83" s="84">
        <v>2</v>
      </c>
      <c r="F83" s="84">
        <v>0</v>
      </c>
      <c r="G83" s="84">
        <v>0</v>
      </c>
      <c r="H83" s="84" t="s">
        <v>4307</v>
      </c>
      <c r="I83" s="157">
        <v>999</v>
      </c>
      <c r="J83" s="84" t="b">
        <v>1</v>
      </c>
      <c r="K83" s="84">
        <v>15</v>
      </c>
      <c r="L83" s="84">
        <v>225</v>
      </c>
      <c r="M83" s="84">
        <v>300</v>
      </c>
      <c r="N83" s="84" t="s">
        <v>3383</v>
      </c>
      <c r="O83" s="84"/>
      <c r="P83" s="84">
        <v>1</v>
      </c>
      <c r="Q83" s="84"/>
      <c r="R83" s="84">
        <v>0</v>
      </c>
      <c r="S83" s="84" t="s">
        <v>3990</v>
      </c>
      <c r="T83" s="84" t="s">
        <v>4308</v>
      </c>
      <c r="U83" s="84" t="s">
        <v>4309</v>
      </c>
      <c r="V83" s="84" t="s">
        <v>3993</v>
      </c>
      <c r="X83" s="197">
        <v>1</v>
      </c>
      <c r="Y83" s="197">
        <v>1</v>
      </c>
      <c r="Z83" s="199">
        <v>8</v>
      </c>
      <c r="AA83" s="199">
        <v>4</v>
      </c>
    </row>
    <row r="84" spans="1:27" x14ac:dyDescent="0.15">
      <c r="A84" s="84">
        <v>904089</v>
      </c>
      <c r="B84" s="106" t="s">
        <v>4310</v>
      </c>
      <c r="C84" s="84" t="s">
        <v>3988</v>
      </c>
      <c r="D84" s="84">
        <v>2003</v>
      </c>
      <c r="E84" s="84">
        <v>2</v>
      </c>
      <c r="F84" s="84">
        <v>0</v>
      </c>
      <c r="G84" s="84">
        <v>0</v>
      </c>
      <c r="H84" s="84" t="s">
        <v>4311</v>
      </c>
      <c r="I84" s="157">
        <v>999</v>
      </c>
      <c r="J84" s="84" t="b">
        <v>1</v>
      </c>
      <c r="K84" s="84">
        <v>15</v>
      </c>
      <c r="L84" s="84">
        <v>225</v>
      </c>
      <c r="M84" s="84">
        <v>300</v>
      </c>
      <c r="N84" s="84" t="s">
        <v>3383</v>
      </c>
      <c r="O84" s="84"/>
      <c r="P84" s="84">
        <v>1</v>
      </c>
      <c r="Q84" s="84"/>
      <c r="R84" s="84">
        <v>0</v>
      </c>
      <c r="S84" s="84" t="s">
        <v>3990</v>
      </c>
      <c r="T84" s="84" t="s">
        <v>4312</v>
      </c>
      <c r="U84" s="84" t="s">
        <v>4313</v>
      </c>
      <c r="V84" s="84" t="s">
        <v>3993</v>
      </c>
      <c r="X84" s="197">
        <v>1</v>
      </c>
      <c r="Y84" s="197">
        <v>1</v>
      </c>
      <c r="Z84" s="199">
        <v>9</v>
      </c>
      <c r="AA84" s="199">
        <v>4</v>
      </c>
    </row>
    <row r="85" spans="1:27" x14ac:dyDescent="0.15">
      <c r="A85" s="84">
        <v>904090</v>
      </c>
      <c r="B85" s="114" t="s">
        <v>4314</v>
      </c>
      <c r="C85" s="84" t="s">
        <v>3988</v>
      </c>
      <c r="D85" s="84">
        <v>2003</v>
      </c>
      <c r="E85" s="84">
        <v>2</v>
      </c>
      <c r="F85" s="84">
        <v>0</v>
      </c>
      <c r="G85" s="84">
        <v>0</v>
      </c>
      <c r="H85" s="84" t="s">
        <v>4315</v>
      </c>
      <c r="I85" s="157">
        <v>999</v>
      </c>
      <c r="J85" s="84" t="b">
        <v>1</v>
      </c>
      <c r="K85" s="84">
        <v>15</v>
      </c>
      <c r="L85" s="84">
        <v>225</v>
      </c>
      <c r="M85" s="84">
        <v>300</v>
      </c>
      <c r="N85" s="84" t="s">
        <v>3383</v>
      </c>
      <c r="O85" s="84"/>
      <c r="P85" s="84">
        <v>1</v>
      </c>
      <c r="Q85" s="84"/>
      <c r="R85" s="84">
        <v>0</v>
      </c>
      <c r="S85" s="84" t="s">
        <v>3990</v>
      </c>
      <c r="T85" s="84" t="s">
        <v>4316</v>
      </c>
      <c r="U85" s="84" t="s">
        <v>4317</v>
      </c>
      <c r="V85" s="84" t="s">
        <v>3993</v>
      </c>
      <c r="X85" s="197">
        <v>1</v>
      </c>
      <c r="Y85" s="197">
        <v>1</v>
      </c>
      <c r="Z85" s="199">
        <v>9</v>
      </c>
      <c r="AA85" s="199">
        <v>4</v>
      </c>
    </row>
    <row r="86" spans="1:27" x14ac:dyDescent="0.15">
      <c r="A86" s="84">
        <v>904091</v>
      </c>
      <c r="B86" s="114" t="s">
        <v>4318</v>
      </c>
      <c r="C86" s="84" t="s">
        <v>3988</v>
      </c>
      <c r="D86" s="84">
        <v>2003</v>
      </c>
      <c r="E86" s="84">
        <v>2</v>
      </c>
      <c r="F86" s="84">
        <v>0</v>
      </c>
      <c r="G86" s="84">
        <v>0</v>
      </c>
      <c r="H86" s="84" t="s">
        <v>4319</v>
      </c>
      <c r="I86" s="157">
        <v>999</v>
      </c>
      <c r="J86" s="84" t="b">
        <v>1</v>
      </c>
      <c r="K86" s="84">
        <v>15</v>
      </c>
      <c r="L86" s="84">
        <v>225</v>
      </c>
      <c r="M86" s="84">
        <v>300</v>
      </c>
      <c r="N86" s="84" t="s">
        <v>3383</v>
      </c>
      <c r="O86" s="84"/>
      <c r="P86" s="84">
        <v>1</v>
      </c>
      <c r="Q86" s="84"/>
      <c r="R86" s="84">
        <v>0</v>
      </c>
      <c r="S86" s="84" t="s">
        <v>3990</v>
      </c>
      <c r="T86" s="84" t="s">
        <v>4320</v>
      </c>
      <c r="U86" s="84" t="s">
        <v>4321</v>
      </c>
      <c r="V86" s="84" t="s">
        <v>3993</v>
      </c>
      <c r="X86" s="197">
        <v>1</v>
      </c>
      <c r="Y86" s="197">
        <v>1</v>
      </c>
      <c r="Z86" s="199">
        <v>9</v>
      </c>
      <c r="AA86" s="199">
        <v>4</v>
      </c>
    </row>
    <row r="87" spans="1:27" x14ac:dyDescent="0.15">
      <c r="A87" s="84">
        <v>904092</v>
      </c>
      <c r="B87" s="106" t="s">
        <v>4322</v>
      </c>
      <c r="C87" s="84" t="s">
        <v>3988</v>
      </c>
      <c r="D87" s="84">
        <v>2003</v>
      </c>
      <c r="E87" s="84">
        <v>2</v>
      </c>
      <c r="F87" s="84">
        <v>0</v>
      </c>
      <c r="G87" s="84">
        <v>0</v>
      </c>
      <c r="H87" s="84" t="s">
        <v>4323</v>
      </c>
      <c r="I87" s="157">
        <v>999</v>
      </c>
      <c r="J87" s="84" t="b">
        <v>1</v>
      </c>
      <c r="K87" s="84">
        <v>15</v>
      </c>
      <c r="L87" s="84">
        <v>225</v>
      </c>
      <c r="M87" s="84">
        <v>300</v>
      </c>
      <c r="N87" s="84" t="s">
        <v>3383</v>
      </c>
      <c r="O87" s="84"/>
      <c r="P87" s="84">
        <v>1</v>
      </c>
      <c r="Q87" s="84"/>
      <c r="R87" s="84">
        <v>0</v>
      </c>
      <c r="S87" s="84" t="s">
        <v>3990</v>
      </c>
      <c r="T87" s="84" t="s">
        <v>4324</v>
      </c>
      <c r="U87" s="84" t="s">
        <v>4325</v>
      </c>
      <c r="V87" s="84" t="s">
        <v>3993</v>
      </c>
      <c r="X87" s="197">
        <v>1</v>
      </c>
      <c r="Y87" s="197">
        <v>1</v>
      </c>
      <c r="Z87" s="199">
        <v>10</v>
      </c>
      <c r="AA87" s="199">
        <v>4</v>
      </c>
    </row>
    <row r="88" spans="1:27" x14ac:dyDescent="0.15">
      <c r="A88" s="84">
        <v>904093</v>
      </c>
      <c r="B88" s="114" t="s">
        <v>4326</v>
      </c>
      <c r="C88" s="84" t="s">
        <v>3988</v>
      </c>
      <c r="D88" s="84">
        <v>2003</v>
      </c>
      <c r="E88" s="84">
        <v>2</v>
      </c>
      <c r="F88" s="84">
        <v>0</v>
      </c>
      <c r="G88" s="84">
        <v>0</v>
      </c>
      <c r="H88" s="84" t="s">
        <v>4327</v>
      </c>
      <c r="I88" s="157">
        <v>999</v>
      </c>
      <c r="J88" s="84" t="b">
        <v>1</v>
      </c>
      <c r="K88" s="84">
        <v>15</v>
      </c>
      <c r="L88" s="84">
        <v>225</v>
      </c>
      <c r="M88" s="84">
        <v>300</v>
      </c>
      <c r="N88" s="84" t="s">
        <v>3383</v>
      </c>
      <c r="O88" s="84"/>
      <c r="P88" s="84">
        <v>1</v>
      </c>
      <c r="Q88" s="84"/>
      <c r="R88" s="84">
        <v>0</v>
      </c>
      <c r="S88" s="84" t="s">
        <v>3990</v>
      </c>
      <c r="T88" s="84" t="s">
        <v>4328</v>
      </c>
      <c r="U88" s="84" t="s">
        <v>4329</v>
      </c>
      <c r="V88" s="84" t="s">
        <v>3993</v>
      </c>
      <c r="X88" s="197">
        <v>1</v>
      </c>
      <c r="Y88" s="197">
        <v>1</v>
      </c>
      <c r="Z88" s="199">
        <v>10</v>
      </c>
      <c r="AA88" s="199">
        <v>4</v>
      </c>
    </row>
    <row r="89" spans="1:27" x14ac:dyDescent="0.15">
      <c r="A89" s="84">
        <v>904094</v>
      </c>
      <c r="B89" s="114" t="s">
        <v>4330</v>
      </c>
      <c r="C89" s="84" t="s">
        <v>3988</v>
      </c>
      <c r="D89" s="84">
        <v>2003</v>
      </c>
      <c r="E89" s="84">
        <v>2</v>
      </c>
      <c r="F89" s="84">
        <v>0</v>
      </c>
      <c r="G89" s="84">
        <v>0</v>
      </c>
      <c r="H89" s="84" t="s">
        <v>4331</v>
      </c>
      <c r="I89" s="157">
        <v>999</v>
      </c>
      <c r="J89" s="84" t="b">
        <v>1</v>
      </c>
      <c r="K89" s="84">
        <v>15</v>
      </c>
      <c r="L89" s="84">
        <v>225</v>
      </c>
      <c r="M89" s="84">
        <v>300</v>
      </c>
      <c r="N89" s="84" t="s">
        <v>3383</v>
      </c>
      <c r="O89" s="84"/>
      <c r="P89" s="84">
        <v>1</v>
      </c>
      <c r="Q89" s="84"/>
      <c r="R89" s="84">
        <v>0</v>
      </c>
      <c r="S89" s="84" t="s">
        <v>3990</v>
      </c>
      <c r="T89" s="84" t="s">
        <v>4332</v>
      </c>
      <c r="U89" s="84" t="s">
        <v>4333</v>
      </c>
      <c r="V89" s="84" t="s">
        <v>3993</v>
      </c>
      <c r="X89" s="197">
        <v>1</v>
      </c>
      <c r="Y89" s="197">
        <v>1</v>
      </c>
      <c r="Z89" s="199">
        <v>10</v>
      </c>
      <c r="AA89" s="199">
        <v>4</v>
      </c>
    </row>
    <row r="90" spans="1:27" x14ac:dyDescent="0.15">
      <c r="A90" s="84">
        <v>904095</v>
      </c>
      <c r="B90" s="106" t="s">
        <v>4334</v>
      </c>
      <c r="C90" s="84" t="s">
        <v>3988</v>
      </c>
      <c r="D90" s="84">
        <v>2003</v>
      </c>
      <c r="E90" s="84">
        <v>2</v>
      </c>
      <c r="F90" s="84">
        <v>0</v>
      </c>
      <c r="G90" s="84">
        <v>0</v>
      </c>
      <c r="H90" s="84" t="s">
        <v>4335</v>
      </c>
      <c r="I90" s="157">
        <v>999</v>
      </c>
      <c r="J90" s="84" t="b">
        <v>1</v>
      </c>
      <c r="K90" s="84">
        <v>15</v>
      </c>
      <c r="L90" s="84">
        <v>225</v>
      </c>
      <c r="M90" s="84">
        <v>300</v>
      </c>
      <c r="N90" s="84" t="s">
        <v>3383</v>
      </c>
      <c r="O90" s="84"/>
      <c r="P90" s="84">
        <v>1</v>
      </c>
      <c r="Q90" s="84"/>
      <c r="R90" s="84">
        <v>0</v>
      </c>
      <c r="S90" s="84" t="s">
        <v>3990</v>
      </c>
      <c r="T90" s="84" t="s">
        <v>4336</v>
      </c>
      <c r="U90" s="84" t="s">
        <v>4337</v>
      </c>
      <c r="V90" s="84" t="s">
        <v>3993</v>
      </c>
      <c r="X90" s="197">
        <v>1</v>
      </c>
      <c r="Y90" s="197">
        <v>1</v>
      </c>
      <c r="Z90" s="199">
        <v>11</v>
      </c>
      <c r="AA90" s="199">
        <v>4</v>
      </c>
    </row>
    <row r="91" spans="1:27" x14ac:dyDescent="0.15">
      <c r="A91" s="84">
        <v>904096</v>
      </c>
      <c r="B91" s="114" t="s">
        <v>4338</v>
      </c>
      <c r="C91" s="84" t="s">
        <v>3988</v>
      </c>
      <c r="D91" s="84">
        <v>2003</v>
      </c>
      <c r="E91" s="84">
        <v>2</v>
      </c>
      <c r="F91" s="84">
        <v>0</v>
      </c>
      <c r="G91" s="84">
        <v>0</v>
      </c>
      <c r="H91" s="84" t="s">
        <v>4339</v>
      </c>
      <c r="I91" s="157">
        <v>999</v>
      </c>
      <c r="J91" s="84" t="b">
        <v>1</v>
      </c>
      <c r="K91" s="84">
        <v>15</v>
      </c>
      <c r="L91" s="84">
        <v>225</v>
      </c>
      <c r="M91" s="84">
        <v>300</v>
      </c>
      <c r="N91" s="84" t="s">
        <v>3383</v>
      </c>
      <c r="O91" s="84"/>
      <c r="P91" s="84">
        <v>1</v>
      </c>
      <c r="Q91" s="84"/>
      <c r="R91" s="84">
        <v>0</v>
      </c>
      <c r="S91" s="84" t="s">
        <v>3990</v>
      </c>
      <c r="T91" s="84" t="s">
        <v>4340</v>
      </c>
      <c r="U91" s="84" t="s">
        <v>4341</v>
      </c>
      <c r="V91" s="84" t="s">
        <v>3993</v>
      </c>
      <c r="X91" s="197">
        <v>1</v>
      </c>
      <c r="Y91" s="197">
        <v>1</v>
      </c>
      <c r="Z91" s="199">
        <v>11</v>
      </c>
      <c r="AA91" s="199">
        <v>4</v>
      </c>
    </row>
    <row r="92" spans="1:27" x14ac:dyDescent="0.15">
      <c r="A92" s="84">
        <v>904097</v>
      </c>
      <c r="B92" s="114" t="s">
        <v>4342</v>
      </c>
      <c r="C92" s="84" t="s">
        <v>3988</v>
      </c>
      <c r="D92" s="84">
        <v>2003</v>
      </c>
      <c r="E92" s="84">
        <v>2</v>
      </c>
      <c r="F92" s="84">
        <v>0</v>
      </c>
      <c r="G92" s="84">
        <v>0</v>
      </c>
      <c r="H92" s="84" t="s">
        <v>4343</v>
      </c>
      <c r="I92" s="157">
        <v>999</v>
      </c>
      <c r="J92" s="84" t="b">
        <v>1</v>
      </c>
      <c r="K92" s="84">
        <v>15</v>
      </c>
      <c r="L92" s="84">
        <v>225</v>
      </c>
      <c r="M92" s="84">
        <v>300</v>
      </c>
      <c r="N92" s="84" t="s">
        <v>3383</v>
      </c>
      <c r="O92" s="84"/>
      <c r="P92" s="84">
        <v>1</v>
      </c>
      <c r="Q92" s="84"/>
      <c r="R92" s="84">
        <v>0</v>
      </c>
      <c r="S92" s="84" t="s">
        <v>3990</v>
      </c>
      <c r="T92" s="84" t="s">
        <v>4344</v>
      </c>
      <c r="U92" s="84" t="s">
        <v>4345</v>
      </c>
      <c r="V92" s="84" t="s">
        <v>3993</v>
      </c>
      <c r="X92" s="197">
        <v>1</v>
      </c>
      <c r="Y92" s="197">
        <v>1</v>
      </c>
      <c r="Z92" s="199">
        <v>11</v>
      </c>
      <c r="AA92" s="199">
        <v>4</v>
      </c>
    </row>
    <row r="93" spans="1:27" x14ac:dyDescent="0.15">
      <c r="A93" s="84">
        <v>904098</v>
      </c>
      <c r="B93" s="230" t="s">
        <v>4346</v>
      </c>
      <c r="C93" s="84" t="s">
        <v>3988</v>
      </c>
      <c r="D93" s="84">
        <v>2003</v>
      </c>
      <c r="E93" s="84">
        <v>2</v>
      </c>
      <c r="F93" s="84">
        <v>0</v>
      </c>
      <c r="G93" s="84">
        <v>0</v>
      </c>
      <c r="H93" s="84" t="s">
        <v>4347</v>
      </c>
      <c r="I93" s="157">
        <v>999</v>
      </c>
      <c r="J93" s="84" t="b">
        <v>1</v>
      </c>
      <c r="K93" s="84">
        <v>15</v>
      </c>
      <c r="L93" s="84">
        <v>225</v>
      </c>
      <c r="M93" s="84">
        <v>300</v>
      </c>
      <c r="N93" s="84" t="s">
        <v>3383</v>
      </c>
      <c r="O93" s="84"/>
      <c r="P93" s="84">
        <v>1</v>
      </c>
      <c r="Q93" s="84"/>
      <c r="R93" s="84">
        <v>0</v>
      </c>
      <c r="S93" s="84" t="s">
        <v>3990</v>
      </c>
      <c r="T93" s="84" t="s">
        <v>4348</v>
      </c>
      <c r="U93" s="84" t="s">
        <v>4349</v>
      </c>
      <c r="V93" s="84" t="s">
        <v>3993</v>
      </c>
      <c r="X93" s="197">
        <v>1</v>
      </c>
      <c r="Y93" s="197">
        <v>1</v>
      </c>
      <c r="Z93" s="199">
        <v>13</v>
      </c>
      <c r="AA93" s="199">
        <v>4</v>
      </c>
    </row>
    <row r="94" spans="1:27" x14ac:dyDescent="0.15">
      <c r="A94" s="84">
        <v>904099</v>
      </c>
      <c r="B94" s="114" t="s">
        <v>4350</v>
      </c>
      <c r="C94" s="84" t="s">
        <v>3988</v>
      </c>
      <c r="D94" s="84">
        <v>2003</v>
      </c>
      <c r="E94" s="84">
        <v>2</v>
      </c>
      <c r="F94" s="84">
        <v>0</v>
      </c>
      <c r="G94" s="84">
        <v>0</v>
      </c>
      <c r="H94" s="84" t="s">
        <v>4351</v>
      </c>
      <c r="I94" s="157">
        <v>999</v>
      </c>
      <c r="J94" s="84" t="b">
        <v>1</v>
      </c>
      <c r="K94" s="84">
        <v>15</v>
      </c>
      <c r="L94" s="84">
        <v>225</v>
      </c>
      <c r="M94" s="84">
        <v>300</v>
      </c>
      <c r="N94" s="84" t="s">
        <v>3383</v>
      </c>
      <c r="O94" s="84"/>
      <c r="P94" s="84">
        <v>1</v>
      </c>
      <c r="Q94" s="84"/>
      <c r="R94" s="84">
        <v>0</v>
      </c>
      <c r="S94" s="84" t="s">
        <v>3990</v>
      </c>
      <c r="T94" s="84" t="s">
        <v>4352</v>
      </c>
      <c r="U94" s="84" t="s">
        <v>4353</v>
      </c>
      <c r="V94" s="84" t="s">
        <v>3993</v>
      </c>
      <c r="X94" s="197">
        <v>1</v>
      </c>
      <c r="Y94" s="197">
        <v>1</v>
      </c>
      <c r="Z94" s="199">
        <v>13</v>
      </c>
      <c r="AA94" s="199">
        <v>4</v>
      </c>
    </row>
    <row r="95" spans="1:27" x14ac:dyDescent="0.15">
      <c r="A95" s="84">
        <v>904100</v>
      </c>
      <c r="B95" s="114" t="s">
        <v>4354</v>
      </c>
      <c r="C95" s="84" t="s">
        <v>3988</v>
      </c>
      <c r="D95" s="84">
        <v>2003</v>
      </c>
      <c r="E95" s="84">
        <v>2</v>
      </c>
      <c r="F95" s="84">
        <v>0</v>
      </c>
      <c r="G95" s="84">
        <v>0</v>
      </c>
      <c r="H95" s="84" t="s">
        <v>4355</v>
      </c>
      <c r="I95" s="157">
        <v>999</v>
      </c>
      <c r="J95" s="84" t="b">
        <v>1</v>
      </c>
      <c r="K95" s="84">
        <v>15</v>
      </c>
      <c r="L95" s="84">
        <v>225</v>
      </c>
      <c r="M95" s="84">
        <v>300</v>
      </c>
      <c r="N95" s="84" t="s">
        <v>3383</v>
      </c>
      <c r="O95" s="84"/>
      <c r="P95" s="84">
        <v>1</v>
      </c>
      <c r="Q95" s="84"/>
      <c r="R95" s="84">
        <v>0</v>
      </c>
      <c r="S95" s="84" t="s">
        <v>3990</v>
      </c>
      <c r="T95" s="84" t="s">
        <v>4356</v>
      </c>
      <c r="U95" s="84" t="s">
        <v>4357</v>
      </c>
      <c r="V95" s="84" t="s">
        <v>3993</v>
      </c>
      <c r="X95" s="197">
        <v>1</v>
      </c>
      <c r="Y95" s="197">
        <v>1</v>
      </c>
      <c r="Z95" s="199">
        <v>13</v>
      </c>
      <c r="AA95" s="199">
        <v>4</v>
      </c>
    </row>
    <row r="96" spans="1:27" x14ac:dyDescent="0.15">
      <c r="A96" s="84">
        <v>904101</v>
      </c>
      <c r="B96" s="358" t="s">
        <v>4358</v>
      </c>
      <c r="C96" s="84" t="s">
        <v>3988</v>
      </c>
      <c r="D96" s="84">
        <v>2003</v>
      </c>
      <c r="E96" s="84">
        <v>2</v>
      </c>
      <c r="F96" s="84">
        <v>0</v>
      </c>
      <c r="G96" s="84">
        <v>0</v>
      </c>
      <c r="H96" s="84" t="s">
        <v>4359</v>
      </c>
      <c r="I96" s="157">
        <v>999</v>
      </c>
      <c r="J96" s="84" t="b">
        <v>1</v>
      </c>
      <c r="K96" s="84">
        <v>15</v>
      </c>
      <c r="L96" s="84">
        <v>225</v>
      </c>
      <c r="M96" s="84">
        <v>300</v>
      </c>
      <c r="N96" s="84" t="s">
        <v>3383</v>
      </c>
      <c r="O96" s="84"/>
      <c r="P96" s="84">
        <v>1</v>
      </c>
      <c r="Q96" s="84"/>
      <c r="R96" s="84">
        <v>0</v>
      </c>
      <c r="S96" s="84" t="s">
        <v>3990</v>
      </c>
      <c r="T96" s="84" t="s">
        <v>4360</v>
      </c>
      <c r="U96" s="84" t="s">
        <v>4361</v>
      </c>
      <c r="V96" s="84" t="s">
        <v>3993</v>
      </c>
      <c r="X96" s="197">
        <v>1</v>
      </c>
      <c r="Y96" s="197">
        <v>1</v>
      </c>
      <c r="Z96" s="199">
        <v>14</v>
      </c>
      <c r="AA96" s="199">
        <v>4</v>
      </c>
    </row>
    <row r="97" spans="1:27" x14ac:dyDescent="0.15">
      <c r="A97" s="84">
        <v>904102</v>
      </c>
      <c r="B97" s="359" t="s">
        <v>4362</v>
      </c>
      <c r="C97" s="84" t="s">
        <v>3988</v>
      </c>
      <c r="D97" s="84">
        <v>2003</v>
      </c>
      <c r="E97" s="84">
        <v>2</v>
      </c>
      <c r="F97" s="84">
        <v>0</v>
      </c>
      <c r="G97" s="84">
        <v>0</v>
      </c>
      <c r="H97" s="84" t="s">
        <v>4363</v>
      </c>
      <c r="I97" s="157">
        <v>999</v>
      </c>
      <c r="J97" s="84" t="b">
        <v>1</v>
      </c>
      <c r="K97" s="84">
        <v>15</v>
      </c>
      <c r="L97" s="84">
        <v>225</v>
      </c>
      <c r="M97" s="84">
        <v>300</v>
      </c>
      <c r="N97" s="84" t="s">
        <v>3383</v>
      </c>
      <c r="O97" s="84"/>
      <c r="P97" s="84">
        <v>1</v>
      </c>
      <c r="Q97" s="84"/>
      <c r="R97" s="84">
        <v>0</v>
      </c>
      <c r="S97" s="84" t="s">
        <v>3990</v>
      </c>
      <c r="T97" s="84" t="s">
        <v>4364</v>
      </c>
      <c r="U97" s="84" t="s">
        <v>4365</v>
      </c>
      <c r="V97" s="84" t="s">
        <v>3993</v>
      </c>
      <c r="X97" s="197">
        <v>1</v>
      </c>
      <c r="Y97" s="197">
        <v>1</v>
      </c>
      <c r="Z97" s="199">
        <v>14</v>
      </c>
      <c r="AA97" s="199">
        <v>4</v>
      </c>
    </row>
    <row r="98" spans="1:27" x14ac:dyDescent="0.15">
      <c r="A98" s="84">
        <v>904103</v>
      </c>
      <c r="B98" s="359" t="s">
        <v>4366</v>
      </c>
      <c r="C98" s="84" t="s">
        <v>3988</v>
      </c>
      <c r="D98" s="84">
        <v>2003</v>
      </c>
      <c r="E98" s="84">
        <v>2</v>
      </c>
      <c r="F98" s="84">
        <v>0</v>
      </c>
      <c r="G98" s="84">
        <v>0</v>
      </c>
      <c r="H98" s="84" t="s">
        <v>4367</v>
      </c>
      <c r="I98" s="157">
        <v>999</v>
      </c>
      <c r="J98" s="84" t="b">
        <v>1</v>
      </c>
      <c r="K98" s="84">
        <v>15</v>
      </c>
      <c r="L98" s="84">
        <v>225</v>
      </c>
      <c r="M98" s="84">
        <v>300</v>
      </c>
      <c r="N98" s="84" t="s">
        <v>3383</v>
      </c>
      <c r="O98" s="84"/>
      <c r="P98" s="84">
        <v>1</v>
      </c>
      <c r="Q98" s="84"/>
      <c r="R98" s="84">
        <v>0</v>
      </c>
      <c r="S98" s="84" t="s">
        <v>3990</v>
      </c>
      <c r="T98" s="84" t="s">
        <v>4368</v>
      </c>
      <c r="U98" s="84" t="s">
        <v>4369</v>
      </c>
      <c r="V98" s="84" t="s">
        <v>3993</v>
      </c>
      <c r="X98" s="197">
        <v>1</v>
      </c>
      <c r="Y98" s="197">
        <v>1</v>
      </c>
      <c r="Z98" s="199">
        <v>14</v>
      </c>
      <c r="AA98" s="199">
        <v>4</v>
      </c>
    </row>
    <row r="99" spans="1:27" x14ac:dyDescent="0.15">
      <c r="A99" s="84">
        <v>904104</v>
      </c>
      <c r="B99" s="103" t="s">
        <v>4370</v>
      </c>
      <c r="C99" s="84" t="s">
        <v>3988</v>
      </c>
      <c r="D99" s="84">
        <v>2003</v>
      </c>
      <c r="E99" s="84">
        <v>2</v>
      </c>
      <c r="F99" s="84">
        <v>0</v>
      </c>
      <c r="G99" s="84">
        <v>0</v>
      </c>
      <c r="H99" s="84" t="s">
        <v>4371</v>
      </c>
      <c r="I99" s="157">
        <v>999</v>
      </c>
      <c r="J99" s="84" t="b">
        <v>1</v>
      </c>
      <c r="K99" s="84">
        <v>15</v>
      </c>
      <c r="L99" s="84">
        <v>225</v>
      </c>
      <c r="M99" s="84">
        <v>300</v>
      </c>
      <c r="N99" s="84" t="s">
        <v>3383</v>
      </c>
      <c r="O99" s="84"/>
      <c r="P99" s="84">
        <v>1</v>
      </c>
      <c r="Q99" s="84"/>
      <c r="R99" s="84">
        <v>0</v>
      </c>
      <c r="S99" s="84" t="s">
        <v>3990</v>
      </c>
      <c r="T99" s="84" t="s">
        <v>4372</v>
      </c>
      <c r="U99" s="84" t="s">
        <v>4373</v>
      </c>
      <c r="V99" s="84" t="s">
        <v>3993</v>
      </c>
      <c r="X99" s="197">
        <v>1</v>
      </c>
      <c r="Y99" s="197">
        <v>1</v>
      </c>
      <c r="Z99" s="199">
        <v>14</v>
      </c>
      <c r="AA99" s="199">
        <v>4</v>
      </c>
    </row>
    <row r="100" spans="1:27" x14ac:dyDescent="0.15">
      <c r="A100" s="84">
        <v>904105</v>
      </c>
      <c r="B100" s="360" t="s">
        <v>4374</v>
      </c>
      <c r="C100" s="84" t="s">
        <v>3988</v>
      </c>
      <c r="D100" s="84">
        <v>2003</v>
      </c>
      <c r="E100" s="84">
        <v>2</v>
      </c>
      <c r="F100" s="84">
        <v>0</v>
      </c>
      <c r="G100" s="84">
        <v>0</v>
      </c>
      <c r="H100" s="84" t="s">
        <v>4375</v>
      </c>
      <c r="I100" s="157">
        <v>999</v>
      </c>
      <c r="J100" s="84" t="b">
        <v>1</v>
      </c>
      <c r="K100" s="84">
        <v>15</v>
      </c>
      <c r="L100" s="84">
        <v>225</v>
      </c>
      <c r="M100" s="84">
        <v>300</v>
      </c>
      <c r="N100" s="84" t="s">
        <v>3383</v>
      </c>
      <c r="O100" s="84"/>
      <c r="P100" s="84">
        <v>1</v>
      </c>
      <c r="Q100" s="84"/>
      <c r="R100" s="84">
        <v>0</v>
      </c>
      <c r="S100" s="84" t="s">
        <v>3990</v>
      </c>
      <c r="T100" s="84" t="s">
        <v>4376</v>
      </c>
      <c r="U100" s="84" t="s">
        <v>4377</v>
      </c>
      <c r="V100" s="84" t="s">
        <v>3993</v>
      </c>
      <c r="X100" s="197">
        <v>1</v>
      </c>
      <c r="Y100" s="197">
        <v>1</v>
      </c>
      <c r="Z100" s="199">
        <v>14</v>
      </c>
      <c r="AA100" s="199">
        <v>4</v>
      </c>
    </row>
    <row r="101" spans="1:27" x14ac:dyDescent="0.15">
      <c r="A101" s="84">
        <v>904106</v>
      </c>
      <c r="B101" s="360" t="s">
        <v>4378</v>
      </c>
      <c r="C101" s="84" t="s">
        <v>3988</v>
      </c>
      <c r="D101" s="84">
        <v>2003</v>
      </c>
      <c r="E101" s="84">
        <v>2</v>
      </c>
      <c r="F101" s="84">
        <v>0</v>
      </c>
      <c r="G101" s="84">
        <v>0</v>
      </c>
      <c r="H101" s="84" t="s">
        <v>4379</v>
      </c>
      <c r="I101" s="157">
        <v>999</v>
      </c>
      <c r="J101" s="84" t="b">
        <v>1</v>
      </c>
      <c r="K101" s="84">
        <v>15</v>
      </c>
      <c r="L101" s="84">
        <v>225</v>
      </c>
      <c r="M101" s="84">
        <v>300</v>
      </c>
      <c r="N101" s="84" t="s">
        <v>3383</v>
      </c>
      <c r="O101" s="84"/>
      <c r="P101" s="84">
        <v>1</v>
      </c>
      <c r="Q101" s="84"/>
      <c r="R101" s="84">
        <v>0</v>
      </c>
      <c r="S101" s="84" t="s">
        <v>3990</v>
      </c>
      <c r="T101" s="84" t="s">
        <v>4380</v>
      </c>
      <c r="U101" s="84" t="s">
        <v>4381</v>
      </c>
      <c r="V101" s="84" t="s">
        <v>3993</v>
      </c>
      <c r="X101" s="197">
        <v>1</v>
      </c>
      <c r="Y101" s="197">
        <v>1</v>
      </c>
      <c r="Z101" s="199">
        <v>14</v>
      </c>
      <c r="AA101" s="199">
        <v>4</v>
      </c>
    </row>
    <row r="102" spans="1:27" x14ac:dyDescent="0.15">
      <c r="A102" s="84">
        <v>904107</v>
      </c>
      <c r="B102" s="103" t="s">
        <v>4382</v>
      </c>
      <c r="C102" s="84" t="s">
        <v>3988</v>
      </c>
      <c r="D102" s="84">
        <v>2003</v>
      </c>
      <c r="E102" s="84">
        <v>2</v>
      </c>
      <c r="F102" s="84">
        <v>0</v>
      </c>
      <c r="G102" s="84">
        <v>0</v>
      </c>
      <c r="H102" s="84" t="s">
        <v>4383</v>
      </c>
      <c r="I102" s="157">
        <v>999</v>
      </c>
      <c r="J102" s="84" t="b">
        <v>1</v>
      </c>
      <c r="K102" s="84">
        <v>15</v>
      </c>
      <c r="L102" s="84">
        <v>225</v>
      </c>
      <c r="M102" s="84">
        <v>300</v>
      </c>
      <c r="N102" s="84" t="s">
        <v>3383</v>
      </c>
      <c r="O102" s="84"/>
      <c r="P102" s="84">
        <v>1</v>
      </c>
      <c r="Q102" s="84"/>
      <c r="R102" s="84">
        <v>0</v>
      </c>
      <c r="S102" s="84" t="s">
        <v>3990</v>
      </c>
      <c r="T102" s="84" t="s">
        <v>4384</v>
      </c>
      <c r="U102" s="84" t="s">
        <v>4385</v>
      </c>
      <c r="V102" s="84" t="s">
        <v>3993</v>
      </c>
      <c r="X102" s="197">
        <v>1</v>
      </c>
      <c r="Y102" s="197">
        <v>1</v>
      </c>
      <c r="Z102" s="199">
        <v>14</v>
      </c>
      <c r="AA102" s="199">
        <v>4</v>
      </c>
    </row>
    <row r="103" spans="1:27" x14ac:dyDescent="0.15">
      <c r="A103" s="84">
        <v>904108</v>
      </c>
      <c r="B103" s="360" t="s">
        <v>4386</v>
      </c>
      <c r="C103" s="84" t="s">
        <v>3988</v>
      </c>
      <c r="D103" s="84">
        <v>2003</v>
      </c>
      <c r="E103" s="84">
        <v>2</v>
      </c>
      <c r="F103" s="84">
        <v>0</v>
      </c>
      <c r="G103" s="84">
        <v>0</v>
      </c>
      <c r="H103" s="84" t="s">
        <v>4387</v>
      </c>
      <c r="I103" s="157">
        <v>999</v>
      </c>
      <c r="J103" s="84" t="b">
        <v>1</v>
      </c>
      <c r="K103" s="84">
        <v>15</v>
      </c>
      <c r="L103" s="84">
        <v>225</v>
      </c>
      <c r="M103" s="84">
        <v>300</v>
      </c>
      <c r="N103" s="84" t="s">
        <v>3383</v>
      </c>
      <c r="O103" s="84"/>
      <c r="P103" s="84">
        <v>1</v>
      </c>
      <c r="Q103" s="84"/>
      <c r="R103" s="84">
        <v>0</v>
      </c>
      <c r="S103" s="84" t="s">
        <v>3990</v>
      </c>
      <c r="T103" s="84" t="s">
        <v>4388</v>
      </c>
      <c r="U103" s="84" t="s">
        <v>4389</v>
      </c>
      <c r="V103" s="84" t="s">
        <v>3993</v>
      </c>
      <c r="X103" s="197">
        <v>1</v>
      </c>
      <c r="Y103" s="197">
        <v>1</v>
      </c>
      <c r="Z103" s="199">
        <v>14</v>
      </c>
      <c r="AA103" s="199">
        <v>4</v>
      </c>
    </row>
    <row r="104" spans="1:27" x14ac:dyDescent="0.15">
      <c r="A104" s="84">
        <v>904109</v>
      </c>
      <c r="B104" s="360" t="s">
        <v>4390</v>
      </c>
      <c r="C104" s="84" t="s">
        <v>3988</v>
      </c>
      <c r="D104" s="84">
        <v>2003</v>
      </c>
      <c r="E104" s="84">
        <v>2</v>
      </c>
      <c r="F104" s="84">
        <v>0</v>
      </c>
      <c r="G104" s="84">
        <v>0</v>
      </c>
      <c r="H104" s="84" t="s">
        <v>4391</v>
      </c>
      <c r="I104" s="157">
        <v>999</v>
      </c>
      <c r="J104" s="84" t="b">
        <v>1</v>
      </c>
      <c r="K104" s="84">
        <v>15</v>
      </c>
      <c r="L104" s="84">
        <v>225</v>
      </c>
      <c r="M104" s="84">
        <v>300</v>
      </c>
      <c r="N104" s="84" t="s">
        <v>3383</v>
      </c>
      <c r="O104" s="84"/>
      <c r="P104" s="84">
        <v>1</v>
      </c>
      <c r="Q104" s="84"/>
      <c r="R104" s="84">
        <v>0</v>
      </c>
      <c r="S104" s="84" t="s">
        <v>3990</v>
      </c>
      <c r="T104" s="84" t="s">
        <v>4392</v>
      </c>
      <c r="U104" s="84" t="s">
        <v>4393</v>
      </c>
      <c r="V104" s="84" t="s">
        <v>3993</v>
      </c>
      <c r="X104" s="197">
        <v>1</v>
      </c>
      <c r="Y104" s="197">
        <v>1</v>
      </c>
      <c r="Z104" s="199">
        <v>14</v>
      </c>
      <c r="AA104" s="199">
        <v>4</v>
      </c>
    </row>
    <row r="105" spans="1:27" x14ac:dyDescent="0.15">
      <c r="A105" s="84">
        <v>904110</v>
      </c>
      <c r="B105" s="103" t="s">
        <v>4394</v>
      </c>
      <c r="C105" s="84" t="s">
        <v>3988</v>
      </c>
      <c r="D105" s="84">
        <v>2003</v>
      </c>
      <c r="E105" s="84">
        <v>2</v>
      </c>
      <c r="F105" s="84">
        <v>0</v>
      </c>
      <c r="G105" s="84">
        <v>0</v>
      </c>
      <c r="H105" s="84" t="s">
        <v>4395</v>
      </c>
      <c r="I105" s="157">
        <v>999</v>
      </c>
      <c r="J105" s="84" t="b">
        <v>1</v>
      </c>
      <c r="K105" s="84">
        <v>15</v>
      </c>
      <c r="L105" s="84">
        <v>225</v>
      </c>
      <c r="M105" s="84">
        <v>300</v>
      </c>
      <c r="N105" s="84" t="s">
        <v>3383</v>
      </c>
      <c r="O105" s="84"/>
      <c r="P105" s="84">
        <v>1</v>
      </c>
      <c r="Q105" s="84"/>
      <c r="R105" s="84">
        <v>0</v>
      </c>
      <c r="S105" s="84" t="s">
        <v>3990</v>
      </c>
      <c r="T105" s="84" t="s">
        <v>4396</v>
      </c>
      <c r="U105" s="84" t="s">
        <v>4397</v>
      </c>
      <c r="V105" s="84" t="s">
        <v>3993</v>
      </c>
      <c r="X105" s="197">
        <v>1</v>
      </c>
      <c r="Y105" s="197">
        <v>1</v>
      </c>
      <c r="Z105" s="199">
        <v>14</v>
      </c>
      <c r="AA105" s="199">
        <v>4</v>
      </c>
    </row>
    <row r="106" spans="1:27" x14ac:dyDescent="0.15">
      <c r="A106" s="84">
        <v>904111</v>
      </c>
      <c r="B106" s="360" t="s">
        <v>4398</v>
      </c>
      <c r="C106" s="84" t="s">
        <v>3988</v>
      </c>
      <c r="D106" s="84">
        <v>2003</v>
      </c>
      <c r="E106" s="84">
        <v>2</v>
      </c>
      <c r="F106" s="84">
        <v>0</v>
      </c>
      <c r="G106" s="84">
        <v>0</v>
      </c>
      <c r="H106" s="84" t="s">
        <v>4399</v>
      </c>
      <c r="I106" s="157">
        <v>999</v>
      </c>
      <c r="J106" s="84" t="b">
        <v>1</v>
      </c>
      <c r="K106" s="84">
        <v>15</v>
      </c>
      <c r="L106" s="84">
        <v>225</v>
      </c>
      <c r="M106" s="84">
        <v>300</v>
      </c>
      <c r="N106" s="84" t="s">
        <v>3383</v>
      </c>
      <c r="O106" s="84"/>
      <c r="P106" s="84">
        <v>1</v>
      </c>
      <c r="Q106" s="84"/>
      <c r="R106" s="84">
        <v>0</v>
      </c>
      <c r="S106" s="84" t="s">
        <v>3990</v>
      </c>
      <c r="T106" s="84" t="s">
        <v>4400</v>
      </c>
      <c r="U106" s="84" t="s">
        <v>4401</v>
      </c>
      <c r="V106" s="84" t="s">
        <v>3993</v>
      </c>
      <c r="X106" s="197">
        <v>1</v>
      </c>
      <c r="Y106" s="197">
        <v>1</v>
      </c>
      <c r="Z106" s="199">
        <v>14</v>
      </c>
      <c r="AA106" s="199">
        <v>4</v>
      </c>
    </row>
    <row r="107" spans="1:27" x14ac:dyDescent="0.15">
      <c r="A107" s="84">
        <v>904112</v>
      </c>
      <c r="B107" s="360" t="s">
        <v>4402</v>
      </c>
      <c r="C107" s="84" t="s">
        <v>3988</v>
      </c>
      <c r="D107" s="84">
        <v>2003</v>
      </c>
      <c r="E107" s="84">
        <v>2</v>
      </c>
      <c r="F107" s="84">
        <v>0</v>
      </c>
      <c r="G107" s="84">
        <v>0</v>
      </c>
      <c r="H107" s="84" t="s">
        <v>4403</v>
      </c>
      <c r="I107" s="157">
        <v>999</v>
      </c>
      <c r="J107" s="84" t="b">
        <v>1</v>
      </c>
      <c r="K107" s="84">
        <v>15</v>
      </c>
      <c r="L107" s="84">
        <v>225</v>
      </c>
      <c r="M107" s="84">
        <v>300</v>
      </c>
      <c r="N107" s="84" t="s">
        <v>3383</v>
      </c>
      <c r="O107" s="84"/>
      <c r="P107" s="84">
        <v>1</v>
      </c>
      <c r="Q107" s="84"/>
      <c r="R107" s="84">
        <v>0</v>
      </c>
      <c r="S107" s="84" t="s">
        <v>3990</v>
      </c>
      <c r="T107" s="84" t="s">
        <v>4404</v>
      </c>
      <c r="U107" s="84" t="s">
        <v>4405</v>
      </c>
      <c r="V107" s="84" t="s">
        <v>3993</v>
      </c>
      <c r="X107" s="197">
        <v>1</v>
      </c>
      <c r="Y107" s="197">
        <v>1</v>
      </c>
      <c r="Z107" s="199">
        <v>14</v>
      </c>
      <c r="AA107" s="199">
        <v>4</v>
      </c>
    </row>
    <row r="108" spans="1:27" s="5" customFormat="1" x14ac:dyDescent="0.15">
      <c r="A108" s="84">
        <v>904113</v>
      </c>
      <c r="B108" s="157" t="s">
        <v>4406</v>
      </c>
      <c r="C108" s="84" t="s">
        <v>3988</v>
      </c>
      <c r="D108" s="84">
        <v>3001</v>
      </c>
      <c r="E108" s="84">
        <v>2</v>
      </c>
      <c r="F108" s="84">
        <v>1</v>
      </c>
      <c r="G108" s="84">
        <v>0</v>
      </c>
      <c r="H108" s="357" t="s">
        <v>4407</v>
      </c>
      <c r="I108" s="157">
        <v>999</v>
      </c>
      <c r="J108" s="84" t="b">
        <v>1</v>
      </c>
      <c r="K108" s="84">
        <v>15</v>
      </c>
      <c r="L108" s="84">
        <v>225</v>
      </c>
      <c r="M108" s="84">
        <v>300</v>
      </c>
      <c r="N108" s="84" t="s">
        <v>3383</v>
      </c>
      <c r="O108" s="84"/>
      <c r="P108" s="84">
        <v>1</v>
      </c>
      <c r="Q108" s="84"/>
      <c r="R108" s="84">
        <v>0</v>
      </c>
      <c r="S108" s="84" t="s">
        <v>3990</v>
      </c>
      <c r="T108" s="84" t="s">
        <v>4408</v>
      </c>
      <c r="U108" s="84" t="s">
        <v>4409</v>
      </c>
      <c r="V108" s="84" t="s">
        <v>3993</v>
      </c>
      <c r="X108" s="197">
        <v>1</v>
      </c>
      <c r="Y108" s="197">
        <v>1</v>
      </c>
      <c r="Z108" s="356">
        <v>1</v>
      </c>
      <c r="AA108" s="356">
        <v>1</v>
      </c>
    </row>
    <row r="109" spans="1:27" s="5" customFormat="1" x14ac:dyDescent="0.15">
      <c r="A109" s="84">
        <v>904114</v>
      </c>
      <c r="B109" s="157" t="s">
        <v>4410</v>
      </c>
      <c r="C109" s="84" t="s">
        <v>3988</v>
      </c>
      <c r="D109" s="84">
        <v>3002</v>
      </c>
      <c r="E109" s="84">
        <v>2</v>
      </c>
      <c r="F109" s="84">
        <v>1</v>
      </c>
      <c r="G109" s="84">
        <v>0</v>
      </c>
      <c r="H109" s="357" t="s">
        <v>4411</v>
      </c>
      <c r="I109" s="157">
        <v>999</v>
      </c>
      <c r="J109" s="84" t="b">
        <v>1</v>
      </c>
      <c r="K109" s="84">
        <v>15</v>
      </c>
      <c r="L109" s="84">
        <v>225</v>
      </c>
      <c r="M109" s="84">
        <v>300</v>
      </c>
      <c r="N109" s="84" t="s">
        <v>3383</v>
      </c>
      <c r="O109" s="84"/>
      <c r="P109" s="84">
        <v>1</v>
      </c>
      <c r="Q109" s="84"/>
      <c r="R109" s="84">
        <v>0</v>
      </c>
      <c r="S109" s="84" t="s">
        <v>3990</v>
      </c>
      <c r="T109" s="84" t="s">
        <v>4412</v>
      </c>
      <c r="U109" s="84" t="s">
        <v>4413</v>
      </c>
      <c r="V109" s="84" t="s">
        <v>3993</v>
      </c>
      <c r="X109" s="197">
        <v>1</v>
      </c>
      <c r="Y109" s="197">
        <v>1</v>
      </c>
      <c r="Z109" s="356">
        <v>1</v>
      </c>
      <c r="AA109" s="356">
        <v>1</v>
      </c>
    </row>
    <row r="110" spans="1:27" s="5" customFormat="1" x14ac:dyDescent="0.15">
      <c r="A110" s="84">
        <v>904115</v>
      </c>
      <c r="B110" s="157" t="s">
        <v>4414</v>
      </c>
      <c r="C110" s="84" t="s">
        <v>3988</v>
      </c>
      <c r="D110" s="84">
        <v>3003</v>
      </c>
      <c r="E110" s="84">
        <v>2</v>
      </c>
      <c r="F110" s="84">
        <v>1</v>
      </c>
      <c r="G110" s="84">
        <v>0</v>
      </c>
      <c r="H110" s="357" t="s">
        <v>4415</v>
      </c>
      <c r="I110" s="157">
        <v>999</v>
      </c>
      <c r="J110" s="84" t="b">
        <v>1</v>
      </c>
      <c r="K110" s="84">
        <v>15</v>
      </c>
      <c r="L110" s="84">
        <v>225</v>
      </c>
      <c r="M110" s="84">
        <v>300</v>
      </c>
      <c r="N110" s="84" t="s">
        <v>3383</v>
      </c>
      <c r="O110" s="84"/>
      <c r="P110" s="84">
        <v>1</v>
      </c>
      <c r="Q110" s="84"/>
      <c r="R110" s="84">
        <v>0</v>
      </c>
      <c r="S110" s="84" t="s">
        <v>3990</v>
      </c>
      <c r="T110" s="84" t="s">
        <v>4416</v>
      </c>
      <c r="U110" s="84" t="s">
        <v>4417</v>
      </c>
      <c r="V110" s="84" t="s">
        <v>3993</v>
      </c>
      <c r="X110" s="197">
        <v>1</v>
      </c>
      <c r="Y110" s="197">
        <v>1</v>
      </c>
      <c r="Z110" s="356">
        <v>1</v>
      </c>
      <c r="AA110" s="356">
        <v>2</v>
      </c>
    </row>
    <row r="111" spans="1:27" s="5" customFormat="1" x14ac:dyDescent="0.15">
      <c r="A111" s="84">
        <v>904116</v>
      </c>
      <c r="B111" s="157" t="s">
        <v>4418</v>
      </c>
      <c r="C111" s="84" t="s">
        <v>3988</v>
      </c>
      <c r="D111" s="84">
        <v>3004</v>
      </c>
      <c r="E111" s="84">
        <v>2</v>
      </c>
      <c r="F111" s="84">
        <v>1</v>
      </c>
      <c r="G111" s="84">
        <v>0</v>
      </c>
      <c r="H111" s="357" t="s">
        <v>4419</v>
      </c>
      <c r="I111" s="157">
        <v>999</v>
      </c>
      <c r="J111" s="84" t="b">
        <v>1</v>
      </c>
      <c r="K111" s="84">
        <v>15</v>
      </c>
      <c r="L111" s="84">
        <v>225</v>
      </c>
      <c r="M111" s="84">
        <v>300</v>
      </c>
      <c r="N111" s="84" t="s">
        <v>3383</v>
      </c>
      <c r="O111" s="84"/>
      <c r="P111" s="84">
        <v>1</v>
      </c>
      <c r="Q111" s="84"/>
      <c r="R111" s="84">
        <v>0</v>
      </c>
      <c r="S111" s="84" t="s">
        <v>3990</v>
      </c>
      <c r="T111" s="84" t="s">
        <v>4420</v>
      </c>
      <c r="U111" s="84" t="s">
        <v>4421</v>
      </c>
      <c r="V111" s="84" t="s">
        <v>3993</v>
      </c>
      <c r="X111" s="197">
        <v>1</v>
      </c>
      <c r="Y111" s="197">
        <v>1</v>
      </c>
      <c r="Z111" s="356">
        <v>1</v>
      </c>
      <c r="AA111" s="356">
        <v>3</v>
      </c>
    </row>
    <row r="112" spans="1:27" s="5" customFormat="1" x14ac:dyDescent="0.15">
      <c r="A112" s="84">
        <v>904117</v>
      </c>
      <c r="B112" s="157" t="s">
        <v>4422</v>
      </c>
      <c r="C112" s="84" t="s">
        <v>3988</v>
      </c>
      <c r="D112" s="84">
        <v>3005</v>
      </c>
      <c r="E112" s="84">
        <v>2</v>
      </c>
      <c r="F112" s="84">
        <v>1</v>
      </c>
      <c r="G112" s="84">
        <v>0</v>
      </c>
      <c r="H112" s="357" t="s">
        <v>4423</v>
      </c>
      <c r="I112" s="157">
        <v>999</v>
      </c>
      <c r="J112" s="84" t="b">
        <v>1</v>
      </c>
      <c r="K112" s="84">
        <v>15</v>
      </c>
      <c r="L112" s="84">
        <v>225</v>
      </c>
      <c r="M112" s="84">
        <v>300</v>
      </c>
      <c r="N112" s="84" t="s">
        <v>3383</v>
      </c>
      <c r="O112" s="84"/>
      <c r="P112" s="84">
        <v>1</v>
      </c>
      <c r="Q112" s="84"/>
      <c r="R112" s="84">
        <v>0</v>
      </c>
      <c r="S112" s="84" t="s">
        <v>3990</v>
      </c>
      <c r="T112" s="84" t="s">
        <v>4424</v>
      </c>
      <c r="U112" s="84" t="s">
        <v>4425</v>
      </c>
      <c r="V112" s="84" t="s">
        <v>3993</v>
      </c>
      <c r="X112" s="197">
        <v>1</v>
      </c>
      <c r="Y112" s="197">
        <v>1</v>
      </c>
      <c r="Z112" s="356">
        <v>1</v>
      </c>
      <c r="AA112" s="356">
        <v>1</v>
      </c>
    </row>
    <row r="113" spans="1:27" s="5" customFormat="1" x14ac:dyDescent="0.15">
      <c r="A113" s="84">
        <v>904118</v>
      </c>
      <c r="B113" s="157" t="s">
        <v>4426</v>
      </c>
      <c r="C113" s="84" t="s">
        <v>3988</v>
      </c>
      <c r="D113" s="84">
        <v>3006</v>
      </c>
      <c r="E113" s="84">
        <v>2</v>
      </c>
      <c r="F113" s="84">
        <v>1</v>
      </c>
      <c r="G113" s="84">
        <v>0</v>
      </c>
      <c r="H113" s="357" t="s">
        <v>4427</v>
      </c>
      <c r="I113" s="157">
        <v>999</v>
      </c>
      <c r="J113" s="84" t="b">
        <v>1</v>
      </c>
      <c r="K113" s="84">
        <v>15</v>
      </c>
      <c r="L113" s="84">
        <v>225</v>
      </c>
      <c r="M113" s="84">
        <v>300</v>
      </c>
      <c r="N113" s="84" t="s">
        <v>3383</v>
      </c>
      <c r="O113" s="84"/>
      <c r="P113" s="84">
        <v>1</v>
      </c>
      <c r="Q113" s="84"/>
      <c r="R113" s="84">
        <v>0</v>
      </c>
      <c r="S113" s="84" t="s">
        <v>3990</v>
      </c>
      <c r="T113" s="84" t="s">
        <v>4428</v>
      </c>
      <c r="U113" s="84" t="s">
        <v>4429</v>
      </c>
      <c r="V113" s="84" t="s">
        <v>3993</v>
      </c>
      <c r="X113" s="197">
        <v>1</v>
      </c>
      <c r="Y113" s="197">
        <v>1</v>
      </c>
      <c r="Z113" s="356">
        <v>1</v>
      </c>
      <c r="AA113" s="356">
        <v>1</v>
      </c>
    </row>
    <row r="114" spans="1:27" s="5" customFormat="1" x14ac:dyDescent="0.15">
      <c r="A114" s="84">
        <v>904119</v>
      </c>
      <c r="B114" s="157" t="s">
        <v>4430</v>
      </c>
      <c r="C114" s="84" t="s">
        <v>3988</v>
      </c>
      <c r="D114" s="84">
        <v>3007</v>
      </c>
      <c r="E114" s="84">
        <v>2</v>
      </c>
      <c r="F114" s="84">
        <v>1</v>
      </c>
      <c r="G114" s="84">
        <v>0</v>
      </c>
      <c r="H114" s="357" t="s">
        <v>4431</v>
      </c>
      <c r="I114" s="157">
        <v>999</v>
      </c>
      <c r="J114" s="84" t="b">
        <v>1</v>
      </c>
      <c r="K114" s="84">
        <v>15</v>
      </c>
      <c r="L114" s="84">
        <v>225</v>
      </c>
      <c r="M114" s="84">
        <v>300</v>
      </c>
      <c r="N114" s="84" t="s">
        <v>3383</v>
      </c>
      <c r="O114" s="84"/>
      <c r="P114" s="84">
        <v>1</v>
      </c>
      <c r="Q114" s="84"/>
      <c r="R114" s="84">
        <v>0</v>
      </c>
      <c r="S114" s="84" t="s">
        <v>3990</v>
      </c>
      <c r="T114" s="84" t="s">
        <v>4432</v>
      </c>
      <c r="U114" s="84" t="s">
        <v>4433</v>
      </c>
      <c r="V114" s="84" t="s">
        <v>3993</v>
      </c>
      <c r="X114" s="197">
        <v>1</v>
      </c>
      <c r="Y114" s="197">
        <v>1</v>
      </c>
      <c r="Z114" s="356">
        <v>1</v>
      </c>
      <c r="AA114" s="356">
        <v>2</v>
      </c>
    </row>
    <row r="115" spans="1:27" s="5" customFormat="1" x14ac:dyDescent="0.15">
      <c r="A115" s="84">
        <v>904120</v>
      </c>
      <c r="B115" s="157" t="s">
        <v>4434</v>
      </c>
      <c r="C115" s="84" t="s">
        <v>3988</v>
      </c>
      <c r="D115" s="84">
        <v>3008</v>
      </c>
      <c r="E115" s="84">
        <v>2</v>
      </c>
      <c r="F115" s="84">
        <v>1</v>
      </c>
      <c r="G115" s="84">
        <v>0</v>
      </c>
      <c r="H115" s="357" t="s">
        <v>4435</v>
      </c>
      <c r="I115" s="157">
        <v>999</v>
      </c>
      <c r="J115" s="84" t="b">
        <v>1</v>
      </c>
      <c r="K115" s="84">
        <v>15</v>
      </c>
      <c r="L115" s="84">
        <v>225</v>
      </c>
      <c r="M115" s="84">
        <v>300</v>
      </c>
      <c r="N115" s="84" t="s">
        <v>3383</v>
      </c>
      <c r="O115" s="84"/>
      <c r="P115" s="84">
        <v>1</v>
      </c>
      <c r="Q115" s="84"/>
      <c r="R115" s="84">
        <v>0</v>
      </c>
      <c r="S115" s="84" t="s">
        <v>3990</v>
      </c>
      <c r="T115" s="84" t="s">
        <v>4436</v>
      </c>
      <c r="U115" s="84" t="s">
        <v>4437</v>
      </c>
      <c r="V115" s="84" t="s">
        <v>3993</v>
      </c>
      <c r="X115" s="197">
        <v>1</v>
      </c>
      <c r="Y115" s="197">
        <v>1</v>
      </c>
      <c r="Z115" s="356">
        <v>1</v>
      </c>
      <c r="AA115" s="356">
        <v>3</v>
      </c>
    </row>
    <row r="116" spans="1:27" s="5" customFormat="1" x14ac:dyDescent="0.15">
      <c r="A116" s="84">
        <v>904121</v>
      </c>
      <c r="B116" s="157" t="s">
        <v>4438</v>
      </c>
      <c r="C116" s="84" t="s">
        <v>3988</v>
      </c>
      <c r="D116" s="84">
        <v>3009</v>
      </c>
      <c r="E116" s="84">
        <v>2</v>
      </c>
      <c r="F116" s="84">
        <v>1</v>
      </c>
      <c r="G116" s="84">
        <v>0</v>
      </c>
      <c r="H116" s="357" t="s">
        <v>4439</v>
      </c>
      <c r="I116" s="157">
        <v>999</v>
      </c>
      <c r="J116" s="84" t="b">
        <v>1</v>
      </c>
      <c r="K116" s="84">
        <v>15</v>
      </c>
      <c r="L116" s="84">
        <v>225</v>
      </c>
      <c r="M116" s="84">
        <v>300</v>
      </c>
      <c r="N116" s="84" t="s">
        <v>3383</v>
      </c>
      <c r="O116" s="84"/>
      <c r="P116" s="84">
        <v>1</v>
      </c>
      <c r="Q116" s="84"/>
      <c r="R116" s="84">
        <v>0</v>
      </c>
      <c r="S116" s="84" t="s">
        <v>3990</v>
      </c>
      <c r="T116" s="84" t="s">
        <v>4440</v>
      </c>
      <c r="U116" s="84" t="s">
        <v>4441</v>
      </c>
      <c r="V116" s="84" t="s">
        <v>3993</v>
      </c>
      <c r="X116" s="197">
        <v>1</v>
      </c>
      <c r="Y116" s="197">
        <v>1</v>
      </c>
      <c r="Z116" s="356">
        <v>4</v>
      </c>
      <c r="AA116" s="356">
        <v>1</v>
      </c>
    </row>
    <row r="117" spans="1:27" s="5" customFormat="1" x14ac:dyDescent="0.15">
      <c r="A117" s="84">
        <v>904122</v>
      </c>
      <c r="B117" s="157" t="s">
        <v>4442</v>
      </c>
      <c r="C117" s="84" t="s">
        <v>3988</v>
      </c>
      <c r="D117" s="84">
        <v>3010</v>
      </c>
      <c r="E117" s="84">
        <v>2</v>
      </c>
      <c r="F117" s="84">
        <v>1</v>
      </c>
      <c r="G117" s="84">
        <v>0</v>
      </c>
      <c r="H117" s="508" t="s">
        <v>10170</v>
      </c>
      <c r="I117" s="157">
        <v>999</v>
      </c>
      <c r="J117" s="84" t="b">
        <v>1</v>
      </c>
      <c r="K117" s="84">
        <v>15</v>
      </c>
      <c r="L117" s="84">
        <v>225</v>
      </c>
      <c r="M117" s="84">
        <v>300</v>
      </c>
      <c r="N117" s="84" t="s">
        <v>3383</v>
      </c>
      <c r="O117" s="84"/>
      <c r="P117" s="84">
        <v>1</v>
      </c>
      <c r="Q117" s="84"/>
      <c r="R117" s="84">
        <v>0</v>
      </c>
      <c r="S117" s="84" t="s">
        <v>3990</v>
      </c>
      <c r="T117" s="509" t="s">
        <v>10172</v>
      </c>
      <c r="U117" s="509" t="s">
        <v>10174</v>
      </c>
      <c r="V117" s="84" t="s">
        <v>3993</v>
      </c>
      <c r="X117" s="197">
        <v>1</v>
      </c>
      <c r="Y117" s="197">
        <v>1</v>
      </c>
      <c r="Z117" s="356">
        <v>2</v>
      </c>
      <c r="AA117" s="356">
        <v>1</v>
      </c>
    </row>
    <row r="118" spans="1:27" x14ac:dyDescent="0.15">
      <c r="A118" s="104">
        <v>904123</v>
      </c>
      <c r="B118" s="104" t="s">
        <v>4444</v>
      </c>
      <c r="C118" s="104" t="s">
        <v>3988</v>
      </c>
      <c r="D118" s="104">
        <v>2002</v>
      </c>
      <c r="E118" s="104">
        <v>2</v>
      </c>
      <c r="F118" s="104">
        <v>1</v>
      </c>
      <c r="G118" s="104">
        <v>0</v>
      </c>
      <c r="H118" s="104" t="s">
        <v>4445</v>
      </c>
      <c r="I118" s="211">
        <v>999</v>
      </c>
      <c r="J118" s="250" t="b">
        <v>1</v>
      </c>
      <c r="K118" s="104">
        <v>15</v>
      </c>
      <c r="L118" s="84">
        <v>225</v>
      </c>
      <c r="M118" s="84">
        <v>300</v>
      </c>
      <c r="N118" s="104" t="s">
        <v>3383</v>
      </c>
      <c r="O118" s="104"/>
      <c r="P118" s="104">
        <v>1</v>
      </c>
      <c r="Q118" s="104"/>
      <c r="R118" s="104">
        <v>0</v>
      </c>
      <c r="S118" s="104" t="s">
        <v>3990</v>
      </c>
      <c r="T118" s="104" t="s">
        <v>4446</v>
      </c>
      <c r="U118" s="104" t="s">
        <v>4447</v>
      </c>
      <c r="V118" s="104" t="s">
        <v>3993</v>
      </c>
      <c r="X118" s="197">
        <v>1</v>
      </c>
      <c r="Y118" s="197">
        <v>1</v>
      </c>
      <c r="Z118" s="199">
        <v>0</v>
      </c>
      <c r="AA118" s="199">
        <v>1</v>
      </c>
    </row>
    <row r="119" spans="1:27" x14ac:dyDescent="0.15">
      <c r="A119" s="104">
        <v>904124</v>
      </c>
      <c r="B119" s="104" t="s">
        <v>4448</v>
      </c>
      <c r="C119" s="104" t="s">
        <v>3988</v>
      </c>
      <c r="D119" s="104">
        <v>2003</v>
      </c>
      <c r="E119" s="104">
        <v>2</v>
      </c>
      <c r="F119" s="104">
        <v>1</v>
      </c>
      <c r="G119" s="104">
        <v>0</v>
      </c>
      <c r="H119" s="104" t="s">
        <v>4449</v>
      </c>
      <c r="I119" s="211">
        <v>999</v>
      </c>
      <c r="J119" s="250" t="b">
        <v>1</v>
      </c>
      <c r="K119" s="104">
        <v>15</v>
      </c>
      <c r="L119" s="84">
        <v>225</v>
      </c>
      <c r="M119" s="84">
        <v>300</v>
      </c>
      <c r="N119" s="104" t="s">
        <v>3383</v>
      </c>
      <c r="O119" s="104"/>
      <c r="P119" s="104">
        <v>1</v>
      </c>
      <c r="Q119" s="104"/>
      <c r="R119" s="104">
        <v>0</v>
      </c>
      <c r="S119" s="104" t="s">
        <v>3990</v>
      </c>
      <c r="T119" s="104" t="s">
        <v>4450</v>
      </c>
      <c r="U119" s="104" t="s">
        <v>4451</v>
      </c>
      <c r="V119" s="104" t="s">
        <v>3993</v>
      </c>
      <c r="X119" s="197">
        <v>1</v>
      </c>
      <c r="Y119" s="197">
        <v>1</v>
      </c>
      <c r="Z119" s="199">
        <v>0</v>
      </c>
      <c r="AA119" s="199">
        <v>2</v>
      </c>
    </row>
    <row r="120" spans="1:27" x14ac:dyDescent="0.15">
      <c r="A120" s="104">
        <v>904125</v>
      </c>
      <c r="B120" s="104" t="s">
        <v>4452</v>
      </c>
      <c r="C120" s="104" t="s">
        <v>3988</v>
      </c>
      <c r="D120" s="104">
        <v>2004</v>
      </c>
      <c r="E120" s="104">
        <v>2</v>
      </c>
      <c r="F120" s="104">
        <v>1</v>
      </c>
      <c r="G120" s="104">
        <v>0</v>
      </c>
      <c r="H120" s="104" t="s">
        <v>4453</v>
      </c>
      <c r="I120" s="211">
        <v>999</v>
      </c>
      <c r="J120" s="250" t="b">
        <v>1</v>
      </c>
      <c r="K120" s="104">
        <v>15</v>
      </c>
      <c r="L120" s="84">
        <v>225</v>
      </c>
      <c r="M120" s="84">
        <v>300</v>
      </c>
      <c r="N120" s="104" t="s">
        <v>3383</v>
      </c>
      <c r="O120" s="104"/>
      <c r="P120" s="104">
        <v>1</v>
      </c>
      <c r="Q120" s="104"/>
      <c r="R120" s="104">
        <v>0</v>
      </c>
      <c r="S120" s="104" t="s">
        <v>3990</v>
      </c>
      <c r="T120" s="104" t="s">
        <v>4454</v>
      </c>
      <c r="U120" s="104" t="s">
        <v>4455</v>
      </c>
      <c r="V120" s="104" t="s">
        <v>3993</v>
      </c>
      <c r="X120" s="197">
        <v>1</v>
      </c>
      <c r="Y120" s="197">
        <v>1</v>
      </c>
      <c r="Z120" s="199">
        <v>0</v>
      </c>
      <c r="AA120" s="199">
        <v>3</v>
      </c>
    </row>
    <row r="121" spans="1:27" x14ac:dyDescent="0.15">
      <c r="A121" s="104">
        <v>904126</v>
      </c>
      <c r="B121" s="104" t="s">
        <v>4456</v>
      </c>
      <c r="C121" s="104" t="s">
        <v>3988</v>
      </c>
      <c r="D121" s="104">
        <v>2002</v>
      </c>
      <c r="E121" s="104">
        <v>2</v>
      </c>
      <c r="F121" s="104">
        <v>1</v>
      </c>
      <c r="G121" s="104">
        <v>0</v>
      </c>
      <c r="H121" s="104" t="s">
        <v>4457</v>
      </c>
      <c r="I121" s="211">
        <v>999</v>
      </c>
      <c r="J121" s="250" t="b">
        <v>1</v>
      </c>
      <c r="K121" s="104">
        <v>15</v>
      </c>
      <c r="L121" s="84">
        <v>225</v>
      </c>
      <c r="M121" s="84">
        <v>300</v>
      </c>
      <c r="N121" s="104" t="s">
        <v>3383</v>
      </c>
      <c r="O121" s="104"/>
      <c r="P121" s="104">
        <v>1</v>
      </c>
      <c r="Q121" s="104"/>
      <c r="R121" s="104">
        <v>0</v>
      </c>
      <c r="S121" s="104" t="s">
        <v>3990</v>
      </c>
      <c r="T121" s="104" t="s">
        <v>4458</v>
      </c>
      <c r="U121" s="104" t="s">
        <v>4459</v>
      </c>
      <c r="V121" s="104" t="s">
        <v>3993</v>
      </c>
      <c r="X121" s="197">
        <v>1</v>
      </c>
      <c r="Y121" s="197">
        <v>1</v>
      </c>
      <c r="Z121" s="199">
        <v>0</v>
      </c>
      <c r="AA121" s="199">
        <v>1</v>
      </c>
    </row>
    <row r="122" spans="1:27" x14ac:dyDescent="0.15">
      <c r="A122" s="104">
        <v>904127</v>
      </c>
      <c r="B122" s="104" t="s">
        <v>4460</v>
      </c>
      <c r="C122" s="104" t="s">
        <v>3988</v>
      </c>
      <c r="D122" s="104">
        <v>2003</v>
      </c>
      <c r="E122" s="104">
        <v>2</v>
      </c>
      <c r="F122" s="104">
        <v>1</v>
      </c>
      <c r="G122" s="104">
        <v>0</v>
      </c>
      <c r="H122" s="104" t="s">
        <v>4461</v>
      </c>
      <c r="I122" s="211">
        <v>999</v>
      </c>
      <c r="J122" s="250" t="b">
        <v>1</v>
      </c>
      <c r="K122" s="104">
        <v>15</v>
      </c>
      <c r="L122" s="84">
        <v>225</v>
      </c>
      <c r="M122" s="84">
        <v>300</v>
      </c>
      <c r="N122" s="104" t="s">
        <v>3383</v>
      </c>
      <c r="O122" s="104"/>
      <c r="P122" s="104">
        <v>1</v>
      </c>
      <c r="Q122" s="104"/>
      <c r="R122" s="104">
        <v>0</v>
      </c>
      <c r="S122" s="104" t="s">
        <v>3990</v>
      </c>
      <c r="T122" s="104" t="s">
        <v>4462</v>
      </c>
      <c r="U122" s="104" t="s">
        <v>4463</v>
      </c>
      <c r="V122" s="104" t="s">
        <v>3993</v>
      </c>
      <c r="X122" s="197">
        <v>1</v>
      </c>
      <c r="Y122" s="197">
        <v>1</v>
      </c>
      <c r="Z122" s="199">
        <v>0</v>
      </c>
      <c r="AA122" s="199">
        <v>2</v>
      </c>
    </row>
    <row r="123" spans="1:27" x14ac:dyDescent="0.15">
      <c r="A123" s="104">
        <v>904128</v>
      </c>
      <c r="B123" s="104" t="s">
        <v>4464</v>
      </c>
      <c r="C123" s="104" t="s">
        <v>3988</v>
      </c>
      <c r="D123" s="104">
        <v>2004</v>
      </c>
      <c r="E123" s="104">
        <v>2</v>
      </c>
      <c r="F123" s="104">
        <v>1</v>
      </c>
      <c r="G123" s="104">
        <v>0</v>
      </c>
      <c r="H123" s="104" t="s">
        <v>4465</v>
      </c>
      <c r="I123" s="211">
        <v>999</v>
      </c>
      <c r="J123" s="250" t="b">
        <v>1</v>
      </c>
      <c r="K123" s="104">
        <v>15</v>
      </c>
      <c r="L123" s="84">
        <v>225</v>
      </c>
      <c r="M123" s="84">
        <v>300</v>
      </c>
      <c r="N123" s="104" t="s">
        <v>3383</v>
      </c>
      <c r="O123" s="104"/>
      <c r="P123" s="104">
        <v>1</v>
      </c>
      <c r="Q123" s="104"/>
      <c r="R123" s="104">
        <v>0</v>
      </c>
      <c r="S123" s="104" t="s">
        <v>3990</v>
      </c>
      <c r="T123" s="104" t="s">
        <v>4466</v>
      </c>
      <c r="U123" s="104" t="s">
        <v>4467</v>
      </c>
      <c r="V123" s="104" t="s">
        <v>3993</v>
      </c>
      <c r="X123" s="197">
        <v>1</v>
      </c>
      <c r="Y123" s="197">
        <v>1</v>
      </c>
      <c r="Z123" s="199">
        <v>0</v>
      </c>
      <c r="AA123" s="199">
        <v>3</v>
      </c>
    </row>
    <row r="124" spans="1:27" x14ac:dyDescent="0.15">
      <c r="A124" s="104">
        <v>904129</v>
      </c>
      <c r="B124" s="104" t="s">
        <v>4468</v>
      </c>
      <c r="C124" s="104" t="s">
        <v>3988</v>
      </c>
      <c r="D124" s="104">
        <v>2002</v>
      </c>
      <c r="E124" s="104">
        <v>2</v>
      </c>
      <c r="F124" s="104">
        <v>1</v>
      </c>
      <c r="G124" s="104">
        <v>0</v>
      </c>
      <c r="H124" s="104" t="s">
        <v>4469</v>
      </c>
      <c r="I124" s="211">
        <v>999</v>
      </c>
      <c r="J124" s="250" t="b">
        <v>1</v>
      </c>
      <c r="K124" s="104">
        <v>15</v>
      </c>
      <c r="L124" s="84">
        <v>225</v>
      </c>
      <c r="M124" s="84">
        <v>300</v>
      </c>
      <c r="N124" s="104" t="s">
        <v>3383</v>
      </c>
      <c r="O124" s="104"/>
      <c r="P124" s="104">
        <v>1</v>
      </c>
      <c r="Q124" s="104"/>
      <c r="R124" s="104">
        <v>0</v>
      </c>
      <c r="S124" s="104" t="s">
        <v>3990</v>
      </c>
      <c r="T124" s="104" t="s">
        <v>4470</v>
      </c>
      <c r="U124" s="104" t="s">
        <v>4471</v>
      </c>
      <c r="V124" s="104" t="s">
        <v>3993</v>
      </c>
      <c r="X124" s="197">
        <v>1</v>
      </c>
      <c r="Y124" s="197">
        <v>1</v>
      </c>
      <c r="Z124" s="199">
        <v>0</v>
      </c>
      <c r="AA124" s="199">
        <v>1</v>
      </c>
    </row>
    <row r="125" spans="1:27" x14ac:dyDescent="0.15">
      <c r="A125" s="104">
        <v>904130</v>
      </c>
      <c r="B125" s="104" t="s">
        <v>4472</v>
      </c>
      <c r="C125" s="104" t="s">
        <v>3988</v>
      </c>
      <c r="D125" s="104">
        <v>2003</v>
      </c>
      <c r="E125" s="104">
        <v>2</v>
      </c>
      <c r="F125" s="104">
        <v>1</v>
      </c>
      <c r="G125" s="104">
        <v>0</v>
      </c>
      <c r="H125" s="104" t="s">
        <v>4473</v>
      </c>
      <c r="I125" s="211">
        <v>999</v>
      </c>
      <c r="J125" s="250" t="b">
        <v>1</v>
      </c>
      <c r="K125" s="104">
        <v>15</v>
      </c>
      <c r="L125" s="84">
        <v>225</v>
      </c>
      <c r="M125" s="84">
        <v>300</v>
      </c>
      <c r="N125" s="104" t="s">
        <v>3383</v>
      </c>
      <c r="O125" s="104"/>
      <c r="P125" s="104">
        <v>1</v>
      </c>
      <c r="Q125" s="104"/>
      <c r="R125" s="104">
        <v>0</v>
      </c>
      <c r="S125" s="104" t="s">
        <v>3990</v>
      </c>
      <c r="T125" s="104" t="s">
        <v>4474</v>
      </c>
      <c r="U125" s="104" t="s">
        <v>4475</v>
      </c>
      <c r="V125" s="104" t="s">
        <v>3993</v>
      </c>
      <c r="X125" s="197">
        <v>1</v>
      </c>
      <c r="Y125" s="197">
        <v>1</v>
      </c>
      <c r="Z125" s="199">
        <v>0</v>
      </c>
      <c r="AA125" s="199">
        <v>2</v>
      </c>
    </row>
    <row r="126" spans="1:27" x14ac:dyDescent="0.15">
      <c r="A126" s="104">
        <v>904131</v>
      </c>
      <c r="B126" s="104" t="s">
        <v>4476</v>
      </c>
      <c r="C126" s="104" t="s">
        <v>3988</v>
      </c>
      <c r="D126" s="104">
        <v>2004</v>
      </c>
      <c r="E126" s="104">
        <v>2</v>
      </c>
      <c r="F126" s="104">
        <v>1</v>
      </c>
      <c r="G126" s="104">
        <v>0</v>
      </c>
      <c r="H126" s="104" t="s">
        <v>4477</v>
      </c>
      <c r="I126" s="211">
        <v>999</v>
      </c>
      <c r="J126" s="250" t="b">
        <v>1</v>
      </c>
      <c r="K126" s="104">
        <v>15</v>
      </c>
      <c r="L126" s="84">
        <v>225</v>
      </c>
      <c r="M126" s="84">
        <v>300</v>
      </c>
      <c r="N126" s="104" t="s">
        <v>3383</v>
      </c>
      <c r="O126" s="104"/>
      <c r="P126" s="104">
        <v>1</v>
      </c>
      <c r="Q126" s="104"/>
      <c r="R126" s="104">
        <v>0</v>
      </c>
      <c r="S126" s="104" t="s">
        <v>3990</v>
      </c>
      <c r="T126" s="104" t="s">
        <v>4478</v>
      </c>
      <c r="U126" s="104" t="s">
        <v>4479</v>
      </c>
      <c r="V126" s="104" t="s">
        <v>3993</v>
      </c>
      <c r="X126" s="197">
        <v>1</v>
      </c>
      <c r="Y126" s="197">
        <v>1</v>
      </c>
      <c r="Z126" s="199">
        <v>0</v>
      </c>
      <c r="AA126" s="199">
        <v>3</v>
      </c>
    </row>
    <row r="127" spans="1:27" x14ac:dyDescent="0.15">
      <c r="A127" s="104">
        <v>904132</v>
      </c>
      <c r="B127" s="104" t="s">
        <v>4480</v>
      </c>
      <c r="C127" s="104" t="s">
        <v>3988</v>
      </c>
      <c r="D127" s="104">
        <v>2002</v>
      </c>
      <c r="E127" s="104">
        <v>2</v>
      </c>
      <c r="F127" s="104">
        <v>1</v>
      </c>
      <c r="G127" s="104">
        <v>0</v>
      </c>
      <c r="H127" s="104" t="s">
        <v>4481</v>
      </c>
      <c r="I127" s="211">
        <v>999</v>
      </c>
      <c r="J127" s="250" t="b">
        <v>1</v>
      </c>
      <c r="K127" s="104">
        <v>15</v>
      </c>
      <c r="L127" s="84">
        <v>225</v>
      </c>
      <c r="M127" s="84">
        <v>300</v>
      </c>
      <c r="N127" s="104" t="s">
        <v>3383</v>
      </c>
      <c r="O127" s="104"/>
      <c r="P127" s="104">
        <v>1</v>
      </c>
      <c r="Q127" s="104"/>
      <c r="R127" s="104">
        <v>0</v>
      </c>
      <c r="S127" s="104" t="s">
        <v>3990</v>
      </c>
      <c r="T127" s="104" t="s">
        <v>4482</v>
      </c>
      <c r="U127" s="104" t="s">
        <v>4483</v>
      </c>
      <c r="V127" s="104" t="s">
        <v>3993</v>
      </c>
      <c r="X127" s="197">
        <v>1</v>
      </c>
      <c r="Y127" s="197">
        <v>1</v>
      </c>
      <c r="Z127" s="199">
        <v>0</v>
      </c>
      <c r="AA127" s="199">
        <v>1</v>
      </c>
    </row>
    <row r="128" spans="1:27" x14ac:dyDescent="0.15">
      <c r="A128" s="104">
        <v>904133</v>
      </c>
      <c r="B128" s="104" t="s">
        <v>4484</v>
      </c>
      <c r="C128" s="104" t="s">
        <v>3988</v>
      </c>
      <c r="D128" s="104">
        <v>2003</v>
      </c>
      <c r="E128" s="104">
        <v>2</v>
      </c>
      <c r="F128" s="104">
        <v>1</v>
      </c>
      <c r="G128" s="104">
        <v>0</v>
      </c>
      <c r="H128" s="104" t="s">
        <v>4485</v>
      </c>
      <c r="I128" s="211">
        <v>999</v>
      </c>
      <c r="J128" s="250" t="b">
        <v>1</v>
      </c>
      <c r="K128" s="104">
        <v>15</v>
      </c>
      <c r="L128" s="84">
        <v>225</v>
      </c>
      <c r="M128" s="84">
        <v>300</v>
      </c>
      <c r="N128" s="104" t="s">
        <v>3383</v>
      </c>
      <c r="O128" s="104"/>
      <c r="P128" s="104">
        <v>1</v>
      </c>
      <c r="Q128" s="104"/>
      <c r="R128" s="104">
        <v>0</v>
      </c>
      <c r="S128" s="104" t="s">
        <v>3990</v>
      </c>
      <c r="T128" s="104" t="s">
        <v>4486</v>
      </c>
      <c r="U128" s="104" t="s">
        <v>4487</v>
      </c>
      <c r="V128" s="104" t="s">
        <v>3993</v>
      </c>
      <c r="X128" s="197">
        <v>1</v>
      </c>
      <c r="Y128" s="197">
        <v>1</v>
      </c>
      <c r="Z128" s="199">
        <v>0</v>
      </c>
      <c r="AA128" s="199">
        <v>2</v>
      </c>
    </row>
    <row r="129" spans="1:27" x14ac:dyDescent="0.15">
      <c r="A129" s="104">
        <v>904134</v>
      </c>
      <c r="B129" s="104" t="s">
        <v>4488</v>
      </c>
      <c r="C129" s="104" t="s">
        <v>3988</v>
      </c>
      <c r="D129" s="104">
        <v>2004</v>
      </c>
      <c r="E129" s="104">
        <v>2</v>
      </c>
      <c r="F129" s="104">
        <v>1</v>
      </c>
      <c r="G129" s="104">
        <v>0</v>
      </c>
      <c r="H129" s="104" t="s">
        <v>4489</v>
      </c>
      <c r="I129" s="211">
        <v>999</v>
      </c>
      <c r="J129" s="250" t="b">
        <v>1</v>
      </c>
      <c r="K129" s="104">
        <v>15</v>
      </c>
      <c r="L129" s="84">
        <v>225</v>
      </c>
      <c r="M129" s="84">
        <v>300</v>
      </c>
      <c r="N129" s="104" t="s">
        <v>3383</v>
      </c>
      <c r="O129" s="104"/>
      <c r="P129" s="104">
        <v>1</v>
      </c>
      <c r="Q129" s="104"/>
      <c r="R129" s="104">
        <v>0</v>
      </c>
      <c r="S129" s="104" t="s">
        <v>3990</v>
      </c>
      <c r="T129" s="104" t="s">
        <v>4490</v>
      </c>
      <c r="U129" s="104" t="s">
        <v>4491</v>
      </c>
      <c r="V129" s="104" t="s">
        <v>3993</v>
      </c>
      <c r="X129" s="197">
        <v>1</v>
      </c>
      <c r="Y129" s="197">
        <v>1</v>
      </c>
      <c r="Z129" s="199">
        <v>0</v>
      </c>
      <c r="AA129" s="199">
        <v>3</v>
      </c>
    </row>
    <row r="130" spans="1:27" x14ac:dyDescent="0.15">
      <c r="A130" s="104">
        <v>904135</v>
      </c>
      <c r="B130" s="505" t="s">
        <v>10171</v>
      </c>
      <c r="C130" s="104" t="s">
        <v>3988</v>
      </c>
      <c r="D130" s="84">
        <v>3011</v>
      </c>
      <c r="E130" s="104">
        <v>2</v>
      </c>
      <c r="F130" s="104">
        <v>1</v>
      </c>
      <c r="G130" s="104">
        <v>0</v>
      </c>
      <c r="H130" s="510" t="s">
        <v>10185</v>
      </c>
      <c r="I130" s="211">
        <v>999</v>
      </c>
      <c r="J130" s="250" t="b">
        <v>1</v>
      </c>
      <c r="K130" s="104">
        <v>15</v>
      </c>
      <c r="L130" s="84">
        <v>225</v>
      </c>
      <c r="M130" s="84">
        <v>300</v>
      </c>
      <c r="N130" s="104" t="s">
        <v>3383</v>
      </c>
      <c r="O130" s="104"/>
      <c r="P130" s="104">
        <v>1</v>
      </c>
      <c r="Q130" s="104"/>
      <c r="R130" s="104">
        <v>0</v>
      </c>
      <c r="S130" s="104" t="s">
        <v>3990</v>
      </c>
      <c r="T130" s="505" t="s">
        <v>10173</v>
      </c>
      <c r="U130" s="505" t="s">
        <v>10162</v>
      </c>
      <c r="V130" s="104" t="s">
        <v>3993</v>
      </c>
      <c r="X130" s="197">
        <v>1</v>
      </c>
      <c r="Y130" s="197">
        <v>1</v>
      </c>
      <c r="Z130" s="199">
        <v>2</v>
      </c>
      <c r="AA130" s="199">
        <v>3</v>
      </c>
    </row>
  </sheetData>
  <phoneticPr fontId="45" type="noConversion"/>
  <conditionalFormatting sqref="B54 B56">
    <cfRule type="duplicateValues" dxfId="76" priority="21"/>
    <cfRule type="duplicateValues" dxfId="75" priority="22"/>
  </conditionalFormatting>
  <conditionalFormatting sqref="B57:B65 B69:B83 B90:B92 B96:B107">
    <cfRule type="duplicateValues" dxfId="74" priority="27"/>
    <cfRule type="duplicateValues" dxfId="73" priority="28"/>
  </conditionalFormatting>
  <conditionalFormatting sqref="B66:B68">
    <cfRule type="duplicateValues" dxfId="72" priority="19"/>
    <cfRule type="duplicateValues" dxfId="71" priority="20"/>
  </conditionalFormatting>
  <conditionalFormatting sqref="B84:B86">
    <cfRule type="duplicateValues" dxfId="70" priority="23"/>
    <cfRule type="duplicateValues" dxfId="69" priority="24"/>
  </conditionalFormatting>
  <conditionalFormatting sqref="B87:B89">
    <cfRule type="duplicateValues" dxfId="68" priority="17"/>
    <cfRule type="duplicateValues" dxfId="67" priority="18"/>
  </conditionalFormatting>
  <conditionalFormatting sqref="B93">
    <cfRule type="duplicateValues" dxfId="66" priority="25"/>
    <cfRule type="duplicateValues" dxfId="65" priority="26"/>
  </conditionalFormatting>
  <conditionalFormatting sqref="B94:B95">
    <cfRule type="duplicateValues" dxfId="64" priority="15"/>
    <cfRule type="duplicateValues" dxfId="63" priority="16"/>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AA130"/>
  <sheetViews>
    <sheetView tabSelected="1" topLeftCell="A115" workbookViewId="0">
      <pane xSplit="2" topLeftCell="T1" activePane="topRight" state="frozen"/>
      <selection pane="topRight" activeCell="T135" sqref="T135"/>
    </sheetView>
  </sheetViews>
  <sheetFormatPr defaultColWidth="9" defaultRowHeight="13.5" x14ac:dyDescent="0.15"/>
  <cols>
    <col min="2" max="2" width="50.875" customWidth="1"/>
    <col min="3" max="4" width="13.25" customWidth="1"/>
    <col min="7" max="7" width="11.375" customWidth="1"/>
    <col min="8" max="8" width="19" customWidth="1"/>
    <col min="11" max="11" width="13.75" customWidth="1"/>
    <col min="12" max="12" width="19.25" customWidth="1"/>
    <col min="13" max="14" width="14.125" customWidth="1"/>
    <col min="15" max="16" width="14.5" customWidth="1"/>
    <col min="17" max="18" width="17.25" customWidth="1"/>
    <col min="20" max="20" width="37.75" style="10" customWidth="1"/>
    <col min="21" max="21" width="23.625" customWidth="1"/>
    <col min="22" max="22" width="14.5" customWidth="1"/>
    <col min="26" max="27" width="9" style="199"/>
  </cols>
  <sheetData>
    <row r="1" spans="1:27" ht="27" x14ac:dyDescent="0.15">
      <c r="A1" s="196" t="s">
        <v>0</v>
      </c>
      <c r="B1" s="196" t="s">
        <v>1</v>
      </c>
      <c r="C1" s="196" t="s">
        <v>3</v>
      </c>
      <c r="D1" s="196" t="s">
        <v>3367</v>
      </c>
      <c r="E1" s="196" t="s">
        <v>7</v>
      </c>
      <c r="F1" s="196" t="s">
        <v>9</v>
      </c>
      <c r="G1" s="196" t="s">
        <v>10</v>
      </c>
      <c r="H1" s="196" t="s">
        <v>3369</v>
      </c>
      <c r="I1" s="196" t="s">
        <v>16</v>
      </c>
      <c r="J1" s="196" t="s">
        <v>17</v>
      </c>
      <c r="K1" s="196" t="s">
        <v>18</v>
      </c>
      <c r="L1" s="195" t="s">
        <v>19</v>
      </c>
      <c r="M1" s="195" t="s">
        <v>20</v>
      </c>
      <c r="N1" s="196" t="s">
        <v>3371</v>
      </c>
      <c r="O1" s="196" t="s">
        <v>3372</v>
      </c>
      <c r="P1" s="196" t="s">
        <v>22</v>
      </c>
      <c r="Q1" s="196" t="s">
        <v>3585</v>
      </c>
      <c r="R1" s="196" t="s">
        <v>3375</v>
      </c>
      <c r="S1" s="196" t="s">
        <v>23</v>
      </c>
      <c r="T1" s="196" t="s">
        <v>24</v>
      </c>
      <c r="U1" s="196" t="s">
        <v>3376</v>
      </c>
      <c r="V1" s="196" t="s">
        <v>26</v>
      </c>
      <c r="W1" s="196" t="s">
        <v>27</v>
      </c>
      <c r="X1" s="197" t="s">
        <v>28</v>
      </c>
      <c r="Y1" s="197" t="s">
        <v>29</v>
      </c>
      <c r="Z1" s="199" t="s">
        <v>3985</v>
      </c>
      <c r="AA1" s="199" t="s">
        <v>3986</v>
      </c>
    </row>
    <row r="2" spans="1:27" s="5" customFormat="1" ht="17.25" x14ac:dyDescent="0.3">
      <c r="A2" s="84">
        <v>904001</v>
      </c>
      <c r="B2" s="206" t="s">
        <v>4492</v>
      </c>
      <c r="C2" s="84" t="s">
        <v>3988</v>
      </c>
      <c r="D2" s="84">
        <v>1001</v>
      </c>
      <c r="E2" s="84">
        <v>2</v>
      </c>
      <c r="F2" s="84">
        <v>1</v>
      </c>
      <c r="G2" s="84">
        <v>0</v>
      </c>
      <c r="H2" s="84" t="s">
        <v>3989</v>
      </c>
      <c r="I2" s="157">
        <v>999</v>
      </c>
      <c r="J2" s="84" t="b">
        <v>1</v>
      </c>
      <c r="K2" s="84">
        <v>15</v>
      </c>
      <c r="L2" s="84">
        <v>225</v>
      </c>
      <c r="M2" s="84">
        <v>300</v>
      </c>
      <c r="N2" s="84" t="s">
        <v>3383</v>
      </c>
      <c r="O2" s="84"/>
      <c r="P2" s="84">
        <v>1</v>
      </c>
      <c r="Q2" s="84"/>
      <c r="R2" s="84">
        <v>0</v>
      </c>
      <c r="S2" s="84" t="s">
        <v>3990</v>
      </c>
      <c r="T2" s="206" t="s">
        <v>4493</v>
      </c>
      <c r="U2" s="206" t="s">
        <v>4494</v>
      </c>
      <c r="V2" s="84" t="s">
        <v>3993</v>
      </c>
      <c r="X2" s="197">
        <v>1</v>
      </c>
      <c r="Y2" s="197">
        <v>1</v>
      </c>
      <c r="Z2" s="356">
        <v>0</v>
      </c>
      <c r="AA2" s="356">
        <v>1</v>
      </c>
    </row>
    <row r="3" spans="1:27" s="5" customFormat="1" ht="17.25" x14ac:dyDescent="0.3">
      <c r="A3" s="84">
        <v>904002</v>
      </c>
      <c r="B3" s="206" t="s">
        <v>4495</v>
      </c>
      <c r="C3" s="84" t="s">
        <v>3988</v>
      </c>
      <c r="D3" s="84">
        <v>1001</v>
      </c>
      <c r="E3" s="84">
        <v>2</v>
      </c>
      <c r="F3" s="84">
        <v>1</v>
      </c>
      <c r="G3" s="84">
        <v>0</v>
      </c>
      <c r="H3" s="84" t="s">
        <v>3995</v>
      </c>
      <c r="I3" s="157">
        <v>999</v>
      </c>
      <c r="J3" s="84" t="b">
        <v>1</v>
      </c>
      <c r="K3" s="84">
        <v>15</v>
      </c>
      <c r="L3" s="84">
        <v>225</v>
      </c>
      <c r="M3" s="84">
        <v>300</v>
      </c>
      <c r="N3" s="84" t="s">
        <v>3383</v>
      </c>
      <c r="O3" s="84"/>
      <c r="P3" s="84">
        <v>1</v>
      </c>
      <c r="Q3" s="84"/>
      <c r="R3" s="84">
        <v>0</v>
      </c>
      <c r="S3" s="84" t="s">
        <v>3990</v>
      </c>
      <c r="T3" s="206" t="s">
        <v>4496</v>
      </c>
      <c r="U3" s="206" t="s">
        <v>4497</v>
      </c>
      <c r="V3" s="84" t="s">
        <v>3993</v>
      </c>
      <c r="X3" s="197">
        <v>1</v>
      </c>
      <c r="Y3" s="197">
        <v>1</v>
      </c>
      <c r="Z3" s="356">
        <v>0</v>
      </c>
      <c r="AA3" s="356">
        <v>1</v>
      </c>
    </row>
    <row r="4" spans="1:27" s="5" customFormat="1" ht="17.25" x14ac:dyDescent="0.3">
      <c r="A4" s="84">
        <v>904003</v>
      </c>
      <c r="B4" s="206" t="s">
        <v>4498</v>
      </c>
      <c r="C4" s="84" t="s">
        <v>3988</v>
      </c>
      <c r="D4" s="84">
        <v>1001</v>
      </c>
      <c r="E4" s="84">
        <v>2</v>
      </c>
      <c r="F4" s="84">
        <v>1</v>
      </c>
      <c r="G4" s="84">
        <v>0</v>
      </c>
      <c r="H4" s="84" t="s">
        <v>3999</v>
      </c>
      <c r="I4" s="157">
        <v>999</v>
      </c>
      <c r="J4" s="84" t="b">
        <v>1</v>
      </c>
      <c r="K4" s="84">
        <v>15</v>
      </c>
      <c r="L4" s="84">
        <v>225</v>
      </c>
      <c r="M4" s="84">
        <v>300</v>
      </c>
      <c r="N4" s="84" t="s">
        <v>3383</v>
      </c>
      <c r="O4" s="84"/>
      <c r="P4" s="84">
        <v>1</v>
      </c>
      <c r="Q4" s="84"/>
      <c r="R4" s="84">
        <v>0</v>
      </c>
      <c r="S4" s="84" t="s">
        <v>3990</v>
      </c>
      <c r="T4" s="206" t="s">
        <v>4499</v>
      </c>
      <c r="U4" s="206" t="s">
        <v>4500</v>
      </c>
      <c r="V4" s="84" t="s">
        <v>3993</v>
      </c>
      <c r="X4" s="197">
        <v>1</v>
      </c>
      <c r="Y4" s="197">
        <v>1</v>
      </c>
      <c r="Z4" s="356">
        <v>0</v>
      </c>
      <c r="AA4" s="356">
        <v>1</v>
      </c>
    </row>
    <row r="5" spans="1:27" s="5" customFormat="1" ht="17.25" x14ac:dyDescent="0.3">
      <c r="A5" s="84">
        <v>904004</v>
      </c>
      <c r="B5" s="206" t="s">
        <v>4501</v>
      </c>
      <c r="C5" s="84" t="s">
        <v>3988</v>
      </c>
      <c r="D5" s="84">
        <v>1001</v>
      </c>
      <c r="E5" s="84">
        <v>2</v>
      </c>
      <c r="F5" s="84">
        <v>1</v>
      </c>
      <c r="G5" s="84">
        <v>0</v>
      </c>
      <c r="H5" s="84" t="s">
        <v>4003</v>
      </c>
      <c r="I5" s="157">
        <v>999</v>
      </c>
      <c r="J5" s="84" t="b">
        <v>1</v>
      </c>
      <c r="K5" s="84">
        <v>15</v>
      </c>
      <c r="L5" s="84">
        <v>225</v>
      </c>
      <c r="M5" s="84">
        <v>300</v>
      </c>
      <c r="N5" s="84" t="s">
        <v>3383</v>
      </c>
      <c r="O5" s="84"/>
      <c r="P5" s="84">
        <v>1</v>
      </c>
      <c r="Q5" s="84"/>
      <c r="R5" s="84">
        <v>0</v>
      </c>
      <c r="S5" s="84" t="s">
        <v>3990</v>
      </c>
      <c r="T5" s="206" t="s">
        <v>4502</v>
      </c>
      <c r="U5" s="206" t="s">
        <v>4503</v>
      </c>
      <c r="V5" s="84" t="s">
        <v>3993</v>
      </c>
      <c r="X5" s="197">
        <v>1</v>
      </c>
      <c r="Y5" s="197">
        <v>1</v>
      </c>
      <c r="Z5" s="356">
        <v>0</v>
      </c>
      <c r="AA5" s="356">
        <v>1</v>
      </c>
    </row>
    <row r="6" spans="1:27" s="5" customFormat="1" ht="17.25" x14ac:dyDescent="0.3">
      <c r="A6" s="84">
        <v>904011</v>
      </c>
      <c r="B6" s="206" t="s">
        <v>4504</v>
      </c>
      <c r="C6" s="84" t="s">
        <v>3988</v>
      </c>
      <c r="D6" s="84">
        <v>2001</v>
      </c>
      <c r="E6" s="84">
        <v>2</v>
      </c>
      <c r="F6" s="84">
        <v>1</v>
      </c>
      <c r="G6" s="84">
        <v>0</v>
      </c>
      <c r="H6" s="84" t="s">
        <v>4007</v>
      </c>
      <c r="I6" s="157">
        <v>999</v>
      </c>
      <c r="J6" s="84" t="b">
        <v>1</v>
      </c>
      <c r="K6" s="84">
        <v>15</v>
      </c>
      <c r="L6" s="84">
        <v>225</v>
      </c>
      <c r="M6" s="84">
        <v>300</v>
      </c>
      <c r="N6" s="84" t="s">
        <v>3383</v>
      </c>
      <c r="O6" s="84"/>
      <c r="P6" s="84">
        <v>1</v>
      </c>
      <c r="Q6" s="84"/>
      <c r="R6" s="84">
        <v>0</v>
      </c>
      <c r="S6" s="84" t="s">
        <v>3990</v>
      </c>
      <c r="T6" s="206" t="s">
        <v>4505</v>
      </c>
      <c r="U6" s="206" t="s">
        <v>4506</v>
      </c>
      <c r="V6" s="84" t="s">
        <v>3993</v>
      </c>
      <c r="X6" s="197">
        <v>1</v>
      </c>
      <c r="Y6" s="197">
        <v>1</v>
      </c>
      <c r="Z6" s="356">
        <v>2</v>
      </c>
      <c r="AA6" s="356">
        <v>1</v>
      </c>
    </row>
    <row r="7" spans="1:27" s="5" customFormat="1" ht="17.25" x14ac:dyDescent="0.3">
      <c r="A7" s="84">
        <v>904012</v>
      </c>
      <c r="B7" s="206" t="s">
        <v>4507</v>
      </c>
      <c r="C7" s="84" t="s">
        <v>3988</v>
      </c>
      <c r="D7" s="84">
        <v>2001</v>
      </c>
      <c r="E7" s="84">
        <v>2</v>
      </c>
      <c r="F7" s="84">
        <v>1</v>
      </c>
      <c r="G7" s="84">
        <v>0</v>
      </c>
      <c r="H7" s="84" t="s">
        <v>4011</v>
      </c>
      <c r="I7" s="157">
        <v>999</v>
      </c>
      <c r="J7" s="84" t="b">
        <v>1</v>
      </c>
      <c r="K7" s="84">
        <v>15</v>
      </c>
      <c r="L7" s="84">
        <v>225</v>
      </c>
      <c r="M7" s="84">
        <v>300</v>
      </c>
      <c r="N7" s="84" t="s">
        <v>3383</v>
      </c>
      <c r="O7" s="84"/>
      <c r="P7" s="84">
        <v>1</v>
      </c>
      <c r="Q7" s="84"/>
      <c r="R7" s="84">
        <v>0</v>
      </c>
      <c r="S7" s="84" t="s">
        <v>3990</v>
      </c>
      <c r="T7" s="206" t="s">
        <v>4508</v>
      </c>
      <c r="U7" s="206" t="s">
        <v>4509</v>
      </c>
      <c r="V7" s="84" t="s">
        <v>3993</v>
      </c>
      <c r="X7" s="197">
        <v>1</v>
      </c>
      <c r="Y7" s="197">
        <v>1</v>
      </c>
      <c r="Z7" s="356">
        <v>5</v>
      </c>
      <c r="AA7" s="356">
        <v>1</v>
      </c>
    </row>
    <row r="8" spans="1:27" s="5" customFormat="1" ht="17.25" x14ac:dyDescent="0.3">
      <c r="A8" s="84">
        <v>904013</v>
      </c>
      <c r="B8" s="206" t="s">
        <v>4510</v>
      </c>
      <c r="C8" s="84" t="s">
        <v>3988</v>
      </c>
      <c r="D8" s="84">
        <v>2001</v>
      </c>
      <c r="E8" s="84">
        <v>2</v>
      </c>
      <c r="F8" s="84">
        <v>1</v>
      </c>
      <c r="G8" s="84">
        <v>0</v>
      </c>
      <c r="H8" s="84" t="s">
        <v>4015</v>
      </c>
      <c r="I8" s="157">
        <v>999</v>
      </c>
      <c r="J8" s="84" t="b">
        <v>1</v>
      </c>
      <c r="K8" s="84">
        <v>15</v>
      </c>
      <c r="L8" s="84">
        <v>225</v>
      </c>
      <c r="M8" s="84">
        <v>300</v>
      </c>
      <c r="N8" s="84" t="s">
        <v>3383</v>
      </c>
      <c r="O8" s="84"/>
      <c r="P8" s="84">
        <v>1</v>
      </c>
      <c r="Q8" s="84"/>
      <c r="R8" s="84">
        <v>0</v>
      </c>
      <c r="S8" s="84" t="s">
        <v>3990</v>
      </c>
      <c r="T8" s="206" t="s">
        <v>4511</v>
      </c>
      <c r="U8" s="206" t="s">
        <v>4512</v>
      </c>
      <c r="V8" s="84" t="s">
        <v>3993</v>
      </c>
      <c r="X8" s="197">
        <v>1</v>
      </c>
      <c r="Y8" s="197">
        <v>1</v>
      </c>
      <c r="Z8" s="356">
        <v>14</v>
      </c>
      <c r="AA8" s="356">
        <v>1</v>
      </c>
    </row>
    <row r="9" spans="1:27" s="5" customFormat="1" ht="17.25" x14ac:dyDescent="0.3">
      <c r="A9" s="84">
        <v>904014</v>
      </c>
      <c r="B9" s="206" t="s">
        <v>4513</v>
      </c>
      <c r="C9" s="84" t="s">
        <v>3988</v>
      </c>
      <c r="D9" s="84">
        <v>2001</v>
      </c>
      <c r="E9" s="84">
        <v>2</v>
      </c>
      <c r="F9" s="84">
        <v>1</v>
      </c>
      <c r="G9" s="84">
        <v>0</v>
      </c>
      <c r="H9" s="84" t="s">
        <v>4019</v>
      </c>
      <c r="I9" s="157">
        <v>999</v>
      </c>
      <c r="J9" s="84" t="b">
        <v>1</v>
      </c>
      <c r="K9" s="84">
        <v>15</v>
      </c>
      <c r="L9" s="84">
        <v>225</v>
      </c>
      <c r="M9" s="84">
        <v>300</v>
      </c>
      <c r="N9" s="84" t="s">
        <v>3383</v>
      </c>
      <c r="O9" s="84"/>
      <c r="P9" s="84">
        <v>1</v>
      </c>
      <c r="Q9" s="84"/>
      <c r="R9" s="84">
        <v>0</v>
      </c>
      <c r="S9" s="84" t="s">
        <v>3990</v>
      </c>
      <c r="T9" s="206" t="s">
        <v>4514</v>
      </c>
      <c r="U9" s="206" t="s">
        <v>4515</v>
      </c>
      <c r="V9" s="84" t="s">
        <v>3993</v>
      </c>
      <c r="X9" s="197">
        <v>1</v>
      </c>
      <c r="Y9" s="197">
        <v>1</v>
      </c>
      <c r="Z9" s="356">
        <v>5</v>
      </c>
      <c r="AA9" s="356">
        <v>1</v>
      </c>
    </row>
    <row r="10" spans="1:27" s="5" customFormat="1" ht="17.25" x14ac:dyDescent="0.3">
      <c r="A10" s="84">
        <v>904015</v>
      </c>
      <c r="B10" s="206" t="s">
        <v>4516</v>
      </c>
      <c r="C10" s="84" t="s">
        <v>3988</v>
      </c>
      <c r="D10" s="84">
        <v>2002</v>
      </c>
      <c r="E10" s="84">
        <v>2</v>
      </c>
      <c r="F10" s="84">
        <v>1</v>
      </c>
      <c r="G10" s="84">
        <v>0</v>
      </c>
      <c r="H10" s="84" t="s">
        <v>4023</v>
      </c>
      <c r="I10" s="157">
        <v>999</v>
      </c>
      <c r="J10" s="84" t="b">
        <v>1</v>
      </c>
      <c r="K10" s="84">
        <v>15</v>
      </c>
      <c r="L10" s="84">
        <v>225</v>
      </c>
      <c r="M10" s="84">
        <v>300</v>
      </c>
      <c r="N10" s="84" t="s">
        <v>3383</v>
      </c>
      <c r="O10" s="84"/>
      <c r="P10" s="84">
        <v>1</v>
      </c>
      <c r="Q10" s="84"/>
      <c r="R10" s="84">
        <v>0</v>
      </c>
      <c r="S10" s="84" t="s">
        <v>3990</v>
      </c>
      <c r="T10" s="206" t="s">
        <v>4517</v>
      </c>
      <c r="U10" s="206" t="s">
        <v>4518</v>
      </c>
      <c r="V10" s="84" t="s">
        <v>3993</v>
      </c>
      <c r="X10" s="197">
        <v>1</v>
      </c>
      <c r="Y10" s="197">
        <v>1</v>
      </c>
      <c r="Z10" s="356">
        <v>2</v>
      </c>
      <c r="AA10" s="356">
        <v>1</v>
      </c>
    </row>
    <row r="11" spans="1:27" s="5" customFormat="1" ht="17.25" x14ac:dyDescent="0.3">
      <c r="A11" s="84">
        <v>904016</v>
      </c>
      <c r="B11" s="206" t="s">
        <v>4519</v>
      </c>
      <c r="C11" s="84" t="s">
        <v>3988</v>
      </c>
      <c r="D11" s="84">
        <v>2002</v>
      </c>
      <c r="E11" s="84">
        <v>2</v>
      </c>
      <c r="F11" s="84">
        <v>1</v>
      </c>
      <c r="G11" s="84">
        <v>0</v>
      </c>
      <c r="H11" s="84" t="s">
        <v>4027</v>
      </c>
      <c r="I11" s="157">
        <v>999</v>
      </c>
      <c r="J11" s="84" t="b">
        <v>1</v>
      </c>
      <c r="K11" s="84">
        <v>15</v>
      </c>
      <c r="L11" s="84">
        <v>225</v>
      </c>
      <c r="M11" s="84">
        <v>300</v>
      </c>
      <c r="N11" s="84" t="s">
        <v>3383</v>
      </c>
      <c r="O11" s="84"/>
      <c r="P11" s="84">
        <v>1</v>
      </c>
      <c r="Q11" s="84"/>
      <c r="R11" s="84">
        <v>0</v>
      </c>
      <c r="S11" s="84" t="s">
        <v>3990</v>
      </c>
      <c r="T11" s="206" t="s">
        <v>4520</v>
      </c>
      <c r="U11" s="206" t="s">
        <v>4521</v>
      </c>
      <c r="V11" s="84" t="s">
        <v>3993</v>
      </c>
      <c r="X11" s="197">
        <v>1</v>
      </c>
      <c r="Y11" s="197">
        <v>1</v>
      </c>
      <c r="Z11" s="356">
        <v>1</v>
      </c>
      <c r="AA11" s="356">
        <v>1</v>
      </c>
    </row>
    <row r="12" spans="1:27" s="5" customFormat="1" ht="17.25" x14ac:dyDescent="0.3">
      <c r="A12" s="84">
        <v>904017</v>
      </c>
      <c r="B12" s="206" t="s">
        <v>4522</v>
      </c>
      <c r="C12" s="84" t="s">
        <v>3988</v>
      </c>
      <c r="D12" s="84">
        <v>2002</v>
      </c>
      <c r="E12" s="84">
        <v>2</v>
      </c>
      <c r="F12" s="84">
        <v>1</v>
      </c>
      <c r="G12" s="84">
        <v>0</v>
      </c>
      <c r="H12" s="84" t="s">
        <v>4031</v>
      </c>
      <c r="I12" s="157">
        <v>999</v>
      </c>
      <c r="J12" s="84" t="b">
        <v>1</v>
      </c>
      <c r="K12" s="84">
        <v>15</v>
      </c>
      <c r="L12" s="84">
        <v>225</v>
      </c>
      <c r="M12" s="84">
        <v>300</v>
      </c>
      <c r="N12" s="84" t="s">
        <v>3383</v>
      </c>
      <c r="O12" s="84"/>
      <c r="P12" s="84">
        <v>1</v>
      </c>
      <c r="Q12" s="84"/>
      <c r="R12" s="84">
        <v>0</v>
      </c>
      <c r="S12" s="84" t="s">
        <v>3990</v>
      </c>
      <c r="T12" s="206" t="s">
        <v>4523</v>
      </c>
      <c r="U12" s="206" t="s">
        <v>4524</v>
      </c>
      <c r="V12" s="84" t="s">
        <v>3993</v>
      </c>
      <c r="X12" s="197">
        <v>1</v>
      </c>
      <c r="Y12" s="197">
        <v>1</v>
      </c>
      <c r="Z12" s="356">
        <v>4</v>
      </c>
      <c r="AA12" s="356">
        <v>2</v>
      </c>
    </row>
    <row r="13" spans="1:27" s="5" customFormat="1" ht="17.25" x14ac:dyDescent="0.3">
      <c r="A13" s="84">
        <v>904018</v>
      </c>
      <c r="B13" s="206" t="s">
        <v>4525</v>
      </c>
      <c r="C13" s="84" t="s">
        <v>3988</v>
      </c>
      <c r="D13" s="84">
        <v>2002</v>
      </c>
      <c r="E13" s="84">
        <v>2</v>
      </c>
      <c r="F13" s="84">
        <v>1</v>
      </c>
      <c r="G13" s="84">
        <v>0</v>
      </c>
      <c r="H13" s="84" t="s">
        <v>4035</v>
      </c>
      <c r="I13" s="157">
        <v>999</v>
      </c>
      <c r="J13" s="84" t="b">
        <v>1</v>
      </c>
      <c r="K13" s="84">
        <v>15</v>
      </c>
      <c r="L13" s="84">
        <v>225</v>
      </c>
      <c r="M13" s="84">
        <v>300</v>
      </c>
      <c r="N13" s="84" t="s">
        <v>3383</v>
      </c>
      <c r="O13" s="84"/>
      <c r="P13" s="84">
        <v>1</v>
      </c>
      <c r="Q13" s="84"/>
      <c r="R13" s="84">
        <v>0</v>
      </c>
      <c r="S13" s="84" t="s">
        <v>3990</v>
      </c>
      <c r="T13" s="206" t="s">
        <v>4526</v>
      </c>
      <c r="U13" s="206" t="s">
        <v>4527</v>
      </c>
      <c r="V13" s="84" t="s">
        <v>3993</v>
      </c>
      <c r="X13" s="197">
        <v>1</v>
      </c>
      <c r="Y13" s="197">
        <v>1</v>
      </c>
      <c r="Z13" s="356">
        <v>4</v>
      </c>
      <c r="AA13" s="356">
        <v>1</v>
      </c>
    </row>
    <row r="14" spans="1:27" s="5" customFormat="1" ht="17.25" x14ac:dyDescent="0.3">
      <c r="A14" s="84">
        <v>904019</v>
      </c>
      <c r="B14" s="206" t="s">
        <v>4528</v>
      </c>
      <c r="C14" s="84" t="s">
        <v>3988</v>
      </c>
      <c r="D14" s="84">
        <v>2003</v>
      </c>
      <c r="E14" s="84">
        <v>2</v>
      </c>
      <c r="F14" s="84">
        <v>1</v>
      </c>
      <c r="G14" s="84">
        <v>0</v>
      </c>
      <c r="H14" s="84" t="s">
        <v>4039</v>
      </c>
      <c r="I14" s="157">
        <v>999</v>
      </c>
      <c r="J14" s="84" t="b">
        <v>1</v>
      </c>
      <c r="K14" s="84">
        <v>15</v>
      </c>
      <c r="L14" s="84">
        <v>225</v>
      </c>
      <c r="M14" s="84">
        <v>300</v>
      </c>
      <c r="N14" s="84" t="s">
        <v>3383</v>
      </c>
      <c r="O14" s="84"/>
      <c r="P14" s="84">
        <v>1</v>
      </c>
      <c r="Q14" s="84"/>
      <c r="R14" s="84">
        <v>0</v>
      </c>
      <c r="S14" s="84" t="s">
        <v>3990</v>
      </c>
      <c r="T14" s="206" t="s">
        <v>4529</v>
      </c>
      <c r="U14" s="206" t="s">
        <v>4530</v>
      </c>
      <c r="V14" s="84" t="s">
        <v>3993</v>
      </c>
      <c r="X14" s="197">
        <v>1</v>
      </c>
      <c r="Y14" s="197">
        <v>1</v>
      </c>
      <c r="Z14" s="356">
        <v>14</v>
      </c>
      <c r="AA14" s="356">
        <v>2</v>
      </c>
    </row>
    <row r="15" spans="1:27" s="5" customFormat="1" ht="17.25" x14ac:dyDescent="0.3">
      <c r="A15" s="84">
        <v>904020</v>
      </c>
      <c r="B15" s="206" t="s">
        <v>4531</v>
      </c>
      <c r="C15" s="84" t="s">
        <v>3988</v>
      </c>
      <c r="D15" s="84">
        <v>2003</v>
      </c>
      <c r="E15" s="84">
        <v>2</v>
      </c>
      <c r="F15" s="84">
        <v>1</v>
      </c>
      <c r="G15" s="84">
        <v>0</v>
      </c>
      <c r="H15" s="84" t="s">
        <v>4043</v>
      </c>
      <c r="I15" s="157">
        <v>999</v>
      </c>
      <c r="J15" s="84" t="b">
        <v>1</v>
      </c>
      <c r="K15" s="84">
        <v>15</v>
      </c>
      <c r="L15" s="84">
        <v>225</v>
      </c>
      <c r="M15" s="84">
        <v>300</v>
      </c>
      <c r="N15" s="84" t="s">
        <v>3383</v>
      </c>
      <c r="O15" s="84"/>
      <c r="P15" s="84">
        <v>1</v>
      </c>
      <c r="Q15" s="84"/>
      <c r="R15" s="84">
        <v>0</v>
      </c>
      <c r="S15" s="84" t="s">
        <v>3990</v>
      </c>
      <c r="T15" s="206" t="s">
        <v>4532</v>
      </c>
      <c r="U15" s="206" t="s">
        <v>4533</v>
      </c>
      <c r="V15" s="84" t="s">
        <v>3993</v>
      </c>
      <c r="X15" s="197">
        <v>1</v>
      </c>
      <c r="Y15" s="197">
        <v>1</v>
      </c>
      <c r="Z15" s="356">
        <v>14</v>
      </c>
      <c r="AA15" s="356">
        <v>2</v>
      </c>
    </row>
    <row r="16" spans="1:27" ht="13.15" customHeight="1" x14ac:dyDescent="0.3">
      <c r="A16" s="84">
        <v>904021</v>
      </c>
      <c r="B16" s="206" t="s">
        <v>4534</v>
      </c>
      <c r="C16" s="84" t="s">
        <v>3988</v>
      </c>
      <c r="D16" s="84">
        <v>2003</v>
      </c>
      <c r="E16" s="84">
        <v>2</v>
      </c>
      <c r="F16" s="84">
        <v>0</v>
      </c>
      <c r="G16" s="84">
        <v>0</v>
      </c>
      <c r="H16" s="84" t="s">
        <v>4047</v>
      </c>
      <c r="I16" s="157">
        <v>999</v>
      </c>
      <c r="J16" s="84" t="b">
        <v>1</v>
      </c>
      <c r="K16" s="84">
        <v>15</v>
      </c>
      <c r="L16" s="84">
        <v>225</v>
      </c>
      <c r="M16" s="84">
        <v>300</v>
      </c>
      <c r="N16" s="84" t="s">
        <v>3383</v>
      </c>
      <c r="O16" s="84"/>
      <c r="P16" s="84">
        <v>1</v>
      </c>
      <c r="Q16" s="84"/>
      <c r="R16" s="84">
        <v>0</v>
      </c>
      <c r="S16" s="84" t="s">
        <v>3990</v>
      </c>
      <c r="T16" s="206" t="s">
        <v>4535</v>
      </c>
      <c r="U16" s="206" t="s">
        <v>4536</v>
      </c>
      <c r="V16" s="84" t="s">
        <v>3993</v>
      </c>
      <c r="X16" s="197">
        <v>1</v>
      </c>
      <c r="Y16" s="197">
        <v>1</v>
      </c>
      <c r="Z16" s="199">
        <v>12</v>
      </c>
      <c r="AA16" s="199">
        <v>3</v>
      </c>
    </row>
    <row r="17" spans="1:27" ht="13.15" customHeight="1" x14ac:dyDescent="0.3">
      <c r="A17" s="84">
        <v>904022</v>
      </c>
      <c r="B17" s="206" t="s">
        <v>4537</v>
      </c>
      <c r="C17" s="84" t="s">
        <v>3988</v>
      </c>
      <c r="D17" s="84">
        <v>2003</v>
      </c>
      <c r="E17" s="84">
        <v>2</v>
      </c>
      <c r="F17" s="84">
        <v>0</v>
      </c>
      <c r="G17" s="84">
        <v>0</v>
      </c>
      <c r="H17" s="84" t="s">
        <v>4051</v>
      </c>
      <c r="I17" s="157">
        <v>999</v>
      </c>
      <c r="J17" s="84" t="b">
        <v>1</v>
      </c>
      <c r="K17" s="84">
        <v>15</v>
      </c>
      <c r="L17" s="84">
        <v>225</v>
      </c>
      <c r="M17" s="84">
        <v>300</v>
      </c>
      <c r="N17" s="84" t="s">
        <v>3383</v>
      </c>
      <c r="O17" s="84"/>
      <c r="P17" s="84">
        <v>1</v>
      </c>
      <c r="Q17" s="84"/>
      <c r="R17" s="84">
        <v>0</v>
      </c>
      <c r="S17" s="84" t="s">
        <v>3990</v>
      </c>
      <c r="T17" s="206" t="s">
        <v>4535</v>
      </c>
      <c r="U17" s="206" t="s">
        <v>4536</v>
      </c>
      <c r="V17" s="84" t="s">
        <v>3993</v>
      </c>
      <c r="X17" s="197">
        <v>1</v>
      </c>
      <c r="Y17" s="197">
        <v>1</v>
      </c>
      <c r="Z17" s="199">
        <v>12</v>
      </c>
      <c r="AA17" s="199">
        <v>4</v>
      </c>
    </row>
    <row r="18" spans="1:27" ht="13.15" customHeight="1" x14ac:dyDescent="0.3">
      <c r="A18" s="84">
        <v>904023</v>
      </c>
      <c r="B18" s="206" t="s">
        <v>4538</v>
      </c>
      <c r="C18" s="84" t="s">
        <v>3988</v>
      </c>
      <c r="D18" s="84">
        <v>2003</v>
      </c>
      <c r="E18" s="84">
        <v>2</v>
      </c>
      <c r="F18" s="84">
        <v>0</v>
      </c>
      <c r="G18" s="84">
        <v>0</v>
      </c>
      <c r="H18" s="84" t="s">
        <v>4053</v>
      </c>
      <c r="I18" s="157">
        <v>999</v>
      </c>
      <c r="J18" s="84" t="b">
        <v>1</v>
      </c>
      <c r="K18" s="84">
        <v>15</v>
      </c>
      <c r="L18" s="84">
        <v>225</v>
      </c>
      <c r="M18" s="84">
        <v>300</v>
      </c>
      <c r="N18" s="84" t="s">
        <v>3383</v>
      </c>
      <c r="O18" s="84"/>
      <c r="P18" s="84">
        <v>1</v>
      </c>
      <c r="Q18" s="84"/>
      <c r="R18" s="84">
        <v>0</v>
      </c>
      <c r="S18" s="84" t="s">
        <v>3990</v>
      </c>
      <c r="T18" s="206" t="s">
        <v>4535</v>
      </c>
      <c r="U18" s="206" t="s">
        <v>4536</v>
      </c>
      <c r="V18" s="84" t="s">
        <v>3993</v>
      </c>
      <c r="X18" s="197">
        <v>1</v>
      </c>
      <c r="Y18" s="197">
        <v>1</v>
      </c>
      <c r="Z18" s="199">
        <v>12</v>
      </c>
      <c r="AA18" s="199">
        <v>4</v>
      </c>
    </row>
    <row r="19" spans="1:27" ht="13.15" customHeight="1" x14ac:dyDescent="0.3">
      <c r="A19" s="84">
        <v>904024</v>
      </c>
      <c r="B19" s="206" t="s">
        <v>4539</v>
      </c>
      <c r="C19" s="84" t="s">
        <v>3988</v>
      </c>
      <c r="D19" s="84">
        <v>2003</v>
      </c>
      <c r="E19" s="84">
        <v>2</v>
      </c>
      <c r="F19" s="84">
        <v>0</v>
      </c>
      <c r="G19" s="84">
        <v>0</v>
      </c>
      <c r="H19" s="84" t="s">
        <v>4055</v>
      </c>
      <c r="I19" s="157">
        <v>999</v>
      </c>
      <c r="J19" s="84" t="b">
        <v>1</v>
      </c>
      <c r="K19" s="84">
        <v>15</v>
      </c>
      <c r="L19" s="84">
        <v>225</v>
      </c>
      <c r="M19" s="84">
        <v>300</v>
      </c>
      <c r="N19" s="84" t="s">
        <v>3383</v>
      </c>
      <c r="O19" s="84"/>
      <c r="P19" s="84">
        <v>1</v>
      </c>
      <c r="Q19" s="84"/>
      <c r="R19" s="84">
        <v>0</v>
      </c>
      <c r="S19" s="84" t="s">
        <v>3990</v>
      </c>
      <c r="T19" s="206" t="s">
        <v>4535</v>
      </c>
      <c r="U19" s="206" t="s">
        <v>4536</v>
      </c>
      <c r="V19" s="84" t="s">
        <v>3993</v>
      </c>
      <c r="X19" s="197">
        <v>1</v>
      </c>
      <c r="Y19" s="197">
        <v>1</v>
      </c>
      <c r="Z19" s="199">
        <v>12</v>
      </c>
      <c r="AA19" s="199">
        <v>4</v>
      </c>
    </row>
    <row r="20" spans="1:27" ht="17.25" x14ac:dyDescent="0.3">
      <c r="A20" s="84">
        <v>904025</v>
      </c>
      <c r="B20" s="206" t="s">
        <v>4540</v>
      </c>
      <c r="C20" s="84" t="s">
        <v>3988</v>
      </c>
      <c r="D20" s="84">
        <v>2003</v>
      </c>
      <c r="E20" s="84">
        <v>2</v>
      </c>
      <c r="F20" s="84">
        <v>0</v>
      </c>
      <c r="G20" s="84">
        <v>0</v>
      </c>
      <c r="H20" s="84" t="s">
        <v>4057</v>
      </c>
      <c r="I20" s="157">
        <v>999</v>
      </c>
      <c r="J20" s="84" t="b">
        <v>1</v>
      </c>
      <c r="K20" s="84">
        <v>15</v>
      </c>
      <c r="L20" s="84">
        <v>225</v>
      </c>
      <c r="M20" s="84">
        <v>300</v>
      </c>
      <c r="N20" s="84" t="s">
        <v>3383</v>
      </c>
      <c r="O20" s="84"/>
      <c r="P20" s="84">
        <v>1</v>
      </c>
      <c r="Q20" s="84"/>
      <c r="R20" s="84">
        <v>0</v>
      </c>
      <c r="S20" s="84" t="s">
        <v>3990</v>
      </c>
      <c r="T20" s="206" t="s">
        <v>4535</v>
      </c>
      <c r="U20" s="206" t="s">
        <v>4541</v>
      </c>
      <c r="V20" s="84" t="s">
        <v>3993</v>
      </c>
      <c r="X20" s="197">
        <v>1</v>
      </c>
      <c r="Y20" s="197">
        <v>1</v>
      </c>
      <c r="Z20" s="199">
        <v>12</v>
      </c>
      <c r="AA20" s="199">
        <v>4</v>
      </c>
    </row>
    <row r="21" spans="1:27" ht="17.25" x14ac:dyDescent="0.3">
      <c r="A21" s="84">
        <v>904026</v>
      </c>
      <c r="B21" s="206" t="s">
        <v>4542</v>
      </c>
      <c r="C21" s="84" t="s">
        <v>3988</v>
      </c>
      <c r="D21" s="84">
        <v>2003</v>
      </c>
      <c r="E21" s="84">
        <v>2</v>
      </c>
      <c r="F21" s="84">
        <v>0</v>
      </c>
      <c r="G21" s="84">
        <v>0</v>
      </c>
      <c r="H21" s="84" t="s">
        <v>4060</v>
      </c>
      <c r="I21" s="157">
        <v>999</v>
      </c>
      <c r="J21" s="84" t="b">
        <v>1</v>
      </c>
      <c r="K21" s="84">
        <v>15</v>
      </c>
      <c r="L21" s="84">
        <v>225</v>
      </c>
      <c r="M21" s="84">
        <v>300</v>
      </c>
      <c r="N21" s="84" t="s">
        <v>3383</v>
      </c>
      <c r="O21" s="84"/>
      <c r="P21" s="84">
        <v>1</v>
      </c>
      <c r="Q21" s="84"/>
      <c r="R21" s="84">
        <v>0</v>
      </c>
      <c r="S21" s="84" t="s">
        <v>3990</v>
      </c>
      <c r="T21" s="206" t="s">
        <v>4543</v>
      </c>
      <c r="U21" s="206" t="s">
        <v>4544</v>
      </c>
      <c r="V21" s="84" t="s">
        <v>3993</v>
      </c>
      <c r="X21" s="197">
        <v>1</v>
      </c>
      <c r="Y21" s="197">
        <v>1</v>
      </c>
      <c r="Z21" s="199">
        <v>1</v>
      </c>
      <c r="AA21" s="199">
        <v>4</v>
      </c>
    </row>
    <row r="22" spans="1:27" ht="17.25" x14ac:dyDescent="0.3">
      <c r="A22" s="84">
        <v>904027</v>
      </c>
      <c r="B22" s="206" t="s">
        <v>4545</v>
      </c>
      <c r="C22" s="84" t="s">
        <v>3988</v>
      </c>
      <c r="D22" s="84">
        <v>2003</v>
      </c>
      <c r="E22" s="84">
        <v>2</v>
      </c>
      <c r="F22" s="84">
        <v>0</v>
      </c>
      <c r="G22" s="84">
        <v>0</v>
      </c>
      <c r="H22" s="84" t="s">
        <v>4064</v>
      </c>
      <c r="I22" s="157">
        <v>999</v>
      </c>
      <c r="J22" s="84" t="b">
        <v>1</v>
      </c>
      <c r="K22" s="84">
        <v>15</v>
      </c>
      <c r="L22" s="84">
        <v>225</v>
      </c>
      <c r="M22" s="84">
        <v>300</v>
      </c>
      <c r="N22" s="84" t="s">
        <v>3383</v>
      </c>
      <c r="O22" s="84"/>
      <c r="P22" s="84">
        <v>1</v>
      </c>
      <c r="Q22" s="84"/>
      <c r="R22" s="84">
        <v>0</v>
      </c>
      <c r="S22" s="84" t="s">
        <v>3990</v>
      </c>
      <c r="T22" s="206" t="s">
        <v>4546</v>
      </c>
      <c r="U22" s="206" t="s">
        <v>4547</v>
      </c>
      <c r="V22" s="84" t="s">
        <v>3993</v>
      </c>
      <c r="X22" s="197">
        <v>1</v>
      </c>
      <c r="Y22" s="197">
        <v>1</v>
      </c>
      <c r="Z22" s="199">
        <v>2</v>
      </c>
      <c r="AA22" s="199">
        <v>4</v>
      </c>
    </row>
    <row r="23" spans="1:27" ht="17.25" x14ac:dyDescent="0.3">
      <c r="A23" s="84">
        <v>904028</v>
      </c>
      <c r="B23" s="206" t="s">
        <v>4548</v>
      </c>
      <c r="C23" s="84" t="s">
        <v>3988</v>
      </c>
      <c r="D23" s="84">
        <v>2003</v>
      </c>
      <c r="E23" s="84">
        <v>2</v>
      </c>
      <c r="F23" s="84">
        <v>0</v>
      </c>
      <c r="G23" s="84">
        <v>0</v>
      </c>
      <c r="H23" s="84" t="s">
        <v>4068</v>
      </c>
      <c r="I23" s="157">
        <v>999</v>
      </c>
      <c r="J23" s="84" t="b">
        <v>1</v>
      </c>
      <c r="K23" s="84">
        <v>15</v>
      </c>
      <c r="L23" s="84">
        <v>225</v>
      </c>
      <c r="M23" s="84">
        <v>300</v>
      </c>
      <c r="N23" s="84" t="s">
        <v>3383</v>
      </c>
      <c r="O23" s="84"/>
      <c r="P23" s="84">
        <v>1</v>
      </c>
      <c r="Q23" s="84"/>
      <c r="R23" s="84">
        <v>0</v>
      </c>
      <c r="S23" s="84" t="s">
        <v>3990</v>
      </c>
      <c r="T23" s="206" t="s">
        <v>4549</v>
      </c>
      <c r="U23" s="206" t="s">
        <v>4550</v>
      </c>
      <c r="V23" s="84" t="s">
        <v>3993</v>
      </c>
      <c r="X23" s="197">
        <v>1</v>
      </c>
      <c r="Y23" s="197">
        <v>1</v>
      </c>
      <c r="Z23" s="199">
        <v>4</v>
      </c>
      <c r="AA23" s="199">
        <v>4</v>
      </c>
    </row>
    <row r="24" spans="1:27" ht="17.25" x14ac:dyDescent="0.3">
      <c r="A24" s="84">
        <v>904029</v>
      </c>
      <c r="B24" s="206" t="s">
        <v>4551</v>
      </c>
      <c r="C24" s="84" t="s">
        <v>3988</v>
      </c>
      <c r="D24" s="84">
        <v>2003</v>
      </c>
      <c r="E24" s="84">
        <v>2</v>
      </c>
      <c r="F24" s="84">
        <v>0</v>
      </c>
      <c r="G24" s="84">
        <v>0</v>
      </c>
      <c r="H24" s="84" t="s">
        <v>4072</v>
      </c>
      <c r="I24" s="157">
        <v>999</v>
      </c>
      <c r="J24" s="84" t="b">
        <v>1</v>
      </c>
      <c r="K24" s="84">
        <v>15</v>
      </c>
      <c r="L24" s="84">
        <v>225</v>
      </c>
      <c r="M24" s="84">
        <v>300</v>
      </c>
      <c r="N24" s="84" t="s">
        <v>3383</v>
      </c>
      <c r="O24" s="84"/>
      <c r="P24" s="84">
        <v>1</v>
      </c>
      <c r="Q24" s="84"/>
      <c r="R24" s="84">
        <v>0</v>
      </c>
      <c r="S24" s="84" t="s">
        <v>3990</v>
      </c>
      <c r="T24" s="206" t="s">
        <v>4552</v>
      </c>
      <c r="U24" s="206" t="s">
        <v>4553</v>
      </c>
      <c r="V24" s="84" t="s">
        <v>3993</v>
      </c>
      <c r="X24" s="197">
        <v>1</v>
      </c>
      <c r="Y24" s="197">
        <v>1</v>
      </c>
      <c r="Z24" s="199">
        <v>4</v>
      </c>
      <c r="AA24" s="199">
        <v>4</v>
      </c>
    </row>
    <row r="25" spans="1:27" ht="17.25" x14ac:dyDescent="0.3">
      <c r="A25" s="84">
        <v>904030</v>
      </c>
      <c r="B25" s="206" t="s">
        <v>4554</v>
      </c>
      <c r="C25" s="84" t="s">
        <v>3988</v>
      </c>
      <c r="D25" s="84">
        <v>2003</v>
      </c>
      <c r="E25" s="84">
        <v>2</v>
      </c>
      <c r="F25" s="84">
        <v>0</v>
      </c>
      <c r="G25" s="84">
        <v>0</v>
      </c>
      <c r="H25" s="84" t="s">
        <v>4076</v>
      </c>
      <c r="I25" s="157">
        <v>999</v>
      </c>
      <c r="J25" s="84" t="b">
        <v>1</v>
      </c>
      <c r="K25" s="84">
        <v>15</v>
      </c>
      <c r="L25" s="84">
        <v>225</v>
      </c>
      <c r="M25" s="84">
        <v>300</v>
      </c>
      <c r="N25" s="84" t="s">
        <v>3383</v>
      </c>
      <c r="O25" s="84"/>
      <c r="P25" s="84">
        <v>1</v>
      </c>
      <c r="Q25" s="84"/>
      <c r="R25" s="84">
        <v>0</v>
      </c>
      <c r="S25" s="84" t="s">
        <v>3990</v>
      </c>
      <c r="T25" s="206" t="s">
        <v>4555</v>
      </c>
      <c r="U25" s="206" t="s">
        <v>4556</v>
      </c>
      <c r="V25" s="84" t="s">
        <v>3993</v>
      </c>
      <c r="X25" s="197">
        <v>1</v>
      </c>
      <c r="Y25" s="197">
        <v>1</v>
      </c>
      <c r="Z25" s="199">
        <v>10</v>
      </c>
      <c r="AA25" s="199">
        <v>4</v>
      </c>
    </row>
    <row r="26" spans="1:27" ht="17.25" x14ac:dyDescent="0.3">
      <c r="A26" s="84">
        <v>904031</v>
      </c>
      <c r="B26" s="206" t="s">
        <v>4557</v>
      </c>
      <c r="C26" s="84" t="s">
        <v>3988</v>
      </c>
      <c r="D26" s="84">
        <v>2003</v>
      </c>
      <c r="E26" s="84">
        <v>2</v>
      </c>
      <c r="F26" s="84">
        <v>0</v>
      </c>
      <c r="G26" s="84">
        <v>0</v>
      </c>
      <c r="H26" s="84" t="s">
        <v>4080</v>
      </c>
      <c r="I26" s="157">
        <v>999</v>
      </c>
      <c r="J26" s="84" t="b">
        <v>1</v>
      </c>
      <c r="K26" s="84">
        <v>15</v>
      </c>
      <c r="L26" s="84">
        <v>225</v>
      </c>
      <c r="M26" s="84">
        <v>300</v>
      </c>
      <c r="N26" s="84" t="s">
        <v>3383</v>
      </c>
      <c r="O26" s="84"/>
      <c r="P26" s="84">
        <v>1</v>
      </c>
      <c r="Q26" s="84"/>
      <c r="R26" s="84">
        <v>0</v>
      </c>
      <c r="S26" s="84" t="s">
        <v>3990</v>
      </c>
      <c r="T26" s="206" t="s">
        <v>4558</v>
      </c>
      <c r="U26" s="206" t="s">
        <v>4559</v>
      </c>
      <c r="V26" s="84" t="s">
        <v>3993</v>
      </c>
      <c r="X26" s="197">
        <v>1</v>
      </c>
      <c r="Y26" s="197">
        <v>1</v>
      </c>
      <c r="Z26" s="199">
        <v>13</v>
      </c>
      <c r="AA26" s="199">
        <v>4</v>
      </c>
    </row>
    <row r="27" spans="1:27" ht="17.25" x14ac:dyDescent="0.3">
      <c r="A27" s="84">
        <v>904032</v>
      </c>
      <c r="B27" s="206" t="s">
        <v>4560</v>
      </c>
      <c r="C27" s="84" t="s">
        <v>3988</v>
      </c>
      <c r="D27" s="84">
        <v>2003</v>
      </c>
      <c r="E27" s="84">
        <v>2</v>
      </c>
      <c r="F27" s="84">
        <v>0</v>
      </c>
      <c r="G27" s="84">
        <v>0</v>
      </c>
      <c r="H27" s="84" t="s">
        <v>4084</v>
      </c>
      <c r="I27" s="157">
        <v>999</v>
      </c>
      <c r="J27" s="84" t="b">
        <v>1</v>
      </c>
      <c r="K27" s="84">
        <v>15</v>
      </c>
      <c r="L27" s="84">
        <v>225</v>
      </c>
      <c r="M27" s="84">
        <v>300</v>
      </c>
      <c r="N27" s="84" t="s">
        <v>3383</v>
      </c>
      <c r="O27" s="84"/>
      <c r="P27" s="84">
        <v>1</v>
      </c>
      <c r="Q27" s="84"/>
      <c r="R27" s="84">
        <v>0</v>
      </c>
      <c r="S27" s="84" t="s">
        <v>3990</v>
      </c>
      <c r="T27" s="206" t="s">
        <v>4561</v>
      </c>
      <c r="U27" s="206" t="s">
        <v>4562</v>
      </c>
      <c r="V27" s="84" t="s">
        <v>3993</v>
      </c>
      <c r="X27" s="197">
        <v>1</v>
      </c>
      <c r="Y27" s="197">
        <v>1</v>
      </c>
      <c r="Z27" s="199">
        <v>14</v>
      </c>
      <c r="AA27" s="199">
        <v>4</v>
      </c>
    </row>
    <row r="28" spans="1:27" ht="17.25" x14ac:dyDescent="0.3">
      <c r="A28" s="84">
        <v>904033</v>
      </c>
      <c r="B28" s="206" t="s">
        <v>4563</v>
      </c>
      <c r="C28" s="84" t="s">
        <v>3988</v>
      </c>
      <c r="D28" s="84">
        <v>2003</v>
      </c>
      <c r="E28" s="84">
        <v>2</v>
      </c>
      <c r="F28" s="84">
        <v>0</v>
      </c>
      <c r="G28" s="84">
        <v>0</v>
      </c>
      <c r="H28" s="84" t="s">
        <v>4088</v>
      </c>
      <c r="I28" s="157">
        <v>999</v>
      </c>
      <c r="J28" s="84" t="b">
        <v>1</v>
      </c>
      <c r="K28" s="84">
        <v>15</v>
      </c>
      <c r="L28" s="84">
        <v>225</v>
      </c>
      <c r="M28" s="84">
        <v>300</v>
      </c>
      <c r="N28" s="84" t="s">
        <v>3383</v>
      </c>
      <c r="O28" s="84"/>
      <c r="P28" s="84">
        <v>1</v>
      </c>
      <c r="Q28" s="84"/>
      <c r="R28" s="84">
        <v>0</v>
      </c>
      <c r="S28" s="84" t="s">
        <v>3990</v>
      </c>
      <c r="T28" s="206" t="s">
        <v>4564</v>
      </c>
      <c r="U28" s="206" t="s">
        <v>4565</v>
      </c>
      <c r="V28" s="84" t="s">
        <v>3993</v>
      </c>
      <c r="X28" s="197">
        <v>1</v>
      </c>
      <c r="Y28" s="197">
        <v>1</v>
      </c>
      <c r="Z28" s="199">
        <v>14</v>
      </c>
      <c r="AA28" s="199">
        <v>4</v>
      </c>
    </row>
    <row r="29" spans="1:27" ht="17.25" x14ac:dyDescent="0.3">
      <c r="A29" s="84">
        <v>904034</v>
      </c>
      <c r="B29" s="206" t="s">
        <v>4566</v>
      </c>
      <c r="C29" s="84" t="s">
        <v>3988</v>
      </c>
      <c r="D29" s="84">
        <v>2003</v>
      </c>
      <c r="E29" s="84">
        <v>2</v>
      </c>
      <c r="F29" s="84">
        <v>0</v>
      </c>
      <c r="G29" s="84">
        <v>0</v>
      </c>
      <c r="H29" s="84" t="s">
        <v>4092</v>
      </c>
      <c r="I29" s="157">
        <v>999</v>
      </c>
      <c r="J29" s="84" t="b">
        <v>1</v>
      </c>
      <c r="K29" s="84">
        <v>15</v>
      </c>
      <c r="L29" s="84">
        <v>225</v>
      </c>
      <c r="M29" s="84">
        <v>300</v>
      </c>
      <c r="N29" s="84" t="s">
        <v>3383</v>
      </c>
      <c r="O29" s="84"/>
      <c r="P29" s="84">
        <v>1</v>
      </c>
      <c r="Q29" s="84"/>
      <c r="R29" s="84">
        <v>0</v>
      </c>
      <c r="S29" s="84" t="s">
        <v>3990</v>
      </c>
      <c r="T29" s="206" t="s">
        <v>4567</v>
      </c>
      <c r="U29" s="206" t="s">
        <v>4568</v>
      </c>
      <c r="V29" s="84" t="s">
        <v>3993</v>
      </c>
      <c r="X29" s="197">
        <v>1</v>
      </c>
      <c r="Y29" s="197">
        <v>1</v>
      </c>
      <c r="Z29" s="199">
        <v>14</v>
      </c>
      <c r="AA29" s="199">
        <v>4</v>
      </c>
    </row>
    <row r="30" spans="1:27" ht="17.25" x14ac:dyDescent="0.3">
      <c r="A30" s="84">
        <v>904035</v>
      </c>
      <c r="B30" s="206" t="s">
        <v>4569</v>
      </c>
      <c r="C30" s="84" t="s">
        <v>3988</v>
      </c>
      <c r="D30" s="84">
        <v>2003</v>
      </c>
      <c r="E30" s="84">
        <v>2</v>
      </c>
      <c r="F30" s="84">
        <v>0</v>
      </c>
      <c r="G30" s="84">
        <v>0</v>
      </c>
      <c r="H30" s="84" t="s">
        <v>4096</v>
      </c>
      <c r="I30" s="157">
        <v>999</v>
      </c>
      <c r="J30" s="84" t="b">
        <v>1</v>
      </c>
      <c r="K30" s="84">
        <v>15</v>
      </c>
      <c r="L30" s="84">
        <v>225</v>
      </c>
      <c r="M30" s="84">
        <v>300</v>
      </c>
      <c r="N30" s="84" t="s">
        <v>3383</v>
      </c>
      <c r="O30" s="84"/>
      <c r="P30" s="84">
        <v>1</v>
      </c>
      <c r="Q30" s="84"/>
      <c r="R30" s="84">
        <v>0</v>
      </c>
      <c r="S30" s="84" t="s">
        <v>3990</v>
      </c>
      <c r="T30" s="206" t="s">
        <v>4570</v>
      </c>
      <c r="U30" s="206" t="s">
        <v>4571</v>
      </c>
      <c r="V30" s="84" t="s">
        <v>3993</v>
      </c>
      <c r="X30" s="197">
        <v>1</v>
      </c>
      <c r="Y30" s="197">
        <v>1</v>
      </c>
      <c r="Z30" s="199">
        <v>14</v>
      </c>
      <c r="AA30" s="199">
        <v>4</v>
      </c>
    </row>
    <row r="31" spans="1:27" ht="17.25" x14ac:dyDescent="0.3">
      <c r="A31" s="84">
        <v>904036</v>
      </c>
      <c r="B31" s="206" t="s">
        <v>4572</v>
      </c>
      <c r="C31" s="84" t="s">
        <v>3988</v>
      </c>
      <c r="D31" s="84">
        <v>2003</v>
      </c>
      <c r="E31" s="84">
        <v>2</v>
      </c>
      <c r="F31" s="84">
        <v>0</v>
      </c>
      <c r="G31" s="84">
        <v>0</v>
      </c>
      <c r="H31" s="84" t="s">
        <v>4100</v>
      </c>
      <c r="I31" s="157">
        <v>999</v>
      </c>
      <c r="J31" s="84" t="b">
        <v>1</v>
      </c>
      <c r="K31" s="84">
        <v>15</v>
      </c>
      <c r="L31" s="84">
        <v>225</v>
      </c>
      <c r="M31" s="84">
        <v>300</v>
      </c>
      <c r="N31" s="84" t="s">
        <v>3383</v>
      </c>
      <c r="O31" s="84"/>
      <c r="P31" s="84">
        <v>1</v>
      </c>
      <c r="Q31" s="84"/>
      <c r="R31" s="84">
        <v>0</v>
      </c>
      <c r="S31" s="84" t="s">
        <v>3990</v>
      </c>
      <c r="T31" s="206" t="s">
        <v>4573</v>
      </c>
      <c r="U31" s="206" t="s">
        <v>4574</v>
      </c>
      <c r="V31" s="84" t="s">
        <v>3993</v>
      </c>
      <c r="X31" s="197">
        <v>1</v>
      </c>
      <c r="Y31" s="197">
        <v>1</v>
      </c>
      <c r="Z31" s="199">
        <v>2</v>
      </c>
      <c r="AA31" s="199">
        <v>4</v>
      </c>
    </row>
    <row r="32" spans="1:27" ht="17.25" x14ac:dyDescent="0.3">
      <c r="A32" s="84">
        <v>904037</v>
      </c>
      <c r="B32" s="206" t="s">
        <v>4575</v>
      </c>
      <c r="C32" s="84" t="s">
        <v>3988</v>
      </c>
      <c r="D32" s="84">
        <v>2003</v>
      </c>
      <c r="E32" s="84">
        <v>2</v>
      </c>
      <c r="F32" s="84">
        <v>0</v>
      </c>
      <c r="G32" s="84">
        <v>0</v>
      </c>
      <c r="H32" s="84" t="s">
        <v>4104</v>
      </c>
      <c r="I32" s="157">
        <v>999</v>
      </c>
      <c r="J32" s="84" t="b">
        <v>1</v>
      </c>
      <c r="K32" s="84">
        <v>15</v>
      </c>
      <c r="L32" s="84">
        <v>225</v>
      </c>
      <c r="M32" s="84">
        <v>300</v>
      </c>
      <c r="N32" s="84" t="s">
        <v>3383</v>
      </c>
      <c r="O32" s="84"/>
      <c r="P32" s="84">
        <v>1</v>
      </c>
      <c r="Q32" s="84"/>
      <c r="R32" s="84">
        <v>0</v>
      </c>
      <c r="S32" s="84" t="s">
        <v>3990</v>
      </c>
      <c r="T32" s="206" t="s">
        <v>4576</v>
      </c>
      <c r="U32" s="206" t="s">
        <v>4577</v>
      </c>
      <c r="V32" s="84" t="s">
        <v>3993</v>
      </c>
      <c r="X32" s="197">
        <v>1</v>
      </c>
      <c r="Y32" s="197">
        <v>1</v>
      </c>
      <c r="Z32" s="199">
        <v>3</v>
      </c>
      <c r="AA32" s="199">
        <v>4</v>
      </c>
    </row>
    <row r="33" spans="1:27" ht="17.25" x14ac:dyDescent="0.3">
      <c r="A33" s="84">
        <v>904038</v>
      </c>
      <c r="B33" s="206" t="s">
        <v>4578</v>
      </c>
      <c r="C33" s="84" t="s">
        <v>3988</v>
      </c>
      <c r="D33" s="84">
        <v>2003</v>
      </c>
      <c r="E33" s="84">
        <v>2</v>
      </c>
      <c r="F33" s="84">
        <v>0</v>
      </c>
      <c r="G33" s="84">
        <v>0</v>
      </c>
      <c r="H33" s="84" t="s">
        <v>4108</v>
      </c>
      <c r="I33" s="157">
        <v>999</v>
      </c>
      <c r="J33" s="84" t="b">
        <v>1</v>
      </c>
      <c r="K33" s="84">
        <v>15</v>
      </c>
      <c r="L33" s="84">
        <v>225</v>
      </c>
      <c r="M33" s="84">
        <v>300</v>
      </c>
      <c r="N33" s="84" t="s">
        <v>3383</v>
      </c>
      <c r="O33" s="84"/>
      <c r="P33" s="84">
        <v>1</v>
      </c>
      <c r="Q33" s="84"/>
      <c r="R33" s="84">
        <v>0</v>
      </c>
      <c r="S33" s="84" t="s">
        <v>3990</v>
      </c>
      <c r="T33" s="206" t="s">
        <v>4579</v>
      </c>
      <c r="U33" s="206" t="s">
        <v>4580</v>
      </c>
      <c r="V33" s="84" t="s">
        <v>3993</v>
      </c>
      <c r="X33" s="197">
        <v>1</v>
      </c>
      <c r="Y33" s="197">
        <v>1</v>
      </c>
      <c r="Z33" s="199">
        <v>5</v>
      </c>
      <c r="AA33" s="199">
        <v>4</v>
      </c>
    </row>
    <row r="34" spans="1:27" ht="17.25" x14ac:dyDescent="0.3">
      <c r="A34" s="84">
        <v>904039</v>
      </c>
      <c r="B34" s="206" t="s">
        <v>4581</v>
      </c>
      <c r="C34" s="84" t="s">
        <v>3988</v>
      </c>
      <c r="D34" s="84">
        <v>2003</v>
      </c>
      <c r="E34" s="84">
        <v>2</v>
      </c>
      <c r="F34" s="84">
        <v>0</v>
      </c>
      <c r="G34" s="84">
        <v>0</v>
      </c>
      <c r="H34" s="84" t="s">
        <v>4111</v>
      </c>
      <c r="I34" s="157">
        <v>999</v>
      </c>
      <c r="J34" s="84" t="b">
        <v>1</v>
      </c>
      <c r="K34" s="84">
        <v>15</v>
      </c>
      <c r="L34" s="84">
        <v>225</v>
      </c>
      <c r="M34" s="84">
        <v>300</v>
      </c>
      <c r="N34" s="84" t="s">
        <v>3383</v>
      </c>
      <c r="O34" s="84"/>
      <c r="P34" s="84">
        <v>1</v>
      </c>
      <c r="Q34" s="84"/>
      <c r="R34" s="84">
        <v>0</v>
      </c>
      <c r="S34" s="84" t="s">
        <v>3990</v>
      </c>
      <c r="T34" s="206" t="s">
        <v>4582</v>
      </c>
      <c r="U34" s="206" t="s">
        <v>4583</v>
      </c>
      <c r="V34" s="84" t="s">
        <v>3993</v>
      </c>
      <c r="X34" s="197">
        <v>1</v>
      </c>
      <c r="Y34" s="197">
        <v>1</v>
      </c>
      <c r="Z34" s="199">
        <v>6</v>
      </c>
      <c r="AA34" s="199">
        <v>4</v>
      </c>
    </row>
    <row r="35" spans="1:27" ht="17.25" x14ac:dyDescent="0.3">
      <c r="A35" s="84">
        <v>904040</v>
      </c>
      <c r="B35" s="206" t="s">
        <v>4584</v>
      </c>
      <c r="C35" s="84" t="s">
        <v>3988</v>
      </c>
      <c r="D35" s="84">
        <v>2003</v>
      </c>
      <c r="E35" s="84">
        <v>2</v>
      </c>
      <c r="F35" s="84">
        <v>0</v>
      </c>
      <c r="G35" s="84">
        <v>0</v>
      </c>
      <c r="H35" s="84" t="s">
        <v>4115</v>
      </c>
      <c r="I35" s="157">
        <v>999</v>
      </c>
      <c r="J35" s="84" t="b">
        <v>1</v>
      </c>
      <c r="K35" s="84">
        <v>15</v>
      </c>
      <c r="L35" s="84">
        <v>225</v>
      </c>
      <c r="M35" s="84">
        <v>300</v>
      </c>
      <c r="N35" s="84" t="s">
        <v>3383</v>
      </c>
      <c r="O35" s="84"/>
      <c r="P35" s="84">
        <v>1</v>
      </c>
      <c r="Q35" s="84"/>
      <c r="R35" s="84">
        <v>0</v>
      </c>
      <c r="S35" s="84" t="s">
        <v>3990</v>
      </c>
      <c r="T35" s="206" t="s">
        <v>4585</v>
      </c>
      <c r="U35" s="206" t="s">
        <v>4586</v>
      </c>
      <c r="V35" s="84" t="s">
        <v>3993</v>
      </c>
      <c r="X35" s="197">
        <v>1</v>
      </c>
      <c r="Y35" s="197">
        <v>1</v>
      </c>
      <c r="Z35" s="199">
        <v>7</v>
      </c>
      <c r="AA35" s="199">
        <v>4</v>
      </c>
    </row>
    <row r="36" spans="1:27" ht="17.25" x14ac:dyDescent="0.3">
      <c r="A36" s="84">
        <v>904041</v>
      </c>
      <c r="B36" s="206" t="s">
        <v>4587</v>
      </c>
      <c r="C36" s="84" t="s">
        <v>3988</v>
      </c>
      <c r="D36" s="84">
        <v>2003</v>
      </c>
      <c r="E36" s="84">
        <v>2</v>
      </c>
      <c r="F36" s="84">
        <v>0</v>
      </c>
      <c r="G36" s="84">
        <v>0</v>
      </c>
      <c r="H36" s="84" t="s">
        <v>4119</v>
      </c>
      <c r="I36" s="157">
        <v>999</v>
      </c>
      <c r="J36" s="84" t="b">
        <v>1</v>
      </c>
      <c r="K36" s="84">
        <v>15</v>
      </c>
      <c r="L36" s="84">
        <v>225</v>
      </c>
      <c r="M36" s="84">
        <v>300</v>
      </c>
      <c r="N36" s="84" t="s">
        <v>3383</v>
      </c>
      <c r="O36" s="84"/>
      <c r="P36" s="84">
        <v>1</v>
      </c>
      <c r="Q36" s="84"/>
      <c r="R36" s="84">
        <v>0</v>
      </c>
      <c r="S36" s="84" t="s">
        <v>3990</v>
      </c>
      <c r="T36" s="206" t="s">
        <v>4588</v>
      </c>
      <c r="U36" s="206" t="s">
        <v>4589</v>
      </c>
      <c r="V36" s="84" t="s">
        <v>3993</v>
      </c>
      <c r="X36" s="197">
        <v>1</v>
      </c>
      <c r="Y36" s="197">
        <v>1</v>
      </c>
      <c r="Z36" s="199">
        <v>8</v>
      </c>
      <c r="AA36" s="199">
        <v>4</v>
      </c>
    </row>
    <row r="37" spans="1:27" ht="17.25" x14ac:dyDescent="0.3">
      <c r="A37" s="84">
        <v>904042</v>
      </c>
      <c r="B37" s="206" t="s">
        <v>4590</v>
      </c>
      <c r="C37" s="84" t="s">
        <v>3988</v>
      </c>
      <c r="D37" s="84">
        <v>2003</v>
      </c>
      <c r="E37" s="84">
        <v>2</v>
      </c>
      <c r="F37" s="84">
        <v>0</v>
      </c>
      <c r="G37" s="84">
        <v>0</v>
      </c>
      <c r="H37" s="84" t="s">
        <v>4123</v>
      </c>
      <c r="I37" s="157">
        <v>999</v>
      </c>
      <c r="J37" s="84" t="b">
        <v>1</v>
      </c>
      <c r="K37" s="84">
        <v>15</v>
      </c>
      <c r="L37" s="84">
        <v>225</v>
      </c>
      <c r="M37" s="84">
        <v>300</v>
      </c>
      <c r="N37" s="84" t="s">
        <v>3383</v>
      </c>
      <c r="O37" s="84"/>
      <c r="P37" s="84">
        <v>1</v>
      </c>
      <c r="Q37" s="84"/>
      <c r="R37" s="84">
        <v>0</v>
      </c>
      <c r="S37" s="84" t="s">
        <v>3990</v>
      </c>
      <c r="T37" s="206" t="s">
        <v>4591</v>
      </c>
      <c r="U37" s="206" t="s">
        <v>4592</v>
      </c>
      <c r="V37" s="84" t="s">
        <v>3993</v>
      </c>
      <c r="X37" s="197">
        <v>1</v>
      </c>
      <c r="Y37" s="197">
        <v>1</v>
      </c>
      <c r="Z37" s="199">
        <v>9</v>
      </c>
      <c r="AA37" s="199">
        <v>4</v>
      </c>
    </row>
    <row r="38" spans="1:27" ht="17.25" x14ac:dyDescent="0.3">
      <c r="A38" s="84">
        <v>904043</v>
      </c>
      <c r="B38" s="206" t="s">
        <v>4593</v>
      </c>
      <c r="C38" s="84" t="s">
        <v>3988</v>
      </c>
      <c r="D38" s="84">
        <v>2003</v>
      </c>
      <c r="E38" s="84">
        <v>2</v>
      </c>
      <c r="F38" s="84">
        <v>0</v>
      </c>
      <c r="G38" s="84">
        <v>0</v>
      </c>
      <c r="H38" s="84" t="s">
        <v>4127</v>
      </c>
      <c r="I38" s="157">
        <v>999</v>
      </c>
      <c r="J38" s="84" t="b">
        <v>1</v>
      </c>
      <c r="K38" s="84">
        <v>15</v>
      </c>
      <c r="L38" s="84">
        <v>225</v>
      </c>
      <c r="M38" s="84">
        <v>300</v>
      </c>
      <c r="N38" s="84" t="s">
        <v>3383</v>
      </c>
      <c r="O38" s="84"/>
      <c r="P38" s="84">
        <v>1</v>
      </c>
      <c r="Q38" s="84"/>
      <c r="R38" s="84">
        <v>0</v>
      </c>
      <c r="S38" s="84" t="s">
        <v>3990</v>
      </c>
      <c r="T38" s="206" t="s">
        <v>4594</v>
      </c>
      <c r="U38" s="206" t="s">
        <v>4595</v>
      </c>
      <c r="V38" s="84" t="s">
        <v>3993</v>
      </c>
      <c r="X38" s="197">
        <v>1</v>
      </c>
      <c r="Y38" s="197">
        <v>1</v>
      </c>
      <c r="Z38" s="199">
        <v>12</v>
      </c>
      <c r="AA38" s="199">
        <v>1</v>
      </c>
    </row>
    <row r="39" spans="1:27" ht="17.25" x14ac:dyDescent="0.3">
      <c r="A39" s="84">
        <v>904044</v>
      </c>
      <c r="B39" s="206" t="s">
        <v>4596</v>
      </c>
      <c r="C39" s="84" t="s">
        <v>3988</v>
      </c>
      <c r="D39" s="84">
        <v>2003</v>
      </c>
      <c r="E39" s="84">
        <v>2</v>
      </c>
      <c r="F39" s="84">
        <v>0</v>
      </c>
      <c r="G39" s="84">
        <v>0</v>
      </c>
      <c r="H39" s="84" t="s">
        <v>4131</v>
      </c>
      <c r="I39" s="157">
        <v>999</v>
      </c>
      <c r="J39" s="84" t="b">
        <v>1</v>
      </c>
      <c r="K39" s="84">
        <v>15</v>
      </c>
      <c r="L39" s="84">
        <v>225</v>
      </c>
      <c r="M39" s="84">
        <v>300</v>
      </c>
      <c r="N39" s="84" t="s">
        <v>3383</v>
      </c>
      <c r="O39" s="84"/>
      <c r="P39" s="84">
        <v>1</v>
      </c>
      <c r="Q39" s="84"/>
      <c r="R39" s="84">
        <v>0</v>
      </c>
      <c r="S39" s="84" t="s">
        <v>3990</v>
      </c>
      <c r="T39" s="206" t="s">
        <v>4597</v>
      </c>
      <c r="U39" s="206" t="s">
        <v>4598</v>
      </c>
      <c r="V39" s="84" t="s">
        <v>3993</v>
      </c>
      <c r="X39" s="197">
        <v>1</v>
      </c>
      <c r="Y39" s="197">
        <v>1</v>
      </c>
      <c r="Z39" s="199">
        <v>12</v>
      </c>
      <c r="AA39" s="199">
        <v>1</v>
      </c>
    </row>
    <row r="40" spans="1:27" ht="17.25" x14ac:dyDescent="0.3">
      <c r="A40" s="84">
        <v>904045</v>
      </c>
      <c r="B40" s="206" t="s">
        <v>4599</v>
      </c>
      <c r="C40" s="84" t="s">
        <v>3988</v>
      </c>
      <c r="D40" s="84">
        <v>2003</v>
      </c>
      <c r="E40" s="84">
        <v>2</v>
      </c>
      <c r="F40" s="84">
        <v>0</v>
      </c>
      <c r="G40" s="84">
        <v>0</v>
      </c>
      <c r="H40" s="84" t="s">
        <v>4135</v>
      </c>
      <c r="I40" s="157">
        <v>999</v>
      </c>
      <c r="J40" s="84" t="b">
        <v>1</v>
      </c>
      <c r="K40" s="84">
        <v>15</v>
      </c>
      <c r="L40" s="84">
        <v>225</v>
      </c>
      <c r="M40" s="84">
        <v>300</v>
      </c>
      <c r="N40" s="84" t="s">
        <v>3383</v>
      </c>
      <c r="O40" s="84"/>
      <c r="P40" s="84">
        <v>1</v>
      </c>
      <c r="Q40" s="84"/>
      <c r="R40" s="84">
        <v>0</v>
      </c>
      <c r="S40" s="84" t="s">
        <v>3990</v>
      </c>
      <c r="T40" s="206" t="s">
        <v>4600</v>
      </c>
      <c r="U40" s="206" t="s">
        <v>4601</v>
      </c>
      <c r="V40" s="84" t="s">
        <v>3993</v>
      </c>
      <c r="X40" s="197">
        <v>1</v>
      </c>
      <c r="Y40" s="197">
        <v>1</v>
      </c>
      <c r="Z40" s="199">
        <v>12</v>
      </c>
      <c r="AA40" s="199">
        <v>2</v>
      </c>
    </row>
    <row r="41" spans="1:27" ht="17.25" x14ac:dyDescent="0.3">
      <c r="A41" s="84">
        <v>904046</v>
      </c>
      <c r="B41" s="206" t="s">
        <v>4602</v>
      </c>
      <c r="C41" s="84" t="s">
        <v>3988</v>
      </c>
      <c r="D41" s="84">
        <v>2003</v>
      </c>
      <c r="E41" s="84">
        <v>2</v>
      </c>
      <c r="F41" s="84">
        <v>0</v>
      </c>
      <c r="G41" s="84">
        <v>0</v>
      </c>
      <c r="H41" s="84" t="s">
        <v>4139</v>
      </c>
      <c r="I41" s="157">
        <v>999</v>
      </c>
      <c r="J41" s="84" t="b">
        <v>1</v>
      </c>
      <c r="K41" s="84">
        <v>15</v>
      </c>
      <c r="L41" s="84">
        <v>225</v>
      </c>
      <c r="M41" s="84">
        <v>300</v>
      </c>
      <c r="N41" s="84" t="s">
        <v>3383</v>
      </c>
      <c r="O41" s="84"/>
      <c r="P41" s="84">
        <v>1</v>
      </c>
      <c r="Q41" s="84"/>
      <c r="R41" s="84">
        <v>0</v>
      </c>
      <c r="S41" s="84" t="s">
        <v>3990</v>
      </c>
      <c r="T41" s="206" t="s">
        <v>4603</v>
      </c>
      <c r="U41" s="206" t="s">
        <v>4604</v>
      </c>
      <c r="V41" s="84" t="s">
        <v>3993</v>
      </c>
      <c r="X41" s="197">
        <v>1</v>
      </c>
      <c r="Y41" s="197">
        <v>1</v>
      </c>
      <c r="Z41" s="199">
        <v>12</v>
      </c>
      <c r="AA41" s="199">
        <v>2</v>
      </c>
    </row>
    <row r="42" spans="1:27" ht="17.25" x14ac:dyDescent="0.3">
      <c r="A42" s="84">
        <v>904047</v>
      </c>
      <c r="B42" s="206" t="s">
        <v>4605</v>
      </c>
      <c r="C42" s="84" t="s">
        <v>3988</v>
      </c>
      <c r="D42" s="84">
        <v>2003</v>
      </c>
      <c r="E42" s="84">
        <v>2</v>
      </c>
      <c r="F42" s="84">
        <v>0</v>
      </c>
      <c r="G42" s="84">
        <v>0</v>
      </c>
      <c r="H42" s="84" t="s">
        <v>4143</v>
      </c>
      <c r="I42" s="157">
        <v>999</v>
      </c>
      <c r="J42" s="84" t="b">
        <v>1</v>
      </c>
      <c r="K42" s="84">
        <v>15</v>
      </c>
      <c r="L42" s="84">
        <v>225</v>
      </c>
      <c r="M42" s="84">
        <v>300</v>
      </c>
      <c r="N42" s="84" t="s">
        <v>3383</v>
      </c>
      <c r="O42" s="84"/>
      <c r="P42" s="84">
        <v>1</v>
      </c>
      <c r="Q42" s="84"/>
      <c r="R42" s="84">
        <v>0</v>
      </c>
      <c r="S42" s="84" t="s">
        <v>3990</v>
      </c>
      <c r="T42" s="206" t="s">
        <v>4606</v>
      </c>
      <c r="U42" s="206" t="s">
        <v>4607</v>
      </c>
      <c r="V42" s="84" t="s">
        <v>3993</v>
      </c>
      <c r="X42" s="197">
        <v>1</v>
      </c>
      <c r="Y42" s="197">
        <v>1</v>
      </c>
      <c r="Z42" s="199">
        <v>12</v>
      </c>
      <c r="AA42" s="199">
        <v>3</v>
      </c>
    </row>
    <row r="43" spans="1:27" ht="17.25" x14ac:dyDescent="0.3">
      <c r="A43" s="84">
        <v>904048</v>
      </c>
      <c r="B43" s="206" t="s">
        <v>4608</v>
      </c>
      <c r="C43" s="84" t="s">
        <v>3988</v>
      </c>
      <c r="D43" s="84">
        <v>2003</v>
      </c>
      <c r="E43" s="84">
        <v>2</v>
      </c>
      <c r="F43" s="84">
        <v>0</v>
      </c>
      <c r="G43" s="84">
        <v>0</v>
      </c>
      <c r="H43" s="84" t="s">
        <v>4147</v>
      </c>
      <c r="I43" s="157">
        <v>999</v>
      </c>
      <c r="J43" s="84" t="b">
        <v>1</v>
      </c>
      <c r="K43" s="84">
        <v>15</v>
      </c>
      <c r="L43" s="84">
        <v>225</v>
      </c>
      <c r="M43" s="84">
        <v>300</v>
      </c>
      <c r="N43" s="84" t="s">
        <v>3383</v>
      </c>
      <c r="O43" s="84"/>
      <c r="P43" s="84">
        <v>1</v>
      </c>
      <c r="Q43" s="84"/>
      <c r="R43" s="84">
        <v>0</v>
      </c>
      <c r="S43" s="84" t="s">
        <v>3990</v>
      </c>
      <c r="T43" s="206" t="s">
        <v>4609</v>
      </c>
      <c r="U43" s="206" t="s">
        <v>4610</v>
      </c>
      <c r="V43" s="84" t="s">
        <v>3993</v>
      </c>
      <c r="X43" s="197">
        <v>1</v>
      </c>
      <c r="Y43" s="197">
        <v>1</v>
      </c>
      <c r="Z43" s="199">
        <v>12</v>
      </c>
      <c r="AA43" s="199">
        <v>3</v>
      </c>
    </row>
    <row r="44" spans="1:27" ht="17.25" x14ac:dyDescent="0.3">
      <c r="A44" s="84">
        <v>904049</v>
      </c>
      <c r="B44" s="206" t="s">
        <v>4611</v>
      </c>
      <c r="C44" s="84" t="s">
        <v>3988</v>
      </c>
      <c r="D44" s="84">
        <v>2003</v>
      </c>
      <c r="E44" s="84">
        <v>2</v>
      </c>
      <c r="F44" s="84">
        <v>0</v>
      </c>
      <c r="G44" s="84">
        <v>0</v>
      </c>
      <c r="H44" s="84" t="s">
        <v>4151</v>
      </c>
      <c r="I44" s="157">
        <v>999</v>
      </c>
      <c r="J44" s="84" t="b">
        <v>1</v>
      </c>
      <c r="K44" s="84">
        <v>15</v>
      </c>
      <c r="L44" s="84">
        <v>225</v>
      </c>
      <c r="M44" s="84">
        <v>300</v>
      </c>
      <c r="N44" s="84" t="s">
        <v>3383</v>
      </c>
      <c r="O44" s="84"/>
      <c r="P44" s="84">
        <v>1</v>
      </c>
      <c r="Q44" s="84"/>
      <c r="R44" s="84">
        <v>0</v>
      </c>
      <c r="S44" s="84" t="s">
        <v>3990</v>
      </c>
      <c r="T44" s="206" t="s">
        <v>4612</v>
      </c>
      <c r="U44" s="206" t="s">
        <v>4613</v>
      </c>
      <c r="V44" s="84" t="s">
        <v>3993</v>
      </c>
      <c r="X44" s="197">
        <v>1</v>
      </c>
      <c r="Y44" s="197">
        <v>1</v>
      </c>
      <c r="Z44" s="199">
        <v>12</v>
      </c>
      <c r="AA44" s="199">
        <v>4</v>
      </c>
    </row>
    <row r="45" spans="1:27" ht="17.25" x14ac:dyDescent="0.3">
      <c r="A45" s="84">
        <v>904050</v>
      </c>
      <c r="B45" s="206" t="s">
        <v>4614</v>
      </c>
      <c r="C45" s="84" t="s">
        <v>3988</v>
      </c>
      <c r="D45" s="84">
        <v>2003</v>
      </c>
      <c r="E45" s="84">
        <v>2</v>
      </c>
      <c r="F45" s="84">
        <v>0</v>
      </c>
      <c r="G45" s="84">
        <v>0</v>
      </c>
      <c r="H45" s="84" t="s">
        <v>4155</v>
      </c>
      <c r="I45" s="157">
        <v>999</v>
      </c>
      <c r="J45" s="84" t="b">
        <v>1</v>
      </c>
      <c r="K45" s="84">
        <v>15</v>
      </c>
      <c r="L45" s="84">
        <v>225</v>
      </c>
      <c r="M45" s="84">
        <v>300</v>
      </c>
      <c r="N45" s="84" t="s">
        <v>3383</v>
      </c>
      <c r="O45" s="84"/>
      <c r="P45" s="84">
        <v>1</v>
      </c>
      <c r="Q45" s="84"/>
      <c r="R45" s="84">
        <v>0</v>
      </c>
      <c r="S45" s="84" t="s">
        <v>3990</v>
      </c>
      <c r="T45" s="206" t="s">
        <v>4615</v>
      </c>
      <c r="U45" s="206" t="s">
        <v>4616</v>
      </c>
      <c r="V45" s="84" t="s">
        <v>3993</v>
      </c>
      <c r="X45" s="197">
        <v>1</v>
      </c>
      <c r="Y45" s="197">
        <v>1</v>
      </c>
      <c r="Z45" s="199">
        <v>12</v>
      </c>
      <c r="AA45" s="199">
        <v>4</v>
      </c>
    </row>
    <row r="46" spans="1:27" ht="17.25" x14ac:dyDescent="0.3">
      <c r="A46" s="84">
        <v>904051</v>
      </c>
      <c r="B46" s="206" t="s">
        <v>4617</v>
      </c>
      <c r="C46" s="84" t="s">
        <v>3988</v>
      </c>
      <c r="D46" s="84">
        <v>2003</v>
      </c>
      <c r="E46" s="84">
        <v>2</v>
      </c>
      <c r="F46" s="84">
        <v>0</v>
      </c>
      <c r="G46" s="84">
        <v>0</v>
      </c>
      <c r="H46" s="84" t="s">
        <v>4159</v>
      </c>
      <c r="I46" s="157">
        <v>999</v>
      </c>
      <c r="J46" s="84" t="b">
        <v>1</v>
      </c>
      <c r="K46" s="84">
        <v>15</v>
      </c>
      <c r="L46" s="84">
        <v>225</v>
      </c>
      <c r="M46" s="84">
        <v>300</v>
      </c>
      <c r="N46" s="84" t="s">
        <v>3383</v>
      </c>
      <c r="O46" s="84"/>
      <c r="P46" s="84">
        <v>1</v>
      </c>
      <c r="Q46" s="84"/>
      <c r="R46" s="84">
        <v>0</v>
      </c>
      <c r="S46" s="84" t="s">
        <v>3990</v>
      </c>
      <c r="T46" s="206" t="s">
        <v>4618</v>
      </c>
      <c r="U46" s="206" t="s">
        <v>4619</v>
      </c>
      <c r="V46" s="84" t="s">
        <v>3993</v>
      </c>
      <c r="X46" s="197">
        <v>1</v>
      </c>
      <c r="Y46" s="197">
        <v>1</v>
      </c>
      <c r="Z46" s="199">
        <v>12</v>
      </c>
      <c r="AA46" s="199">
        <v>4</v>
      </c>
    </row>
    <row r="47" spans="1:27" ht="17.25" x14ac:dyDescent="0.3">
      <c r="A47" s="84">
        <v>904052</v>
      </c>
      <c r="B47" s="206" t="s">
        <v>4620</v>
      </c>
      <c r="C47" s="84" t="s">
        <v>3988</v>
      </c>
      <c r="D47" s="84">
        <v>2003</v>
      </c>
      <c r="E47" s="84">
        <v>2</v>
      </c>
      <c r="F47" s="84">
        <v>0</v>
      </c>
      <c r="G47" s="84">
        <v>0</v>
      </c>
      <c r="H47" s="84" t="s">
        <v>4163</v>
      </c>
      <c r="I47" s="157">
        <v>999</v>
      </c>
      <c r="J47" s="84" t="b">
        <v>1</v>
      </c>
      <c r="K47" s="84">
        <v>15</v>
      </c>
      <c r="L47" s="84">
        <v>225</v>
      </c>
      <c r="M47" s="84">
        <v>300</v>
      </c>
      <c r="N47" s="84" t="s">
        <v>3383</v>
      </c>
      <c r="O47" s="84"/>
      <c r="P47" s="84">
        <v>1</v>
      </c>
      <c r="Q47" s="84"/>
      <c r="R47" s="84">
        <v>0</v>
      </c>
      <c r="S47" s="84" t="s">
        <v>3990</v>
      </c>
      <c r="T47" s="206" t="s">
        <v>4621</v>
      </c>
      <c r="U47" s="206" t="s">
        <v>4622</v>
      </c>
      <c r="V47" s="84" t="s">
        <v>3993</v>
      </c>
      <c r="X47" s="197">
        <v>1</v>
      </c>
      <c r="Y47" s="197">
        <v>1</v>
      </c>
      <c r="Z47" s="199">
        <v>12</v>
      </c>
      <c r="AA47" s="199">
        <v>4</v>
      </c>
    </row>
    <row r="48" spans="1:27" ht="17.25" x14ac:dyDescent="0.3">
      <c r="A48" s="84">
        <v>904053</v>
      </c>
      <c r="B48" s="206" t="s">
        <v>4623</v>
      </c>
      <c r="C48" s="84" t="s">
        <v>3988</v>
      </c>
      <c r="D48" s="84">
        <v>2003</v>
      </c>
      <c r="E48" s="84">
        <v>2</v>
      </c>
      <c r="F48" s="84">
        <v>1</v>
      </c>
      <c r="G48" s="84">
        <v>0</v>
      </c>
      <c r="H48" s="504" t="s">
        <v>4167</v>
      </c>
      <c r="I48" s="157">
        <v>999</v>
      </c>
      <c r="J48" s="84" t="b">
        <v>1</v>
      </c>
      <c r="K48" s="84">
        <v>15</v>
      </c>
      <c r="L48" s="84">
        <v>225</v>
      </c>
      <c r="M48" s="84">
        <v>300</v>
      </c>
      <c r="N48" s="84" t="s">
        <v>3383</v>
      </c>
      <c r="O48" s="84"/>
      <c r="P48" s="84">
        <v>1</v>
      </c>
      <c r="Q48" s="84"/>
      <c r="R48" s="84">
        <v>0</v>
      </c>
      <c r="S48" s="84" t="s">
        <v>3990</v>
      </c>
      <c r="T48" s="206" t="s">
        <v>4624</v>
      </c>
      <c r="U48" s="206" t="s">
        <v>4625</v>
      </c>
      <c r="V48" s="84" t="s">
        <v>3993</v>
      </c>
      <c r="X48" s="197">
        <v>1</v>
      </c>
      <c r="Y48" s="197">
        <v>1</v>
      </c>
      <c r="Z48" s="356">
        <v>0</v>
      </c>
      <c r="AA48" s="199">
        <v>1</v>
      </c>
    </row>
    <row r="49" spans="1:27" ht="17.25" x14ac:dyDescent="0.3">
      <c r="A49" s="84">
        <v>904054</v>
      </c>
      <c r="B49" s="206" t="s">
        <v>4626</v>
      </c>
      <c r="C49" s="84" t="s">
        <v>3988</v>
      </c>
      <c r="D49" s="84">
        <v>2003</v>
      </c>
      <c r="E49" s="84">
        <v>2</v>
      </c>
      <c r="F49" s="84">
        <v>1</v>
      </c>
      <c r="G49" s="84">
        <v>0</v>
      </c>
      <c r="H49" s="504" t="s">
        <v>4171</v>
      </c>
      <c r="I49" s="157">
        <v>999</v>
      </c>
      <c r="J49" s="84" t="b">
        <v>1</v>
      </c>
      <c r="K49" s="84">
        <v>15</v>
      </c>
      <c r="L49" s="84">
        <v>225</v>
      </c>
      <c r="M49" s="84">
        <v>300</v>
      </c>
      <c r="N49" s="84" t="s">
        <v>3383</v>
      </c>
      <c r="O49" s="84"/>
      <c r="P49" s="84">
        <v>1</v>
      </c>
      <c r="Q49" s="84"/>
      <c r="R49" s="84">
        <v>0</v>
      </c>
      <c r="S49" s="84" t="s">
        <v>3990</v>
      </c>
      <c r="T49" s="206" t="s">
        <v>4627</v>
      </c>
      <c r="U49" s="206" t="s">
        <v>4628</v>
      </c>
      <c r="V49" s="84" t="s">
        <v>3993</v>
      </c>
      <c r="X49" s="197">
        <v>1</v>
      </c>
      <c r="Y49" s="197">
        <v>1</v>
      </c>
      <c r="Z49" s="356">
        <v>0</v>
      </c>
      <c r="AA49" s="199">
        <v>1</v>
      </c>
    </row>
    <row r="50" spans="1:27" ht="17.25" x14ac:dyDescent="0.3">
      <c r="A50" s="84">
        <v>904055</v>
      </c>
      <c r="B50" s="206" t="s">
        <v>4629</v>
      </c>
      <c r="C50" s="84" t="s">
        <v>3988</v>
      </c>
      <c r="D50" s="84">
        <v>2003</v>
      </c>
      <c r="E50" s="84">
        <v>2</v>
      </c>
      <c r="F50" s="84">
        <v>1</v>
      </c>
      <c r="G50" s="84">
        <v>0</v>
      </c>
      <c r="H50" s="504" t="s">
        <v>4175</v>
      </c>
      <c r="I50" s="157">
        <v>999</v>
      </c>
      <c r="J50" s="84" t="b">
        <v>1</v>
      </c>
      <c r="K50" s="84">
        <v>15</v>
      </c>
      <c r="L50" s="84">
        <v>225</v>
      </c>
      <c r="M50" s="84">
        <v>300</v>
      </c>
      <c r="N50" s="84" t="s">
        <v>3383</v>
      </c>
      <c r="O50" s="84"/>
      <c r="P50" s="84">
        <v>1</v>
      </c>
      <c r="Q50" s="84"/>
      <c r="R50" s="84">
        <v>0</v>
      </c>
      <c r="S50" s="84" t="s">
        <v>3990</v>
      </c>
      <c r="T50" s="206" t="s">
        <v>4630</v>
      </c>
      <c r="U50" s="206" t="s">
        <v>4631</v>
      </c>
      <c r="V50" s="84" t="s">
        <v>3993</v>
      </c>
      <c r="X50" s="197">
        <v>1</v>
      </c>
      <c r="Y50" s="197">
        <v>1</v>
      </c>
      <c r="Z50" s="356">
        <v>0</v>
      </c>
      <c r="AA50" s="199">
        <v>1</v>
      </c>
    </row>
    <row r="51" spans="1:27" ht="17.25" x14ac:dyDescent="0.3">
      <c r="A51" s="84">
        <v>904056</v>
      </c>
      <c r="B51" s="206" t="s">
        <v>4632</v>
      </c>
      <c r="C51" s="84" t="s">
        <v>3988</v>
      </c>
      <c r="D51" s="84">
        <v>2003</v>
      </c>
      <c r="E51" s="84">
        <v>2</v>
      </c>
      <c r="F51" s="84">
        <v>1</v>
      </c>
      <c r="G51" s="84">
        <v>0</v>
      </c>
      <c r="H51" s="504" t="s">
        <v>4179</v>
      </c>
      <c r="I51" s="157">
        <v>999</v>
      </c>
      <c r="J51" s="84" t="b">
        <v>1</v>
      </c>
      <c r="K51" s="84">
        <v>15</v>
      </c>
      <c r="L51" s="84">
        <v>225</v>
      </c>
      <c r="M51" s="84">
        <v>300</v>
      </c>
      <c r="N51" s="84" t="s">
        <v>3383</v>
      </c>
      <c r="O51" s="84"/>
      <c r="P51" s="84">
        <v>1</v>
      </c>
      <c r="Q51" s="84"/>
      <c r="R51" s="84">
        <v>0</v>
      </c>
      <c r="S51" s="84" t="s">
        <v>3990</v>
      </c>
      <c r="T51" s="206" t="s">
        <v>4633</v>
      </c>
      <c r="U51" s="206" t="s">
        <v>4634</v>
      </c>
      <c r="V51" s="84" t="s">
        <v>3993</v>
      </c>
      <c r="X51" s="197">
        <v>1</v>
      </c>
      <c r="Y51" s="197">
        <v>1</v>
      </c>
      <c r="Z51" s="356">
        <v>0</v>
      </c>
      <c r="AA51" s="199">
        <v>1</v>
      </c>
    </row>
    <row r="52" spans="1:27" ht="17.25" x14ac:dyDescent="0.3">
      <c r="A52" s="84">
        <v>904057</v>
      </c>
      <c r="B52" s="206" t="s">
        <v>4635</v>
      </c>
      <c r="C52" s="84" t="s">
        <v>3988</v>
      </c>
      <c r="D52" s="84">
        <v>2003</v>
      </c>
      <c r="E52" s="84">
        <v>2</v>
      </c>
      <c r="F52" s="84">
        <v>1</v>
      </c>
      <c r="G52" s="84">
        <v>0</v>
      </c>
      <c r="H52" s="504" t="s">
        <v>4183</v>
      </c>
      <c r="I52" s="157">
        <v>999</v>
      </c>
      <c r="J52" s="84" t="b">
        <v>1</v>
      </c>
      <c r="K52" s="84">
        <v>15</v>
      </c>
      <c r="L52" s="84">
        <v>225</v>
      </c>
      <c r="M52" s="84">
        <v>300</v>
      </c>
      <c r="N52" s="84" t="s">
        <v>3383</v>
      </c>
      <c r="O52" s="84"/>
      <c r="P52" s="84">
        <v>1</v>
      </c>
      <c r="Q52" s="84"/>
      <c r="R52" s="84">
        <v>0</v>
      </c>
      <c r="S52" s="84" t="s">
        <v>3990</v>
      </c>
      <c r="T52" s="206" t="s">
        <v>4636</v>
      </c>
      <c r="U52" s="206" t="s">
        <v>4637</v>
      </c>
      <c r="V52" s="84" t="s">
        <v>3993</v>
      </c>
      <c r="X52" s="197">
        <v>1</v>
      </c>
      <c r="Y52" s="197">
        <v>1</v>
      </c>
      <c r="Z52" s="356">
        <v>0</v>
      </c>
      <c r="AA52" s="199">
        <v>1</v>
      </c>
    </row>
    <row r="53" spans="1:27" ht="17.25" x14ac:dyDescent="0.3">
      <c r="A53" s="84">
        <v>904058</v>
      </c>
      <c r="B53" s="206" t="s">
        <v>4638</v>
      </c>
      <c r="C53" s="84" t="s">
        <v>3988</v>
      </c>
      <c r="D53" s="84">
        <v>2003</v>
      </c>
      <c r="E53" s="84">
        <v>2</v>
      </c>
      <c r="F53" s="84">
        <v>1</v>
      </c>
      <c r="G53" s="84">
        <v>0</v>
      </c>
      <c r="H53" s="504" t="s">
        <v>4187</v>
      </c>
      <c r="I53" s="157">
        <v>999</v>
      </c>
      <c r="J53" s="84" t="b">
        <v>1</v>
      </c>
      <c r="K53" s="84">
        <v>15</v>
      </c>
      <c r="L53" s="84">
        <v>225</v>
      </c>
      <c r="M53" s="84">
        <v>300</v>
      </c>
      <c r="N53" s="84" t="s">
        <v>3383</v>
      </c>
      <c r="O53" s="84"/>
      <c r="P53" s="84">
        <v>1</v>
      </c>
      <c r="Q53" s="84"/>
      <c r="R53" s="84">
        <v>0</v>
      </c>
      <c r="S53" s="84" t="s">
        <v>3990</v>
      </c>
      <c r="T53" s="206" t="s">
        <v>4639</v>
      </c>
      <c r="U53" s="206" t="s">
        <v>4640</v>
      </c>
      <c r="V53" s="84" t="s">
        <v>3993</v>
      </c>
      <c r="X53" s="197">
        <v>1</v>
      </c>
      <c r="Y53" s="197">
        <v>1</v>
      </c>
      <c r="Z53" s="356">
        <v>0</v>
      </c>
      <c r="AA53" s="199">
        <v>1</v>
      </c>
    </row>
    <row r="54" spans="1:27" ht="17.25" x14ac:dyDescent="0.3">
      <c r="A54" s="84">
        <v>904059</v>
      </c>
      <c r="B54" s="206" t="s">
        <v>4641</v>
      </c>
      <c r="C54" s="84" t="s">
        <v>3988</v>
      </c>
      <c r="D54" s="84">
        <v>2003</v>
      </c>
      <c r="E54" s="84">
        <v>2</v>
      </c>
      <c r="F54" s="84">
        <v>0</v>
      </c>
      <c r="G54" s="84">
        <v>0</v>
      </c>
      <c r="H54" s="84" t="s">
        <v>4191</v>
      </c>
      <c r="I54" s="157">
        <v>999</v>
      </c>
      <c r="J54" s="84" t="b">
        <v>1</v>
      </c>
      <c r="K54" s="84">
        <v>15</v>
      </c>
      <c r="L54" s="84">
        <v>225</v>
      </c>
      <c r="M54" s="84">
        <v>300</v>
      </c>
      <c r="N54" s="84" t="s">
        <v>3383</v>
      </c>
      <c r="O54" s="84"/>
      <c r="P54" s="84">
        <v>1</v>
      </c>
      <c r="Q54" s="84"/>
      <c r="R54" s="84">
        <v>0</v>
      </c>
      <c r="S54" s="84" t="s">
        <v>3990</v>
      </c>
      <c r="T54" s="206" t="s">
        <v>4642</v>
      </c>
      <c r="U54" s="206" t="s">
        <v>4643</v>
      </c>
      <c r="V54" s="84" t="s">
        <v>3993</v>
      </c>
      <c r="X54" s="197">
        <v>1</v>
      </c>
      <c r="Y54" s="197">
        <v>1</v>
      </c>
      <c r="Z54" s="199">
        <v>1</v>
      </c>
      <c r="AA54" s="199">
        <v>4</v>
      </c>
    </row>
    <row r="55" spans="1:27" ht="17.25" x14ac:dyDescent="0.3">
      <c r="A55" s="84">
        <v>904060</v>
      </c>
      <c r="B55" s="206" t="s">
        <v>4644</v>
      </c>
      <c r="C55" s="84" t="s">
        <v>3988</v>
      </c>
      <c r="D55" s="84">
        <v>2003</v>
      </c>
      <c r="E55" s="84">
        <v>2</v>
      </c>
      <c r="F55" s="84">
        <v>0</v>
      </c>
      <c r="G55" s="84">
        <v>0</v>
      </c>
      <c r="H55" s="84" t="s">
        <v>4195</v>
      </c>
      <c r="I55" s="157">
        <v>999</v>
      </c>
      <c r="J55" s="84" t="b">
        <v>1</v>
      </c>
      <c r="K55" s="84">
        <v>15</v>
      </c>
      <c r="L55" s="84">
        <v>225</v>
      </c>
      <c r="M55" s="84">
        <v>300</v>
      </c>
      <c r="N55" s="84" t="s">
        <v>3383</v>
      </c>
      <c r="O55" s="84"/>
      <c r="P55" s="84">
        <v>1</v>
      </c>
      <c r="Q55" s="84"/>
      <c r="R55" s="84">
        <v>0</v>
      </c>
      <c r="S55" s="84" t="s">
        <v>3990</v>
      </c>
      <c r="T55" s="206" t="s">
        <v>4645</v>
      </c>
      <c r="U55" s="206" t="s">
        <v>4646</v>
      </c>
      <c r="V55" s="84" t="s">
        <v>3993</v>
      </c>
      <c r="X55" s="197">
        <v>1</v>
      </c>
      <c r="Y55" s="197">
        <v>1</v>
      </c>
      <c r="Z55" s="199">
        <v>1</v>
      </c>
      <c r="AA55" s="199">
        <v>4</v>
      </c>
    </row>
    <row r="56" spans="1:27" ht="17.25" x14ac:dyDescent="0.3">
      <c r="A56" s="84">
        <v>904061</v>
      </c>
      <c r="B56" s="206" t="s">
        <v>4647</v>
      </c>
      <c r="C56" s="84" t="s">
        <v>3988</v>
      </c>
      <c r="D56" s="84">
        <v>2003</v>
      </c>
      <c r="E56" s="84">
        <v>2</v>
      </c>
      <c r="F56" s="84">
        <v>0</v>
      </c>
      <c r="G56" s="84">
        <v>0</v>
      </c>
      <c r="H56" s="84" t="s">
        <v>4199</v>
      </c>
      <c r="I56" s="157">
        <v>999</v>
      </c>
      <c r="J56" s="84" t="b">
        <v>1</v>
      </c>
      <c r="K56" s="84">
        <v>15</v>
      </c>
      <c r="L56" s="84">
        <v>225</v>
      </c>
      <c r="M56" s="84">
        <v>300</v>
      </c>
      <c r="N56" s="84" t="s">
        <v>3383</v>
      </c>
      <c r="O56" s="84"/>
      <c r="P56" s="84">
        <v>1</v>
      </c>
      <c r="Q56" s="84"/>
      <c r="R56" s="84">
        <v>0</v>
      </c>
      <c r="S56" s="84" t="s">
        <v>3990</v>
      </c>
      <c r="T56" s="206" t="s">
        <v>4648</v>
      </c>
      <c r="U56" s="206" t="s">
        <v>4649</v>
      </c>
      <c r="V56" s="84" t="s">
        <v>3993</v>
      </c>
      <c r="X56" s="197">
        <v>1</v>
      </c>
      <c r="Y56" s="197">
        <v>1</v>
      </c>
      <c r="Z56" s="199">
        <v>1</v>
      </c>
      <c r="AA56" s="199">
        <v>4</v>
      </c>
    </row>
    <row r="57" spans="1:27" ht="17.25" x14ac:dyDescent="0.3">
      <c r="A57" s="84">
        <v>904062</v>
      </c>
      <c r="B57" s="206" t="s">
        <v>4650</v>
      </c>
      <c r="C57" s="84" t="s">
        <v>3988</v>
      </c>
      <c r="D57" s="84">
        <v>2003</v>
      </c>
      <c r="E57" s="84">
        <v>2</v>
      </c>
      <c r="F57" s="84">
        <v>0</v>
      </c>
      <c r="G57" s="84">
        <v>0</v>
      </c>
      <c r="H57" s="84" t="s">
        <v>4203</v>
      </c>
      <c r="I57" s="157">
        <v>999</v>
      </c>
      <c r="J57" s="84" t="b">
        <v>1</v>
      </c>
      <c r="K57" s="84">
        <v>15</v>
      </c>
      <c r="L57" s="84">
        <v>225</v>
      </c>
      <c r="M57" s="84">
        <v>300</v>
      </c>
      <c r="N57" s="84" t="s">
        <v>3383</v>
      </c>
      <c r="O57" s="84"/>
      <c r="P57" s="84">
        <v>1</v>
      </c>
      <c r="Q57" s="84"/>
      <c r="R57" s="84">
        <v>0</v>
      </c>
      <c r="S57" s="84" t="s">
        <v>3990</v>
      </c>
      <c r="T57" s="206" t="s">
        <v>4651</v>
      </c>
      <c r="U57" s="206" t="s">
        <v>4652</v>
      </c>
      <c r="V57" s="84" t="s">
        <v>3993</v>
      </c>
      <c r="X57" s="197">
        <v>1</v>
      </c>
      <c r="Y57" s="197">
        <v>1</v>
      </c>
      <c r="Z57" s="199">
        <v>2</v>
      </c>
      <c r="AA57" s="199">
        <v>4</v>
      </c>
    </row>
    <row r="58" spans="1:27" ht="17.25" x14ac:dyDescent="0.3">
      <c r="A58" s="84">
        <v>904063</v>
      </c>
      <c r="B58" s="206" t="s">
        <v>4653</v>
      </c>
      <c r="C58" s="84" t="s">
        <v>3988</v>
      </c>
      <c r="D58" s="84">
        <v>2003</v>
      </c>
      <c r="E58" s="84">
        <v>2</v>
      </c>
      <c r="F58" s="84">
        <v>0</v>
      </c>
      <c r="G58" s="84">
        <v>0</v>
      </c>
      <c r="H58" s="84" t="s">
        <v>4207</v>
      </c>
      <c r="I58" s="157">
        <v>999</v>
      </c>
      <c r="J58" s="84" t="b">
        <v>1</v>
      </c>
      <c r="K58" s="84">
        <v>15</v>
      </c>
      <c r="L58" s="84">
        <v>225</v>
      </c>
      <c r="M58" s="84">
        <v>300</v>
      </c>
      <c r="N58" s="84" t="s">
        <v>3383</v>
      </c>
      <c r="O58" s="84"/>
      <c r="P58" s="84">
        <v>1</v>
      </c>
      <c r="Q58" s="84"/>
      <c r="R58" s="84">
        <v>0</v>
      </c>
      <c r="S58" s="84" t="s">
        <v>3990</v>
      </c>
      <c r="T58" s="206" t="s">
        <v>4654</v>
      </c>
      <c r="U58" s="206" t="s">
        <v>4655</v>
      </c>
      <c r="V58" s="84" t="s">
        <v>3993</v>
      </c>
      <c r="X58" s="197">
        <v>1</v>
      </c>
      <c r="Y58" s="197">
        <v>1</v>
      </c>
      <c r="Z58" s="199">
        <v>2</v>
      </c>
      <c r="AA58" s="199">
        <v>4</v>
      </c>
    </row>
    <row r="59" spans="1:27" ht="17.25" x14ac:dyDescent="0.3">
      <c r="A59" s="84">
        <v>904064</v>
      </c>
      <c r="B59" s="206" t="s">
        <v>4656</v>
      </c>
      <c r="C59" s="84" t="s">
        <v>3988</v>
      </c>
      <c r="D59" s="84">
        <v>2003</v>
      </c>
      <c r="E59" s="84">
        <v>2</v>
      </c>
      <c r="F59" s="84">
        <v>0</v>
      </c>
      <c r="G59" s="84">
        <v>0</v>
      </c>
      <c r="H59" s="84" t="s">
        <v>4211</v>
      </c>
      <c r="I59" s="157">
        <v>999</v>
      </c>
      <c r="J59" s="84" t="b">
        <v>1</v>
      </c>
      <c r="K59" s="84">
        <v>15</v>
      </c>
      <c r="L59" s="84">
        <v>225</v>
      </c>
      <c r="M59" s="84">
        <v>300</v>
      </c>
      <c r="N59" s="84" t="s">
        <v>3383</v>
      </c>
      <c r="O59" s="84"/>
      <c r="P59" s="84">
        <v>1</v>
      </c>
      <c r="Q59" s="84"/>
      <c r="R59" s="84">
        <v>0</v>
      </c>
      <c r="S59" s="84" t="s">
        <v>3990</v>
      </c>
      <c r="T59" s="206" t="s">
        <v>4657</v>
      </c>
      <c r="U59" s="206" t="s">
        <v>4658</v>
      </c>
      <c r="V59" s="84" t="s">
        <v>3993</v>
      </c>
      <c r="X59" s="197">
        <v>1</v>
      </c>
      <c r="Y59" s="197">
        <v>1</v>
      </c>
      <c r="Z59" s="199">
        <v>2</v>
      </c>
      <c r="AA59" s="199">
        <v>4</v>
      </c>
    </row>
    <row r="60" spans="1:27" ht="17.25" x14ac:dyDescent="0.3">
      <c r="A60" s="84">
        <v>904065</v>
      </c>
      <c r="B60" s="206" t="s">
        <v>4659</v>
      </c>
      <c r="C60" s="84" t="s">
        <v>3988</v>
      </c>
      <c r="D60" s="84">
        <v>2003</v>
      </c>
      <c r="E60" s="84">
        <v>2</v>
      </c>
      <c r="F60" s="84">
        <v>0</v>
      </c>
      <c r="G60" s="84">
        <v>0</v>
      </c>
      <c r="H60" s="84" t="s">
        <v>4215</v>
      </c>
      <c r="I60" s="157">
        <v>999</v>
      </c>
      <c r="J60" s="84" t="b">
        <v>1</v>
      </c>
      <c r="K60" s="84">
        <v>15</v>
      </c>
      <c r="L60" s="84">
        <v>225</v>
      </c>
      <c r="M60" s="84">
        <v>300</v>
      </c>
      <c r="N60" s="84" t="s">
        <v>3383</v>
      </c>
      <c r="O60" s="84"/>
      <c r="P60" s="84">
        <v>1</v>
      </c>
      <c r="Q60" s="84"/>
      <c r="R60" s="84">
        <v>0</v>
      </c>
      <c r="S60" s="84" t="s">
        <v>3990</v>
      </c>
      <c r="T60" s="206" t="s">
        <v>4660</v>
      </c>
      <c r="U60" s="206" t="s">
        <v>4661</v>
      </c>
      <c r="V60" s="84" t="s">
        <v>3993</v>
      </c>
      <c r="X60" s="197">
        <v>1</v>
      </c>
      <c r="Y60" s="197">
        <v>1</v>
      </c>
      <c r="Z60" s="199">
        <v>2</v>
      </c>
      <c r="AA60" s="199">
        <v>4</v>
      </c>
    </row>
    <row r="61" spans="1:27" ht="17.25" x14ac:dyDescent="0.3">
      <c r="A61" s="84">
        <v>904066</v>
      </c>
      <c r="B61" s="206" t="s">
        <v>4662</v>
      </c>
      <c r="C61" s="84" t="s">
        <v>3988</v>
      </c>
      <c r="D61" s="84">
        <v>2003</v>
      </c>
      <c r="E61" s="84">
        <v>2</v>
      </c>
      <c r="F61" s="84">
        <v>0</v>
      </c>
      <c r="G61" s="84">
        <v>0</v>
      </c>
      <c r="H61" s="84" t="s">
        <v>4219</v>
      </c>
      <c r="I61" s="157">
        <v>999</v>
      </c>
      <c r="J61" s="84" t="b">
        <v>1</v>
      </c>
      <c r="K61" s="84">
        <v>15</v>
      </c>
      <c r="L61" s="84">
        <v>225</v>
      </c>
      <c r="M61" s="84">
        <v>300</v>
      </c>
      <c r="N61" s="84" t="s">
        <v>3383</v>
      </c>
      <c r="O61" s="84"/>
      <c r="P61" s="84">
        <v>1</v>
      </c>
      <c r="Q61" s="84"/>
      <c r="R61" s="84">
        <v>0</v>
      </c>
      <c r="S61" s="84" t="s">
        <v>3990</v>
      </c>
      <c r="T61" s="206" t="s">
        <v>4663</v>
      </c>
      <c r="U61" s="206" t="s">
        <v>4664</v>
      </c>
      <c r="V61" s="84" t="s">
        <v>3993</v>
      </c>
      <c r="X61" s="197">
        <v>1</v>
      </c>
      <c r="Y61" s="197">
        <v>1</v>
      </c>
      <c r="Z61" s="199">
        <v>2</v>
      </c>
      <c r="AA61" s="199">
        <v>4</v>
      </c>
    </row>
    <row r="62" spans="1:27" ht="17.25" x14ac:dyDescent="0.3">
      <c r="A62" s="84">
        <v>904067</v>
      </c>
      <c r="B62" s="206" t="s">
        <v>4665</v>
      </c>
      <c r="C62" s="84" t="s">
        <v>3988</v>
      </c>
      <c r="D62" s="84">
        <v>2003</v>
      </c>
      <c r="E62" s="84">
        <v>2</v>
      </c>
      <c r="F62" s="84">
        <v>0</v>
      </c>
      <c r="G62" s="84">
        <v>0</v>
      </c>
      <c r="H62" s="84" t="s">
        <v>4223</v>
      </c>
      <c r="I62" s="157">
        <v>999</v>
      </c>
      <c r="J62" s="84" t="b">
        <v>1</v>
      </c>
      <c r="K62" s="84">
        <v>15</v>
      </c>
      <c r="L62" s="84">
        <v>225</v>
      </c>
      <c r="M62" s="84">
        <v>300</v>
      </c>
      <c r="N62" s="84" t="s">
        <v>3383</v>
      </c>
      <c r="O62" s="84"/>
      <c r="P62" s="84">
        <v>1</v>
      </c>
      <c r="Q62" s="84"/>
      <c r="R62" s="84">
        <v>0</v>
      </c>
      <c r="S62" s="84" t="s">
        <v>3990</v>
      </c>
      <c r="T62" s="206" t="s">
        <v>4666</v>
      </c>
      <c r="U62" s="206" t="s">
        <v>4667</v>
      </c>
      <c r="V62" s="84" t="s">
        <v>3993</v>
      </c>
      <c r="X62" s="197">
        <v>1</v>
      </c>
      <c r="Y62" s="197">
        <v>1</v>
      </c>
      <c r="Z62" s="199">
        <v>2</v>
      </c>
      <c r="AA62" s="199">
        <v>4</v>
      </c>
    </row>
    <row r="63" spans="1:27" ht="17.25" x14ac:dyDescent="0.3">
      <c r="A63" s="84">
        <v>904068</v>
      </c>
      <c r="B63" s="206" t="s">
        <v>4668</v>
      </c>
      <c r="C63" s="84" t="s">
        <v>3988</v>
      </c>
      <c r="D63" s="84">
        <v>2003</v>
      </c>
      <c r="E63" s="84">
        <v>2</v>
      </c>
      <c r="F63" s="84">
        <v>0</v>
      </c>
      <c r="G63" s="84">
        <v>0</v>
      </c>
      <c r="H63" s="84" t="s">
        <v>4227</v>
      </c>
      <c r="I63" s="157">
        <v>999</v>
      </c>
      <c r="J63" s="84" t="b">
        <v>1</v>
      </c>
      <c r="K63" s="84">
        <v>15</v>
      </c>
      <c r="L63" s="84">
        <v>225</v>
      </c>
      <c r="M63" s="84">
        <v>300</v>
      </c>
      <c r="N63" s="84" t="s">
        <v>3383</v>
      </c>
      <c r="O63" s="84"/>
      <c r="P63" s="84">
        <v>1</v>
      </c>
      <c r="Q63" s="84"/>
      <c r="R63" s="84">
        <v>0</v>
      </c>
      <c r="S63" s="84" t="s">
        <v>3990</v>
      </c>
      <c r="T63" s="206" t="s">
        <v>4669</v>
      </c>
      <c r="U63" s="206" t="s">
        <v>4670</v>
      </c>
      <c r="V63" s="84" t="s">
        <v>3993</v>
      </c>
      <c r="X63" s="197">
        <v>1</v>
      </c>
      <c r="Y63" s="197">
        <v>1</v>
      </c>
      <c r="Z63" s="199">
        <v>3</v>
      </c>
      <c r="AA63" s="199">
        <v>4</v>
      </c>
    </row>
    <row r="64" spans="1:27" ht="17.25" x14ac:dyDescent="0.3">
      <c r="A64" s="84">
        <v>904069</v>
      </c>
      <c r="B64" s="206" t="s">
        <v>4671</v>
      </c>
      <c r="C64" s="84" t="s">
        <v>3988</v>
      </c>
      <c r="D64" s="84">
        <v>2003</v>
      </c>
      <c r="E64" s="84">
        <v>2</v>
      </c>
      <c r="F64" s="84">
        <v>0</v>
      </c>
      <c r="G64" s="84">
        <v>0</v>
      </c>
      <c r="H64" s="84" t="s">
        <v>4231</v>
      </c>
      <c r="I64" s="157">
        <v>999</v>
      </c>
      <c r="J64" s="84" t="b">
        <v>1</v>
      </c>
      <c r="K64" s="84">
        <v>15</v>
      </c>
      <c r="L64" s="84">
        <v>225</v>
      </c>
      <c r="M64" s="84">
        <v>300</v>
      </c>
      <c r="N64" s="84" t="s">
        <v>3383</v>
      </c>
      <c r="O64" s="84"/>
      <c r="P64" s="84">
        <v>1</v>
      </c>
      <c r="Q64" s="84"/>
      <c r="R64" s="84">
        <v>0</v>
      </c>
      <c r="S64" s="84" t="s">
        <v>3990</v>
      </c>
      <c r="T64" s="206" t="s">
        <v>4672</v>
      </c>
      <c r="U64" s="206" t="s">
        <v>4673</v>
      </c>
      <c r="V64" s="84" t="s">
        <v>3993</v>
      </c>
      <c r="X64" s="197">
        <v>1</v>
      </c>
      <c r="Y64" s="197">
        <v>1</v>
      </c>
      <c r="Z64" s="199">
        <v>3</v>
      </c>
      <c r="AA64" s="199">
        <v>4</v>
      </c>
    </row>
    <row r="65" spans="1:27" ht="17.25" x14ac:dyDescent="0.3">
      <c r="A65" s="84">
        <v>904070</v>
      </c>
      <c r="B65" s="206" t="s">
        <v>4674</v>
      </c>
      <c r="C65" s="84" t="s">
        <v>3988</v>
      </c>
      <c r="D65" s="84">
        <v>2003</v>
      </c>
      <c r="E65" s="84">
        <v>2</v>
      </c>
      <c r="F65" s="84">
        <v>0</v>
      </c>
      <c r="G65" s="84">
        <v>0</v>
      </c>
      <c r="H65" s="84" t="s">
        <v>4235</v>
      </c>
      <c r="I65" s="157">
        <v>999</v>
      </c>
      <c r="J65" s="84" t="b">
        <v>1</v>
      </c>
      <c r="K65" s="84">
        <v>15</v>
      </c>
      <c r="L65" s="84">
        <v>225</v>
      </c>
      <c r="M65" s="84">
        <v>300</v>
      </c>
      <c r="N65" s="84" t="s">
        <v>3383</v>
      </c>
      <c r="O65" s="84"/>
      <c r="P65" s="84">
        <v>1</v>
      </c>
      <c r="Q65" s="84"/>
      <c r="R65" s="84">
        <v>0</v>
      </c>
      <c r="S65" s="84" t="s">
        <v>3990</v>
      </c>
      <c r="T65" s="206" t="s">
        <v>4675</v>
      </c>
      <c r="U65" s="206" t="s">
        <v>4676</v>
      </c>
      <c r="V65" s="84" t="s">
        <v>3993</v>
      </c>
      <c r="X65" s="197">
        <v>1</v>
      </c>
      <c r="Y65" s="197">
        <v>1</v>
      </c>
      <c r="Z65" s="199">
        <v>3</v>
      </c>
      <c r="AA65" s="199">
        <v>4</v>
      </c>
    </row>
    <row r="66" spans="1:27" ht="17.25" x14ac:dyDescent="0.3">
      <c r="A66" s="84">
        <v>904071</v>
      </c>
      <c r="B66" s="206" t="s">
        <v>4677</v>
      </c>
      <c r="C66" s="84" t="s">
        <v>3988</v>
      </c>
      <c r="D66" s="84">
        <v>2003</v>
      </c>
      <c r="E66" s="84">
        <v>2</v>
      </c>
      <c r="F66" s="84">
        <v>0</v>
      </c>
      <c r="G66" s="84">
        <v>0</v>
      </c>
      <c r="H66" s="84" t="s">
        <v>4239</v>
      </c>
      <c r="I66" s="157">
        <v>999</v>
      </c>
      <c r="J66" s="84" t="b">
        <v>1</v>
      </c>
      <c r="K66" s="84">
        <v>15</v>
      </c>
      <c r="L66" s="84">
        <v>225</v>
      </c>
      <c r="M66" s="84">
        <v>300</v>
      </c>
      <c r="N66" s="84" t="s">
        <v>3383</v>
      </c>
      <c r="O66" s="84"/>
      <c r="P66" s="84">
        <v>1</v>
      </c>
      <c r="Q66" s="84"/>
      <c r="R66" s="84">
        <v>0</v>
      </c>
      <c r="S66" s="84" t="s">
        <v>3990</v>
      </c>
      <c r="T66" s="206" t="s">
        <v>4678</v>
      </c>
      <c r="U66" s="206" t="s">
        <v>4679</v>
      </c>
      <c r="V66" s="84" t="s">
        <v>3993</v>
      </c>
      <c r="X66" s="197">
        <v>1</v>
      </c>
      <c r="Y66" s="197">
        <v>1</v>
      </c>
      <c r="Z66" s="199">
        <v>4</v>
      </c>
      <c r="AA66" s="199">
        <v>4</v>
      </c>
    </row>
    <row r="67" spans="1:27" ht="17.25" x14ac:dyDescent="0.3">
      <c r="A67" s="84">
        <v>904072</v>
      </c>
      <c r="B67" s="206" t="s">
        <v>4680</v>
      </c>
      <c r="C67" s="84" t="s">
        <v>3988</v>
      </c>
      <c r="D67" s="84">
        <v>2003</v>
      </c>
      <c r="E67" s="84">
        <v>2</v>
      </c>
      <c r="F67" s="84">
        <v>0</v>
      </c>
      <c r="G67" s="84">
        <v>0</v>
      </c>
      <c r="H67" s="84" t="s">
        <v>4243</v>
      </c>
      <c r="I67" s="157">
        <v>999</v>
      </c>
      <c r="J67" s="84" t="b">
        <v>1</v>
      </c>
      <c r="K67" s="84">
        <v>15</v>
      </c>
      <c r="L67" s="84">
        <v>225</v>
      </c>
      <c r="M67" s="84">
        <v>300</v>
      </c>
      <c r="N67" s="84" t="s">
        <v>3383</v>
      </c>
      <c r="O67" s="84"/>
      <c r="P67" s="84">
        <v>1</v>
      </c>
      <c r="Q67" s="84"/>
      <c r="R67" s="84">
        <v>0</v>
      </c>
      <c r="S67" s="84" t="s">
        <v>3990</v>
      </c>
      <c r="T67" s="206" t="s">
        <v>4681</v>
      </c>
      <c r="U67" s="206" t="s">
        <v>4682</v>
      </c>
      <c r="V67" s="84" t="s">
        <v>3993</v>
      </c>
      <c r="X67" s="197">
        <v>1</v>
      </c>
      <c r="Y67" s="197">
        <v>1</v>
      </c>
      <c r="Z67" s="199">
        <v>4</v>
      </c>
      <c r="AA67" s="199">
        <v>4</v>
      </c>
    </row>
    <row r="68" spans="1:27" ht="17.25" x14ac:dyDescent="0.3">
      <c r="A68" s="84">
        <v>904073</v>
      </c>
      <c r="B68" s="206" t="s">
        <v>4683</v>
      </c>
      <c r="C68" s="84" t="s">
        <v>3988</v>
      </c>
      <c r="D68" s="84">
        <v>2003</v>
      </c>
      <c r="E68" s="84">
        <v>2</v>
      </c>
      <c r="F68" s="84">
        <v>0</v>
      </c>
      <c r="G68" s="84">
        <v>0</v>
      </c>
      <c r="H68" s="84" t="s">
        <v>4247</v>
      </c>
      <c r="I68" s="157">
        <v>999</v>
      </c>
      <c r="J68" s="84" t="b">
        <v>1</v>
      </c>
      <c r="K68" s="84">
        <v>15</v>
      </c>
      <c r="L68" s="84">
        <v>225</v>
      </c>
      <c r="M68" s="84">
        <v>300</v>
      </c>
      <c r="N68" s="84" t="s">
        <v>3383</v>
      </c>
      <c r="O68" s="84"/>
      <c r="P68" s="84">
        <v>1</v>
      </c>
      <c r="Q68" s="84"/>
      <c r="R68" s="84">
        <v>0</v>
      </c>
      <c r="S68" s="84" t="s">
        <v>3990</v>
      </c>
      <c r="T68" s="206" t="s">
        <v>4684</v>
      </c>
      <c r="U68" s="206" t="s">
        <v>4685</v>
      </c>
      <c r="V68" s="84" t="s">
        <v>3993</v>
      </c>
      <c r="X68" s="197">
        <v>1</v>
      </c>
      <c r="Y68" s="197">
        <v>1</v>
      </c>
      <c r="Z68" s="199">
        <v>4</v>
      </c>
      <c r="AA68" s="199">
        <v>4</v>
      </c>
    </row>
    <row r="69" spans="1:27" ht="17.25" x14ac:dyDescent="0.3">
      <c r="A69" s="84">
        <v>904074</v>
      </c>
      <c r="B69" s="206" t="s">
        <v>4686</v>
      </c>
      <c r="C69" s="84" t="s">
        <v>3988</v>
      </c>
      <c r="D69" s="84">
        <v>2003</v>
      </c>
      <c r="E69" s="84">
        <v>2</v>
      </c>
      <c r="F69" s="84">
        <v>0</v>
      </c>
      <c r="G69" s="84">
        <v>0</v>
      </c>
      <c r="H69" s="84" t="s">
        <v>4251</v>
      </c>
      <c r="I69" s="157">
        <v>999</v>
      </c>
      <c r="J69" s="84" t="b">
        <v>1</v>
      </c>
      <c r="K69" s="84">
        <v>15</v>
      </c>
      <c r="L69" s="84">
        <v>225</v>
      </c>
      <c r="M69" s="84">
        <v>300</v>
      </c>
      <c r="N69" s="84" t="s">
        <v>3383</v>
      </c>
      <c r="O69" s="84"/>
      <c r="P69" s="84">
        <v>1</v>
      </c>
      <c r="Q69" s="84"/>
      <c r="R69" s="84">
        <v>0</v>
      </c>
      <c r="S69" s="84" t="s">
        <v>3990</v>
      </c>
      <c r="T69" s="206" t="s">
        <v>4687</v>
      </c>
      <c r="U69" s="206" t="s">
        <v>4688</v>
      </c>
      <c r="V69" s="84" t="s">
        <v>3993</v>
      </c>
      <c r="X69" s="197">
        <v>1</v>
      </c>
      <c r="Y69" s="197">
        <v>1</v>
      </c>
      <c r="Z69" s="199">
        <v>4</v>
      </c>
      <c r="AA69" s="199">
        <v>4</v>
      </c>
    </row>
    <row r="70" spans="1:27" ht="17.25" x14ac:dyDescent="0.3">
      <c r="A70" s="84">
        <v>904075</v>
      </c>
      <c r="B70" s="206" t="s">
        <v>4689</v>
      </c>
      <c r="C70" s="84" t="s">
        <v>3988</v>
      </c>
      <c r="D70" s="84">
        <v>2003</v>
      </c>
      <c r="E70" s="84">
        <v>2</v>
      </c>
      <c r="F70" s="84">
        <v>0</v>
      </c>
      <c r="G70" s="84">
        <v>0</v>
      </c>
      <c r="H70" s="84" t="s">
        <v>4255</v>
      </c>
      <c r="I70" s="157">
        <v>999</v>
      </c>
      <c r="J70" s="84" t="b">
        <v>1</v>
      </c>
      <c r="K70" s="84">
        <v>15</v>
      </c>
      <c r="L70" s="84">
        <v>225</v>
      </c>
      <c r="M70" s="84">
        <v>300</v>
      </c>
      <c r="N70" s="84" t="s">
        <v>3383</v>
      </c>
      <c r="O70" s="84"/>
      <c r="P70" s="84">
        <v>1</v>
      </c>
      <c r="Q70" s="84"/>
      <c r="R70" s="84">
        <v>0</v>
      </c>
      <c r="S70" s="84" t="s">
        <v>3990</v>
      </c>
      <c r="T70" s="206" t="s">
        <v>4690</v>
      </c>
      <c r="U70" s="206" t="s">
        <v>4691</v>
      </c>
      <c r="V70" s="84" t="s">
        <v>3993</v>
      </c>
      <c r="X70" s="197">
        <v>1</v>
      </c>
      <c r="Y70" s="197">
        <v>1</v>
      </c>
      <c r="Z70" s="199">
        <v>4</v>
      </c>
      <c r="AA70" s="199">
        <v>4</v>
      </c>
    </row>
    <row r="71" spans="1:27" ht="17.25" x14ac:dyDescent="0.3">
      <c r="A71" s="84">
        <v>904076</v>
      </c>
      <c r="B71" s="206" t="s">
        <v>4692</v>
      </c>
      <c r="C71" s="84" t="s">
        <v>3988</v>
      </c>
      <c r="D71" s="84">
        <v>2003</v>
      </c>
      <c r="E71" s="84">
        <v>2</v>
      </c>
      <c r="F71" s="84">
        <v>0</v>
      </c>
      <c r="G71" s="84">
        <v>0</v>
      </c>
      <c r="H71" s="84" t="s">
        <v>4259</v>
      </c>
      <c r="I71" s="157">
        <v>999</v>
      </c>
      <c r="J71" s="84" t="b">
        <v>1</v>
      </c>
      <c r="K71" s="84">
        <v>15</v>
      </c>
      <c r="L71" s="84">
        <v>225</v>
      </c>
      <c r="M71" s="84">
        <v>300</v>
      </c>
      <c r="N71" s="84" t="s">
        <v>3383</v>
      </c>
      <c r="O71" s="84"/>
      <c r="P71" s="84">
        <v>1</v>
      </c>
      <c r="Q71" s="84"/>
      <c r="R71" s="84">
        <v>0</v>
      </c>
      <c r="S71" s="84" t="s">
        <v>3990</v>
      </c>
      <c r="T71" s="206" t="s">
        <v>4693</v>
      </c>
      <c r="U71" s="206" t="s">
        <v>4694</v>
      </c>
      <c r="V71" s="84" t="s">
        <v>3993</v>
      </c>
      <c r="X71" s="197">
        <v>1</v>
      </c>
      <c r="Y71" s="197">
        <v>1</v>
      </c>
      <c r="Z71" s="199">
        <v>4</v>
      </c>
      <c r="AA71" s="199">
        <v>4</v>
      </c>
    </row>
    <row r="72" spans="1:27" ht="17.25" x14ac:dyDescent="0.3">
      <c r="A72" s="84">
        <v>904077</v>
      </c>
      <c r="B72" s="206" t="s">
        <v>4695</v>
      </c>
      <c r="C72" s="84" t="s">
        <v>3988</v>
      </c>
      <c r="D72" s="84">
        <v>2003</v>
      </c>
      <c r="E72" s="84">
        <v>2</v>
      </c>
      <c r="F72" s="84">
        <v>0</v>
      </c>
      <c r="G72" s="84">
        <v>0</v>
      </c>
      <c r="H72" s="84" t="s">
        <v>4263</v>
      </c>
      <c r="I72" s="157">
        <v>999</v>
      </c>
      <c r="J72" s="84" t="b">
        <v>1</v>
      </c>
      <c r="K72" s="84">
        <v>15</v>
      </c>
      <c r="L72" s="84">
        <v>225</v>
      </c>
      <c r="M72" s="84">
        <v>300</v>
      </c>
      <c r="N72" s="84" t="s">
        <v>3383</v>
      </c>
      <c r="O72" s="84"/>
      <c r="P72" s="84">
        <v>1</v>
      </c>
      <c r="Q72" s="84"/>
      <c r="R72" s="84">
        <v>0</v>
      </c>
      <c r="S72" s="84" t="s">
        <v>3990</v>
      </c>
      <c r="T72" s="206" t="s">
        <v>4696</v>
      </c>
      <c r="U72" s="206" t="s">
        <v>4697</v>
      </c>
      <c r="V72" s="84" t="s">
        <v>3993</v>
      </c>
      <c r="X72" s="197">
        <v>1</v>
      </c>
      <c r="Y72" s="197">
        <v>1</v>
      </c>
      <c r="Z72" s="199">
        <v>5</v>
      </c>
      <c r="AA72" s="199">
        <v>4</v>
      </c>
    </row>
    <row r="73" spans="1:27" ht="17.25" x14ac:dyDescent="0.3">
      <c r="A73" s="84">
        <v>904078</v>
      </c>
      <c r="B73" s="206" t="s">
        <v>4698</v>
      </c>
      <c r="C73" s="84" t="s">
        <v>3988</v>
      </c>
      <c r="D73" s="84">
        <v>2003</v>
      </c>
      <c r="E73" s="84">
        <v>2</v>
      </c>
      <c r="F73" s="84">
        <v>0</v>
      </c>
      <c r="G73" s="84">
        <v>0</v>
      </c>
      <c r="H73" s="84" t="s">
        <v>4267</v>
      </c>
      <c r="I73" s="157">
        <v>999</v>
      </c>
      <c r="J73" s="84" t="b">
        <v>1</v>
      </c>
      <c r="K73" s="84">
        <v>15</v>
      </c>
      <c r="L73" s="84">
        <v>225</v>
      </c>
      <c r="M73" s="84">
        <v>300</v>
      </c>
      <c r="N73" s="84" t="s">
        <v>3383</v>
      </c>
      <c r="O73" s="84"/>
      <c r="P73" s="84">
        <v>1</v>
      </c>
      <c r="Q73" s="84"/>
      <c r="R73" s="84">
        <v>0</v>
      </c>
      <c r="S73" s="84" t="s">
        <v>3990</v>
      </c>
      <c r="T73" s="206" t="s">
        <v>4699</v>
      </c>
      <c r="U73" s="206" t="s">
        <v>4700</v>
      </c>
      <c r="V73" s="84" t="s">
        <v>3993</v>
      </c>
      <c r="X73" s="197">
        <v>1</v>
      </c>
      <c r="Y73" s="197">
        <v>1</v>
      </c>
      <c r="Z73" s="199">
        <v>5</v>
      </c>
      <c r="AA73" s="199">
        <v>4</v>
      </c>
    </row>
    <row r="74" spans="1:27" ht="17.25" x14ac:dyDescent="0.3">
      <c r="A74" s="84">
        <v>904079</v>
      </c>
      <c r="B74" s="206" t="s">
        <v>4701</v>
      </c>
      <c r="C74" s="84" t="s">
        <v>3988</v>
      </c>
      <c r="D74" s="84">
        <v>2003</v>
      </c>
      <c r="E74" s="84">
        <v>2</v>
      </c>
      <c r="F74" s="84">
        <v>0</v>
      </c>
      <c r="G74" s="84">
        <v>0</v>
      </c>
      <c r="H74" s="84" t="s">
        <v>4271</v>
      </c>
      <c r="I74" s="157">
        <v>999</v>
      </c>
      <c r="J74" s="84" t="b">
        <v>1</v>
      </c>
      <c r="K74" s="84">
        <v>15</v>
      </c>
      <c r="L74" s="84">
        <v>225</v>
      </c>
      <c r="M74" s="84">
        <v>300</v>
      </c>
      <c r="N74" s="84" t="s">
        <v>3383</v>
      </c>
      <c r="O74" s="84"/>
      <c r="P74" s="84">
        <v>1</v>
      </c>
      <c r="Q74" s="84"/>
      <c r="R74" s="84">
        <v>0</v>
      </c>
      <c r="S74" s="84" t="s">
        <v>3990</v>
      </c>
      <c r="T74" s="206" t="s">
        <v>4702</v>
      </c>
      <c r="U74" s="206" t="s">
        <v>4703</v>
      </c>
      <c r="V74" s="84" t="s">
        <v>3993</v>
      </c>
      <c r="X74" s="197">
        <v>1</v>
      </c>
      <c r="Y74" s="197">
        <v>1</v>
      </c>
      <c r="Z74" s="199">
        <v>5</v>
      </c>
      <c r="AA74" s="199">
        <v>4</v>
      </c>
    </row>
    <row r="75" spans="1:27" ht="17.25" x14ac:dyDescent="0.3">
      <c r="A75" s="84">
        <v>904080</v>
      </c>
      <c r="B75" s="206" t="s">
        <v>4704</v>
      </c>
      <c r="C75" s="84" t="s">
        <v>3988</v>
      </c>
      <c r="D75" s="84">
        <v>2003</v>
      </c>
      <c r="E75" s="84">
        <v>2</v>
      </c>
      <c r="F75" s="84">
        <v>0</v>
      </c>
      <c r="G75" s="84">
        <v>0</v>
      </c>
      <c r="H75" s="84" t="s">
        <v>4275</v>
      </c>
      <c r="I75" s="157">
        <v>999</v>
      </c>
      <c r="J75" s="84" t="b">
        <v>1</v>
      </c>
      <c r="K75" s="84">
        <v>15</v>
      </c>
      <c r="L75" s="84">
        <v>225</v>
      </c>
      <c r="M75" s="84">
        <v>300</v>
      </c>
      <c r="N75" s="84" t="s">
        <v>3383</v>
      </c>
      <c r="O75" s="84"/>
      <c r="P75" s="84">
        <v>1</v>
      </c>
      <c r="Q75" s="84"/>
      <c r="R75" s="84">
        <v>0</v>
      </c>
      <c r="S75" s="84" t="s">
        <v>3990</v>
      </c>
      <c r="T75" s="206" t="s">
        <v>4705</v>
      </c>
      <c r="U75" s="206" t="s">
        <v>4706</v>
      </c>
      <c r="V75" s="84" t="s">
        <v>3993</v>
      </c>
      <c r="X75" s="197">
        <v>1</v>
      </c>
      <c r="Y75" s="197">
        <v>1</v>
      </c>
      <c r="Z75" s="199">
        <v>6</v>
      </c>
      <c r="AA75" s="199">
        <v>4</v>
      </c>
    </row>
    <row r="76" spans="1:27" ht="17.25" x14ac:dyDescent="0.3">
      <c r="A76" s="84">
        <v>904081</v>
      </c>
      <c r="B76" s="206" t="s">
        <v>4707</v>
      </c>
      <c r="C76" s="84" t="s">
        <v>3988</v>
      </c>
      <c r="D76" s="84">
        <v>2003</v>
      </c>
      <c r="E76" s="84">
        <v>2</v>
      </c>
      <c r="F76" s="84">
        <v>0</v>
      </c>
      <c r="G76" s="84">
        <v>0</v>
      </c>
      <c r="H76" s="84" t="s">
        <v>4279</v>
      </c>
      <c r="I76" s="157">
        <v>999</v>
      </c>
      <c r="J76" s="84" t="b">
        <v>1</v>
      </c>
      <c r="K76" s="84">
        <v>15</v>
      </c>
      <c r="L76" s="84">
        <v>225</v>
      </c>
      <c r="M76" s="84">
        <v>300</v>
      </c>
      <c r="N76" s="84" t="s">
        <v>3383</v>
      </c>
      <c r="O76" s="84"/>
      <c r="P76" s="84">
        <v>1</v>
      </c>
      <c r="Q76" s="84"/>
      <c r="R76" s="84">
        <v>0</v>
      </c>
      <c r="S76" s="84" t="s">
        <v>3990</v>
      </c>
      <c r="T76" s="206" t="s">
        <v>4708</v>
      </c>
      <c r="U76" s="206" t="s">
        <v>4709</v>
      </c>
      <c r="V76" s="84" t="s">
        <v>3993</v>
      </c>
      <c r="X76" s="197">
        <v>1</v>
      </c>
      <c r="Y76" s="197">
        <v>1</v>
      </c>
      <c r="Z76" s="199">
        <v>6</v>
      </c>
      <c r="AA76" s="199">
        <v>4</v>
      </c>
    </row>
    <row r="77" spans="1:27" ht="17.25" x14ac:dyDescent="0.3">
      <c r="A77" s="84">
        <v>904082</v>
      </c>
      <c r="B77" s="206" t="s">
        <v>4710</v>
      </c>
      <c r="C77" s="84" t="s">
        <v>3988</v>
      </c>
      <c r="D77" s="84">
        <v>2003</v>
      </c>
      <c r="E77" s="84">
        <v>2</v>
      </c>
      <c r="F77" s="84">
        <v>0</v>
      </c>
      <c r="G77" s="84">
        <v>0</v>
      </c>
      <c r="H77" s="84" t="s">
        <v>4283</v>
      </c>
      <c r="I77" s="157">
        <v>999</v>
      </c>
      <c r="J77" s="84" t="b">
        <v>1</v>
      </c>
      <c r="K77" s="84">
        <v>15</v>
      </c>
      <c r="L77" s="84">
        <v>225</v>
      </c>
      <c r="M77" s="84">
        <v>300</v>
      </c>
      <c r="N77" s="84" t="s">
        <v>3383</v>
      </c>
      <c r="O77" s="84"/>
      <c r="P77" s="84">
        <v>1</v>
      </c>
      <c r="Q77" s="84"/>
      <c r="R77" s="84">
        <v>0</v>
      </c>
      <c r="S77" s="84" t="s">
        <v>3990</v>
      </c>
      <c r="T77" s="206" t="s">
        <v>4711</v>
      </c>
      <c r="U77" s="206" t="s">
        <v>4712</v>
      </c>
      <c r="V77" s="84" t="s">
        <v>3993</v>
      </c>
      <c r="X77" s="197">
        <v>1</v>
      </c>
      <c r="Y77" s="197">
        <v>1</v>
      </c>
      <c r="Z77" s="199">
        <v>6</v>
      </c>
      <c r="AA77" s="199">
        <v>4</v>
      </c>
    </row>
    <row r="78" spans="1:27" ht="17.25" x14ac:dyDescent="0.3">
      <c r="A78" s="84">
        <v>904083</v>
      </c>
      <c r="B78" s="206" t="s">
        <v>4713</v>
      </c>
      <c r="C78" s="84" t="s">
        <v>3988</v>
      </c>
      <c r="D78" s="84">
        <v>2003</v>
      </c>
      <c r="E78" s="84">
        <v>2</v>
      </c>
      <c r="F78" s="84">
        <v>0</v>
      </c>
      <c r="G78" s="84">
        <v>0</v>
      </c>
      <c r="H78" s="84" t="s">
        <v>4287</v>
      </c>
      <c r="I78" s="157">
        <v>999</v>
      </c>
      <c r="J78" s="84" t="b">
        <v>1</v>
      </c>
      <c r="K78" s="84">
        <v>15</v>
      </c>
      <c r="L78" s="84">
        <v>225</v>
      </c>
      <c r="M78" s="84">
        <v>300</v>
      </c>
      <c r="N78" s="84" t="s">
        <v>3383</v>
      </c>
      <c r="O78" s="84"/>
      <c r="P78" s="84">
        <v>1</v>
      </c>
      <c r="Q78" s="84"/>
      <c r="R78" s="84">
        <v>0</v>
      </c>
      <c r="S78" s="84" t="s">
        <v>3990</v>
      </c>
      <c r="T78" s="206" t="s">
        <v>4714</v>
      </c>
      <c r="U78" s="206" t="s">
        <v>4715</v>
      </c>
      <c r="V78" s="84" t="s">
        <v>3993</v>
      </c>
      <c r="X78" s="197">
        <v>1</v>
      </c>
      <c r="Y78" s="197">
        <v>1</v>
      </c>
      <c r="Z78" s="199">
        <v>7</v>
      </c>
      <c r="AA78" s="199">
        <v>4</v>
      </c>
    </row>
    <row r="79" spans="1:27" ht="17.25" x14ac:dyDescent="0.3">
      <c r="A79" s="84">
        <v>904084</v>
      </c>
      <c r="B79" s="206" t="s">
        <v>4716</v>
      </c>
      <c r="C79" s="84" t="s">
        <v>3988</v>
      </c>
      <c r="D79" s="84">
        <v>2003</v>
      </c>
      <c r="E79" s="84">
        <v>2</v>
      </c>
      <c r="F79" s="84">
        <v>0</v>
      </c>
      <c r="G79" s="84">
        <v>0</v>
      </c>
      <c r="H79" s="84" t="s">
        <v>4291</v>
      </c>
      <c r="I79" s="157">
        <v>999</v>
      </c>
      <c r="J79" s="84" t="b">
        <v>1</v>
      </c>
      <c r="K79" s="84">
        <v>15</v>
      </c>
      <c r="L79" s="84">
        <v>225</v>
      </c>
      <c r="M79" s="84">
        <v>300</v>
      </c>
      <c r="N79" s="84" t="s">
        <v>3383</v>
      </c>
      <c r="O79" s="84"/>
      <c r="P79" s="84">
        <v>1</v>
      </c>
      <c r="Q79" s="84"/>
      <c r="R79" s="84">
        <v>0</v>
      </c>
      <c r="S79" s="84" t="s">
        <v>3990</v>
      </c>
      <c r="T79" s="206" t="s">
        <v>4717</v>
      </c>
      <c r="U79" s="206" t="s">
        <v>4718</v>
      </c>
      <c r="V79" s="84" t="s">
        <v>3993</v>
      </c>
      <c r="X79" s="197">
        <v>1</v>
      </c>
      <c r="Y79" s="197">
        <v>1</v>
      </c>
      <c r="Z79" s="199">
        <v>7</v>
      </c>
      <c r="AA79" s="199">
        <v>4</v>
      </c>
    </row>
    <row r="80" spans="1:27" ht="17.25" x14ac:dyDescent="0.3">
      <c r="A80" s="84">
        <v>904085</v>
      </c>
      <c r="B80" s="206" t="s">
        <v>4719</v>
      </c>
      <c r="C80" s="84" t="s">
        <v>3988</v>
      </c>
      <c r="D80" s="84">
        <v>2003</v>
      </c>
      <c r="E80" s="84">
        <v>2</v>
      </c>
      <c r="F80" s="84">
        <v>0</v>
      </c>
      <c r="G80" s="84">
        <v>0</v>
      </c>
      <c r="H80" s="84" t="s">
        <v>4295</v>
      </c>
      <c r="I80" s="157">
        <v>999</v>
      </c>
      <c r="J80" s="84" t="b">
        <v>1</v>
      </c>
      <c r="K80" s="84">
        <v>15</v>
      </c>
      <c r="L80" s="84">
        <v>225</v>
      </c>
      <c r="M80" s="84">
        <v>300</v>
      </c>
      <c r="N80" s="84" t="s">
        <v>3383</v>
      </c>
      <c r="O80" s="84"/>
      <c r="P80" s="84">
        <v>1</v>
      </c>
      <c r="Q80" s="84"/>
      <c r="R80" s="84">
        <v>0</v>
      </c>
      <c r="S80" s="84" t="s">
        <v>3990</v>
      </c>
      <c r="T80" s="206" t="s">
        <v>4720</v>
      </c>
      <c r="U80" s="206" t="s">
        <v>4721</v>
      </c>
      <c r="V80" s="84" t="s">
        <v>3993</v>
      </c>
      <c r="X80" s="197">
        <v>1</v>
      </c>
      <c r="Y80" s="197">
        <v>1</v>
      </c>
      <c r="Z80" s="199">
        <v>7</v>
      </c>
      <c r="AA80" s="199">
        <v>4</v>
      </c>
    </row>
    <row r="81" spans="1:27" ht="17.25" x14ac:dyDescent="0.3">
      <c r="A81" s="84">
        <v>904086</v>
      </c>
      <c r="B81" s="206" t="s">
        <v>4722</v>
      </c>
      <c r="C81" s="84" t="s">
        <v>3988</v>
      </c>
      <c r="D81" s="84">
        <v>2003</v>
      </c>
      <c r="E81" s="84">
        <v>2</v>
      </c>
      <c r="F81" s="84">
        <v>0</v>
      </c>
      <c r="G81" s="84">
        <v>0</v>
      </c>
      <c r="H81" s="84" t="s">
        <v>4299</v>
      </c>
      <c r="I81" s="157">
        <v>999</v>
      </c>
      <c r="J81" s="84" t="b">
        <v>1</v>
      </c>
      <c r="K81" s="84">
        <v>15</v>
      </c>
      <c r="L81" s="84">
        <v>225</v>
      </c>
      <c r="M81" s="84">
        <v>300</v>
      </c>
      <c r="N81" s="84" t="s">
        <v>3383</v>
      </c>
      <c r="O81" s="84"/>
      <c r="P81" s="84">
        <v>1</v>
      </c>
      <c r="Q81" s="84"/>
      <c r="R81" s="84">
        <v>0</v>
      </c>
      <c r="S81" s="84" t="s">
        <v>3990</v>
      </c>
      <c r="T81" s="206" t="s">
        <v>4723</v>
      </c>
      <c r="U81" s="206" t="s">
        <v>4724</v>
      </c>
      <c r="V81" s="84" t="s">
        <v>3993</v>
      </c>
      <c r="X81" s="197">
        <v>1</v>
      </c>
      <c r="Y81" s="197">
        <v>1</v>
      </c>
      <c r="Z81" s="199">
        <v>8</v>
      </c>
      <c r="AA81" s="199">
        <v>4</v>
      </c>
    </row>
    <row r="82" spans="1:27" ht="17.25" x14ac:dyDescent="0.3">
      <c r="A82" s="84">
        <v>904087</v>
      </c>
      <c r="B82" s="206" t="s">
        <v>4725</v>
      </c>
      <c r="C82" s="84" t="s">
        <v>3988</v>
      </c>
      <c r="D82" s="84">
        <v>2003</v>
      </c>
      <c r="E82" s="84">
        <v>2</v>
      </c>
      <c r="F82" s="84">
        <v>0</v>
      </c>
      <c r="G82" s="84">
        <v>0</v>
      </c>
      <c r="H82" s="84" t="s">
        <v>4303</v>
      </c>
      <c r="I82" s="157">
        <v>999</v>
      </c>
      <c r="J82" s="84" t="b">
        <v>1</v>
      </c>
      <c r="K82" s="84">
        <v>15</v>
      </c>
      <c r="L82" s="84">
        <v>225</v>
      </c>
      <c r="M82" s="84">
        <v>300</v>
      </c>
      <c r="N82" s="84" t="s">
        <v>3383</v>
      </c>
      <c r="O82" s="84"/>
      <c r="P82" s="84">
        <v>1</v>
      </c>
      <c r="Q82" s="84"/>
      <c r="R82" s="84">
        <v>0</v>
      </c>
      <c r="S82" s="84" t="s">
        <v>3990</v>
      </c>
      <c r="T82" s="206" t="s">
        <v>4726</v>
      </c>
      <c r="U82" s="206" t="s">
        <v>4727</v>
      </c>
      <c r="V82" s="84" t="s">
        <v>3993</v>
      </c>
      <c r="X82" s="197">
        <v>1</v>
      </c>
      <c r="Y82" s="197">
        <v>1</v>
      </c>
      <c r="Z82" s="199">
        <v>8</v>
      </c>
      <c r="AA82" s="199">
        <v>4</v>
      </c>
    </row>
    <row r="83" spans="1:27" ht="17.25" x14ac:dyDescent="0.3">
      <c r="A83" s="84">
        <v>904088</v>
      </c>
      <c r="B83" s="206" t="s">
        <v>4728</v>
      </c>
      <c r="C83" s="84" t="s">
        <v>3988</v>
      </c>
      <c r="D83" s="84">
        <v>2003</v>
      </c>
      <c r="E83" s="84">
        <v>2</v>
      </c>
      <c r="F83" s="84">
        <v>0</v>
      </c>
      <c r="G83" s="84">
        <v>0</v>
      </c>
      <c r="H83" s="84" t="s">
        <v>4307</v>
      </c>
      <c r="I83" s="157">
        <v>999</v>
      </c>
      <c r="J83" s="84" t="b">
        <v>1</v>
      </c>
      <c r="K83" s="84">
        <v>15</v>
      </c>
      <c r="L83" s="84">
        <v>225</v>
      </c>
      <c r="M83" s="84">
        <v>300</v>
      </c>
      <c r="N83" s="84" t="s">
        <v>3383</v>
      </c>
      <c r="O83" s="84"/>
      <c r="P83" s="84">
        <v>1</v>
      </c>
      <c r="Q83" s="84"/>
      <c r="R83" s="84">
        <v>0</v>
      </c>
      <c r="S83" s="84" t="s">
        <v>3990</v>
      </c>
      <c r="T83" s="206" t="s">
        <v>4729</v>
      </c>
      <c r="U83" s="206" t="s">
        <v>4730</v>
      </c>
      <c r="V83" s="84" t="s">
        <v>3993</v>
      </c>
      <c r="X83" s="197">
        <v>1</v>
      </c>
      <c r="Y83" s="197">
        <v>1</v>
      </c>
      <c r="Z83" s="199">
        <v>8</v>
      </c>
      <c r="AA83" s="199">
        <v>4</v>
      </c>
    </row>
    <row r="84" spans="1:27" ht="17.25" x14ac:dyDescent="0.3">
      <c r="A84" s="84">
        <v>904089</v>
      </c>
      <c r="B84" s="206" t="s">
        <v>4731</v>
      </c>
      <c r="C84" s="84" t="s">
        <v>3988</v>
      </c>
      <c r="D84" s="84">
        <v>2003</v>
      </c>
      <c r="E84" s="84">
        <v>2</v>
      </c>
      <c r="F84" s="84">
        <v>0</v>
      </c>
      <c r="G84" s="84">
        <v>0</v>
      </c>
      <c r="H84" s="84" t="s">
        <v>4311</v>
      </c>
      <c r="I84" s="157">
        <v>999</v>
      </c>
      <c r="J84" s="84" t="b">
        <v>1</v>
      </c>
      <c r="K84" s="84">
        <v>15</v>
      </c>
      <c r="L84" s="84">
        <v>225</v>
      </c>
      <c r="M84" s="84">
        <v>300</v>
      </c>
      <c r="N84" s="84" t="s">
        <v>3383</v>
      </c>
      <c r="O84" s="84"/>
      <c r="P84" s="84">
        <v>1</v>
      </c>
      <c r="Q84" s="84"/>
      <c r="R84" s="84">
        <v>0</v>
      </c>
      <c r="S84" s="84" t="s">
        <v>3990</v>
      </c>
      <c r="T84" s="206" t="s">
        <v>4732</v>
      </c>
      <c r="U84" s="206" t="s">
        <v>4733</v>
      </c>
      <c r="V84" s="84" t="s">
        <v>3993</v>
      </c>
      <c r="X84" s="197">
        <v>1</v>
      </c>
      <c r="Y84" s="197">
        <v>1</v>
      </c>
      <c r="Z84" s="199">
        <v>9</v>
      </c>
      <c r="AA84" s="199">
        <v>4</v>
      </c>
    </row>
    <row r="85" spans="1:27" ht="17.25" x14ac:dyDescent="0.3">
      <c r="A85" s="84">
        <v>904090</v>
      </c>
      <c r="B85" s="206" t="s">
        <v>4734</v>
      </c>
      <c r="C85" s="84" t="s">
        <v>3988</v>
      </c>
      <c r="D85" s="84">
        <v>2003</v>
      </c>
      <c r="E85" s="84">
        <v>2</v>
      </c>
      <c r="F85" s="84">
        <v>0</v>
      </c>
      <c r="G85" s="84">
        <v>0</v>
      </c>
      <c r="H85" s="84" t="s">
        <v>4315</v>
      </c>
      <c r="I85" s="157">
        <v>999</v>
      </c>
      <c r="J85" s="84" t="b">
        <v>1</v>
      </c>
      <c r="K85" s="84">
        <v>15</v>
      </c>
      <c r="L85" s="84">
        <v>225</v>
      </c>
      <c r="M85" s="84">
        <v>300</v>
      </c>
      <c r="N85" s="84" t="s">
        <v>3383</v>
      </c>
      <c r="O85" s="84"/>
      <c r="P85" s="84">
        <v>1</v>
      </c>
      <c r="Q85" s="84"/>
      <c r="R85" s="84">
        <v>0</v>
      </c>
      <c r="S85" s="84" t="s">
        <v>3990</v>
      </c>
      <c r="T85" s="206" t="s">
        <v>4735</v>
      </c>
      <c r="U85" s="206" t="s">
        <v>4736</v>
      </c>
      <c r="V85" s="84" t="s">
        <v>3993</v>
      </c>
      <c r="X85" s="197">
        <v>1</v>
      </c>
      <c r="Y85" s="197">
        <v>1</v>
      </c>
      <c r="Z85" s="199">
        <v>9</v>
      </c>
      <c r="AA85" s="199">
        <v>4</v>
      </c>
    </row>
    <row r="86" spans="1:27" ht="17.25" x14ac:dyDescent="0.3">
      <c r="A86" s="84">
        <v>904091</v>
      </c>
      <c r="B86" s="206" t="s">
        <v>4737</v>
      </c>
      <c r="C86" s="84" t="s">
        <v>3988</v>
      </c>
      <c r="D86" s="84">
        <v>2003</v>
      </c>
      <c r="E86" s="84">
        <v>2</v>
      </c>
      <c r="F86" s="84">
        <v>0</v>
      </c>
      <c r="G86" s="84">
        <v>0</v>
      </c>
      <c r="H86" s="84" t="s">
        <v>4319</v>
      </c>
      <c r="I86" s="157">
        <v>999</v>
      </c>
      <c r="J86" s="84" t="b">
        <v>1</v>
      </c>
      <c r="K86" s="84">
        <v>15</v>
      </c>
      <c r="L86" s="84">
        <v>225</v>
      </c>
      <c r="M86" s="84">
        <v>300</v>
      </c>
      <c r="N86" s="84" t="s">
        <v>3383</v>
      </c>
      <c r="O86" s="84"/>
      <c r="P86" s="84">
        <v>1</v>
      </c>
      <c r="Q86" s="84"/>
      <c r="R86" s="84">
        <v>0</v>
      </c>
      <c r="S86" s="84" t="s">
        <v>3990</v>
      </c>
      <c r="T86" s="206" t="s">
        <v>4738</v>
      </c>
      <c r="U86" s="206" t="s">
        <v>4739</v>
      </c>
      <c r="V86" s="84" t="s">
        <v>3993</v>
      </c>
      <c r="X86" s="197">
        <v>1</v>
      </c>
      <c r="Y86" s="197">
        <v>1</v>
      </c>
      <c r="Z86" s="199">
        <v>9</v>
      </c>
      <c r="AA86" s="199">
        <v>4</v>
      </c>
    </row>
    <row r="87" spans="1:27" ht="17.25" x14ac:dyDescent="0.3">
      <c r="A87" s="84">
        <v>904092</v>
      </c>
      <c r="B87" s="206" t="s">
        <v>4740</v>
      </c>
      <c r="C87" s="84" t="s">
        <v>3988</v>
      </c>
      <c r="D87" s="84">
        <v>2003</v>
      </c>
      <c r="E87" s="84">
        <v>2</v>
      </c>
      <c r="F87" s="84">
        <v>0</v>
      </c>
      <c r="G87" s="84">
        <v>0</v>
      </c>
      <c r="H87" s="84" t="s">
        <v>4323</v>
      </c>
      <c r="I87" s="157">
        <v>999</v>
      </c>
      <c r="J87" s="84" t="b">
        <v>1</v>
      </c>
      <c r="K87" s="84">
        <v>15</v>
      </c>
      <c r="L87" s="84">
        <v>225</v>
      </c>
      <c r="M87" s="84">
        <v>300</v>
      </c>
      <c r="N87" s="84" t="s">
        <v>3383</v>
      </c>
      <c r="O87" s="84"/>
      <c r="P87" s="84">
        <v>1</v>
      </c>
      <c r="Q87" s="84"/>
      <c r="R87" s="84">
        <v>0</v>
      </c>
      <c r="S87" s="84" t="s">
        <v>3990</v>
      </c>
      <c r="T87" s="206" t="s">
        <v>4741</v>
      </c>
      <c r="U87" s="206" t="s">
        <v>4742</v>
      </c>
      <c r="V87" s="84" t="s">
        <v>3993</v>
      </c>
      <c r="X87" s="197">
        <v>1</v>
      </c>
      <c r="Y87" s="197">
        <v>1</v>
      </c>
      <c r="Z87" s="199">
        <v>10</v>
      </c>
      <c r="AA87" s="199">
        <v>4</v>
      </c>
    </row>
    <row r="88" spans="1:27" ht="17.25" x14ac:dyDescent="0.3">
      <c r="A88" s="84">
        <v>904093</v>
      </c>
      <c r="B88" s="206" t="s">
        <v>4743</v>
      </c>
      <c r="C88" s="84" t="s">
        <v>3988</v>
      </c>
      <c r="D88" s="84">
        <v>2003</v>
      </c>
      <c r="E88" s="84">
        <v>2</v>
      </c>
      <c r="F88" s="84">
        <v>0</v>
      </c>
      <c r="G88" s="84">
        <v>0</v>
      </c>
      <c r="H88" s="84" t="s">
        <v>4327</v>
      </c>
      <c r="I88" s="157">
        <v>999</v>
      </c>
      <c r="J88" s="84" t="b">
        <v>1</v>
      </c>
      <c r="K88" s="84">
        <v>15</v>
      </c>
      <c r="L88" s="84">
        <v>225</v>
      </c>
      <c r="M88" s="84">
        <v>300</v>
      </c>
      <c r="N88" s="84" t="s">
        <v>3383</v>
      </c>
      <c r="O88" s="84"/>
      <c r="P88" s="84">
        <v>1</v>
      </c>
      <c r="Q88" s="84"/>
      <c r="R88" s="84">
        <v>0</v>
      </c>
      <c r="S88" s="84" t="s">
        <v>3990</v>
      </c>
      <c r="T88" s="206" t="s">
        <v>4744</v>
      </c>
      <c r="U88" s="206" t="s">
        <v>4745</v>
      </c>
      <c r="V88" s="84" t="s">
        <v>3993</v>
      </c>
      <c r="X88" s="197">
        <v>1</v>
      </c>
      <c r="Y88" s="197">
        <v>1</v>
      </c>
      <c r="Z88" s="199">
        <v>10</v>
      </c>
      <c r="AA88" s="199">
        <v>4</v>
      </c>
    </row>
    <row r="89" spans="1:27" ht="17.25" x14ac:dyDescent="0.3">
      <c r="A89" s="84">
        <v>904094</v>
      </c>
      <c r="B89" s="206" t="s">
        <v>4746</v>
      </c>
      <c r="C89" s="84" t="s">
        <v>3988</v>
      </c>
      <c r="D89" s="84">
        <v>2003</v>
      </c>
      <c r="E89" s="84">
        <v>2</v>
      </c>
      <c r="F89" s="84">
        <v>0</v>
      </c>
      <c r="G89" s="84">
        <v>0</v>
      </c>
      <c r="H89" s="84" t="s">
        <v>4331</v>
      </c>
      <c r="I89" s="157">
        <v>999</v>
      </c>
      <c r="J89" s="84" t="b">
        <v>1</v>
      </c>
      <c r="K89" s="84">
        <v>15</v>
      </c>
      <c r="L89" s="84">
        <v>225</v>
      </c>
      <c r="M89" s="84">
        <v>300</v>
      </c>
      <c r="N89" s="84" t="s">
        <v>3383</v>
      </c>
      <c r="O89" s="84"/>
      <c r="P89" s="84">
        <v>1</v>
      </c>
      <c r="Q89" s="84"/>
      <c r="R89" s="84">
        <v>0</v>
      </c>
      <c r="S89" s="84" t="s">
        <v>3990</v>
      </c>
      <c r="T89" s="206" t="s">
        <v>4747</v>
      </c>
      <c r="U89" s="206" t="s">
        <v>4748</v>
      </c>
      <c r="V89" s="84" t="s">
        <v>3993</v>
      </c>
      <c r="X89" s="197">
        <v>1</v>
      </c>
      <c r="Y89" s="197">
        <v>1</v>
      </c>
      <c r="Z89" s="199">
        <v>10</v>
      </c>
      <c r="AA89" s="199">
        <v>4</v>
      </c>
    </row>
    <row r="90" spans="1:27" ht="17.25" x14ac:dyDescent="0.3">
      <c r="A90" s="84">
        <v>904095</v>
      </c>
      <c r="B90" s="206" t="s">
        <v>4749</v>
      </c>
      <c r="C90" s="84" t="s">
        <v>3988</v>
      </c>
      <c r="D90" s="84">
        <v>2003</v>
      </c>
      <c r="E90" s="84">
        <v>2</v>
      </c>
      <c r="F90" s="84">
        <v>0</v>
      </c>
      <c r="G90" s="84">
        <v>0</v>
      </c>
      <c r="H90" s="84" t="s">
        <v>4335</v>
      </c>
      <c r="I90" s="157">
        <v>999</v>
      </c>
      <c r="J90" s="84" t="b">
        <v>1</v>
      </c>
      <c r="K90" s="84">
        <v>15</v>
      </c>
      <c r="L90" s="84">
        <v>225</v>
      </c>
      <c r="M90" s="84">
        <v>300</v>
      </c>
      <c r="N90" s="84" t="s">
        <v>3383</v>
      </c>
      <c r="O90" s="84"/>
      <c r="P90" s="84">
        <v>1</v>
      </c>
      <c r="Q90" s="84"/>
      <c r="R90" s="84">
        <v>0</v>
      </c>
      <c r="S90" s="84" t="s">
        <v>3990</v>
      </c>
      <c r="T90" s="206" t="s">
        <v>4750</v>
      </c>
      <c r="U90" s="206" t="s">
        <v>4751</v>
      </c>
      <c r="V90" s="84" t="s">
        <v>3993</v>
      </c>
      <c r="X90" s="197">
        <v>1</v>
      </c>
      <c r="Y90" s="197">
        <v>1</v>
      </c>
      <c r="Z90" s="199">
        <v>11</v>
      </c>
      <c r="AA90" s="199">
        <v>4</v>
      </c>
    </row>
    <row r="91" spans="1:27" ht="17.25" x14ac:dyDescent="0.3">
      <c r="A91" s="84">
        <v>904096</v>
      </c>
      <c r="B91" s="206" t="s">
        <v>4752</v>
      </c>
      <c r="C91" s="84" t="s">
        <v>3988</v>
      </c>
      <c r="D91" s="84">
        <v>2003</v>
      </c>
      <c r="E91" s="84">
        <v>2</v>
      </c>
      <c r="F91" s="84">
        <v>0</v>
      </c>
      <c r="G91" s="84">
        <v>0</v>
      </c>
      <c r="H91" s="84" t="s">
        <v>4339</v>
      </c>
      <c r="I91" s="157">
        <v>999</v>
      </c>
      <c r="J91" s="84" t="b">
        <v>1</v>
      </c>
      <c r="K91" s="84">
        <v>15</v>
      </c>
      <c r="L91" s="84">
        <v>225</v>
      </c>
      <c r="M91" s="84">
        <v>300</v>
      </c>
      <c r="N91" s="84" t="s">
        <v>3383</v>
      </c>
      <c r="O91" s="84"/>
      <c r="P91" s="84">
        <v>1</v>
      </c>
      <c r="Q91" s="84"/>
      <c r="R91" s="84">
        <v>0</v>
      </c>
      <c r="S91" s="84" t="s">
        <v>3990</v>
      </c>
      <c r="T91" s="206" t="s">
        <v>4753</v>
      </c>
      <c r="U91" s="206" t="s">
        <v>4754</v>
      </c>
      <c r="V91" s="84" t="s">
        <v>3993</v>
      </c>
      <c r="X91" s="197">
        <v>1</v>
      </c>
      <c r="Y91" s="197">
        <v>1</v>
      </c>
      <c r="Z91" s="199">
        <v>11</v>
      </c>
      <c r="AA91" s="199">
        <v>4</v>
      </c>
    </row>
    <row r="92" spans="1:27" ht="17.25" x14ac:dyDescent="0.3">
      <c r="A92" s="84">
        <v>904097</v>
      </c>
      <c r="B92" s="206" t="s">
        <v>4755</v>
      </c>
      <c r="C92" s="84" t="s">
        <v>3988</v>
      </c>
      <c r="D92" s="84">
        <v>2003</v>
      </c>
      <c r="E92" s="84">
        <v>2</v>
      </c>
      <c r="F92" s="84">
        <v>0</v>
      </c>
      <c r="G92" s="84">
        <v>0</v>
      </c>
      <c r="H92" s="84" t="s">
        <v>4343</v>
      </c>
      <c r="I92" s="157">
        <v>999</v>
      </c>
      <c r="J92" s="84" t="b">
        <v>1</v>
      </c>
      <c r="K92" s="84">
        <v>15</v>
      </c>
      <c r="L92" s="84">
        <v>225</v>
      </c>
      <c r="M92" s="84">
        <v>300</v>
      </c>
      <c r="N92" s="84" t="s">
        <v>3383</v>
      </c>
      <c r="O92" s="84"/>
      <c r="P92" s="84">
        <v>1</v>
      </c>
      <c r="Q92" s="84"/>
      <c r="R92" s="84">
        <v>0</v>
      </c>
      <c r="S92" s="84" t="s">
        <v>3990</v>
      </c>
      <c r="T92" s="206" t="s">
        <v>4756</v>
      </c>
      <c r="U92" s="206" t="s">
        <v>4757</v>
      </c>
      <c r="V92" s="84" t="s">
        <v>3993</v>
      </c>
      <c r="X92" s="197">
        <v>1</v>
      </c>
      <c r="Y92" s="197">
        <v>1</v>
      </c>
      <c r="Z92" s="199">
        <v>11</v>
      </c>
      <c r="AA92" s="199">
        <v>4</v>
      </c>
    </row>
    <row r="93" spans="1:27" ht="17.25" x14ac:dyDescent="0.3">
      <c r="A93" s="84">
        <v>904098</v>
      </c>
      <c r="B93" s="206" t="s">
        <v>4758</v>
      </c>
      <c r="C93" s="84" t="s">
        <v>3988</v>
      </c>
      <c r="D93" s="84">
        <v>2003</v>
      </c>
      <c r="E93" s="84">
        <v>2</v>
      </c>
      <c r="F93" s="84">
        <v>0</v>
      </c>
      <c r="G93" s="84">
        <v>0</v>
      </c>
      <c r="H93" s="84" t="s">
        <v>4347</v>
      </c>
      <c r="I93" s="157">
        <v>999</v>
      </c>
      <c r="J93" s="84" t="b">
        <v>1</v>
      </c>
      <c r="K93" s="84">
        <v>15</v>
      </c>
      <c r="L93" s="84">
        <v>225</v>
      </c>
      <c r="M93" s="84">
        <v>300</v>
      </c>
      <c r="N93" s="84" t="s">
        <v>3383</v>
      </c>
      <c r="O93" s="84"/>
      <c r="P93" s="84">
        <v>1</v>
      </c>
      <c r="Q93" s="84"/>
      <c r="R93" s="84">
        <v>0</v>
      </c>
      <c r="S93" s="84" t="s">
        <v>3990</v>
      </c>
      <c r="T93" s="206" t="s">
        <v>4759</v>
      </c>
      <c r="U93" s="206" t="s">
        <v>4760</v>
      </c>
      <c r="V93" s="84" t="s">
        <v>3993</v>
      </c>
      <c r="X93" s="197">
        <v>1</v>
      </c>
      <c r="Y93" s="197">
        <v>1</v>
      </c>
      <c r="Z93" s="199">
        <v>13</v>
      </c>
      <c r="AA93" s="199">
        <v>4</v>
      </c>
    </row>
    <row r="94" spans="1:27" ht="17.25" x14ac:dyDescent="0.3">
      <c r="A94" s="84">
        <v>904099</v>
      </c>
      <c r="B94" s="206" t="s">
        <v>4761</v>
      </c>
      <c r="C94" s="84" t="s">
        <v>3988</v>
      </c>
      <c r="D94" s="84">
        <v>2003</v>
      </c>
      <c r="E94" s="84">
        <v>2</v>
      </c>
      <c r="F94" s="84">
        <v>0</v>
      </c>
      <c r="G94" s="84">
        <v>0</v>
      </c>
      <c r="H94" s="84" t="s">
        <v>4351</v>
      </c>
      <c r="I94" s="157">
        <v>999</v>
      </c>
      <c r="J94" s="84" t="b">
        <v>1</v>
      </c>
      <c r="K94" s="84">
        <v>15</v>
      </c>
      <c r="L94" s="84">
        <v>225</v>
      </c>
      <c r="M94" s="84">
        <v>300</v>
      </c>
      <c r="N94" s="84" t="s">
        <v>3383</v>
      </c>
      <c r="O94" s="84"/>
      <c r="P94" s="84">
        <v>1</v>
      </c>
      <c r="Q94" s="84"/>
      <c r="R94" s="84">
        <v>0</v>
      </c>
      <c r="S94" s="84" t="s">
        <v>3990</v>
      </c>
      <c r="T94" s="206" t="s">
        <v>4762</v>
      </c>
      <c r="U94" s="206" t="s">
        <v>4763</v>
      </c>
      <c r="V94" s="84" t="s">
        <v>3993</v>
      </c>
      <c r="X94" s="197">
        <v>1</v>
      </c>
      <c r="Y94" s="197">
        <v>1</v>
      </c>
      <c r="Z94" s="199">
        <v>13</v>
      </c>
      <c r="AA94" s="199">
        <v>4</v>
      </c>
    </row>
    <row r="95" spans="1:27" ht="17.25" x14ac:dyDescent="0.3">
      <c r="A95" s="84">
        <v>904100</v>
      </c>
      <c r="B95" s="206" t="s">
        <v>4764</v>
      </c>
      <c r="C95" s="84" t="s">
        <v>3988</v>
      </c>
      <c r="D95" s="84">
        <v>2003</v>
      </c>
      <c r="E95" s="84">
        <v>2</v>
      </c>
      <c r="F95" s="84">
        <v>0</v>
      </c>
      <c r="G95" s="84">
        <v>0</v>
      </c>
      <c r="H95" s="84" t="s">
        <v>4355</v>
      </c>
      <c r="I95" s="157">
        <v>999</v>
      </c>
      <c r="J95" s="84" t="b">
        <v>1</v>
      </c>
      <c r="K95" s="84">
        <v>15</v>
      </c>
      <c r="L95" s="84">
        <v>225</v>
      </c>
      <c r="M95" s="84">
        <v>300</v>
      </c>
      <c r="N95" s="84" t="s">
        <v>3383</v>
      </c>
      <c r="O95" s="84"/>
      <c r="P95" s="84">
        <v>1</v>
      </c>
      <c r="Q95" s="84"/>
      <c r="R95" s="84">
        <v>0</v>
      </c>
      <c r="S95" s="84" t="s">
        <v>3990</v>
      </c>
      <c r="T95" s="206" t="s">
        <v>4765</v>
      </c>
      <c r="U95" s="206" t="s">
        <v>4766</v>
      </c>
      <c r="V95" s="84" t="s">
        <v>3993</v>
      </c>
      <c r="X95" s="197">
        <v>1</v>
      </c>
      <c r="Y95" s="197">
        <v>1</v>
      </c>
      <c r="Z95" s="199">
        <v>13</v>
      </c>
      <c r="AA95" s="199">
        <v>4</v>
      </c>
    </row>
    <row r="96" spans="1:27" ht="17.25" x14ac:dyDescent="0.3">
      <c r="A96" s="84">
        <v>904101</v>
      </c>
      <c r="B96" s="206" t="s">
        <v>4767</v>
      </c>
      <c r="C96" s="84" t="s">
        <v>3988</v>
      </c>
      <c r="D96" s="84">
        <v>2003</v>
      </c>
      <c r="E96" s="84">
        <v>2</v>
      </c>
      <c r="F96" s="84">
        <v>0</v>
      </c>
      <c r="G96" s="84">
        <v>0</v>
      </c>
      <c r="H96" s="84" t="s">
        <v>4359</v>
      </c>
      <c r="I96" s="157">
        <v>999</v>
      </c>
      <c r="J96" s="84" t="b">
        <v>1</v>
      </c>
      <c r="K96" s="84">
        <v>15</v>
      </c>
      <c r="L96" s="84">
        <v>225</v>
      </c>
      <c r="M96" s="84">
        <v>300</v>
      </c>
      <c r="N96" s="84" t="s">
        <v>3383</v>
      </c>
      <c r="O96" s="84"/>
      <c r="P96" s="84">
        <v>1</v>
      </c>
      <c r="Q96" s="84"/>
      <c r="R96" s="84">
        <v>0</v>
      </c>
      <c r="S96" s="84" t="s">
        <v>3990</v>
      </c>
      <c r="T96" s="206" t="s">
        <v>4768</v>
      </c>
      <c r="U96" s="206" t="s">
        <v>4769</v>
      </c>
      <c r="V96" s="84" t="s">
        <v>3993</v>
      </c>
      <c r="X96" s="197">
        <v>1</v>
      </c>
      <c r="Y96" s="197">
        <v>1</v>
      </c>
      <c r="Z96" s="199">
        <v>14</v>
      </c>
      <c r="AA96" s="199">
        <v>4</v>
      </c>
    </row>
    <row r="97" spans="1:27" ht="17.25" x14ac:dyDescent="0.3">
      <c r="A97" s="84">
        <v>904102</v>
      </c>
      <c r="B97" s="206" t="s">
        <v>4770</v>
      </c>
      <c r="C97" s="84" t="s">
        <v>3988</v>
      </c>
      <c r="D97" s="84">
        <v>2003</v>
      </c>
      <c r="E97" s="84">
        <v>2</v>
      </c>
      <c r="F97" s="84">
        <v>0</v>
      </c>
      <c r="G97" s="84">
        <v>0</v>
      </c>
      <c r="H97" s="84" t="s">
        <v>4363</v>
      </c>
      <c r="I97" s="157">
        <v>999</v>
      </c>
      <c r="J97" s="84" t="b">
        <v>1</v>
      </c>
      <c r="K97" s="84">
        <v>15</v>
      </c>
      <c r="L97" s="84">
        <v>225</v>
      </c>
      <c r="M97" s="84">
        <v>300</v>
      </c>
      <c r="N97" s="84" t="s">
        <v>3383</v>
      </c>
      <c r="O97" s="84"/>
      <c r="P97" s="84">
        <v>1</v>
      </c>
      <c r="Q97" s="84"/>
      <c r="R97" s="84">
        <v>0</v>
      </c>
      <c r="S97" s="84" t="s">
        <v>3990</v>
      </c>
      <c r="T97" s="206" t="s">
        <v>4771</v>
      </c>
      <c r="U97" s="206" t="s">
        <v>4772</v>
      </c>
      <c r="V97" s="84" t="s">
        <v>3993</v>
      </c>
      <c r="X97" s="197">
        <v>1</v>
      </c>
      <c r="Y97" s="197">
        <v>1</v>
      </c>
      <c r="Z97" s="199">
        <v>14</v>
      </c>
      <c r="AA97" s="199">
        <v>4</v>
      </c>
    </row>
    <row r="98" spans="1:27" ht="17.25" x14ac:dyDescent="0.3">
      <c r="A98" s="84">
        <v>904103</v>
      </c>
      <c r="B98" s="206" t="s">
        <v>4773</v>
      </c>
      <c r="C98" s="84" t="s">
        <v>3988</v>
      </c>
      <c r="D98" s="84">
        <v>2003</v>
      </c>
      <c r="E98" s="84">
        <v>2</v>
      </c>
      <c r="F98" s="84">
        <v>0</v>
      </c>
      <c r="G98" s="84">
        <v>0</v>
      </c>
      <c r="H98" s="84" t="s">
        <v>4367</v>
      </c>
      <c r="I98" s="157">
        <v>999</v>
      </c>
      <c r="J98" s="84" t="b">
        <v>1</v>
      </c>
      <c r="K98" s="84">
        <v>15</v>
      </c>
      <c r="L98" s="84">
        <v>225</v>
      </c>
      <c r="M98" s="84">
        <v>300</v>
      </c>
      <c r="N98" s="84" t="s">
        <v>3383</v>
      </c>
      <c r="O98" s="84"/>
      <c r="P98" s="84">
        <v>1</v>
      </c>
      <c r="Q98" s="84"/>
      <c r="R98" s="84">
        <v>0</v>
      </c>
      <c r="S98" s="84" t="s">
        <v>3990</v>
      </c>
      <c r="T98" s="206" t="s">
        <v>4774</v>
      </c>
      <c r="U98" s="206" t="s">
        <v>4775</v>
      </c>
      <c r="V98" s="84" t="s">
        <v>3993</v>
      </c>
      <c r="X98" s="197">
        <v>1</v>
      </c>
      <c r="Y98" s="197">
        <v>1</v>
      </c>
      <c r="Z98" s="199">
        <v>14</v>
      </c>
      <c r="AA98" s="199">
        <v>4</v>
      </c>
    </row>
    <row r="99" spans="1:27" ht="17.25" x14ac:dyDescent="0.3">
      <c r="A99" s="84">
        <v>904104</v>
      </c>
      <c r="B99" s="206" t="s">
        <v>4776</v>
      </c>
      <c r="C99" s="84" t="s">
        <v>3988</v>
      </c>
      <c r="D99" s="84">
        <v>2003</v>
      </c>
      <c r="E99" s="84">
        <v>2</v>
      </c>
      <c r="F99" s="84">
        <v>0</v>
      </c>
      <c r="G99" s="84">
        <v>0</v>
      </c>
      <c r="H99" s="84" t="s">
        <v>4371</v>
      </c>
      <c r="I99" s="157">
        <v>999</v>
      </c>
      <c r="J99" s="84" t="b">
        <v>1</v>
      </c>
      <c r="K99" s="84">
        <v>15</v>
      </c>
      <c r="L99" s="84">
        <v>225</v>
      </c>
      <c r="M99" s="84">
        <v>300</v>
      </c>
      <c r="N99" s="84" t="s">
        <v>3383</v>
      </c>
      <c r="O99" s="84"/>
      <c r="P99" s="84">
        <v>1</v>
      </c>
      <c r="Q99" s="84"/>
      <c r="R99" s="84">
        <v>0</v>
      </c>
      <c r="S99" s="84" t="s">
        <v>3990</v>
      </c>
      <c r="T99" s="206" t="s">
        <v>4777</v>
      </c>
      <c r="U99" s="206" t="s">
        <v>4778</v>
      </c>
      <c r="V99" s="84" t="s">
        <v>3993</v>
      </c>
      <c r="X99" s="197">
        <v>1</v>
      </c>
      <c r="Y99" s="197">
        <v>1</v>
      </c>
      <c r="Z99" s="199">
        <v>14</v>
      </c>
      <c r="AA99" s="199">
        <v>4</v>
      </c>
    </row>
    <row r="100" spans="1:27" ht="17.25" x14ac:dyDescent="0.3">
      <c r="A100" s="84">
        <v>904105</v>
      </c>
      <c r="B100" s="206" t="s">
        <v>4779</v>
      </c>
      <c r="C100" s="84" t="s">
        <v>3988</v>
      </c>
      <c r="D100" s="84">
        <v>2003</v>
      </c>
      <c r="E100" s="84">
        <v>2</v>
      </c>
      <c r="F100" s="84">
        <v>0</v>
      </c>
      <c r="G100" s="84">
        <v>0</v>
      </c>
      <c r="H100" s="84" t="s">
        <v>4375</v>
      </c>
      <c r="I100" s="157">
        <v>999</v>
      </c>
      <c r="J100" s="84" t="b">
        <v>1</v>
      </c>
      <c r="K100" s="84">
        <v>15</v>
      </c>
      <c r="L100" s="84">
        <v>225</v>
      </c>
      <c r="M100" s="84">
        <v>300</v>
      </c>
      <c r="N100" s="84" t="s">
        <v>3383</v>
      </c>
      <c r="O100" s="84"/>
      <c r="P100" s="84">
        <v>1</v>
      </c>
      <c r="Q100" s="84"/>
      <c r="R100" s="84">
        <v>0</v>
      </c>
      <c r="S100" s="84" t="s">
        <v>3990</v>
      </c>
      <c r="T100" s="206" t="s">
        <v>4780</v>
      </c>
      <c r="U100" s="206" t="s">
        <v>4781</v>
      </c>
      <c r="V100" s="84" t="s">
        <v>3993</v>
      </c>
      <c r="X100" s="197">
        <v>1</v>
      </c>
      <c r="Y100" s="197">
        <v>1</v>
      </c>
      <c r="Z100" s="199">
        <v>14</v>
      </c>
      <c r="AA100" s="199">
        <v>4</v>
      </c>
    </row>
    <row r="101" spans="1:27" ht="17.25" x14ac:dyDescent="0.3">
      <c r="A101" s="84">
        <v>904106</v>
      </c>
      <c r="B101" s="206" t="s">
        <v>4782</v>
      </c>
      <c r="C101" s="84" t="s">
        <v>3988</v>
      </c>
      <c r="D101" s="84">
        <v>2003</v>
      </c>
      <c r="E101" s="84">
        <v>2</v>
      </c>
      <c r="F101" s="84">
        <v>0</v>
      </c>
      <c r="G101" s="84">
        <v>0</v>
      </c>
      <c r="H101" s="84" t="s">
        <v>4379</v>
      </c>
      <c r="I101" s="157">
        <v>999</v>
      </c>
      <c r="J101" s="84" t="b">
        <v>1</v>
      </c>
      <c r="K101" s="84">
        <v>15</v>
      </c>
      <c r="L101" s="84">
        <v>225</v>
      </c>
      <c r="M101" s="84">
        <v>300</v>
      </c>
      <c r="N101" s="84" t="s">
        <v>3383</v>
      </c>
      <c r="O101" s="84"/>
      <c r="P101" s="84">
        <v>1</v>
      </c>
      <c r="Q101" s="84"/>
      <c r="R101" s="84">
        <v>0</v>
      </c>
      <c r="S101" s="84" t="s">
        <v>3990</v>
      </c>
      <c r="T101" s="206" t="s">
        <v>4783</v>
      </c>
      <c r="U101" s="206" t="s">
        <v>4784</v>
      </c>
      <c r="V101" s="84" t="s">
        <v>3993</v>
      </c>
      <c r="X101" s="197">
        <v>1</v>
      </c>
      <c r="Y101" s="197">
        <v>1</v>
      </c>
      <c r="Z101" s="199">
        <v>14</v>
      </c>
      <c r="AA101" s="199">
        <v>4</v>
      </c>
    </row>
    <row r="102" spans="1:27" ht="17.25" x14ac:dyDescent="0.3">
      <c r="A102" s="84">
        <v>904107</v>
      </c>
      <c r="B102" s="206" t="s">
        <v>4785</v>
      </c>
      <c r="C102" s="84" t="s">
        <v>3988</v>
      </c>
      <c r="D102" s="84">
        <v>2003</v>
      </c>
      <c r="E102" s="84">
        <v>2</v>
      </c>
      <c r="F102" s="84">
        <v>0</v>
      </c>
      <c r="G102" s="84">
        <v>0</v>
      </c>
      <c r="H102" s="84" t="s">
        <v>4383</v>
      </c>
      <c r="I102" s="157">
        <v>999</v>
      </c>
      <c r="J102" s="84" t="b">
        <v>1</v>
      </c>
      <c r="K102" s="84">
        <v>15</v>
      </c>
      <c r="L102" s="84">
        <v>225</v>
      </c>
      <c r="M102" s="84">
        <v>300</v>
      </c>
      <c r="N102" s="84" t="s">
        <v>3383</v>
      </c>
      <c r="O102" s="84"/>
      <c r="P102" s="84">
        <v>1</v>
      </c>
      <c r="Q102" s="84"/>
      <c r="R102" s="84">
        <v>0</v>
      </c>
      <c r="S102" s="84" t="s">
        <v>3990</v>
      </c>
      <c r="T102" s="206" t="s">
        <v>4786</v>
      </c>
      <c r="U102" s="206" t="s">
        <v>4787</v>
      </c>
      <c r="V102" s="84" t="s">
        <v>3993</v>
      </c>
      <c r="X102" s="197">
        <v>1</v>
      </c>
      <c r="Y102" s="197">
        <v>1</v>
      </c>
      <c r="Z102" s="199">
        <v>14</v>
      </c>
      <c r="AA102" s="199">
        <v>4</v>
      </c>
    </row>
    <row r="103" spans="1:27" ht="17.25" x14ac:dyDescent="0.3">
      <c r="A103" s="84">
        <v>904108</v>
      </c>
      <c r="B103" s="206" t="s">
        <v>4788</v>
      </c>
      <c r="C103" s="84" t="s">
        <v>3988</v>
      </c>
      <c r="D103" s="84">
        <v>2003</v>
      </c>
      <c r="E103" s="84">
        <v>2</v>
      </c>
      <c r="F103" s="84">
        <v>0</v>
      </c>
      <c r="G103" s="84">
        <v>0</v>
      </c>
      <c r="H103" s="84" t="s">
        <v>4387</v>
      </c>
      <c r="I103" s="157">
        <v>999</v>
      </c>
      <c r="J103" s="84" t="b">
        <v>1</v>
      </c>
      <c r="K103" s="84">
        <v>15</v>
      </c>
      <c r="L103" s="84">
        <v>225</v>
      </c>
      <c r="M103" s="84">
        <v>300</v>
      </c>
      <c r="N103" s="84" t="s">
        <v>3383</v>
      </c>
      <c r="O103" s="84"/>
      <c r="P103" s="84">
        <v>1</v>
      </c>
      <c r="Q103" s="84"/>
      <c r="R103" s="84">
        <v>0</v>
      </c>
      <c r="S103" s="84" t="s">
        <v>3990</v>
      </c>
      <c r="T103" s="206" t="s">
        <v>4789</v>
      </c>
      <c r="U103" s="206" t="s">
        <v>4790</v>
      </c>
      <c r="V103" s="84" t="s">
        <v>3993</v>
      </c>
      <c r="X103" s="197">
        <v>1</v>
      </c>
      <c r="Y103" s="197">
        <v>1</v>
      </c>
      <c r="Z103" s="199">
        <v>14</v>
      </c>
      <c r="AA103" s="199">
        <v>4</v>
      </c>
    </row>
    <row r="104" spans="1:27" ht="17.25" x14ac:dyDescent="0.3">
      <c r="A104" s="84">
        <v>904109</v>
      </c>
      <c r="B104" s="206" t="s">
        <v>4791</v>
      </c>
      <c r="C104" s="84" t="s">
        <v>3988</v>
      </c>
      <c r="D104" s="84">
        <v>2003</v>
      </c>
      <c r="E104" s="84">
        <v>2</v>
      </c>
      <c r="F104" s="84">
        <v>0</v>
      </c>
      <c r="G104" s="84">
        <v>0</v>
      </c>
      <c r="H104" s="84" t="s">
        <v>4391</v>
      </c>
      <c r="I104" s="157">
        <v>999</v>
      </c>
      <c r="J104" s="84" t="b">
        <v>1</v>
      </c>
      <c r="K104" s="84">
        <v>15</v>
      </c>
      <c r="L104" s="84">
        <v>225</v>
      </c>
      <c r="M104" s="84">
        <v>300</v>
      </c>
      <c r="N104" s="84" t="s">
        <v>3383</v>
      </c>
      <c r="O104" s="84"/>
      <c r="P104" s="84">
        <v>1</v>
      </c>
      <c r="Q104" s="84"/>
      <c r="R104" s="84">
        <v>0</v>
      </c>
      <c r="S104" s="84" t="s">
        <v>3990</v>
      </c>
      <c r="T104" s="206" t="s">
        <v>4792</v>
      </c>
      <c r="U104" s="206" t="s">
        <v>4793</v>
      </c>
      <c r="V104" s="84" t="s">
        <v>3993</v>
      </c>
      <c r="X104" s="197">
        <v>1</v>
      </c>
      <c r="Y104" s="197">
        <v>1</v>
      </c>
      <c r="Z104" s="199">
        <v>14</v>
      </c>
      <c r="AA104" s="199">
        <v>4</v>
      </c>
    </row>
    <row r="105" spans="1:27" ht="17.25" x14ac:dyDescent="0.3">
      <c r="A105" s="84">
        <v>904110</v>
      </c>
      <c r="B105" s="206" t="s">
        <v>4794</v>
      </c>
      <c r="C105" s="84" t="s">
        <v>3988</v>
      </c>
      <c r="D105" s="84">
        <v>2003</v>
      </c>
      <c r="E105" s="84">
        <v>2</v>
      </c>
      <c r="F105" s="84">
        <v>0</v>
      </c>
      <c r="G105" s="84">
        <v>0</v>
      </c>
      <c r="H105" s="84" t="s">
        <v>4395</v>
      </c>
      <c r="I105" s="157">
        <v>999</v>
      </c>
      <c r="J105" s="84" t="b">
        <v>1</v>
      </c>
      <c r="K105" s="84">
        <v>15</v>
      </c>
      <c r="L105" s="84">
        <v>225</v>
      </c>
      <c r="M105" s="84">
        <v>300</v>
      </c>
      <c r="N105" s="84" t="s">
        <v>3383</v>
      </c>
      <c r="O105" s="84"/>
      <c r="P105" s="84">
        <v>1</v>
      </c>
      <c r="Q105" s="84"/>
      <c r="R105" s="84">
        <v>0</v>
      </c>
      <c r="S105" s="84" t="s">
        <v>3990</v>
      </c>
      <c r="T105" s="206" t="s">
        <v>4795</v>
      </c>
      <c r="U105" s="206" t="s">
        <v>4796</v>
      </c>
      <c r="V105" s="84" t="s">
        <v>3993</v>
      </c>
      <c r="X105" s="197">
        <v>1</v>
      </c>
      <c r="Y105" s="197">
        <v>1</v>
      </c>
      <c r="Z105" s="199">
        <v>14</v>
      </c>
      <c r="AA105" s="199">
        <v>4</v>
      </c>
    </row>
    <row r="106" spans="1:27" ht="17.25" x14ac:dyDescent="0.3">
      <c r="A106" s="84">
        <v>904111</v>
      </c>
      <c r="B106" s="206" t="s">
        <v>4797</v>
      </c>
      <c r="C106" s="84" t="s">
        <v>3988</v>
      </c>
      <c r="D106" s="84">
        <v>2003</v>
      </c>
      <c r="E106" s="84">
        <v>2</v>
      </c>
      <c r="F106" s="84">
        <v>0</v>
      </c>
      <c r="G106" s="84">
        <v>0</v>
      </c>
      <c r="H106" s="84" t="s">
        <v>4399</v>
      </c>
      <c r="I106" s="157">
        <v>999</v>
      </c>
      <c r="J106" s="84" t="b">
        <v>1</v>
      </c>
      <c r="K106" s="84">
        <v>15</v>
      </c>
      <c r="L106" s="84">
        <v>225</v>
      </c>
      <c r="M106" s="84">
        <v>300</v>
      </c>
      <c r="N106" s="84" t="s">
        <v>3383</v>
      </c>
      <c r="O106" s="84"/>
      <c r="P106" s="84">
        <v>1</v>
      </c>
      <c r="Q106" s="84"/>
      <c r="R106" s="84">
        <v>0</v>
      </c>
      <c r="S106" s="84" t="s">
        <v>3990</v>
      </c>
      <c r="T106" s="206" t="s">
        <v>4798</v>
      </c>
      <c r="U106" s="206" t="s">
        <v>4799</v>
      </c>
      <c r="V106" s="84" t="s">
        <v>3993</v>
      </c>
      <c r="X106" s="197">
        <v>1</v>
      </c>
      <c r="Y106" s="197">
        <v>1</v>
      </c>
      <c r="Z106" s="199">
        <v>14</v>
      </c>
      <c r="AA106" s="199">
        <v>4</v>
      </c>
    </row>
    <row r="107" spans="1:27" ht="17.25" x14ac:dyDescent="0.3">
      <c r="A107" s="84">
        <v>904112</v>
      </c>
      <c r="B107" s="206" t="s">
        <v>4800</v>
      </c>
      <c r="C107" s="84" t="s">
        <v>3988</v>
      </c>
      <c r="D107" s="84">
        <v>2003</v>
      </c>
      <c r="E107" s="84">
        <v>2</v>
      </c>
      <c r="F107" s="84">
        <v>0</v>
      </c>
      <c r="G107" s="84">
        <v>0</v>
      </c>
      <c r="H107" s="84" t="s">
        <v>4403</v>
      </c>
      <c r="I107" s="157">
        <v>999</v>
      </c>
      <c r="J107" s="84" t="b">
        <v>1</v>
      </c>
      <c r="K107" s="84">
        <v>15</v>
      </c>
      <c r="L107" s="84">
        <v>225</v>
      </c>
      <c r="M107" s="84">
        <v>300</v>
      </c>
      <c r="N107" s="84" t="s">
        <v>3383</v>
      </c>
      <c r="O107" s="84"/>
      <c r="P107" s="84">
        <v>1</v>
      </c>
      <c r="Q107" s="84"/>
      <c r="R107" s="84">
        <v>0</v>
      </c>
      <c r="S107" s="84" t="s">
        <v>3990</v>
      </c>
      <c r="T107" s="206" t="s">
        <v>4801</v>
      </c>
      <c r="U107" s="206" t="s">
        <v>4802</v>
      </c>
      <c r="V107" s="84" t="s">
        <v>3993</v>
      </c>
      <c r="X107" s="197">
        <v>1</v>
      </c>
      <c r="Y107" s="197">
        <v>1</v>
      </c>
      <c r="Z107" s="199">
        <v>14</v>
      </c>
      <c r="AA107" s="199">
        <v>4</v>
      </c>
    </row>
    <row r="108" spans="1:27" s="5" customFormat="1" ht="17.25" x14ac:dyDescent="0.3">
      <c r="A108" s="84">
        <v>904113</v>
      </c>
      <c r="B108" s="206" t="s">
        <v>4803</v>
      </c>
      <c r="C108" s="84" t="s">
        <v>3988</v>
      </c>
      <c r="D108" s="84">
        <v>3001</v>
      </c>
      <c r="E108" s="84">
        <v>2</v>
      </c>
      <c r="F108" s="84">
        <v>1</v>
      </c>
      <c r="G108" s="84">
        <v>0</v>
      </c>
      <c r="H108" s="357" t="s">
        <v>4407</v>
      </c>
      <c r="I108" s="157">
        <v>999</v>
      </c>
      <c r="J108" s="84" t="b">
        <v>1</v>
      </c>
      <c r="K108" s="84">
        <v>15</v>
      </c>
      <c r="L108" s="84">
        <v>225</v>
      </c>
      <c r="M108" s="84">
        <v>300</v>
      </c>
      <c r="N108" s="84" t="s">
        <v>3383</v>
      </c>
      <c r="O108" s="84"/>
      <c r="P108" s="84">
        <v>1</v>
      </c>
      <c r="Q108" s="84"/>
      <c r="R108" s="84">
        <v>0</v>
      </c>
      <c r="S108" s="84" t="s">
        <v>3990</v>
      </c>
      <c r="T108" s="206" t="s">
        <v>4804</v>
      </c>
      <c r="U108" s="206" t="s">
        <v>4805</v>
      </c>
      <c r="V108" s="84" t="s">
        <v>3993</v>
      </c>
      <c r="X108" s="197">
        <v>1</v>
      </c>
      <c r="Y108" s="197">
        <v>1</v>
      </c>
      <c r="Z108" s="356">
        <v>1</v>
      </c>
      <c r="AA108" s="356">
        <v>1</v>
      </c>
    </row>
    <row r="109" spans="1:27" s="5" customFormat="1" ht="17.25" x14ac:dyDescent="0.3">
      <c r="A109" s="84">
        <v>904114</v>
      </c>
      <c r="B109" s="206" t="s">
        <v>4806</v>
      </c>
      <c r="C109" s="84" t="s">
        <v>3988</v>
      </c>
      <c r="D109" s="84">
        <v>3002</v>
      </c>
      <c r="E109" s="84">
        <v>2</v>
      </c>
      <c r="F109" s="84">
        <v>1</v>
      </c>
      <c r="G109" s="84">
        <v>0</v>
      </c>
      <c r="H109" s="357" t="s">
        <v>4411</v>
      </c>
      <c r="I109" s="157">
        <v>999</v>
      </c>
      <c r="J109" s="84" t="b">
        <v>1</v>
      </c>
      <c r="K109" s="84">
        <v>15</v>
      </c>
      <c r="L109" s="84">
        <v>225</v>
      </c>
      <c r="M109" s="84">
        <v>300</v>
      </c>
      <c r="N109" s="84" t="s">
        <v>3383</v>
      </c>
      <c r="O109" s="84"/>
      <c r="P109" s="84">
        <v>1</v>
      </c>
      <c r="Q109" s="84"/>
      <c r="R109" s="84">
        <v>0</v>
      </c>
      <c r="S109" s="84" t="s">
        <v>3990</v>
      </c>
      <c r="T109" s="206" t="s">
        <v>4807</v>
      </c>
      <c r="U109" s="206" t="s">
        <v>4808</v>
      </c>
      <c r="V109" s="84" t="s">
        <v>3993</v>
      </c>
      <c r="X109" s="197">
        <v>1</v>
      </c>
      <c r="Y109" s="197">
        <v>1</v>
      </c>
      <c r="Z109" s="356">
        <v>1</v>
      </c>
      <c r="AA109" s="356">
        <v>1</v>
      </c>
    </row>
    <row r="110" spans="1:27" s="5" customFormat="1" ht="17.25" x14ac:dyDescent="0.3">
      <c r="A110" s="84">
        <v>904115</v>
      </c>
      <c r="B110" s="206" t="s">
        <v>4809</v>
      </c>
      <c r="C110" s="84" t="s">
        <v>3988</v>
      </c>
      <c r="D110" s="84">
        <v>3003</v>
      </c>
      <c r="E110" s="84">
        <v>2</v>
      </c>
      <c r="F110" s="84">
        <v>1</v>
      </c>
      <c r="G110" s="84">
        <v>0</v>
      </c>
      <c r="H110" s="357" t="s">
        <v>4415</v>
      </c>
      <c r="I110" s="157">
        <v>999</v>
      </c>
      <c r="J110" s="84" t="b">
        <v>1</v>
      </c>
      <c r="K110" s="84">
        <v>15</v>
      </c>
      <c r="L110" s="84">
        <v>225</v>
      </c>
      <c r="M110" s="84">
        <v>300</v>
      </c>
      <c r="N110" s="84" t="s">
        <v>3383</v>
      </c>
      <c r="O110" s="84"/>
      <c r="P110" s="84">
        <v>1</v>
      </c>
      <c r="Q110" s="84"/>
      <c r="R110" s="84">
        <v>0</v>
      </c>
      <c r="S110" s="84" t="s">
        <v>3990</v>
      </c>
      <c r="T110" s="206" t="s">
        <v>4810</v>
      </c>
      <c r="U110" s="206" t="s">
        <v>4811</v>
      </c>
      <c r="V110" s="84" t="s">
        <v>3993</v>
      </c>
      <c r="X110" s="197">
        <v>1</v>
      </c>
      <c r="Y110" s="197">
        <v>1</v>
      </c>
      <c r="Z110" s="356">
        <v>1</v>
      </c>
      <c r="AA110" s="356">
        <v>2</v>
      </c>
    </row>
    <row r="111" spans="1:27" s="5" customFormat="1" ht="17.25" x14ac:dyDescent="0.3">
      <c r="A111" s="84">
        <v>904116</v>
      </c>
      <c r="B111" s="206" t="s">
        <v>4812</v>
      </c>
      <c r="C111" s="84" t="s">
        <v>3988</v>
      </c>
      <c r="D111" s="84">
        <v>3004</v>
      </c>
      <c r="E111" s="84">
        <v>2</v>
      </c>
      <c r="F111" s="84">
        <v>1</v>
      </c>
      <c r="G111" s="84">
        <v>0</v>
      </c>
      <c r="H111" s="357" t="s">
        <v>4419</v>
      </c>
      <c r="I111" s="157">
        <v>999</v>
      </c>
      <c r="J111" s="84" t="b">
        <v>1</v>
      </c>
      <c r="K111" s="84">
        <v>15</v>
      </c>
      <c r="L111" s="84">
        <v>225</v>
      </c>
      <c r="M111" s="84">
        <v>300</v>
      </c>
      <c r="N111" s="84" t="s">
        <v>3383</v>
      </c>
      <c r="O111" s="84"/>
      <c r="P111" s="84">
        <v>1</v>
      </c>
      <c r="Q111" s="84"/>
      <c r="R111" s="84">
        <v>0</v>
      </c>
      <c r="S111" s="84" t="s">
        <v>3990</v>
      </c>
      <c r="T111" s="206" t="s">
        <v>4813</v>
      </c>
      <c r="U111" s="206" t="s">
        <v>4814</v>
      </c>
      <c r="V111" s="84" t="s">
        <v>3993</v>
      </c>
      <c r="X111" s="197">
        <v>1</v>
      </c>
      <c r="Y111" s="197">
        <v>1</v>
      </c>
      <c r="Z111" s="356">
        <v>1</v>
      </c>
      <c r="AA111" s="356">
        <v>3</v>
      </c>
    </row>
    <row r="112" spans="1:27" s="5" customFormat="1" ht="17.25" x14ac:dyDescent="0.3">
      <c r="A112" s="84">
        <v>904117</v>
      </c>
      <c r="B112" s="206" t="s">
        <v>4815</v>
      </c>
      <c r="C112" s="84" t="s">
        <v>3988</v>
      </c>
      <c r="D112" s="84">
        <v>3005</v>
      </c>
      <c r="E112" s="84">
        <v>2</v>
      </c>
      <c r="F112" s="84">
        <v>1</v>
      </c>
      <c r="G112" s="84">
        <v>0</v>
      </c>
      <c r="H112" s="357" t="s">
        <v>4423</v>
      </c>
      <c r="I112" s="157">
        <v>999</v>
      </c>
      <c r="J112" s="84" t="b">
        <v>1</v>
      </c>
      <c r="K112" s="84">
        <v>15</v>
      </c>
      <c r="L112" s="84">
        <v>225</v>
      </c>
      <c r="M112" s="84">
        <v>300</v>
      </c>
      <c r="N112" s="84" t="s">
        <v>3383</v>
      </c>
      <c r="O112" s="84"/>
      <c r="P112" s="84">
        <v>1</v>
      </c>
      <c r="Q112" s="84"/>
      <c r="R112" s="84">
        <v>0</v>
      </c>
      <c r="S112" s="84" t="s">
        <v>3990</v>
      </c>
      <c r="T112" s="206" t="s">
        <v>4816</v>
      </c>
      <c r="U112" s="206" t="s">
        <v>4817</v>
      </c>
      <c r="V112" s="84" t="s">
        <v>3993</v>
      </c>
      <c r="X112" s="197">
        <v>1</v>
      </c>
      <c r="Y112" s="197">
        <v>1</v>
      </c>
      <c r="Z112" s="356">
        <v>1</v>
      </c>
      <c r="AA112" s="356">
        <v>1</v>
      </c>
    </row>
    <row r="113" spans="1:27" s="5" customFormat="1" ht="17.25" x14ac:dyDescent="0.3">
      <c r="A113" s="84">
        <v>904118</v>
      </c>
      <c r="B113" s="206" t="s">
        <v>4818</v>
      </c>
      <c r="C113" s="84" t="s">
        <v>3988</v>
      </c>
      <c r="D113" s="84">
        <v>3006</v>
      </c>
      <c r="E113" s="84">
        <v>2</v>
      </c>
      <c r="F113" s="84">
        <v>1</v>
      </c>
      <c r="G113" s="84">
        <v>0</v>
      </c>
      <c r="H113" s="357" t="s">
        <v>4427</v>
      </c>
      <c r="I113" s="157">
        <v>999</v>
      </c>
      <c r="J113" s="84" t="b">
        <v>1</v>
      </c>
      <c r="K113" s="84">
        <v>15</v>
      </c>
      <c r="L113" s="84">
        <v>225</v>
      </c>
      <c r="M113" s="84">
        <v>300</v>
      </c>
      <c r="N113" s="84" t="s">
        <v>3383</v>
      </c>
      <c r="O113" s="84"/>
      <c r="P113" s="84">
        <v>1</v>
      </c>
      <c r="Q113" s="84"/>
      <c r="R113" s="84">
        <v>0</v>
      </c>
      <c r="S113" s="84" t="s">
        <v>3990</v>
      </c>
      <c r="T113" s="206" t="s">
        <v>4819</v>
      </c>
      <c r="U113" s="206" t="s">
        <v>4820</v>
      </c>
      <c r="V113" s="84" t="s">
        <v>3993</v>
      </c>
      <c r="X113" s="197">
        <v>1</v>
      </c>
      <c r="Y113" s="197">
        <v>1</v>
      </c>
      <c r="Z113" s="356">
        <v>1</v>
      </c>
      <c r="AA113" s="356">
        <v>1</v>
      </c>
    </row>
    <row r="114" spans="1:27" s="5" customFormat="1" ht="17.25" x14ac:dyDescent="0.3">
      <c r="A114" s="84">
        <v>904119</v>
      </c>
      <c r="B114" s="206" t="s">
        <v>4821</v>
      </c>
      <c r="C114" s="84" t="s">
        <v>3988</v>
      </c>
      <c r="D114" s="84">
        <v>3007</v>
      </c>
      <c r="E114" s="84">
        <v>2</v>
      </c>
      <c r="F114" s="84">
        <v>1</v>
      </c>
      <c r="G114" s="84">
        <v>0</v>
      </c>
      <c r="H114" s="357" t="s">
        <v>4431</v>
      </c>
      <c r="I114" s="157">
        <v>999</v>
      </c>
      <c r="J114" s="84" t="b">
        <v>1</v>
      </c>
      <c r="K114" s="84">
        <v>15</v>
      </c>
      <c r="L114" s="84">
        <v>225</v>
      </c>
      <c r="M114" s="84">
        <v>300</v>
      </c>
      <c r="N114" s="84" t="s">
        <v>3383</v>
      </c>
      <c r="O114" s="84"/>
      <c r="P114" s="84">
        <v>1</v>
      </c>
      <c r="Q114" s="84"/>
      <c r="R114" s="84">
        <v>0</v>
      </c>
      <c r="S114" s="84" t="s">
        <v>3990</v>
      </c>
      <c r="T114" s="206" t="s">
        <v>4822</v>
      </c>
      <c r="U114" s="206" t="s">
        <v>4823</v>
      </c>
      <c r="V114" s="84" t="s">
        <v>3993</v>
      </c>
      <c r="X114" s="197">
        <v>1</v>
      </c>
      <c r="Y114" s="197">
        <v>1</v>
      </c>
      <c r="Z114" s="356">
        <v>1</v>
      </c>
      <c r="AA114" s="356">
        <v>2</v>
      </c>
    </row>
    <row r="115" spans="1:27" s="5" customFormat="1" ht="17.25" x14ac:dyDescent="0.3">
      <c r="A115" s="84">
        <v>904120</v>
      </c>
      <c r="B115" s="206" t="s">
        <v>4824</v>
      </c>
      <c r="C115" s="84" t="s">
        <v>3988</v>
      </c>
      <c r="D115" s="84">
        <v>3008</v>
      </c>
      <c r="E115" s="84">
        <v>2</v>
      </c>
      <c r="F115" s="84">
        <v>1</v>
      </c>
      <c r="G115" s="84">
        <v>0</v>
      </c>
      <c r="H115" s="357" t="s">
        <v>4435</v>
      </c>
      <c r="I115" s="157">
        <v>999</v>
      </c>
      <c r="J115" s="84" t="b">
        <v>1</v>
      </c>
      <c r="K115" s="84">
        <v>15</v>
      </c>
      <c r="L115" s="84">
        <v>225</v>
      </c>
      <c r="M115" s="84">
        <v>300</v>
      </c>
      <c r="N115" s="84" t="s">
        <v>3383</v>
      </c>
      <c r="O115" s="84"/>
      <c r="P115" s="84">
        <v>1</v>
      </c>
      <c r="Q115" s="84"/>
      <c r="R115" s="84">
        <v>0</v>
      </c>
      <c r="S115" s="84" t="s">
        <v>3990</v>
      </c>
      <c r="T115" s="206" t="s">
        <v>4825</v>
      </c>
      <c r="U115" s="206" t="s">
        <v>4826</v>
      </c>
      <c r="V115" s="84" t="s">
        <v>3993</v>
      </c>
      <c r="X115" s="197">
        <v>1</v>
      </c>
      <c r="Y115" s="197">
        <v>1</v>
      </c>
      <c r="Z115" s="356">
        <v>1</v>
      </c>
      <c r="AA115" s="356">
        <v>3</v>
      </c>
    </row>
    <row r="116" spans="1:27" s="5" customFormat="1" ht="17.25" x14ac:dyDescent="0.3">
      <c r="A116" s="84">
        <v>904121</v>
      </c>
      <c r="B116" s="206" t="s">
        <v>4827</v>
      </c>
      <c r="C116" s="84" t="s">
        <v>3988</v>
      </c>
      <c r="D116" s="84">
        <v>3009</v>
      </c>
      <c r="E116" s="84">
        <v>2</v>
      </c>
      <c r="F116" s="84">
        <v>1</v>
      </c>
      <c r="G116" s="84">
        <v>0</v>
      </c>
      <c r="H116" s="357" t="s">
        <v>4439</v>
      </c>
      <c r="I116" s="157">
        <v>999</v>
      </c>
      <c r="J116" s="84" t="b">
        <v>1</v>
      </c>
      <c r="K116" s="84">
        <v>15</v>
      </c>
      <c r="L116" s="84">
        <v>225</v>
      </c>
      <c r="M116" s="84">
        <v>300</v>
      </c>
      <c r="N116" s="84" t="s">
        <v>3383</v>
      </c>
      <c r="O116" s="84"/>
      <c r="P116" s="84">
        <v>1</v>
      </c>
      <c r="Q116" s="84"/>
      <c r="R116" s="84">
        <v>0</v>
      </c>
      <c r="S116" s="84" t="s">
        <v>3990</v>
      </c>
      <c r="T116" s="206" t="s">
        <v>4828</v>
      </c>
      <c r="U116" s="206" t="s">
        <v>4829</v>
      </c>
      <c r="V116" s="84" t="s">
        <v>3993</v>
      </c>
      <c r="X116" s="197">
        <v>1</v>
      </c>
      <c r="Y116" s="197">
        <v>1</v>
      </c>
      <c r="Z116" s="356">
        <v>4</v>
      </c>
      <c r="AA116" s="356">
        <v>1</v>
      </c>
    </row>
    <row r="117" spans="1:27" s="5" customFormat="1" ht="17.25" x14ac:dyDescent="0.3">
      <c r="A117" s="84">
        <v>904122</v>
      </c>
      <c r="B117" s="206" t="s">
        <v>4830</v>
      </c>
      <c r="C117" s="84" t="s">
        <v>3988</v>
      </c>
      <c r="D117" s="84">
        <v>3010</v>
      </c>
      <c r="E117" s="84">
        <v>2</v>
      </c>
      <c r="F117" s="84">
        <v>1</v>
      </c>
      <c r="G117" s="84">
        <v>0</v>
      </c>
      <c r="H117" s="357" t="s">
        <v>4443</v>
      </c>
      <c r="I117" s="157">
        <v>999</v>
      </c>
      <c r="J117" s="84" t="b">
        <v>1</v>
      </c>
      <c r="K117" s="84">
        <v>15</v>
      </c>
      <c r="L117" s="84">
        <v>225</v>
      </c>
      <c r="M117" s="84">
        <v>300</v>
      </c>
      <c r="N117" s="84" t="s">
        <v>3383</v>
      </c>
      <c r="O117" s="84"/>
      <c r="P117" s="84">
        <v>1</v>
      </c>
      <c r="Q117" s="84"/>
      <c r="R117" s="84">
        <v>0</v>
      </c>
      <c r="S117" s="84" t="s">
        <v>3990</v>
      </c>
      <c r="T117" s="206" t="s">
        <v>4831</v>
      </c>
      <c r="U117" s="206" t="s">
        <v>10176</v>
      </c>
      <c r="V117" s="84" t="s">
        <v>3993</v>
      </c>
      <c r="X117" s="197">
        <v>1</v>
      </c>
      <c r="Y117" s="197">
        <v>1</v>
      </c>
      <c r="Z117" s="356">
        <v>2</v>
      </c>
      <c r="AA117" s="356">
        <v>1</v>
      </c>
    </row>
    <row r="118" spans="1:27" ht="17.25" x14ac:dyDescent="0.3">
      <c r="A118" s="104">
        <v>904123</v>
      </c>
      <c r="B118" s="206" t="s">
        <v>4832</v>
      </c>
      <c r="C118" s="104" t="s">
        <v>3988</v>
      </c>
      <c r="D118" s="104">
        <v>2002</v>
      </c>
      <c r="E118" s="104">
        <v>2</v>
      </c>
      <c r="F118" s="104">
        <v>1</v>
      </c>
      <c r="G118" s="104">
        <v>0</v>
      </c>
      <c r="H118" s="104" t="s">
        <v>4445</v>
      </c>
      <c r="I118" s="211">
        <v>999</v>
      </c>
      <c r="J118" s="250" t="b">
        <v>1</v>
      </c>
      <c r="K118" s="104">
        <v>15</v>
      </c>
      <c r="L118" s="84">
        <v>225</v>
      </c>
      <c r="M118" s="84">
        <v>300</v>
      </c>
      <c r="N118" s="104" t="s">
        <v>3383</v>
      </c>
      <c r="O118" s="104"/>
      <c r="P118" s="104">
        <v>1</v>
      </c>
      <c r="Q118" s="104"/>
      <c r="R118" s="104">
        <v>0</v>
      </c>
      <c r="S118" s="104" t="s">
        <v>3990</v>
      </c>
      <c r="T118" s="206" t="s">
        <v>4833</v>
      </c>
      <c r="U118" s="206" t="s">
        <v>4834</v>
      </c>
      <c r="V118" s="104" t="s">
        <v>3993</v>
      </c>
      <c r="X118" s="197">
        <v>1</v>
      </c>
      <c r="Y118" s="197">
        <v>1</v>
      </c>
      <c r="Z118" s="199">
        <v>0</v>
      </c>
      <c r="AA118" s="199">
        <v>1</v>
      </c>
    </row>
    <row r="119" spans="1:27" ht="17.25" x14ac:dyDescent="0.3">
      <c r="A119" s="104">
        <v>904124</v>
      </c>
      <c r="B119" s="206" t="s">
        <v>4835</v>
      </c>
      <c r="C119" s="104" t="s">
        <v>3988</v>
      </c>
      <c r="D119" s="104">
        <v>2003</v>
      </c>
      <c r="E119" s="104">
        <v>2</v>
      </c>
      <c r="F119" s="104">
        <v>1</v>
      </c>
      <c r="G119" s="104">
        <v>0</v>
      </c>
      <c r="H119" s="104" t="s">
        <v>4449</v>
      </c>
      <c r="I119" s="211">
        <v>999</v>
      </c>
      <c r="J119" s="250" t="b">
        <v>1</v>
      </c>
      <c r="K119" s="104">
        <v>15</v>
      </c>
      <c r="L119" s="84">
        <v>225</v>
      </c>
      <c r="M119" s="84">
        <v>300</v>
      </c>
      <c r="N119" s="104" t="s">
        <v>3383</v>
      </c>
      <c r="O119" s="104"/>
      <c r="P119" s="104">
        <v>1</v>
      </c>
      <c r="Q119" s="104"/>
      <c r="R119" s="104">
        <v>0</v>
      </c>
      <c r="S119" s="104" t="s">
        <v>3990</v>
      </c>
      <c r="T119" s="206" t="s">
        <v>4836</v>
      </c>
      <c r="U119" s="206" t="s">
        <v>4837</v>
      </c>
      <c r="V119" s="104" t="s">
        <v>3993</v>
      </c>
      <c r="X119" s="197">
        <v>1</v>
      </c>
      <c r="Y119" s="197">
        <v>1</v>
      </c>
      <c r="Z119" s="199">
        <v>0</v>
      </c>
      <c r="AA119" s="199">
        <v>2</v>
      </c>
    </row>
    <row r="120" spans="1:27" ht="17.25" x14ac:dyDescent="0.3">
      <c r="A120" s="104">
        <v>904125</v>
      </c>
      <c r="B120" s="206" t="s">
        <v>4838</v>
      </c>
      <c r="C120" s="104" t="s">
        <v>3988</v>
      </c>
      <c r="D120" s="104">
        <v>2004</v>
      </c>
      <c r="E120" s="104">
        <v>2</v>
      </c>
      <c r="F120" s="104">
        <v>1</v>
      </c>
      <c r="G120" s="104">
        <v>0</v>
      </c>
      <c r="H120" s="104" t="s">
        <v>4453</v>
      </c>
      <c r="I120" s="211">
        <v>999</v>
      </c>
      <c r="J120" s="250" t="b">
        <v>1</v>
      </c>
      <c r="K120" s="104">
        <v>15</v>
      </c>
      <c r="L120" s="84">
        <v>225</v>
      </c>
      <c r="M120" s="84">
        <v>300</v>
      </c>
      <c r="N120" s="104" t="s">
        <v>3383</v>
      </c>
      <c r="O120" s="104"/>
      <c r="P120" s="104">
        <v>1</v>
      </c>
      <c r="Q120" s="104"/>
      <c r="R120" s="104">
        <v>0</v>
      </c>
      <c r="S120" s="104" t="s">
        <v>3990</v>
      </c>
      <c r="T120" s="206" t="s">
        <v>4839</v>
      </c>
      <c r="U120" s="206" t="s">
        <v>4840</v>
      </c>
      <c r="V120" s="104" t="s">
        <v>3993</v>
      </c>
      <c r="X120" s="197">
        <v>1</v>
      </c>
      <c r="Y120" s="197">
        <v>1</v>
      </c>
      <c r="Z120" s="199">
        <v>0</v>
      </c>
      <c r="AA120" s="199">
        <v>3</v>
      </c>
    </row>
    <row r="121" spans="1:27" ht="17.25" x14ac:dyDescent="0.3">
      <c r="A121" s="104">
        <v>904126</v>
      </c>
      <c r="B121" s="206" t="s">
        <v>4841</v>
      </c>
      <c r="C121" s="104" t="s">
        <v>3988</v>
      </c>
      <c r="D121" s="104">
        <v>2002</v>
      </c>
      <c r="E121" s="104">
        <v>2</v>
      </c>
      <c r="F121" s="104">
        <v>1</v>
      </c>
      <c r="G121" s="104">
        <v>0</v>
      </c>
      <c r="H121" s="104" t="s">
        <v>4457</v>
      </c>
      <c r="I121" s="211">
        <v>999</v>
      </c>
      <c r="J121" s="250" t="b">
        <v>1</v>
      </c>
      <c r="K121" s="104">
        <v>15</v>
      </c>
      <c r="L121" s="84">
        <v>225</v>
      </c>
      <c r="M121" s="84">
        <v>300</v>
      </c>
      <c r="N121" s="104" t="s">
        <v>3383</v>
      </c>
      <c r="O121" s="104"/>
      <c r="P121" s="104">
        <v>1</v>
      </c>
      <c r="Q121" s="104"/>
      <c r="R121" s="104">
        <v>0</v>
      </c>
      <c r="S121" s="104" t="s">
        <v>3990</v>
      </c>
      <c r="T121" s="206" t="s">
        <v>4842</v>
      </c>
      <c r="U121" s="206" t="s">
        <v>4843</v>
      </c>
      <c r="V121" s="104" t="s">
        <v>3993</v>
      </c>
      <c r="X121" s="197">
        <v>1</v>
      </c>
      <c r="Y121" s="197">
        <v>1</v>
      </c>
      <c r="Z121" s="199">
        <v>0</v>
      </c>
      <c r="AA121" s="199">
        <v>1</v>
      </c>
    </row>
    <row r="122" spans="1:27" ht="17.25" x14ac:dyDescent="0.3">
      <c r="A122" s="104">
        <v>904127</v>
      </c>
      <c r="B122" s="206" t="s">
        <v>4844</v>
      </c>
      <c r="C122" s="104" t="s">
        <v>3988</v>
      </c>
      <c r="D122" s="104">
        <v>2003</v>
      </c>
      <c r="E122" s="104">
        <v>2</v>
      </c>
      <c r="F122" s="104">
        <v>1</v>
      </c>
      <c r="G122" s="104">
        <v>0</v>
      </c>
      <c r="H122" s="104" t="s">
        <v>4461</v>
      </c>
      <c r="I122" s="211">
        <v>999</v>
      </c>
      <c r="J122" s="250" t="b">
        <v>1</v>
      </c>
      <c r="K122" s="104">
        <v>15</v>
      </c>
      <c r="L122" s="84">
        <v>225</v>
      </c>
      <c r="M122" s="84">
        <v>300</v>
      </c>
      <c r="N122" s="104" t="s">
        <v>3383</v>
      </c>
      <c r="O122" s="104"/>
      <c r="P122" s="104">
        <v>1</v>
      </c>
      <c r="Q122" s="104"/>
      <c r="R122" s="104">
        <v>0</v>
      </c>
      <c r="S122" s="104" t="s">
        <v>3990</v>
      </c>
      <c r="T122" s="206" t="s">
        <v>4845</v>
      </c>
      <c r="U122" s="206" t="s">
        <v>4846</v>
      </c>
      <c r="V122" s="104" t="s">
        <v>3993</v>
      </c>
      <c r="X122" s="197">
        <v>1</v>
      </c>
      <c r="Y122" s="197">
        <v>1</v>
      </c>
      <c r="Z122" s="199">
        <v>0</v>
      </c>
      <c r="AA122" s="199">
        <v>2</v>
      </c>
    </row>
    <row r="123" spans="1:27" ht="17.25" x14ac:dyDescent="0.3">
      <c r="A123" s="104">
        <v>904128</v>
      </c>
      <c r="B123" s="206" t="s">
        <v>4847</v>
      </c>
      <c r="C123" s="104" t="s">
        <v>3988</v>
      </c>
      <c r="D123" s="104">
        <v>2004</v>
      </c>
      <c r="E123" s="104">
        <v>2</v>
      </c>
      <c r="F123" s="104">
        <v>1</v>
      </c>
      <c r="G123" s="104">
        <v>0</v>
      </c>
      <c r="H123" s="104" t="s">
        <v>4465</v>
      </c>
      <c r="I123" s="211">
        <v>999</v>
      </c>
      <c r="J123" s="250" t="b">
        <v>1</v>
      </c>
      <c r="K123" s="104">
        <v>15</v>
      </c>
      <c r="L123" s="84">
        <v>225</v>
      </c>
      <c r="M123" s="84">
        <v>300</v>
      </c>
      <c r="N123" s="104" t="s">
        <v>3383</v>
      </c>
      <c r="O123" s="104"/>
      <c r="P123" s="104">
        <v>1</v>
      </c>
      <c r="Q123" s="104"/>
      <c r="R123" s="104">
        <v>0</v>
      </c>
      <c r="S123" s="104" t="s">
        <v>3990</v>
      </c>
      <c r="T123" s="206" t="s">
        <v>4848</v>
      </c>
      <c r="U123" s="206" t="s">
        <v>4849</v>
      </c>
      <c r="V123" s="104" t="s">
        <v>3993</v>
      </c>
      <c r="X123" s="197">
        <v>1</v>
      </c>
      <c r="Y123" s="197">
        <v>1</v>
      </c>
      <c r="Z123" s="199">
        <v>0</v>
      </c>
      <c r="AA123" s="199">
        <v>3</v>
      </c>
    </row>
    <row r="124" spans="1:27" ht="17.25" x14ac:dyDescent="0.3">
      <c r="A124" s="104">
        <v>904129</v>
      </c>
      <c r="B124" s="206" t="s">
        <v>4850</v>
      </c>
      <c r="C124" s="104" t="s">
        <v>3988</v>
      </c>
      <c r="D124" s="104">
        <v>2002</v>
      </c>
      <c r="E124" s="104">
        <v>2</v>
      </c>
      <c r="F124" s="104">
        <v>1</v>
      </c>
      <c r="G124" s="104">
        <v>0</v>
      </c>
      <c r="H124" s="104" t="s">
        <v>4469</v>
      </c>
      <c r="I124" s="211">
        <v>999</v>
      </c>
      <c r="J124" s="250" t="b">
        <v>1</v>
      </c>
      <c r="K124" s="104">
        <v>15</v>
      </c>
      <c r="L124" s="84">
        <v>225</v>
      </c>
      <c r="M124" s="84">
        <v>300</v>
      </c>
      <c r="N124" s="104" t="s">
        <v>3383</v>
      </c>
      <c r="O124" s="104"/>
      <c r="P124" s="104">
        <v>1</v>
      </c>
      <c r="Q124" s="104"/>
      <c r="R124" s="104">
        <v>0</v>
      </c>
      <c r="S124" s="104" t="s">
        <v>3990</v>
      </c>
      <c r="T124" s="206" t="s">
        <v>4851</v>
      </c>
      <c r="U124" s="206" t="s">
        <v>4852</v>
      </c>
      <c r="V124" s="104" t="s">
        <v>3993</v>
      </c>
      <c r="X124" s="197">
        <v>1</v>
      </c>
      <c r="Y124" s="197">
        <v>1</v>
      </c>
      <c r="Z124" s="199">
        <v>0</v>
      </c>
      <c r="AA124" s="199">
        <v>1</v>
      </c>
    </row>
    <row r="125" spans="1:27" ht="17.25" x14ac:dyDescent="0.3">
      <c r="A125" s="104">
        <v>904130</v>
      </c>
      <c r="B125" s="206" t="s">
        <v>4853</v>
      </c>
      <c r="C125" s="104" t="s">
        <v>3988</v>
      </c>
      <c r="D125" s="104">
        <v>2003</v>
      </c>
      <c r="E125" s="104">
        <v>2</v>
      </c>
      <c r="F125" s="104">
        <v>1</v>
      </c>
      <c r="G125" s="104">
        <v>0</v>
      </c>
      <c r="H125" s="104" t="s">
        <v>4473</v>
      </c>
      <c r="I125" s="211">
        <v>999</v>
      </c>
      <c r="J125" s="250" t="b">
        <v>1</v>
      </c>
      <c r="K125" s="104">
        <v>15</v>
      </c>
      <c r="L125" s="84">
        <v>225</v>
      </c>
      <c r="M125" s="84">
        <v>300</v>
      </c>
      <c r="N125" s="104" t="s">
        <v>3383</v>
      </c>
      <c r="O125" s="104"/>
      <c r="P125" s="104">
        <v>1</v>
      </c>
      <c r="Q125" s="104"/>
      <c r="R125" s="104">
        <v>0</v>
      </c>
      <c r="S125" s="104" t="s">
        <v>3990</v>
      </c>
      <c r="T125" s="206" t="s">
        <v>4854</v>
      </c>
      <c r="U125" s="206" t="s">
        <v>4855</v>
      </c>
      <c r="V125" s="104" t="s">
        <v>3993</v>
      </c>
      <c r="X125" s="197">
        <v>1</v>
      </c>
      <c r="Y125" s="197">
        <v>1</v>
      </c>
      <c r="Z125" s="199">
        <v>0</v>
      </c>
      <c r="AA125" s="199">
        <v>2</v>
      </c>
    </row>
    <row r="126" spans="1:27" ht="17.25" x14ac:dyDescent="0.3">
      <c r="A126" s="104">
        <v>904131</v>
      </c>
      <c r="B126" s="206" t="s">
        <v>4856</v>
      </c>
      <c r="C126" s="104" t="s">
        <v>3988</v>
      </c>
      <c r="D126" s="104">
        <v>2004</v>
      </c>
      <c r="E126" s="104">
        <v>2</v>
      </c>
      <c r="F126" s="104">
        <v>1</v>
      </c>
      <c r="G126" s="104">
        <v>0</v>
      </c>
      <c r="H126" s="104" t="s">
        <v>4477</v>
      </c>
      <c r="I126" s="211">
        <v>999</v>
      </c>
      <c r="J126" s="250" t="b">
        <v>1</v>
      </c>
      <c r="K126" s="104">
        <v>15</v>
      </c>
      <c r="L126" s="84">
        <v>225</v>
      </c>
      <c r="M126" s="84">
        <v>300</v>
      </c>
      <c r="N126" s="104" t="s">
        <v>3383</v>
      </c>
      <c r="O126" s="104"/>
      <c r="P126" s="104">
        <v>1</v>
      </c>
      <c r="Q126" s="104"/>
      <c r="R126" s="104">
        <v>0</v>
      </c>
      <c r="S126" s="104" t="s">
        <v>3990</v>
      </c>
      <c r="T126" s="206" t="s">
        <v>4857</v>
      </c>
      <c r="U126" s="206" t="s">
        <v>4858</v>
      </c>
      <c r="V126" s="104" t="s">
        <v>3993</v>
      </c>
      <c r="X126" s="197">
        <v>1</v>
      </c>
      <c r="Y126" s="197">
        <v>1</v>
      </c>
      <c r="Z126" s="199">
        <v>0</v>
      </c>
      <c r="AA126" s="199">
        <v>3</v>
      </c>
    </row>
    <row r="127" spans="1:27" ht="17.25" x14ac:dyDescent="0.3">
      <c r="A127" s="104">
        <v>904132</v>
      </c>
      <c r="B127" s="206" t="s">
        <v>4859</v>
      </c>
      <c r="C127" s="104" t="s">
        <v>3988</v>
      </c>
      <c r="D127" s="104">
        <v>2002</v>
      </c>
      <c r="E127" s="104">
        <v>2</v>
      </c>
      <c r="F127" s="104">
        <v>1</v>
      </c>
      <c r="G127" s="104">
        <v>0</v>
      </c>
      <c r="H127" s="104" t="s">
        <v>4481</v>
      </c>
      <c r="I127" s="211">
        <v>999</v>
      </c>
      <c r="J127" s="250" t="b">
        <v>1</v>
      </c>
      <c r="K127" s="104">
        <v>15</v>
      </c>
      <c r="L127" s="84">
        <v>225</v>
      </c>
      <c r="M127" s="84">
        <v>300</v>
      </c>
      <c r="N127" s="104" t="s">
        <v>3383</v>
      </c>
      <c r="O127" s="104"/>
      <c r="P127" s="104">
        <v>1</v>
      </c>
      <c r="Q127" s="104"/>
      <c r="R127" s="104">
        <v>0</v>
      </c>
      <c r="S127" s="104" t="s">
        <v>3990</v>
      </c>
      <c r="T127" s="206" t="s">
        <v>4860</v>
      </c>
      <c r="U127" s="206" t="s">
        <v>10164</v>
      </c>
      <c r="V127" s="104" t="s">
        <v>3993</v>
      </c>
      <c r="X127" s="197">
        <v>1</v>
      </c>
      <c r="Y127" s="197">
        <v>1</v>
      </c>
      <c r="Z127" s="199">
        <v>0</v>
      </c>
      <c r="AA127" s="199">
        <v>1</v>
      </c>
    </row>
    <row r="128" spans="1:27" ht="17.25" x14ac:dyDescent="0.3">
      <c r="A128" s="104">
        <v>904133</v>
      </c>
      <c r="B128" s="206" t="s">
        <v>4861</v>
      </c>
      <c r="C128" s="104" t="s">
        <v>3988</v>
      </c>
      <c r="D128" s="104">
        <v>2003</v>
      </c>
      <c r="E128" s="104">
        <v>2</v>
      </c>
      <c r="F128" s="104">
        <v>1</v>
      </c>
      <c r="G128" s="104">
        <v>0</v>
      </c>
      <c r="H128" s="104" t="s">
        <v>4485</v>
      </c>
      <c r="I128" s="211">
        <v>999</v>
      </c>
      <c r="J128" s="250" t="b">
        <v>1</v>
      </c>
      <c r="K128" s="104">
        <v>15</v>
      </c>
      <c r="L128" s="84">
        <v>225</v>
      </c>
      <c r="M128" s="84">
        <v>300</v>
      </c>
      <c r="N128" s="104" t="s">
        <v>3383</v>
      </c>
      <c r="O128" s="104"/>
      <c r="P128" s="104">
        <v>1</v>
      </c>
      <c r="Q128" s="104"/>
      <c r="R128" s="104">
        <v>0</v>
      </c>
      <c r="S128" s="104" t="s">
        <v>3990</v>
      </c>
      <c r="T128" s="206" t="s">
        <v>4862</v>
      </c>
      <c r="U128" s="206" t="s">
        <v>4863</v>
      </c>
      <c r="V128" s="104" t="s">
        <v>3993</v>
      </c>
      <c r="X128" s="197">
        <v>1</v>
      </c>
      <c r="Y128" s="197">
        <v>1</v>
      </c>
      <c r="Z128" s="199">
        <v>0</v>
      </c>
      <c r="AA128" s="199">
        <v>2</v>
      </c>
    </row>
    <row r="129" spans="1:27" ht="17.25" x14ac:dyDescent="0.3">
      <c r="A129" s="104">
        <v>904134</v>
      </c>
      <c r="B129" s="206" t="s">
        <v>4864</v>
      </c>
      <c r="C129" s="104" t="s">
        <v>3988</v>
      </c>
      <c r="D129" s="104">
        <v>2004</v>
      </c>
      <c r="E129" s="104">
        <v>2</v>
      </c>
      <c r="F129" s="104">
        <v>1</v>
      </c>
      <c r="G129" s="104">
        <v>0</v>
      </c>
      <c r="H129" s="104" t="s">
        <v>4489</v>
      </c>
      <c r="I129" s="211">
        <v>999</v>
      </c>
      <c r="J129" s="250" t="b">
        <v>1</v>
      </c>
      <c r="K129" s="104">
        <v>15</v>
      </c>
      <c r="L129" s="84">
        <v>225</v>
      </c>
      <c r="M129" s="84">
        <v>300</v>
      </c>
      <c r="N129" s="104" t="s">
        <v>3383</v>
      </c>
      <c r="O129" s="104"/>
      <c r="P129" s="104">
        <v>1</v>
      </c>
      <c r="Q129" s="104"/>
      <c r="R129" s="104">
        <v>0</v>
      </c>
      <c r="S129" s="104" t="s">
        <v>3990</v>
      </c>
      <c r="T129" s="206" t="s">
        <v>4865</v>
      </c>
      <c r="U129" s="206" t="s">
        <v>10163</v>
      </c>
      <c r="V129" s="104" t="s">
        <v>3993</v>
      </c>
      <c r="X129" s="197">
        <v>1</v>
      </c>
      <c r="Y129" s="197">
        <v>1</v>
      </c>
      <c r="Z129" s="199">
        <v>0</v>
      </c>
      <c r="AA129" s="199">
        <v>3</v>
      </c>
    </row>
    <row r="130" spans="1:27" x14ac:dyDescent="0.15">
      <c r="A130" s="104">
        <v>904135</v>
      </c>
      <c r="B130" s="505" t="s">
        <v>10167</v>
      </c>
      <c r="C130" s="104" t="s">
        <v>3988</v>
      </c>
      <c r="D130" s="104">
        <v>3011</v>
      </c>
      <c r="E130" s="104">
        <v>2</v>
      </c>
      <c r="F130" s="104">
        <v>1</v>
      </c>
      <c r="G130" s="104">
        <v>0</v>
      </c>
      <c r="H130" s="510" t="s">
        <v>10185</v>
      </c>
      <c r="I130" s="211">
        <v>999</v>
      </c>
      <c r="J130" s="250" t="b">
        <v>1</v>
      </c>
      <c r="K130" s="104">
        <v>15</v>
      </c>
      <c r="L130" s="84">
        <v>225</v>
      </c>
      <c r="M130" s="84">
        <v>300</v>
      </c>
      <c r="N130" s="104" t="s">
        <v>3383</v>
      </c>
      <c r="O130" s="104"/>
      <c r="P130" s="104">
        <v>1</v>
      </c>
      <c r="Q130" s="104"/>
      <c r="R130" s="104">
        <v>0</v>
      </c>
      <c r="S130" s="104" t="s">
        <v>3990</v>
      </c>
      <c r="T130" s="505" t="s">
        <v>10175</v>
      </c>
      <c r="U130" s="505" t="s">
        <v>10177</v>
      </c>
      <c r="V130" s="104" t="s">
        <v>3993</v>
      </c>
      <c r="X130" s="197">
        <v>1</v>
      </c>
      <c r="Y130" s="197">
        <v>1</v>
      </c>
      <c r="Z130" s="199">
        <v>2</v>
      </c>
      <c r="AA130" s="199">
        <v>3</v>
      </c>
    </row>
  </sheetData>
  <phoneticPr fontId="45" type="noConversion"/>
  <conditionalFormatting sqref="B54 B56">
    <cfRule type="duplicateValues" dxfId="62" priority="7"/>
    <cfRule type="duplicateValues" dxfId="61" priority="8"/>
  </conditionalFormatting>
  <conditionalFormatting sqref="B57:B65 B69:B83 B90:B92 B96:B107">
    <cfRule type="duplicateValues" dxfId="60" priority="13"/>
    <cfRule type="duplicateValues" dxfId="59" priority="14"/>
  </conditionalFormatting>
  <conditionalFormatting sqref="B66:B68">
    <cfRule type="duplicateValues" dxfId="58" priority="5"/>
    <cfRule type="duplicateValues" dxfId="57" priority="6"/>
  </conditionalFormatting>
  <conditionalFormatting sqref="B84:B86">
    <cfRule type="duplicateValues" dxfId="56" priority="9"/>
    <cfRule type="duplicateValues" dxfId="55" priority="10"/>
  </conditionalFormatting>
  <conditionalFormatting sqref="B87:B89">
    <cfRule type="duplicateValues" dxfId="54" priority="3"/>
    <cfRule type="duplicateValues" dxfId="53" priority="4"/>
  </conditionalFormatting>
  <conditionalFormatting sqref="B93">
    <cfRule type="duplicateValues" dxfId="52" priority="11"/>
    <cfRule type="duplicateValues" dxfId="51" priority="12"/>
  </conditionalFormatting>
  <conditionalFormatting sqref="B94:B95">
    <cfRule type="duplicateValues" dxfId="50" priority="1"/>
    <cfRule type="duplicateValues" dxfId="49" priority="2"/>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907"/>
  <sheetViews>
    <sheetView zoomScale="85" zoomScaleNormal="85" workbookViewId="0">
      <pane xSplit="2" topLeftCell="C1" activePane="topRight" state="frozen"/>
      <selection pane="topRight" activeCell="H805" sqref="H805"/>
    </sheetView>
  </sheetViews>
  <sheetFormatPr defaultColWidth="9" defaultRowHeight="14.25" x14ac:dyDescent="0.15"/>
  <cols>
    <col min="1" max="1" width="16.75" style="263" customWidth="1"/>
    <col min="2" max="2" width="22" style="147" customWidth="1"/>
    <col min="3" max="3" width="22.625" style="147" customWidth="1"/>
    <col min="4" max="4" width="17" style="147" customWidth="1"/>
    <col min="5" max="5" width="6.25" style="147" customWidth="1"/>
    <col min="6" max="6" width="14.5" style="147" customWidth="1"/>
    <col min="7" max="8" width="9" style="147"/>
    <col min="9" max="9" width="9.875" style="147" customWidth="1"/>
    <col min="10" max="10" width="35" style="147" customWidth="1"/>
    <col min="11" max="12" width="32.5" style="148" customWidth="1"/>
    <col min="13" max="13" width="9" style="147"/>
    <col min="14" max="14" width="15.375" style="147" customWidth="1"/>
    <col min="15" max="15" width="10.625" style="147" customWidth="1"/>
    <col min="16" max="16" width="18.125" style="147" customWidth="1"/>
    <col min="17" max="17" width="20.375" style="147" customWidth="1"/>
    <col min="18" max="18" width="9.75" style="147" customWidth="1"/>
    <col min="19" max="20" width="10.625" style="147" customWidth="1"/>
    <col min="21" max="21" width="20.5" style="147" customWidth="1"/>
    <col min="22" max="23" width="17.25" style="147" customWidth="1"/>
    <col min="24" max="24" width="10.625" style="147" customWidth="1"/>
    <col min="25" max="25" width="69.5" style="147" customWidth="1"/>
    <col min="26" max="26" width="33.875" style="147" customWidth="1"/>
    <col min="27" max="27" width="24.5" style="147" customWidth="1"/>
    <col min="28" max="28" width="13.625" style="147" customWidth="1"/>
    <col min="29" max="16384" width="9" style="147"/>
  </cols>
  <sheetData>
    <row r="1" spans="1:33" ht="27" x14ac:dyDescent="0.15">
      <c r="A1" s="264" t="s">
        <v>0</v>
      </c>
      <c r="B1" s="265" t="s">
        <v>1</v>
      </c>
      <c r="C1" s="265" t="s">
        <v>4866</v>
      </c>
      <c r="D1" s="265" t="s">
        <v>3367</v>
      </c>
      <c r="E1" s="265" t="s">
        <v>3</v>
      </c>
      <c r="F1" s="265" t="s">
        <v>4867</v>
      </c>
      <c r="G1" s="266" t="s">
        <v>7</v>
      </c>
      <c r="H1" s="266" t="s">
        <v>9</v>
      </c>
      <c r="I1" s="266" t="s">
        <v>10</v>
      </c>
      <c r="J1" s="274" t="s">
        <v>3369</v>
      </c>
      <c r="K1" s="275" t="s">
        <v>4868</v>
      </c>
      <c r="L1" s="276" t="s">
        <v>4869</v>
      </c>
      <c r="M1" s="265" t="s">
        <v>16</v>
      </c>
      <c r="N1" s="265" t="s">
        <v>17</v>
      </c>
      <c r="O1" s="277" t="s">
        <v>18</v>
      </c>
      <c r="P1" s="195" t="s">
        <v>19</v>
      </c>
      <c r="Q1" s="195" t="s">
        <v>20</v>
      </c>
      <c r="R1" s="265" t="s">
        <v>3371</v>
      </c>
      <c r="S1" s="265" t="s">
        <v>3372</v>
      </c>
      <c r="T1" s="286" t="s">
        <v>22</v>
      </c>
      <c r="U1" s="265" t="s">
        <v>3585</v>
      </c>
      <c r="V1" s="265" t="s">
        <v>3375</v>
      </c>
      <c r="W1" s="265" t="s">
        <v>4870</v>
      </c>
      <c r="X1" s="265" t="s">
        <v>23</v>
      </c>
      <c r="Y1" s="265" t="s">
        <v>24</v>
      </c>
      <c r="Z1" s="265" t="s">
        <v>3376</v>
      </c>
      <c r="AA1" s="281" t="s">
        <v>26</v>
      </c>
      <c r="AB1" s="281" t="s">
        <v>27</v>
      </c>
      <c r="AC1" s="287" t="s">
        <v>28</v>
      </c>
      <c r="AD1" s="287" t="s">
        <v>29</v>
      </c>
      <c r="AE1" s="288" t="s">
        <v>4871</v>
      </c>
      <c r="AF1" s="288" t="s">
        <v>4872</v>
      </c>
      <c r="AG1" s="288" t="s">
        <v>4873</v>
      </c>
    </row>
    <row r="2" spans="1:33" s="145" customFormat="1" x14ac:dyDescent="0.15">
      <c r="A2" s="267">
        <v>95101011</v>
      </c>
      <c r="B2" s="268" t="s">
        <v>4874</v>
      </c>
      <c r="C2" s="268" t="s">
        <v>4875</v>
      </c>
      <c r="D2" s="268">
        <v>5081</v>
      </c>
      <c r="E2" s="268" t="s">
        <v>4876</v>
      </c>
      <c r="F2" s="268" t="s">
        <v>4877</v>
      </c>
      <c r="G2" s="269">
        <v>1</v>
      </c>
      <c r="H2" s="269">
        <v>0</v>
      </c>
      <c r="I2" s="267">
        <v>34</v>
      </c>
      <c r="J2" s="278" t="s">
        <v>4878</v>
      </c>
      <c r="K2" s="279" t="s">
        <v>4879</v>
      </c>
      <c r="L2" s="279"/>
      <c r="M2" s="268">
        <v>1</v>
      </c>
      <c r="N2" s="268" t="b">
        <v>1</v>
      </c>
      <c r="O2" s="280">
        <v>2</v>
      </c>
      <c r="P2" s="281">
        <v>30</v>
      </c>
      <c r="Q2" s="281">
        <v>40</v>
      </c>
      <c r="R2" s="268" t="s">
        <v>3383</v>
      </c>
      <c r="S2" s="268"/>
      <c r="T2" s="268">
        <v>1</v>
      </c>
      <c r="U2" s="268" t="s">
        <v>4880</v>
      </c>
      <c r="V2" s="269">
        <v>1</v>
      </c>
      <c r="W2" s="269"/>
      <c r="X2" s="268" t="s">
        <v>4881</v>
      </c>
      <c r="Y2" s="331" t="s">
        <v>4882</v>
      </c>
      <c r="Z2" s="332" t="s">
        <v>4883</v>
      </c>
      <c r="AA2" s="268" t="s">
        <v>4884</v>
      </c>
      <c r="AB2" s="268"/>
      <c r="AC2" s="287">
        <v>1</v>
      </c>
      <c r="AD2" s="287">
        <v>1</v>
      </c>
      <c r="AE2" s="268"/>
      <c r="AF2" s="268"/>
      <c r="AG2" s="290"/>
    </row>
    <row r="3" spans="1:33" s="145" customFormat="1" x14ac:dyDescent="0.15">
      <c r="A3" s="267">
        <v>95101012</v>
      </c>
      <c r="B3" s="268" t="s">
        <v>4874</v>
      </c>
      <c r="C3" s="268" t="s">
        <v>4875</v>
      </c>
      <c r="D3" s="268">
        <v>5081</v>
      </c>
      <c r="E3" s="268" t="s">
        <v>4876</v>
      </c>
      <c r="F3" s="268" t="s">
        <v>4877</v>
      </c>
      <c r="G3" s="269">
        <v>2</v>
      </c>
      <c r="H3" s="269">
        <v>0</v>
      </c>
      <c r="I3" s="267">
        <v>34</v>
      </c>
      <c r="J3" s="278" t="s">
        <v>4878</v>
      </c>
      <c r="K3" s="279" t="s">
        <v>4879</v>
      </c>
      <c r="L3" s="279"/>
      <c r="M3" s="268">
        <v>1</v>
      </c>
      <c r="N3" s="268" t="b">
        <v>1</v>
      </c>
      <c r="O3" s="268">
        <v>5</v>
      </c>
      <c r="P3" s="281">
        <v>75</v>
      </c>
      <c r="Q3" s="281">
        <v>100</v>
      </c>
      <c r="R3" s="268" t="s">
        <v>3383</v>
      </c>
      <c r="S3" s="268"/>
      <c r="T3" s="268">
        <v>1</v>
      </c>
      <c r="U3" s="268" t="s">
        <v>4880</v>
      </c>
      <c r="V3" s="269">
        <v>2</v>
      </c>
      <c r="W3" s="269"/>
      <c r="X3" s="268" t="s">
        <v>4881</v>
      </c>
      <c r="Y3" s="331" t="s">
        <v>4882</v>
      </c>
      <c r="Z3" s="332" t="s">
        <v>4883</v>
      </c>
      <c r="AA3" s="268" t="s">
        <v>4884</v>
      </c>
      <c r="AB3" s="268"/>
      <c r="AC3" s="287">
        <v>1</v>
      </c>
      <c r="AD3" s="287">
        <v>1</v>
      </c>
      <c r="AE3" s="268"/>
      <c r="AF3" s="268"/>
      <c r="AG3" s="290"/>
    </row>
    <row r="4" spans="1:33" s="145" customFormat="1" x14ac:dyDescent="0.15">
      <c r="A4" s="267">
        <v>95101013</v>
      </c>
      <c r="B4" s="268" t="s">
        <v>4874</v>
      </c>
      <c r="C4" s="268" t="s">
        <v>4875</v>
      </c>
      <c r="D4" s="268">
        <v>5081</v>
      </c>
      <c r="E4" s="268" t="s">
        <v>4876</v>
      </c>
      <c r="F4" s="268" t="s">
        <v>4877</v>
      </c>
      <c r="G4" s="269">
        <v>3</v>
      </c>
      <c r="H4" s="269">
        <v>0</v>
      </c>
      <c r="I4" s="267">
        <v>34</v>
      </c>
      <c r="J4" s="278" t="s">
        <v>4878</v>
      </c>
      <c r="K4" s="279" t="s">
        <v>4879</v>
      </c>
      <c r="L4" s="279"/>
      <c r="M4" s="268">
        <v>1</v>
      </c>
      <c r="N4" s="268" t="b">
        <v>1</v>
      </c>
      <c r="O4" s="268">
        <v>7</v>
      </c>
      <c r="P4" s="281">
        <v>105</v>
      </c>
      <c r="Q4" s="281">
        <v>140</v>
      </c>
      <c r="R4" s="268" t="s">
        <v>3383</v>
      </c>
      <c r="S4" s="268"/>
      <c r="T4" s="268">
        <v>1</v>
      </c>
      <c r="U4" s="268" t="s">
        <v>4880</v>
      </c>
      <c r="V4" s="269">
        <v>3</v>
      </c>
      <c r="W4" s="269"/>
      <c r="X4" s="268" t="s">
        <v>4881</v>
      </c>
      <c r="Y4" s="331" t="s">
        <v>4882</v>
      </c>
      <c r="Z4" s="332" t="s">
        <v>4883</v>
      </c>
      <c r="AA4" s="268" t="s">
        <v>4884</v>
      </c>
      <c r="AB4" s="268"/>
      <c r="AC4" s="287">
        <v>1</v>
      </c>
      <c r="AD4" s="287">
        <v>1</v>
      </c>
      <c r="AE4" s="268"/>
      <c r="AF4" s="268"/>
      <c r="AG4" s="290"/>
    </row>
    <row r="5" spans="1:33" s="145" customFormat="1" x14ac:dyDescent="0.15">
      <c r="A5" s="267">
        <v>95101014</v>
      </c>
      <c r="B5" s="268" t="s">
        <v>4874</v>
      </c>
      <c r="C5" s="268" t="s">
        <v>4875</v>
      </c>
      <c r="D5" s="268">
        <v>5081</v>
      </c>
      <c r="E5" s="268" t="s">
        <v>4876</v>
      </c>
      <c r="F5" s="268" t="s">
        <v>4877</v>
      </c>
      <c r="G5" s="269">
        <v>4</v>
      </c>
      <c r="H5" s="269">
        <v>0</v>
      </c>
      <c r="I5" s="267">
        <v>34</v>
      </c>
      <c r="J5" s="278" t="s">
        <v>4878</v>
      </c>
      <c r="K5" s="279" t="s">
        <v>4879</v>
      </c>
      <c r="L5" s="279"/>
      <c r="M5" s="268">
        <v>1</v>
      </c>
      <c r="N5" s="268" t="b">
        <v>1</v>
      </c>
      <c r="O5" s="268">
        <v>10</v>
      </c>
      <c r="P5" s="281">
        <v>150</v>
      </c>
      <c r="Q5" s="281">
        <v>200</v>
      </c>
      <c r="R5" s="268" t="s">
        <v>3383</v>
      </c>
      <c r="S5" s="268"/>
      <c r="T5" s="268">
        <v>1</v>
      </c>
      <c r="U5" s="268" t="s">
        <v>4880</v>
      </c>
      <c r="V5" s="269">
        <v>4</v>
      </c>
      <c r="W5" s="269"/>
      <c r="X5" s="268" t="s">
        <v>4881</v>
      </c>
      <c r="Y5" s="331" t="s">
        <v>4882</v>
      </c>
      <c r="Z5" s="332" t="s">
        <v>4883</v>
      </c>
      <c r="AA5" s="268" t="s">
        <v>4884</v>
      </c>
      <c r="AB5" s="268"/>
      <c r="AC5" s="287">
        <v>1</v>
      </c>
      <c r="AD5" s="287">
        <v>1</v>
      </c>
      <c r="AE5" s="268"/>
      <c r="AF5" s="268"/>
      <c r="AG5" s="290"/>
    </row>
    <row r="6" spans="1:33" s="145" customFormat="1" x14ac:dyDescent="0.15">
      <c r="A6" s="267">
        <v>95101015</v>
      </c>
      <c r="B6" s="268" t="s">
        <v>4874</v>
      </c>
      <c r="C6" s="268" t="s">
        <v>4875</v>
      </c>
      <c r="D6" s="268">
        <v>5081</v>
      </c>
      <c r="E6" s="268" t="s">
        <v>4876</v>
      </c>
      <c r="F6" s="268" t="s">
        <v>4877</v>
      </c>
      <c r="G6" s="269">
        <v>5</v>
      </c>
      <c r="H6" s="269">
        <v>0</v>
      </c>
      <c r="I6" s="267">
        <v>34</v>
      </c>
      <c r="J6" s="278" t="s">
        <v>4878</v>
      </c>
      <c r="K6" s="279" t="s">
        <v>4879</v>
      </c>
      <c r="L6" s="279"/>
      <c r="M6" s="268">
        <v>1</v>
      </c>
      <c r="N6" s="268" t="b">
        <v>1</v>
      </c>
      <c r="O6" s="268">
        <v>12</v>
      </c>
      <c r="P6" s="281">
        <v>180</v>
      </c>
      <c r="Q6" s="281">
        <v>240</v>
      </c>
      <c r="R6" s="268" t="s">
        <v>3383</v>
      </c>
      <c r="S6" s="268"/>
      <c r="T6" s="268">
        <v>1</v>
      </c>
      <c r="U6" s="268" t="s">
        <v>4880</v>
      </c>
      <c r="V6" s="269">
        <v>5</v>
      </c>
      <c r="W6" s="269"/>
      <c r="X6" s="268" t="s">
        <v>4881</v>
      </c>
      <c r="Y6" s="331" t="s">
        <v>4882</v>
      </c>
      <c r="Z6" s="332" t="s">
        <v>4883</v>
      </c>
      <c r="AA6" s="268" t="s">
        <v>4884</v>
      </c>
      <c r="AB6" s="268"/>
      <c r="AC6" s="287">
        <v>1</v>
      </c>
      <c r="AD6" s="287">
        <v>1</v>
      </c>
      <c r="AE6" s="268"/>
      <c r="AF6" s="268"/>
      <c r="AG6" s="290"/>
    </row>
    <row r="7" spans="1:33" s="145" customFormat="1" x14ac:dyDescent="0.15">
      <c r="A7" s="270">
        <v>95101016</v>
      </c>
      <c r="B7" s="268" t="s">
        <v>4874</v>
      </c>
      <c r="C7" s="268" t="s">
        <v>4875</v>
      </c>
      <c r="D7" s="268">
        <v>5081</v>
      </c>
      <c r="E7" s="268" t="s">
        <v>4876</v>
      </c>
      <c r="F7" s="268" t="s">
        <v>4877</v>
      </c>
      <c r="G7" s="269">
        <v>6</v>
      </c>
      <c r="H7" s="269">
        <v>0</v>
      </c>
      <c r="I7" s="267">
        <v>34</v>
      </c>
      <c r="J7" s="282" t="s">
        <v>4878</v>
      </c>
      <c r="K7" s="279" t="s">
        <v>4879</v>
      </c>
      <c r="L7" s="279"/>
      <c r="M7" s="268">
        <v>1</v>
      </c>
      <c r="N7" s="268" t="b">
        <v>1</v>
      </c>
      <c r="O7" s="268">
        <v>25</v>
      </c>
      <c r="P7" s="281">
        <v>375</v>
      </c>
      <c r="Q7" s="281">
        <v>500</v>
      </c>
      <c r="R7" s="268" t="s">
        <v>3383</v>
      </c>
      <c r="S7" s="268"/>
      <c r="T7" s="268">
        <v>1</v>
      </c>
      <c r="U7" s="268" t="s">
        <v>4880</v>
      </c>
      <c r="V7" s="269">
        <v>7</v>
      </c>
      <c r="W7" s="269"/>
      <c r="X7" s="268" t="s">
        <v>4881</v>
      </c>
      <c r="Y7" s="331" t="s">
        <v>4882</v>
      </c>
      <c r="Z7" s="332" t="s">
        <v>4883</v>
      </c>
      <c r="AA7" s="268" t="s">
        <v>4884</v>
      </c>
      <c r="AB7" s="268"/>
      <c r="AC7" s="287">
        <v>1</v>
      </c>
      <c r="AD7" s="287">
        <v>1</v>
      </c>
      <c r="AE7" s="268"/>
      <c r="AF7" s="268"/>
      <c r="AG7" s="290"/>
    </row>
    <row r="8" spans="1:33" s="145" customFormat="1" x14ac:dyDescent="0.15">
      <c r="A8" s="270">
        <v>95101017</v>
      </c>
      <c r="B8" s="268" t="s">
        <v>4874</v>
      </c>
      <c r="C8" s="268" t="s">
        <v>4875</v>
      </c>
      <c r="D8" s="268">
        <v>5081</v>
      </c>
      <c r="E8" s="268" t="s">
        <v>4876</v>
      </c>
      <c r="F8" s="268" t="s">
        <v>4877</v>
      </c>
      <c r="G8" s="269">
        <v>7</v>
      </c>
      <c r="H8" s="269">
        <v>0</v>
      </c>
      <c r="I8" s="267">
        <v>34</v>
      </c>
      <c r="J8" s="282" t="s">
        <v>4878</v>
      </c>
      <c r="K8" s="279" t="s">
        <v>4879</v>
      </c>
      <c r="L8" s="279"/>
      <c r="M8" s="268">
        <v>1</v>
      </c>
      <c r="N8" s="268" t="b">
        <v>1</v>
      </c>
      <c r="O8" s="268">
        <v>38</v>
      </c>
      <c r="P8" s="281">
        <v>570</v>
      </c>
      <c r="Q8" s="281">
        <v>760</v>
      </c>
      <c r="R8" s="268" t="s">
        <v>3383</v>
      </c>
      <c r="S8" s="268"/>
      <c r="T8" s="268">
        <v>1</v>
      </c>
      <c r="U8" s="268" t="s">
        <v>4880</v>
      </c>
      <c r="V8" s="269">
        <v>10</v>
      </c>
      <c r="W8" s="269"/>
      <c r="X8" s="268" t="s">
        <v>4881</v>
      </c>
      <c r="Y8" s="331" t="s">
        <v>4882</v>
      </c>
      <c r="Z8" s="332" t="s">
        <v>4883</v>
      </c>
      <c r="AA8" s="268" t="s">
        <v>4884</v>
      </c>
      <c r="AB8" s="268"/>
      <c r="AC8" s="287">
        <v>1</v>
      </c>
      <c r="AD8" s="287">
        <v>1</v>
      </c>
      <c r="AE8" s="268"/>
      <c r="AF8" s="268"/>
      <c r="AG8" s="290"/>
    </row>
    <row r="9" spans="1:33" s="258" customFormat="1" x14ac:dyDescent="0.15">
      <c r="A9" s="271">
        <v>95101018</v>
      </c>
      <c r="B9" s="272" t="s">
        <v>4885</v>
      </c>
      <c r="C9" s="272" t="s">
        <v>4875</v>
      </c>
      <c r="D9" s="272">
        <v>5081</v>
      </c>
      <c r="E9" s="272" t="s">
        <v>4876</v>
      </c>
      <c r="F9" s="272" t="s">
        <v>4877</v>
      </c>
      <c r="G9" s="269">
        <v>6</v>
      </c>
      <c r="H9" s="273">
        <v>1</v>
      </c>
      <c r="I9" s="283">
        <v>34</v>
      </c>
      <c r="J9" s="284" t="s">
        <v>4878</v>
      </c>
      <c r="K9" s="285" t="s">
        <v>4879</v>
      </c>
      <c r="L9" s="272" t="s">
        <v>44</v>
      </c>
      <c r="M9" s="272">
        <v>1</v>
      </c>
      <c r="N9" s="272" t="b">
        <v>1</v>
      </c>
      <c r="O9" s="272">
        <v>51</v>
      </c>
      <c r="P9" s="281">
        <v>765</v>
      </c>
      <c r="Q9" s="281">
        <v>1020</v>
      </c>
      <c r="R9" s="272" t="s">
        <v>3383</v>
      </c>
      <c r="S9" s="272"/>
      <c r="T9" s="272">
        <v>1</v>
      </c>
      <c r="U9" s="272" t="s">
        <v>4880</v>
      </c>
      <c r="V9" s="273">
        <v>10</v>
      </c>
      <c r="W9" s="273"/>
      <c r="X9" s="272" t="s">
        <v>4881</v>
      </c>
      <c r="Y9" s="333" t="s">
        <v>4882</v>
      </c>
      <c r="Z9" s="334" t="s">
        <v>4883</v>
      </c>
      <c r="AA9" s="272" t="s">
        <v>4884</v>
      </c>
      <c r="AB9" s="272"/>
      <c r="AC9" s="289">
        <v>1</v>
      </c>
      <c r="AD9" s="289">
        <v>1</v>
      </c>
      <c r="AE9" s="289"/>
      <c r="AF9" s="272"/>
      <c r="AG9" s="272"/>
    </row>
    <row r="10" spans="1:33" s="258" customFormat="1" x14ac:dyDescent="0.15">
      <c r="A10" s="271">
        <v>95101019</v>
      </c>
      <c r="B10" s="272" t="s">
        <v>4886</v>
      </c>
      <c r="C10" s="272" t="s">
        <v>4875</v>
      </c>
      <c r="D10" s="272">
        <v>5081</v>
      </c>
      <c r="E10" s="272" t="s">
        <v>4876</v>
      </c>
      <c r="F10" s="272" t="s">
        <v>4877</v>
      </c>
      <c r="G10" s="269">
        <v>6</v>
      </c>
      <c r="H10" s="273">
        <v>1</v>
      </c>
      <c r="I10" s="283">
        <v>34</v>
      </c>
      <c r="J10" s="284" t="s">
        <v>4878</v>
      </c>
      <c r="K10" s="285" t="s">
        <v>4879</v>
      </c>
      <c r="L10" s="272" t="s">
        <v>4887</v>
      </c>
      <c r="M10" s="272">
        <v>1</v>
      </c>
      <c r="N10" s="272" t="b">
        <v>1</v>
      </c>
      <c r="O10" s="272">
        <v>64</v>
      </c>
      <c r="P10" s="281">
        <v>960</v>
      </c>
      <c r="Q10" s="281">
        <v>1280</v>
      </c>
      <c r="R10" s="272" t="s">
        <v>3383</v>
      </c>
      <c r="S10" s="272"/>
      <c r="T10" s="272">
        <v>1</v>
      </c>
      <c r="U10" s="272" t="s">
        <v>4880</v>
      </c>
      <c r="V10" s="273">
        <v>10</v>
      </c>
      <c r="W10" s="273"/>
      <c r="X10" s="272" t="s">
        <v>4881</v>
      </c>
      <c r="Y10" s="333" t="s">
        <v>4882</v>
      </c>
      <c r="Z10" s="334" t="s">
        <v>4883</v>
      </c>
      <c r="AA10" s="272" t="s">
        <v>4884</v>
      </c>
      <c r="AB10" s="272"/>
      <c r="AC10" s="289">
        <v>1</v>
      </c>
      <c r="AD10" s="289">
        <v>1</v>
      </c>
      <c r="AE10" s="289"/>
      <c r="AF10" s="272"/>
      <c r="AG10" s="272"/>
    </row>
    <row r="11" spans="1:33" s="258" customFormat="1" x14ac:dyDescent="0.15">
      <c r="A11" s="271">
        <v>95101020</v>
      </c>
      <c r="B11" s="272" t="s">
        <v>4888</v>
      </c>
      <c r="C11" s="272" t="s">
        <v>4875</v>
      </c>
      <c r="D11" s="272">
        <v>5081</v>
      </c>
      <c r="E11" s="272" t="s">
        <v>4876</v>
      </c>
      <c r="F11" s="272" t="s">
        <v>4877</v>
      </c>
      <c r="G11" s="269">
        <v>7</v>
      </c>
      <c r="H11" s="273">
        <v>0</v>
      </c>
      <c r="I11" s="283">
        <v>34</v>
      </c>
      <c r="J11" s="284" t="s">
        <v>4878</v>
      </c>
      <c r="K11" s="285" t="s">
        <v>4879</v>
      </c>
      <c r="L11" s="272" t="s">
        <v>4889</v>
      </c>
      <c r="M11" s="272">
        <v>1</v>
      </c>
      <c r="N11" s="272" t="b">
        <v>1</v>
      </c>
      <c r="O11" s="272">
        <v>77</v>
      </c>
      <c r="P11" s="281">
        <v>1155</v>
      </c>
      <c r="Q11" s="281">
        <v>1540</v>
      </c>
      <c r="R11" s="272" t="s">
        <v>3383</v>
      </c>
      <c r="S11" s="272"/>
      <c r="T11" s="272">
        <v>1</v>
      </c>
      <c r="U11" s="272" t="s">
        <v>4880</v>
      </c>
      <c r="V11" s="273">
        <v>10</v>
      </c>
      <c r="W11" s="273"/>
      <c r="X11" s="272" t="s">
        <v>4881</v>
      </c>
      <c r="Y11" s="333" t="s">
        <v>4882</v>
      </c>
      <c r="Z11" s="334" t="s">
        <v>4883</v>
      </c>
      <c r="AA11" s="272" t="s">
        <v>4884</v>
      </c>
      <c r="AB11" s="272"/>
      <c r="AC11" s="289">
        <v>1</v>
      </c>
      <c r="AD11" s="289">
        <v>1</v>
      </c>
      <c r="AE11" s="289"/>
      <c r="AF11" s="272"/>
      <c r="AG11" s="272"/>
    </row>
    <row r="12" spans="1:33" s="145" customFormat="1" x14ac:dyDescent="0.15">
      <c r="A12" s="267">
        <v>95101021</v>
      </c>
      <c r="B12" s="268" t="s">
        <v>4890</v>
      </c>
      <c r="C12" s="268" t="s">
        <v>4875</v>
      </c>
      <c r="D12" s="268">
        <v>5081</v>
      </c>
      <c r="E12" s="268" t="s">
        <v>4876</v>
      </c>
      <c r="F12" s="268" t="s">
        <v>4877</v>
      </c>
      <c r="G12" s="269">
        <v>1</v>
      </c>
      <c r="H12" s="269">
        <v>0</v>
      </c>
      <c r="I12" s="267">
        <v>34</v>
      </c>
      <c r="J12" s="278" t="s">
        <v>4891</v>
      </c>
      <c r="K12" s="279" t="s">
        <v>4892</v>
      </c>
      <c r="L12" s="279"/>
      <c r="M12" s="268">
        <v>1</v>
      </c>
      <c r="N12" s="268" t="b">
        <v>1</v>
      </c>
      <c r="O12" s="280">
        <v>2</v>
      </c>
      <c r="P12" s="281">
        <v>30</v>
      </c>
      <c r="Q12" s="281">
        <v>40</v>
      </c>
      <c r="R12" s="268" t="s">
        <v>3383</v>
      </c>
      <c r="S12" s="268"/>
      <c r="T12" s="268">
        <v>1</v>
      </c>
      <c r="U12" s="268" t="s">
        <v>4880</v>
      </c>
      <c r="V12" s="269">
        <v>1</v>
      </c>
      <c r="W12" s="269"/>
      <c r="X12" s="268" t="s">
        <v>4881</v>
      </c>
      <c r="Y12" s="331" t="s">
        <v>4893</v>
      </c>
      <c r="Z12" s="332" t="s">
        <v>4894</v>
      </c>
      <c r="AA12" s="268" t="s">
        <v>4884</v>
      </c>
      <c r="AB12" s="268"/>
      <c r="AC12" s="287">
        <v>1</v>
      </c>
      <c r="AD12" s="287">
        <v>1</v>
      </c>
      <c r="AE12" s="268"/>
      <c r="AF12" s="268"/>
      <c r="AG12" s="290"/>
    </row>
    <row r="13" spans="1:33" s="145" customFormat="1" x14ac:dyDescent="0.15">
      <c r="A13" s="267">
        <v>95101022</v>
      </c>
      <c r="B13" s="268" t="s">
        <v>4890</v>
      </c>
      <c r="C13" s="268" t="s">
        <v>4875</v>
      </c>
      <c r="D13" s="268">
        <v>5081</v>
      </c>
      <c r="E13" s="268" t="s">
        <v>4876</v>
      </c>
      <c r="F13" s="268" t="s">
        <v>4877</v>
      </c>
      <c r="G13" s="269">
        <v>2</v>
      </c>
      <c r="H13" s="269">
        <v>0</v>
      </c>
      <c r="I13" s="267">
        <v>34</v>
      </c>
      <c r="J13" s="278" t="s">
        <v>4891</v>
      </c>
      <c r="K13" s="279" t="s">
        <v>4892</v>
      </c>
      <c r="L13" s="279"/>
      <c r="M13" s="268">
        <v>1</v>
      </c>
      <c r="N13" s="268" t="b">
        <v>1</v>
      </c>
      <c r="O13" s="268">
        <v>5</v>
      </c>
      <c r="P13" s="281">
        <v>75</v>
      </c>
      <c r="Q13" s="281">
        <v>100</v>
      </c>
      <c r="R13" s="268" t="s">
        <v>3383</v>
      </c>
      <c r="S13" s="268"/>
      <c r="T13" s="268">
        <v>1</v>
      </c>
      <c r="U13" s="268" t="s">
        <v>4880</v>
      </c>
      <c r="V13" s="269">
        <v>2</v>
      </c>
      <c r="W13" s="269"/>
      <c r="X13" s="268" t="s">
        <v>4881</v>
      </c>
      <c r="Y13" s="331" t="s">
        <v>4893</v>
      </c>
      <c r="Z13" s="332" t="s">
        <v>4894</v>
      </c>
      <c r="AA13" s="268" t="s">
        <v>4884</v>
      </c>
      <c r="AB13" s="268"/>
      <c r="AC13" s="287">
        <v>1</v>
      </c>
      <c r="AD13" s="287">
        <v>1</v>
      </c>
      <c r="AE13" s="268"/>
      <c r="AF13" s="268"/>
      <c r="AG13" s="290"/>
    </row>
    <row r="14" spans="1:33" s="145" customFormat="1" x14ac:dyDescent="0.15">
      <c r="A14" s="267">
        <v>95101023</v>
      </c>
      <c r="B14" s="268" t="s">
        <v>4890</v>
      </c>
      <c r="C14" s="268" t="s">
        <v>4875</v>
      </c>
      <c r="D14" s="268">
        <v>5081</v>
      </c>
      <c r="E14" s="268" t="s">
        <v>4876</v>
      </c>
      <c r="F14" s="268" t="s">
        <v>4877</v>
      </c>
      <c r="G14" s="269">
        <v>3</v>
      </c>
      <c r="H14" s="269">
        <v>0</v>
      </c>
      <c r="I14" s="267">
        <v>34</v>
      </c>
      <c r="J14" s="278" t="s">
        <v>4891</v>
      </c>
      <c r="K14" s="279" t="s">
        <v>4892</v>
      </c>
      <c r="L14" s="279"/>
      <c r="M14" s="268">
        <v>1</v>
      </c>
      <c r="N14" s="268" t="b">
        <v>1</v>
      </c>
      <c r="O14" s="268">
        <v>7</v>
      </c>
      <c r="P14" s="281">
        <v>105</v>
      </c>
      <c r="Q14" s="281">
        <v>140</v>
      </c>
      <c r="R14" s="268" t="s">
        <v>3383</v>
      </c>
      <c r="S14" s="268"/>
      <c r="T14" s="268">
        <v>1</v>
      </c>
      <c r="U14" s="268" t="s">
        <v>4880</v>
      </c>
      <c r="V14" s="269">
        <v>3</v>
      </c>
      <c r="W14" s="269"/>
      <c r="X14" s="268" t="s">
        <v>4881</v>
      </c>
      <c r="Y14" s="331" t="s">
        <v>4893</v>
      </c>
      <c r="Z14" s="332" t="s">
        <v>4894</v>
      </c>
      <c r="AA14" s="268" t="s">
        <v>4884</v>
      </c>
      <c r="AB14" s="268"/>
      <c r="AC14" s="287">
        <v>1</v>
      </c>
      <c r="AD14" s="287">
        <v>1</v>
      </c>
      <c r="AE14" s="268"/>
      <c r="AF14" s="268"/>
      <c r="AG14" s="290"/>
    </row>
    <row r="15" spans="1:33" s="145" customFormat="1" x14ac:dyDescent="0.15">
      <c r="A15" s="267">
        <v>95101024</v>
      </c>
      <c r="B15" s="268" t="s">
        <v>4890</v>
      </c>
      <c r="C15" s="268" t="s">
        <v>4875</v>
      </c>
      <c r="D15" s="268">
        <v>5081</v>
      </c>
      <c r="E15" s="268" t="s">
        <v>4876</v>
      </c>
      <c r="F15" s="268" t="s">
        <v>4877</v>
      </c>
      <c r="G15" s="269">
        <v>4</v>
      </c>
      <c r="H15" s="269">
        <v>0</v>
      </c>
      <c r="I15" s="267">
        <v>34</v>
      </c>
      <c r="J15" s="278" t="s">
        <v>4891</v>
      </c>
      <c r="K15" s="279" t="s">
        <v>4892</v>
      </c>
      <c r="L15" s="279"/>
      <c r="M15" s="268">
        <v>1</v>
      </c>
      <c r="N15" s="268" t="b">
        <v>1</v>
      </c>
      <c r="O15" s="268">
        <v>10</v>
      </c>
      <c r="P15" s="281">
        <v>150</v>
      </c>
      <c r="Q15" s="281">
        <v>200</v>
      </c>
      <c r="R15" s="268" t="s">
        <v>3383</v>
      </c>
      <c r="S15" s="268"/>
      <c r="T15" s="268">
        <v>1</v>
      </c>
      <c r="U15" s="268" t="s">
        <v>4880</v>
      </c>
      <c r="V15" s="269">
        <v>4</v>
      </c>
      <c r="W15" s="269"/>
      <c r="X15" s="268" t="s">
        <v>4881</v>
      </c>
      <c r="Y15" s="331" t="s">
        <v>4893</v>
      </c>
      <c r="Z15" s="332" t="s">
        <v>4894</v>
      </c>
      <c r="AA15" s="268" t="s">
        <v>4884</v>
      </c>
      <c r="AB15" s="268"/>
      <c r="AC15" s="287">
        <v>1</v>
      </c>
      <c r="AD15" s="287">
        <v>1</v>
      </c>
      <c r="AE15" s="268"/>
      <c r="AF15" s="268"/>
      <c r="AG15" s="290"/>
    </row>
    <row r="16" spans="1:33" s="145" customFormat="1" x14ac:dyDescent="0.15">
      <c r="A16" s="267">
        <v>95101025</v>
      </c>
      <c r="B16" s="268" t="s">
        <v>4890</v>
      </c>
      <c r="C16" s="268" t="s">
        <v>4875</v>
      </c>
      <c r="D16" s="268">
        <v>5081</v>
      </c>
      <c r="E16" s="268" t="s">
        <v>4876</v>
      </c>
      <c r="F16" s="268" t="s">
        <v>4877</v>
      </c>
      <c r="G16" s="269">
        <v>5</v>
      </c>
      <c r="H16" s="269">
        <v>0</v>
      </c>
      <c r="I16" s="267">
        <v>34</v>
      </c>
      <c r="J16" s="278" t="s">
        <v>4891</v>
      </c>
      <c r="K16" s="279" t="s">
        <v>4892</v>
      </c>
      <c r="L16" s="279"/>
      <c r="M16" s="268">
        <v>1</v>
      </c>
      <c r="N16" s="268" t="b">
        <v>1</v>
      </c>
      <c r="O16" s="268">
        <v>12</v>
      </c>
      <c r="P16" s="281">
        <v>180</v>
      </c>
      <c r="Q16" s="281">
        <v>240</v>
      </c>
      <c r="R16" s="268" t="s">
        <v>3383</v>
      </c>
      <c r="S16" s="268"/>
      <c r="T16" s="268">
        <v>1</v>
      </c>
      <c r="U16" s="268" t="s">
        <v>4880</v>
      </c>
      <c r="V16" s="269">
        <v>5</v>
      </c>
      <c r="W16" s="269"/>
      <c r="X16" s="268" t="s">
        <v>4881</v>
      </c>
      <c r="Y16" s="331" t="s">
        <v>4893</v>
      </c>
      <c r="Z16" s="332" t="s">
        <v>4894</v>
      </c>
      <c r="AA16" s="268" t="s">
        <v>4884</v>
      </c>
      <c r="AB16" s="268"/>
      <c r="AC16" s="287">
        <v>1</v>
      </c>
      <c r="AD16" s="287">
        <v>1</v>
      </c>
      <c r="AE16" s="268"/>
      <c r="AF16" s="268"/>
      <c r="AG16" s="290"/>
    </row>
    <row r="17" spans="1:33" s="145" customFormat="1" x14ac:dyDescent="0.15">
      <c r="A17" s="270">
        <v>95101026</v>
      </c>
      <c r="B17" s="268" t="s">
        <v>4890</v>
      </c>
      <c r="C17" s="268" t="s">
        <v>4875</v>
      </c>
      <c r="D17" s="268">
        <v>5081</v>
      </c>
      <c r="E17" s="268" t="s">
        <v>4876</v>
      </c>
      <c r="F17" s="268" t="s">
        <v>4877</v>
      </c>
      <c r="G17" s="269">
        <v>6</v>
      </c>
      <c r="H17" s="269">
        <v>0</v>
      </c>
      <c r="I17" s="267">
        <v>34</v>
      </c>
      <c r="J17" s="282" t="s">
        <v>4891</v>
      </c>
      <c r="K17" s="279" t="s">
        <v>4892</v>
      </c>
      <c r="L17" s="279"/>
      <c r="M17" s="268">
        <v>1</v>
      </c>
      <c r="N17" s="268" t="b">
        <v>1</v>
      </c>
      <c r="O17" s="268">
        <v>25</v>
      </c>
      <c r="P17" s="281">
        <v>375</v>
      </c>
      <c r="Q17" s="281">
        <v>500</v>
      </c>
      <c r="R17" s="268" t="s">
        <v>3383</v>
      </c>
      <c r="S17" s="268"/>
      <c r="T17" s="268">
        <v>1</v>
      </c>
      <c r="U17" s="268" t="s">
        <v>4880</v>
      </c>
      <c r="V17" s="269">
        <v>7</v>
      </c>
      <c r="W17" s="269"/>
      <c r="X17" s="268" t="s">
        <v>4881</v>
      </c>
      <c r="Y17" s="331" t="s">
        <v>4893</v>
      </c>
      <c r="Z17" s="332" t="s">
        <v>4894</v>
      </c>
      <c r="AA17" s="268" t="s">
        <v>4884</v>
      </c>
      <c r="AB17" s="268"/>
      <c r="AC17" s="287">
        <v>1</v>
      </c>
      <c r="AD17" s="287">
        <v>1</v>
      </c>
      <c r="AE17" s="268"/>
      <c r="AF17" s="268"/>
      <c r="AG17" s="290"/>
    </row>
    <row r="18" spans="1:33" s="145" customFormat="1" x14ac:dyDescent="0.15">
      <c r="A18" s="270">
        <v>95101027</v>
      </c>
      <c r="B18" s="268" t="s">
        <v>4890</v>
      </c>
      <c r="C18" s="268" t="s">
        <v>4875</v>
      </c>
      <c r="D18" s="268">
        <v>5081</v>
      </c>
      <c r="E18" s="268" t="s">
        <v>4876</v>
      </c>
      <c r="F18" s="268" t="s">
        <v>4877</v>
      </c>
      <c r="G18" s="269">
        <v>7</v>
      </c>
      <c r="H18" s="269">
        <v>0</v>
      </c>
      <c r="I18" s="267">
        <v>34</v>
      </c>
      <c r="J18" s="282" t="s">
        <v>4891</v>
      </c>
      <c r="K18" s="279" t="s">
        <v>4892</v>
      </c>
      <c r="L18" s="279"/>
      <c r="M18" s="268">
        <v>1</v>
      </c>
      <c r="N18" s="268" t="b">
        <v>1</v>
      </c>
      <c r="O18" s="268">
        <v>38</v>
      </c>
      <c r="P18" s="281">
        <v>570</v>
      </c>
      <c r="Q18" s="281">
        <v>760</v>
      </c>
      <c r="R18" s="268" t="s">
        <v>3383</v>
      </c>
      <c r="S18" s="268"/>
      <c r="T18" s="268">
        <v>1</v>
      </c>
      <c r="U18" s="268" t="s">
        <v>4880</v>
      </c>
      <c r="V18" s="269">
        <v>10</v>
      </c>
      <c r="W18" s="269"/>
      <c r="X18" s="268" t="s">
        <v>4881</v>
      </c>
      <c r="Y18" s="331" t="s">
        <v>4893</v>
      </c>
      <c r="Z18" s="332" t="s">
        <v>4894</v>
      </c>
      <c r="AA18" s="268" t="s">
        <v>4884</v>
      </c>
      <c r="AB18" s="268"/>
      <c r="AC18" s="287">
        <v>1</v>
      </c>
      <c r="AD18" s="287">
        <v>1</v>
      </c>
      <c r="AE18" s="268"/>
      <c r="AF18" s="268"/>
      <c r="AG18" s="290"/>
    </row>
    <row r="19" spans="1:33" s="258" customFormat="1" x14ac:dyDescent="0.15">
      <c r="A19" s="271">
        <v>95101028</v>
      </c>
      <c r="B19" s="272" t="s">
        <v>4895</v>
      </c>
      <c r="C19" s="272" t="s">
        <v>4875</v>
      </c>
      <c r="D19" s="272">
        <v>5081</v>
      </c>
      <c r="E19" s="272" t="s">
        <v>4876</v>
      </c>
      <c r="F19" s="272" t="s">
        <v>4877</v>
      </c>
      <c r="G19" s="269">
        <v>6</v>
      </c>
      <c r="H19" s="273">
        <v>1</v>
      </c>
      <c r="I19" s="283">
        <v>34</v>
      </c>
      <c r="J19" s="284" t="s">
        <v>4891</v>
      </c>
      <c r="K19" s="285" t="s">
        <v>4892</v>
      </c>
      <c r="L19" s="272" t="s">
        <v>44</v>
      </c>
      <c r="M19" s="272">
        <v>1</v>
      </c>
      <c r="N19" s="272" t="b">
        <v>1</v>
      </c>
      <c r="O19" s="272">
        <v>51</v>
      </c>
      <c r="P19" s="281">
        <v>765</v>
      </c>
      <c r="Q19" s="281">
        <v>1020</v>
      </c>
      <c r="R19" s="272" t="s">
        <v>3383</v>
      </c>
      <c r="S19" s="272"/>
      <c r="T19" s="272">
        <v>1</v>
      </c>
      <c r="U19" s="272" t="s">
        <v>4880</v>
      </c>
      <c r="V19" s="273">
        <v>10</v>
      </c>
      <c r="W19" s="273"/>
      <c r="X19" s="272" t="s">
        <v>4881</v>
      </c>
      <c r="Y19" s="333" t="s">
        <v>4893</v>
      </c>
      <c r="Z19" s="334" t="s">
        <v>4894</v>
      </c>
      <c r="AA19" s="272" t="s">
        <v>4884</v>
      </c>
      <c r="AB19" s="272"/>
      <c r="AC19" s="289">
        <v>1</v>
      </c>
      <c r="AD19" s="289">
        <v>1</v>
      </c>
      <c r="AE19" s="289"/>
      <c r="AF19" s="272"/>
      <c r="AG19" s="272"/>
    </row>
    <row r="20" spans="1:33" s="258" customFormat="1" x14ac:dyDescent="0.15">
      <c r="A20" s="271">
        <v>95101029</v>
      </c>
      <c r="B20" s="272" t="s">
        <v>4896</v>
      </c>
      <c r="C20" s="272" t="s">
        <v>4875</v>
      </c>
      <c r="D20" s="272">
        <v>5081</v>
      </c>
      <c r="E20" s="272" t="s">
        <v>4876</v>
      </c>
      <c r="F20" s="272" t="s">
        <v>4877</v>
      </c>
      <c r="G20" s="269">
        <v>6</v>
      </c>
      <c r="H20" s="273">
        <v>1</v>
      </c>
      <c r="I20" s="283">
        <v>34</v>
      </c>
      <c r="J20" s="284" t="s">
        <v>4891</v>
      </c>
      <c r="K20" s="285" t="s">
        <v>4892</v>
      </c>
      <c r="L20" s="272" t="s">
        <v>4887</v>
      </c>
      <c r="M20" s="272">
        <v>1</v>
      </c>
      <c r="N20" s="272" t="b">
        <v>1</v>
      </c>
      <c r="O20" s="272">
        <v>64</v>
      </c>
      <c r="P20" s="281">
        <v>960</v>
      </c>
      <c r="Q20" s="281">
        <v>1280</v>
      </c>
      <c r="R20" s="272" t="s">
        <v>3383</v>
      </c>
      <c r="S20" s="272"/>
      <c r="T20" s="272">
        <v>1</v>
      </c>
      <c r="U20" s="272" t="s">
        <v>4880</v>
      </c>
      <c r="V20" s="273">
        <v>10</v>
      </c>
      <c r="W20" s="273"/>
      <c r="X20" s="272" t="s">
        <v>4881</v>
      </c>
      <c r="Y20" s="333" t="s">
        <v>4893</v>
      </c>
      <c r="Z20" s="334" t="s">
        <v>4894</v>
      </c>
      <c r="AA20" s="272" t="s">
        <v>4884</v>
      </c>
      <c r="AB20" s="272"/>
      <c r="AC20" s="289">
        <v>1</v>
      </c>
      <c r="AD20" s="289">
        <v>1</v>
      </c>
      <c r="AE20" s="289"/>
      <c r="AF20" s="272"/>
      <c r="AG20" s="272"/>
    </row>
    <row r="21" spans="1:33" s="258" customFormat="1" x14ac:dyDescent="0.15">
      <c r="A21" s="271">
        <v>95101030</v>
      </c>
      <c r="B21" s="272" t="s">
        <v>4897</v>
      </c>
      <c r="C21" s="272" t="s">
        <v>4875</v>
      </c>
      <c r="D21" s="272">
        <v>5081</v>
      </c>
      <c r="E21" s="272" t="s">
        <v>4876</v>
      </c>
      <c r="F21" s="272" t="s">
        <v>4877</v>
      </c>
      <c r="G21" s="269">
        <v>7</v>
      </c>
      <c r="H21" s="273">
        <v>0</v>
      </c>
      <c r="I21" s="283">
        <v>34</v>
      </c>
      <c r="J21" s="284" t="s">
        <v>4891</v>
      </c>
      <c r="K21" s="285" t="s">
        <v>4892</v>
      </c>
      <c r="L21" s="272" t="s">
        <v>4889</v>
      </c>
      <c r="M21" s="272">
        <v>1</v>
      </c>
      <c r="N21" s="272" t="b">
        <v>1</v>
      </c>
      <c r="O21" s="272">
        <v>77</v>
      </c>
      <c r="P21" s="281">
        <v>1155</v>
      </c>
      <c r="Q21" s="281">
        <v>1540</v>
      </c>
      <c r="R21" s="272" t="s">
        <v>3383</v>
      </c>
      <c r="S21" s="272"/>
      <c r="T21" s="272">
        <v>1</v>
      </c>
      <c r="U21" s="272" t="s">
        <v>4880</v>
      </c>
      <c r="V21" s="273">
        <v>10</v>
      </c>
      <c r="W21" s="273"/>
      <c r="X21" s="272" t="s">
        <v>4881</v>
      </c>
      <c r="Y21" s="333" t="s">
        <v>4893</v>
      </c>
      <c r="Z21" s="334" t="s">
        <v>4894</v>
      </c>
      <c r="AA21" s="272" t="s">
        <v>4884</v>
      </c>
      <c r="AB21" s="272"/>
      <c r="AC21" s="289">
        <v>1</v>
      </c>
      <c r="AD21" s="289">
        <v>1</v>
      </c>
      <c r="AE21" s="289"/>
      <c r="AF21" s="272"/>
      <c r="AG21" s="272"/>
    </row>
    <row r="22" spans="1:33" s="145" customFormat="1" x14ac:dyDescent="0.15">
      <c r="A22" s="267">
        <v>95101031</v>
      </c>
      <c r="B22" s="268" t="s">
        <v>4898</v>
      </c>
      <c r="C22" s="268" t="s">
        <v>4875</v>
      </c>
      <c r="D22" s="268">
        <v>5081</v>
      </c>
      <c r="E22" s="268" t="s">
        <v>4876</v>
      </c>
      <c r="F22" s="268" t="s">
        <v>4877</v>
      </c>
      <c r="G22" s="269">
        <v>1</v>
      </c>
      <c r="H22" s="269">
        <v>0</v>
      </c>
      <c r="I22" s="267">
        <v>34</v>
      </c>
      <c r="J22" s="278" t="s">
        <v>4899</v>
      </c>
      <c r="K22" s="279" t="s">
        <v>4900</v>
      </c>
      <c r="L22" s="279"/>
      <c r="M22" s="268">
        <v>1</v>
      </c>
      <c r="N22" s="268" t="b">
        <v>1</v>
      </c>
      <c r="O22" s="280">
        <v>2</v>
      </c>
      <c r="P22" s="281">
        <v>30</v>
      </c>
      <c r="Q22" s="281">
        <v>40</v>
      </c>
      <c r="R22" s="268" t="s">
        <v>3383</v>
      </c>
      <c r="S22" s="268"/>
      <c r="T22" s="268">
        <v>1</v>
      </c>
      <c r="U22" s="268" t="s">
        <v>4880</v>
      </c>
      <c r="V22" s="269">
        <v>1</v>
      </c>
      <c r="W22" s="269"/>
      <c r="X22" s="268" t="s">
        <v>4881</v>
      </c>
      <c r="Y22" s="331" t="s">
        <v>4901</v>
      </c>
      <c r="Z22" s="268" t="s">
        <v>4902</v>
      </c>
      <c r="AA22" s="268" t="s">
        <v>4884</v>
      </c>
      <c r="AB22" s="268"/>
      <c r="AC22" s="287">
        <v>1</v>
      </c>
      <c r="AD22" s="287">
        <v>1</v>
      </c>
      <c r="AE22" s="268"/>
      <c r="AF22" s="268"/>
      <c r="AG22" s="290"/>
    </row>
    <row r="23" spans="1:33" s="145" customFormat="1" x14ac:dyDescent="0.15">
      <c r="A23" s="267">
        <v>95101032</v>
      </c>
      <c r="B23" s="268" t="s">
        <v>4898</v>
      </c>
      <c r="C23" s="268" t="s">
        <v>4875</v>
      </c>
      <c r="D23" s="268">
        <v>5081</v>
      </c>
      <c r="E23" s="268" t="s">
        <v>4876</v>
      </c>
      <c r="F23" s="268" t="s">
        <v>4877</v>
      </c>
      <c r="G23" s="269">
        <v>2</v>
      </c>
      <c r="H23" s="269">
        <v>0</v>
      </c>
      <c r="I23" s="267">
        <v>34</v>
      </c>
      <c r="J23" s="278" t="s">
        <v>4899</v>
      </c>
      <c r="K23" s="279" t="s">
        <v>4900</v>
      </c>
      <c r="L23" s="279"/>
      <c r="M23" s="268">
        <v>1</v>
      </c>
      <c r="N23" s="268" t="b">
        <v>1</v>
      </c>
      <c r="O23" s="268">
        <v>5</v>
      </c>
      <c r="P23" s="281">
        <v>75</v>
      </c>
      <c r="Q23" s="281">
        <v>100</v>
      </c>
      <c r="R23" s="268" t="s">
        <v>3383</v>
      </c>
      <c r="S23" s="268"/>
      <c r="T23" s="268">
        <v>1</v>
      </c>
      <c r="U23" s="268" t="s">
        <v>4880</v>
      </c>
      <c r="V23" s="269">
        <v>2</v>
      </c>
      <c r="W23" s="269"/>
      <c r="X23" s="268" t="s">
        <v>4881</v>
      </c>
      <c r="Y23" s="331" t="s">
        <v>4901</v>
      </c>
      <c r="Z23" s="268" t="s">
        <v>4902</v>
      </c>
      <c r="AA23" s="268" t="s">
        <v>4884</v>
      </c>
      <c r="AB23" s="268"/>
      <c r="AC23" s="287">
        <v>1</v>
      </c>
      <c r="AD23" s="287">
        <v>1</v>
      </c>
      <c r="AE23" s="268"/>
      <c r="AF23" s="268"/>
      <c r="AG23" s="290"/>
    </row>
    <row r="24" spans="1:33" s="145" customFormat="1" x14ac:dyDescent="0.15">
      <c r="A24" s="267">
        <v>95101033</v>
      </c>
      <c r="B24" s="268" t="s">
        <v>4898</v>
      </c>
      <c r="C24" s="268" t="s">
        <v>4875</v>
      </c>
      <c r="D24" s="268">
        <v>5081</v>
      </c>
      <c r="E24" s="268" t="s">
        <v>4876</v>
      </c>
      <c r="F24" s="268" t="s">
        <v>4877</v>
      </c>
      <c r="G24" s="269">
        <v>3</v>
      </c>
      <c r="H24" s="269">
        <v>0</v>
      </c>
      <c r="I24" s="267">
        <v>34</v>
      </c>
      <c r="J24" s="278" t="s">
        <v>4899</v>
      </c>
      <c r="K24" s="279" t="s">
        <v>4900</v>
      </c>
      <c r="L24" s="279"/>
      <c r="M24" s="268">
        <v>1</v>
      </c>
      <c r="N24" s="268" t="b">
        <v>1</v>
      </c>
      <c r="O24" s="268">
        <v>7</v>
      </c>
      <c r="P24" s="281">
        <v>105</v>
      </c>
      <c r="Q24" s="281">
        <v>140</v>
      </c>
      <c r="R24" s="268" t="s">
        <v>3383</v>
      </c>
      <c r="S24" s="268"/>
      <c r="T24" s="268">
        <v>1</v>
      </c>
      <c r="U24" s="268" t="s">
        <v>4880</v>
      </c>
      <c r="V24" s="269">
        <v>3</v>
      </c>
      <c r="W24" s="269"/>
      <c r="X24" s="268" t="s">
        <v>4881</v>
      </c>
      <c r="Y24" s="331" t="s">
        <v>4901</v>
      </c>
      <c r="Z24" s="268" t="s">
        <v>4902</v>
      </c>
      <c r="AA24" s="268" t="s">
        <v>4884</v>
      </c>
      <c r="AB24" s="268"/>
      <c r="AC24" s="287">
        <v>1</v>
      </c>
      <c r="AD24" s="287">
        <v>1</v>
      </c>
      <c r="AE24" s="268"/>
      <c r="AF24" s="268"/>
      <c r="AG24" s="290"/>
    </row>
    <row r="25" spans="1:33" s="145" customFormat="1" x14ac:dyDescent="0.15">
      <c r="A25" s="267">
        <v>95101034</v>
      </c>
      <c r="B25" s="268" t="s">
        <v>4898</v>
      </c>
      <c r="C25" s="268" t="s">
        <v>4875</v>
      </c>
      <c r="D25" s="268">
        <v>5081</v>
      </c>
      <c r="E25" s="268" t="s">
        <v>4876</v>
      </c>
      <c r="F25" s="268" t="s">
        <v>4877</v>
      </c>
      <c r="G25" s="269">
        <v>4</v>
      </c>
      <c r="H25" s="269">
        <v>0</v>
      </c>
      <c r="I25" s="267">
        <v>34</v>
      </c>
      <c r="J25" s="278" t="s">
        <v>4899</v>
      </c>
      <c r="K25" s="279" t="s">
        <v>4900</v>
      </c>
      <c r="L25" s="279"/>
      <c r="M25" s="268">
        <v>1</v>
      </c>
      <c r="N25" s="268" t="b">
        <v>1</v>
      </c>
      <c r="O25" s="268">
        <v>10</v>
      </c>
      <c r="P25" s="281">
        <v>150</v>
      </c>
      <c r="Q25" s="281">
        <v>200</v>
      </c>
      <c r="R25" s="268" t="s">
        <v>3383</v>
      </c>
      <c r="S25" s="268"/>
      <c r="T25" s="268">
        <v>1</v>
      </c>
      <c r="U25" s="268" t="s">
        <v>4880</v>
      </c>
      <c r="V25" s="269">
        <v>4</v>
      </c>
      <c r="W25" s="269"/>
      <c r="X25" s="268" t="s">
        <v>4881</v>
      </c>
      <c r="Y25" s="331" t="s">
        <v>4901</v>
      </c>
      <c r="Z25" s="268" t="s">
        <v>4902</v>
      </c>
      <c r="AA25" s="268" t="s">
        <v>4884</v>
      </c>
      <c r="AB25" s="268"/>
      <c r="AC25" s="287">
        <v>1</v>
      </c>
      <c r="AD25" s="287">
        <v>1</v>
      </c>
      <c r="AE25" s="268"/>
      <c r="AF25" s="268"/>
      <c r="AG25" s="290"/>
    </row>
    <row r="26" spans="1:33" s="145" customFormat="1" x14ac:dyDescent="0.15">
      <c r="A26" s="267">
        <v>95101035</v>
      </c>
      <c r="B26" s="268" t="s">
        <v>4898</v>
      </c>
      <c r="C26" s="268" t="s">
        <v>4875</v>
      </c>
      <c r="D26" s="268">
        <v>5081</v>
      </c>
      <c r="E26" s="268" t="s">
        <v>4876</v>
      </c>
      <c r="F26" s="268" t="s">
        <v>4877</v>
      </c>
      <c r="G26" s="269">
        <v>5</v>
      </c>
      <c r="H26" s="269">
        <v>0</v>
      </c>
      <c r="I26" s="267">
        <v>34</v>
      </c>
      <c r="J26" s="278" t="s">
        <v>4899</v>
      </c>
      <c r="K26" s="279" t="s">
        <v>4900</v>
      </c>
      <c r="L26" s="279"/>
      <c r="M26" s="268">
        <v>1</v>
      </c>
      <c r="N26" s="268" t="b">
        <v>1</v>
      </c>
      <c r="O26" s="268">
        <v>12</v>
      </c>
      <c r="P26" s="281">
        <v>180</v>
      </c>
      <c r="Q26" s="281">
        <v>240</v>
      </c>
      <c r="R26" s="268" t="s">
        <v>3383</v>
      </c>
      <c r="S26" s="268"/>
      <c r="T26" s="268">
        <v>1</v>
      </c>
      <c r="U26" s="268" t="s">
        <v>4880</v>
      </c>
      <c r="V26" s="269">
        <v>5</v>
      </c>
      <c r="W26" s="269"/>
      <c r="X26" s="268" t="s">
        <v>4881</v>
      </c>
      <c r="Y26" s="331" t="s">
        <v>4901</v>
      </c>
      <c r="Z26" s="268" t="s">
        <v>4902</v>
      </c>
      <c r="AA26" s="268" t="s">
        <v>4884</v>
      </c>
      <c r="AB26" s="268"/>
      <c r="AC26" s="287">
        <v>1</v>
      </c>
      <c r="AD26" s="287">
        <v>1</v>
      </c>
      <c r="AE26" s="268"/>
      <c r="AF26" s="268"/>
      <c r="AG26" s="290"/>
    </row>
    <row r="27" spans="1:33" s="145" customFormat="1" x14ac:dyDescent="0.15">
      <c r="A27" s="270">
        <v>95101036</v>
      </c>
      <c r="B27" s="268" t="s">
        <v>4898</v>
      </c>
      <c r="C27" s="268" t="s">
        <v>4875</v>
      </c>
      <c r="D27" s="268">
        <v>5081</v>
      </c>
      <c r="E27" s="268" t="s">
        <v>4876</v>
      </c>
      <c r="F27" s="268" t="s">
        <v>4877</v>
      </c>
      <c r="G27" s="269">
        <v>6</v>
      </c>
      <c r="H27" s="269">
        <v>0</v>
      </c>
      <c r="I27" s="267">
        <v>34</v>
      </c>
      <c r="J27" s="282" t="s">
        <v>4899</v>
      </c>
      <c r="K27" s="279" t="s">
        <v>4900</v>
      </c>
      <c r="L27" s="279"/>
      <c r="M27" s="268">
        <v>1</v>
      </c>
      <c r="N27" s="268" t="b">
        <v>1</v>
      </c>
      <c r="O27" s="268">
        <v>25</v>
      </c>
      <c r="P27" s="281">
        <v>375</v>
      </c>
      <c r="Q27" s="281">
        <v>500</v>
      </c>
      <c r="R27" s="268" t="s">
        <v>3383</v>
      </c>
      <c r="S27" s="268"/>
      <c r="T27" s="268">
        <v>1</v>
      </c>
      <c r="U27" s="268" t="s">
        <v>4880</v>
      </c>
      <c r="V27" s="269">
        <v>7</v>
      </c>
      <c r="W27" s="269"/>
      <c r="X27" s="268" t="s">
        <v>4881</v>
      </c>
      <c r="Y27" s="331" t="s">
        <v>4901</v>
      </c>
      <c r="Z27" s="332" t="s">
        <v>4902</v>
      </c>
      <c r="AA27" s="268" t="s">
        <v>4884</v>
      </c>
      <c r="AB27" s="268"/>
      <c r="AC27" s="287">
        <v>1</v>
      </c>
      <c r="AD27" s="287">
        <v>1</v>
      </c>
      <c r="AE27" s="268"/>
      <c r="AF27" s="268"/>
      <c r="AG27" s="290"/>
    </row>
    <row r="28" spans="1:33" s="145" customFormat="1" x14ac:dyDescent="0.15">
      <c r="A28" s="270">
        <v>95101037</v>
      </c>
      <c r="B28" s="268" t="s">
        <v>4898</v>
      </c>
      <c r="C28" s="268" t="s">
        <v>4875</v>
      </c>
      <c r="D28" s="268">
        <v>5081</v>
      </c>
      <c r="E28" s="268" t="s">
        <v>4876</v>
      </c>
      <c r="F28" s="268" t="s">
        <v>4877</v>
      </c>
      <c r="G28" s="269">
        <v>7</v>
      </c>
      <c r="H28" s="269">
        <v>0</v>
      </c>
      <c r="I28" s="267">
        <v>34</v>
      </c>
      <c r="J28" s="282" t="s">
        <v>4899</v>
      </c>
      <c r="K28" s="279" t="s">
        <v>4900</v>
      </c>
      <c r="L28" s="279"/>
      <c r="M28" s="268">
        <v>1</v>
      </c>
      <c r="N28" s="268" t="b">
        <v>1</v>
      </c>
      <c r="O28" s="268">
        <v>38</v>
      </c>
      <c r="P28" s="281">
        <v>570</v>
      </c>
      <c r="Q28" s="281">
        <v>760</v>
      </c>
      <c r="R28" s="268" t="s">
        <v>3383</v>
      </c>
      <c r="S28" s="268"/>
      <c r="T28" s="268">
        <v>1</v>
      </c>
      <c r="U28" s="268" t="s">
        <v>4880</v>
      </c>
      <c r="V28" s="269">
        <v>10</v>
      </c>
      <c r="W28" s="269"/>
      <c r="X28" s="268" t="s">
        <v>4881</v>
      </c>
      <c r="Y28" s="331" t="s">
        <v>4901</v>
      </c>
      <c r="Z28" s="332" t="s">
        <v>4902</v>
      </c>
      <c r="AA28" s="268" t="s">
        <v>4884</v>
      </c>
      <c r="AB28" s="268"/>
      <c r="AC28" s="287">
        <v>1</v>
      </c>
      <c r="AD28" s="287">
        <v>1</v>
      </c>
      <c r="AE28" s="268"/>
      <c r="AF28" s="268"/>
      <c r="AG28" s="290"/>
    </row>
    <row r="29" spans="1:33" s="258" customFormat="1" x14ac:dyDescent="0.15">
      <c r="A29" s="271">
        <v>95101038</v>
      </c>
      <c r="B29" s="272" t="s">
        <v>4903</v>
      </c>
      <c r="C29" s="272" t="s">
        <v>4875</v>
      </c>
      <c r="D29" s="272">
        <v>5081</v>
      </c>
      <c r="E29" s="272" t="s">
        <v>4876</v>
      </c>
      <c r="F29" s="272" t="s">
        <v>4877</v>
      </c>
      <c r="G29" s="269">
        <v>6</v>
      </c>
      <c r="H29" s="273">
        <v>0</v>
      </c>
      <c r="I29" s="283">
        <v>34</v>
      </c>
      <c r="J29" s="284" t="s">
        <v>4899</v>
      </c>
      <c r="K29" s="285" t="s">
        <v>4900</v>
      </c>
      <c r="L29" s="272" t="s">
        <v>44</v>
      </c>
      <c r="M29" s="272">
        <v>1</v>
      </c>
      <c r="N29" s="272" t="b">
        <v>1</v>
      </c>
      <c r="O29" s="272">
        <v>51</v>
      </c>
      <c r="P29" s="281">
        <v>765</v>
      </c>
      <c r="Q29" s="281">
        <v>1020</v>
      </c>
      <c r="R29" s="272" t="s">
        <v>3383</v>
      </c>
      <c r="S29" s="272"/>
      <c r="T29" s="272">
        <v>1</v>
      </c>
      <c r="U29" s="272" t="s">
        <v>4880</v>
      </c>
      <c r="V29" s="273">
        <v>10</v>
      </c>
      <c r="W29" s="273"/>
      <c r="X29" s="272" t="s">
        <v>4881</v>
      </c>
      <c r="Y29" s="333" t="s">
        <v>4901</v>
      </c>
      <c r="Z29" s="334" t="s">
        <v>4902</v>
      </c>
      <c r="AA29" s="272" t="s">
        <v>4884</v>
      </c>
      <c r="AB29" s="272"/>
      <c r="AC29" s="289">
        <v>1</v>
      </c>
      <c r="AD29" s="289">
        <v>1</v>
      </c>
      <c r="AE29" s="289"/>
      <c r="AF29" s="272"/>
      <c r="AG29" s="272"/>
    </row>
    <row r="30" spans="1:33" s="258" customFormat="1" x14ac:dyDescent="0.15">
      <c r="A30" s="271">
        <v>95101039</v>
      </c>
      <c r="B30" s="272" t="s">
        <v>4904</v>
      </c>
      <c r="C30" s="272" t="s">
        <v>4875</v>
      </c>
      <c r="D30" s="272">
        <v>5081</v>
      </c>
      <c r="E30" s="272" t="s">
        <v>4876</v>
      </c>
      <c r="F30" s="272" t="s">
        <v>4877</v>
      </c>
      <c r="G30" s="269">
        <v>6</v>
      </c>
      <c r="H30" s="273">
        <v>0</v>
      </c>
      <c r="I30" s="283">
        <v>34</v>
      </c>
      <c r="J30" s="284" t="s">
        <v>4899</v>
      </c>
      <c r="K30" s="285" t="s">
        <v>4900</v>
      </c>
      <c r="L30" s="272" t="s">
        <v>4887</v>
      </c>
      <c r="M30" s="272">
        <v>1</v>
      </c>
      <c r="N30" s="272" t="b">
        <v>1</v>
      </c>
      <c r="O30" s="272">
        <v>64</v>
      </c>
      <c r="P30" s="281">
        <v>960</v>
      </c>
      <c r="Q30" s="281">
        <v>1280</v>
      </c>
      <c r="R30" s="272" t="s">
        <v>3383</v>
      </c>
      <c r="S30" s="272"/>
      <c r="T30" s="272">
        <v>1</v>
      </c>
      <c r="U30" s="272" t="s">
        <v>4880</v>
      </c>
      <c r="V30" s="273">
        <v>10</v>
      </c>
      <c r="W30" s="273"/>
      <c r="X30" s="272" t="s">
        <v>4881</v>
      </c>
      <c r="Y30" s="333" t="s">
        <v>4901</v>
      </c>
      <c r="Z30" s="334" t="s">
        <v>4902</v>
      </c>
      <c r="AA30" s="272" t="s">
        <v>4884</v>
      </c>
      <c r="AB30" s="272"/>
      <c r="AC30" s="289">
        <v>1</v>
      </c>
      <c r="AD30" s="289">
        <v>1</v>
      </c>
      <c r="AE30" s="289"/>
      <c r="AF30" s="272"/>
      <c r="AG30" s="272"/>
    </row>
    <row r="31" spans="1:33" s="258" customFormat="1" x14ac:dyDescent="0.15">
      <c r="A31" s="271">
        <v>95101040</v>
      </c>
      <c r="B31" s="272" t="s">
        <v>4905</v>
      </c>
      <c r="C31" s="272" t="s">
        <v>4875</v>
      </c>
      <c r="D31" s="272">
        <v>5081</v>
      </c>
      <c r="E31" s="272" t="s">
        <v>4876</v>
      </c>
      <c r="F31" s="272" t="s">
        <v>4877</v>
      </c>
      <c r="G31" s="269">
        <v>7</v>
      </c>
      <c r="H31" s="273">
        <v>0</v>
      </c>
      <c r="I31" s="283">
        <v>34</v>
      </c>
      <c r="J31" s="284" t="s">
        <v>4899</v>
      </c>
      <c r="K31" s="285" t="s">
        <v>4900</v>
      </c>
      <c r="L31" s="272" t="s">
        <v>4889</v>
      </c>
      <c r="M31" s="272">
        <v>1</v>
      </c>
      <c r="N31" s="272" t="b">
        <v>1</v>
      </c>
      <c r="O31" s="272">
        <v>77</v>
      </c>
      <c r="P31" s="281">
        <v>1155</v>
      </c>
      <c r="Q31" s="281">
        <v>1540</v>
      </c>
      <c r="R31" s="272" t="s">
        <v>3383</v>
      </c>
      <c r="S31" s="272"/>
      <c r="T31" s="272">
        <v>1</v>
      </c>
      <c r="U31" s="272" t="s">
        <v>4880</v>
      </c>
      <c r="V31" s="273">
        <v>10</v>
      </c>
      <c r="W31" s="273"/>
      <c r="X31" s="272" t="s">
        <v>4881</v>
      </c>
      <c r="Y31" s="333" t="s">
        <v>4901</v>
      </c>
      <c r="Z31" s="334" t="s">
        <v>4902</v>
      </c>
      <c r="AA31" s="272" t="s">
        <v>4884</v>
      </c>
      <c r="AB31" s="272"/>
      <c r="AC31" s="289">
        <v>1</v>
      </c>
      <c r="AD31" s="289">
        <v>1</v>
      </c>
      <c r="AE31" s="289"/>
      <c r="AF31" s="272"/>
      <c r="AG31" s="272"/>
    </row>
    <row r="32" spans="1:33" s="145" customFormat="1" x14ac:dyDescent="0.15">
      <c r="A32" s="267">
        <v>95101041</v>
      </c>
      <c r="B32" s="268" t="s">
        <v>4906</v>
      </c>
      <c r="C32" s="268" t="s">
        <v>4875</v>
      </c>
      <c r="D32" s="268">
        <v>5081</v>
      </c>
      <c r="E32" s="268" t="s">
        <v>4876</v>
      </c>
      <c r="F32" s="268" t="s">
        <v>4877</v>
      </c>
      <c r="G32" s="269">
        <v>1</v>
      </c>
      <c r="H32" s="269">
        <v>0</v>
      </c>
      <c r="I32" s="267">
        <v>34</v>
      </c>
      <c r="J32" s="278" t="s">
        <v>4907</v>
      </c>
      <c r="K32" s="279" t="s">
        <v>4908</v>
      </c>
      <c r="L32" s="279"/>
      <c r="M32" s="268">
        <v>1</v>
      </c>
      <c r="N32" s="268" t="b">
        <v>1</v>
      </c>
      <c r="O32" s="280">
        <v>2</v>
      </c>
      <c r="P32" s="281">
        <v>30</v>
      </c>
      <c r="Q32" s="281">
        <v>40</v>
      </c>
      <c r="R32" s="268" t="s">
        <v>3383</v>
      </c>
      <c r="S32" s="268"/>
      <c r="T32" s="268">
        <v>1</v>
      </c>
      <c r="U32" s="268" t="s">
        <v>4880</v>
      </c>
      <c r="V32" s="269">
        <v>1</v>
      </c>
      <c r="W32" s="269"/>
      <c r="X32" s="268" t="s">
        <v>4881</v>
      </c>
      <c r="Y32" s="331" t="s">
        <v>4909</v>
      </c>
      <c r="Z32" s="268" t="s">
        <v>4910</v>
      </c>
      <c r="AA32" s="268" t="s">
        <v>4884</v>
      </c>
      <c r="AB32" s="268"/>
      <c r="AC32" s="287">
        <v>1</v>
      </c>
      <c r="AD32" s="287">
        <v>1</v>
      </c>
      <c r="AE32" s="268"/>
      <c r="AF32" s="268"/>
      <c r="AG32" s="290"/>
    </row>
    <row r="33" spans="1:33" s="145" customFormat="1" x14ac:dyDescent="0.15">
      <c r="A33" s="267">
        <v>95101042</v>
      </c>
      <c r="B33" s="268" t="s">
        <v>4906</v>
      </c>
      <c r="C33" s="268" t="s">
        <v>4875</v>
      </c>
      <c r="D33" s="268">
        <v>5081</v>
      </c>
      <c r="E33" s="268" t="s">
        <v>4876</v>
      </c>
      <c r="F33" s="268" t="s">
        <v>4877</v>
      </c>
      <c r="G33" s="269">
        <v>2</v>
      </c>
      <c r="H33" s="269">
        <v>0</v>
      </c>
      <c r="I33" s="267">
        <v>34</v>
      </c>
      <c r="J33" s="278" t="s">
        <v>4907</v>
      </c>
      <c r="K33" s="279" t="s">
        <v>4908</v>
      </c>
      <c r="L33" s="279"/>
      <c r="M33" s="268">
        <v>1</v>
      </c>
      <c r="N33" s="268" t="b">
        <v>1</v>
      </c>
      <c r="O33" s="268">
        <v>5</v>
      </c>
      <c r="P33" s="281">
        <v>75</v>
      </c>
      <c r="Q33" s="281">
        <v>100</v>
      </c>
      <c r="R33" s="268" t="s">
        <v>3383</v>
      </c>
      <c r="S33" s="268"/>
      <c r="T33" s="268">
        <v>1</v>
      </c>
      <c r="U33" s="268" t="s">
        <v>4880</v>
      </c>
      <c r="V33" s="269">
        <v>2</v>
      </c>
      <c r="W33" s="269"/>
      <c r="X33" s="268" t="s">
        <v>4881</v>
      </c>
      <c r="Y33" s="331" t="s">
        <v>4909</v>
      </c>
      <c r="Z33" s="268" t="s">
        <v>4910</v>
      </c>
      <c r="AA33" s="268" t="s">
        <v>4884</v>
      </c>
      <c r="AB33" s="268"/>
      <c r="AC33" s="287">
        <v>1</v>
      </c>
      <c r="AD33" s="287">
        <v>1</v>
      </c>
      <c r="AE33" s="268"/>
      <c r="AF33" s="268"/>
      <c r="AG33" s="290"/>
    </row>
    <row r="34" spans="1:33" s="145" customFormat="1" x14ac:dyDescent="0.15">
      <c r="A34" s="267">
        <v>95101043</v>
      </c>
      <c r="B34" s="268" t="s">
        <v>4906</v>
      </c>
      <c r="C34" s="268" t="s">
        <v>4875</v>
      </c>
      <c r="D34" s="268">
        <v>5081</v>
      </c>
      <c r="E34" s="268" t="s">
        <v>4876</v>
      </c>
      <c r="F34" s="268" t="s">
        <v>4877</v>
      </c>
      <c r="G34" s="269">
        <v>3</v>
      </c>
      <c r="H34" s="269">
        <v>0</v>
      </c>
      <c r="I34" s="267">
        <v>34</v>
      </c>
      <c r="J34" s="278" t="s">
        <v>4907</v>
      </c>
      <c r="K34" s="279" t="s">
        <v>4908</v>
      </c>
      <c r="L34" s="279"/>
      <c r="M34" s="268">
        <v>1</v>
      </c>
      <c r="N34" s="268" t="b">
        <v>1</v>
      </c>
      <c r="O34" s="268">
        <v>7</v>
      </c>
      <c r="P34" s="281">
        <v>105</v>
      </c>
      <c r="Q34" s="281">
        <v>140</v>
      </c>
      <c r="R34" s="268" t="s">
        <v>3383</v>
      </c>
      <c r="S34" s="268"/>
      <c r="T34" s="268">
        <v>1</v>
      </c>
      <c r="U34" s="268" t="s">
        <v>4880</v>
      </c>
      <c r="V34" s="269">
        <v>3</v>
      </c>
      <c r="W34" s="269"/>
      <c r="X34" s="268" t="s">
        <v>4881</v>
      </c>
      <c r="Y34" s="331" t="s">
        <v>4909</v>
      </c>
      <c r="Z34" s="268" t="s">
        <v>4910</v>
      </c>
      <c r="AA34" s="268" t="s">
        <v>4884</v>
      </c>
      <c r="AB34" s="268"/>
      <c r="AC34" s="287">
        <v>1</v>
      </c>
      <c r="AD34" s="287">
        <v>1</v>
      </c>
      <c r="AE34" s="268"/>
      <c r="AF34" s="268"/>
      <c r="AG34" s="290"/>
    </row>
    <row r="35" spans="1:33" s="145" customFormat="1" x14ac:dyDescent="0.15">
      <c r="A35" s="267">
        <v>95101044</v>
      </c>
      <c r="B35" s="268" t="s">
        <v>4906</v>
      </c>
      <c r="C35" s="268" t="s">
        <v>4875</v>
      </c>
      <c r="D35" s="268">
        <v>5081</v>
      </c>
      <c r="E35" s="268" t="s">
        <v>4876</v>
      </c>
      <c r="F35" s="268" t="s">
        <v>4877</v>
      </c>
      <c r="G35" s="269">
        <v>4</v>
      </c>
      <c r="H35" s="269">
        <v>0</v>
      </c>
      <c r="I35" s="267">
        <v>34</v>
      </c>
      <c r="J35" s="278" t="s">
        <v>4907</v>
      </c>
      <c r="K35" s="279" t="s">
        <v>4908</v>
      </c>
      <c r="L35" s="279"/>
      <c r="M35" s="268">
        <v>1</v>
      </c>
      <c r="N35" s="268" t="b">
        <v>1</v>
      </c>
      <c r="O35" s="268">
        <v>10</v>
      </c>
      <c r="P35" s="281">
        <v>150</v>
      </c>
      <c r="Q35" s="281">
        <v>200</v>
      </c>
      <c r="R35" s="268" t="s">
        <v>3383</v>
      </c>
      <c r="S35" s="268"/>
      <c r="T35" s="268">
        <v>1</v>
      </c>
      <c r="U35" s="268" t="s">
        <v>4880</v>
      </c>
      <c r="V35" s="269">
        <v>4</v>
      </c>
      <c r="W35" s="269"/>
      <c r="X35" s="268" t="s">
        <v>4881</v>
      </c>
      <c r="Y35" s="331" t="s">
        <v>4909</v>
      </c>
      <c r="Z35" s="268" t="s">
        <v>4910</v>
      </c>
      <c r="AA35" s="268" t="s">
        <v>4884</v>
      </c>
      <c r="AB35" s="268"/>
      <c r="AC35" s="287">
        <v>1</v>
      </c>
      <c r="AD35" s="287">
        <v>1</v>
      </c>
      <c r="AE35" s="268"/>
      <c r="AF35" s="268"/>
      <c r="AG35" s="290"/>
    </row>
    <row r="36" spans="1:33" s="145" customFormat="1" x14ac:dyDescent="0.15">
      <c r="A36" s="267">
        <v>95101045</v>
      </c>
      <c r="B36" s="268" t="s">
        <v>4906</v>
      </c>
      <c r="C36" s="268" t="s">
        <v>4875</v>
      </c>
      <c r="D36" s="268">
        <v>5081</v>
      </c>
      <c r="E36" s="268" t="s">
        <v>4876</v>
      </c>
      <c r="F36" s="268" t="s">
        <v>4877</v>
      </c>
      <c r="G36" s="269">
        <v>5</v>
      </c>
      <c r="H36" s="269">
        <v>0</v>
      </c>
      <c r="I36" s="267">
        <v>34</v>
      </c>
      <c r="J36" s="278" t="s">
        <v>4907</v>
      </c>
      <c r="K36" s="279" t="s">
        <v>4908</v>
      </c>
      <c r="L36" s="279"/>
      <c r="M36" s="268">
        <v>1</v>
      </c>
      <c r="N36" s="268" t="b">
        <v>1</v>
      </c>
      <c r="O36" s="268">
        <v>12</v>
      </c>
      <c r="P36" s="281">
        <v>180</v>
      </c>
      <c r="Q36" s="281">
        <v>240</v>
      </c>
      <c r="R36" s="268" t="s">
        <v>3383</v>
      </c>
      <c r="S36" s="268"/>
      <c r="T36" s="268">
        <v>1</v>
      </c>
      <c r="U36" s="268" t="s">
        <v>4880</v>
      </c>
      <c r="V36" s="269">
        <v>5</v>
      </c>
      <c r="W36" s="269"/>
      <c r="X36" s="268" t="s">
        <v>4881</v>
      </c>
      <c r="Y36" s="331" t="s">
        <v>4909</v>
      </c>
      <c r="Z36" s="268" t="s">
        <v>4910</v>
      </c>
      <c r="AA36" s="268" t="s">
        <v>4884</v>
      </c>
      <c r="AB36" s="268"/>
      <c r="AC36" s="287">
        <v>1</v>
      </c>
      <c r="AD36" s="287">
        <v>1</v>
      </c>
      <c r="AE36" s="268"/>
      <c r="AF36" s="268"/>
      <c r="AG36" s="290"/>
    </row>
    <row r="37" spans="1:33" s="145" customFormat="1" x14ac:dyDescent="0.15">
      <c r="A37" s="270">
        <v>95101046</v>
      </c>
      <c r="B37" s="268" t="s">
        <v>4906</v>
      </c>
      <c r="C37" s="268" t="s">
        <v>4875</v>
      </c>
      <c r="D37" s="268">
        <v>5081</v>
      </c>
      <c r="E37" s="268" t="s">
        <v>4876</v>
      </c>
      <c r="F37" s="268" t="s">
        <v>4877</v>
      </c>
      <c r="G37" s="269">
        <v>6</v>
      </c>
      <c r="H37" s="269">
        <v>0</v>
      </c>
      <c r="I37" s="267">
        <v>34</v>
      </c>
      <c r="J37" s="282" t="s">
        <v>4907</v>
      </c>
      <c r="K37" s="279" t="s">
        <v>4908</v>
      </c>
      <c r="L37" s="279"/>
      <c r="M37" s="268">
        <v>1</v>
      </c>
      <c r="N37" s="268" t="b">
        <v>1</v>
      </c>
      <c r="O37" s="268">
        <v>25</v>
      </c>
      <c r="P37" s="281">
        <v>375</v>
      </c>
      <c r="Q37" s="281">
        <v>500</v>
      </c>
      <c r="R37" s="268" t="s">
        <v>3383</v>
      </c>
      <c r="S37" s="268"/>
      <c r="T37" s="268">
        <v>1</v>
      </c>
      <c r="U37" s="268" t="s">
        <v>4880</v>
      </c>
      <c r="V37" s="269">
        <v>7</v>
      </c>
      <c r="W37" s="269"/>
      <c r="X37" s="268" t="s">
        <v>4881</v>
      </c>
      <c r="Y37" s="331" t="s">
        <v>4909</v>
      </c>
      <c r="Z37" s="332" t="s">
        <v>4910</v>
      </c>
      <c r="AA37" s="268" t="s">
        <v>4884</v>
      </c>
      <c r="AB37" s="268"/>
      <c r="AC37" s="287">
        <v>1</v>
      </c>
      <c r="AD37" s="287">
        <v>1</v>
      </c>
      <c r="AE37" s="268"/>
      <c r="AF37" s="268"/>
      <c r="AG37" s="290"/>
    </row>
    <row r="38" spans="1:33" s="145" customFormat="1" x14ac:dyDescent="0.15">
      <c r="A38" s="270">
        <v>95101047</v>
      </c>
      <c r="B38" s="268" t="s">
        <v>4906</v>
      </c>
      <c r="C38" s="268" t="s">
        <v>4875</v>
      </c>
      <c r="D38" s="268">
        <v>5081</v>
      </c>
      <c r="E38" s="268" t="s">
        <v>4876</v>
      </c>
      <c r="F38" s="268" t="s">
        <v>4877</v>
      </c>
      <c r="G38" s="269">
        <v>7</v>
      </c>
      <c r="H38" s="269">
        <v>0</v>
      </c>
      <c r="I38" s="267">
        <v>34</v>
      </c>
      <c r="J38" s="282" t="s">
        <v>4907</v>
      </c>
      <c r="K38" s="279" t="s">
        <v>4908</v>
      </c>
      <c r="L38" s="279"/>
      <c r="M38" s="268">
        <v>1</v>
      </c>
      <c r="N38" s="268" t="b">
        <v>1</v>
      </c>
      <c r="O38" s="268">
        <v>38</v>
      </c>
      <c r="P38" s="281">
        <v>570</v>
      </c>
      <c r="Q38" s="281">
        <v>760</v>
      </c>
      <c r="R38" s="268" t="s">
        <v>3383</v>
      </c>
      <c r="S38" s="268"/>
      <c r="T38" s="268">
        <v>1</v>
      </c>
      <c r="U38" s="268" t="s">
        <v>4880</v>
      </c>
      <c r="V38" s="269">
        <v>10</v>
      </c>
      <c r="W38" s="269"/>
      <c r="X38" s="268" t="s">
        <v>4881</v>
      </c>
      <c r="Y38" s="331" t="s">
        <v>4909</v>
      </c>
      <c r="Z38" s="332" t="s">
        <v>4910</v>
      </c>
      <c r="AA38" s="268" t="s">
        <v>4884</v>
      </c>
      <c r="AB38" s="268"/>
      <c r="AC38" s="287">
        <v>1</v>
      </c>
      <c r="AD38" s="287">
        <v>1</v>
      </c>
      <c r="AE38" s="268"/>
      <c r="AF38" s="268"/>
      <c r="AG38" s="290"/>
    </row>
    <row r="39" spans="1:33" s="258" customFormat="1" x14ac:dyDescent="0.15">
      <c r="A39" s="271">
        <v>95101048</v>
      </c>
      <c r="B39" s="272" t="s">
        <v>4911</v>
      </c>
      <c r="C39" s="272" t="s">
        <v>4875</v>
      </c>
      <c r="D39" s="272">
        <v>5081</v>
      </c>
      <c r="E39" s="272" t="s">
        <v>4876</v>
      </c>
      <c r="F39" s="272" t="s">
        <v>4877</v>
      </c>
      <c r="G39" s="269">
        <v>6</v>
      </c>
      <c r="H39" s="273">
        <v>0</v>
      </c>
      <c r="I39" s="283">
        <v>34</v>
      </c>
      <c r="J39" s="284" t="s">
        <v>4907</v>
      </c>
      <c r="K39" s="285" t="s">
        <v>4908</v>
      </c>
      <c r="L39" s="272" t="s">
        <v>44</v>
      </c>
      <c r="M39" s="272">
        <v>1</v>
      </c>
      <c r="N39" s="272" t="b">
        <v>1</v>
      </c>
      <c r="O39" s="272">
        <v>51</v>
      </c>
      <c r="P39" s="281">
        <v>765</v>
      </c>
      <c r="Q39" s="281">
        <v>1020</v>
      </c>
      <c r="R39" s="272" t="s">
        <v>3383</v>
      </c>
      <c r="S39" s="272"/>
      <c r="T39" s="272">
        <v>1</v>
      </c>
      <c r="U39" s="272" t="s">
        <v>4880</v>
      </c>
      <c r="V39" s="273">
        <v>10</v>
      </c>
      <c r="W39" s="273"/>
      <c r="X39" s="272" t="s">
        <v>4881</v>
      </c>
      <c r="Y39" s="333" t="s">
        <v>4909</v>
      </c>
      <c r="Z39" s="334" t="s">
        <v>4910</v>
      </c>
      <c r="AA39" s="272" t="s">
        <v>4884</v>
      </c>
      <c r="AB39" s="272"/>
      <c r="AC39" s="289">
        <v>1</v>
      </c>
      <c r="AD39" s="289">
        <v>1</v>
      </c>
      <c r="AE39" s="289"/>
      <c r="AF39" s="272"/>
      <c r="AG39" s="272"/>
    </row>
    <row r="40" spans="1:33" s="258" customFormat="1" x14ac:dyDescent="0.15">
      <c r="A40" s="271">
        <v>95101049</v>
      </c>
      <c r="B40" s="272" t="s">
        <v>4912</v>
      </c>
      <c r="C40" s="272" t="s">
        <v>4875</v>
      </c>
      <c r="D40" s="272">
        <v>5081</v>
      </c>
      <c r="E40" s="272" t="s">
        <v>4876</v>
      </c>
      <c r="F40" s="272" t="s">
        <v>4877</v>
      </c>
      <c r="G40" s="269">
        <v>6</v>
      </c>
      <c r="H40" s="273">
        <v>0</v>
      </c>
      <c r="I40" s="283">
        <v>34</v>
      </c>
      <c r="J40" s="284" t="s">
        <v>4907</v>
      </c>
      <c r="K40" s="285" t="s">
        <v>4908</v>
      </c>
      <c r="L40" s="272" t="s">
        <v>4887</v>
      </c>
      <c r="M40" s="272">
        <v>1</v>
      </c>
      <c r="N40" s="272" t="b">
        <v>1</v>
      </c>
      <c r="O40" s="272">
        <v>64</v>
      </c>
      <c r="P40" s="281">
        <v>960</v>
      </c>
      <c r="Q40" s="281">
        <v>1280</v>
      </c>
      <c r="R40" s="272" t="s">
        <v>3383</v>
      </c>
      <c r="S40" s="272"/>
      <c r="T40" s="272">
        <v>1</v>
      </c>
      <c r="U40" s="272" t="s">
        <v>4880</v>
      </c>
      <c r="V40" s="273">
        <v>10</v>
      </c>
      <c r="W40" s="273"/>
      <c r="X40" s="272" t="s">
        <v>4881</v>
      </c>
      <c r="Y40" s="333" t="s">
        <v>4909</v>
      </c>
      <c r="Z40" s="334" t="s">
        <v>4910</v>
      </c>
      <c r="AA40" s="272" t="s">
        <v>4884</v>
      </c>
      <c r="AB40" s="272"/>
      <c r="AC40" s="289">
        <v>1</v>
      </c>
      <c r="AD40" s="289">
        <v>1</v>
      </c>
      <c r="AE40" s="289"/>
      <c r="AF40" s="272"/>
      <c r="AG40" s="272"/>
    </row>
    <row r="41" spans="1:33" s="258" customFormat="1" x14ac:dyDescent="0.15">
      <c r="A41" s="271">
        <v>95101050</v>
      </c>
      <c r="B41" s="272" t="s">
        <v>4913</v>
      </c>
      <c r="C41" s="272" t="s">
        <v>4875</v>
      </c>
      <c r="D41" s="272">
        <v>5081</v>
      </c>
      <c r="E41" s="272" t="s">
        <v>4876</v>
      </c>
      <c r="F41" s="272" t="s">
        <v>4877</v>
      </c>
      <c r="G41" s="269">
        <v>7</v>
      </c>
      <c r="H41" s="273">
        <v>0</v>
      </c>
      <c r="I41" s="283">
        <v>34</v>
      </c>
      <c r="J41" s="284" t="s">
        <v>4907</v>
      </c>
      <c r="K41" s="285" t="s">
        <v>4908</v>
      </c>
      <c r="L41" s="272" t="s">
        <v>4889</v>
      </c>
      <c r="M41" s="272">
        <v>1</v>
      </c>
      <c r="N41" s="272" t="b">
        <v>1</v>
      </c>
      <c r="O41" s="272">
        <v>77</v>
      </c>
      <c r="P41" s="281">
        <v>1155</v>
      </c>
      <c r="Q41" s="281">
        <v>1540</v>
      </c>
      <c r="R41" s="272" t="s">
        <v>3383</v>
      </c>
      <c r="S41" s="272"/>
      <c r="T41" s="272">
        <v>1</v>
      </c>
      <c r="U41" s="272" t="s">
        <v>4880</v>
      </c>
      <c r="V41" s="273">
        <v>10</v>
      </c>
      <c r="W41" s="273"/>
      <c r="X41" s="272" t="s">
        <v>4881</v>
      </c>
      <c r="Y41" s="333" t="s">
        <v>4909</v>
      </c>
      <c r="Z41" s="334" t="s">
        <v>4910</v>
      </c>
      <c r="AA41" s="272" t="s">
        <v>4884</v>
      </c>
      <c r="AB41" s="272"/>
      <c r="AC41" s="289">
        <v>1</v>
      </c>
      <c r="AD41" s="289">
        <v>1</v>
      </c>
      <c r="AE41" s="289"/>
      <c r="AF41" s="272"/>
      <c r="AG41" s="272"/>
    </row>
    <row r="42" spans="1:33" s="145" customFormat="1" x14ac:dyDescent="0.15">
      <c r="A42" s="267">
        <v>95102011</v>
      </c>
      <c r="B42" s="268" t="s">
        <v>4914</v>
      </c>
      <c r="C42" s="268" t="s">
        <v>134</v>
      </c>
      <c r="D42" s="268">
        <v>5073</v>
      </c>
      <c r="E42" s="268" t="s">
        <v>4876</v>
      </c>
      <c r="F42" s="268" t="s">
        <v>4877</v>
      </c>
      <c r="G42" s="269">
        <v>1</v>
      </c>
      <c r="H42" s="269">
        <v>0</v>
      </c>
      <c r="I42" s="267">
        <v>34</v>
      </c>
      <c r="J42" s="278" t="s">
        <v>4915</v>
      </c>
      <c r="K42" s="279" t="s">
        <v>4916</v>
      </c>
      <c r="L42" s="279"/>
      <c r="M42" s="268">
        <v>1</v>
      </c>
      <c r="N42" s="268" t="b">
        <v>1</v>
      </c>
      <c r="O42" s="268">
        <v>2</v>
      </c>
      <c r="P42" s="281">
        <v>30</v>
      </c>
      <c r="Q42" s="281">
        <v>40</v>
      </c>
      <c r="R42" s="268" t="s">
        <v>3383</v>
      </c>
      <c r="S42" s="268"/>
      <c r="T42" s="268">
        <v>1</v>
      </c>
      <c r="U42" s="268" t="s">
        <v>4880</v>
      </c>
      <c r="V42" s="269">
        <v>1</v>
      </c>
      <c r="W42" s="269"/>
      <c r="X42" s="268" t="s">
        <v>4881</v>
      </c>
      <c r="Y42" s="331" t="s">
        <v>4917</v>
      </c>
      <c r="Z42" s="268" t="s">
        <v>4918</v>
      </c>
      <c r="AA42" s="268" t="s">
        <v>4884</v>
      </c>
      <c r="AB42" s="268"/>
      <c r="AC42" s="287">
        <v>1</v>
      </c>
      <c r="AD42" s="287">
        <v>1</v>
      </c>
      <c r="AE42" s="268"/>
      <c r="AF42" s="268"/>
      <c r="AG42" s="290"/>
    </row>
    <row r="43" spans="1:33" s="145" customFormat="1" x14ac:dyDescent="0.15">
      <c r="A43" s="267">
        <v>95102012</v>
      </c>
      <c r="B43" s="268" t="s">
        <v>4914</v>
      </c>
      <c r="C43" s="268" t="s">
        <v>134</v>
      </c>
      <c r="D43" s="268">
        <v>5073</v>
      </c>
      <c r="E43" s="268" t="s">
        <v>4876</v>
      </c>
      <c r="F43" s="268" t="s">
        <v>4877</v>
      </c>
      <c r="G43" s="269">
        <v>2</v>
      </c>
      <c r="H43" s="269">
        <v>0</v>
      </c>
      <c r="I43" s="267">
        <v>34</v>
      </c>
      <c r="J43" s="278" t="s">
        <v>4915</v>
      </c>
      <c r="K43" s="279" t="s">
        <v>4916</v>
      </c>
      <c r="L43" s="279"/>
      <c r="M43" s="268">
        <v>1</v>
      </c>
      <c r="N43" s="268" t="b">
        <v>1</v>
      </c>
      <c r="O43" s="268">
        <v>5</v>
      </c>
      <c r="P43" s="281">
        <v>75</v>
      </c>
      <c r="Q43" s="281">
        <v>100</v>
      </c>
      <c r="R43" s="268" t="s">
        <v>3383</v>
      </c>
      <c r="S43" s="268"/>
      <c r="T43" s="268">
        <v>1</v>
      </c>
      <c r="U43" s="268" t="s">
        <v>4880</v>
      </c>
      <c r="V43" s="269">
        <v>2</v>
      </c>
      <c r="W43" s="269"/>
      <c r="X43" s="268" t="s">
        <v>4881</v>
      </c>
      <c r="Y43" s="331" t="s">
        <v>4917</v>
      </c>
      <c r="Z43" s="268" t="s">
        <v>4918</v>
      </c>
      <c r="AA43" s="268" t="s">
        <v>4884</v>
      </c>
      <c r="AB43" s="268"/>
      <c r="AC43" s="287">
        <v>1</v>
      </c>
      <c r="AD43" s="287">
        <v>1</v>
      </c>
      <c r="AE43" s="268"/>
      <c r="AF43" s="268"/>
      <c r="AG43" s="290"/>
    </row>
    <row r="44" spans="1:33" s="145" customFormat="1" x14ac:dyDescent="0.15">
      <c r="A44" s="267">
        <v>95102013</v>
      </c>
      <c r="B44" s="268" t="s">
        <v>4914</v>
      </c>
      <c r="C44" s="268" t="s">
        <v>134</v>
      </c>
      <c r="D44" s="268">
        <v>5073</v>
      </c>
      <c r="E44" s="268" t="s">
        <v>4876</v>
      </c>
      <c r="F44" s="268" t="s">
        <v>4877</v>
      </c>
      <c r="G44" s="269">
        <v>3</v>
      </c>
      <c r="H44" s="269">
        <v>0</v>
      </c>
      <c r="I44" s="267">
        <v>34</v>
      </c>
      <c r="J44" s="278" t="s">
        <v>4915</v>
      </c>
      <c r="K44" s="279" t="s">
        <v>4916</v>
      </c>
      <c r="L44" s="279"/>
      <c r="M44" s="268">
        <v>1</v>
      </c>
      <c r="N44" s="268" t="b">
        <v>1</v>
      </c>
      <c r="O44" s="268">
        <v>7</v>
      </c>
      <c r="P44" s="281">
        <v>105</v>
      </c>
      <c r="Q44" s="281">
        <v>140</v>
      </c>
      <c r="R44" s="268" t="s">
        <v>3383</v>
      </c>
      <c r="S44" s="268"/>
      <c r="T44" s="268">
        <v>1</v>
      </c>
      <c r="U44" s="268" t="s">
        <v>4880</v>
      </c>
      <c r="V44" s="269">
        <v>3</v>
      </c>
      <c r="W44" s="269"/>
      <c r="X44" s="268" t="s">
        <v>4881</v>
      </c>
      <c r="Y44" s="331" t="s">
        <v>4917</v>
      </c>
      <c r="Z44" s="268" t="s">
        <v>4918</v>
      </c>
      <c r="AA44" s="268" t="s">
        <v>4884</v>
      </c>
      <c r="AB44" s="268"/>
      <c r="AC44" s="287">
        <v>1</v>
      </c>
      <c r="AD44" s="287">
        <v>1</v>
      </c>
      <c r="AE44" s="268"/>
      <c r="AF44" s="268"/>
      <c r="AG44" s="290"/>
    </row>
    <row r="45" spans="1:33" s="145" customFormat="1" x14ac:dyDescent="0.15">
      <c r="A45" s="267">
        <v>95102014</v>
      </c>
      <c r="B45" s="268" t="s">
        <v>4914</v>
      </c>
      <c r="C45" s="268" t="s">
        <v>134</v>
      </c>
      <c r="D45" s="268">
        <v>5073</v>
      </c>
      <c r="E45" s="268" t="s">
        <v>4876</v>
      </c>
      <c r="F45" s="268" t="s">
        <v>4877</v>
      </c>
      <c r="G45" s="269">
        <v>4</v>
      </c>
      <c r="H45" s="269">
        <v>0</v>
      </c>
      <c r="I45" s="267">
        <v>34</v>
      </c>
      <c r="J45" s="278" t="s">
        <v>4915</v>
      </c>
      <c r="K45" s="279" t="s">
        <v>4916</v>
      </c>
      <c r="L45" s="279"/>
      <c r="M45" s="268">
        <v>1</v>
      </c>
      <c r="N45" s="268" t="b">
        <v>1</v>
      </c>
      <c r="O45" s="268">
        <v>10</v>
      </c>
      <c r="P45" s="281">
        <v>150</v>
      </c>
      <c r="Q45" s="281">
        <v>200</v>
      </c>
      <c r="R45" s="268" t="s">
        <v>3383</v>
      </c>
      <c r="S45" s="268"/>
      <c r="T45" s="268">
        <v>1</v>
      </c>
      <c r="U45" s="268" t="s">
        <v>4880</v>
      </c>
      <c r="V45" s="269">
        <v>4</v>
      </c>
      <c r="W45" s="269"/>
      <c r="X45" s="268" t="s">
        <v>4881</v>
      </c>
      <c r="Y45" s="331" t="s">
        <v>4917</v>
      </c>
      <c r="Z45" s="268" t="s">
        <v>4918</v>
      </c>
      <c r="AA45" s="268" t="s">
        <v>4884</v>
      </c>
      <c r="AB45" s="268"/>
      <c r="AC45" s="287">
        <v>1</v>
      </c>
      <c r="AD45" s="287">
        <v>1</v>
      </c>
      <c r="AE45" s="268"/>
      <c r="AF45" s="268"/>
      <c r="AG45" s="290"/>
    </row>
    <row r="46" spans="1:33" s="145" customFormat="1" x14ac:dyDescent="0.15">
      <c r="A46" s="267">
        <v>95102015</v>
      </c>
      <c r="B46" s="268" t="s">
        <v>4914</v>
      </c>
      <c r="C46" s="268" t="s">
        <v>134</v>
      </c>
      <c r="D46" s="268">
        <v>5073</v>
      </c>
      <c r="E46" s="268" t="s">
        <v>4876</v>
      </c>
      <c r="F46" s="268" t="s">
        <v>4877</v>
      </c>
      <c r="G46" s="269">
        <v>5</v>
      </c>
      <c r="H46" s="269">
        <v>0</v>
      </c>
      <c r="I46" s="267">
        <v>34</v>
      </c>
      <c r="J46" s="278" t="s">
        <v>4915</v>
      </c>
      <c r="K46" s="279" t="s">
        <v>4916</v>
      </c>
      <c r="L46" s="279"/>
      <c r="M46" s="268">
        <v>1</v>
      </c>
      <c r="N46" s="268" t="b">
        <v>1</v>
      </c>
      <c r="O46" s="268">
        <v>12</v>
      </c>
      <c r="P46" s="281">
        <v>180</v>
      </c>
      <c r="Q46" s="281">
        <v>240</v>
      </c>
      <c r="R46" s="268" t="s">
        <v>3383</v>
      </c>
      <c r="S46" s="268"/>
      <c r="T46" s="268">
        <v>1</v>
      </c>
      <c r="U46" s="268" t="s">
        <v>4880</v>
      </c>
      <c r="V46" s="269">
        <v>5</v>
      </c>
      <c r="W46" s="269"/>
      <c r="X46" s="268" t="s">
        <v>4881</v>
      </c>
      <c r="Y46" s="331" t="s">
        <v>4917</v>
      </c>
      <c r="Z46" s="268" t="s">
        <v>4918</v>
      </c>
      <c r="AA46" s="268" t="s">
        <v>4884</v>
      </c>
      <c r="AB46" s="268"/>
      <c r="AC46" s="287">
        <v>1</v>
      </c>
      <c r="AD46" s="287">
        <v>1</v>
      </c>
      <c r="AE46" s="268"/>
      <c r="AF46" s="268"/>
      <c r="AG46" s="290"/>
    </row>
    <row r="47" spans="1:33" s="145" customFormat="1" x14ac:dyDescent="0.15">
      <c r="A47" s="270">
        <v>95102016</v>
      </c>
      <c r="B47" s="268" t="s">
        <v>4914</v>
      </c>
      <c r="C47" s="268" t="s">
        <v>134</v>
      </c>
      <c r="D47" s="268">
        <v>5073</v>
      </c>
      <c r="E47" s="268" t="s">
        <v>4876</v>
      </c>
      <c r="F47" s="268" t="s">
        <v>4877</v>
      </c>
      <c r="G47" s="269">
        <v>6</v>
      </c>
      <c r="H47" s="269">
        <v>0</v>
      </c>
      <c r="I47" s="267">
        <v>34</v>
      </c>
      <c r="J47" s="282" t="s">
        <v>4915</v>
      </c>
      <c r="K47" s="279" t="s">
        <v>4916</v>
      </c>
      <c r="L47" s="279"/>
      <c r="M47" s="268">
        <v>1</v>
      </c>
      <c r="N47" s="268" t="b">
        <v>1</v>
      </c>
      <c r="O47" s="268">
        <v>25</v>
      </c>
      <c r="P47" s="281">
        <v>375</v>
      </c>
      <c r="Q47" s="281">
        <v>500</v>
      </c>
      <c r="R47" s="268" t="s">
        <v>3383</v>
      </c>
      <c r="S47" s="268"/>
      <c r="T47" s="268">
        <v>1</v>
      </c>
      <c r="U47" s="268" t="s">
        <v>4880</v>
      </c>
      <c r="V47" s="269">
        <v>7</v>
      </c>
      <c r="W47" s="269"/>
      <c r="X47" s="268" t="s">
        <v>4881</v>
      </c>
      <c r="Y47" s="331" t="s">
        <v>4917</v>
      </c>
      <c r="Z47" s="332" t="s">
        <v>4918</v>
      </c>
      <c r="AA47" s="268" t="s">
        <v>4884</v>
      </c>
      <c r="AB47" s="268"/>
      <c r="AC47" s="287">
        <v>1</v>
      </c>
      <c r="AD47" s="287">
        <v>1</v>
      </c>
      <c r="AE47" s="268"/>
      <c r="AF47" s="268"/>
      <c r="AG47" s="290"/>
    </row>
    <row r="48" spans="1:33" s="145" customFormat="1" x14ac:dyDescent="0.15">
      <c r="A48" s="270">
        <v>95102017</v>
      </c>
      <c r="B48" s="268" t="s">
        <v>4914</v>
      </c>
      <c r="C48" s="268" t="s">
        <v>134</v>
      </c>
      <c r="D48" s="268">
        <v>5073</v>
      </c>
      <c r="E48" s="268" t="s">
        <v>4876</v>
      </c>
      <c r="F48" s="268" t="s">
        <v>4877</v>
      </c>
      <c r="G48" s="269">
        <v>7</v>
      </c>
      <c r="H48" s="269">
        <v>0</v>
      </c>
      <c r="I48" s="267">
        <v>34</v>
      </c>
      <c r="J48" s="282" t="s">
        <v>4915</v>
      </c>
      <c r="K48" s="279" t="s">
        <v>4916</v>
      </c>
      <c r="L48" s="279"/>
      <c r="M48" s="268">
        <v>1</v>
      </c>
      <c r="N48" s="268" t="b">
        <v>1</v>
      </c>
      <c r="O48" s="268">
        <v>38</v>
      </c>
      <c r="P48" s="281">
        <v>570</v>
      </c>
      <c r="Q48" s="281">
        <v>760</v>
      </c>
      <c r="R48" s="268" t="s">
        <v>3383</v>
      </c>
      <c r="S48" s="268"/>
      <c r="T48" s="268">
        <v>1</v>
      </c>
      <c r="U48" s="268" t="s">
        <v>4880</v>
      </c>
      <c r="V48" s="269">
        <v>10</v>
      </c>
      <c r="W48" s="269"/>
      <c r="X48" s="268" t="s">
        <v>4881</v>
      </c>
      <c r="Y48" s="331" t="s">
        <v>4917</v>
      </c>
      <c r="Z48" s="332" t="s">
        <v>4918</v>
      </c>
      <c r="AA48" s="268" t="s">
        <v>4884</v>
      </c>
      <c r="AB48" s="268"/>
      <c r="AC48" s="287">
        <v>1</v>
      </c>
      <c r="AD48" s="287">
        <v>1</v>
      </c>
      <c r="AE48" s="268"/>
      <c r="AF48" s="268"/>
      <c r="AG48" s="290"/>
    </row>
    <row r="49" spans="1:33" s="258" customFormat="1" x14ac:dyDescent="0.15">
      <c r="A49" s="271">
        <v>95102018</v>
      </c>
      <c r="B49" s="272" t="s">
        <v>4919</v>
      </c>
      <c r="C49" s="272" t="s">
        <v>134</v>
      </c>
      <c r="D49" s="272">
        <v>5081</v>
      </c>
      <c r="E49" s="272" t="s">
        <v>4876</v>
      </c>
      <c r="F49" s="272" t="s">
        <v>4877</v>
      </c>
      <c r="G49" s="269">
        <v>6</v>
      </c>
      <c r="H49" s="273">
        <v>1</v>
      </c>
      <c r="I49" s="283">
        <v>34</v>
      </c>
      <c r="J49" s="284" t="s">
        <v>4915</v>
      </c>
      <c r="K49" s="285" t="s">
        <v>4916</v>
      </c>
      <c r="L49" s="272" t="s">
        <v>44</v>
      </c>
      <c r="M49" s="272">
        <v>1</v>
      </c>
      <c r="N49" s="272" t="b">
        <v>1</v>
      </c>
      <c r="O49" s="272">
        <v>51</v>
      </c>
      <c r="P49" s="281">
        <v>765</v>
      </c>
      <c r="Q49" s="281">
        <v>1020</v>
      </c>
      <c r="R49" s="272" t="s">
        <v>3383</v>
      </c>
      <c r="S49" s="272"/>
      <c r="T49" s="272">
        <v>1</v>
      </c>
      <c r="U49" s="272" t="s">
        <v>4880</v>
      </c>
      <c r="V49" s="273">
        <v>10</v>
      </c>
      <c r="W49" s="273"/>
      <c r="X49" s="272" t="s">
        <v>4881</v>
      </c>
      <c r="Y49" s="333" t="s">
        <v>4917</v>
      </c>
      <c r="Z49" s="334" t="s">
        <v>4918</v>
      </c>
      <c r="AA49" s="272" t="s">
        <v>4884</v>
      </c>
      <c r="AB49" s="272"/>
      <c r="AC49" s="289">
        <v>1</v>
      </c>
      <c r="AD49" s="289">
        <v>1</v>
      </c>
      <c r="AE49" s="289"/>
      <c r="AF49" s="272"/>
      <c r="AG49" s="272"/>
    </row>
    <row r="50" spans="1:33" s="258" customFormat="1" x14ac:dyDescent="0.15">
      <c r="A50" s="271">
        <v>95102019</v>
      </c>
      <c r="B50" s="272" t="s">
        <v>4920</v>
      </c>
      <c r="C50" s="272" t="s">
        <v>134</v>
      </c>
      <c r="D50" s="272">
        <v>5081</v>
      </c>
      <c r="E50" s="272" t="s">
        <v>4876</v>
      </c>
      <c r="F50" s="272" t="s">
        <v>4877</v>
      </c>
      <c r="G50" s="269">
        <v>6</v>
      </c>
      <c r="H50" s="273">
        <v>1</v>
      </c>
      <c r="I50" s="283">
        <v>34</v>
      </c>
      <c r="J50" s="284" t="s">
        <v>4915</v>
      </c>
      <c r="K50" s="285" t="s">
        <v>4916</v>
      </c>
      <c r="L50" s="272" t="s">
        <v>4887</v>
      </c>
      <c r="M50" s="272">
        <v>1</v>
      </c>
      <c r="N50" s="272" t="b">
        <v>1</v>
      </c>
      <c r="O50" s="272">
        <v>64</v>
      </c>
      <c r="P50" s="281">
        <v>960</v>
      </c>
      <c r="Q50" s="281">
        <v>1280</v>
      </c>
      <c r="R50" s="272" t="s">
        <v>3383</v>
      </c>
      <c r="S50" s="272"/>
      <c r="T50" s="272">
        <v>1</v>
      </c>
      <c r="U50" s="272" t="s">
        <v>4880</v>
      </c>
      <c r="V50" s="273">
        <v>10</v>
      </c>
      <c r="W50" s="273"/>
      <c r="X50" s="272" t="s">
        <v>4881</v>
      </c>
      <c r="Y50" s="333" t="s">
        <v>4917</v>
      </c>
      <c r="Z50" s="334" t="s">
        <v>4918</v>
      </c>
      <c r="AA50" s="272" t="s">
        <v>4884</v>
      </c>
      <c r="AB50" s="272"/>
      <c r="AC50" s="289">
        <v>1</v>
      </c>
      <c r="AD50" s="289">
        <v>1</v>
      </c>
      <c r="AE50" s="289"/>
      <c r="AF50" s="272"/>
      <c r="AG50" s="272"/>
    </row>
    <row r="51" spans="1:33" s="258" customFormat="1" x14ac:dyDescent="0.15">
      <c r="A51" s="271">
        <v>95102020</v>
      </c>
      <c r="B51" s="272" t="s">
        <v>4921</v>
      </c>
      <c r="C51" s="272" t="s">
        <v>134</v>
      </c>
      <c r="D51" s="272">
        <v>5081</v>
      </c>
      <c r="E51" s="272" t="s">
        <v>4876</v>
      </c>
      <c r="F51" s="272" t="s">
        <v>4877</v>
      </c>
      <c r="G51" s="269">
        <v>7</v>
      </c>
      <c r="H51" s="273">
        <v>0</v>
      </c>
      <c r="I51" s="283">
        <v>34</v>
      </c>
      <c r="J51" s="284" t="s">
        <v>4915</v>
      </c>
      <c r="K51" s="285" t="s">
        <v>4916</v>
      </c>
      <c r="L51" s="272" t="s">
        <v>4889</v>
      </c>
      <c r="M51" s="272">
        <v>1</v>
      </c>
      <c r="N51" s="272" t="b">
        <v>1</v>
      </c>
      <c r="O51" s="272">
        <v>77</v>
      </c>
      <c r="P51" s="281">
        <v>1155</v>
      </c>
      <c r="Q51" s="281">
        <v>1540</v>
      </c>
      <c r="R51" s="272" t="s">
        <v>3383</v>
      </c>
      <c r="S51" s="272"/>
      <c r="T51" s="272">
        <v>1</v>
      </c>
      <c r="U51" s="272" t="s">
        <v>4880</v>
      </c>
      <c r="V51" s="273">
        <v>10</v>
      </c>
      <c r="W51" s="273"/>
      <c r="X51" s="272" t="s">
        <v>4881</v>
      </c>
      <c r="Y51" s="333" t="s">
        <v>4917</v>
      </c>
      <c r="Z51" s="334" t="s">
        <v>4918</v>
      </c>
      <c r="AA51" s="272" t="s">
        <v>4884</v>
      </c>
      <c r="AB51" s="272"/>
      <c r="AC51" s="289">
        <v>1</v>
      </c>
      <c r="AD51" s="289">
        <v>1</v>
      </c>
      <c r="AE51" s="289"/>
      <c r="AF51" s="272"/>
      <c r="AG51" s="272"/>
    </row>
    <row r="52" spans="1:33" s="145" customFormat="1" x14ac:dyDescent="0.15">
      <c r="A52" s="267">
        <v>95102021</v>
      </c>
      <c r="B52" s="268" t="s">
        <v>4922</v>
      </c>
      <c r="C52" s="268" t="s">
        <v>134</v>
      </c>
      <c r="D52" s="268">
        <v>5072</v>
      </c>
      <c r="E52" s="268" t="s">
        <v>4876</v>
      </c>
      <c r="F52" s="268" t="s">
        <v>4877</v>
      </c>
      <c r="G52" s="269">
        <v>1</v>
      </c>
      <c r="H52" s="269">
        <v>0</v>
      </c>
      <c r="I52" s="267">
        <v>34</v>
      </c>
      <c r="J52" s="282" t="s">
        <v>4923</v>
      </c>
      <c r="K52" s="279" t="s">
        <v>4924</v>
      </c>
      <c r="L52" s="279"/>
      <c r="M52" s="268">
        <v>1</v>
      </c>
      <c r="N52" s="268" t="b">
        <v>1</v>
      </c>
      <c r="O52" s="268">
        <v>2</v>
      </c>
      <c r="P52" s="281">
        <v>30</v>
      </c>
      <c r="Q52" s="281">
        <v>40</v>
      </c>
      <c r="R52" s="268" t="s">
        <v>3383</v>
      </c>
      <c r="S52" s="268"/>
      <c r="T52" s="268">
        <v>1</v>
      </c>
      <c r="U52" s="268" t="s">
        <v>4880</v>
      </c>
      <c r="V52" s="269">
        <v>1</v>
      </c>
      <c r="W52" s="269"/>
      <c r="X52" s="268" t="s">
        <v>4881</v>
      </c>
      <c r="Y52" s="331" t="s">
        <v>4925</v>
      </c>
      <c r="Z52" s="268" t="s">
        <v>4926</v>
      </c>
      <c r="AA52" s="268" t="s">
        <v>4884</v>
      </c>
      <c r="AB52" s="268"/>
      <c r="AC52" s="287">
        <v>1</v>
      </c>
      <c r="AD52" s="287">
        <v>1</v>
      </c>
      <c r="AE52" s="268"/>
      <c r="AF52" s="268"/>
      <c r="AG52" s="290"/>
    </row>
    <row r="53" spans="1:33" s="145" customFormat="1" x14ac:dyDescent="0.15">
      <c r="A53" s="267">
        <v>95102022</v>
      </c>
      <c r="B53" s="268" t="s">
        <v>4922</v>
      </c>
      <c r="C53" s="268" t="s">
        <v>134</v>
      </c>
      <c r="D53" s="268">
        <v>5072</v>
      </c>
      <c r="E53" s="268" t="s">
        <v>4876</v>
      </c>
      <c r="F53" s="268" t="s">
        <v>4877</v>
      </c>
      <c r="G53" s="269">
        <v>2</v>
      </c>
      <c r="H53" s="269">
        <v>0</v>
      </c>
      <c r="I53" s="267">
        <v>34</v>
      </c>
      <c r="J53" s="282" t="s">
        <v>4923</v>
      </c>
      <c r="K53" s="279" t="s">
        <v>4924</v>
      </c>
      <c r="L53" s="279"/>
      <c r="M53" s="268">
        <v>1</v>
      </c>
      <c r="N53" s="268" t="b">
        <v>1</v>
      </c>
      <c r="O53" s="268">
        <v>5</v>
      </c>
      <c r="P53" s="281">
        <v>75</v>
      </c>
      <c r="Q53" s="281">
        <v>100</v>
      </c>
      <c r="R53" s="268" t="s">
        <v>3383</v>
      </c>
      <c r="S53" s="268"/>
      <c r="T53" s="268">
        <v>1</v>
      </c>
      <c r="U53" s="268" t="s">
        <v>4880</v>
      </c>
      <c r="V53" s="269">
        <v>2</v>
      </c>
      <c r="W53" s="269"/>
      <c r="X53" s="268" t="s">
        <v>4881</v>
      </c>
      <c r="Y53" s="331" t="s">
        <v>4925</v>
      </c>
      <c r="Z53" s="268" t="s">
        <v>4926</v>
      </c>
      <c r="AA53" s="268" t="s">
        <v>4884</v>
      </c>
      <c r="AB53" s="268"/>
      <c r="AC53" s="287">
        <v>1</v>
      </c>
      <c r="AD53" s="287">
        <v>1</v>
      </c>
      <c r="AE53" s="268"/>
      <c r="AF53" s="268"/>
      <c r="AG53" s="290"/>
    </row>
    <row r="54" spans="1:33" s="145" customFormat="1" x14ac:dyDescent="0.15">
      <c r="A54" s="267">
        <v>95102023</v>
      </c>
      <c r="B54" s="268" t="s">
        <v>4922</v>
      </c>
      <c r="C54" s="268" t="s">
        <v>134</v>
      </c>
      <c r="D54" s="268">
        <v>5072</v>
      </c>
      <c r="E54" s="268" t="s">
        <v>4876</v>
      </c>
      <c r="F54" s="268" t="s">
        <v>4877</v>
      </c>
      <c r="G54" s="269">
        <v>3</v>
      </c>
      <c r="H54" s="269">
        <v>0</v>
      </c>
      <c r="I54" s="267">
        <v>34</v>
      </c>
      <c r="J54" s="282" t="s">
        <v>4923</v>
      </c>
      <c r="K54" s="279" t="s">
        <v>4924</v>
      </c>
      <c r="L54" s="279"/>
      <c r="M54" s="268">
        <v>1</v>
      </c>
      <c r="N54" s="268" t="b">
        <v>1</v>
      </c>
      <c r="O54" s="268">
        <v>7</v>
      </c>
      <c r="P54" s="281">
        <v>105</v>
      </c>
      <c r="Q54" s="281">
        <v>140</v>
      </c>
      <c r="R54" s="268" t="s">
        <v>3383</v>
      </c>
      <c r="S54" s="268"/>
      <c r="T54" s="268">
        <v>1</v>
      </c>
      <c r="U54" s="268" t="s">
        <v>4880</v>
      </c>
      <c r="V54" s="269">
        <v>3</v>
      </c>
      <c r="W54" s="269"/>
      <c r="X54" s="268" t="s">
        <v>4881</v>
      </c>
      <c r="Y54" s="331" t="s">
        <v>4925</v>
      </c>
      <c r="Z54" s="268" t="s">
        <v>4926</v>
      </c>
      <c r="AA54" s="268" t="s">
        <v>4884</v>
      </c>
      <c r="AB54" s="268"/>
      <c r="AC54" s="287">
        <v>1</v>
      </c>
      <c r="AD54" s="287">
        <v>1</v>
      </c>
      <c r="AE54" s="268"/>
      <c r="AF54" s="268"/>
      <c r="AG54" s="290"/>
    </row>
    <row r="55" spans="1:33" s="145" customFormat="1" x14ac:dyDescent="0.15">
      <c r="A55" s="267">
        <v>95102024</v>
      </c>
      <c r="B55" s="268" t="s">
        <v>4922</v>
      </c>
      <c r="C55" s="268" t="s">
        <v>134</v>
      </c>
      <c r="D55" s="268">
        <v>5072</v>
      </c>
      <c r="E55" s="268" t="s">
        <v>4876</v>
      </c>
      <c r="F55" s="268" t="s">
        <v>4877</v>
      </c>
      <c r="G55" s="269">
        <v>4</v>
      </c>
      <c r="H55" s="269">
        <v>0</v>
      </c>
      <c r="I55" s="267">
        <v>34</v>
      </c>
      <c r="J55" s="282" t="s">
        <v>4923</v>
      </c>
      <c r="K55" s="279" t="s">
        <v>4924</v>
      </c>
      <c r="L55" s="279"/>
      <c r="M55" s="268">
        <v>1</v>
      </c>
      <c r="N55" s="268" t="b">
        <v>1</v>
      </c>
      <c r="O55" s="268">
        <v>10</v>
      </c>
      <c r="P55" s="281">
        <v>150</v>
      </c>
      <c r="Q55" s="281">
        <v>200</v>
      </c>
      <c r="R55" s="268" t="s">
        <v>3383</v>
      </c>
      <c r="S55" s="268"/>
      <c r="T55" s="268">
        <v>1</v>
      </c>
      <c r="U55" s="268" t="s">
        <v>4880</v>
      </c>
      <c r="V55" s="269">
        <v>4</v>
      </c>
      <c r="W55" s="269"/>
      <c r="X55" s="268" t="s">
        <v>4881</v>
      </c>
      <c r="Y55" s="331" t="s">
        <v>4925</v>
      </c>
      <c r="Z55" s="268" t="s">
        <v>4926</v>
      </c>
      <c r="AA55" s="268" t="s">
        <v>4884</v>
      </c>
      <c r="AB55" s="268"/>
      <c r="AC55" s="287">
        <v>1</v>
      </c>
      <c r="AD55" s="287">
        <v>1</v>
      </c>
      <c r="AE55" s="268"/>
      <c r="AF55" s="268"/>
      <c r="AG55" s="290"/>
    </row>
    <row r="56" spans="1:33" s="145" customFormat="1" x14ac:dyDescent="0.15">
      <c r="A56" s="267">
        <v>95102025</v>
      </c>
      <c r="B56" s="268" t="s">
        <v>4922</v>
      </c>
      <c r="C56" s="268" t="s">
        <v>134</v>
      </c>
      <c r="D56" s="268">
        <v>5072</v>
      </c>
      <c r="E56" s="268" t="s">
        <v>4876</v>
      </c>
      <c r="F56" s="268" t="s">
        <v>4877</v>
      </c>
      <c r="G56" s="269">
        <v>5</v>
      </c>
      <c r="H56" s="269">
        <v>0</v>
      </c>
      <c r="I56" s="267">
        <v>34</v>
      </c>
      <c r="J56" s="282" t="s">
        <v>4923</v>
      </c>
      <c r="K56" s="279" t="s">
        <v>4924</v>
      </c>
      <c r="L56" s="279"/>
      <c r="M56" s="268">
        <v>1</v>
      </c>
      <c r="N56" s="268" t="b">
        <v>1</v>
      </c>
      <c r="O56" s="268">
        <v>12</v>
      </c>
      <c r="P56" s="281">
        <v>180</v>
      </c>
      <c r="Q56" s="281">
        <v>240</v>
      </c>
      <c r="R56" s="268" t="s">
        <v>3383</v>
      </c>
      <c r="S56" s="268"/>
      <c r="T56" s="268">
        <v>1</v>
      </c>
      <c r="U56" s="268" t="s">
        <v>4880</v>
      </c>
      <c r="V56" s="269">
        <v>5</v>
      </c>
      <c r="W56" s="269"/>
      <c r="X56" s="268" t="s">
        <v>4881</v>
      </c>
      <c r="Y56" s="331" t="s">
        <v>4925</v>
      </c>
      <c r="Z56" s="268" t="s">
        <v>4926</v>
      </c>
      <c r="AA56" s="268" t="s">
        <v>4884</v>
      </c>
      <c r="AB56" s="268"/>
      <c r="AC56" s="287">
        <v>1</v>
      </c>
      <c r="AD56" s="287">
        <v>1</v>
      </c>
      <c r="AE56" s="268"/>
      <c r="AF56" s="268"/>
      <c r="AG56" s="290"/>
    </row>
    <row r="57" spans="1:33" s="145" customFormat="1" x14ac:dyDescent="0.15">
      <c r="A57" s="270">
        <v>95102026</v>
      </c>
      <c r="B57" s="268" t="s">
        <v>4922</v>
      </c>
      <c r="C57" s="268" t="s">
        <v>134</v>
      </c>
      <c r="D57" s="268">
        <v>5072</v>
      </c>
      <c r="E57" s="268" t="s">
        <v>4876</v>
      </c>
      <c r="F57" s="268" t="s">
        <v>4877</v>
      </c>
      <c r="G57" s="269">
        <v>6</v>
      </c>
      <c r="H57" s="269">
        <v>0</v>
      </c>
      <c r="I57" s="267">
        <v>34</v>
      </c>
      <c r="J57" s="282" t="s">
        <v>4923</v>
      </c>
      <c r="K57" s="279" t="s">
        <v>4924</v>
      </c>
      <c r="L57" s="279"/>
      <c r="M57" s="268">
        <v>1</v>
      </c>
      <c r="N57" s="268" t="b">
        <v>1</v>
      </c>
      <c r="O57" s="268">
        <v>25</v>
      </c>
      <c r="P57" s="281">
        <v>375</v>
      </c>
      <c r="Q57" s="281">
        <v>500</v>
      </c>
      <c r="R57" s="268" t="s">
        <v>3383</v>
      </c>
      <c r="S57" s="268"/>
      <c r="T57" s="268">
        <v>1</v>
      </c>
      <c r="U57" s="268" t="s">
        <v>4880</v>
      </c>
      <c r="V57" s="269">
        <v>7</v>
      </c>
      <c r="W57" s="269"/>
      <c r="X57" s="268" t="s">
        <v>4881</v>
      </c>
      <c r="Y57" s="331" t="s">
        <v>4925</v>
      </c>
      <c r="Z57" s="332" t="s">
        <v>4926</v>
      </c>
      <c r="AA57" s="268" t="s">
        <v>4884</v>
      </c>
      <c r="AB57" s="268"/>
      <c r="AC57" s="287">
        <v>1</v>
      </c>
      <c r="AD57" s="287">
        <v>1</v>
      </c>
      <c r="AE57" s="268"/>
      <c r="AF57" s="268"/>
      <c r="AG57" s="290"/>
    </row>
    <row r="58" spans="1:33" s="145" customFormat="1" x14ac:dyDescent="0.15">
      <c r="A58" s="270">
        <v>95102027</v>
      </c>
      <c r="B58" s="268" t="s">
        <v>4922</v>
      </c>
      <c r="C58" s="268" t="s">
        <v>134</v>
      </c>
      <c r="D58" s="268">
        <v>5072</v>
      </c>
      <c r="E58" s="268" t="s">
        <v>4876</v>
      </c>
      <c r="F58" s="268" t="s">
        <v>4877</v>
      </c>
      <c r="G58" s="269">
        <v>7</v>
      </c>
      <c r="H58" s="269">
        <v>0</v>
      </c>
      <c r="I58" s="267">
        <v>34</v>
      </c>
      <c r="J58" s="282" t="s">
        <v>4923</v>
      </c>
      <c r="K58" s="279" t="s">
        <v>4924</v>
      </c>
      <c r="L58" s="279"/>
      <c r="M58" s="268">
        <v>1</v>
      </c>
      <c r="N58" s="268" t="b">
        <v>1</v>
      </c>
      <c r="O58" s="268">
        <v>38</v>
      </c>
      <c r="P58" s="281">
        <v>570</v>
      </c>
      <c r="Q58" s="281">
        <v>760</v>
      </c>
      <c r="R58" s="268" t="s">
        <v>3383</v>
      </c>
      <c r="S58" s="268"/>
      <c r="T58" s="268">
        <v>1</v>
      </c>
      <c r="U58" s="268" t="s">
        <v>4880</v>
      </c>
      <c r="V58" s="269">
        <v>10</v>
      </c>
      <c r="W58" s="269"/>
      <c r="X58" s="268" t="s">
        <v>4881</v>
      </c>
      <c r="Y58" s="331" t="s">
        <v>4925</v>
      </c>
      <c r="Z58" s="332" t="s">
        <v>4926</v>
      </c>
      <c r="AA58" s="268" t="s">
        <v>4884</v>
      </c>
      <c r="AB58" s="268"/>
      <c r="AC58" s="287">
        <v>1</v>
      </c>
      <c r="AD58" s="287">
        <v>1</v>
      </c>
      <c r="AE58" s="268"/>
      <c r="AF58" s="268"/>
      <c r="AG58" s="290"/>
    </row>
    <row r="59" spans="1:33" s="258" customFormat="1" x14ac:dyDescent="0.15">
      <c r="A59" s="271">
        <v>95102028</v>
      </c>
      <c r="B59" s="272" t="s">
        <v>4927</v>
      </c>
      <c r="C59" s="272" t="s">
        <v>134</v>
      </c>
      <c r="D59" s="272">
        <v>5081</v>
      </c>
      <c r="E59" s="272" t="s">
        <v>4876</v>
      </c>
      <c r="F59" s="272" t="s">
        <v>4877</v>
      </c>
      <c r="G59" s="269">
        <v>6</v>
      </c>
      <c r="H59" s="273">
        <v>1</v>
      </c>
      <c r="I59" s="283">
        <v>34</v>
      </c>
      <c r="J59" s="284" t="s">
        <v>4923</v>
      </c>
      <c r="K59" s="285" t="s">
        <v>4924</v>
      </c>
      <c r="L59" s="272" t="s">
        <v>44</v>
      </c>
      <c r="M59" s="272">
        <v>1</v>
      </c>
      <c r="N59" s="272" t="b">
        <v>1</v>
      </c>
      <c r="O59" s="272">
        <v>51</v>
      </c>
      <c r="P59" s="281">
        <v>765</v>
      </c>
      <c r="Q59" s="281">
        <v>1020</v>
      </c>
      <c r="R59" s="272" t="s">
        <v>3383</v>
      </c>
      <c r="S59" s="272"/>
      <c r="T59" s="272">
        <v>1</v>
      </c>
      <c r="U59" s="272" t="s">
        <v>4880</v>
      </c>
      <c r="V59" s="273">
        <v>10</v>
      </c>
      <c r="W59" s="273"/>
      <c r="X59" s="272" t="s">
        <v>4881</v>
      </c>
      <c r="Y59" s="333" t="s">
        <v>4925</v>
      </c>
      <c r="Z59" s="334" t="s">
        <v>4926</v>
      </c>
      <c r="AA59" s="272" t="s">
        <v>4884</v>
      </c>
      <c r="AB59" s="272"/>
      <c r="AC59" s="289">
        <v>1</v>
      </c>
      <c r="AD59" s="289">
        <v>1</v>
      </c>
      <c r="AE59" s="289"/>
      <c r="AF59" s="272"/>
      <c r="AG59" s="272"/>
    </row>
    <row r="60" spans="1:33" s="258" customFormat="1" x14ac:dyDescent="0.15">
      <c r="A60" s="271">
        <v>95102029</v>
      </c>
      <c r="B60" s="272" t="s">
        <v>4928</v>
      </c>
      <c r="C60" s="272" t="s">
        <v>134</v>
      </c>
      <c r="D60" s="272">
        <v>5081</v>
      </c>
      <c r="E60" s="272" t="s">
        <v>4876</v>
      </c>
      <c r="F60" s="272" t="s">
        <v>4877</v>
      </c>
      <c r="G60" s="269">
        <v>6</v>
      </c>
      <c r="H60" s="273">
        <v>1</v>
      </c>
      <c r="I60" s="283">
        <v>34</v>
      </c>
      <c r="J60" s="284" t="s">
        <v>4923</v>
      </c>
      <c r="K60" s="285" t="s">
        <v>4924</v>
      </c>
      <c r="L60" s="272" t="s">
        <v>4887</v>
      </c>
      <c r="M60" s="272">
        <v>1</v>
      </c>
      <c r="N60" s="272" t="b">
        <v>1</v>
      </c>
      <c r="O60" s="272">
        <v>64</v>
      </c>
      <c r="P60" s="281">
        <v>960</v>
      </c>
      <c r="Q60" s="281">
        <v>1280</v>
      </c>
      <c r="R60" s="272" t="s">
        <v>3383</v>
      </c>
      <c r="S60" s="272"/>
      <c r="T60" s="272">
        <v>1</v>
      </c>
      <c r="U60" s="272" t="s">
        <v>4880</v>
      </c>
      <c r="V60" s="273">
        <v>10</v>
      </c>
      <c r="W60" s="273"/>
      <c r="X60" s="272" t="s">
        <v>4881</v>
      </c>
      <c r="Y60" s="333" t="s">
        <v>4925</v>
      </c>
      <c r="Z60" s="334" t="s">
        <v>4926</v>
      </c>
      <c r="AA60" s="272" t="s">
        <v>4884</v>
      </c>
      <c r="AB60" s="272"/>
      <c r="AC60" s="289">
        <v>1</v>
      </c>
      <c r="AD60" s="289">
        <v>1</v>
      </c>
      <c r="AE60" s="289"/>
      <c r="AF60" s="272"/>
      <c r="AG60" s="272"/>
    </row>
    <row r="61" spans="1:33" s="258" customFormat="1" x14ac:dyDescent="0.15">
      <c r="A61" s="271">
        <v>95102030</v>
      </c>
      <c r="B61" s="272" t="s">
        <v>4929</v>
      </c>
      <c r="C61" s="272" t="s">
        <v>134</v>
      </c>
      <c r="D61" s="272">
        <v>5081</v>
      </c>
      <c r="E61" s="272" t="s">
        <v>4876</v>
      </c>
      <c r="F61" s="272" t="s">
        <v>4877</v>
      </c>
      <c r="G61" s="269">
        <v>7</v>
      </c>
      <c r="H61" s="273">
        <v>0</v>
      </c>
      <c r="I61" s="283">
        <v>34</v>
      </c>
      <c r="J61" s="284" t="s">
        <v>4923</v>
      </c>
      <c r="K61" s="285" t="s">
        <v>4924</v>
      </c>
      <c r="L61" s="272" t="s">
        <v>4889</v>
      </c>
      <c r="M61" s="272">
        <v>1</v>
      </c>
      <c r="N61" s="272" t="b">
        <v>1</v>
      </c>
      <c r="O61" s="272">
        <v>77</v>
      </c>
      <c r="P61" s="281">
        <v>1155</v>
      </c>
      <c r="Q61" s="281">
        <v>1540</v>
      </c>
      <c r="R61" s="272" t="s">
        <v>3383</v>
      </c>
      <c r="S61" s="272"/>
      <c r="T61" s="272">
        <v>1</v>
      </c>
      <c r="U61" s="272" t="s">
        <v>4880</v>
      </c>
      <c r="V61" s="273">
        <v>10</v>
      </c>
      <c r="W61" s="273"/>
      <c r="X61" s="272" t="s">
        <v>4881</v>
      </c>
      <c r="Y61" s="333" t="s">
        <v>4925</v>
      </c>
      <c r="Z61" s="334" t="s">
        <v>4926</v>
      </c>
      <c r="AA61" s="272" t="s">
        <v>4884</v>
      </c>
      <c r="AB61" s="272"/>
      <c r="AC61" s="289">
        <v>1</v>
      </c>
      <c r="AD61" s="289">
        <v>1</v>
      </c>
      <c r="AE61" s="289"/>
      <c r="AF61" s="272"/>
      <c r="AG61" s="272"/>
    </row>
    <row r="62" spans="1:33" s="145" customFormat="1" x14ac:dyDescent="0.15">
      <c r="A62" s="267">
        <v>95102031</v>
      </c>
      <c r="B62" s="268" t="s">
        <v>4930</v>
      </c>
      <c r="C62" s="268" t="s">
        <v>134</v>
      </c>
      <c r="D62" s="268">
        <v>5071</v>
      </c>
      <c r="E62" s="268" t="s">
        <v>4876</v>
      </c>
      <c r="F62" s="268" t="s">
        <v>4877</v>
      </c>
      <c r="G62" s="269">
        <v>1</v>
      </c>
      <c r="H62" s="269">
        <v>0</v>
      </c>
      <c r="I62" s="267">
        <v>34</v>
      </c>
      <c r="J62" s="282" t="s">
        <v>4931</v>
      </c>
      <c r="K62" s="279" t="s">
        <v>4932</v>
      </c>
      <c r="L62" s="279"/>
      <c r="M62" s="268">
        <v>1</v>
      </c>
      <c r="N62" s="268" t="b">
        <v>1</v>
      </c>
      <c r="O62" s="268">
        <v>2</v>
      </c>
      <c r="P62" s="281">
        <v>30</v>
      </c>
      <c r="Q62" s="281">
        <v>40</v>
      </c>
      <c r="R62" s="268" t="s">
        <v>3383</v>
      </c>
      <c r="S62" s="268"/>
      <c r="T62" s="268">
        <v>1</v>
      </c>
      <c r="U62" s="268" t="s">
        <v>4880</v>
      </c>
      <c r="V62" s="269">
        <v>1</v>
      </c>
      <c r="W62" s="269"/>
      <c r="X62" s="268" t="s">
        <v>4881</v>
      </c>
      <c r="Y62" s="331" t="s">
        <v>4933</v>
      </c>
      <c r="Z62" s="268" t="s">
        <v>4934</v>
      </c>
      <c r="AA62" s="268" t="s">
        <v>4884</v>
      </c>
      <c r="AB62" s="268"/>
      <c r="AC62" s="287">
        <v>1</v>
      </c>
      <c r="AD62" s="287">
        <v>1</v>
      </c>
      <c r="AE62" s="268"/>
      <c r="AF62" s="268"/>
      <c r="AG62" s="290"/>
    </row>
    <row r="63" spans="1:33" s="145" customFormat="1" x14ac:dyDescent="0.15">
      <c r="A63" s="267">
        <v>95102032</v>
      </c>
      <c r="B63" s="268" t="s">
        <v>4930</v>
      </c>
      <c r="C63" s="268" t="s">
        <v>134</v>
      </c>
      <c r="D63" s="268">
        <v>5071</v>
      </c>
      <c r="E63" s="268" t="s">
        <v>4876</v>
      </c>
      <c r="F63" s="268" t="s">
        <v>4877</v>
      </c>
      <c r="G63" s="269">
        <v>2</v>
      </c>
      <c r="H63" s="269">
        <v>0</v>
      </c>
      <c r="I63" s="267">
        <v>34</v>
      </c>
      <c r="J63" s="282" t="s">
        <v>4931</v>
      </c>
      <c r="K63" s="279" t="s">
        <v>4932</v>
      </c>
      <c r="L63" s="279"/>
      <c r="M63" s="268">
        <v>1</v>
      </c>
      <c r="N63" s="268" t="b">
        <v>1</v>
      </c>
      <c r="O63" s="268">
        <v>5</v>
      </c>
      <c r="P63" s="281">
        <v>75</v>
      </c>
      <c r="Q63" s="281">
        <v>100</v>
      </c>
      <c r="R63" s="268" t="s">
        <v>3383</v>
      </c>
      <c r="S63" s="268"/>
      <c r="T63" s="268">
        <v>1</v>
      </c>
      <c r="U63" s="268" t="s">
        <v>4880</v>
      </c>
      <c r="V63" s="269">
        <v>2</v>
      </c>
      <c r="W63" s="269"/>
      <c r="X63" s="268" t="s">
        <v>4881</v>
      </c>
      <c r="Y63" s="331" t="s">
        <v>4933</v>
      </c>
      <c r="Z63" s="268" t="s">
        <v>4934</v>
      </c>
      <c r="AA63" s="268" t="s">
        <v>4884</v>
      </c>
      <c r="AB63" s="268"/>
      <c r="AC63" s="287">
        <v>1</v>
      </c>
      <c r="AD63" s="287">
        <v>1</v>
      </c>
      <c r="AE63" s="268"/>
      <c r="AF63" s="268"/>
      <c r="AG63" s="290"/>
    </row>
    <row r="64" spans="1:33" s="145" customFormat="1" x14ac:dyDescent="0.15">
      <c r="A64" s="267">
        <v>95102033</v>
      </c>
      <c r="B64" s="268" t="s">
        <v>4930</v>
      </c>
      <c r="C64" s="268" t="s">
        <v>134</v>
      </c>
      <c r="D64" s="268">
        <v>5071</v>
      </c>
      <c r="E64" s="268" t="s">
        <v>4876</v>
      </c>
      <c r="F64" s="268" t="s">
        <v>4877</v>
      </c>
      <c r="G64" s="269">
        <v>3</v>
      </c>
      <c r="H64" s="269">
        <v>0</v>
      </c>
      <c r="I64" s="267">
        <v>34</v>
      </c>
      <c r="J64" s="282" t="s">
        <v>4931</v>
      </c>
      <c r="K64" s="279" t="s">
        <v>4932</v>
      </c>
      <c r="L64" s="279"/>
      <c r="M64" s="268">
        <v>1</v>
      </c>
      <c r="N64" s="268" t="b">
        <v>1</v>
      </c>
      <c r="O64" s="268">
        <v>7</v>
      </c>
      <c r="P64" s="281">
        <v>105</v>
      </c>
      <c r="Q64" s="281">
        <v>140</v>
      </c>
      <c r="R64" s="268" t="s">
        <v>3383</v>
      </c>
      <c r="S64" s="268"/>
      <c r="T64" s="268">
        <v>1</v>
      </c>
      <c r="U64" s="268" t="s">
        <v>4880</v>
      </c>
      <c r="V64" s="269">
        <v>3</v>
      </c>
      <c r="W64" s="269"/>
      <c r="X64" s="268" t="s">
        <v>4881</v>
      </c>
      <c r="Y64" s="331" t="s">
        <v>4933</v>
      </c>
      <c r="Z64" s="268" t="s">
        <v>4934</v>
      </c>
      <c r="AA64" s="268" t="s">
        <v>4884</v>
      </c>
      <c r="AB64" s="268"/>
      <c r="AC64" s="287">
        <v>1</v>
      </c>
      <c r="AD64" s="287">
        <v>1</v>
      </c>
      <c r="AE64" s="268"/>
      <c r="AF64" s="268"/>
      <c r="AG64" s="290"/>
    </row>
    <row r="65" spans="1:33" s="145" customFormat="1" x14ac:dyDescent="0.15">
      <c r="A65" s="267">
        <v>95102034</v>
      </c>
      <c r="B65" s="268" t="s">
        <v>4930</v>
      </c>
      <c r="C65" s="268" t="s">
        <v>134</v>
      </c>
      <c r="D65" s="268">
        <v>5071</v>
      </c>
      <c r="E65" s="268" t="s">
        <v>4876</v>
      </c>
      <c r="F65" s="268" t="s">
        <v>4877</v>
      </c>
      <c r="G65" s="269">
        <v>4</v>
      </c>
      <c r="H65" s="269">
        <v>0</v>
      </c>
      <c r="I65" s="267">
        <v>34</v>
      </c>
      <c r="J65" s="282" t="s">
        <v>4931</v>
      </c>
      <c r="K65" s="279" t="s">
        <v>4932</v>
      </c>
      <c r="L65" s="279"/>
      <c r="M65" s="268">
        <v>1</v>
      </c>
      <c r="N65" s="268" t="b">
        <v>1</v>
      </c>
      <c r="O65" s="268">
        <v>10</v>
      </c>
      <c r="P65" s="281">
        <v>150</v>
      </c>
      <c r="Q65" s="281">
        <v>200</v>
      </c>
      <c r="R65" s="268" t="s">
        <v>3383</v>
      </c>
      <c r="S65" s="268"/>
      <c r="T65" s="268">
        <v>1</v>
      </c>
      <c r="U65" s="268" t="s">
        <v>4880</v>
      </c>
      <c r="V65" s="269">
        <v>4</v>
      </c>
      <c r="W65" s="269"/>
      <c r="X65" s="268" t="s">
        <v>4881</v>
      </c>
      <c r="Y65" s="331" t="s">
        <v>4933</v>
      </c>
      <c r="Z65" s="268" t="s">
        <v>4934</v>
      </c>
      <c r="AA65" s="268" t="s">
        <v>4884</v>
      </c>
      <c r="AB65" s="268"/>
      <c r="AC65" s="287">
        <v>1</v>
      </c>
      <c r="AD65" s="287">
        <v>1</v>
      </c>
      <c r="AE65" s="268"/>
      <c r="AF65" s="268"/>
      <c r="AG65" s="290"/>
    </row>
    <row r="66" spans="1:33" s="145" customFormat="1" x14ac:dyDescent="0.15">
      <c r="A66" s="267">
        <v>95102035</v>
      </c>
      <c r="B66" s="268" t="s">
        <v>4930</v>
      </c>
      <c r="C66" s="268" t="s">
        <v>134</v>
      </c>
      <c r="D66" s="268">
        <v>5071</v>
      </c>
      <c r="E66" s="268" t="s">
        <v>4876</v>
      </c>
      <c r="F66" s="268" t="s">
        <v>4877</v>
      </c>
      <c r="G66" s="269">
        <v>5</v>
      </c>
      <c r="H66" s="269">
        <v>0</v>
      </c>
      <c r="I66" s="267">
        <v>34</v>
      </c>
      <c r="J66" s="282" t="s">
        <v>4931</v>
      </c>
      <c r="K66" s="279" t="s">
        <v>4932</v>
      </c>
      <c r="L66" s="279"/>
      <c r="M66" s="268">
        <v>1</v>
      </c>
      <c r="N66" s="268" t="b">
        <v>1</v>
      </c>
      <c r="O66" s="268">
        <v>12</v>
      </c>
      <c r="P66" s="281">
        <v>180</v>
      </c>
      <c r="Q66" s="281">
        <v>240</v>
      </c>
      <c r="R66" s="268" t="s">
        <v>3383</v>
      </c>
      <c r="S66" s="268"/>
      <c r="T66" s="268">
        <v>1</v>
      </c>
      <c r="U66" s="268" t="s">
        <v>4880</v>
      </c>
      <c r="V66" s="269">
        <v>5</v>
      </c>
      <c r="W66" s="269"/>
      <c r="X66" s="268" t="s">
        <v>4881</v>
      </c>
      <c r="Y66" s="331" t="s">
        <v>4933</v>
      </c>
      <c r="Z66" s="268" t="s">
        <v>4934</v>
      </c>
      <c r="AA66" s="268" t="s">
        <v>4884</v>
      </c>
      <c r="AB66" s="268"/>
      <c r="AC66" s="287">
        <v>1</v>
      </c>
      <c r="AD66" s="287">
        <v>1</v>
      </c>
      <c r="AE66" s="268"/>
      <c r="AF66" s="268"/>
      <c r="AG66" s="290"/>
    </row>
    <row r="67" spans="1:33" s="145" customFormat="1" x14ac:dyDescent="0.15">
      <c r="A67" s="270">
        <v>95102036</v>
      </c>
      <c r="B67" s="268" t="s">
        <v>4930</v>
      </c>
      <c r="C67" s="268" t="s">
        <v>134</v>
      </c>
      <c r="D67" s="268">
        <v>5071</v>
      </c>
      <c r="E67" s="268" t="s">
        <v>4876</v>
      </c>
      <c r="F67" s="268" t="s">
        <v>4877</v>
      </c>
      <c r="G67" s="269">
        <v>6</v>
      </c>
      <c r="H67" s="269">
        <v>0</v>
      </c>
      <c r="I67" s="267">
        <v>34</v>
      </c>
      <c r="J67" s="282" t="s">
        <v>4931</v>
      </c>
      <c r="K67" s="279" t="s">
        <v>4932</v>
      </c>
      <c r="L67" s="279"/>
      <c r="M67" s="268">
        <v>1</v>
      </c>
      <c r="N67" s="268" t="b">
        <v>1</v>
      </c>
      <c r="O67" s="268">
        <v>25</v>
      </c>
      <c r="P67" s="281">
        <v>375</v>
      </c>
      <c r="Q67" s="281">
        <v>500</v>
      </c>
      <c r="R67" s="268" t="s">
        <v>3383</v>
      </c>
      <c r="S67" s="268"/>
      <c r="T67" s="268">
        <v>1</v>
      </c>
      <c r="U67" s="268" t="s">
        <v>4880</v>
      </c>
      <c r="V67" s="269">
        <v>7</v>
      </c>
      <c r="W67" s="269"/>
      <c r="X67" s="268" t="s">
        <v>4881</v>
      </c>
      <c r="Y67" s="331" t="s">
        <v>4933</v>
      </c>
      <c r="Z67" s="332" t="s">
        <v>4934</v>
      </c>
      <c r="AA67" s="268" t="s">
        <v>4884</v>
      </c>
      <c r="AB67" s="268"/>
      <c r="AC67" s="287">
        <v>1</v>
      </c>
      <c r="AD67" s="287">
        <v>1</v>
      </c>
      <c r="AE67" s="268"/>
      <c r="AF67" s="268"/>
      <c r="AG67" s="290"/>
    </row>
    <row r="68" spans="1:33" s="145" customFormat="1" x14ac:dyDescent="0.15">
      <c r="A68" s="270">
        <v>95102037</v>
      </c>
      <c r="B68" s="268" t="s">
        <v>4930</v>
      </c>
      <c r="C68" s="268" t="s">
        <v>134</v>
      </c>
      <c r="D68" s="268">
        <v>5071</v>
      </c>
      <c r="E68" s="268" t="s">
        <v>4876</v>
      </c>
      <c r="F68" s="268" t="s">
        <v>4877</v>
      </c>
      <c r="G68" s="269">
        <v>7</v>
      </c>
      <c r="H68" s="269">
        <v>0</v>
      </c>
      <c r="I68" s="267">
        <v>34</v>
      </c>
      <c r="J68" s="282" t="s">
        <v>4931</v>
      </c>
      <c r="K68" s="279" t="s">
        <v>4932</v>
      </c>
      <c r="L68" s="279"/>
      <c r="M68" s="268">
        <v>1</v>
      </c>
      <c r="N68" s="268" t="b">
        <v>1</v>
      </c>
      <c r="O68" s="268">
        <v>38</v>
      </c>
      <c r="P68" s="281">
        <v>570</v>
      </c>
      <c r="Q68" s="281">
        <v>760</v>
      </c>
      <c r="R68" s="268" t="s">
        <v>3383</v>
      </c>
      <c r="S68" s="268"/>
      <c r="T68" s="268">
        <v>1</v>
      </c>
      <c r="U68" s="268" t="s">
        <v>4880</v>
      </c>
      <c r="V68" s="269">
        <v>10</v>
      </c>
      <c r="W68" s="269"/>
      <c r="X68" s="268" t="s">
        <v>4881</v>
      </c>
      <c r="Y68" s="331" t="s">
        <v>4933</v>
      </c>
      <c r="Z68" s="332" t="s">
        <v>4934</v>
      </c>
      <c r="AA68" s="268" t="s">
        <v>4884</v>
      </c>
      <c r="AB68" s="268"/>
      <c r="AC68" s="287">
        <v>1</v>
      </c>
      <c r="AD68" s="287">
        <v>1</v>
      </c>
      <c r="AE68" s="268"/>
      <c r="AF68" s="268"/>
      <c r="AG68" s="290"/>
    </row>
    <row r="69" spans="1:33" s="258" customFormat="1" x14ac:dyDescent="0.15">
      <c r="A69" s="271">
        <v>95102038</v>
      </c>
      <c r="B69" s="272" t="s">
        <v>4935</v>
      </c>
      <c r="C69" s="272" t="s">
        <v>134</v>
      </c>
      <c r="D69" s="272">
        <v>5081</v>
      </c>
      <c r="E69" s="272" t="s">
        <v>4876</v>
      </c>
      <c r="F69" s="272" t="s">
        <v>4877</v>
      </c>
      <c r="G69" s="269">
        <v>6</v>
      </c>
      <c r="H69" s="273">
        <v>0</v>
      </c>
      <c r="I69" s="283">
        <v>34</v>
      </c>
      <c r="J69" s="284" t="s">
        <v>4931</v>
      </c>
      <c r="K69" s="285" t="s">
        <v>4932</v>
      </c>
      <c r="L69" s="272" t="s">
        <v>44</v>
      </c>
      <c r="M69" s="272">
        <v>1</v>
      </c>
      <c r="N69" s="272" t="b">
        <v>1</v>
      </c>
      <c r="O69" s="272">
        <v>51</v>
      </c>
      <c r="P69" s="281">
        <v>765</v>
      </c>
      <c r="Q69" s="281">
        <v>1020</v>
      </c>
      <c r="R69" s="272" t="s">
        <v>3383</v>
      </c>
      <c r="S69" s="272"/>
      <c r="T69" s="272">
        <v>1</v>
      </c>
      <c r="U69" s="272" t="s">
        <v>4880</v>
      </c>
      <c r="V69" s="273">
        <v>10</v>
      </c>
      <c r="W69" s="273"/>
      <c r="X69" s="272" t="s">
        <v>4881</v>
      </c>
      <c r="Y69" s="333" t="s">
        <v>4933</v>
      </c>
      <c r="Z69" s="334" t="s">
        <v>4934</v>
      </c>
      <c r="AA69" s="272" t="s">
        <v>4884</v>
      </c>
      <c r="AB69" s="272"/>
      <c r="AC69" s="289">
        <v>1</v>
      </c>
      <c r="AD69" s="289">
        <v>1</v>
      </c>
      <c r="AE69" s="289"/>
      <c r="AF69" s="272"/>
      <c r="AG69" s="272"/>
    </row>
    <row r="70" spans="1:33" s="258" customFormat="1" x14ac:dyDescent="0.15">
      <c r="A70" s="271">
        <v>95102039</v>
      </c>
      <c r="B70" s="272" t="s">
        <v>4936</v>
      </c>
      <c r="C70" s="272" t="s">
        <v>134</v>
      </c>
      <c r="D70" s="272">
        <v>5081</v>
      </c>
      <c r="E70" s="272" t="s">
        <v>4876</v>
      </c>
      <c r="F70" s="272" t="s">
        <v>4877</v>
      </c>
      <c r="G70" s="269">
        <v>6</v>
      </c>
      <c r="H70" s="273">
        <v>0</v>
      </c>
      <c r="I70" s="283">
        <v>34</v>
      </c>
      <c r="J70" s="284" t="s">
        <v>4931</v>
      </c>
      <c r="K70" s="285" t="s">
        <v>4932</v>
      </c>
      <c r="L70" s="272" t="s">
        <v>4887</v>
      </c>
      <c r="M70" s="272">
        <v>1</v>
      </c>
      <c r="N70" s="272" t="b">
        <v>1</v>
      </c>
      <c r="O70" s="272">
        <v>64</v>
      </c>
      <c r="P70" s="281">
        <v>960</v>
      </c>
      <c r="Q70" s="281">
        <v>1280</v>
      </c>
      <c r="R70" s="272" t="s">
        <v>3383</v>
      </c>
      <c r="S70" s="272"/>
      <c r="T70" s="272">
        <v>1</v>
      </c>
      <c r="U70" s="272" t="s">
        <v>4880</v>
      </c>
      <c r="V70" s="273">
        <v>10</v>
      </c>
      <c r="W70" s="273"/>
      <c r="X70" s="272" t="s">
        <v>4881</v>
      </c>
      <c r="Y70" s="333" t="s">
        <v>4933</v>
      </c>
      <c r="Z70" s="334" t="s">
        <v>4934</v>
      </c>
      <c r="AA70" s="272" t="s">
        <v>4884</v>
      </c>
      <c r="AB70" s="272"/>
      <c r="AC70" s="289">
        <v>1</v>
      </c>
      <c r="AD70" s="289">
        <v>1</v>
      </c>
      <c r="AE70" s="289"/>
      <c r="AF70" s="272"/>
      <c r="AG70" s="272"/>
    </row>
    <row r="71" spans="1:33" s="258" customFormat="1" x14ac:dyDescent="0.15">
      <c r="A71" s="271">
        <v>95102040</v>
      </c>
      <c r="B71" s="272" t="s">
        <v>4937</v>
      </c>
      <c r="C71" s="272" t="s">
        <v>134</v>
      </c>
      <c r="D71" s="272">
        <v>5081</v>
      </c>
      <c r="E71" s="272" t="s">
        <v>4876</v>
      </c>
      <c r="F71" s="272" t="s">
        <v>4877</v>
      </c>
      <c r="G71" s="269">
        <v>7</v>
      </c>
      <c r="H71" s="273">
        <v>0</v>
      </c>
      <c r="I71" s="283">
        <v>34</v>
      </c>
      <c r="J71" s="284" t="s">
        <v>4931</v>
      </c>
      <c r="K71" s="285" t="s">
        <v>4932</v>
      </c>
      <c r="L71" s="272" t="s">
        <v>4889</v>
      </c>
      <c r="M71" s="272">
        <v>1</v>
      </c>
      <c r="N71" s="272" t="b">
        <v>1</v>
      </c>
      <c r="O71" s="272">
        <v>77</v>
      </c>
      <c r="P71" s="281">
        <v>1155</v>
      </c>
      <c r="Q71" s="281">
        <v>1540</v>
      </c>
      <c r="R71" s="272" t="s">
        <v>3383</v>
      </c>
      <c r="S71" s="272"/>
      <c r="T71" s="272">
        <v>1</v>
      </c>
      <c r="U71" s="272" t="s">
        <v>4880</v>
      </c>
      <c r="V71" s="273">
        <v>10</v>
      </c>
      <c r="W71" s="273"/>
      <c r="X71" s="272" t="s">
        <v>4881</v>
      </c>
      <c r="Y71" s="333" t="s">
        <v>4933</v>
      </c>
      <c r="Z71" s="334" t="s">
        <v>4934</v>
      </c>
      <c r="AA71" s="272" t="s">
        <v>4884</v>
      </c>
      <c r="AB71" s="272"/>
      <c r="AC71" s="289">
        <v>1</v>
      </c>
      <c r="AD71" s="289">
        <v>1</v>
      </c>
      <c r="AE71" s="289"/>
      <c r="AF71" s="272"/>
      <c r="AG71" s="272"/>
    </row>
    <row r="72" spans="1:33" s="145" customFormat="1" x14ac:dyDescent="0.15">
      <c r="A72" s="267">
        <v>95102051</v>
      </c>
      <c r="B72" s="268" t="s">
        <v>4938</v>
      </c>
      <c r="C72" s="268" t="s">
        <v>134</v>
      </c>
      <c r="D72" s="268">
        <v>5072</v>
      </c>
      <c r="E72" s="268" t="s">
        <v>4876</v>
      </c>
      <c r="F72" s="268" t="s">
        <v>4877</v>
      </c>
      <c r="G72" s="269">
        <v>1</v>
      </c>
      <c r="H72" s="269">
        <v>0</v>
      </c>
      <c r="I72" s="267">
        <v>34</v>
      </c>
      <c r="J72" s="282" t="s">
        <v>4939</v>
      </c>
      <c r="K72" s="279" t="s">
        <v>4940</v>
      </c>
      <c r="L72" s="279"/>
      <c r="M72" s="268">
        <v>1</v>
      </c>
      <c r="N72" s="268" t="b">
        <v>1</v>
      </c>
      <c r="O72" s="268">
        <v>2</v>
      </c>
      <c r="P72" s="281">
        <v>30</v>
      </c>
      <c r="Q72" s="281">
        <v>40</v>
      </c>
      <c r="R72" s="268" t="s">
        <v>3383</v>
      </c>
      <c r="S72" s="268"/>
      <c r="T72" s="268">
        <v>1</v>
      </c>
      <c r="U72" s="268" t="s">
        <v>4880</v>
      </c>
      <c r="V72" s="269">
        <v>1</v>
      </c>
      <c r="W72" s="269"/>
      <c r="X72" s="268" t="s">
        <v>4881</v>
      </c>
      <c r="Y72" s="331" t="s">
        <v>4941</v>
      </c>
      <c r="Z72" s="332" t="s">
        <v>4942</v>
      </c>
      <c r="AA72" s="268" t="s">
        <v>4884</v>
      </c>
      <c r="AB72" s="268"/>
      <c r="AC72" s="287">
        <v>1</v>
      </c>
      <c r="AD72" s="287">
        <v>1</v>
      </c>
      <c r="AE72" s="268"/>
      <c r="AF72" s="268"/>
      <c r="AG72" s="290"/>
    </row>
    <row r="73" spans="1:33" s="145" customFormat="1" x14ac:dyDescent="0.15">
      <c r="A73" s="267">
        <v>95102052</v>
      </c>
      <c r="B73" s="268" t="s">
        <v>4938</v>
      </c>
      <c r="C73" s="268" t="s">
        <v>134</v>
      </c>
      <c r="D73" s="268">
        <v>5072</v>
      </c>
      <c r="E73" s="268" t="s">
        <v>4876</v>
      </c>
      <c r="F73" s="268" t="s">
        <v>4877</v>
      </c>
      <c r="G73" s="269">
        <v>2</v>
      </c>
      <c r="H73" s="269">
        <v>0</v>
      </c>
      <c r="I73" s="267">
        <v>34</v>
      </c>
      <c r="J73" s="282" t="s">
        <v>4939</v>
      </c>
      <c r="K73" s="279" t="s">
        <v>4940</v>
      </c>
      <c r="L73" s="279"/>
      <c r="M73" s="268">
        <v>1</v>
      </c>
      <c r="N73" s="268" t="b">
        <v>1</v>
      </c>
      <c r="O73" s="268">
        <v>5</v>
      </c>
      <c r="P73" s="281">
        <v>75</v>
      </c>
      <c r="Q73" s="281">
        <v>100</v>
      </c>
      <c r="R73" s="268" t="s">
        <v>3383</v>
      </c>
      <c r="S73" s="268"/>
      <c r="T73" s="268">
        <v>1</v>
      </c>
      <c r="U73" s="268" t="s">
        <v>4880</v>
      </c>
      <c r="V73" s="269">
        <v>2</v>
      </c>
      <c r="W73" s="269"/>
      <c r="X73" s="268" t="s">
        <v>4881</v>
      </c>
      <c r="Y73" s="331" t="s">
        <v>4941</v>
      </c>
      <c r="Z73" s="332" t="s">
        <v>4942</v>
      </c>
      <c r="AA73" s="268" t="s">
        <v>4884</v>
      </c>
      <c r="AB73" s="268"/>
      <c r="AC73" s="287">
        <v>1</v>
      </c>
      <c r="AD73" s="287">
        <v>1</v>
      </c>
      <c r="AE73" s="268"/>
      <c r="AF73" s="268"/>
      <c r="AG73" s="290"/>
    </row>
    <row r="74" spans="1:33" s="145" customFormat="1" x14ac:dyDescent="0.15">
      <c r="A74" s="267">
        <v>95102053</v>
      </c>
      <c r="B74" s="268" t="s">
        <v>4938</v>
      </c>
      <c r="C74" s="268" t="s">
        <v>134</v>
      </c>
      <c r="D74" s="268">
        <v>5072</v>
      </c>
      <c r="E74" s="268" t="s">
        <v>4876</v>
      </c>
      <c r="F74" s="268" t="s">
        <v>4877</v>
      </c>
      <c r="G74" s="269">
        <v>3</v>
      </c>
      <c r="H74" s="269">
        <v>0</v>
      </c>
      <c r="I74" s="267">
        <v>34</v>
      </c>
      <c r="J74" s="282" t="s">
        <v>4939</v>
      </c>
      <c r="K74" s="279" t="s">
        <v>4940</v>
      </c>
      <c r="L74" s="279"/>
      <c r="M74" s="268">
        <v>1</v>
      </c>
      <c r="N74" s="268" t="b">
        <v>1</v>
      </c>
      <c r="O74" s="268">
        <v>7</v>
      </c>
      <c r="P74" s="281">
        <v>105</v>
      </c>
      <c r="Q74" s="281">
        <v>140</v>
      </c>
      <c r="R74" s="268" t="s">
        <v>3383</v>
      </c>
      <c r="S74" s="268"/>
      <c r="T74" s="268">
        <v>1</v>
      </c>
      <c r="U74" s="268" t="s">
        <v>4880</v>
      </c>
      <c r="V74" s="269">
        <v>3</v>
      </c>
      <c r="W74" s="269"/>
      <c r="X74" s="268" t="s">
        <v>4881</v>
      </c>
      <c r="Y74" s="331" t="s">
        <v>4941</v>
      </c>
      <c r="Z74" s="332" t="s">
        <v>4942</v>
      </c>
      <c r="AA74" s="268" t="s">
        <v>4884</v>
      </c>
      <c r="AB74" s="268"/>
      <c r="AC74" s="287">
        <v>1</v>
      </c>
      <c r="AD74" s="287">
        <v>1</v>
      </c>
      <c r="AE74" s="268"/>
      <c r="AF74" s="268"/>
      <c r="AG74" s="290"/>
    </row>
    <row r="75" spans="1:33" s="145" customFormat="1" x14ac:dyDescent="0.15">
      <c r="A75" s="267">
        <v>95102054</v>
      </c>
      <c r="B75" s="268" t="s">
        <v>4938</v>
      </c>
      <c r="C75" s="268" t="s">
        <v>134</v>
      </c>
      <c r="D75" s="268">
        <v>5072</v>
      </c>
      <c r="E75" s="268" t="s">
        <v>4876</v>
      </c>
      <c r="F75" s="268" t="s">
        <v>4877</v>
      </c>
      <c r="G75" s="269">
        <v>4</v>
      </c>
      <c r="H75" s="269">
        <v>0</v>
      </c>
      <c r="I75" s="267">
        <v>34</v>
      </c>
      <c r="J75" s="282" t="s">
        <v>4939</v>
      </c>
      <c r="K75" s="279" t="s">
        <v>4940</v>
      </c>
      <c r="L75" s="279"/>
      <c r="M75" s="268">
        <v>1</v>
      </c>
      <c r="N75" s="268" t="b">
        <v>1</v>
      </c>
      <c r="O75" s="268">
        <v>10</v>
      </c>
      <c r="P75" s="281">
        <v>150</v>
      </c>
      <c r="Q75" s="281">
        <v>200</v>
      </c>
      <c r="R75" s="268" t="s">
        <v>3383</v>
      </c>
      <c r="S75" s="268"/>
      <c r="T75" s="268">
        <v>1</v>
      </c>
      <c r="U75" s="268" t="s">
        <v>4880</v>
      </c>
      <c r="V75" s="269">
        <v>4</v>
      </c>
      <c r="W75" s="269"/>
      <c r="X75" s="268" t="s">
        <v>4881</v>
      </c>
      <c r="Y75" s="331" t="s">
        <v>4943</v>
      </c>
      <c r="Z75" s="332" t="s">
        <v>4942</v>
      </c>
      <c r="AA75" s="268" t="s">
        <v>4884</v>
      </c>
      <c r="AB75" s="268"/>
      <c r="AC75" s="287">
        <v>1</v>
      </c>
      <c r="AD75" s="287">
        <v>1</v>
      </c>
      <c r="AE75" s="268"/>
      <c r="AF75" s="268"/>
      <c r="AG75" s="290"/>
    </row>
    <row r="76" spans="1:33" s="145" customFormat="1" x14ac:dyDescent="0.15">
      <c r="A76" s="267">
        <v>95102055</v>
      </c>
      <c r="B76" s="268" t="s">
        <v>4938</v>
      </c>
      <c r="C76" s="268" t="s">
        <v>134</v>
      </c>
      <c r="D76" s="268">
        <v>5072</v>
      </c>
      <c r="E76" s="268" t="s">
        <v>4876</v>
      </c>
      <c r="F76" s="268" t="s">
        <v>4877</v>
      </c>
      <c r="G76" s="269">
        <v>5</v>
      </c>
      <c r="H76" s="269">
        <v>0</v>
      </c>
      <c r="I76" s="267">
        <v>34</v>
      </c>
      <c r="J76" s="282" t="s">
        <v>4939</v>
      </c>
      <c r="K76" s="279" t="s">
        <v>4940</v>
      </c>
      <c r="L76" s="279"/>
      <c r="M76" s="268">
        <v>1</v>
      </c>
      <c r="N76" s="268" t="b">
        <v>1</v>
      </c>
      <c r="O76" s="268">
        <v>12</v>
      </c>
      <c r="P76" s="281">
        <v>180</v>
      </c>
      <c r="Q76" s="281">
        <v>240</v>
      </c>
      <c r="R76" s="268" t="s">
        <v>3383</v>
      </c>
      <c r="S76" s="268"/>
      <c r="T76" s="268">
        <v>1</v>
      </c>
      <c r="U76" s="268" t="s">
        <v>4880</v>
      </c>
      <c r="V76" s="269">
        <v>5</v>
      </c>
      <c r="W76" s="269"/>
      <c r="X76" s="268" t="s">
        <v>4881</v>
      </c>
      <c r="Y76" s="331" t="s">
        <v>4941</v>
      </c>
      <c r="Z76" s="332" t="s">
        <v>4942</v>
      </c>
      <c r="AA76" s="268" t="s">
        <v>4884</v>
      </c>
      <c r="AB76" s="268"/>
      <c r="AC76" s="287">
        <v>1</v>
      </c>
      <c r="AD76" s="287">
        <v>1</v>
      </c>
      <c r="AE76" s="268"/>
      <c r="AF76" s="268"/>
      <c r="AG76" s="290"/>
    </row>
    <row r="77" spans="1:33" s="258" customFormat="1" x14ac:dyDescent="0.15">
      <c r="A77" s="270">
        <v>95102056</v>
      </c>
      <c r="B77" s="268" t="s">
        <v>4938</v>
      </c>
      <c r="C77" s="268" t="s">
        <v>134</v>
      </c>
      <c r="D77" s="268">
        <v>5072</v>
      </c>
      <c r="E77" s="268" t="s">
        <v>4876</v>
      </c>
      <c r="F77" s="268" t="s">
        <v>4877</v>
      </c>
      <c r="G77" s="269">
        <v>6</v>
      </c>
      <c r="H77" s="269">
        <v>0</v>
      </c>
      <c r="I77" s="267">
        <v>34</v>
      </c>
      <c r="J77" s="282" t="s">
        <v>4939</v>
      </c>
      <c r="K77" s="279" t="s">
        <v>4940</v>
      </c>
      <c r="L77" s="279"/>
      <c r="M77" s="268">
        <v>1</v>
      </c>
      <c r="N77" s="268" t="b">
        <v>1</v>
      </c>
      <c r="O77" s="268">
        <v>25</v>
      </c>
      <c r="P77" s="281">
        <v>375</v>
      </c>
      <c r="Q77" s="281">
        <v>500</v>
      </c>
      <c r="R77" s="268" t="s">
        <v>3383</v>
      </c>
      <c r="S77" s="268"/>
      <c r="T77" s="268">
        <v>1</v>
      </c>
      <c r="U77" s="268" t="s">
        <v>4880</v>
      </c>
      <c r="V77" s="269">
        <v>7</v>
      </c>
      <c r="W77" s="269"/>
      <c r="X77" s="268" t="s">
        <v>4881</v>
      </c>
      <c r="Y77" s="331" t="s">
        <v>4941</v>
      </c>
      <c r="Z77" s="332" t="s">
        <v>4942</v>
      </c>
      <c r="AA77" s="268" t="s">
        <v>4884</v>
      </c>
      <c r="AB77" s="268"/>
      <c r="AC77" s="287">
        <v>1</v>
      </c>
      <c r="AD77" s="287">
        <v>1</v>
      </c>
      <c r="AE77" s="268"/>
      <c r="AF77" s="268"/>
      <c r="AG77" s="290"/>
    </row>
    <row r="78" spans="1:33" s="145" customFormat="1" x14ac:dyDescent="0.15">
      <c r="A78" s="270">
        <v>95102057</v>
      </c>
      <c r="B78" s="268" t="s">
        <v>4938</v>
      </c>
      <c r="C78" s="268" t="s">
        <v>134</v>
      </c>
      <c r="D78" s="268">
        <v>5072</v>
      </c>
      <c r="E78" s="268" t="s">
        <v>4876</v>
      </c>
      <c r="F78" s="268" t="s">
        <v>4877</v>
      </c>
      <c r="G78" s="269">
        <v>7</v>
      </c>
      <c r="H78" s="269">
        <v>0</v>
      </c>
      <c r="I78" s="267">
        <v>34</v>
      </c>
      <c r="J78" s="282" t="s">
        <v>4939</v>
      </c>
      <c r="K78" s="279" t="s">
        <v>4940</v>
      </c>
      <c r="L78" s="279"/>
      <c r="M78" s="268">
        <v>1</v>
      </c>
      <c r="N78" s="268" t="b">
        <v>1</v>
      </c>
      <c r="O78" s="268">
        <v>38</v>
      </c>
      <c r="P78" s="281">
        <v>570</v>
      </c>
      <c r="Q78" s="281">
        <v>760</v>
      </c>
      <c r="R78" s="268" t="s">
        <v>3383</v>
      </c>
      <c r="S78" s="268"/>
      <c r="T78" s="268">
        <v>1</v>
      </c>
      <c r="U78" s="268" t="s">
        <v>4880</v>
      </c>
      <c r="V78" s="269">
        <v>10</v>
      </c>
      <c r="W78" s="269"/>
      <c r="X78" s="268" t="s">
        <v>4881</v>
      </c>
      <c r="Y78" s="331" t="s">
        <v>4941</v>
      </c>
      <c r="Z78" s="332" t="s">
        <v>4942</v>
      </c>
      <c r="AA78" s="268" t="s">
        <v>4884</v>
      </c>
      <c r="AB78" s="268"/>
      <c r="AC78" s="287">
        <v>1</v>
      </c>
      <c r="AD78" s="287">
        <v>1</v>
      </c>
      <c r="AE78" s="268"/>
      <c r="AF78" s="268"/>
      <c r="AG78" s="290"/>
    </row>
    <row r="79" spans="1:33" s="258" customFormat="1" x14ac:dyDescent="0.15">
      <c r="A79" s="271">
        <v>95102058</v>
      </c>
      <c r="B79" s="272" t="s">
        <v>4944</v>
      </c>
      <c r="C79" s="272" t="s">
        <v>134</v>
      </c>
      <c r="D79" s="272">
        <v>5081</v>
      </c>
      <c r="E79" s="272" t="s">
        <v>4876</v>
      </c>
      <c r="F79" s="272" t="s">
        <v>4877</v>
      </c>
      <c r="G79" s="269">
        <v>6</v>
      </c>
      <c r="H79" s="273">
        <v>0</v>
      </c>
      <c r="I79" s="283">
        <v>34</v>
      </c>
      <c r="J79" s="284" t="s">
        <v>4939</v>
      </c>
      <c r="K79" s="285" t="s">
        <v>4940</v>
      </c>
      <c r="L79" s="272" t="s">
        <v>44</v>
      </c>
      <c r="M79" s="272">
        <v>1</v>
      </c>
      <c r="N79" s="272" t="b">
        <v>1</v>
      </c>
      <c r="O79" s="272">
        <v>51</v>
      </c>
      <c r="P79" s="281">
        <v>765</v>
      </c>
      <c r="Q79" s="281">
        <v>1020</v>
      </c>
      <c r="R79" s="272" t="s">
        <v>3383</v>
      </c>
      <c r="S79" s="272"/>
      <c r="T79" s="272">
        <v>1</v>
      </c>
      <c r="U79" s="272" t="s">
        <v>4880</v>
      </c>
      <c r="V79" s="273">
        <v>10</v>
      </c>
      <c r="W79" s="273"/>
      <c r="X79" s="272" t="s">
        <v>4881</v>
      </c>
      <c r="Y79" s="333" t="s">
        <v>4941</v>
      </c>
      <c r="Z79" s="334" t="s">
        <v>4942</v>
      </c>
      <c r="AA79" s="272" t="s">
        <v>4884</v>
      </c>
      <c r="AB79" s="272"/>
      <c r="AC79" s="289">
        <v>1</v>
      </c>
      <c r="AD79" s="289">
        <v>1</v>
      </c>
      <c r="AE79" s="289"/>
      <c r="AF79" s="272"/>
      <c r="AG79" s="272"/>
    </row>
    <row r="80" spans="1:33" s="258" customFormat="1" x14ac:dyDescent="0.15">
      <c r="A80" s="271">
        <v>95102059</v>
      </c>
      <c r="B80" s="272" t="s">
        <v>4945</v>
      </c>
      <c r="C80" s="272" t="s">
        <v>134</v>
      </c>
      <c r="D80" s="272">
        <v>5081</v>
      </c>
      <c r="E80" s="272" t="s">
        <v>4876</v>
      </c>
      <c r="F80" s="272" t="s">
        <v>4877</v>
      </c>
      <c r="G80" s="269">
        <v>6</v>
      </c>
      <c r="H80" s="273">
        <v>0</v>
      </c>
      <c r="I80" s="283">
        <v>34</v>
      </c>
      <c r="J80" s="284" t="s">
        <v>4939</v>
      </c>
      <c r="K80" s="285" t="s">
        <v>4940</v>
      </c>
      <c r="L80" s="272" t="s">
        <v>4887</v>
      </c>
      <c r="M80" s="272">
        <v>1</v>
      </c>
      <c r="N80" s="272" t="b">
        <v>1</v>
      </c>
      <c r="O80" s="272">
        <v>64</v>
      </c>
      <c r="P80" s="281">
        <v>960</v>
      </c>
      <c r="Q80" s="281">
        <v>1280</v>
      </c>
      <c r="R80" s="272" t="s">
        <v>3383</v>
      </c>
      <c r="S80" s="272"/>
      <c r="T80" s="272">
        <v>1</v>
      </c>
      <c r="U80" s="272" t="s">
        <v>4880</v>
      </c>
      <c r="V80" s="273">
        <v>10</v>
      </c>
      <c r="W80" s="273"/>
      <c r="X80" s="272" t="s">
        <v>4881</v>
      </c>
      <c r="Y80" s="333" t="s">
        <v>4941</v>
      </c>
      <c r="Z80" s="334" t="s">
        <v>4942</v>
      </c>
      <c r="AA80" s="272" t="s">
        <v>4884</v>
      </c>
      <c r="AB80" s="272"/>
      <c r="AC80" s="289">
        <v>1</v>
      </c>
      <c r="AD80" s="289">
        <v>1</v>
      </c>
      <c r="AE80" s="289"/>
      <c r="AF80" s="272"/>
      <c r="AG80" s="272"/>
    </row>
    <row r="81" spans="1:33" s="258" customFormat="1" x14ac:dyDescent="0.15">
      <c r="A81" s="271">
        <v>95102060</v>
      </c>
      <c r="B81" s="272" t="s">
        <v>4946</v>
      </c>
      <c r="C81" s="272" t="s">
        <v>134</v>
      </c>
      <c r="D81" s="272">
        <v>5081</v>
      </c>
      <c r="E81" s="272" t="s">
        <v>4876</v>
      </c>
      <c r="F81" s="272" t="s">
        <v>4877</v>
      </c>
      <c r="G81" s="269">
        <v>7</v>
      </c>
      <c r="H81" s="273">
        <v>0</v>
      </c>
      <c r="I81" s="283">
        <v>34</v>
      </c>
      <c r="J81" s="284" t="s">
        <v>4939</v>
      </c>
      <c r="K81" s="285" t="s">
        <v>4940</v>
      </c>
      <c r="L81" s="272" t="s">
        <v>4889</v>
      </c>
      <c r="M81" s="272">
        <v>1</v>
      </c>
      <c r="N81" s="272" t="b">
        <v>1</v>
      </c>
      <c r="O81" s="272">
        <v>77</v>
      </c>
      <c r="P81" s="281">
        <v>1155</v>
      </c>
      <c r="Q81" s="281">
        <v>1540</v>
      </c>
      <c r="R81" s="272" t="s">
        <v>3383</v>
      </c>
      <c r="S81" s="272"/>
      <c r="T81" s="272">
        <v>1</v>
      </c>
      <c r="U81" s="272" t="s">
        <v>4880</v>
      </c>
      <c r="V81" s="273">
        <v>10</v>
      </c>
      <c r="W81" s="273"/>
      <c r="X81" s="272" t="s">
        <v>4881</v>
      </c>
      <c r="Y81" s="333" t="s">
        <v>4941</v>
      </c>
      <c r="Z81" s="334" t="s">
        <v>4942</v>
      </c>
      <c r="AA81" s="272" t="s">
        <v>4884</v>
      </c>
      <c r="AB81" s="272"/>
      <c r="AC81" s="289">
        <v>1</v>
      </c>
      <c r="AD81" s="289">
        <v>1</v>
      </c>
      <c r="AE81" s="289"/>
      <c r="AF81" s="272"/>
      <c r="AG81" s="272"/>
    </row>
    <row r="82" spans="1:33" s="145" customFormat="1" x14ac:dyDescent="0.15">
      <c r="A82" s="267">
        <v>95102061</v>
      </c>
      <c r="B82" s="268" t="s">
        <v>4947</v>
      </c>
      <c r="C82" s="268" t="s">
        <v>134</v>
      </c>
      <c r="D82" s="268">
        <v>5072</v>
      </c>
      <c r="E82" s="268" t="s">
        <v>4876</v>
      </c>
      <c r="F82" s="268" t="s">
        <v>4877</v>
      </c>
      <c r="G82" s="269">
        <v>1</v>
      </c>
      <c r="H82" s="269">
        <v>0</v>
      </c>
      <c r="I82" s="267">
        <v>34</v>
      </c>
      <c r="J82" s="282" t="s">
        <v>4948</v>
      </c>
      <c r="K82" s="279" t="s">
        <v>4949</v>
      </c>
      <c r="L82" s="279"/>
      <c r="M82" s="268">
        <v>1</v>
      </c>
      <c r="N82" s="268" t="b">
        <v>1</v>
      </c>
      <c r="O82" s="268">
        <v>200</v>
      </c>
      <c r="P82" s="281">
        <v>3000</v>
      </c>
      <c r="Q82" s="281">
        <v>4000</v>
      </c>
      <c r="R82" s="268" t="s">
        <v>3383</v>
      </c>
      <c r="S82" s="268"/>
      <c r="T82" s="268">
        <v>1</v>
      </c>
      <c r="U82" s="268" t="s">
        <v>4880</v>
      </c>
      <c r="V82" s="269">
        <v>1</v>
      </c>
      <c r="W82" s="269">
        <v>10024</v>
      </c>
      <c r="X82" s="268" t="s">
        <v>4881</v>
      </c>
      <c r="Y82" s="331" t="s">
        <v>4950</v>
      </c>
      <c r="Z82" s="332" t="s">
        <v>4951</v>
      </c>
      <c r="AA82" s="268" t="s">
        <v>4884</v>
      </c>
      <c r="AB82" s="268"/>
      <c r="AC82" s="287">
        <v>1</v>
      </c>
      <c r="AD82" s="287">
        <v>1</v>
      </c>
      <c r="AE82" s="268">
        <v>10024</v>
      </c>
      <c r="AF82" s="268" t="s">
        <v>4952</v>
      </c>
      <c r="AG82" s="290"/>
    </row>
    <row r="83" spans="1:33" s="145" customFormat="1" x14ac:dyDescent="0.15">
      <c r="A83" s="267">
        <v>95102062</v>
      </c>
      <c r="B83" s="268" t="s">
        <v>4947</v>
      </c>
      <c r="C83" s="268" t="s">
        <v>134</v>
      </c>
      <c r="D83" s="268">
        <v>5072</v>
      </c>
      <c r="E83" s="268" t="s">
        <v>4876</v>
      </c>
      <c r="F83" s="268" t="s">
        <v>4877</v>
      </c>
      <c r="G83" s="269">
        <v>2</v>
      </c>
      <c r="H83" s="269">
        <v>0</v>
      </c>
      <c r="I83" s="267">
        <v>34</v>
      </c>
      <c r="J83" s="282" t="s">
        <v>4948</v>
      </c>
      <c r="K83" s="279" t="s">
        <v>4949</v>
      </c>
      <c r="L83" s="279"/>
      <c r="M83" s="268">
        <v>1</v>
      </c>
      <c r="N83" s="268" t="b">
        <v>1</v>
      </c>
      <c r="O83" s="268">
        <v>500</v>
      </c>
      <c r="P83" s="281">
        <v>7500</v>
      </c>
      <c r="Q83" s="281">
        <v>10000</v>
      </c>
      <c r="R83" s="268" t="s">
        <v>3383</v>
      </c>
      <c r="S83" s="268"/>
      <c r="T83" s="268">
        <v>1</v>
      </c>
      <c r="U83" s="268" t="s">
        <v>4880</v>
      </c>
      <c r="V83" s="269">
        <v>2</v>
      </c>
      <c r="W83" s="269">
        <v>10024</v>
      </c>
      <c r="X83" s="268" t="s">
        <v>4881</v>
      </c>
      <c r="Y83" s="331" t="s">
        <v>4950</v>
      </c>
      <c r="Z83" s="332" t="s">
        <v>4951</v>
      </c>
      <c r="AA83" s="268" t="s">
        <v>4884</v>
      </c>
      <c r="AB83" s="268"/>
      <c r="AC83" s="287">
        <v>1</v>
      </c>
      <c r="AD83" s="287">
        <v>1</v>
      </c>
      <c r="AE83" s="268">
        <v>10024</v>
      </c>
      <c r="AF83" s="268" t="s">
        <v>4952</v>
      </c>
      <c r="AG83" s="290"/>
    </row>
    <row r="84" spans="1:33" s="145" customFormat="1" x14ac:dyDescent="0.15">
      <c r="A84" s="267">
        <v>95102063</v>
      </c>
      <c r="B84" s="268" t="s">
        <v>4947</v>
      </c>
      <c r="C84" s="268" t="s">
        <v>134</v>
      </c>
      <c r="D84" s="268">
        <v>5072</v>
      </c>
      <c r="E84" s="268" t="s">
        <v>4876</v>
      </c>
      <c r="F84" s="268" t="s">
        <v>4877</v>
      </c>
      <c r="G84" s="269">
        <v>3</v>
      </c>
      <c r="H84" s="269">
        <v>0</v>
      </c>
      <c r="I84" s="267">
        <v>34</v>
      </c>
      <c r="J84" s="282" t="s">
        <v>4948</v>
      </c>
      <c r="K84" s="279" t="s">
        <v>4949</v>
      </c>
      <c r="L84" s="279"/>
      <c r="M84" s="268">
        <v>1</v>
      </c>
      <c r="N84" s="268" t="b">
        <v>1</v>
      </c>
      <c r="O84" s="268">
        <v>700</v>
      </c>
      <c r="P84" s="281">
        <v>10500</v>
      </c>
      <c r="Q84" s="281">
        <v>14000</v>
      </c>
      <c r="R84" s="268" t="s">
        <v>3383</v>
      </c>
      <c r="S84" s="268"/>
      <c r="T84" s="268">
        <v>1</v>
      </c>
      <c r="U84" s="268" t="s">
        <v>4880</v>
      </c>
      <c r="V84" s="269">
        <v>3</v>
      </c>
      <c r="W84" s="269">
        <v>10024</v>
      </c>
      <c r="X84" s="268" t="s">
        <v>4881</v>
      </c>
      <c r="Y84" s="331" t="s">
        <v>4950</v>
      </c>
      <c r="Z84" s="332" t="s">
        <v>4951</v>
      </c>
      <c r="AA84" s="268" t="s">
        <v>4884</v>
      </c>
      <c r="AB84" s="268"/>
      <c r="AC84" s="287">
        <v>1</v>
      </c>
      <c r="AD84" s="287">
        <v>1</v>
      </c>
      <c r="AE84" s="268">
        <v>10024</v>
      </c>
      <c r="AF84" s="268" t="s">
        <v>4952</v>
      </c>
      <c r="AG84" s="290"/>
    </row>
    <row r="85" spans="1:33" s="145" customFormat="1" x14ac:dyDescent="0.15">
      <c r="A85" s="267">
        <v>95102064</v>
      </c>
      <c r="B85" s="268" t="s">
        <v>4947</v>
      </c>
      <c r="C85" s="268" t="s">
        <v>134</v>
      </c>
      <c r="D85" s="268">
        <v>5072</v>
      </c>
      <c r="E85" s="268" t="s">
        <v>4876</v>
      </c>
      <c r="F85" s="268" t="s">
        <v>4877</v>
      </c>
      <c r="G85" s="269">
        <v>4</v>
      </c>
      <c r="H85" s="269">
        <v>0</v>
      </c>
      <c r="I85" s="267">
        <v>34</v>
      </c>
      <c r="J85" s="282" t="s">
        <v>4948</v>
      </c>
      <c r="K85" s="279" t="s">
        <v>4949</v>
      </c>
      <c r="L85" s="279"/>
      <c r="M85" s="268">
        <v>1</v>
      </c>
      <c r="N85" s="268" t="b">
        <v>1</v>
      </c>
      <c r="O85" s="268">
        <v>1000</v>
      </c>
      <c r="P85" s="281">
        <v>15000</v>
      </c>
      <c r="Q85" s="281">
        <v>20000</v>
      </c>
      <c r="R85" s="268" t="s">
        <v>3383</v>
      </c>
      <c r="S85" s="268"/>
      <c r="T85" s="268">
        <v>1</v>
      </c>
      <c r="U85" s="268" t="s">
        <v>4880</v>
      </c>
      <c r="V85" s="269">
        <v>4</v>
      </c>
      <c r="W85" s="269">
        <v>10024</v>
      </c>
      <c r="X85" s="268" t="s">
        <v>4881</v>
      </c>
      <c r="Y85" s="331" t="s">
        <v>4950</v>
      </c>
      <c r="Z85" s="332" t="s">
        <v>4951</v>
      </c>
      <c r="AA85" s="268" t="s">
        <v>4884</v>
      </c>
      <c r="AB85" s="268"/>
      <c r="AC85" s="287">
        <v>1</v>
      </c>
      <c r="AD85" s="287">
        <v>1</v>
      </c>
      <c r="AE85" s="268">
        <v>10024</v>
      </c>
      <c r="AF85" s="268" t="s">
        <v>4952</v>
      </c>
      <c r="AG85" s="290"/>
    </row>
    <row r="86" spans="1:33" s="145" customFormat="1" x14ac:dyDescent="0.15">
      <c r="A86" s="267">
        <v>95102065</v>
      </c>
      <c r="B86" s="268" t="s">
        <v>4947</v>
      </c>
      <c r="C86" s="268" t="s">
        <v>134</v>
      </c>
      <c r="D86" s="268">
        <v>5072</v>
      </c>
      <c r="E86" s="268" t="s">
        <v>4876</v>
      </c>
      <c r="F86" s="268" t="s">
        <v>4877</v>
      </c>
      <c r="G86" s="269">
        <v>5</v>
      </c>
      <c r="H86" s="269">
        <v>0</v>
      </c>
      <c r="I86" s="267">
        <v>34</v>
      </c>
      <c r="J86" s="282" t="s">
        <v>4948</v>
      </c>
      <c r="K86" s="279" t="s">
        <v>4949</v>
      </c>
      <c r="L86" s="279"/>
      <c r="M86" s="268">
        <v>1</v>
      </c>
      <c r="N86" s="268" t="b">
        <v>1</v>
      </c>
      <c r="O86" s="268">
        <v>1200</v>
      </c>
      <c r="P86" s="281">
        <v>18000</v>
      </c>
      <c r="Q86" s="281">
        <v>24000</v>
      </c>
      <c r="R86" s="268" t="s">
        <v>3383</v>
      </c>
      <c r="S86" s="268"/>
      <c r="T86" s="268">
        <v>1</v>
      </c>
      <c r="U86" s="268" t="s">
        <v>4880</v>
      </c>
      <c r="V86" s="269">
        <v>5</v>
      </c>
      <c r="W86" s="269">
        <v>10024</v>
      </c>
      <c r="X86" s="268" t="s">
        <v>4881</v>
      </c>
      <c r="Y86" s="331" t="s">
        <v>4950</v>
      </c>
      <c r="Z86" s="332" t="s">
        <v>4951</v>
      </c>
      <c r="AA86" s="268" t="s">
        <v>4884</v>
      </c>
      <c r="AB86" s="268"/>
      <c r="AC86" s="287">
        <v>1</v>
      </c>
      <c r="AD86" s="287">
        <v>1</v>
      </c>
      <c r="AE86" s="268">
        <v>10024</v>
      </c>
      <c r="AF86" s="268" t="s">
        <v>4952</v>
      </c>
      <c r="AG86" s="290"/>
    </row>
    <row r="87" spans="1:33" s="145" customFormat="1" x14ac:dyDescent="0.15">
      <c r="A87" s="267">
        <v>95102066</v>
      </c>
      <c r="B87" s="268" t="s">
        <v>4947</v>
      </c>
      <c r="C87" s="268" t="s">
        <v>134</v>
      </c>
      <c r="D87" s="268">
        <v>5072</v>
      </c>
      <c r="E87" s="268" t="s">
        <v>4876</v>
      </c>
      <c r="F87" s="268" t="s">
        <v>4877</v>
      </c>
      <c r="G87" s="269">
        <v>7</v>
      </c>
      <c r="H87" s="269">
        <v>0</v>
      </c>
      <c r="I87" s="267">
        <v>34</v>
      </c>
      <c r="J87" s="282" t="s">
        <v>4948</v>
      </c>
      <c r="K87" s="279" t="s">
        <v>4949</v>
      </c>
      <c r="L87" s="279"/>
      <c r="M87" s="268">
        <v>1</v>
      </c>
      <c r="N87" s="268" t="b">
        <v>1</v>
      </c>
      <c r="O87" s="268">
        <v>3500</v>
      </c>
      <c r="P87" s="281">
        <v>52500</v>
      </c>
      <c r="Q87" s="281">
        <v>70000</v>
      </c>
      <c r="R87" s="268" t="s">
        <v>3383</v>
      </c>
      <c r="S87" s="268"/>
      <c r="T87" s="268">
        <v>1</v>
      </c>
      <c r="U87" s="268" t="s">
        <v>4880</v>
      </c>
      <c r="V87" s="269">
        <v>10</v>
      </c>
      <c r="W87" s="269">
        <v>10024</v>
      </c>
      <c r="X87" s="268" t="s">
        <v>4881</v>
      </c>
      <c r="Y87" s="331" t="s">
        <v>4950</v>
      </c>
      <c r="Z87" s="332" t="s">
        <v>4951</v>
      </c>
      <c r="AA87" s="268" t="s">
        <v>4884</v>
      </c>
      <c r="AB87" s="268"/>
      <c r="AC87" s="292">
        <v>1</v>
      </c>
      <c r="AD87" s="292">
        <v>1</v>
      </c>
      <c r="AE87" s="268">
        <v>10024</v>
      </c>
      <c r="AF87" s="268" t="s">
        <v>4952</v>
      </c>
      <c r="AG87" s="290"/>
    </row>
    <row r="88" spans="1:33" s="145" customFormat="1" x14ac:dyDescent="0.15">
      <c r="A88" s="270">
        <v>95102067</v>
      </c>
      <c r="B88" s="268" t="s">
        <v>4947</v>
      </c>
      <c r="C88" s="268" t="s">
        <v>134</v>
      </c>
      <c r="D88" s="268">
        <v>5072</v>
      </c>
      <c r="E88" s="268" t="s">
        <v>4876</v>
      </c>
      <c r="F88" s="268" t="s">
        <v>4877</v>
      </c>
      <c r="G88" s="269">
        <v>6</v>
      </c>
      <c r="H88" s="269">
        <v>0</v>
      </c>
      <c r="I88" s="267">
        <v>34</v>
      </c>
      <c r="J88" s="282" t="s">
        <v>4948</v>
      </c>
      <c r="K88" s="279" t="s">
        <v>4949</v>
      </c>
      <c r="L88" s="279"/>
      <c r="M88" s="268">
        <v>1</v>
      </c>
      <c r="N88" s="268" t="b">
        <v>1</v>
      </c>
      <c r="O88" s="268">
        <v>4800</v>
      </c>
      <c r="P88" s="281">
        <v>72000</v>
      </c>
      <c r="Q88" s="281">
        <v>96000</v>
      </c>
      <c r="R88" s="268" t="s">
        <v>3383</v>
      </c>
      <c r="S88" s="268"/>
      <c r="T88" s="268">
        <v>1</v>
      </c>
      <c r="U88" s="268" t="s">
        <v>4880</v>
      </c>
      <c r="V88" s="269">
        <v>7</v>
      </c>
      <c r="W88" s="269">
        <v>10024</v>
      </c>
      <c r="X88" s="268" t="s">
        <v>4881</v>
      </c>
      <c r="Y88" s="331" t="s">
        <v>4950</v>
      </c>
      <c r="Z88" s="332" t="s">
        <v>4951</v>
      </c>
      <c r="AA88" s="268" t="s">
        <v>4884</v>
      </c>
      <c r="AB88" s="268"/>
      <c r="AC88" s="287">
        <v>1</v>
      </c>
      <c r="AD88" s="287">
        <v>1</v>
      </c>
      <c r="AE88" s="268">
        <v>10024</v>
      </c>
      <c r="AF88" s="268" t="s">
        <v>4952</v>
      </c>
      <c r="AG88" s="290"/>
    </row>
    <row r="89" spans="1:33" s="258" customFormat="1" x14ac:dyDescent="0.15">
      <c r="A89" s="271">
        <v>95102068</v>
      </c>
      <c r="B89" s="272" t="s">
        <v>4953</v>
      </c>
      <c r="C89" s="272" t="s">
        <v>134</v>
      </c>
      <c r="D89" s="272">
        <v>5081</v>
      </c>
      <c r="E89" s="272" t="s">
        <v>4876</v>
      </c>
      <c r="F89" s="272" t="s">
        <v>4877</v>
      </c>
      <c r="G89" s="269">
        <v>6</v>
      </c>
      <c r="H89" s="273">
        <v>0</v>
      </c>
      <c r="I89" s="283">
        <v>34</v>
      </c>
      <c r="J89" s="284" t="s">
        <v>4948</v>
      </c>
      <c r="K89" s="285" t="s">
        <v>4949</v>
      </c>
      <c r="L89" s="272" t="s">
        <v>44</v>
      </c>
      <c r="M89" s="272">
        <v>1</v>
      </c>
      <c r="N89" s="272" t="b">
        <v>1</v>
      </c>
      <c r="O89" s="272">
        <v>3500</v>
      </c>
      <c r="P89" s="281">
        <v>52500</v>
      </c>
      <c r="Q89" s="281">
        <v>70000</v>
      </c>
      <c r="R89" s="272" t="s">
        <v>3383</v>
      </c>
      <c r="S89" s="272"/>
      <c r="T89" s="272">
        <v>1</v>
      </c>
      <c r="U89" s="272" t="s">
        <v>4880</v>
      </c>
      <c r="V89" s="273">
        <v>10</v>
      </c>
      <c r="W89" s="273">
        <v>10024</v>
      </c>
      <c r="X89" s="272" t="s">
        <v>4881</v>
      </c>
      <c r="Y89" s="333" t="s">
        <v>4950</v>
      </c>
      <c r="Z89" s="334" t="s">
        <v>4951</v>
      </c>
      <c r="AA89" s="272" t="s">
        <v>4884</v>
      </c>
      <c r="AB89" s="272"/>
      <c r="AC89" s="289">
        <v>1</v>
      </c>
      <c r="AD89" s="289">
        <v>1</v>
      </c>
      <c r="AE89" s="289">
        <v>10024</v>
      </c>
      <c r="AF89" s="272" t="s">
        <v>4952</v>
      </c>
      <c r="AG89" s="272"/>
    </row>
    <row r="90" spans="1:33" s="258" customFormat="1" x14ac:dyDescent="0.15">
      <c r="A90" s="271">
        <v>95102069</v>
      </c>
      <c r="B90" s="272" t="s">
        <v>4954</v>
      </c>
      <c r="C90" s="272" t="s">
        <v>134</v>
      </c>
      <c r="D90" s="272">
        <v>5081</v>
      </c>
      <c r="E90" s="272" t="s">
        <v>4876</v>
      </c>
      <c r="F90" s="272" t="s">
        <v>4877</v>
      </c>
      <c r="G90" s="269">
        <v>6</v>
      </c>
      <c r="H90" s="273">
        <v>0</v>
      </c>
      <c r="I90" s="283">
        <v>34</v>
      </c>
      <c r="J90" s="284" t="s">
        <v>4948</v>
      </c>
      <c r="K90" s="285" t="s">
        <v>4949</v>
      </c>
      <c r="L90" s="272" t="s">
        <v>4887</v>
      </c>
      <c r="M90" s="272">
        <v>1</v>
      </c>
      <c r="N90" s="272" t="b">
        <v>1</v>
      </c>
      <c r="O90" s="272">
        <v>3500</v>
      </c>
      <c r="P90" s="281">
        <v>52500</v>
      </c>
      <c r="Q90" s="281">
        <v>70000</v>
      </c>
      <c r="R90" s="272" t="s">
        <v>3383</v>
      </c>
      <c r="S90" s="272"/>
      <c r="T90" s="272">
        <v>1</v>
      </c>
      <c r="U90" s="272" t="s">
        <v>4880</v>
      </c>
      <c r="V90" s="273">
        <v>10</v>
      </c>
      <c r="W90" s="273">
        <v>10024</v>
      </c>
      <c r="X90" s="272" t="s">
        <v>4881</v>
      </c>
      <c r="Y90" s="333" t="s">
        <v>4950</v>
      </c>
      <c r="Z90" s="334" t="s">
        <v>4951</v>
      </c>
      <c r="AA90" s="272" t="s">
        <v>4884</v>
      </c>
      <c r="AB90" s="272"/>
      <c r="AC90" s="289">
        <v>1</v>
      </c>
      <c r="AD90" s="289">
        <v>1</v>
      </c>
      <c r="AE90" s="289">
        <v>10024</v>
      </c>
      <c r="AF90" s="272" t="s">
        <v>4952</v>
      </c>
      <c r="AG90" s="272"/>
    </row>
    <row r="91" spans="1:33" s="258" customFormat="1" x14ac:dyDescent="0.15">
      <c r="A91" s="271">
        <v>95102070</v>
      </c>
      <c r="B91" s="272" t="s">
        <v>4955</v>
      </c>
      <c r="C91" s="272" t="s">
        <v>134</v>
      </c>
      <c r="D91" s="272">
        <v>5081</v>
      </c>
      <c r="E91" s="272" t="s">
        <v>4876</v>
      </c>
      <c r="F91" s="272" t="s">
        <v>4877</v>
      </c>
      <c r="G91" s="269">
        <v>7</v>
      </c>
      <c r="H91" s="273">
        <v>0</v>
      </c>
      <c r="I91" s="283">
        <v>34</v>
      </c>
      <c r="J91" s="284" t="s">
        <v>4948</v>
      </c>
      <c r="K91" s="285" t="s">
        <v>4949</v>
      </c>
      <c r="L91" s="272" t="s">
        <v>4889</v>
      </c>
      <c r="M91" s="272">
        <v>1</v>
      </c>
      <c r="N91" s="272" t="b">
        <v>1</v>
      </c>
      <c r="O91" s="272">
        <v>4800</v>
      </c>
      <c r="P91" s="281">
        <v>72000</v>
      </c>
      <c r="Q91" s="281">
        <v>96000</v>
      </c>
      <c r="R91" s="272" t="s">
        <v>3383</v>
      </c>
      <c r="S91" s="272"/>
      <c r="T91" s="272">
        <v>1</v>
      </c>
      <c r="U91" s="272" t="s">
        <v>4880</v>
      </c>
      <c r="V91" s="273">
        <v>10</v>
      </c>
      <c r="W91" s="273">
        <v>10024</v>
      </c>
      <c r="X91" s="272" t="s">
        <v>4881</v>
      </c>
      <c r="Y91" s="333" t="s">
        <v>4950</v>
      </c>
      <c r="Z91" s="334" t="s">
        <v>4951</v>
      </c>
      <c r="AA91" s="272" t="s">
        <v>4884</v>
      </c>
      <c r="AB91" s="272"/>
      <c r="AC91" s="289">
        <v>1</v>
      </c>
      <c r="AD91" s="289">
        <v>1</v>
      </c>
      <c r="AE91" s="289">
        <v>10024</v>
      </c>
      <c r="AF91" s="272" t="s">
        <v>4952</v>
      </c>
      <c r="AG91" s="272"/>
    </row>
    <row r="92" spans="1:33" s="145" customFormat="1" x14ac:dyDescent="0.15">
      <c r="A92" s="267">
        <v>95102071</v>
      </c>
      <c r="B92" s="268" t="s">
        <v>4956</v>
      </c>
      <c r="C92" s="268" t="s">
        <v>134</v>
      </c>
      <c r="D92" s="268">
        <v>5072</v>
      </c>
      <c r="E92" s="268" t="s">
        <v>4876</v>
      </c>
      <c r="F92" s="268" t="s">
        <v>4877</v>
      </c>
      <c r="G92" s="269">
        <v>1</v>
      </c>
      <c r="H92" s="269">
        <v>0</v>
      </c>
      <c r="I92" s="267">
        <v>34</v>
      </c>
      <c r="J92" s="282" t="s">
        <v>4957</v>
      </c>
      <c r="K92" s="279" t="s">
        <v>4958</v>
      </c>
      <c r="L92" s="279"/>
      <c r="M92" s="268">
        <v>1</v>
      </c>
      <c r="N92" s="268" t="b">
        <v>1</v>
      </c>
      <c r="O92" s="268">
        <v>2</v>
      </c>
      <c r="P92" s="281">
        <v>30</v>
      </c>
      <c r="Q92" s="281">
        <v>40</v>
      </c>
      <c r="R92" s="268" t="s">
        <v>3383</v>
      </c>
      <c r="S92" s="268"/>
      <c r="T92" s="268">
        <v>1</v>
      </c>
      <c r="U92" s="268" t="s">
        <v>4880</v>
      </c>
      <c r="V92" s="269">
        <v>1</v>
      </c>
      <c r="W92" s="269"/>
      <c r="X92" s="268" t="s">
        <v>4881</v>
      </c>
      <c r="Y92" s="331" t="s">
        <v>4959</v>
      </c>
      <c r="Z92" s="332" t="s">
        <v>4960</v>
      </c>
      <c r="AA92" s="268" t="s">
        <v>4884</v>
      </c>
      <c r="AB92" s="268"/>
      <c r="AC92" s="287">
        <v>1</v>
      </c>
      <c r="AD92" s="287">
        <v>1</v>
      </c>
      <c r="AE92" s="268"/>
      <c r="AF92" s="268"/>
      <c r="AG92" s="290"/>
    </row>
    <row r="93" spans="1:33" s="145" customFormat="1" x14ac:dyDescent="0.15">
      <c r="A93" s="267">
        <v>95102072</v>
      </c>
      <c r="B93" s="268" t="s">
        <v>4956</v>
      </c>
      <c r="C93" s="268" t="s">
        <v>134</v>
      </c>
      <c r="D93" s="268">
        <v>5072</v>
      </c>
      <c r="E93" s="268" t="s">
        <v>4876</v>
      </c>
      <c r="F93" s="268" t="s">
        <v>4877</v>
      </c>
      <c r="G93" s="269">
        <v>2</v>
      </c>
      <c r="H93" s="269">
        <v>0</v>
      </c>
      <c r="I93" s="267">
        <v>34</v>
      </c>
      <c r="J93" s="282" t="s">
        <v>4957</v>
      </c>
      <c r="K93" s="279" t="s">
        <v>4958</v>
      </c>
      <c r="L93" s="279"/>
      <c r="M93" s="268">
        <v>1</v>
      </c>
      <c r="N93" s="268" t="b">
        <v>1</v>
      </c>
      <c r="O93" s="268">
        <v>5</v>
      </c>
      <c r="P93" s="281">
        <v>75</v>
      </c>
      <c r="Q93" s="281">
        <v>100</v>
      </c>
      <c r="R93" s="268" t="s">
        <v>3383</v>
      </c>
      <c r="S93" s="268"/>
      <c r="T93" s="268">
        <v>1</v>
      </c>
      <c r="U93" s="268" t="s">
        <v>4880</v>
      </c>
      <c r="V93" s="269">
        <v>2</v>
      </c>
      <c r="W93" s="269"/>
      <c r="X93" s="268" t="s">
        <v>4881</v>
      </c>
      <c r="Y93" s="331" t="s">
        <v>4959</v>
      </c>
      <c r="Z93" s="332" t="s">
        <v>4960</v>
      </c>
      <c r="AA93" s="268" t="s">
        <v>4884</v>
      </c>
      <c r="AB93" s="268"/>
      <c r="AC93" s="287">
        <v>1</v>
      </c>
      <c r="AD93" s="287">
        <v>1</v>
      </c>
      <c r="AE93" s="268"/>
      <c r="AF93" s="268"/>
      <c r="AG93" s="290"/>
    </row>
    <row r="94" spans="1:33" s="145" customFormat="1" x14ac:dyDescent="0.15">
      <c r="A94" s="267">
        <v>95102073</v>
      </c>
      <c r="B94" s="268" t="s">
        <v>4956</v>
      </c>
      <c r="C94" s="268" t="s">
        <v>134</v>
      </c>
      <c r="D94" s="268">
        <v>5072</v>
      </c>
      <c r="E94" s="268" t="s">
        <v>4876</v>
      </c>
      <c r="F94" s="268" t="s">
        <v>4877</v>
      </c>
      <c r="G94" s="269">
        <v>3</v>
      </c>
      <c r="H94" s="269">
        <v>0</v>
      </c>
      <c r="I94" s="267">
        <v>34</v>
      </c>
      <c r="J94" s="282" t="s">
        <v>4957</v>
      </c>
      <c r="K94" s="279" t="s">
        <v>4958</v>
      </c>
      <c r="L94" s="279"/>
      <c r="M94" s="268">
        <v>1</v>
      </c>
      <c r="N94" s="268" t="b">
        <v>1</v>
      </c>
      <c r="O94" s="268">
        <v>7</v>
      </c>
      <c r="P94" s="281">
        <v>105</v>
      </c>
      <c r="Q94" s="281">
        <v>140</v>
      </c>
      <c r="R94" s="268" t="s">
        <v>3383</v>
      </c>
      <c r="S94" s="268"/>
      <c r="T94" s="268">
        <v>1</v>
      </c>
      <c r="U94" s="268" t="s">
        <v>4880</v>
      </c>
      <c r="V94" s="269">
        <v>3</v>
      </c>
      <c r="W94" s="269"/>
      <c r="X94" s="268" t="s">
        <v>4881</v>
      </c>
      <c r="Y94" s="331" t="s">
        <v>4959</v>
      </c>
      <c r="Z94" s="332" t="s">
        <v>4960</v>
      </c>
      <c r="AA94" s="268" t="s">
        <v>4884</v>
      </c>
      <c r="AB94" s="268"/>
      <c r="AC94" s="287">
        <v>1</v>
      </c>
      <c r="AD94" s="287">
        <v>1</v>
      </c>
      <c r="AE94" s="268"/>
      <c r="AF94" s="268"/>
      <c r="AG94" s="290"/>
    </row>
    <row r="95" spans="1:33" s="145" customFormat="1" x14ac:dyDescent="0.15">
      <c r="A95" s="267">
        <v>95102074</v>
      </c>
      <c r="B95" s="268" t="s">
        <v>4956</v>
      </c>
      <c r="C95" s="268" t="s">
        <v>134</v>
      </c>
      <c r="D95" s="268">
        <v>5072</v>
      </c>
      <c r="E95" s="268" t="s">
        <v>4876</v>
      </c>
      <c r="F95" s="268" t="s">
        <v>4877</v>
      </c>
      <c r="G95" s="269">
        <v>4</v>
      </c>
      <c r="H95" s="269">
        <v>0</v>
      </c>
      <c r="I95" s="267">
        <v>34</v>
      </c>
      <c r="J95" s="282" t="s">
        <v>4957</v>
      </c>
      <c r="K95" s="279" t="s">
        <v>4958</v>
      </c>
      <c r="L95" s="279"/>
      <c r="M95" s="268">
        <v>1</v>
      </c>
      <c r="N95" s="268" t="b">
        <v>1</v>
      </c>
      <c r="O95" s="268">
        <v>10</v>
      </c>
      <c r="P95" s="281">
        <v>150</v>
      </c>
      <c r="Q95" s="281">
        <v>200</v>
      </c>
      <c r="R95" s="268" t="s">
        <v>3383</v>
      </c>
      <c r="S95" s="268"/>
      <c r="T95" s="268">
        <v>1</v>
      </c>
      <c r="U95" s="268" t="s">
        <v>4880</v>
      </c>
      <c r="V95" s="269">
        <v>4</v>
      </c>
      <c r="W95" s="269"/>
      <c r="X95" s="268" t="s">
        <v>4881</v>
      </c>
      <c r="Y95" s="331" t="s">
        <v>4959</v>
      </c>
      <c r="Z95" s="332" t="s">
        <v>4960</v>
      </c>
      <c r="AA95" s="268" t="s">
        <v>4884</v>
      </c>
      <c r="AB95" s="268"/>
      <c r="AC95" s="287">
        <v>1</v>
      </c>
      <c r="AD95" s="287">
        <v>1</v>
      </c>
      <c r="AE95" s="268"/>
      <c r="AF95" s="268"/>
      <c r="AG95" s="290"/>
    </row>
    <row r="96" spans="1:33" s="145" customFormat="1" x14ac:dyDescent="0.15">
      <c r="A96" s="267">
        <v>95102075</v>
      </c>
      <c r="B96" s="268" t="s">
        <v>4956</v>
      </c>
      <c r="C96" s="268" t="s">
        <v>134</v>
      </c>
      <c r="D96" s="268">
        <v>5072</v>
      </c>
      <c r="E96" s="268" t="s">
        <v>4876</v>
      </c>
      <c r="F96" s="268" t="s">
        <v>4877</v>
      </c>
      <c r="G96" s="269">
        <v>5</v>
      </c>
      <c r="H96" s="269">
        <v>0</v>
      </c>
      <c r="I96" s="267">
        <v>34</v>
      </c>
      <c r="J96" s="282" t="s">
        <v>4957</v>
      </c>
      <c r="K96" s="279" t="s">
        <v>4958</v>
      </c>
      <c r="L96" s="279"/>
      <c r="M96" s="268">
        <v>1</v>
      </c>
      <c r="N96" s="268" t="b">
        <v>1</v>
      </c>
      <c r="O96" s="268">
        <v>12</v>
      </c>
      <c r="P96" s="281">
        <v>180</v>
      </c>
      <c r="Q96" s="281">
        <v>240</v>
      </c>
      <c r="R96" s="268" t="s">
        <v>3383</v>
      </c>
      <c r="S96" s="268"/>
      <c r="T96" s="268">
        <v>1</v>
      </c>
      <c r="U96" s="268" t="s">
        <v>4880</v>
      </c>
      <c r="V96" s="269">
        <v>5</v>
      </c>
      <c r="W96" s="269"/>
      <c r="X96" s="268" t="s">
        <v>4881</v>
      </c>
      <c r="Y96" s="331" t="s">
        <v>4959</v>
      </c>
      <c r="Z96" s="332" t="s">
        <v>4960</v>
      </c>
      <c r="AA96" s="268" t="s">
        <v>4884</v>
      </c>
      <c r="AB96" s="268"/>
      <c r="AC96" s="287">
        <v>1</v>
      </c>
      <c r="AD96" s="287">
        <v>1</v>
      </c>
      <c r="AE96" s="268"/>
      <c r="AF96" s="268"/>
      <c r="AG96" s="290"/>
    </row>
    <row r="97" spans="1:33" s="145" customFormat="1" x14ac:dyDescent="0.15">
      <c r="A97" s="267">
        <v>95102076</v>
      </c>
      <c r="B97" s="268" t="s">
        <v>4956</v>
      </c>
      <c r="C97" s="268" t="s">
        <v>134</v>
      </c>
      <c r="D97" s="268">
        <v>5072</v>
      </c>
      <c r="E97" s="268" t="s">
        <v>4876</v>
      </c>
      <c r="F97" s="268" t="s">
        <v>4877</v>
      </c>
      <c r="G97" s="269">
        <v>7</v>
      </c>
      <c r="H97" s="269">
        <v>0</v>
      </c>
      <c r="I97" s="267">
        <v>34</v>
      </c>
      <c r="J97" s="282" t="s">
        <v>4957</v>
      </c>
      <c r="K97" s="279" t="s">
        <v>4958</v>
      </c>
      <c r="L97" s="279"/>
      <c r="M97" s="268">
        <v>1</v>
      </c>
      <c r="N97" s="268" t="b">
        <v>1</v>
      </c>
      <c r="O97" s="268">
        <v>25</v>
      </c>
      <c r="P97" s="281">
        <v>375</v>
      </c>
      <c r="Q97" s="281">
        <v>500</v>
      </c>
      <c r="R97" s="268" t="s">
        <v>3383</v>
      </c>
      <c r="S97" s="268"/>
      <c r="T97" s="268">
        <v>1</v>
      </c>
      <c r="U97" s="268" t="s">
        <v>4880</v>
      </c>
      <c r="V97" s="269">
        <v>10</v>
      </c>
      <c r="W97" s="269"/>
      <c r="X97" s="268" t="s">
        <v>4881</v>
      </c>
      <c r="Y97" s="331" t="s">
        <v>4959</v>
      </c>
      <c r="Z97" s="332" t="s">
        <v>4960</v>
      </c>
      <c r="AA97" s="268" t="s">
        <v>4884</v>
      </c>
      <c r="AB97" s="268"/>
      <c r="AC97" s="292">
        <v>1</v>
      </c>
      <c r="AD97" s="292">
        <v>1</v>
      </c>
      <c r="AE97" s="268"/>
      <c r="AF97" s="268"/>
      <c r="AG97" s="290"/>
    </row>
    <row r="98" spans="1:33" s="145" customFormat="1" x14ac:dyDescent="0.15">
      <c r="A98" s="270">
        <v>95102077</v>
      </c>
      <c r="B98" s="268" t="s">
        <v>4956</v>
      </c>
      <c r="C98" s="268" t="s">
        <v>134</v>
      </c>
      <c r="D98" s="268">
        <v>5072</v>
      </c>
      <c r="E98" s="268" t="s">
        <v>4876</v>
      </c>
      <c r="F98" s="268" t="s">
        <v>4877</v>
      </c>
      <c r="G98" s="269">
        <v>6</v>
      </c>
      <c r="H98" s="269">
        <v>0</v>
      </c>
      <c r="I98" s="267">
        <v>34</v>
      </c>
      <c r="J98" s="282" t="s">
        <v>4957</v>
      </c>
      <c r="K98" s="279" t="s">
        <v>4958</v>
      </c>
      <c r="L98" s="279"/>
      <c r="M98" s="268">
        <v>1</v>
      </c>
      <c r="N98" s="268" t="b">
        <v>1</v>
      </c>
      <c r="O98" s="268">
        <v>38</v>
      </c>
      <c r="P98" s="281">
        <v>570</v>
      </c>
      <c r="Q98" s="281">
        <v>760</v>
      </c>
      <c r="R98" s="268" t="s">
        <v>3383</v>
      </c>
      <c r="S98" s="268"/>
      <c r="T98" s="268">
        <v>1</v>
      </c>
      <c r="U98" s="268" t="s">
        <v>4880</v>
      </c>
      <c r="V98" s="269">
        <v>7</v>
      </c>
      <c r="W98" s="269"/>
      <c r="X98" s="268" t="s">
        <v>4881</v>
      </c>
      <c r="Y98" s="331" t="s">
        <v>4959</v>
      </c>
      <c r="Z98" s="332" t="s">
        <v>4960</v>
      </c>
      <c r="AA98" s="268" t="s">
        <v>4884</v>
      </c>
      <c r="AB98" s="268"/>
      <c r="AC98" s="287">
        <v>1</v>
      </c>
      <c r="AD98" s="287">
        <v>1</v>
      </c>
      <c r="AE98" s="268"/>
      <c r="AF98" s="268"/>
      <c r="AG98" s="290"/>
    </row>
    <row r="99" spans="1:33" s="258" customFormat="1" x14ac:dyDescent="0.15">
      <c r="A99" s="271">
        <v>95102078</v>
      </c>
      <c r="B99" s="272" t="s">
        <v>4961</v>
      </c>
      <c r="C99" s="272" t="s">
        <v>134</v>
      </c>
      <c r="D99" s="272">
        <v>5081</v>
      </c>
      <c r="E99" s="272" t="s">
        <v>4876</v>
      </c>
      <c r="F99" s="272" t="s">
        <v>4877</v>
      </c>
      <c r="G99" s="269">
        <v>6</v>
      </c>
      <c r="H99" s="273">
        <v>0</v>
      </c>
      <c r="I99" s="283">
        <v>34</v>
      </c>
      <c r="J99" s="284" t="s">
        <v>4957</v>
      </c>
      <c r="K99" s="285" t="s">
        <v>4958</v>
      </c>
      <c r="L99" s="272" t="s">
        <v>44</v>
      </c>
      <c r="M99" s="272">
        <v>1</v>
      </c>
      <c r="N99" s="272" t="b">
        <v>1</v>
      </c>
      <c r="O99" s="272">
        <v>51</v>
      </c>
      <c r="P99" s="281">
        <v>765</v>
      </c>
      <c r="Q99" s="281">
        <v>1020</v>
      </c>
      <c r="R99" s="272" t="s">
        <v>3383</v>
      </c>
      <c r="S99" s="272"/>
      <c r="T99" s="272">
        <v>1</v>
      </c>
      <c r="U99" s="272" t="s">
        <v>4880</v>
      </c>
      <c r="V99" s="273">
        <v>10</v>
      </c>
      <c r="W99" s="273"/>
      <c r="X99" s="272" t="s">
        <v>4881</v>
      </c>
      <c r="Y99" s="333" t="s">
        <v>4959</v>
      </c>
      <c r="Z99" s="334" t="s">
        <v>4960</v>
      </c>
      <c r="AA99" s="272" t="s">
        <v>4884</v>
      </c>
      <c r="AB99" s="272"/>
      <c r="AC99" s="289">
        <v>1</v>
      </c>
      <c r="AD99" s="289">
        <v>1</v>
      </c>
      <c r="AE99" s="289"/>
      <c r="AF99" s="272"/>
      <c r="AG99" s="272"/>
    </row>
    <row r="100" spans="1:33" s="258" customFormat="1" x14ac:dyDescent="0.15">
      <c r="A100" s="271">
        <v>95102079</v>
      </c>
      <c r="B100" s="272" t="s">
        <v>4962</v>
      </c>
      <c r="C100" s="272" t="s">
        <v>134</v>
      </c>
      <c r="D100" s="272">
        <v>5081</v>
      </c>
      <c r="E100" s="272" t="s">
        <v>4876</v>
      </c>
      <c r="F100" s="272" t="s">
        <v>4877</v>
      </c>
      <c r="G100" s="269">
        <v>6</v>
      </c>
      <c r="H100" s="273">
        <v>0</v>
      </c>
      <c r="I100" s="283">
        <v>34</v>
      </c>
      <c r="J100" s="284" t="s">
        <v>4957</v>
      </c>
      <c r="K100" s="285" t="s">
        <v>4958</v>
      </c>
      <c r="L100" s="272" t="s">
        <v>4887</v>
      </c>
      <c r="M100" s="272">
        <v>1</v>
      </c>
      <c r="N100" s="272" t="b">
        <v>1</v>
      </c>
      <c r="O100" s="272">
        <v>64</v>
      </c>
      <c r="P100" s="281">
        <v>960</v>
      </c>
      <c r="Q100" s="281">
        <v>1280</v>
      </c>
      <c r="R100" s="272" t="s">
        <v>3383</v>
      </c>
      <c r="S100" s="272"/>
      <c r="T100" s="272">
        <v>1</v>
      </c>
      <c r="U100" s="272" t="s">
        <v>4880</v>
      </c>
      <c r="V100" s="273">
        <v>10</v>
      </c>
      <c r="W100" s="273"/>
      <c r="X100" s="272" t="s">
        <v>4881</v>
      </c>
      <c r="Y100" s="333" t="s">
        <v>4959</v>
      </c>
      <c r="Z100" s="334" t="s">
        <v>4960</v>
      </c>
      <c r="AA100" s="272" t="s">
        <v>4884</v>
      </c>
      <c r="AB100" s="272"/>
      <c r="AC100" s="289">
        <v>1</v>
      </c>
      <c r="AD100" s="289">
        <v>1</v>
      </c>
      <c r="AE100" s="289"/>
      <c r="AF100" s="272"/>
      <c r="AG100" s="272"/>
    </row>
    <row r="101" spans="1:33" s="258" customFormat="1" x14ac:dyDescent="0.15">
      <c r="A101" s="271">
        <v>95102080</v>
      </c>
      <c r="B101" s="272" t="s">
        <v>4963</v>
      </c>
      <c r="C101" s="272" t="s">
        <v>134</v>
      </c>
      <c r="D101" s="272">
        <v>5081</v>
      </c>
      <c r="E101" s="272" t="s">
        <v>4876</v>
      </c>
      <c r="F101" s="272" t="s">
        <v>4877</v>
      </c>
      <c r="G101" s="269">
        <v>7</v>
      </c>
      <c r="H101" s="273">
        <v>0</v>
      </c>
      <c r="I101" s="283">
        <v>34</v>
      </c>
      <c r="J101" s="284" t="s">
        <v>4957</v>
      </c>
      <c r="K101" s="285" t="s">
        <v>4958</v>
      </c>
      <c r="L101" s="272" t="s">
        <v>4889</v>
      </c>
      <c r="M101" s="272">
        <v>1</v>
      </c>
      <c r="N101" s="272" t="b">
        <v>1</v>
      </c>
      <c r="O101" s="272">
        <v>77</v>
      </c>
      <c r="P101" s="281">
        <v>1155</v>
      </c>
      <c r="Q101" s="281">
        <v>1540</v>
      </c>
      <c r="R101" s="272" t="s">
        <v>3383</v>
      </c>
      <c r="S101" s="272"/>
      <c r="T101" s="272">
        <v>1</v>
      </c>
      <c r="U101" s="272" t="s">
        <v>4880</v>
      </c>
      <c r="V101" s="273">
        <v>10</v>
      </c>
      <c r="W101" s="273"/>
      <c r="X101" s="272" t="s">
        <v>4881</v>
      </c>
      <c r="Y101" s="333" t="s">
        <v>4959</v>
      </c>
      <c r="Z101" s="334" t="s">
        <v>4960</v>
      </c>
      <c r="AA101" s="272" t="s">
        <v>4884</v>
      </c>
      <c r="AB101" s="272"/>
      <c r="AC101" s="289">
        <v>1</v>
      </c>
      <c r="AD101" s="289">
        <v>1</v>
      </c>
      <c r="AE101" s="289"/>
      <c r="AF101" s="272"/>
      <c r="AG101" s="272"/>
    </row>
    <row r="102" spans="1:33" s="145" customFormat="1" x14ac:dyDescent="0.15">
      <c r="A102" s="267">
        <v>95103011</v>
      </c>
      <c r="B102" s="268" t="s">
        <v>4964</v>
      </c>
      <c r="C102" s="268" t="s">
        <v>363</v>
      </c>
      <c r="D102" s="268">
        <v>5061</v>
      </c>
      <c r="E102" s="268" t="s">
        <v>4876</v>
      </c>
      <c r="F102" s="268" t="s">
        <v>4877</v>
      </c>
      <c r="G102" s="269">
        <v>1</v>
      </c>
      <c r="H102" s="269">
        <v>0</v>
      </c>
      <c r="I102" s="267">
        <v>34</v>
      </c>
      <c r="J102" s="282" t="s">
        <v>4965</v>
      </c>
      <c r="K102" s="279" t="s">
        <v>4966</v>
      </c>
      <c r="L102" s="279"/>
      <c r="M102" s="268">
        <v>1</v>
      </c>
      <c r="N102" s="268" t="b">
        <v>1</v>
      </c>
      <c r="O102" s="268">
        <v>2</v>
      </c>
      <c r="P102" s="281">
        <v>30</v>
      </c>
      <c r="Q102" s="281">
        <v>40</v>
      </c>
      <c r="R102" s="268" t="s">
        <v>3383</v>
      </c>
      <c r="S102" s="268"/>
      <c r="T102" s="268">
        <v>1</v>
      </c>
      <c r="U102" s="268" t="s">
        <v>4880</v>
      </c>
      <c r="V102" s="269">
        <v>1</v>
      </c>
      <c r="W102" s="269"/>
      <c r="X102" s="268" t="s">
        <v>4881</v>
      </c>
      <c r="Y102" s="331" t="s">
        <v>4967</v>
      </c>
      <c r="Z102" s="335" t="s">
        <v>4968</v>
      </c>
      <c r="AA102" s="268" t="s">
        <v>4884</v>
      </c>
      <c r="AB102" s="268"/>
      <c r="AC102" s="287">
        <v>1</v>
      </c>
      <c r="AD102" s="287">
        <v>1</v>
      </c>
      <c r="AE102" s="268"/>
      <c r="AF102" s="268"/>
      <c r="AG102" s="290"/>
    </row>
    <row r="103" spans="1:33" s="145" customFormat="1" x14ac:dyDescent="0.15">
      <c r="A103" s="267">
        <v>95103012</v>
      </c>
      <c r="B103" s="268" t="s">
        <v>4964</v>
      </c>
      <c r="C103" s="268" t="s">
        <v>363</v>
      </c>
      <c r="D103" s="268">
        <v>5061</v>
      </c>
      <c r="E103" s="268" t="s">
        <v>4876</v>
      </c>
      <c r="F103" s="268" t="s">
        <v>4877</v>
      </c>
      <c r="G103" s="269">
        <v>2</v>
      </c>
      <c r="H103" s="269">
        <v>0</v>
      </c>
      <c r="I103" s="267">
        <v>34</v>
      </c>
      <c r="J103" s="282" t="s">
        <v>4965</v>
      </c>
      <c r="K103" s="279" t="s">
        <v>4966</v>
      </c>
      <c r="L103" s="279"/>
      <c r="M103" s="268">
        <v>1</v>
      </c>
      <c r="N103" s="268" t="b">
        <v>1</v>
      </c>
      <c r="O103" s="268">
        <v>5</v>
      </c>
      <c r="P103" s="281">
        <v>75</v>
      </c>
      <c r="Q103" s="281">
        <v>100</v>
      </c>
      <c r="R103" s="268" t="s">
        <v>3383</v>
      </c>
      <c r="S103" s="268"/>
      <c r="T103" s="268">
        <v>1</v>
      </c>
      <c r="U103" s="268" t="s">
        <v>4880</v>
      </c>
      <c r="V103" s="269">
        <v>2</v>
      </c>
      <c r="W103" s="269"/>
      <c r="X103" s="268" t="s">
        <v>4881</v>
      </c>
      <c r="Y103" s="331" t="s">
        <v>4967</v>
      </c>
      <c r="Z103" s="335" t="s">
        <v>4968</v>
      </c>
      <c r="AA103" s="268" t="s">
        <v>4884</v>
      </c>
      <c r="AB103" s="268"/>
      <c r="AC103" s="287">
        <v>1</v>
      </c>
      <c r="AD103" s="287">
        <v>1</v>
      </c>
      <c r="AE103" s="268"/>
      <c r="AF103" s="268"/>
      <c r="AG103" s="290"/>
    </row>
    <row r="104" spans="1:33" s="145" customFormat="1" x14ac:dyDescent="0.15">
      <c r="A104" s="267">
        <v>95103013</v>
      </c>
      <c r="B104" s="268" t="s">
        <v>4964</v>
      </c>
      <c r="C104" s="268" t="s">
        <v>363</v>
      </c>
      <c r="D104" s="268">
        <v>5061</v>
      </c>
      <c r="E104" s="268" t="s">
        <v>4876</v>
      </c>
      <c r="F104" s="268" t="s">
        <v>4877</v>
      </c>
      <c r="G104" s="269">
        <v>3</v>
      </c>
      <c r="H104" s="269">
        <v>0</v>
      </c>
      <c r="I104" s="267">
        <v>34</v>
      </c>
      <c r="J104" s="282" t="s">
        <v>4965</v>
      </c>
      <c r="K104" s="279" t="s">
        <v>4966</v>
      </c>
      <c r="L104" s="279"/>
      <c r="M104" s="268">
        <v>1</v>
      </c>
      <c r="N104" s="268" t="b">
        <v>1</v>
      </c>
      <c r="O104" s="268">
        <v>7</v>
      </c>
      <c r="P104" s="281">
        <v>105</v>
      </c>
      <c r="Q104" s="281">
        <v>140</v>
      </c>
      <c r="R104" s="268" t="s">
        <v>3383</v>
      </c>
      <c r="S104" s="268"/>
      <c r="T104" s="268">
        <v>1</v>
      </c>
      <c r="U104" s="268" t="s">
        <v>4880</v>
      </c>
      <c r="V104" s="269">
        <v>3</v>
      </c>
      <c r="W104" s="269"/>
      <c r="X104" s="268" t="s">
        <v>4881</v>
      </c>
      <c r="Y104" s="331" t="s">
        <v>4967</v>
      </c>
      <c r="Z104" s="335" t="s">
        <v>4968</v>
      </c>
      <c r="AA104" s="268" t="s">
        <v>4884</v>
      </c>
      <c r="AB104" s="268"/>
      <c r="AC104" s="287">
        <v>1</v>
      </c>
      <c r="AD104" s="287">
        <v>1</v>
      </c>
      <c r="AE104" s="268"/>
      <c r="AF104" s="268"/>
      <c r="AG104" s="290"/>
    </row>
    <row r="105" spans="1:33" s="145" customFormat="1" x14ac:dyDescent="0.15">
      <c r="A105" s="267">
        <v>95103014</v>
      </c>
      <c r="B105" s="268" t="s">
        <v>4964</v>
      </c>
      <c r="C105" s="268" t="s">
        <v>363</v>
      </c>
      <c r="D105" s="268">
        <v>5061</v>
      </c>
      <c r="E105" s="268" t="s">
        <v>4876</v>
      </c>
      <c r="F105" s="268" t="s">
        <v>4877</v>
      </c>
      <c r="G105" s="269">
        <v>4</v>
      </c>
      <c r="H105" s="269">
        <v>0</v>
      </c>
      <c r="I105" s="267">
        <v>34</v>
      </c>
      <c r="J105" s="282" t="s">
        <v>4965</v>
      </c>
      <c r="K105" s="279" t="s">
        <v>4966</v>
      </c>
      <c r="L105" s="279"/>
      <c r="M105" s="268">
        <v>1</v>
      </c>
      <c r="N105" s="268" t="b">
        <v>1</v>
      </c>
      <c r="O105" s="268">
        <v>10</v>
      </c>
      <c r="P105" s="281">
        <v>150</v>
      </c>
      <c r="Q105" s="281">
        <v>200</v>
      </c>
      <c r="R105" s="268" t="s">
        <v>3383</v>
      </c>
      <c r="S105" s="268"/>
      <c r="T105" s="268">
        <v>1</v>
      </c>
      <c r="U105" s="268" t="s">
        <v>4880</v>
      </c>
      <c r="V105" s="269">
        <v>4</v>
      </c>
      <c r="W105" s="269"/>
      <c r="X105" s="268" t="s">
        <v>4881</v>
      </c>
      <c r="Y105" s="331" t="s">
        <v>4967</v>
      </c>
      <c r="Z105" s="335" t="s">
        <v>4968</v>
      </c>
      <c r="AA105" s="268" t="s">
        <v>4884</v>
      </c>
      <c r="AB105" s="268"/>
      <c r="AC105" s="287">
        <v>1</v>
      </c>
      <c r="AD105" s="287">
        <v>1</v>
      </c>
      <c r="AE105" s="268"/>
      <c r="AF105" s="268"/>
      <c r="AG105" s="290"/>
    </row>
    <row r="106" spans="1:33" s="145" customFormat="1" x14ac:dyDescent="0.15">
      <c r="A106" s="267">
        <v>95103015</v>
      </c>
      <c r="B106" s="268" t="s">
        <v>4964</v>
      </c>
      <c r="C106" s="268" t="s">
        <v>363</v>
      </c>
      <c r="D106" s="268">
        <v>5061</v>
      </c>
      <c r="E106" s="268" t="s">
        <v>4876</v>
      </c>
      <c r="F106" s="268" t="s">
        <v>4877</v>
      </c>
      <c r="G106" s="269">
        <v>5</v>
      </c>
      <c r="H106" s="269">
        <v>0</v>
      </c>
      <c r="I106" s="267">
        <v>34</v>
      </c>
      <c r="J106" s="282" t="s">
        <v>4965</v>
      </c>
      <c r="K106" s="279" t="s">
        <v>4966</v>
      </c>
      <c r="L106" s="279"/>
      <c r="M106" s="268">
        <v>1</v>
      </c>
      <c r="N106" s="268" t="b">
        <v>1</v>
      </c>
      <c r="O106" s="268">
        <v>12</v>
      </c>
      <c r="P106" s="281">
        <v>180</v>
      </c>
      <c r="Q106" s="281">
        <v>240</v>
      </c>
      <c r="R106" s="268" t="s">
        <v>3383</v>
      </c>
      <c r="S106" s="268"/>
      <c r="T106" s="268">
        <v>1</v>
      </c>
      <c r="U106" s="268" t="s">
        <v>4880</v>
      </c>
      <c r="V106" s="269">
        <v>5</v>
      </c>
      <c r="W106" s="269"/>
      <c r="X106" s="268" t="s">
        <v>4881</v>
      </c>
      <c r="Y106" s="331" t="s">
        <v>4967</v>
      </c>
      <c r="Z106" s="335" t="s">
        <v>4968</v>
      </c>
      <c r="AA106" s="268" t="s">
        <v>4884</v>
      </c>
      <c r="AB106" s="268"/>
      <c r="AC106" s="287">
        <v>1</v>
      </c>
      <c r="AD106" s="287">
        <v>1</v>
      </c>
      <c r="AE106" s="268"/>
      <c r="AF106" s="268"/>
      <c r="AG106" s="290"/>
    </row>
    <row r="107" spans="1:33" s="145" customFormat="1" x14ac:dyDescent="0.15">
      <c r="A107" s="270">
        <v>95103016</v>
      </c>
      <c r="B107" s="268" t="s">
        <v>4964</v>
      </c>
      <c r="C107" s="268" t="s">
        <v>363</v>
      </c>
      <c r="D107" s="268">
        <v>5061</v>
      </c>
      <c r="E107" s="268" t="s">
        <v>4876</v>
      </c>
      <c r="F107" s="268" t="s">
        <v>4877</v>
      </c>
      <c r="G107" s="269">
        <v>6</v>
      </c>
      <c r="H107" s="269">
        <v>0</v>
      </c>
      <c r="I107" s="267">
        <v>34</v>
      </c>
      <c r="J107" s="282" t="s">
        <v>4965</v>
      </c>
      <c r="K107" s="279" t="s">
        <v>4966</v>
      </c>
      <c r="L107" s="279"/>
      <c r="M107" s="268">
        <v>1</v>
      </c>
      <c r="N107" s="268" t="b">
        <v>1</v>
      </c>
      <c r="O107" s="268">
        <v>25</v>
      </c>
      <c r="P107" s="281">
        <v>375</v>
      </c>
      <c r="Q107" s="281">
        <v>500</v>
      </c>
      <c r="R107" s="268" t="s">
        <v>3383</v>
      </c>
      <c r="S107" s="268"/>
      <c r="T107" s="268">
        <v>1</v>
      </c>
      <c r="U107" s="268" t="s">
        <v>4880</v>
      </c>
      <c r="V107" s="269">
        <v>7</v>
      </c>
      <c r="W107" s="269"/>
      <c r="X107" s="268" t="s">
        <v>4881</v>
      </c>
      <c r="Y107" s="331" t="s">
        <v>4967</v>
      </c>
      <c r="Z107" s="332" t="s">
        <v>4968</v>
      </c>
      <c r="AA107" s="268" t="s">
        <v>4884</v>
      </c>
      <c r="AB107" s="268"/>
      <c r="AC107" s="287">
        <v>1</v>
      </c>
      <c r="AD107" s="287">
        <v>1</v>
      </c>
      <c r="AE107" s="268"/>
      <c r="AF107" s="268"/>
      <c r="AG107" s="290"/>
    </row>
    <row r="108" spans="1:33" s="145" customFormat="1" x14ac:dyDescent="0.15">
      <c r="A108" s="270">
        <v>95103017</v>
      </c>
      <c r="B108" s="268" t="s">
        <v>4964</v>
      </c>
      <c r="C108" s="268" t="s">
        <v>363</v>
      </c>
      <c r="D108" s="268">
        <v>5061</v>
      </c>
      <c r="E108" s="268" t="s">
        <v>4876</v>
      </c>
      <c r="F108" s="268" t="s">
        <v>4877</v>
      </c>
      <c r="G108" s="269">
        <v>7</v>
      </c>
      <c r="H108" s="269">
        <v>0</v>
      </c>
      <c r="I108" s="267">
        <v>34</v>
      </c>
      <c r="J108" s="282" t="s">
        <v>4965</v>
      </c>
      <c r="K108" s="279" t="s">
        <v>4966</v>
      </c>
      <c r="L108" s="279"/>
      <c r="M108" s="268">
        <v>1</v>
      </c>
      <c r="N108" s="268" t="b">
        <v>1</v>
      </c>
      <c r="O108" s="268">
        <v>38</v>
      </c>
      <c r="P108" s="281">
        <v>570</v>
      </c>
      <c r="Q108" s="281">
        <v>760</v>
      </c>
      <c r="R108" s="268" t="s">
        <v>3383</v>
      </c>
      <c r="S108" s="268"/>
      <c r="T108" s="268">
        <v>1</v>
      </c>
      <c r="U108" s="268" t="s">
        <v>4880</v>
      </c>
      <c r="V108" s="269">
        <v>10</v>
      </c>
      <c r="W108" s="269"/>
      <c r="X108" s="268" t="s">
        <v>4881</v>
      </c>
      <c r="Y108" s="331" t="s">
        <v>4967</v>
      </c>
      <c r="Z108" s="332" t="s">
        <v>4968</v>
      </c>
      <c r="AA108" s="268" t="s">
        <v>4884</v>
      </c>
      <c r="AB108" s="268"/>
      <c r="AC108" s="287">
        <v>1</v>
      </c>
      <c r="AD108" s="287">
        <v>1</v>
      </c>
      <c r="AE108" s="268"/>
      <c r="AF108" s="268"/>
      <c r="AG108" s="290"/>
    </row>
    <row r="109" spans="1:33" s="258" customFormat="1" x14ac:dyDescent="0.15">
      <c r="A109" s="271">
        <v>95103018</v>
      </c>
      <c r="B109" s="272" t="s">
        <v>4969</v>
      </c>
      <c r="C109" s="272" t="s">
        <v>363</v>
      </c>
      <c r="D109" s="272">
        <v>5081</v>
      </c>
      <c r="E109" s="272" t="s">
        <v>4876</v>
      </c>
      <c r="F109" s="272" t="s">
        <v>4877</v>
      </c>
      <c r="G109" s="269">
        <v>6</v>
      </c>
      <c r="H109" s="273">
        <v>1</v>
      </c>
      <c r="I109" s="283">
        <v>34</v>
      </c>
      <c r="J109" s="284" t="s">
        <v>4965</v>
      </c>
      <c r="K109" s="285" t="s">
        <v>4966</v>
      </c>
      <c r="L109" s="272" t="s">
        <v>44</v>
      </c>
      <c r="M109" s="272">
        <v>1</v>
      </c>
      <c r="N109" s="272" t="b">
        <v>1</v>
      </c>
      <c r="O109" s="272">
        <v>51</v>
      </c>
      <c r="P109" s="281">
        <v>765</v>
      </c>
      <c r="Q109" s="281">
        <v>1020</v>
      </c>
      <c r="R109" s="272" t="s">
        <v>3383</v>
      </c>
      <c r="S109" s="272"/>
      <c r="T109" s="272">
        <v>1</v>
      </c>
      <c r="U109" s="272" t="s">
        <v>4880</v>
      </c>
      <c r="V109" s="273">
        <v>10</v>
      </c>
      <c r="W109" s="273"/>
      <c r="X109" s="272" t="s">
        <v>4881</v>
      </c>
      <c r="Y109" s="333" t="s">
        <v>4967</v>
      </c>
      <c r="Z109" s="334" t="s">
        <v>4968</v>
      </c>
      <c r="AA109" s="272" t="s">
        <v>4884</v>
      </c>
      <c r="AB109" s="272"/>
      <c r="AC109" s="289">
        <v>1</v>
      </c>
      <c r="AD109" s="289">
        <v>1</v>
      </c>
      <c r="AE109" s="289"/>
      <c r="AF109" s="272"/>
      <c r="AG109" s="272"/>
    </row>
    <row r="110" spans="1:33" s="258" customFormat="1" x14ac:dyDescent="0.15">
      <c r="A110" s="271">
        <v>95103019</v>
      </c>
      <c r="B110" s="272" t="s">
        <v>4970</v>
      </c>
      <c r="C110" s="272" t="s">
        <v>363</v>
      </c>
      <c r="D110" s="272">
        <v>5081</v>
      </c>
      <c r="E110" s="272" t="s">
        <v>4876</v>
      </c>
      <c r="F110" s="272" t="s">
        <v>4877</v>
      </c>
      <c r="G110" s="269">
        <v>6</v>
      </c>
      <c r="H110" s="273">
        <v>1</v>
      </c>
      <c r="I110" s="283">
        <v>34</v>
      </c>
      <c r="J110" s="284" t="s">
        <v>4965</v>
      </c>
      <c r="K110" s="285" t="s">
        <v>4966</v>
      </c>
      <c r="L110" s="272" t="s">
        <v>4887</v>
      </c>
      <c r="M110" s="272">
        <v>1</v>
      </c>
      <c r="N110" s="272" t="b">
        <v>1</v>
      </c>
      <c r="O110" s="272">
        <v>64</v>
      </c>
      <c r="P110" s="281">
        <v>960</v>
      </c>
      <c r="Q110" s="281">
        <v>1280</v>
      </c>
      <c r="R110" s="272" t="s">
        <v>3383</v>
      </c>
      <c r="S110" s="272"/>
      <c r="T110" s="272">
        <v>1</v>
      </c>
      <c r="U110" s="272" t="s">
        <v>4880</v>
      </c>
      <c r="V110" s="273">
        <v>10</v>
      </c>
      <c r="W110" s="273"/>
      <c r="X110" s="272" t="s">
        <v>4881</v>
      </c>
      <c r="Y110" s="333" t="s">
        <v>4967</v>
      </c>
      <c r="Z110" s="334" t="s">
        <v>4968</v>
      </c>
      <c r="AA110" s="272" t="s">
        <v>4884</v>
      </c>
      <c r="AB110" s="272"/>
      <c r="AC110" s="289">
        <v>1</v>
      </c>
      <c r="AD110" s="289">
        <v>1</v>
      </c>
      <c r="AE110" s="289"/>
      <c r="AF110" s="272"/>
      <c r="AG110" s="272"/>
    </row>
    <row r="111" spans="1:33" s="258" customFormat="1" x14ac:dyDescent="0.15">
      <c r="A111" s="271">
        <v>95103020</v>
      </c>
      <c r="B111" s="272" t="s">
        <v>4971</v>
      </c>
      <c r="C111" s="272" t="s">
        <v>363</v>
      </c>
      <c r="D111" s="272">
        <v>5081</v>
      </c>
      <c r="E111" s="272" t="s">
        <v>4876</v>
      </c>
      <c r="F111" s="272" t="s">
        <v>4877</v>
      </c>
      <c r="G111" s="269">
        <v>7</v>
      </c>
      <c r="H111" s="273">
        <v>0</v>
      </c>
      <c r="I111" s="283">
        <v>34</v>
      </c>
      <c r="J111" s="284" t="s">
        <v>4965</v>
      </c>
      <c r="K111" s="285" t="s">
        <v>4966</v>
      </c>
      <c r="L111" s="272" t="s">
        <v>4889</v>
      </c>
      <c r="M111" s="272">
        <v>1</v>
      </c>
      <c r="N111" s="272" t="b">
        <v>1</v>
      </c>
      <c r="O111" s="272">
        <v>77</v>
      </c>
      <c r="P111" s="281">
        <v>1155</v>
      </c>
      <c r="Q111" s="281">
        <v>1540</v>
      </c>
      <c r="R111" s="272" t="s">
        <v>3383</v>
      </c>
      <c r="S111" s="272"/>
      <c r="T111" s="272">
        <v>1</v>
      </c>
      <c r="U111" s="272" t="s">
        <v>4880</v>
      </c>
      <c r="V111" s="273">
        <v>10</v>
      </c>
      <c r="W111" s="273"/>
      <c r="X111" s="272" t="s">
        <v>4881</v>
      </c>
      <c r="Y111" s="333" t="s">
        <v>4967</v>
      </c>
      <c r="Z111" s="334" t="s">
        <v>4968</v>
      </c>
      <c r="AA111" s="272" t="s">
        <v>4884</v>
      </c>
      <c r="AB111" s="272"/>
      <c r="AC111" s="289">
        <v>1</v>
      </c>
      <c r="AD111" s="289">
        <v>1</v>
      </c>
      <c r="AE111" s="289"/>
      <c r="AF111" s="272"/>
      <c r="AG111" s="272"/>
    </row>
    <row r="112" spans="1:33" s="145" customFormat="1" x14ac:dyDescent="0.15">
      <c r="A112" s="267">
        <v>95103021</v>
      </c>
      <c r="B112" s="268" t="s">
        <v>4972</v>
      </c>
      <c r="C112" s="268" t="s">
        <v>363</v>
      </c>
      <c r="D112" s="268">
        <v>5061</v>
      </c>
      <c r="E112" s="268" t="s">
        <v>4876</v>
      </c>
      <c r="F112" s="268" t="s">
        <v>4877</v>
      </c>
      <c r="G112" s="269">
        <v>1</v>
      </c>
      <c r="H112" s="269">
        <v>0</v>
      </c>
      <c r="I112" s="267">
        <v>34</v>
      </c>
      <c r="J112" s="282" t="s">
        <v>4973</v>
      </c>
      <c r="K112" s="279" t="s">
        <v>4974</v>
      </c>
      <c r="L112" s="279"/>
      <c r="M112" s="268">
        <v>1</v>
      </c>
      <c r="N112" s="268" t="b">
        <v>1</v>
      </c>
      <c r="O112" s="268">
        <v>2</v>
      </c>
      <c r="P112" s="281">
        <v>30</v>
      </c>
      <c r="Q112" s="281">
        <v>40</v>
      </c>
      <c r="R112" s="268" t="s">
        <v>3383</v>
      </c>
      <c r="S112" s="268"/>
      <c r="T112" s="268">
        <v>1</v>
      </c>
      <c r="U112" s="268" t="s">
        <v>4880</v>
      </c>
      <c r="V112" s="269">
        <v>1</v>
      </c>
      <c r="W112" s="269"/>
      <c r="X112" s="268" t="s">
        <v>4881</v>
      </c>
      <c r="Y112" s="331" t="s">
        <v>4967</v>
      </c>
      <c r="Z112" s="332" t="s">
        <v>4968</v>
      </c>
      <c r="AA112" s="268" t="s">
        <v>4884</v>
      </c>
      <c r="AB112" s="268"/>
      <c r="AC112" s="287">
        <v>1</v>
      </c>
      <c r="AD112" s="287">
        <v>1</v>
      </c>
      <c r="AE112" s="268"/>
      <c r="AF112" s="268"/>
      <c r="AG112" s="290"/>
    </row>
    <row r="113" spans="1:33" s="145" customFormat="1" x14ac:dyDescent="0.15">
      <c r="A113" s="267">
        <v>95103022</v>
      </c>
      <c r="B113" s="268" t="s">
        <v>4972</v>
      </c>
      <c r="C113" s="268" t="s">
        <v>363</v>
      </c>
      <c r="D113" s="268">
        <v>5061</v>
      </c>
      <c r="E113" s="268" t="s">
        <v>4876</v>
      </c>
      <c r="F113" s="268" t="s">
        <v>4877</v>
      </c>
      <c r="G113" s="269">
        <v>2</v>
      </c>
      <c r="H113" s="269">
        <v>0</v>
      </c>
      <c r="I113" s="267">
        <v>34</v>
      </c>
      <c r="J113" s="282" t="s">
        <v>4973</v>
      </c>
      <c r="K113" s="279" t="s">
        <v>4974</v>
      </c>
      <c r="L113" s="279"/>
      <c r="M113" s="268">
        <v>1</v>
      </c>
      <c r="N113" s="268" t="b">
        <v>1</v>
      </c>
      <c r="O113" s="268">
        <v>5</v>
      </c>
      <c r="P113" s="281">
        <v>75</v>
      </c>
      <c r="Q113" s="281">
        <v>100</v>
      </c>
      <c r="R113" s="268" t="s">
        <v>3383</v>
      </c>
      <c r="S113" s="268"/>
      <c r="T113" s="268">
        <v>1</v>
      </c>
      <c r="U113" s="268" t="s">
        <v>4880</v>
      </c>
      <c r="V113" s="269">
        <v>2</v>
      </c>
      <c r="W113" s="269"/>
      <c r="X113" s="268" t="s">
        <v>4881</v>
      </c>
      <c r="Y113" s="331" t="s">
        <v>4967</v>
      </c>
      <c r="Z113" s="332" t="s">
        <v>4968</v>
      </c>
      <c r="AA113" s="268" t="s">
        <v>4884</v>
      </c>
      <c r="AB113" s="268"/>
      <c r="AC113" s="287">
        <v>1</v>
      </c>
      <c r="AD113" s="287">
        <v>1</v>
      </c>
      <c r="AE113" s="268"/>
      <c r="AF113" s="268"/>
      <c r="AG113" s="290"/>
    </row>
    <row r="114" spans="1:33" s="145" customFormat="1" x14ac:dyDescent="0.15">
      <c r="A114" s="267">
        <v>95103023</v>
      </c>
      <c r="B114" s="268" t="s">
        <v>4972</v>
      </c>
      <c r="C114" s="268" t="s">
        <v>363</v>
      </c>
      <c r="D114" s="268">
        <v>5061</v>
      </c>
      <c r="E114" s="268" t="s">
        <v>4876</v>
      </c>
      <c r="F114" s="268" t="s">
        <v>4877</v>
      </c>
      <c r="G114" s="269">
        <v>3</v>
      </c>
      <c r="H114" s="269">
        <v>0</v>
      </c>
      <c r="I114" s="267">
        <v>34</v>
      </c>
      <c r="J114" s="282" t="s">
        <v>4973</v>
      </c>
      <c r="K114" s="279" t="s">
        <v>4974</v>
      </c>
      <c r="L114" s="279"/>
      <c r="M114" s="268">
        <v>1</v>
      </c>
      <c r="N114" s="268" t="b">
        <v>1</v>
      </c>
      <c r="O114" s="268">
        <v>7</v>
      </c>
      <c r="P114" s="281">
        <v>105</v>
      </c>
      <c r="Q114" s="281">
        <v>140</v>
      </c>
      <c r="R114" s="268" t="s">
        <v>3383</v>
      </c>
      <c r="S114" s="268"/>
      <c r="T114" s="268">
        <v>1</v>
      </c>
      <c r="U114" s="268" t="s">
        <v>4880</v>
      </c>
      <c r="V114" s="269">
        <v>3</v>
      </c>
      <c r="W114" s="269"/>
      <c r="X114" s="268" t="s">
        <v>4881</v>
      </c>
      <c r="Y114" s="331" t="s">
        <v>4967</v>
      </c>
      <c r="Z114" s="332" t="s">
        <v>4968</v>
      </c>
      <c r="AA114" s="268" t="s">
        <v>4884</v>
      </c>
      <c r="AB114" s="268"/>
      <c r="AC114" s="287">
        <v>1</v>
      </c>
      <c r="AD114" s="287">
        <v>1</v>
      </c>
      <c r="AE114" s="268"/>
      <c r="AF114" s="268"/>
      <c r="AG114" s="290"/>
    </row>
    <row r="115" spans="1:33" s="145" customFormat="1" x14ac:dyDescent="0.15">
      <c r="A115" s="267">
        <v>95103024</v>
      </c>
      <c r="B115" s="268" t="s">
        <v>4972</v>
      </c>
      <c r="C115" s="268" t="s">
        <v>363</v>
      </c>
      <c r="D115" s="268">
        <v>5061</v>
      </c>
      <c r="E115" s="268" t="s">
        <v>4876</v>
      </c>
      <c r="F115" s="268" t="s">
        <v>4877</v>
      </c>
      <c r="G115" s="269">
        <v>4</v>
      </c>
      <c r="H115" s="269">
        <v>0</v>
      </c>
      <c r="I115" s="267">
        <v>34</v>
      </c>
      <c r="J115" s="282" t="s">
        <v>4973</v>
      </c>
      <c r="K115" s="279" t="s">
        <v>4974</v>
      </c>
      <c r="L115" s="279"/>
      <c r="M115" s="268">
        <v>1</v>
      </c>
      <c r="N115" s="268" t="b">
        <v>1</v>
      </c>
      <c r="O115" s="268">
        <v>10</v>
      </c>
      <c r="P115" s="281">
        <v>150</v>
      </c>
      <c r="Q115" s="281">
        <v>200</v>
      </c>
      <c r="R115" s="268" t="s">
        <v>3383</v>
      </c>
      <c r="S115" s="268"/>
      <c r="T115" s="268">
        <v>1</v>
      </c>
      <c r="U115" s="268" t="s">
        <v>4880</v>
      </c>
      <c r="V115" s="269">
        <v>4</v>
      </c>
      <c r="W115" s="269"/>
      <c r="X115" s="268" t="s">
        <v>4881</v>
      </c>
      <c r="Y115" s="331" t="s">
        <v>4967</v>
      </c>
      <c r="Z115" s="332" t="s">
        <v>4968</v>
      </c>
      <c r="AA115" s="268" t="s">
        <v>4884</v>
      </c>
      <c r="AB115" s="268"/>
      <c r="AC115" s="287">
        <v>1</v>
      </c>
      <c r="AD115" s="287">
        <v>1</v>
      </c>
      <c r="AE115" s="268"/>
      <c r="AF115" s="268"/>
      <c r="AG115" s="290"/>
    </row>
    <row r="116" spans="1:33" s="145" customFormat="1" x14ac:dyDescent="0.15">
      <c r="A116" s="267">
        <v>95103025</v>
      </c>
      <c r="B116" s="268" t="s">
        <v>4972</v>
      </c>
      <c r="C116" s="268" t="s">
        <v>363</v>
      </c>
      <c r="D116" s="268">
        <v>5061</v>
      </c>
      <c r="E116" s="268" t="s">
        <v>4876</v>
      </c>
      <c r="F116" s="268" t="s">
        <v>4877</v>
      </c>
      <c r="G116" s="269">
        <v>5</v>
      </c>
      <c r="H116" s="269">
        <v>0</v>
      </c>
      <c r="I116" s="267">
        <v>34</v>
      </c>
      <c r="J116" s="282" t="s">
        <v>4973</v>
      </c>
      <c r="K116" s="279" t="s">
        <v>4974</v>
      </c>
      <c r="L116" s="279"/>
      <c r="M116" s="268">
        <v>1</v>
      </c>
      <c r="N116" s="268" t="b">
        <v>1</v>
      </c>
      <c r="O116" s="268">
        <v>12</v>
      </c>
      <c r="P116" s="281">
        <v>180</v>
      </c>
      <c r="Q116" s="281">
        <v>240</v>
      </c>
      <c r="R116" s="268" t="s">
        <v>3383</v>
      </c>
      <c r="S116" s="268"/>
      <c r="T116" s="268">
        <v>1</v>
      </c>
      <c r="U116" s="268" t="s">
        <v>4880</v>
      </c>
      <c r="V116" s="269">
        <v>5</v>
      </c>
      <c r="W116" s="269"/>
      <c r="X116" s="268" t="s">
        <v>4881</v>
      </c>
      <c r="Y116" s="331" t="s">
        <v>4967</v>
      </c>
      <c r="Z116" s="332" t="s">
        <v>4968</v>
      </c>
      <c r="AA116" s="268" t="s">
        <v>4884</v>
      </c>
      <c r="AB116" s="268"/>
      <c r="AC116" s="287">
        <v>1</v>
      </c>
      <c r="AD116" s="287">
        <v>1</v>
      </c>
      <c r="AE116" s="268"/>
      <c r="AF116" s="268"/>
      <c r="AG116" s="290"/>
    </row>
    <row r="117" spans="1:33" s="145" customFormat="1" x14ac:dyDescent="0.15">
      <c r="A117" s="270">
        <v>95103026</v>
      </c>
      <c r="B117" s="268" t="s">
        <v>4972</v>
      </c>
      <c r="C117" s="268" t="s">
        <v>363</v>
      </c>
      <c r="D117" s="268">
        <v>5061</v>
      </c>
      <c r="E117" s="268" t="s">
        <v>4876</v>
      </c>
      <c r="F117" s="268" t="s">
        <v>4877</v>
      </c>
      <c r="G117" s="269">
        <v>6</v>
      </c>
      <c r="H117" s="269">
        <v>0</v>
      </c>
      <c r="I117" s="267">
        <v>34</v>
      </c>
      <c r="J117" s="282" t="s">
        <v>4973</v>
      </c>
      <c r="K117" s="279" t="s">
        <v>4974</v>
      </c>
      <c r="L117" s="279"/>
      <c r="M117" s="268">
        <v>1</v>
      </c>
      <c r="N117" s="268" t="b">
        <v>1</v>
      </c>
      <c r="O117" s="268">
        <v>25</v>
      </c>
      <c r="P117" s="281">
        <v>375</v>
      </c>
      <c r="Q117" s="281">
        <v>500</v>
      </c>
      <c r="R117" s="268" t="s">
        <v>3383</v>
      </c>
      <c r="S117" s="268"/>
      <c r="T117" s="268">
        <v>1</v>
      </c>
      <c r="U117" s="268" t="s">
        <v>4880</v>
      </c>
      <c r="V117" s="269">
        <v>7</v>
      </c>
      <c r="W117" s="269"/>
      <c r="X117" s="268" t="s">
        <v>4881</v>
      </c>
      <c r="Y117" s="331" t="s">
        <v>4967</v>
      </c>
      <c r="Z117" s="332" t="s">
        <v>4968</v>
      </c>
      <c r="AA117" s="268" t="s">
        <v>4884</v>
      </c>
      <c r="AB117" s="268"/>
      <c r="AC117" s="287">
        <v>1</v>
      </c>
      <c r="AD117" s="287">
        <v>1</v>
      </c>
      <c r="AE117" s="268"/>
      <c r="AF117" s="268"/>
      <c r="AG117" s="290"/>
    </row>
    <row r="118" spans="1:33" s="145" customFormat="1" x14ac:dyDescent="0.15">
      <c r="A118" s="270">
        <v>95103027</v>
      </c>
      <c r="B118" s="268" t="s">
        <v>4972</v>
      </c>
      <c r="C118" s="268" t="s">
        <v>363</v>
      </c>
      <c r="D118" s="268">
        <v>5061</v>
      </c>
      <c r="E118" s="268" t="s">
        <v>4876</v>
      </c>
      <c r="F118" s="268" t="s">
        <v>4877</v>
      </c>
      <c r="G118" s="269">
        <v>7</v>
      </c>
      <c r="H118" s="269">
        <v>0</v>
      </c>
      <c r="I118" s="267">
        <v>34</v>
      </c>
      <c r="J118" s="282" t="s">
        <v>4973</v>
      </c>
      <c r="K118" s="279" t="s">
        <v>4974</v>
      </c>
      <c r="L118" s="279"/>
      <c r="M118" s="268">
        <v>1</v>
      </c>
      <c r="N118" s="268" t="b">
        <v>1</v>
      </c>
      <c r="O118" s="268">
        <v>38</v>
      </c>
      <c r="P118" s="281">
        <v>570</v>
      </c>
      <c r="Q118" s="281">
        <v>760</v>
      </c>
      <c r="R118" s="268" t="s">
        <v>3383</v>
      </c>
      <c r="S118" s="268"/>
      <c r="T118" s="268">
        <v>1</v>
      </c>
      <c r="U118" s="268" t="s">
        <v>4880</v>
      </c>
      <c r="V118" s="269">
        <v>10</v>
      </c>
      <c r="W118" s="269"/>
      <c r="X118" s="268" t="s">
        <v>4881</v>
      </c>
      <c r="Y118" s="331" t="s">
        <v>4967</v>
      </c>
      <c r="Z118" s="332" t="s">
        <v>4968</v>
      </c>
      <c r="AA118" s="268" t="s">
        <v>4884</v>
      </c>
      <c r="AB118" s="268"/>
      <c r="AC118" s="287">
        <v>1</v>
      </c>
      <c r="AD118" s="287">
        <v>1</v>
      </c>
      <c r="AE118" s="268"/>
      <c r="AF118" s="268"/>
      <c r="AG118" s="290"/>
    </row>
    <row r="119" spans="1:33" s="258" customFormat="1" x14ac:dyDescent="0.15">
      <c r="A119" s="271">
        <v>95103028</v>
      </c>
      <c r="B119" s="272" t="s">
        <v>4975</v>
      </c>
      <c r="C119" s="272" t="s">
        <v>363</v>
      </c>
      <c r="D119" s="272">
        <v>5081</v>
      </c>
      <c r="E119" s="272" t="s">
        <v>4876</v>
      </c>
      <c r="F119" s="272" t="s">
        <v>4877</v>
      </c>
      <c r="G119" s="269">
        <v>6</v>
      </c>
      <c r="H119" s="273">
        <v>0</v>
      </c>
      <c r="I119" s="283">
        <v>34</v>
      </c>
      <c r="J119" s="284" t="s">
        <v>4973</v>
      </c>
      <c r="K119" s="285" t="s">
        <v>4974</v>
      </c>
      <c r="L119" s="272" t="s">
        <v>44</v>
      </c>
      <c r="M119" s="272">
        <v>1</v>
      </c>
      <c r="N119" s="272" t="b">
        <v>1</v>
      </c>
      <c r="O119" s="272">
        <v>51</v>
      </c>
      <c r="P119" s="281">
        <v>765</v>
      </c>
      <c r="Q119" s="281">
        <v>1020</v>
      </c>
      <c r="R119" s="272" t="s">
        <v>3383</v>
      </c>
      <c r="S119" s="272"/>
      <c r="T119" s="272">
        <v>1</v>
      </c>
      <c r="U119" s="272" t="s">
        <v>4880</v>
      </c>
      <c r="V119" s="273">
        <v>10</v>
      </c>
      <c r="W119" s="273"/>
      <c r="X119" s="272" t="s">
        <v>4881</v>
      </c>
      <c r="Y119" s="333" t="s">
        <v>4967</v>
      </c>
      <c r="Z119" s="334" t="s">
        <v>4968</v>
      </c>
      <c r="AA119" s="272" t="s">
        <v>4884</v>
      </c>
      <c r="AB119" s="272"/>
      <c r="AC119" s="289">
        <v>1</v>
      </c>
      <c r="AD119" s="289">
        <v>1</v>
      </c>
      <c r="AE119" s="289"/>
      <c r="AF119" s="272"/>
      <c r="AG119" s="272"/>
    </row>
    <row r="120" spans="1:33" s="258" customFormat="1" x14ac:dyDescent="0.15">
      <c r="A120" s="271">
        <v>95103029</v>
      </c>
      <c r="B120" s="272" t="s">
        <v>4976</v>
      </c>
      <c r="C120" s="272" t="s">
        <v>363</v>
      </c>
      <c r="D120" s="272">
        <v>5081</v>
      </c>
      <c r="E120" s="272" t="s">
        <v>4876</v>
      </c>
      <c r="F120" s="272" t="s">
        <v>4877</v>
      </c>
      <c r="G120" s="269">
        <v>6</v>
      </c>
      <c r="H120" s="273">
        <v>0</v>
      </c>
      <c r="I120" s="283">
        <v>34</v>
      </c>
      <c r="J120" s="284" t="s">
        <v>4973</v>
      </c>
      <c r="K120" s="285" t="s">
        <v>4974</v>
      </c>
      <c r="L120" s="272" t="s">
        <v>4887</v>
      </c>
      <c r="M120" s="272">
        <v>1</v>
      </c>
      <c r="N120" s="272" t="b">
        <v>1</v>
      </c>
      <c r="O120" s="272">
        <v>64</v>
      </c>
      <c r="P120" s="281">
        <v>960</v>
      </c>
      <c r="Q120" s="281">
        <v>1280</v>
      </c>
      <c r="R120" s="272" t="s">
        <v>3383</v>
      </c>
      <c r="S120" s="272"/>
      <c r="T120" s="272">
        <v>1</v>
      </c>
      <c r="U120" s="272" t="s">
        <v>4880</v>
      </c>
      <c r="V120" s="273">
        <v>10</v>
      </c>
      <c r="W120" s="273"/>
      <c r="X120" s="272" t="s">
        <v>4881</v>
      </c>
      <c r="Y120" s="333" t="s">
        <v>4967</v>
      </c>
      <c r="Z120" s="334" t="s">
        <v>4968</v>
      </c>
      <c r="AA120" s="272" t="s">
        <v>4884</v>
      </c>
      <c r="AB120" s="272"/>
      <c r="AC120" s="289">
        <v>1</v>
      </c>
      <c r="AD120" s="289">
        <v>1</v>
      </c>
      <c r="AE120" s="289"/>
      <c r="AF120" s="272"/>
      <c r="AG120" s="272"/>
    </row>
    <row r="121" spans="1:33" s="258" customFormat="1" x14ac:dyDescent="0.15">
      <c r="A121" s="271">
        <v>95103030</v>
      </c>
      <c r="B121" s="272" t="s">
        <v>4977</v>
      </c>
      <c r="C121" s="272" t="s">
        <v>363</v>
      </c>
      <c r="D121" s="272">
        <v>5081</v>
      </c>
      <c r="E121" s="272" t="s">
        <v>4876</v>
      </c>
      <c r="F121" s="272" t="s">
        <v>4877</v>
      </c>
      <c r="G121" s="269">
        <v>7</v>
      </c>
      <c r="H121" s="273">
        <v>0</v>
      </c>
      <c r="I121" s="283">
        <v>34</v>
      </c>
      <c r="J121" s="284" t="s">
        <v>4973</v>
      </c>
      <c r="K121" s="285" t="s">
        <v>4974</v>
      </c>
      <c r="L121" s="272" t="s">
        <v>4889</v>
      </c>
      <c r="M121" s="272">
        <v>1</v>
      </c>
      <c r="N121" s="272" t="b">
        <v>1</v>
      </c>
      <c r="O121" s="272">
        <v>77</v>
      </c>
      <c r="P121" s="281">
        <v>1155</v>
      </c>
      <c r="Q121" s="281">
        <v>1540</v>
      </c>
      <c r="R121" s="272" t="s">
        <v>3383</v>
      </c>
      <c r="S121" s="272"/>
      <c r="T121" s="272">
        <v>1</v>
      </c>
      <c r="U121" s="272" t="s">
        <v>4880</v>
      </c>
      <c r="V121" s="273">
        <v>10</v>
      </c>
      <c r="W121" s="273"/>
      <c r="X121" s="272" t="s">
        <v>4881</v>
      </c>
      <c r="Y121" s="333" t="s">
        <v>4967</v>
      </c>
      <c r="Z121" s="334" t="s">
        <v>4968</v>
      </c>
      <c r="AA121" s="272" t="s">
        <v>4884</v>
      </c>
      <c r="AB121" s="272"/>
      <c r="AC121" s="289">
        <v>1</v>
      </c>
      <c r="AD121" s="289">
        <v>1</v>
      </c>
      <c r="AE121" s="289"/>
      <c r="AF121" s="272"/>
      <c r="AG121" s="272"/>
    </row>
    <row r="122" spans="1:33" s="145" customFormat="1" x14ac:dyDescent="0.15">
      <c r="A122" s="267">
        <v>95104011</v>
      </c>
      <c r="B122" s="268" t="s">
        <v>4978</v>
      </c>
      <c r="C122" s="291" t="s">
        <v>447</v>
      </c>
      <c r="D122" s="291">
        <v>5072</v>
      </c>
      <c r="E122" s="268" t="s">
        <v>4876</v>
      </c>
      <c r="F122" s="268" t="s">
        <v>4877</v>
      </c>
      <c r="G122" s="269">
        <v>1</v>
      </c>
      <c r="H122" s="269">
        <v>0</v>
      </c>
      <c r="I122" s="267">
        <v>34</v>
      </c>
      <c r="J122" s="282" t="s">
        <v>4979</v>
      </c>
      <c r="K122" s="279" t="s">
        <v>4980</v>
      </c>
      <c r="L122" s="279"/>
      <c r="M122" s="268">
        <v>1</v>
      </c>
      <c r="N122" s="268" t="b">
        <v>1</v>
      </c>
      <c r="O122" s="268">
        <v>2</v>
      </c>
      <c r="P122" s="281">
        <v>30</v>
      </c>
      <c r="Q122" s="281">
        <v>40</v>
      </c>
      <c r="R122" s="268" t="s">
        <v>3383</v>
      </c>
      <c r="S122" s="268"/>
      <c r="T122" s="268">
        <v>1</v>
      </c>
      <c r="U122" s="268" t="s">
        <v>4880</v>
      </c>
      <c r="V122" s="269">
        <v>1</v>
      </c>
      <c r="W122" s="269"/>
      <c r="X122" s="268" t="s">
        <v>4881</v>
      </c>
      <c r="Y122" s="336" t="s">
        <v>4981</v>
      </c>
      <c r="Z122" s="332" t="s">
        <v>4982</v>
      </c>
      <c r="AA122" s="268" t="s">
        <v>4884</v>
      </c>
      <c r="AB122" s="268"/>
      <c r="AC122" s="287">
        <v>1</v>
      </c>
      <c r="AD122" s="287">
        <v>1</v>
      </c>
      <c r="AE122" s="268"/>
      <c r="AF122" s="268"/>
      <c r="AG122" s="290"/>
    </row>
    <row r="123" spans="1:33" s="145" customFormat="1" x14ac:dyDescent="0.15">
      <c r="A123" s="267">
        <v>95104012</v>
      </c>
      <c r="B123" s="268" t="s">
        <v>4978</v>
      </c>
      <c r="C123" s="291" t="s">
        <v>447</v>
      </c>
      <c r="D123" s="291">
        <v>5072</v>
      </c>
      <c r="E123" s="268" t="s">
        <v>4876</v>
      </c>
      <c r="F123" s="268" t="s">
        <v>4877</v>
      </c>
      <c r="G123" s="269">
        <v>2</v>
      </c>
      <c r="H123" s="269">
        <v>0</v>
      </c>
      <c r="I123" s="267">
        <v>34</v>
      </c>
      <c r="J123" s="282" t="s">
        <v>4979</v>
      </c>
      <c r="K123" s="279" t="s">
        <v>4980</v>
      </c>
      <c r="L123" s="279"/>
      <c r="M123" s="268">
        <v>1</v>
      </c>
      <c r="N123" s="268" t="b">
        <v>1</v>
      </c>
      <c r="O123" s="268">
        <v>5</v>
      </c>
      <c r="P123" s="281">
        <v>75</v>
      </c>
      <c r="Q123" s="281">
        <v>100</v>
      </c>
      <c r="R123" s="268" t="s">
        <v>3383</v>
      </c>
      <c r="S123" s="268"/>
      <c r="T123" s="268">
        <v>1</v>
      </c>
      <c r="U123" s="268" t="s">
        <v>4880</v>
      </c>
      <c r="V123" s="269">
        <v>2</v>
      </c>
      <c r="W123" s="269"/>
      <c r="X123" s="268" t="s">
        <v>4881</v>
      </c>
      <c r="Y123" s="336" t="s">
        <v>4981</v>
      </c>
      <c r="Z123" s="332" t="s">
        <v>4982</v>
      </c>
      <c r="AA123" s="268" t="s">
        <v>4884</v>
      </c>
      <c r="AB123" s="268"/>
      <c r="AC123" s="287">
        <v>1</v>
      </c>
      <c r="AD123" s="287">
        <v>1</v>
      </c>
      <c r="AE123" s="268"/>
      <c r="AF123" s="268"/>
      <c r="AG123" s="290"/>
    </row>
    <row r="124" spans="1:33" s="145" customFormat="1" x14ac:dyDescent="0.15">
      <c r="A124" s="267">
        <v>95104013</v>
      </c>
      <c r="B124" s="268" t="s">
        <v>4978</v>
      </c>
      <c r="C124" s="291" t="s">
        <v>447</v>
      </c>
      <c r="D124" s="291">
        <v>5072</v>
      </c>
      <c r="E124" s="268" t="s">
        <v>4876</v>
      </c>
      <c r="F124" s="268" t="s">
        <v>4877</v>
      </c>
      <c r="G124" s="269">
        <v>3</v>
      </c>
      <c r="H124" s="269">
        <v>0</v>
      </c>
      <c r="I124" s="267">
        <v>34</v>
      </c>
      <c r="J124" s="282" t="s">
        <v>4979</v>
      </c>
      <c r="K124" s="279" t="s">
        <v>4980</v>
      </c>
      <c r="L124" s="279"/>
      <c r="M124" s="268">
        <v>1</v>
      </c>
      <c r="N124" s="268" t="b">
        <v>1</v>
      </c>
      <c r="O124" s="268">
        <v>7</v>
      </c>
      <c r="P124" s="281">
        <v>105</v>
      </c>
      <c r="Q124" s="281">
        <v>140</v>
      </c>
      <c r="R124" s="268" t="s">
        <v>3383</v>
      </c>
      <c r="S124" s="268"/>
      <c r="T124" s="268">
        <v>1</v>
      </c>
      <c r="U124" s="268" t="s">
        <v>4880</v>
      </c>
      <c r="V124" s="269">
        <v>3</v>
      </c>
      <c r="W124" s="269"/>
      <c r="X124" s="268" t="s">
        <v>4881</v>
      </c>
      <c r="Y124" s="336" t="s">
        <v>4981</v>
      </c>
      <c r="Z124" s="332" t="s">
        <v>4982</v>
      </c>
      <c r="AA124" s="268" t="s">
        <v>4884</v>
      </c>
      <c r="AB124" s="268"/>
      <c r="AC124" s="287">
        <v>1</v>
      </c>
      <c r="AD124" s="287">
        <v>1</v>
      </c>
      <c r="AE124" s="268"/>
      <c r="AF124" s="268"/>
      <c r="AG124" s="290"/>
    </row>
    <row r="125" spans="1:33" s="145" customFormat="1" x14ac:dyDescent="0.15">
      <c r="A125" s="267">
        <v>95104014</v>
      </c>
      <c r="B125" s="268" t="s">
        <v>4978</v>
      </c>
      <c r="C125" s="291" t="s">
        <v>447</v>
      </c>
      <c r="D125" s="291">
        <v>5072</v>
      </c>
      <c r="E125" s="268" t="s">
        <v>4876</v>
      </c>
      <c r="F125" s="268" t="s">
        <v>4877</v>
      </c>
      <c r="G125" s="269">
        <v>4</v>
      </c>
      <c r="H125" s="269">
        <v>0</v>
      </c>
      <c r="I125" s="267">
        <v>34</v>
      </c>
      <c r="J125" s="282" t="s">
        <v>4979</v>
      </c>
      <c r="K125" s="279" t="s">
        <v>4980</v>
      </c>
      <c r="L125" s="279"/>
      <c r="M125" s="268">
        <v>1</v>
      </c>
      <c r="N125" s="268" t="b">
        <v>1</v>
      </c>
      <c r="O125" s="268">
        <v>10</v>
      </c>
      <c r="P125" s="281">
        <v>150</v>
      </c>
      <c r="Q125" s="281">
        <v>200</v>
      </c>
      <c r="R125" s="268" t="s">
        <v>3383</v>
      </c>
      <c r="S125" s="268"/>
      <c r="T125" s="268">
        <v>1</v>
      </c>
      <c r="U125" s="268" t="s">
        <v>4880</v>
      </c>
      <c r="V125" s="269">
        <v>4</v>
      </c>
      <c r="W125" s="269"/>
      <c r="X125" s="268" t="s">
        <v>4881</v>
      </c>
      <c r="Y125" s="336" t="s">
        <v>4981</v>
      </c>
      <c r="Z125" s="332" t="s">
        <v>4982</v>
      </c>
      <c r="AA125" s="268" t="s">
        <v>4884</v>
      </c>
      <c r="AB125" s="268"/>
      <c r="AC125" s="287">
        <v>1</v>
      </c>
      <c r="AD125" s="287">
        <v>1</v>
      </c>
      <c r="AE125" s="268"/>
      <c r="AF125" s="268"/>
      <c r="AG125" s="290"/>
    </row>
    <row r="126" spans="1:33" s="145" customFormat="1" x14ac:dyDescent="0.15">
      <c r="A126" s="267">
        <v>95104015</v>
      </c>
      <c r="B126" s="268" t="s">
        <v>4978</v>
      </c>
      <c r="C126" s="291" t="s">
        <v>447</v>
      </c>
      <c r="D126" s="291">
        <v>5072</v>
      </c>
      <c r="E126" s="268" t="s">
        <v>4876</v>
      </c>
      <c r="F126" s="268" t="s">
        <v>4877</v>
      </c>
      <c r="G126" s="269">
        <v>5</v>
      </c>
      <c r="H126" s="269">
        <v>0</v>
      </c>
      <c r="I126" s="267">
        <v>34</v>
      </c>
      <c r="J126" s="282" t="s">
        <v>4979</v>
      </c>
      <c r="K126" s="279" t="s">
        <v>4980</v>
      </c>
      <c r="L126" s="279"/>
      <c r="M126" s="268">
        <v>1</v>
      </c>
      <c r="N126" s="268" t="b">
        <v>1</v>
      </c>
      <c r="O126" s="268">
        <v>12</v>
      </c>
      <c r="P126" s="281">
        <v>180</v>
      </c>
      <c r="Q126" s="281">
        <v>240</v>
      </c>
      <c r="R126" s="268" t="s">
        <v>3383</v>
      </c>
      <c r="S126" s="268"/>
      <c r="T126" s="268">
        <v>1</v>
      </c>
      <c r="U126" s="268" t="s">
        <v>4880</v>
      </c>
      <c r="V126" s="269">
        <v>5</v>
      </c>
      <c r="W126" s="269"/>
      <c r="X126" s="268" t="s">
        <v>4881</v>
      </c>
      <c r="Y126" s="336" t="s">
        <v>4981</v>
      </c>
      <c r="Z126" s="332" t="s">
        <v>4982</v>
      </c>
      <c r="AA126" s="268" t="s">
        <v>4884</v>
      </c>
      <c r="AB126" s="268"/>
      <c r="AC126" s="287">
        <v>1</v>
      </c>
      <c r="AD126" s="287">
        <v>1</v>
      </c>
      <c r="AE126" s="268"/>
      <c r="AF126" s="268"/>
      <c r="AG126" s="290"/>
    </row>
    <row r="127" spans="1:33" s="145" customFormat="1" x14ac:dyDescent="0.15">
      <c r="A127" s="270">
        <v>95104016</v>
      </c>
      <c r="B127" s="268" t="s">
        <v>4978</v>
      </c>
      <c r="C127" s="268" t="s">
        <v>447</v>
      </c>
      <c r="D127" s="268">
        <v>5072</v>
      </c>
      <c r="E127" s="268" t="s">
        <v>4876</v>
      </c>
      <c r="F127" s="268" t="s">
        <v>4877</v>
      </c>
      <c r="G127" s="269">
        <v>6</v>
      </c>
      <c r="H127" s="269">
        <v>0</v>
      </c>
      <c r="I127" s="267">
        <v>34</v>
      </c>
      <c r="J127" s="282" t="s">
        <v>4979</v>
      </c>
      <c r="K127" s="279" t="s">
        <v>4980</v>
      </c>
      <c r="L127" s="279"/>
      <c r="M127" s="268">
        <v>1</v>
      </c>
      <c r="N127" s="268" t="b">
        <v>1</v>
      </c>
      <c r="O127" s="268">
        <v>25</v>
      </c>
      <c r="P127" s="281">
        <v>375</v>
      </c>
      <c r="Q127" s="281">
        <v>500</v>
      </c>
      <c r="R127" s="268" t="s">
        <v>3383</v>
      </c>
      <c r="S127" s="268"/>
      <c r="T127" s="268">
        <v>1</v>
      </c>
      <c r="U127" s="268" t="s">
        <v>4880</v>
      </c>
      <c r="V127" s="269">
        <v>7</v>
      </c>
      <c r="W127" s="269"/>
      <c r="X127" s="268" t="s">
        <v>4881</v>
      </c>
      <c r="Y127" s="331" t="s">
        <v>4981</v>
      </c>
      <c r="Z127" s="332" t="s">
        <v>4982</v>
      </c>
      <c r="AA127" s="268" t="s">
        <v>4884</v>
      </c>
      <c r="AB127" s="268"/>
      <c r="AC127" s="287">
        <v>1</v>
      </c>
      <c r="AD127" s="287">
        <v>1</v>
      </c>
      <c r="AE127" s="268"/>
      <c r="AF127" s="268"/>
      <c r="AG127" s="290"/>
    </row>
    <row r="128" spans="1:33" s="145" customFormat="1" x14ac:dyDescent="0.15">
      <c r="A128" s="270">
        <v>95104017</v>
      </c>
      <c r="B128" s="268" t="s">
        <v>4978</v>
      </c>
      <c r="C128" s="268" t="s">
        <v>447</v>
      </c>
      <c r="D128" s="268">
        <v>5072</v>
      </c>
      <c r="E128" s="268" t="s">
        <v>4876</v>
      </c>
      <c r="F128" s="268" t="s">
        <v>4877</v>
      </c>
      <c r="G128" s="269">
        <v>7</v>
      </c>
      <c r="H128" s="269">
        <v>0</v>
      </c>
      <c r="I128" s="267">
        <v>34</v>
      </c>
      <c r="J128" s="282" t="s">
        <v>4979</v>
      </c>
      <c r="K128" s="279" t="s">
        <v>4980</v>
      </c>
      <c r="L128" s="279"/>
      <c r="M128" s="268">
        <v>1</v>
      </c>
      <c r="N128" s="268" t="b">
        <v>1</v>
      </c>
      <c r="O128" s="268">
        <v>38</v>
      </c>
      <c r="P128" s="281">
        <v>570</v>
      </c>
      <c r="Q128" s="281">
        <v>760</v>
      </c>
      <c r="R128" s="268" t="s">
        <v>3383</v>
      </c>
      <c r="S128" s="268"/>
      <c r="T128" s="268">
        <v>1</v>
      </c>
      <c r="U128" s="268" t="s">
        <v>4880</v>
      </c>
      <c r="V128" s="269">
        <v>10</v>
      </c>
      <c r="W128" s="269"/>
      <c r="X128" s="268" t="s">
        <v>4881</v>
      </c>
      <c r="Y128" s="331" t="s">
        <v>4981</v>
      </c>
      <c r="Z128" s="332" t="s">
        <v>4982</v>
      </c>
      <c r="AA128" s="268" t="s">
        <v>4884</v>
      </c>
      <c r="AB128" s="268"/>
      <c r="AC128" s="287">
        <v>1</v>
      </c>
      <c r="AD128" s="287">
        <v>1</v>
      </c>
      <c r="AE128" s="268"/>
      <c r="AF128" s="268"/>
      <c r="AG128" s="290"/>
    </row>
    <row r="129" spans="1:33" s="258" customFormat="1" x14ac:dyDescent="0.15">
      <c r="A129" s="271">
        <v>95104018</v>
      </c>
      <c r="B129" s="272" t="s">
        <v>4983</v>
      </c>
      <c r="C129" s="272" t="s">
        <v>447</v>
      </c>
      <c r="D129" s="272">
        <v>5081</v>
      </c>
      <c r="E129" s="272" t="s">
        <v>4876</v>
      </c>
      <c r="F129" s="272" t="s">
        <v>4877</v>
      </c>
      <c r="G129" s="269">
        <v>6</v>
      </c>
      <c r="H129" s="273">
        <v>1</v>
      </c>
      <c r="I129" s="283">
        <v>34</v>
      </c>
      <c r="J129" s="284" t="s">
        <v>4979</v>
      </c>
      <c r="K129" s="285" t="s">
        <v>4980</v>
      </c>
      <c r="L129" s="272" t="s">
        <v>44</v>
      </c>
      <c r="M129" s="272">
        <v>1</v>
      </c>
      <c r="N129" s="272" t="b">
        <v>1</v>
      </c>
      <c r="O129" s="272">
        <v>51</v>
      </c>
      <c r="P129" s="281">
        <v>765</v>
      </c>
      <c r="Q129" s="281">
        <v>1020</v>
      </c>
      <c r="R129" s="272" t="s">
        <v>3383</v>
      </c>
      <c r="S129" s="272"/>
      <c r="T129" s="272">
        <v>1</v>
      </c>
      <c r="U129" s="272" t="s">
        <v>4880</v>
      </c>
      <c r="V129" s="273">
        <v>10</v>
      </c>
      <c r="W129" s="273"/>
      <c r="X129" s="272" t="s">
        <v>4881</v>
      </c>
      <c r="Y129" s="333" t="s">
        <v>4981</v>
      </c>
      <c r="Z129" s="334" t="s">
        <v>4982</v>
      </c>
      <c r="AA129" s="272" t="s">
        <v>4884</v>
      </c>
      <c r="AB129" s="272"/>
      <c r="AC129" s="289">
        <v>1</v>
      </c>
      <c r="AD129" s="289">
        <v>1</v>
      </c>
      <c r="AE129" s="289"/>
      <c r="AF129" s="272"/>
      <c r="AG129" s="272"/>
    </row>
    <row r="130" spans="1:33" s="258" customFormat="1" x14ac:dyDescent="0.15">
      <c r="A130" s="271">
        <v>95104019</v>
      </c>
      <c r="B130" s="272" t="s">
        <v>4984</v>
      </c>
      <c r="C130" s="272" t="s">
        <v>447</v>
      </c>
      <c r="D130" s="272">
        <v>5081</v>
      </c>
      <c r="E130" s="272" t="s">
        <v>4876</v>
      </c>
      <c r="F130" s="272" t="s">
        <v>4877</v>
      </c>
      <c r="G130" s="269">
        <v>6</v>
      </c>
      <c r="H130" s="273">
        <v>1</v>
      </c>
      <c r="I130" s="283">
        <v>34</v>
      </c>
      <c r="J130" s="284" t="s">
        <v>4979</v>
      </c>
      <c r="K130" s="285" t="s">
        <v>4980</v>
      </c>
      <c r="L130" s="272" t="s">
        <v>4887</v>
      </c>
      <c r="M130" s="272">
        <v>1</v>
      </c>
      <c r="N130" s="272" t="b">
        <v>1</v>
      </c>
      <c r="O130" s="272">
        <v>64</v>
      </c>
      <c r="P130" s="281">
        <v>960</v>
      </c>
      <c r="Q130" s="281">
        <v>1280</v>
      </c>
      <c r="R130" s="272" t="s">
        <v>3383</v>
      </c>
      <c r="S130" s="272"/>
      <c r="T130" s="272">
        <v>1</v>
      </c>
      <c r="U130" s="272" t="s">
        <v>4880</v>
      </c>
      <c r="V130" s="273">
        <v>10</v>
      </c>
      <c r="W130" s="273"/>
      <c r="X130" s="272" t="s">
        <v>4881</v>
      </c>
      <c r="Y130" s="333" t="s">
        <v>4981</v>
      </c>
      <c r="Z130" s="334" t="s">
        <v>4982</v>
      </c>
      <c r="AA130" s="272" t="s">
        <v>4884</v>
      </c>
      <c r="AB130" s="272"/>
      <c r="AC130" s="289">
        <v>1</v>
      </c>
      <c r="AD130" s="289">
        <v>1</v>
      </c>
      <c r="AE130" s="289"/>
      <c r="AF130" s="272"/>
      <c r="AG130" s="272"/>
    </row>
    <row r="131" spans="1:33" s="258" customFormat="1" x14ac:dyDescent="0.15">
      <c r="A131" s="271">
        <v>95104020</v>
      </c>
      <c r="B131" s="272" t="s">
        <v>4985</v>
      </c>
      <c r="C131" s="272" t="s">
        <v>447</v>
      </c>
      <c r="D131" s="272">
        <v>5081</v>
      </c>
      <c r="E131" s="272" t="s">
        <v>4876</v>
      </c>
      <c r="F131" s="272" t="s">
        <v>4877</v>
      </c>
      <c r="G131" s="269">
        <v>7</v>
      </c>
      <c r="H131" s="273">
        <v>0</v>
      </c>
      <c r="I131" s="283">
        <v>34</v>
      </c>
      <c r="J131" s="284" t="s">
        <v>4979</v>
      </c>
      <c r="K131" s="285" t="s">
        <v>4980</v>
      </c>
      <c r="L131" s="272" t="s">
        <v>4889</v>
      </c>
      <c r="M131" s="272">
        <v>1</v>
      </c>
      <c r="N131" s="272" t="b">
        <v>1</v>
      </c>
      <c r="O131" s="272">
        <v>77</v>
      </c>
      <c r="P131" s="281">
        <v>1155</v>
      </c>
      <c r="Q131" s="281">
        <v>1540</v>
      </c>
      <c r="R131" s="272" t="s">
        <v>3383</v>
      </c>
      <c r="S131" s="272"/>
      <c r="T131" s="272">
        <v>1</v>
      </c>
      <c r="U131" s="272" t="s">
        <v>4880</v>
      </c>
      <c r="V131" s="273">
        <v>10</v>
      </c>
      <c r="W131" s="273"/>
      <c r="X131" s="272" t="s">
        <v>4881</v>
      </c>
      <c r="Y131" s="333" t="s">
        <v>4981</v>
      </c>
      <c r="Z131" s="334" t="s">
        <v>4982</v>
      </c>
      <c r="AA131" s="272" t="s">
        <v>4884</v>
      </c>
      <c r="AB131" s="272"/>
      <c r="AC131" s="289">
        <v>1</v>
      </c>
      <c r="AD131" s="289">
        <v>1</v>
      </c>
      <c r="AE131" s="289"/>
      <c r="AF131" s="272"/>
      <c r="AG131" s="272"/>
    </row>
    <row r="132" spans="1:33" s="145" customFormat="1" x14ac:dyDescent="0.15">
      <c r="A132" s="267">
        <v>95104021</v>
      </c>
      <c r="B132" s="268" t="s">
        <v>4986</v>
      </c>
      <c r="C132" s="268" t="s">
        <v>447</v>
      </c>
      <c r="D132" s="268">
        <v>5052</v>
      </c>
      <c r="E132" s="268" t="s">
        <v>4876</v>
      </c>
      <c r="F132" s="268" t="s">
        <v>4877</v>
      </c>
      <c r="G132" s="269">
        <v>1</v>
      </c>
      <c r="H132" s="269">
        <v>0</v>
      </c>
      <c r="I132" s="267">
        <v>34</v>
      </c>
      <c r="J132" s="282" t="s">
        <v>4987</v>
      </c>
      <c r="K132" s="279" t="s">
        <v>4988</v>
      </c>
      <c r="L132" s="279"/>
      <c r="M132" s="268">
        <v>1</v>
      </c>
      <c r="N132" s="268" t="b">
        <v>1</v>
      </c>
      <c r="O132" s="268">
        <v>2</v>
      </c>
      <c r="P132" s="281">
        <v>30</v>
      </c>
      <c r="Q132" s="281">
        <v>40</v>
      </c>
      <c r="R132" s="268" t="s">
        <v>3383</v>
      </c>
      <c r="S132" s="268"/>
      <c r="T132" s="268">
        <v>1</v>
      </c>
      <c r="U132" s="268" t="s">
        <v>4880</v>
      </c>
      <c r="V132" s="269">
        <v>1</v>
      </c>
      <c r="W132" s="269"/>
      <c r="X132" s="268" t="s">
        <v>4881</v>
      </c>
      <c r="Y132" s="331" t="s">
        <v>4989</v>
      </c>
      <c r="Z132" s="332" t="s">
        <v>4990</v>
      </c>
      <c r="AA132" s="268" t="s">
        <v>4884</v>
      </c>
      <c r="AB132" s="268"/>
      <c r="AC132" s="287">
        <v>1</v>
      </c>
      <c r="AD132" s="287">
        <v>1</v>
      </c>
      <c r="AE132" s="268"/>
      <c r="AF132" s="268"/>
      <c r="AG132" s="290"/>
    </row>
    <row r="133" spans="1:33" s="145" customFormat="1" x14ac:dyDescent="0.15">
      <c r="A133" s="267">
        <v>95104022</v>
      </c>
      <c r="B133" s="268" t="s">
        <v>4986</v>
      </c>
      <c r="C133" s="268" t="s">
        <v>447</v>
      </c>
      <c r="D133" s="268">
        <v>5052</v>
      </c>
      <c r="E133" s="268" t="s">
        <v>4876</v>
      </c>
      <c r="F133" s="268" t="s">
        <v>4877</v>
      </c>
      <c r="G133" s="269">
        <v>2</v>
      </c>
      <c r="H133" s="269">
        <v>0</v>
      </c>
      <c r="I133" s="267">
        <v>34</v>
      </c>
      <c r="J133" s="282" t="s">
        <v>4987</v>
      </c>
      <c r="K133" s="279" t="s">
        <v>4988</v>
      </c>
      <c r="L133" s="279"/>
      <c r="M133" s="268">
        <v>1</v>
      </c>
      <c r="N133" s="268" t="b">
        <v>1</v>
      </c>
      <c r="O133" s="268">
        <v>5</v>
      </c>
      <c r="P133" s="281">
        <v>75</v>
      </c>
      <c r="Q133" s="281">
        <v>100</v>
      </c>
      <c r="R133" s="268" t="s">
        <v>3383</v>
      </c>
      <c r="S133" s="268"/>
      <c r="T133" s="268">
        <v>1</v>
      </c>
      <c r="U133" s="268" t="s">
        <v>4880</v>
      </c>
      <c r="V133" s="269">
        <v>2</v>
      </c>
      <c r="W133" s="269"/>
      <c r="X133" s="268" t="s">
        <v>4881</v>
      </c>
      <c r="Y133" s="331" t="s">
        <v>4989</v>
      </c>
      <c r="Z133" s="332" t="s">
        <v>4990</v>
      </c>
      <c r="AA133" s="268" t="s">
        <v>4884</v>
      </c>
      <c r="AB133" s="268"/>
      <c r="AC133" s="287">
        <v>1</v>
      </c>
      <c r="AD133" s="287">
        <v>1</v>
      </c>
      <c r="AE133" s="268"/>
      <c r="AF133" s="268"/>
      <c r="AG133" s="290"/>
    </row>
    <row r="134" spans="1:33" s="145" customFormat="1" x14ac:dyDescent="0.15">
      <c r="A134" s="267">
        <v>95104023</v>
      </c>
      <c r="B134" s="268" t="s">
        <v>4986</v>
      </c>
      <c r="C134" s="268" t="s">
        <v>447</v>
      </c>
      <c r="D134" s="268">
        <v>5052</v>
      </c>
      <c r="E134" s="268" t="s">
        <v>4876</v>
      </c>
      <c r="F134" s="268" t="s">
        <v>4877</v>
      </c>
      <c r="G134" s="269">
        <v>3</v>
      </c>
      <c r="H134" s="269">
        <v>0</v>
      </c>
      <c r="I134" s="267">
        <v>34</v>
      </c>
      <c r="J134" s="282" t="s">
        <v>4987</v>
      </c>
      <c r="K134" s="279" t="s">
        <v>4988</v>
      </c>
      <c r="L134" s="279"/>
      <c r="M134" s="268">
        <v>1</v>
      </c>
      <c r="N134" s="268" t="b">
        <v>1</v>
      </c>
      <c r="O134" s="268">
        <v>7</v>
      </c>
      <c r="P134" s="281">
        <v>105</v>
      </c>
      <c r="Q134" s="281">
        <v>140</v>
      </c>
      <c r="R134" s="268" t="s">
        <v>3383</v>
      </c>
      <c r="S134" s="268"/>
      <c r="T134" s="268">
        <v>1</v>
      </c>
      <c r="U134" s="268" t="s">
        <v>4880</v>
      </c>
      <c r="V134" s="269">
        <v>3</v>
      </c>
      <c r="W134" s="269"/>
      <c r="X134" s="268" t="s">
        <v>4881</v>
      </c>
      <c r="Y134" s="331" t="s">
        <v>4989</v>
      </c>
      <c r="Z134" s="332" t="s">
        <v>4990</v>
      </c>
      <c r="AA134" s="268" t="s">
        <v>4884</v>
      </c>
      <c r="AB134" s="268"/>
      <c r="AC134" s="287">
        <v>1</v>
      </c>
      <c r="AD134" s="287">
        <v>1</v>
      </c>
      <c r="AE134" s="268"/>
      <c r="AF134" s="268"/>
      <c r="AG134" s="290"/>
    </row>
    <row r="135" spans="1:33" s="145" customFormat="1" x14ac:dyDescent="0.15">
      <c r="A135" s="267">
        <v>95104024</v>
      </c>
      <c r="B135" s="268" t="s">
        <v>4986</v>
      </c>
      <c r="C135" s="268" t="s">
        <v>447</v>
      </c>
      <c r="D135" s="268">
        <v>5052</v>
      </c>
      <c r="E135" s="268" t="s">
        <v>4876</v>
      </c>
      <c r="F135" s="268" t="s">
        <v>4877</v>
      </c>
      <c r="G135" s="269">
        <v>4</v>
      </c>
      <c r="H135" s="269">
        <v>0</v>
      </c>
      <c r="I135" s="267">
        <v>34</v>
      </c>
      <c r="J135" s="282" t="s">
        <v>4987</v>
      </c>
      <c r="K135" s="279" t="s">
        <v>4988</v>
      </c>
      <c r="L135" s="279"/>
      <c r="M135" s="268">
        <v>1</v>
      </c>
      <c r="N135" s="268" t="b">
        <v>1</v>
      </c>
      <c r="O135" s="268">
        <v>10</v>
      </c>
      <c r="P135" s="281">
        <v>150</v>
      </c>
      <c r="Q135" s="281">
        <v>200</v>
      </c>
      <c r="R135" s="268" t="s">
        <v>3383</v>
      </c>
      <c r="S135" s="268"/>
      <c r="T135" s="268">
        <v>1</v>
      </c>
      <c r="U135" s="268" t="s">
        <v>4880</v>
      </c>
      <c r="V135" s="269">
        <v>4</v>
      </c>
      <c r="W135" s="269"/>
      <c r="X135" s="268" t="s">
        <v>4881</v>
      </c>
      <c r="Y135" s="331" t="s">
        <v>4989</v>
      </c>
      <c r="Z135" s="332" t="s">
        <v>4990</v>
      </c>
      <c r="AA135" s="268" t="s">
        <v>4884</v>
      </c>
      <c r="AB135" s="268"/>
      <c r="AC135" s="287">
        <v>1</v>
      </c>
      <c r="AD135" s="287">
        <v>1</v>
      </c>
      <c r="AE135" s="268"/>
      <c r="AF135" s="268"/>
      <c r="AG135" s="290"/>
    </row>
    <row r="136" spans="1:33" s="145" customFormat="1" x14ac:dyDescent="0.15">
      <c r="A136" s="267">
        <v>95104025</v>
      </c>
      <c r="B136" s="268" t="s">
        <v>4986</v>
      </c>
      <c r="C136" s="268" t="s">
        <v>447</v>
      </c>
      <c r="D136" s="268">
        <v>5052</v>
      </c>
      <c r="E136" s="268" t="s">
        <v>4876</v>
      </c>
      <c r="F136" s="268" t="s">
        <v>4877</v>
      </c>
      <c r="G136" s="269">
        <v>5</v>
      </c>
      <c r="H136" s="269">
        <v>0</v>
      </c>
      <c r="I136" s="267">
        <v>34</v>
      </c>
      <c r="J136" s="282" t="s">
        <v>4987</v>
      </c>
      <c r="K136" s="279" t="s">
        <v>4988</v>
      </c>
      <c r="L136" s="279"/>
      <c r="M136" s="268">
        <v>1</v>
      </c>
      <c r="N136" s="268" t="b">
        <v>1</v>
      </c>
      <c r="O136" s="268">
        <v>12</v>
      </c>
      <c r="P136" s="281">
        <v>180</v>
      </c>
      <c r="Q136" s="281">
        <v>240</v>
      </c>
      <c r="R136" s="268" t="s">
        <v>3383</v>
      </c>
      <c r="S136" s="268"/>
      <c r="T136" s="268">
        <v>1</v>
      </c>
      <c r="U136" s="268" t="s">
        <v>4880</v>
      </c>
      <c r="V136" s="269">
        <v>5</v>
      </c>
      <c r="W136" s="269"/>
      <c r="X136" s="268" t="s">
        <v>4881</v>
      </c>
      <c r="Y136" s="331" t="s">
        <v>4989</v>
      </c>
      <c r="Z136" s="332" t="s">
        <v>4990</v>
      </c>
      <c r="AA136" s="268" t="s">
        <v>4884</v>
      </c>
      <c r="AB136" s="268"/>
      <c r="AC136" s="287">
        <v>1</v>
      </c>
      <c r="AD136" s="287">
        <v>1</v>
      </c>
      <c r="AE136" s="268"/>
      <c r="AF136" s="268"/>
      <c r="AG136" s="290"/>
    </row>
    <row r="137" spans="1:33" s="145" customFormat="1" x14ac:dyDescent="0.15">
      <c r="A137" s="270">
        <v>95104026</v>
      </c>
      <c r="B137" s="268" t="s">
        <v>4986</v>
      </c>
      <c r="C137" s="268" t="s">
        <v>447</v>
      </c>
      <c r="D137" s="268">
        <v>5052</v>
      </c>
      <c r="E137" s="268" t="s">
        <v>4876</v>
      </c>
      <c r="F137" s="268" t="s">
        <v>4877</v>
      </c>
      <c r="G137" s="269">
        <v>6</v>
      </c>
      <c r="H137" s="269">
        <v>0</v>
      </c>
      <c r="I137" s="267">
        <v>34</v>
      </c>
      <c r="J137" s="282" t="s">
        <v>4987</v>
      </c>
      <c r="K137" s="279" t="s">
        <v>4988</v>
      </c>
      <c r="L137" s="279"/>
      <c r="M137" s="268">
        <v>1</v>
      </c>
      <c r="N137" s="268" t="b">
        <v>1</v>
      </c>
      <c r="O137" s="268">
        <v>25</v>
      </c>
      <c r="P137" s="281">
        <v>375</v>
      </c>
      <c r="Q137" s="281">
        <v>500</v>
      </c>
      <c r="R137" s="268" t="s">
        <v>3383</v>
      </c>
      <c r="S137" s="268"/>
      <c r="T137" s="268">
        <v>1</v>
      </c>
      <c r="U137" s="268" t="s">
        <v>4880</v>
      </c>
      <c r="V137" s="269">
        <v>7</v>
      </c>
      <c r="W137" s="269"/>
      <c r="X137" s="268" t="s">
        <v>4881</v>
      </c>
      <c r="Y137" s="331" t="s">
        <v>4989</v>
      </c>
      <c r="Z137" s="332" t="s">
        <v>4990</v>
      </c>
      <c r="AA137" s="268" t="s">
        <v>4884</v>
      </c>
      <c r="AB137" s="268"/>
      <c r="AC137" s="287">
        <v>1</v>
      </c>
      <c r="AD137" s="287">
        <v>1</v>
      </c>
      <c r="AE137" s="268"/>
      <c r="AF137" s="268"/>
      <c r="AG137" s="290"/>
    </row>
    <row r="138" spans="1:33" s="145" customFormat="1" x14ac:dyDescent="0.15">
      <c r="A138" s="270">
        <v>95104027</v>
      </c>
      <c r="B138" s="268" t="s">
        <v>4986</v>
      </c>
      <c r="C138" s="268" t="s">
        <v>447</v>
      </c>
      <c r="D138" s="268">
        <v>5052</v>
      </c>
      <c r="E138" s="268" t="s">
        <v>4876</v>
      </c>
      <c r="F138" s="268" t="s">
        <v>4877</v>
      </c>
      <c r="G138" s="269">
        <v>7</v>
      </c>
      <c r="H138" s="269">
        <v>0</v>
      </c>
      <c r="I138" s="267">
        <v>34</v>
      </c>
      <c r="J138" s="282" t="s">
        <v>4987</v>
      </c>
      <c r="K138" s="279" t="s">
        <v>4988</v>
      </c>
      <c r="L138" s="279"/>
      <c r="M138" s="268">
        <v>1</v>
      </c>
      <c r="N138" s="268" t="b">
        <v>1</v>
      </c>
      <c r="O138" s="268">
        <v>38</v>
      </c>
      <c r="P138" s="281">
        <v>570</v>
      </c>
      <c r="Q138" s="281">
        <v>760</v>
      </c>
      <c r="R138" s="268" t="s">
        <v>3383</v>
      </c>
      <c r="S138" s="268"/>
      <c r="T138" s="268">
        <v>1</v>
      </c>
      <c r="U138" s="268" t="s">
        <v>4880</v>
      </c>
      <c r="V138" s="269">
        <v>10</v>
      </c>
      <c r="W138" s="269"/>
      <c r="X138" s="268" t="s">
        <v>4881</v>
      </c>
      <c r="Y138" s="331" t="s">
        <v>4989</v>
      </c>
      <c r="Z138" s="332" t="s">
        <v>4990</v>
      </c>
      <c r="AA138" s="268" t="s">
        <v>4884</v>
      </c>
      <c r="AB138" s="268"/>
      <c r="AC138" s="287">
        <v>1</v>
      </c>
      <c r="AD138" s="287">
        <v>1</v>
      </c>
      <c r="AE138" s="268"/>
      <c r="AF138" s="268"/>
      <c r="AG138" s="290"/>
    </row>
    <row r="139" spans="1:33" s="258" customFormat="1" x14ac:dyDescent="0.15">
      <c r="A139" s="271">
        <v>95104028</v>
      </c>
      <c r="B139" s="272" t="s">
        <v>4991</v>
      </c>
      <c r="C139" s="272" t="s">
        <v>447</v>
      </c>
      <c r="D139" s="272">
        <v>5081</v>
      </c>
      <c r="E139" s="272" t="s">
        <v>4876</v>
      </c>
      <c r="F139" s="272" t="s">
        <v>4877</v>
      </c>
      <c r="G139" s="269">
        <v>6</v>
      </c>
      <c r="H139" s="273">
        <v>1</v>
      </c>
      <c r="I139" s="283">
        <v>34</v>
      </c>
      <c r="J139" s="284" t="s">
        <v>4987</v>
      </c>
      <c r="K139" s="285" t="s">
        <v>4988</v>
      </c>
      <c r="L139" s="272" t="s">
        <v>44</v>
      </c>
      <c r="M139" s="272">
        <v>1</v>
      </c>
      <c r="N139" s="272" t="b">
        <v>1</v>
      </c>
      <c r="O139" s="272">
        <v>51</v>
      </c>
      <c r="P139" s="281">
        <v>765</v>
      </c>
      <c r="Q139" s="281">
        <v>1020</v>
      </c>
      <c r="R139" s="272" t="s">
        <v>3383</v>
      </c>
      <c r="S139" s="272"/>
      <c r="T139" s="272">
        <v>1</v>
      </c>
      <c r="U139" s="272" t="s">
        <v>4880</v>
      </c>
      <c r="V139" s="273">
        <v>10</v>
      </c>
      <c r="W139" s="273"/>
      <c r="X139" s="272" t="s">
        <v>4881</v>
      </c>
      <c r="Y139" s="333" t="s">
        <v>4989</v>
      </c>
      <c r="Z139" s="334" t="s">
        <v>4990</v>
      </c>
      <c r="AA139" s="272" t="s">
        <v>4884</v>
      </c>
      <c r="AB139" s="272"/>
      <c r="AC139" s="289">
        <v>1</v>
      </c>
      <c r="AD139" s="289">
        <v>1</v>
      </c>
      <c r="AE139" s="289"/>
      <c r="AF139" s="272"/>
      <c r="AG139" s="272"/>
    </row>
    <row r="140" spans="1:33" s="258" customFormat="1" x14ac:dyDescent="0.15">
      <c r="A140" s="271">
        <v>95104029</v>
      </c>
      <c r="B140" s="272" t="s">
        <v>4992</v>
      </c>
      <c r="C140" s="272" t="s">
        <v>447</v>
      </c>
      <c r="D140" s="272">
        <v>5081</v>
      </c>
      <c r="E140" s="272" t="s">
        <v>4876</v>
      </c>
      <c r="F140" s="272" t="s">
        <v>4877</v>
      </c>
      <c r="G140" s="269">
        <v>6</v>
      </c>
      <c r="H140" s="273">
        <v>1</v>
      </c>
      <c r="I140" s="283">
        <v>34</v>
      </c>
      <c r="J140" s="284" t="s">
        <v>4987</v>
      </c>
      <c r="K140" s="285" t="s">
        <v>4988</v>
      </c>
      <c r="L140" s="272" t="s">
        <v>4887</v>
      </c>
      <c r="M140" s="272">
        <v>1</v>
      </c>
      <c r="N140" s="272" t="b">
        <v>1</v>
      </c>
      <c r="O140" s="272">
        <v>64</v>
      </c>
      <c r="P140" s="281">
        <v>960</v>
      </c>
      <c r="Q140" s="281">
        <v>1280</v>
      </c>
      <c r="R140" s="272" t="s">
        <v>3383</v>
      </c>
      <c r="S140" s="272"/>
      <c r="T140" s="272">
        <v>1</v>
      </c>
      <c r="U140" s="272" t="s">
        <v>4880</v>
      </c>
      <c r="V140" s="273">
        <v>10</v>
      </c>
      <c r="W140" s="273"/>
      <c r="X140" s="272" t="s">
        <v>4881</v>
      </c>
      <c r="Y140" s="333" t="s">
        <v>4989</v>
      </c>
      <c r="Z140" s="334" t="s">
        <v>4990</v>
      </c>
      <c r="AA140" s="272" t="s">
        <v>4884</v>
      </c>
      <c r="AB140" s="272"/>
      <c r="AC140" s="289">
        <v>1</v>
      </c>
      <c r="AD140" s="289">
        <v>1</v>
      </c>
      <c r="AE140" s="289"/>
      <c r="AF140" s="272"/>
      <c r="AG140" s="272"/>
    </row>
    <row r="141" spans="1:33" s="258" customFormat="1" x14ac:dyDescent="0.15">
      <c r="A141" s="271">
        <v>95104030</v>
      </c>
      <c r="B141" s="272" t="s">
        <v>4993</v>
      </c>
      <c r="C141" s="272" t="s">
        <v>447</v>
      </c>
      <c r="D141" s="272">
        <v>5081</v>
      </c>
      <c r="E141" s="272" t="s">
        <v>4876</v>
      </c>
      <c r="F141" s="272" t="s">
        <v>4877</v>
      </c>
      <c r="G141" s="269">
        <v>7</v>
      </c>
      <c r="H141" s="273">
        <v>0</v>
      </c>
      <c r="I141" s="283">
        <v>34</v>
      </c>
      <c r="J141" s="284" t="s">
        <v>4987</v>
      </c>
      <c r="K141" s="285" t="s">
        <v>4988</v>
      </c>
      <c r="L141" s="272" t="s">
        <v>4889</v>
      </c>
      <c r="M141" s="272">
        <v>1</v>
      </c>
      <c r="N141" s="272" t="b">
        <v>1</v>
      </c>
      <c r="O141" s="272">
        <v>77</v>
      </c>
      <c r="P141" s="281">
        <v>1155</v>
      </c>
      <c r="Q141" s="281">
        <v>1540</v>
      </c>
      <c r="R141" s="272" t="s">
        <v>3383</v>
      </c>
      <c r="S141" s="272"/>
      <c r="T141" s="272">
        <v>1</v>
      </c>
      <c r="U141" s="272" t="s">
        <v>4880</v>
      </c>
      <c r="V141" s="273">
        <v>10</v>
      </c>
      <c r="W141" s="273"/>
      <c r="X141" s="272" t="s">
        <v>4881</v>
      </c>
      <c r="Y141" s="333" t="s">
        <v>4989</v>
      </c>
      <c r="Z141" s="334" t="s">
        <v>4990</v>
      </c>
      <c r="AA141" s="272" t="s">
        <v>4884</v>
      </c>
      <c r="AB141" s="272"/>
      <c r="AC141" s="289">
        <v>1</v>
      </c>
      <c r="AD141" s="289">
        <v>1</v>
      </c>
      <c r="AE141" s="289"/>
      <c r="AF141" s="272"/>
      <c r="AG141" s="272"/>
    </row>
    <row r="142" spans="1:33" s="145" customFormat="1" x14ac:dyDescent="0.15">
      <c r="A142" s="267">
        <v>95104031</v>
      </c>
      <c r="B142" s="268" t="s">
        <v>4994</v>
      </c>
      <c r="C142" s="293" t="s">
        <v>447</v>
      </c>
      <c r="D142" s="293">
        <v>5072</v>
      </c>
      <c r="E142" s="268" t="s">
        <v>4876</v>
      </c>
      <c r="F142" s="268" t="s">
        <v>4877</v>
      </c>
      <c r="G142" s="269">
        <v>1</v>
      </c>
      <c r="H142" s="269">
        <v>0</v>
      </c>
      <c r="I142" s="267">
        <v>34</v>
      </c>
      <c r="J142" s="282" t="s">
        <v>4995</v>
      </c>
      <c r="K142" s="279" t="s">
        <v>4996</v>
      </c>
      <c r="L142" s="279"/>
      <c r="M142" s="268">
        <v>1</v>
      </c>
      <c r="N142" s="268" t="b">
        <v>1</v>
      </c>
      <c r="O142" s="268">
        <v>2</v>
      </c>
      <c r="P142" s="281">
        <v>30</v>
      </c>
      <c r="Q142" s="281">
        <v>40</v>
      </c>
      <c r="R142" s="268" t="s">
        <v>3383</v>
      </c>
      <c r="S142" s="268"/>
      <c r="T142" s="268">
        <v>1</v>
      </c>
      <c r="U142" s="268" t="s">
        <v>4880</v>
      </c>
      <c r="V142" s="269">
        <v>1</v>
      </c>
      <c r="W142" s="269"/>
      <c r="X142" s="268" t="s">
        <v>4881</v>
      </c>
      <c r="Y142" s="269" t="s">
        <v>4997</v>
      </c>
      <c r="Z142" s="293" t="s">
        <v>4998</v>
      </c>
      <c r="AA142" s="268" t="s">
        <v>4884</v>
      </c>
      <c r="AB142" s="268"/>
      <c r="AC142" s="287">
        <v>1</v>
      </c>
      <c r="AD142" s="287">
        <v>1</v>
      </c>
      <c r="AE142" s="268"/>
      <c r="AF142" s="268"/>
      <c r="AG142" s="290"/>
    </row>
    <row r="143" spans="1:33" s="145" customFormat="1" x14ac:dyDescent="0.15">
      <c r="A143" s="267">
        <v>95104032</v>
      </c>
      <c r="B143" s="268" t="s">
        <v>4994</v>
      </c>
      <c r="C143" s="293" t="s">
        <v>447</v>
      </c>
      <c r="D143" s="293">
        <v>5072</v>
      </c>
      <c r="E143" s="268" t="s">
        <v>4876</v>
      </c>
      <c r="F143" s="268" t="s">
        <v>4877</v>
      </c>
      <c r="G143" s="269">
        <v>2</v>
      </c>
      <c r="H143" s="269">
        <v>0</v>
      </c>
      <c r="I143" s="267">
        <v>34</v>
      </c>
      <c r="J143" s="282" t="s">
        <v>4995</v>
      </c>
      <c r="K143" s="279" t="s">
        <v>4996</v>
      </c>
      <c r="L143" s="279"/>
      <c r="M143" s="268">
        <v>1</v>
      </c>
      <c r="N143" s="268" t="b">
        <v>1</v>
      </c>
      <c r="O143" s="268">
        <v>5</v>
      </c>
      <c r="P143" s="281">
        <v>75</v>
      </c>
      <c r="Q143" s="281">
        <v>100</v>
      </c>
      <c r="R143" s="268" t="s">
        <v>3383</v>
      </c>
      <c r="S143" s="268"/>
      <c r="T143" s="268">
        <v>1</v>
      </c>
      <c r="U143" s="268" t="s">
        <v>4880</v>
      </c>
      <c r="V143" s="269">
        <v>2</v>
      </c>
      <c r="W143" s="269"/>
      <c r="X143" s="268" t="s">
        <v>4881</v>
      </c>
      <c r="Y143" s="269" t="s">
        <v>4997</v>
      </c>
      <c r="Z143" s="293" t="s">
        <v>4998</v>
      </c>
      <c r="AA143" s="268" t="s">
        <v>4884</v>
      </c>
      <c r="AB143" s="268"/>
      <c r="AC143" s="287">
        <v>1</v>
      </c>
      <c r="AD143" s="287">
        <v>1</v>
      </c>
      <c r="AE143" s="268"/>
      <c r="AF143" s="268"/>
      <c r="AG143" s="290"/>
    </row>
    <row r="144" spans="1:33" s="145" customFormat="1" x14ac:dyDescent="0.15">
      <c r="A144" s="267">
        <v>95104033</v>
      </c>
      <c r="B144" s="268" t="s">
        <v>4994</v>
      </c>
      <c r="C144" s="293" t="s">
        <v>447</v>
      </c>
      <c r="D144" s="293">
        <v>5072</v>
      </c>
      <c r="E144" s="268" t="s">
        <v>4876</v>
      </c>
      <c r="F144" s="268" t="s">
        <v>4877</v>
      </c>
      <c r="G144" s="269">
        <v>3</v>
      </c>
      <c r="H144" s="269">
        <v>0</v>
      </c>
      <c r="I144" s="267">
        <v>34</v>
      </c>
      <c r="J144" s="282" t="s">
        <v>4995</v>
      </c>
      <c r="K144" s="279" t="s">
        <v>4996</v>
      </c>
      <c r="L144" s="279"/>
      <c r="M144" s="268">
        <v>1</v>
      </c>
      <c r="N144" s="268" t="b">
        <v>1</v>
      </c>
      <c r="O144" s="268">
        <v>7</v>
      </c>
      <c r="P144" s="281">
        <v>105</v>
      </c>
      <c r="Q144" s="281">
        <v>140</v>
      </c>
      <c r="R144" s="268" t="s">
        <v>3383</v>
      </c>
      <c r="S144" s="268"/>
      <c r="T144" s="268">
        <v>1</v>
      </c>
      <c r="U144" s="268" t="s">
        <v>4880</v>
      </c>
      <c r="V144" s="269">
        <v>3</v>
      </c>
      <c r="W144" s="269"/>
      <c r="X144" s="268" t="s">
        <v>4881</v>
      </c>
      <c r="Y144" s="269" t="s">
        <v>4997</v>
      </c>
      <c r="Z144" s="293" t="s">
        <v>4998</v>
      </c>
      <c r="AA144" s="268" t="s">
        <v>4884</v>
      </c>
      <c r="AB144" s="268"/>
      <c r="AC144" s="287">
        <v>1</v>
      </c>
      <c r="AD144" s="287">
        <v>1</v>
      </c>
      <c r="AE144" s="268"/>
      <c r="AF144" s="268"/>
      <c r="AG144" s="290"/>
    </row>
    <row r="145" spans="1:33" s="145" customFormat="1" x14ac:dyDescent="0.15">
      <c r="A145" s="267">
        <v>95104034</v>
      </c>
      <c r="B145" s="268" t="s">
        <v>4994</v>
      </c>
      <c r="C145" s="293" t="s">
        <v>447</v>
      </c>
      <c r="D145" s="293">
        <v>5072</v>
      </c>
      <c r="E145" s="268" t="s">
        <v>4876</v>
      </c>
      <c r="F145" s="268" t="s">
        <v>4877</v>
      </c>
      <c r="G145" s="269">
        <v>4</v>
      </c>
      <c r="H145" s="269">
        <v>0</v>
      </c>
      <c r="I145" s="267">
        <v>34</v>
      </c>
      <c r="J145" s="282" t="s">
        <v>4995</v>
      </c>
      <c r="K145" s="279" t="s">
        <v>4996</v>
      </c>
      <c r="L145" s="279"/>
      <c r="M145" s="268">
        <v>1</v>
      </c>
      <c r="N145" s="268" t="b">
        <v>1</v>
      </c>
      <c r="O145" s="268">
        <v>10</v>
      </c>
      <c r="P145" s="281">
        <v>150</v>
      </c>
      <c r="Q145" s="281">
        <v>200</v>
      </c>
      <c r="R145" s="268" t="s">
        <v>3383</v>
      </c>
      <c r="S145" s="268"/>
      <c r="T145" s="268">
        <v>1</v>
      </c>
      <c r="U145" s="268" t="s">
        <v>4880</v>
      </c>
      <c r="V145" s="269">
        <v>4</v>
      </c>
      <c r="W145" s="269"/>
      <c r="X145" s="268" t="s">
        <v>4881</v>
      </c>
      <c r="Y145" s="269" t="s">
        <v>4997</v>
      </c>
      <c r="Z145" s="293" t="s">
        <v>4998</v>
      </c>
      <c r="AA145" s="268" t="s">
        <v>4884</v>
      </c>
      <c r="AB145" s="268"/>
      <c r="AC145" s="287">
        <v>1</v>
      </c>
      <c r="AD145" s="287">
        <v>1</v>
      </c>
      <c r="AE145" s="268"/>
      <c r="AF145" s="268"/>
      <c r="AG145" s="290"/>
    </row>
    <row r="146" spans="1:33" s="145" customFormat="1" x14ac:dyDescent="0.15">
      <c r="A146" s="267">
        <v>95104035</v>
      </c>
      <c r="B146" s="268" t="s">
        <v>4994</v>
      </c>
      <c r="C146" s="293" t="s">
        <v>447</v>
      </c>
      <c r="D146" s="293">
        <v>5072</v>
      </c>
      <c r="E146" s="268" t="s">
        <v>4876</v>
      </c>
      <c r="F146" s="268" t="s">
        <v>4877</v>
      </c>
      <c r="G146" s="269">
        <v>5</v>
      </c>
      <c r="H146" s="269">
        <v>0</v>
      </c>
      <c r="I146" s="267">
        <v>34</v>
      </c>
      <c r="J146" s="282" t="s">
        <v>4995</v>
      </c>
      <c r="K146" s="279" t="s">
        <v>4996</v>
      </c>
      <c r="L146" s="279"/>
      <c r="M146" s="268">
        <v>1</v>
      </c>
      <c r="N146" s="268" t="b">
        <v>1</v>
      </c>
      <c r="O146" s="268">
        <v>12</v>
      </c>
      <c r="P146" s="281">
        <v>180</v>
      </c>
      <c r="Q146" s="281">
        <v>240</v>
      </c>
      <c r="R146" s="268" t="s">
        <v>3383</v>
      </c>
      <c r="S146" s="268"/>
      <c r="T146" s="268">
        <v>1</v>
      </c>
      <c r="U146" s="268" t="s">
        <v>4880</v>
      </c>
      <c r="V146" s="269">
        <v>5</v>
      </c>
      <c r="W146" s="269"/>
      <c r="X146" s="268" t="s">
        <v>4881</v>
      </c>
      <c r="Y146" s="269" t="s">
        <v>4997</v>
      </c>
      <c r="Z146" s="293" t="s">
        <v>4998</v>
      </c>
      <c r="AA146" s="268" t="s">
        <v>4884</v>
      </c>
      <c r="AB146" s="268"/>
      <c r="AC146" s="287">
        <v>1</v>
      </c>
      <c r="AD146" s="287">
        <v>1</v>
      </c>
      <c r="AE146" s="268"/>
      <c r="AF146" s="268"/>
      <c r="AG146" s="290"/>
    </row>
    <row r="147" spans="1:33" s="145" customFormat="1" x14ac:dyDescent="0.15">
      <c r="A147" s="270">
        <v>95104036</v>
      </c>
      <c r="B147" s="268" t="s">
        <v>4994</v>
      </c>
      <c r="C147" s="268" t="s">
        <v>447</v>
      </c>
      <c r="D147" s="268">
        <v>5072</v>
      </c>
      <c r="E147" s="268" t="s">
        <v>4876</v>
      </c>
      <c r="F147" s="268" t="s">
        <v>4877</v>
      </c>
      <c r="G147" s="269">
        <v>6</v>
      </c>
      <c r="H147" s="269">
        <v>0</v>
      </c>
      <c r="I147" s="267">
        <v>34</v>
      </c>
      <c r="J147" s="282" t="s">
        <v>4995</v>
      </c>
      <c r="K147" s="279" t="s">
        <v>4996</v>
      </c>
      <c r="L147" s="279"/>
      <c r="M147" s="268">
        <v>1</v>
      </c>
      <c r="N147" s="268" t="b">
        <v>1</v>
      </c>
      <c r="O147" s="268">
        <v>25</v>
      </c>
      <c r="P147" s="281">
        <v>375</v>
      </c>
      <c r="Q147" s="281">
        <v>500</v>
      </c>
      <c r="R147" s="268" t="s">
        <v>3383</v>
      </c>
      <c r="S147" s="268"/>
      <c r="T147" s="268">
        <v>1</v>
      </c>
      <c r="U147" s="268" t="s">
        <v>4880</v>
      </c>
      <c r="V147" s="269">
        <v>7</v>
      </c>
      <c r="W147" s="269"/>
      <c r="X147" s="268" t="s">
        <v>4881</v>
      </c>
      <c r="Y147" s="331" t="s">
        <v>4997</v>
      </c>
      <c r="Z147" s="332" t="s">
        <v>4998</v>
      </c>
      <c r="AA147" s="268" t="s">
        <v>4884</v>
      </c>
      <c r="AB147" s="268"/>
      <c r="AC147" s="287">
        <v>1</v>
      </c>
      <c r="AD147" s="287">
        <v>1</v>
      </c>
      <c r="AE147" s="268"/>
      <c r="AF147" s="268"/>
      <c r="AG147" s="290"/>
    </row>
    <row r="148" spans="1:33" s="145" customFormat="1" x14ac:dyDescent="0.15">
      <c r="A148" s="270">
        <v>95104037</v>
      </c>
      <c r="B148" s="268" t="s">
        <v>4994</v>
      </c>
      <c r="C148" s="268" t="s">
        <v>447</v>
      </c>
      <c r="D148" s="268">
        <v>5072</v>
      </c>
      <c r="E148" s="268" t="s">
        <v>4876</v>
      </c>
      <c r="F148" s="268" t="s">
        <v>4877</v>
      </c>
      <c r="G148" s="269">
        <v>7</v>
      </c>
      <c r="H148" s="269">
        <v>0</v>
      </c>
      <c r="I148" s="267">
        <v>34</v>
      </c>
      <c r="J148" s="282" t="s">
        <v>4995</v>
      </c>
      <c r="K148" s="279" t="s">
        <v>4996</v>
      </c>
      <c r="L148" s="279"/>
      <c r="M148" s="268">
        <v>1</v>
      </c>
      <c r="N148" s="268" t="b">
        <v>1</v>
      </c>
      <c r="O148" s="268">
        <v>38</v>
      </c>
      <c r="P148" s="281">
        <v>570</v>
      </c>
      <c r="Q148" s="281">
        <v>760</v>
      </c>
      <c r="R148" s="268" t="s">
        <v>3383</v>
      </c>
      <c r="S148" s="268"/>
      <c r="T148" s="268">
        <v>1</v>
      </c>
      <c r="U148" s="268" t="s">
        <v>4880</v>
      </c>
      <c r="V148" s="269">
        <v>10</v>
      </c>
      <c r="W148" s="269"/>
      <c r="X148" s="268" t="s">
        <v>4881</v>
      </c>
      <c r="Y148" s="331" t="s">
        <v>4997</v>
      </c>
      <c r="Z148" s="332" t="s">
        <v>4998</v>
      </c>
      <c r="AA148" s="268" t="s">
        <v>4884</v>
      </c>
      <c r="AB148" s="268"/>
      <c r="AC148" s="287">
        <v>1</v>
      </c>
      <c r="AD148" s="287">
        <v>1</v>
      </c>
      <c r="AE148" s="268"/>
      <c r="AF148" s="268"/>
      <c r="AG148" s="290"/>
    </row>
    <row r="149" spans="1:33" s="258" customFormat="1" x14ac:dyDescent="0.15">
      <c r="A149" s="271">
        <v>95104038</v>
      </c>
      <c r="B149" s="272" t="s">
        <v>4999</v>
      </c>
      <c r="C149" s="272" t="s">
        <v>447</v>
      </c>
      <c r="D149" s="272">
        <v>5081</v>
      </c>
      <c r="E149" s="272" t="s">
        <v>4876</v>
      </c>
      <c r="F149" s="272" t="s">
        <v>4877</v>
      </c>
      <c r="G149" s="269">
        <v>6</v>
      </c>
      <c r="H149" s="273">
        <v>1</v>
      </c>
      <c r="I149" s="283">
        <v>34</v>
      </c>
      <c r="J149" s="284" t="s">
        <v>4995</v>
      </c>
      <c r="K149" s="285" t="s">
        <v>4996</v>
      </c>
      <c r="L149" s="272" t="s">
        <v>44</v>
      </c>
      <c r="M149" s="272">
        <v>1</v>
      </c>
      <c r="N149" s="272" t="b">
        <v>1</v>
      </c>
      <c r="O149" s="272">
        <v>51</v>
      </c>
      <c r="P149" s="281">
        <v>765</v>
      </c>
      <c r="Q149" s="281">
        <v>1020</v>
      </c>
      <c r="R149" s="272" t="s">
        <v>3383</v>
      </c>
      <c r="S149" s="272"/>
      <c r="T149" s="272">
        <v>1</v>
      </c>
      <c r="U149" s="272" t="s">
        <v>4880</v>
      </c>
      <c r="V149" s="273">
        <v>10</v>
      </c>
      <c r="W149" s="273"/>
      <c r="X149" s="272" t="s">
        <v>4881</v>
      </c>
      <c r="Y149" s="333" t="s">
        <v>4997</v>
      </c>
      <c r="Z149" s="334" t="s">
        <v>4998</v>
      </c>
      <c r="AA149" s="272" t="s">
        <v>4884</v>
      </c>
      <c r="AB149" s="272"/>
      <c r="AC149" s="289">
        <v>1</v>
      </c>
      <c r="AD149" s="289">
        <v>1</v>
      </c>
      <c r="AE149" s="289"/>
      <c r="AF149" s="272"/>
      <c r="AG149" s="272"/>
    </row>
    <row r="150" spans="1:33" s="258" customFormat="1" x14ac:dyDescent="0.15">
      <c r="A150" s="271">
        <v>95104039</v>
      </c>
      <c r="B150" s="272" t="s">
        <v>5000</v>
      </c>
      <c r="C150" s="272" t="s">
        <v>447</v>
      </c>
      <c r="D150" s="272">
        <v>5081</v>
      </c>
      <c r="E150" s="272" t="s">
        <v>4876</v>
      </c>
      <c r="F150" s="272" t="s">
        <v>4877</v>
      </c>
      <c r="G150" s="269">
        <v>6</v>
      </c>
      <c r="H150" s="273">
        <v>1</v>
      </c>
      <c r="I150" s="283">
        <v>34</v>
      </c>
      <c r="J150" s="284" t="s">
        <v>4995</v>
      </c>
      <c r="K150" s="285" t="s">
        <v>4996</v>
      </c>
      <c r="L150" s="272" t="s">
        <v>4887</v>
      </c>
      <c r="M150" s="272">
        <v>1</v>
      </c>
      <c r="N150" s="272" t="b">
        <v>1</v>
      </c>
      <c r="O150" s="272">
        <v>64</v>
      </c>
      <c r="P150" s="281">
        <v>960</v>
      </c>
      <c r="Q150" s="281">
        <v>1280</v>
      </c>
      <c r="R150" s="272" t="s">
        <v>3383</v>
      </c>
      <c r="S150" s="272"/>
      <c r="T150" s="272">
        <v>1</v>
      </c>
      <c r="U150" s="272" t="s">
        <v>4880</v>
      </c>
      <c r="V150" s="273">
        <v>10</v>
      </c>
      <c r="W150" s="273"/>
      <c r="X150" s="272" t="s">
        <v>4881</v>
      </c>
      <c r="Y150" s="333" t="s">
        <v>4997</v>
      </c>
      <c r="Z150" s="334" t="s">
        <v>4998</v>
      </c>
      <c r="AA150" s="272" t="s">
        <v>4884</v>
      </c>
      <c r="AB150" s="272"/>
      <c r="AC150" s="289">
        <v>1</v>
      </c>
      <c r="AD150" s="289">
        <v>1</v>
      </c>
      <c r="AE150" s="289"/>
      <c r="AF150" s="272"/>
      <c r="AG150" s="272"/>
    </row>
    <row r="151" spans="1:33" s="258" customFormat="1" x14ac:dyDescent="0.15">
      <c r="A151" s="271">
        <v>95104040</v>
      </c>
      <c r="B151" s="272" t="s">
        <v>5001</v>
      </c>
      <c r="C151" s="272" t="s">
        <v>447</v>
      </c>
      <c r="D151" s="272">
        <v>5081</v>
      </c>
      <c r="E151" s="272" t="s">
        <v>4876</v>
      </c>
      <c r="F151" s="272" t="s">
        <v>4877</v>
      </c>
      <c r="G151" s="269">
        <v>7</v>
      </c>
      <c r="H151" s="273">
        <v>0</v>
      </c>
      <c r="I151" s="283">
        <v>34</v>
      </c>
      <c r="J151" s="284" t="s">
        <v>4995</v>
      </c>
      <c r="K151" s="285" t="s">
        <v>4996</v>
      </c>
      <c r="L151" s="272" t="s">
        <v>4889</v>
      </c>
      <c r="M151" s="272">
        <v>1</v>
      </c>
      <c r="N151" s="272" t="b">
        <v>1</v>
      </c>
      <c r="O151" s="272">
        <v>77</v>
      </c>
      <c r="P151" s="281">
        <v>1155</v>
      </c>
      <c r="Q151" s="281">
        <v>1540</v>
      </c>
      <c r="R151" s="272" t="s">
        <v>3383</v>
      </c>
      <c r="S151" s="272"/>
      <c r="T151" s="272">
        <v>1</v>
      </c>
      <c r="U151" s="272" t="s">
        <v>4880</v>
      </c>
      <c r="V151" s="273">
        <v>10</v>
      </c>
      <c r="W151" s="273"/>
      <c r="X151" s="272" t="s">
        <v>4881</v>
      </c>
      <c r="Y151" s="333" t="s">
        <v>4997</v>
      </c>
      <c r="Z151" s="334" t="s">
        <v>4998</v>
      </c>
      <c r="AA151" s="272" t="s">
        <v>4884</v>
      </c>
      <c r="AB151" s="272"/>
      <c r="AC151" s="289">
        <v>1</v>
      </c>
      <c r="AD151" s="289">
        <v>1</v>
      </c>
      <c r="AE151" s="289"/>
      <c r="AF151" s="272"/>
      <c r="AG151" s="272"/>
    </row>
    <row r="152" spans="1:33" s="145" customFormat="1" x14ac:dyDescent="0.15">
      <c r="A152" s="267">
        <v>95104041</v>
      </c>
      <c r="B152" s="268" t="s">
        <v>5002</v>
      </c>
      <c r="C152" s="293" t="s">
        <v>447</v>
      </c>
      <c r="D152" s="293">
        <v>5072</v>
      </c>
      <c r="E152" s="268" t="s">
        <v>4876</v>
      </c>
      <c r="F152" s="268" t="s">
        <v>4877</v>
      </c>
      <c r="G152" s="269">
        <v>1</v>
      </c>
      <c r="H152" s="269">
        <v>0</v>
      </c>
      <c r="I152" s="267">
        <v>34</v>
      </c>
      <c r="J152" s="282" t="s">
        <v>5003</v>
      </c>
      <c r="K152" s="279" t="s">
        <v>5004</v>
      </c>
      <c r="L152" s="279"/>
      <c r="M152" s="268">
        <v>1</v>
      </c>
      <c r="N152" s="268" t="b">
        <v>1</v>
      </c>
      <c r="O152" s="268">
        <v>2</v>
      </c>
      <c r="P152" s="281">
        <v>30</v>
      </c>
      <c r="Q152" s="281">
        <v>40</v>
      </c>
      <c r="R152" s="268" t="s">
        <v>3383</v>
      </c>
      <c r="S152" s="268"/>
      <c r="T152" s="268">
        <v>1</v>
      </c>
      <c r="U152" s="268" t="s">
        <v>4880</v>
      </c>
      <c r="V152" s="269">
        <v>1</v>
      </c>
      <c r="W152" s="269"/>
      <c r="X152" s="268" t="s">
        <v>4881</v>
      </c>
      <c r="Y152" s="269" t="s">
        <v>5005</v>
      </c>
      <c r="Z152" s="293" t="s">
        <v>5006</v>
      </c>
      <c r="AA152" s="268" t="s">
        <v>4884</v>
      </c>
      <c r="AB152" s="268"/>
      <c r="AC152" s="287">
        <v>1</v>
      </c>
      <c r="AD152" s="287">
        <v>1</v>
      </c>
      <c r="AE152" s="268"/>
      <c r="AF152" s="268"/>
      <c r="AG152" s="290"/>
    </row>
    <row r="153" spans="1:33" s="145" customFormat="1" x14ac:dyDescent="0.15">
      <c r="A153" s="267">
        <v>95104042</v>
      </c>
      <c r="B153" s="268" t="s">
        <v>5002</v>
      </c>
      <c r="C153" s="293" t="s">
        <v>447</v>
      </c>
      <c r="D153" s="293">
        <v>5072</v>
      </c>
      <c r="E153" s="268" t="s">
        <v>4876</v>
      </c>
      <c r="F153" s="268" t="s">
        <v>4877</v>
      </c>
      <c r="G153" s="269">
        <v>2</v>
      </c>
      <c r="H153" s="269">
        <v>0</v>
      </c>
      <c r="I153" s="267">
        <v>34</v>
      </c>
      <c r="J153" s="282" t="s">
        <v>5003</v>
      </c>
      <c r="K153" s="279" t="s">
        <v>5004</v>
      </c>
      <c r="L153" s="279"/>
      <c r="M153" s="268">
        <v>1</v>
      </c>
      <c r="N153" s="268" t="b">
        <v>1</v>
      </c>
      <c r="O153" s="268">
        <v>5</v>
      </c>
      <c r="P153" s="281">
        <v>75</v>
      </c>
      <c r="Q153" s="281">
        <v>100</v>
      </c>
      <c r="R153" s="268" t="s">
        <v>3383</v>
      </c>
      <c r="S153" s="268"/>
      <c r="T153" s="268">
        <v>1</v>
      </c>
      <c r="U153" s="268" t="s">
        <v>4880</v>
      </c>
      <c r="V153" s="269">
        <v>2</v>
      </c>
      <c r="W153" s="269"/>
      <c r="X153" s="268" t="s">
        <v>4881</v>
      </c>
      <c r="Y153" s="269" t="s">
        <v>5005</v>
      </c>
      <c r="Z153" s="293" t="s">
        <v>5006</v>
      </c>
      <c r="AA153" s="268" t="s">
        <v>4884</v>
      </c>
      <c r="AB153" s="268"/>
      <c r="AC153" s="287">
        <v>1</v>
      </c>
      <c r="AD153" s="287">
        <v>1</v>
      </c>
      <c r="AE153" s="268"/>
      <c r="AF153" s="268"/>
      <c r="AG153" s="290"/>
    </row>
    <row r="154" spans="1:33" s="145" customFormat="1" x14ac:dyDescent="0.15">
      <c r="A154" s="267">
        <v>95104043</v>
      </c>
      <c r="B154" s="268" t="s">
        <v>5002</v>
      </c>
      <c r="C154" s="293" t="s">
        <v>447</v>
      </c>
      <c r="D154" s="293">
        <v>5072</v>
      </c>
      <c r="E154" s="268" t="s">
        <v>4876</v>
      </c>
      <c r="F154" s="268" t="s">
        <v>4877</v>
      </c>
      <c r="G154" s="269">
        <v>3</v>
      </c>
      <c r="H154" s="269">
        <v>0</v>
      </c>
      <c r="I154" s="267">
        <v>34</v>
      </c>
      <c r="J154" s="282" t="s">
        <v>5003</v>
      </c>
      <c r="K154" s="279" t="s">
        <v>5004</v>
      </c>
      <c r="L154" s="279"/>
      <c r="M154" s="268">
        <v>1</v>
      </c>
      <c r="N154" s="268" t="b">
        <v>1</v>
      </c>
      <c r="O154" s="268">
        <v>7</v>
      </c>
      <c r="P154" s="281">
        <v>105</v>
      </c>
      <c r="Q154" s="281">
        <v>140</v>
      </c>
      <c r="R154" s="268" t="s">
        <v>3383</v>
      </c>
      <c r="S154" s="268"/>
      <c r="T154" s="268">
        <v>1</v>
      </c>
      <c r="U154" s="268" t="s">
        <v>4880</v>
      </c>
      <c r="V154" s="269">
        <v>3</v>
      </c>
      <c r="W154" s="269"/>
      <c r="X154" s="268" t="s">
        <v>4881</v>
      </c>
      <c r="Y154" s="269" t="s">
        <v>5005</v>
      </c>
      <c r="Z154" s="293" t="s">
        <v>5006</v>
      </c>
      <c r="AA154" s="268" t="s">
        <v>4884</v>
      </c>
      <c r="AB154" s="268"/>
      <c r="AC154" s="287">
        <v>1</v>
      </c>
      <c r="AD154" s="287">
        <v>1</v>
      </c>
      <c r="AE154" s="268"/>
      <c r="AF154" s="268"/>
      <c r="AG154" s="290"/>
    </row>
    <row r="155" spans="1:33" s="145" customFormat="1" x14ac:dyDescent="0.15">
      <c r="A155" s="267">
        <v>95104044</v>
      </c>
      <c r="B155" s="268" t="s">
        <v>5002</v>
      </c>
      <c r="C155" s="293" t="s">
        <v>447</v>
      </c>
      <c r="D155" s="293">
        <v>5072</v>
      </c>
      <c r="E155" s="268" t="s">
        <v>4876</v>
      </c>
      <c r="F155" s="268" t="s">
        <v>4877</v>
      </c>
      <c r="G155" s="269">
        <v>4</v>
      </c>
      <c r="H155" s="269">
        <v>0</v>
      </c>
      <c r="I155" s="267">
        <v>34</v>
      </c>
      <c r="J155" s="282" t="s">
        <v>5003</v>
      </c>
      <c r="K155" s="279" t="s">
        <v>5004</v>
      </c>
      <c r="L155" s="279"/>
      <c r="M155" s="268">
        <v>1</v>
      </c>
      <c r="N155" s="268" t="b">
        <v>1</v>
      </c>
      <c r="O155" s="268">
        <v>10</v>
      </c>
      <c r="P155" s="281">
        <v>150</v>
      </c>
      <c r="Q155" s="281">
        <v>200</v>
      </c>
      <c r="R155" s="268" t="s">
        <v>3383</v>
      </c>
      <c r="S155" s="268"/>
      <c r="T155" s="268">
        <v>1</v>
      </c>
      <c r="U155" s="268" t="s">
        <v>4880</v>
      </c>
      <c r="V155" s="269">
        <v>4</v>
      </c>
      <c r="W155" s="269"/>
      <c r="X155" s="268" t="s">
        <v>4881</v>
      </c>
      <c r="Y155" s="269" t="s">
        <v>5005</v>
      </c>
      <c r="Z155" s="293" t="s">
        <v>5006</v>
      </c>
      <c r="AA155" s="268" t="s">
        <v>4884</v>
      </c>
      <c r="AB155" s="268"/>
      <c r="AC155" s="287">
        <v>1</v>
      </c>
      <c r="AD155" s="287">
        <v>1</v>
      </c>
      <c r="AE155" s="268"/>
      <c r="AF155" s="268"/>
      <c r="AG155" s="290"/>
    </row>
    <row r="156" spans="1:33" s="145" customFormat="1" x14ac:dyDescent="0.15">
      <c r="A156" s="267">
        <v>95104045</v>
      </c>
      <c r="B156" s="268" t="s">
        <v>5002</v>
      </c>
      <c r="C156" s="293" t="s">
        <v>447</v>
      </c>
      <c r="D156" s="293">
        <v>5072</v>
      </c>
      <c r="E156" s="268" t="s">
        <v>4876</v>
      </c>
      <c r="F156" s="268" t="s">
        <v>4877</v>
      </c>
      <c r="G156" s="269">
        <v>5</v>
      </c>
      <c r="H156" s="269">
        <v>0</v>
      </c>
      <c r="I156" s="267">
        <v>34</v>
      </c>
      <c r="J156" s="282" t="s">
        <v>5003</v>
      </c>
      <c r="K156" s="279" t="s">
        <v>5004</v>
      </c>
      <c r="L156" s="279"/>
      <c r="M156" s="268">
        <v>1</v>
      </c>
      <c r="N156" s="268" t="b">
        <v>1</v>
      </c>
      <c r="O156" s="268">
        <v>12</v>
      </c>
      <c r="P156" s="281">
        <v>180</v>
      </c>
      <c r="Q156" s="281">
        <v>240</v>
      </c>
      <c r="R156" s="268" t="s">
        <v>3383</v>
      </c>
      <c r="S156" s="268"/>
      <c r="T156" s="268">
        <v>1</v>
      </c>
      <c r="U156" s="268" t="s">
        <v>4880</v>
      </c>
      <c r="V156" s="269">
        <v>5</v>
      </c>
      <c r="W156" s="269"/>
      <c r="X156" s="268" t="s">
        <v>4881</v>
      </c>
      <c r="Y156" s="269" t="s">
        <v>5005</v>
      </c>
      <c r="Z156" s="293" t="s">
        <v>5006</v>
      </c>
      <c r="AA156" s="268" t="s">
        <v>4884</v>
      </c>
      <c r="AB156" s="268"/>
      <c r="AC156" s="287">
        <v>1</v>
      </c>
      <c r="AD156" s="287">
        <v>1</v>
      </c>
      <c r="AE156" s="268"/>
      <c r="AF156" s="268"/>
      <c r="AG156" s="290"/>
    </row>
    <row r="157" spans="1:33" s="145" customFormat="1" x14ac:dyDescent="0.15">
      <c r="A157" s="267">
        <v>95104046</v>
      </c>
      <c r="B157" s="268" t="s">
        <v>5002</v>
      </c>
      <c r="C157" s="268" t="s">
        <v>447</v>
      </c>
      <c r="D157" s="268">
        <v>5072</v>
      </c>
      <c r="E157" s="268" t="s">
        <v>4876</v>
      </c>
      <c r="F157" s="268" t="s">
        <v>4877</v>
      </c>
      <c r="G157" s="269">
        <v>6</v>
      </c>
      <c r="H157" s="269">
        <v>0</v>
      </c>
      <c r="I157" s="267">
        <v>34</v>
      </c>
      <c r="J157" s="282" t="s">
        <v>5003</v>
      </c>
      <c r="K157" s="279" t="s">
        <v>5004</v>
      </c>
      <c r="L157" s="279"/>
      <c r="M157" s="268">
        <v>1</v>
      </c>
      <c r="N157" s="268" t="b">
        <v>1</v>
      </c>
      <c r="O157" s="268">
        <v>25</v>
      </c>
      <c r="P157" s="281">
        <v>375</v>
      </c>
      <c r="Q157" s="281">
        <v>500</v>
      </c>
      <c r="R157" s="268" t="s">
        <v>3383</v>
      </c>
      <c r="S157" s="268"/>
      <c r="T157" s="268">
        <v>1</v>
      </c>
      <c r="U157" s="268" t="s">
        <v>4880</v>
      </c>
      <c r="V157" s="269">
        <v>7</v>
      </c>
      <c r="W157" s="269"/>
      <c r="X157" s="268" t="s">
        <v>4881</v>
      </c>
      <c r="Y157" s="269" t="s">
        <v>5005</v>
      </c>
      <c r="Z157" s="293" t="s">
        <v>5006</v>
      </c>
      <c r="AA157" s="268" t="s">
        <v>4884</v>
      </c>
      <c r="AB157" s="268"/>
      <c r="AC157" s="287">
        <v>1</v>
      </c>
      <c r="AD157" s="287">
        <v>1</v>
      </c>
      <c r="AE157" s="268"/>
      <c r="AF157" s="268"/>
      <c r="AG157" s="290"/>
    </row>
    <row r="158" spans="1:33" s="145" customFormat="1" x14ac:dyDescent="0.15">
      <c r="A158" s="267">
        <v>95104047</v>
      </c>
      <c r="B158" s="268" t="s">
        <v>5002</v>
      </c>
      <c r="C158" s="268" t="s">
        <v>447</v>
      </c>
      <c r="D158" s="268">
        <v>5072</v>
      </c>
      <c r="E158" s="268" t="s">
        <v>4876</v>
      </c>
      <c r="F158" s="268" t="s">
        <v>4877</v>
      </c>
      <c r="G158" s="269">
        <v>7</v>
      </c>
      <c r="H158" s="269">
        <v>0</v>
      </c>
      <c r="I158" s="267">
        <v>34</v>
      </c>
      <c r="J158" s="282" t="s">
        <v>5003</v>
      </c>
      <c r="K158" s="279" t="s">
        <v>5004</v>
      </c>
      <c r="L158" s="279"/>
      <c r="M158" s="268">
        <v>1</v>
      </c>
      <c r="N158" s="268" t="b">
        <v>1</v>
      </c>
      <c r="O158" s="268">
        <v>38</v>
      </c>
      <c r="P158" s="281">
        <v>570</v>
      </c>
      <c r="Q158" s="281">
        <v>760</v>
      </c>
      <c r="R158" s="268" t="s">
        <v>3383</v>
      </c>
      <c r="S158" s="268"/>
      <c r="T158" s="268">
        <v>1</v>
      </c>
      <c r="U158" s="268" t="s">
        <v>4880</v>
      </c>
      <c r="V158" s="269">
        <v>10</v>
      </c>
      <c r="W158" s="269"/>
      <c r="X158" s="268" t="s">
        <v>4881</v>
      </c>
      <c r="Y158" s="269" t="s">
        <v>5005</v>
      </c>
      <c r="Z158" s="293" t="s">
        <v>5006</v>
      </c>
      <c r="AA158" s="268" t="s">
        <v>4884</v>
      </c>
      <c r="AB158" s="268"/>
      <c r="AC158" s="287">
        <v>1</v>
      </c>
      <c r="AD158" s="287">
        <v>1</v>
      </c>
      <c r="AE158" s="268"/>
      <c r="AF158" s="268"/>
      <c r="AG158" s="290"/>
    </row>
    <row r="159" spans="1:33" s="258" customFormat="1" x14ac:dyDescent="0.15">
      <c r="A159" s="271">
        <v>95104048</v>
      </c>
      <c r="B159" s="272" t="s">
        <v>5007</v>
      </c>
      <c r="C159" s="272" t="s">
        <v>447</v>
      </c>
      <c r="D159" s="272">
        <v>5081</v>
      </c>
      <c r="E159" s="272" t="s">
        <v>4876</v>
      </c>
      <c r="F159" s="272" t="s">
        <v>4877</v>
      </c>
      <c r="G159" s="269">
        <v>6</v>
      </c>
      <c r="H159" s="273">
        <v>0</v>
      </c>
      <c r="I159" s="283">
        <v>34</v>
      </c>
      <c r="J159" s="284" t="s">
        <v>5003</v>
      </c>
      <c r="K159" s="285" t="s">
        <v>5004</v>
      </c>
      <c r="L159" s="272" t="s">
        <v>44</v>
      </c>
      <c r="M159" s="272">
        <v>1</v>
      </c>
      <c r="N159" s="272" t="b">
        <v>1</v>
      </c>
      <c r="O159" s="272">
        <v>51</v>
      </c>
      <c r="P159" s="281">
        <v>765</v>
      </c>
      <c r="Q159" s="281">
        <v>1020</v>
      </c>
      <c r="R159" s="272" t="s">
        <v>3383</v>
      </c>
      <c r="S159" s="272"/>
      <c r="T159" s="272">
        <v>1</v>
      </c>
      <c r="U159" s="272" t="s">
        <v>4880</v>
      </c>
      <c r="V159" s="273">
        <v>10</v>
      </c>
      <c r="W159" s="273"/>
      <c r="X159" s="272" t="s">
        <v>4881</v>
      </c>
      <c r="Y159" s="333" t="s">
        <v>5005</v>
      </c>
      <c r="Z159" s="334" t="s">
        <v>5006</v>
      </c>
      <c r="AA159" s="272" t="s">
        <v>4884</v>
      </c>
      <c r="AB159" s="272"/>
      <c r="AC159" s="289">
        <v>1</v>
      </c>
      <c r="AD159" s="289">
        <v>1</v>
      </c>
      <c r="AE159" s="289"/>
      <c r="AF159" s="272"/>
      <c r="AG159" s="272"/>
    </row>
    <row r="160" spans="1:33" s="258" customFormat="1" x14ac:dyDescent="0.15">
      <c r="A160" s="271">
        <v>95104049</v>
      </c>
      <c r="B160" s="272" t="s">
        <v>5008</v>
      </c>
      <c r="C160" s="272" t="s">
        <v>447</v>
      </c>
      <c r="D160" s="272">
        <v>5081</v>
      </c>
      <c r="E160" s="272" t="s">
        <v>4876</v>
      </c>
      <c r="F160" s="272" t="s">
        <v>4877</v>
      </c>
      <c r="G160" s="269">
        <v>6</v>
      </c>
      <c r="H160" s="273">
        <v>0</v>
      </c>
      <c r="I160" s="283">
        <v>34</v>
      </c>
      <c r="J160" s="284" t="s">
        <v>5003</v>
      </c>
      <c r="K160" s="285" t="s">
        <v>5004</v>
      </c>
      <c r="L160" s="272" t="s">
        <v>4887</v>
      </c>
      <c r="M160" s="272">
        <v>1</v>
      </c>
      <c r="N160" s="272" t="b">
        <v>1</v>
      </c>
      <c r="O160" s="272">
        <v>64</v>
      </c>
      <c r="P160" s="281">
        <v>960</v>
      </c>
      <c r="Q160" s="281">
        <v>1280</v>
      </c>
      <c r="R160" s="272" t="s">
        <v>3383</v>
      </c>
      <c r="S160" s="272"/>
      <c r="T160" s="272">
        <v>1</v>
      </c>
      <c r="U160" s="272" t="s">
        <v>4880</v>
      </c>
      <c r="V160" s="273">
        <v>10</v>
      </c>
      <c r="W160" s="273"/>
      <c r="X160" s="272" t="s">
        <v>4881</v>
      </c>
      <c r="Y160" s="333" t="s">
        <v>5005</v>
      </c>
      <c r="Z160" s="334" t="s">
        <v>5006</v>
      </c>
      <c r="AA160" s="272" t="s">
        <v>4884</v>
      </c>
      <c r="AB160" s="272"/>
      <c r="AC160" s="289">
        <v>1</v>
      </c>
      <c r="AD160" s="289">
        <v>1</v>
      </c>
      <c r="AE160" s="289"/>
      <c r="AF160" s="272"/>
      <c r="AG160" s="272"/>
    </row>
    <row r="161" spans="1:33" s="258" customFormat="1" x14ac:dyDescent="0.15">
      <c r="A161" s="271">
        <v>95104050</v>
      </c>
      <c r="B161" s="272" t="s">
        <v>5009</v>
      </c>
      <c r="C161" s="272" t="s">
        <v>447</v>
      </c>
      <c r="D161" s="272">
        <v>5081</v>
      </c>
      <c r="E161" s="272" t="s">
        <v>4876</v>
      </c>
      <c r="F161" s="272" t="s">
        <v>4877</v>
      </c>
      <c r="G161" s="269">
        <v>7</v>
      </c>
      <c r="H161" s="273">
        <v>0</v>
      </c>
      <c r="I161" s="283">
        <v>34</v>
      </c>
      <c r="J161" s="284" t="s">
        <v>5003</v>
      </c>
      <c r="K161" s="285" t="s">
        <v>5004</v>
      </c>
      <c r="L161" s="272" t="s">
        <v>4889</v>
      </c>
      <c r="M161" s="272">
        <v>1</v>
      </c>
      <c r="N161" s="272" t="b">
        <v>1</v>
      </c>
      <c r="O161" s="272">
        <v>77</v>
      </c>
      <c r="P161" s="281">
        <v>1155</v>
      </c>
      <c r="Q161" s="281">
        <v>1540</v>
      </c>
      <c r="R161" s="272" t="s">
        <v>3383</v>
      </c>
      <c r="S161" s="272"/>
      <c r="T161" s="272">
        <v>1</v>
      </c>
      <c r="U161" s="272" t="s">
        <v>4880</v>
      </c>
      <c r="V161" s="273">
        <v>10</v>
      </c>
      <c r="W161" s="273"/>
      <c r="X161" s="272" t="s">
        <v>4881</v>
      </c>
      <c r="Y161" s="333" t="s">
        <v>5005</v>
      </c>
      <c r="Z161" s="334" t="s">
        <v>5006</v>
      </c>
      <c r="AA161" s="272" t="s">
        <v>4884</v>
      </c>
      <c r="AB161" s="272"/>
      <c r="AC161" s="289">
        <v>1</v>
      </c>
      <c r="AD161" s="289">
        <v>1</v>
      </c>
      <c r="AE161" s="289"/>
      <c r="AF161" s="272"/>
      <c r="AG161" s="272"/>
    </row>
    <row r="162" spans="1:33" s="145" customFormat="1" x14ac:dyDescent="0.15">
      <c r="A162" s="267">
        <v>95105011</v>
      </c>
      <c r="B162" s="268" t="s">
        <v>5010</v>
      </c>
      <c r="C162" s="293" t="s">
        <v>5011</v>
      </c>
      <c r="D162" s="293">
        <v>5041</v>
      </c>
      <c r="E162" s="268" t="s">
        <v>4876</v>
      </c>
      <c r="F162" s="268" t="s">
        <v>4877</v>
      </c>
      <c r="G162" s="269">
        <v>1</v>
      </c>
      <c r="H162" s="269">
        <v>0</v>
      </c>
      <c r="I162" s="267">
        <v>34</v>
      </c>
      <c r="J162" s="282" t="s">
        <v>5012</v>
      </c>
      <c r="K162" s="279" t="s">
        <v>5013</v>
      </c>
      <c r="L162" s="279"/>
      <c r="M162" s="268">
        <v>1</v>
      </c>
      <c r="N162" s="268" t="b">
        <v>1</v>
      </c>
      <c r="O162" s="268">
        <v>2</v>
      </c>
      <c r="P162" s="281">
        <v>30</v>
      </c>
      <c r="Q162" s="281">
        <v>40</v>
      </c>
      <c r="R162" s="268" t="s">
        <v>3383</v>
      </c>
      <c r="S162" s="268"/>
      <c r="T162" s="268">
        <v>1</v>
      </c>
      <c r="U162" s="268" t="s">
        <v>4880</v>
      </c>
      <c r="V162" s="269">
        <v>1</v>
      </c>
      <c r="W162" s="269"/>
      <c r="X162" s="268" t="s">
        <v>4881</v>
      </c>
      <c r="Y162" s="269" t="s">
        <v>5014</v>
      </c>
      <c r="Z162" s="293" t="s">
        <v>5015</v>
      </c>
      <c r="AA162" s="268" t="s">
        <v>4884</v>
      </c>
      <c r="AB162" s="268"/>
      <c r="AC162" s="287">
        <v>1</v>
      </c>
      <c r="AD162" s="287">
        <v>1</v>
      </c>
      <c r="AE162" s="268"/>
      <c r="AF162" s="268"/>
      <c r="AG162" s="290"/>
    </row>
    <row r="163" spans="1:33" s="145" customFormat="1" x14ac:dyDescent="0.15">
      <c r="A163" s="267">
        <v>95105012</v>
      </c>
      <c r="B163" s="268" t="s">
        <v>5010</v>
      </c>
      <c r="C163" s="293" t="s">
        <v>5011</v>
      </c>
      <c r="D163" s="293">
        <v>5041</v>
      </c>
      <c r="E163" s="268" t="s">
        <v>4876</v>
      </c>
      <c r="F163" s="268" t="s">
        <v>4877</v>
      </c>
      <c r="G163" s="269">
        <v>2</v>
      </c>
      <c r="H163" s="269">
        <v>0</v>
      </c>
      <c r="I163" s="267">
        <v>34</v>
      </c>
      <c r="J163" s="282" t="s">
        <v>5012</v>
      </c>
      <c r="K163" s="279" t="s">
        <v>5013</v>
      </c>
      <c r="L163" s="279"/>
      <c r="M163" s="268">
        <v>1</v>
      </c>
      <c r="N163" s="268" t="b">
        <v>1</v>
      </c>
      <c r="O163" s="268">
        <v>5</v>
      </c>
      <c r="P163" s="281">
        <v>75</v>
      </c>
      <c r="Q163" s="281">
        <v>100</v>
      </c>
      <c r="R163" s="268" t="s">
        <v>3383</v>
      </c>
      <c r="S163" s="268"/>
      <c r="T163" s="268">
        <v>1</v>
      </c>
      <c r="U163" s="268" t="s">
        <v>4880</v>
      </c>
      <c r="V163" s="269">
        <v>2</v>
      </c>
      <c r="W163" s="269"/>
      <c r="X163" s="268" t="s">
        <v>4881</v>
      </c>
      <c r="Y163" s="269" t="s">
        <v>5014</v>
      </c>
      <c r="Z163" s="293" t="s">
        <v>5015</v>
      </c>
      <c r="AA163" s="268" t="s">
        <v>4884</v>
      </c>
      <c r="AB163" s="268"/>
      <c r="AC163" s="287">
        <v>1</v>
      </c>
      <c r="AD163" s="287">
        <v>1</v>
      </c>
      <c r="AE163" s="268"/>
      <c r="AF163" s="268"/>
      <c r="AG163" s="290"/>
    </row>
    <row r="164" spans="1:33" s="145" customFormat="1" x14ac:dyDescent="0.15">
      <c r="A164" s="267">
        <v>95105013</v>
      </c>
      <c r="B164" s="268" t="s">
        <v>5010</v>
      </c>
      <c r="C164" s="293" t="s">
        <v>5011</v>
      </c>
      <c r="D164" s="293">
        <v>5041</v>
      </c>
      <c r="E164" s="268" t="s">
        <v>4876</v>
      </c>
      <c r="F164" s="268" t="s">
        <v>4877</v>
      </c>
      <c r="G164" s="269">
        <v>3</v>
      </c>
      <c r="H164" s="269">
        <v>0</v>
      </c>
      <c r="I164" s="267">
        <v>34</v>
      </c>
      <c r="J164" s="282" t="s">
        <v>5012</v>
      </c>
      <c r="K164" s="279" t="s">
        <v>5013</v>
      </c>
      <c r="L164" s="279"/>
      <c r="M164" s="268">
        <v>1</v>
      </c>
      <c r="N164" s="268" t="b">
        <v>1</v>
      </c>
      <c r="O164" s="268">
        <v>7</v>
      </c>
      <c r="P164" s="281">
        <v>105</v>
      </c>
      <c r="Q164" s="281">
        <v>140</v>
      </c>
      <c r="R164" s="268" t="s">
        <v>3383</v>
      </c>
      <c r="S164" s="268"/>
      <c r="T164" s="268">
        <v>1</v>
      </c>
      <c r="U164" s="268" t="s">
        <v>4880</v>
      </c>
      <c r="V164" s="269">
        <v>3</v>
      </c>
      <c r="W164" s="269"/>
      <c r="X164" s="268" t="s">
        <v>4881</v>
      </c>
      <c r="Y164" s="269" t="s">
        <v>5014</v>
      </c>
      <c r="Z164" s="293" t="s">
        <v>5015</v>
      </c>
      <c r="AA164" s="268" t="s">
        <v>4884</v>
      </c>
      <c r="AB164" s="268"/>
      <c r="AC164" s="287">
        <v>1</v>
      </c>
      <c r="AD164" s="287">
        <v>1</v>
      </c>
      <c r="AE164" s="268"/>
      <c r="AF164" s="268"/>
      <c r="AG164" s="290"/>
    </row>
    <row r="165" spans="1:33" s="145" customFormat="1" x14ac:dyDescent="0.15">
      <c r="A165" s="267">
        <v>95105014</v>
      </c>
      <c r="B165" s="268" t="s">
        <v>5010</v>
      </c>
      <c r="C165" s="293" t="s">
        <v>5011</v>
      </c>
      <c r="D165" s="293">
        <v>5041</v>
      </c>
      <c r="E165" s="268" t="s">
        <v>4876</v>
      </c>
      <c r="F165" s="268" t="s">
        <v>4877</v>
      </c>
      <c r="G165" s="269">
        <v>4</v>
      </c>
      <c r="H165" s="269">
        <v>0</v>
      </c>
      <c r="I165" s="267">
        <v>34</v>
      </c>
      <c r="J165" s="282" t="s">
        <v>5012</v>
      </c>
      <c r="K165" s="279" t="s">
        <v>5013</v>
      </c>
      <c r="L165" s="279"/>
      <c r="M165" s="268">
        <v>1</v>
      </c>
      <c r="N165" s="268" t="b">
        <v>1</v>
      </c>
      <c r="O165" s="268">
        <v>10</v>
      </c>
      <c r="P165" s="281">
        <v>150</v>
      </c>
      <c r="Q165" s="281">
        <v>200</v>
      </c>
      <c r="R165" s="268" t="s">
        <v>3383</v>
      </c>
      <c r="S165" s="268"/>
      <c r="T165" s="268">
        <v>1</v>
      </c>
      <c r="U165" s="268" t="s">
        <v>4880</v>
      </c>
      <c r="V165" s="269">
        <v>4</v>
      </c>
      <c r="W165" s="269"/>
      <c r="X165" s="268" t="s">
        <v>4881</v>
      </c>
      <c r="Y165" s="269" t="s">
        <v>5014</v>
      </c>
      <c r="Z165" s="293" t="s">
        <v>5015</v>
      </c>
      <c r="AA165" s="268" t="s">
        <v>4884</v>
      </c>
      <c r="AB165" s="268"/>
      <c r="AC165" s="287">
        <v>1</v>
      </c>
      <c r="AD165" s="287">
        <v>1</v>
      </c>
      <c r="AE165" s="268"/>
      <c r="AF165" s="268"/>
      <c r="AG165" s="290"/>
    </row>
    <row r="166" spans="1:33" s="145" customFormat="1" x14ac:dyDescent="0.15">
      <c r="A166" s="267">
        <v>95105015</v>
      </c>
      <c r="B166" s="268" t="s">
        <v>5010</v>
      </c>
      <c r="C166" s="293" t="s">
        <v>5011</v>
      </c>
      <c r="D166" s="293">
        <v>5041</v>
      </c>
      <c r="E166" s="268" t="s">
        <v>4876</v>
      </c>
      <c r="F166" s="268" t="s">
        <v>4877</v>
      </c>
      <c r="G166" s="269">
        <v>5</v>
      </c>
      <c r="H166" s="269">
        <v>0</v>
      </c>
      <c r="I166" s="267">
        <v>34</v>
      </c>
      <c r="J166" s="282" t="s">
        <v>5012</v>
      </c>
      <c r="K166" s="279" t="s">
        <v>5013</v>
      </c>
      <c r="L166" s="279"/>
      <c r="M166" s="268">
        <v>1</v>
      </c>
      <c r="N166" s="268" t="b">
        <v>1</v>
      </c>
      <c r="O166" s="268">
        <v>12</v>
      </c>
      <c r="P166" s="281">
        <v>180</v>
      </c>
      <c r="Q166" s="281">
        <v>240</v>
      </c>
      <c r="R166" s="268" t="s">
        <v>3383</v>
      </c>
      <c r="S166" s="268"/>
      <c r="T166" s="268">
        <v>1</v>
      </c>
      <c r="U166" s="268" t="s">
        <v>4880</v>
      </c>
      <c r="V166" s="269">
        <v>5</v>
      </c>
      <c r="W166" s="269"/>
      <c r="X166" s="268" t="s">
        <v>4881</v>
      </c>
      <c r="Y166" s="269" t="s">
        <v>5014</v>
      </c>
      <c r="Z166" s="293" t="s">
        <v>5015</v>
      </c>
      <c r="AA166" s="268" t="s">
        <v>4884</v>
      </c>
      <c r="AB166" s="268"/>
      <c r="AC166" s="287">
        <v>1</v>
      </c>
      <c r="AD166" s="287">
        <v>1</v>
      </c>
      <c r="AE166" s="268"/>
      <c r="AF166" s="268"/>
      <c r="AG166" s="290"/>
    </row>
    <row r="167" spans="1:33" s="145" customFormat="1" x14ac:dyDescent="0.15">
      <c r="A167" s="270">
        <v>95105016</v>
      </c>
      <c r="B167" s="268" t="s">
        <v>5010</v>
      </c>
      <c r="C167" s="268" t="s">
        <v>5011</v>
      </c>
      <c r="D167" s="268">
        <v>5041</v>
      </c>
      <c r="E167" s="268" t="s">
        <v>4876</v>
      </c>
      <c r="F167" s="268" t="s">
        <v>4877</v>
      </c>
      <c r="G167" s="269">
        <v>6</v>
      </c>
      <c r="H167" s="269">
        <v>0</v>
      </c>
      <c r="I167" s="267">
        <v>34</v>
      </c>
      <c r="J167" s="282" t="s">
        <v>5012</v>
      </c>
      <c r="K167" s="279" t="s">
        <v>5013</v>
      </c>
      <c r="L167" s="279"/>
      <c r="M167" s="268">
        <v>1</v>
      </c>
      <c r="N167" s="268" t="b">
        <v>1</v>
      </c>
      <c r="O167" s="268">
        <v>25</v>
      </c>
      <c r="P167" s="281">
        <v>375</v>
      </c>
      <c r="Q167" s="281">
        <v>500</v>
      </c>
      <c r="R167" s="268" t="s">
        <v>3383</v>
      </c>
      <c r="S167" s="268"/>
      <c r="T167" s="268">
        <v>1</v>
      </c>
      <c r="U167" s="268" t="s">
        <v>4880</v>
      </c>
      <c r="V167" s="269">
        <v>7</v>
      </c>
      <c r="W167" s="269"/>
      <c r="X167" s="268" t="s">
        <v>4881</v>
      </c>
      <c r="Y167" s="331" t="s">
        <v>5014</v>
      </c>
      <c r="Z167" s="332" t="s">
        <v>5015</v>
      </c>
      <c r="AA167" s="268" t="s">
        <v>4884</v>
      </c>
      <c r="AB167" s="268"/>
      <c r="AC167" s="287">
        <v>1</v>
      </c>
      <c r="AD167" s="287">
        <v>1</v>
      </c>
      <c r="AE167" s="268"/>
      <c r="AF167" s="268"/>
      <c r="AG167" s="290"/>
    </row>
    <row r="168" spans="1:33" s="145" customFormat="1" x14ac:dyDescent="0.15">
      <c r="A168" s="270">
        <v>95105017</v>
      </c>
      <c r="B168" s="268" t="s">
        <v>5010</v>
      </c>
      <c r="C168" s="268" t="s">
        <v>5011</v>
      </c>
      <c r="D168" s="268">
        <v>5041</v>
      </c>
      <c r="E168" s="268" t="s">
        <v>4876</v>
      </c>
      <c r="F168" s="268" t="s">
        <v>4877</v>
      </c>
      <c r="G168" s="269">
        <v>7</v>
      </c>
      <c r="H168" s="269">
        <v>0</v>
      </c>
      <c r="I168" s="267">
        <v>34</v>
      </c>
      <c r="J168" s="282" t="s">
        <v>5012</v>
      </c>
      <c r="K168" s="279" t="s">
        <v>5013</v>
      </c>
      <c r="L168" s="279"/>
      <c r="M168" s="268">
        <v>1</v>
      </c>
      <c r="N168" s="268" t="b">
        <v>1</v>
      </c>
      <c r="O168" s="268">
        <v>38</v>
      </c>
      <c r="P168" s="281">
        <v>570</v>
      </c>
      <c r="Q168" s="281">
        <v>760</v>
      </c>
      <c r="R168" s="268" t="s">
        <v>3383</v>
      </c>
      <c r="S168" s="268"/>
      <c r="T168" s="268">
        <v>1</v>
      </c>
      <c r="U168" s="268" t="s">
        <v>4880</v>
      </c>
      <c r="V168" s="269">
        <v>10</v>
      </c>
      <c r="W168" s="269"/>
      <c r="X168" s="268" t="s">
        <v>4881</v>
      </c>
      <c r="Y168" s="331" t="s">
        <v>5014</v>
      </c>
      <c r="Z168" s="332" t="s">
        <v>5015</v>
      </c>
      <c r="AA168" s="268" t="s">
        <v>4884</v>
      </c>
      <c r="AB168" s="268"/>
      <c r="AC168" s="287">
        <v>1</v>
      </c>
      <c r="AD168" s="287">
        <v>1</v>
      </c>
      <c r="AE168" s="268"/>
      <c r="AF168" s="268"/>
      <c r="AG168" s="290"/>
    </row>
    <row r="169" spans="1:33" s="258" customFormat="1" x14ac:dyDescent="0.15">
      <c r="A169" s="271">
        <v>95105018</v>
      </c>
      <c r="B169" s="272" t="s">
        <v>5016</v>
      </c>
      <c r="C169" s="272" t="s">
        <v>5011</v>
      </c>
      <c r="D169" s="272">
        <v>5081</v>
      </c>
      <c r="E169" s="272" t="s">
        <v>4876</v>
      </c>
      <c r="F169" s="272" t="s">
        <v>4877</v>
      </c>
      <c r="G169" s="269">
        <v>6</v>
      </c>
      <c r="H169" s="273">
        <v>0</v>
      </c>
      <c r="I169" s="283">
        <v>34</v>
      </c>
      <c r="J169" s="284" t="s">
        <v>5012</v>
      </c>
      <c r="K169" s="285" t="s">
        <v>5013</v>
      </c>
      <c r="L169" s="272" t="s">
        <v>44</v>
      </c>
      <c r="M169" s="272">
        <v>1</v>
      </c>
      <c r="N169" s="272" t="b">
        <v>1</v>
      </c>
      <c r="O169" s="272">
        <v>51</v>
      </c>
      <c r="P169" s="281">
        <v>765</v>
      </c>
      <c r="Q169" s="281">
        <v>1020</v>
      </c>
      <c r="R169" s="272" t="s">
        <v>3383</v>
      </c>
      <c r="S169" s="272"/>
      <c r="T169" s="272">
        <v>1</v>
      </c>
      <c r="U169" s="272" t="s">
        <v>4880</v>
      </c>
      <c r="V169" s="273">
        <v>10</v>
      </c>
      <c r="W169" s="273"/>
      <c r="X169" s="272" t="s">
        <v>4881</v>
      </c>
      <c r="Y169" s="333" t="s">
        <v>5014</v>
      </c>
      <c r="Z169" s="334" t="s">
        <v>5015</v>
      </c>
      <c r="AA169" s="272" t="s">
        <v>4884</v>
      </c>
      <c r="AB169" s="272"/>
      <c r="AC169" s="289">
        <v>1</v>
      </c>
      <c r="AD169" s="289">
        <v>1</v>
      </c>
      <c r="AE169" s="289"/>
      <c r="AF169" s="272"/>
      <c r="AG169" s="272"/>
    </row>
    <row r="170" spans="1:33" s="258" customFormat="1" x14ac:dyDescent="0.15">
      <c r="A170" s="271">
        <v>95105019</v>
      </c>
      <c r="B170" s="272" t="s">
        <v>5017</v>
      </c>
      <c r="C170" s="272" t="s">
        <v>5011</v>
      </c>
      <c r="D170" s="272">
        <v>5081</v>
      </c>
      <c r="E170" s="272" t="s">
        <v>4876</v>
      </c>
      <c r="F170" s="272" t="s">
        <v>4877</v>
      </c>
      <c r="G170" s="269">
        <v>6</v>
      </c>
      <c r="H170" s="273">
        <v>0</v>
      </c>
      <c r="I170" s="283">
        <v>34</v>
      </c>
      <c r="J170" s="284" t="s">
        <v>5012</v>
      </c>
      <c r="K170" s="285" t="s">
        <v>5013</v>
      </c>
      <c r="L170" s="272" t="s">
        <v>4887</v>
      </c>
      <c r="M170" s="272">
        <v>1</v>
      </c>
      <c r="N170" s="272" t="b">
        <v>1</v>
      </c>
      <c r="O170" s="272">
        <v>64</v>
      </c>
      <c r="P170" s="281">
        <v>960</v>
      </c>
      <c r="Q170" s="281">
        <v>1280</v>
      </c>
      <c r="R170" s="272" t="s">
        <v>3383</v>
      </c>
      <c r="S170" s="272"/>
      <c r="T170" s="272">
        <v>1</v>
      </c>
      <c r="U170" s="272" t="s">
        <v>4880</v>
      </c>
      <c r="V170" s="273">
        <v>10</v>
      </c>
      <c r="W170" s="273"/>
      <c r="X170" s="272" t="s">
        <v>4881</v>
      </c>
      <c r="Y170" s="333" t="s">
        <v>5014</v>
      </c>
      <c r="Z170" s="334" t="s">
        <v>5015</v>
      </c>
      <c r="AA170" s="272" t="s">
        <v>4884</v>
      </c>
      <c r="AB170" s="272"/>
      <c r="AC170" s="289">
        <v>1</v>
      </c>
      <c r="AD170" s="289">
        <v>1</v>
      </c>
      <c r="AE170" s="289"/>
      <c r="AF170" s="272"/>
      <c r="AG170" s="272"/>
    </row>
    <row r="171" spans="1:33" s="258" customFormat="1" x14ac:dyDescent="0.15">
      <c r="A171" s="271">
        <v>95105020</v>
      </c>
      <c r="B171" s="272" t="s">
        <v>5018</v>
      </c>
      <c r="C171" s="272" t="s">
        <v>5011</v>
      </c>
      <c r="D171" s="272">
        <v>5081</v>
      </c>
      <c r="E171" s="272" t="s">
        <v>4876</v>
      </c>
      <c r="F171" s="272" t="s">
        <v>4877</v>
      </c>
      <c r="G171" s="269">
        <v>7</v>
      </c>
      <c r="H171" s="273">
        <v>0</v>
      </c>
      <c r="I171" s="283">
        <v>34</v>
      </c>
      <c r="J171" s="284" t="s">
        <v>5012</v>
      </c>
      <c r="K171" s="285" t="s">
        <v>5013</v>
      </c>
      <c r="L171" s="272" t="s">
        <v>4889</v>
      </c>
      <c r="M171" s="272">
        <v>1</v>
      </c>
      <c r="N171" s="272" t="b">
        <v>1</v>
      </c>
      <c r="O171" s="272">
        <v>77</v>
      </c>
      <c r="P171" s="281">
        <v>1155</v>
      </c>
      <c r="Q171" s="281">
        <v>1540</v>
      </c>
      <c r="R171" s="272" t="s">
        <v>3383</v>
      </c>
      <c r="S171" s="272"/>
      <c r="T171" s="272">
        <v>1</v>
      </c>
      <c r="U171" s="272" t="s">
        <v>4880</v>
      </c>
      <c r="V171" s="273">
        <v>10</v>
      </c>
      <c r="W171" s="273"/>
      <c r="X171" s="272" t="s">
        <v>4881</v>
      </c>
      <c r="Y171" s="333" t="s">
        <v>5014</v>
      </c>
      <c r="Z171" s="334" t="s">
        <v>5015</v>
      </c>
      <c r="AA171" s="272" t="s">
        <v>4884</v>
      </c>
      <c r="AB171" s="272"/>
      <c r="AC171" s="289">
        <v>1</v>
      </c>
      <c r="AD171" s="289">
        <v>1</v>
      </c>
      <c r="AE171" s="289"/>
      <c r="AF171" s="272"/>
      <c r="AG171" s="272"/>
    </row>
    <row r="172" spans="1:33" s="145" customFormat="1" x14ac:dyDescent="0.15">
      <c r="A172" s="267">
        <v>95105021</v>
      </c>
      <c r="B172" s="268" t="s">
        <v>5019</v>
      </c>
      <c r="C172" s="293" t="s">
        <v>5011</v>
      </c>
      <c r="D172" s="293">
        <v>5041</v>
      </c>
      <c r="E172" s="268" t="s">
        <v>4876</v>
      </c>
      <c r="F172" s="268" t="s">
        <v>4877</v>
      </c>
      <c r="G172" s="269">
        <v>1</v>
      </c>
      <c r="H172" s="269">
        <v>0</v>
      </c>
      <c r="I172" s="267">
        <v>34</v>
      </c>
      <c r="J172" s="268" t="s">
        <v>5020</v>
      </c>
      <c r="K172" s="279" t="s">
        <v>5021</v>
      </c>
      <c r="L172" s="279"/>
      <c r="M172" s="268">
        <v>1</v>
      </c>
      <c r="N172" s="268" t="b">
        <v>1</v>
      </c>
      <c r="O172" s="268">
        <v>2</v>
      </c>
      <c r="P172" s="281">
        <v>30</v>
      </c>
      <c r="Q172" s="281">
        <v>40</v>
      </c>
      <c r="R172" s="268" t="s">
        <v>3383</v>
      </c>
      <c r="S172" s="268"/>
      <c r="T172" s="268">
        <v>1</v>
      </c>
      <c r="U172" s="268" t="s">
        <v>4880</v>
      </c>
      <c r="V172" s="269">
        <v>1</v>
      </c>
      <c r="W172" s="269"/>
      <c r="X172" s="268" t="s">
        <v>4881</v>
      </c>
      <c r="Y172" s="331" t="s">
        <v>5022</v>
      </c>
      <c r="Z172" s="332" t="s">
        <v>5023</v>
      </c>
      <c r="AA172" s="268" t="s">
        <v>4884</v>
      </c>
      <c r="AB172" s="268"/>
      <c r="AC172" s="287">
        <v>1</v>
      </c>
      <c r="AD172" s="287">
        <v>1</v>
      </c>
      <c r="AE172" s="268"/>
      <c r="AF172" s="268"/>
      <c r="AG172" s="290"/>
    </row>
    <row r="173" spans="1:33" s="145" customFormat="1" x14ac:dyDescent="0.15">
      <c r="A173" s="267">
        <v>95105022</v>
      </c>
      <c r="B173" s="268" t="s">
        <v>5019</v>
      </c>
      <c r="C173" s="293" t="s">
        <v>5011</v>
      </c>
      <c r="D173" s="293">
        <v>5041</v>
      </c>
      <c r="E173" s="268" t="s">
        <v>4876</v>
      </c>
      <c r="F173" s="268" t="s">
        <v>4877</v>
      </c>
      <c r="G173" s="269">
        <v>2</v>
      </c>
      <c r="H173" s="269">
        <v>0</v>
      </c>
      <c r="I173" s="267">
        <v>34</v>
      </c>
      <c r="J173" s="268" t="s">
        <v>5020</v>
      </c>
      <c r="K173" s="279" t="s">
        <v>5021</v>
      </c>
      <c r="L173" s="279"/>
      <c r="M173" s="268">
        <v>1</v>
      </c>
      <c r="N173" s="268" t="b">
        <v>1</v>
      </c>
      <c r="O173" s="268">
        <v>5</v>
      </c>
      <c r="P173" s="281">
        <v>75</v>
      </c>
      <c r="Q173" s="281">
        <v>100</v>
      </c>
      <c r="R173" s="268" t="s">
        <v>3383</v>
      </c>
      <c r="S173" s="268"/>
      <c r="T173" s="268">
        <v>1</v>
      </c>
      <c r="U173" s="268" t="s">
        <v>4880</v>
      </c>
      <c r="V173" s="269">
        <v>2</v>
      </c>
      <c r="W173" s="269"/>
      <c r="X173" s="268" t="s">
        <v>4881</v>
      </c>
      <c r="Y173" s="331" t="s">
        <v>5022</v>
      </c>
      <c r="Z173" s="332" t="s">
        <v>5023</v>
      </c>
      <c r="AA173" s="268" t="s">
        <v>4884</v>
      </c>
      <c r="AB173" s="268"/>
      <c r="AC173" s="287">
        <v>1</v>
      </c>
      <c r="AD173" s="287">
        <v>1</v>
      </c>
      <c r="AE173" s="268"/>
      <c r="AF173" s="268"/>
      <c r="AG173" s="290"/>
    </row>
    <row r="174" spans="1:33" s="145" customFormat="1" x14ac:dyDescent="0.15">
      <c r="A174" s="267">
        <v>95105023</v>
      </c>
      <c r="B174" s="268" t="s">
        <v>5019</v>
      </c>
      <c r="C174" s="293" t="s">
        <v>5011</v>
      </c>
      <c r="D174" s="293">
        <v>5041</v>
      </c>
      <c r="E174" s="268" t="s">
        <v>4876</v>
      </c>
      <c r="F174" s="268" t="s">
        <v>4877</v>
      </c>
      <c r="G174" s="269">
        <v>3</v>
      </c>
      <c r="H174" s="269">
        <v>0</v>
      </c>
      <c r="I174" s="267">
        <v>34</v>
      </c>
      <c r="J174" s="268" t="s">
        <v>5020</v>
      </c>
      <c r="K174" s="279" t="s">
        <v>5021</v>
      </c>
      <c r="L174" s="279"/>
      <c r="M174" s="268">
        <v>1</v>
      </c>
      <c r="N174" s="268" t="b">
        <v>1</v>
      </c>
      <c r="O174" s="268">
        <v>7</v>
      </c>
      <c r="P174" s="281">
        <v>105</v>
      </c>
      <c r="Q174" s="281">
        <v>140</v>
      </c>
      <c r="R174" s="268" t="s">
        <v>3383</v>
      </c>
      <c r="S174" s="268"/>
      <c r="T174" s="268">
        <v>1</v>
      </c>
      <c r="U174" s="268" t="s">
        <v>4880</v>
      </c>
      <c r="V174" s="269">
        <v>3</v>
      </c>
      <c r="W174" s="269"/>
      <c r="X174" s="268" t="s">
        <v>4881</v>
      </c>
      <c r="Y174" s="331" t="s">
        <v>5022</v>
      </c>
      <c r="Z174" s="332" t="s">
        <v>5023</v>
      </c>
      <c r="AA174" s="268" t="s">
        <v>4884</v>
      </c>
      <c r="AB174" s="268"/>
      <c r="AC174" s="287">
        <v>1</v>
      </c>
      <c r="AD174" s="287">
        <v>1</v>
      </c>
      <c r="AE174" s="268"/>
      <c r="AF174" s="268"/>
      <c r="AG174" s="290"/>
    </row>
    <row r="175" spans="1:33" s="145" customFormat="1" x14ac:dyDescent="0.15">
      <c r="A175" s="267">
        <v>95105024</v>
      </c>
      <c r="B175" s="268" t="s">
        <v>5019</v>
      </c>
      <c r="C175" s="293" t="s">
        <v>5011</v>
      </c>
      <c r="D175" s="293">
        <v>5041</v>
      </c>
      <c r="E175" s="268" t="s">
        <v>4876</v>
      </c>
      <c r="F175" s="268" t="s">
        <v>4877</v>
      </c>
      <c r="G175" s="269">
        <v>4</v>
      </c>
      <c r="H175" s="269">
        <v>0</v>
      </c>
      <c r="I175" s="267">
        <v>34</v>
      </c>
      <c r="J175" s="268" t="s">
        <v>5020</v>
      </c>
      <c r="K175" s="279" t="s">
        <v>5021</v>
      </c>
      <c r="L175" s="279"/>
      <c r="M175" s="268">
        <v>1</v>
      </c>
      <c r="N175" s="268" t="b">
        <v>1</v>
      </c>
      <c r="O175" s="268">
        <v>10</v>
      </c>
      <c r="P175" s="281">
        <v>150</v>
      </c>
      <c r="Q175" s="281">
        <v>200</v>
      </c>
      <c r="R175" s="268" t="s">
        <v>3383</v>
      </c>
      <c r="S175" s="268"/>
      <c r="T175" s="268">
        <v>1</v>
      </c>
      <c r="U175" s="268" t="s">
        <v>4880</v>
      </c>
      <c r="V175" s="269">
        <v>4</v>
      </c>
      <c r="W175" s="269"/>
      <c r="X175" s="268" t="s">
        <v>4881</v>
      </c>
      <c r="Y175" s="331" t="s">
        <v>5022</v>
      </c>
      <c r="Z175" s="332" t="s">
        <v>5023</v>
      </c>
      <c r="AA175" s="268" t="s">
        <v>4884</v>
      </c>
      <c r="AB175" s="268"/>
      <c r="AC175" s="287">
        <v>1</v>
      </c>
      <c r="AD175" s="287">
        <v>1</v>
      </c>
      <c r="AE175" s="268"/>
      <c r="AF175" s="268"/>
      <c r="AG175" s="290"/>
    </row>
    <row r="176" spans="1:33" s="145" customFormat="1" x14ac:dyDescent="0.15">
      <c r="A176" s="267">
        <v>95105025</v>
      </c>
      <c r="B176" s="268" t="s">
        <v>5019</v>
      </c>
      <c r="C176" s="293" t="s">
        <v>5011</v>
      </c>
      <c r="D176" s="293">
        <v>5041</v>
      </c>
      <c r="E176" s="268" t="s">
        <v>4876</v>
      </c>
      <c r="F176" s="268" t="s">
        <v>4877</v>
      </c>
      <c r="G176" s="269">
        <v>5</v>
      </c>
      <c r="H176" s="269">
        <v>0</v>
      </c>
      <c r="I176" s="267">
        <v>34</v>
      </c>
      <c r="J176" s="268" t="s">
        <v>5020</v>
      </c>
      <c r="K176" s="279" t="s">
        <v>5021</v>
      </c>
      <c r="L176" s="279"/>
      <c r="M176" s="268">
        <v>1</v>
      </c>
      <c r="N176" s="268" t="b">
        <v>1</v>
      </c>
      <c r="O176" s="268">
        <v>12</v>
      </c>
      <c r="P176" s="281">
        <v>180</v>
      </c>
      <c r="Q176" s="281">
        <v>240</v>
      </c>
      <c r="R176" s="268" t="s">
        <v>3383</v>
      </c>
      <c r="S176" s="268"/>
      <c r="T176" s="268">
        <v>1</v>
      </c>
      <c r="U176" s="268" t="s">
        <v>4880</v>
      </c>
      <c r="V176" s="269">
        <v>5</v>
      </c>
      <c r="W176" s="269"/>
      <c r="X176" s="268" t="s">
        <v>4881</v>
      </c>
      <c r="Y176" s="331" t="s">
        <v>5022</v>
      </c>
      <c r="Z176" s="332" t="s">
        <v>5023</v>
      </c>
      <c r="AA176" s="268" t="s">
        <v>4884</v>
      </c>
      <c r="AB176" s="268"/>
      <c r="AC176" s="287">
        <v>1</v>
      </c>
      <c r="AD176" s="287">
        <v>1</v>
      </c>
      <c r="AE176" s="268"/>
      <c r="AF176" s="268"/>
      <c r="AG176" s="290"/>
    </row>
    <row r="177" spans="1:33" s="145" customFormat="1" x14ac:dyDescent="0.15">
      <c r="A177" s="270">
        <v>95105026</v>
      </c>
      <c r="B177" s="268" t="s">
        <v>5019</v>
      </c>
      <c r="C177" s="268" t="s">
        <v>5011</v>
      </c>
      <c r="D177" s="268">
        <v>5041</v>
      </c>
      <c r="E177" s="268" t="s">
        <v>4876</v>
      </c>
      <c r="F177" s="268" t="s">
        <v>4877</v>
      </c>
      <c r="G177" s="269">
        <v>6</v>
      </c>
      <c r="H177" s="269">
        <v>0</v>
      </c>
      <c r="I177" s="267">
        <v>34</v>
      </c>
      <c r="J177" s="282" t="s">
        <v>5020</v>
      </c>
      <c r="K177" s="279" t="s">
        <v>5021</v>
      </c>
      <c r="L177" s="279"/>
      <c r="M177" s="268">
        <v>1</v>
      </c>
      <c r="N177" s="268" t="b">
        <v>1</v>
      </c>
      <c r="O177" s="268">
        <v>25</v>
      </c>
      <c r="P177" s="281">
        <v>375</v>
      </c>
      <c r="Q177" s="281">
        <v>500</v>
      </c>
      <c r="R177" s="268" t="s">
        <v>3383</v>
      </c>
      <c r="S177" s="268"/>
      <c r="T177" s="268">
        <v>1</v>
      </c>
      <c r="U177" s="268" t="s">
        <v>4880</v>
      </c>
      <c r="V177" s="269">
        <v>7</v>
      </c>
      <c r="W177" s="269"/>
      <c r="X177" s="268" t="s">
        <v>4881</v>
      </c>
      <c r="Y177" s="331" t="s">
        <v>5022</v>
      </c>
      <c r="Z177" s="332" t="s">
        <v>5023</v>
      </c>
      <c r="AA177" s="268" t="s">
        <v>4884</v>
      </c>
      <c r="AB177" s="268"/>
      <c r="AC177" s="287">
        <v>1</v>
      </c>
      <c r="AD177" s="287">
        <v>1</v>
      </c>
      <c r="AE177" s="268"/>
      <c r="AF177" s="268"/>
      <c r="AG177" s="290"/>
    </row>
    <row r="178" spans="1:33" s="145" customFormat="1" x14ac:dyDescent="0.15">
      <c r="A178" s="270">
        <v>95105027</v>
      </c>
      <c r="B178" s="268" t="s">
        <v>5019</v>
      </c>
      <c r="C178" s="268" t="s">
        <v>5011</v>
      </c>
      <c r="D178" s="268">
        <v>5041</v>
      </c>
      <c r="E178" s="268" t="s">
        <v>4876</v>
      </c>
      <c r="F178" s="268" t="s">
        <v>4877</v>
      </c>
      <c r="G178" s="269">
        <v>7</v>
      </c>
      <c r="H178" s="269">
        <v>0</v>
      </c>
      <c r="I178" s="267">
        <v>34</v>
      </c>
      <c r="J178" s="282" t="s">
        <v>5020</v>
      </c>
      <c r="K178" s="279" t="s">
        <v>5021</v>
      </c>
      <c r="L178" s="279"/>
      <c r="M178" s="268">
        <v>1</v>
      </c>
      <c r="N178" s="268" t="b">
        <v>1</v>
      </c>
      <c r="O178" s="268">
        <v>38</v>
      </c>
      <c r="P178" s="281">
        <v>570</v>
      </c>
      <c r="Q178" s="281">
        <v>760</v>
      </c>
      <c r="R178" s="268" t="s">
        <v>3383</v>
      </c>
      <c r="S178" s="268"/>
      <c r="T178" s="268">
        <v>1</v>
      </c>
      <c r="U178" s="268" t="s">
        <v>4880</v>
      </c>
      <c r="V178" s="269">
        <v>10</v>
      </c>
      <c r="W178" s="269"/>
      <c r="X178" s="268" t="s">
        <v>4881</v>
      </c>
      <c r="Y178" s="331" t="s">
        <v>5022</v>
      </c>
      <c r="Z178" s="332" t="s">
        <v>5023</v>
      </c>
      <c r="AA178" s="268" t="s">
        <v>4884</v>
      </c>
      <c r="AB178" s="268"/>
      <c r="AC178" s="287">
        <v>1</v>
      </c>
      <c r="AD178" s="287">
        <v>1</v>
      </c>
      <c r="AE178" s="268"/>
      <c r="AF178" s="268"/>
      <c r="AG178" s="290"/>
    </row>
    <row r="179" spans="1:33" s="258" customFormat="1" x14ac:dyDescent="0.15">
      <c r="A179" s="271">
        <v>95105028</v>
      </c>
      <c r="B179" s="272" t="s">
        <v>5024</v>
      </c>
      <c r="C179" s="272" t="s">
        <v>5011</v>
      </c>
      <c r="D179" s="272">
        <v>5081</v>
      </c>
      <c r="E179" s="272" t="s">
        <v>4876</v>
      </c>
      <c r="F179" s="272" t="s">
        <v>4877</v>
      </c>
      <c r="G179" s="269">
        <v>6</v>
      </c>
      <c r="H179" s="273">
        <v>0</v>
      </c>
      <c r="I179" s="283">
        <v>34</v>
      </c>
      <c r="J179" s="284" t="s">
        <v>5020</v>
      </c>
      <c r="K179" s="285" t="s">
        <v>5021</v>
      </c>
      <c r="L179" s="272" t="s">
        <v>44</v>
      </c>
      <c r="M179" s="272">
        <v>1</v>
      </c>
      <c r="N179" s="272" t="b">
        <v>1</v>
      </c>
      <c r="O179" s="272">
        <v>51</v>
      </c>
      <c r="P179" s="281">
        <v>765</v>
      </c>
      <c r="Q179" s="281">
        <v>1020</v>
      </c>
      <c r="R179" s="272" t="s">
        <v>3383</v>
      </c>
      <c r="S179" s="272"/>
      <c r="T179" s="272">
        <v>1</v>
      </c>
      <c r="U179" s="272" t="s">
        <v>4880</v>
      </c>
      <c r="V179" s="273">
        <v>10</v>
      </c>
      <c r="W179" s="273"/>
      <c r="X179" s="272" t="s">
        <v>4881</v>
      </c>
      <c r="Y179" s="333" t="s">
        <v>5022</v>
      </c>
      <c r="Z179" s="334" t="s">
        <v>5023</v>
      </c>
      <c r="AA179" s="272" t="s">
        <v>4884</v>
      </c>
      <c r="AB179" s="272"/>
      <c r="AC179" s="289">
        <v>1</v>
      </c>
      <c r="AD179" s="289">
        <v>1</v>
      </c>
      <c r="AE179" s="289"/>
      <c r="AF179" s="272"/>
      <c r="AG179" s="272"/>
    </row>
    <row r="180" spans="1:33" s="258" customFormat="1" x14ac:dyDescent="0.15">
      <c r="A180" s="271">
        <v>95105029</v>
      </c>
      <c r="B180" s="272" t="s">
        <v>5025</v>
      </c>
      <c r="C180" s="272" t="s">
        <v>5011</v>
      </c>
      <c r="D180" s="272">
        <v>5081</v>
      </c>
      <c r="E180" s="272" t="s">
        <v>4876</v>
      </c>
      <c r="F180" s="272" t="s">
        <v>4877</v>
      </c>
      <c r="G180" s="269">
        <v>6</v>
      </c>
      <c r="H180" s="273">
        <v>0</v>
      </c>
      <c r="I180" s="283">
        <v>34</v>
      </c>
      <c r="J180" s="284" t="s">
        <v>5020</v>
      </c>
      <c r="K180" s="285" t="s">
        <v>5021</v>
      </c>
      <c r="L180" s="272" t="s">
        <v>4887</v>
      </c>
      <c r="M180" s="272">
        <v>1</v>
      </c>
      <c r="N180" s="272" t="b">
        <v>1</v>
      </c>
      <c r="O180" s="272">
        <v>64</v>
      </c>
      <c r="P180" s="281">
        <v>960</v>
      </c>
      <c r="Q180" s="281">
        <v>1280</v>
      </c>
      <c r="R180" s="272" t="s">
        <v>3383</v>
      </c>
      <c r="S180" s="272"/>
      <c r="T180" s="272">
        <v>1</v>
      </c>
      <c r="U180" s="272" t="s">
        <v>4880</v>
      </c>
      <c r="V180" s="273">
        <v>10</v>
      </c>
      <c r="W180" s="273"/>
      <c r="X180" s="272" t="s">
        <v>4881</v>
      </c>
      <c r="Y180" s="333" t="s">
        <v>5022</v>
      </c>
      <c r="Z180" s="334" t="s">
        <v>5023</v>
      </c>
      <c r="AA180" s="272" t="s">
        <v>4884</v>
      </c>
      <c r="AB180" s="272"/>
      <c r="AC180" s="289">
        <v>1</v>
      </c>
      <c r="AD180" s="289">
        <v>1</v>
      </c>
      <c r="AE180" s="289"/>
      <c r="AF180" s="272"/>
      <c r="AG180" s="272"/>
    </row>
    <row r="181" spans="1:33" s="258" customFormat="1" x14ac:dyDescent="0.15">
      <c r="A181" s="271">
        <v>95105030</v>
      </c>
      <c r="B181" s="272" t="s">
        <v>5026</v>
      </c>
      <c r="C181" s="272" t="s">
        <v>5011</v>
      </c>
      <c r="D181" s="272">
        <v>5081</v>
      </c>
      <c r="E181" s="272" t="s">
        <v>4876</v>
      </c>
      <c r="F181" s="272" t="s">
        <v>4877</v>
      </c>
      <c r="G181" s="269">
        <v>7</v>
      </c>
      <c r="H181" s="273">
        <v>0</v>
      </c>
      <c r="I181" s="283">
        <v>34</v>
      </c>
      <c r="J181" s="284" t="s">
        <v>5020</v>
      </c>
      <c r="K181" s="285" t="s">
        <v>5021</v>
      </c>
      <c r="L181" s="272" t="s">
        <v>4889</v>
      </c>
      <c r="M181" s="272">
        <v>1</v>
      </c>
      <c r="N181" s="272" t="b">
        <v>1</v>
      </c>
      <c r="O181" s="272">
        <v>77</v>
      </c>
      <c r="P181" s="281">
        <v>1155</v>
      </c>
      <c r="Q181" s="281">
        <v>1540</v>
      </c>
      <c r="R181" s="272" t="s">
        <v>3383</v>
      </c>
      <c r="S181" s="272"/>
      <c r="T181" s="272">
        <v>1</v>
      </c>
      <c r="U181" s="272" t="s">
        <v>4880</v>
      </c>
      <c r="V181" s="273">
        <v>10</v>
      </c>
      <c r="W181" s="273"/>
      <c r="X181" s="272" t="s">
        <v>4881</v>
      </c>
      <c r="Y181" s="333" t="s">
        <v>5022</v>
      </c>
      <c r="Z181" s="334" t="s">
        <v>5023</v>
      </c>
      <c r="AA181" s="272" t="s">
        <v>4884</v>
      </c>
      <c r="AB181" s="272"/>
      <c r="AC181" s="289">
        <v>1</v>
      </c>
      <c r="AD181" s="289">
        <v>1</v>
      </c>
      <c r="AE181" s="289"/>
      <c r="AF181" s="272"/>
      <c r="AG181" s="272"/>
    </row>
    <row r="182" spans="1:33" s="145" customFormat="1" x14ac:dyDescent="0.15">
      <c r="A182" s="267">
        <v>95106011</v>
      </c>
      <c r="B182" s="268" t="s">
        <v>5027</v>
      </c>
      <c r="C182" s="268" t="s">
        <v>727</v>
      </c>
      <c r="D182" s="293">
        <v>5041</v>
      </c>
      <c r="E182" s="268" t="s">
        <v>4876</v>
      </c>
      <c r="F182" s="268" t="s">
        <v>4877</v>
      </c>
      <c r="G182" s="269">
        <v>1</v>
      </c>
      <c r="H182" s="269">
        <v>0</v>
      </c>
      <c r="I182" s="267">
        <v>34</v>
      </c>
      <c r="J182" s="268" t="s">
        <v>5028</v>
      </c>
      <c r="K182" s="279" t="s">
        <v>5029</v>
      </c>
      <c r="L182" s="279"/>
      <c r="M182" s="268">
        <v>1</v>
      </c>
      <c r="N182" s="268" t="b">
        <v>1</v>
      </c>
      <c r="O182" s="268">
        <v>2</v>
      </c>
      <c r="P182" s="281">
        <v>30</v>
      </c>
      <c r="Q182" s="281">
        <v>40</v>
      </c>
      <c r="R182" s="268" t="s">
        <v>3383</v>
      </c>
      <c r="S182" s="268"/>
      <c r="T182" s="268">
        <v>1</v>
      </c>
      <c r="U182" s="268" t="s">
        <v>4880</v>
      </c>
      <c r="V182" s="269">
        <v>1</v>
      </c>
      <c r="W182" s="269"/>
      <c r="X182" s="268" t="s">
        <v>4881</v>
      </c>
      <c r="Y182" s="269" t="s">
        <v>5030</v>
      </c>
      <c r="Z182" s="293" t="s">
        <v>5031</v>
      </c>
      <c r="AA182" s="268" t="s">
        <v>4884</v>
      </c>
      <c r="AB182" s="268"/>
      <c r="AC182" s="287">
        <v>1</v>
      </c>
      <c r="AD182" s="287">
        <v>1</v>
      </c>
      <c r="AE182" s="268"/>
      <c r="AF182" s="268"/>
      <c r="AG182" s="290"/>
    </row>
    <row r="183" spans="1:33" s="145" customFormat="1" x14ac:dyDescent="0.15">
      <c r="A183" s="267">
        <v>95106012</v>
      </c>
      <c r="B183" s="268" t="s">
        <v>5027</v>
      </c>
      <c r="C183" s="268" t="s">
        <v>727</v>
      </c>
      <c r="D183" s="293">
        <v>5041</v>
      </c>
      <c r="E183" s="268" t="s">
        <v>4876</v>
      </c>
      <c r="F183" s="268" t="s">
        <v>4877</v>
      </c>
      <c r="G183" s="269">
        <v>2</v>
      </c>
      <c r="H183" s="269">
        <v>0</v>
      </c>
      <c r="I183" s="267">
        <v>34</v>
      </c>
      <c r="J183" s="268" t="s">
        <v>5028</v>
      </c>
      <c r="K183" s="279" t="s">
        <v>5029</v>
      </c>
      <c r="L183" s="279"/>
      <c r="M183" s="268">
        <v>1</v>
      </c>
      <c r="N183" s="268" t="b">
        <v>1</v>
      </c>
      <c r="O183" s="268">
        <v>5</v>
      </c>
      <c r="P183" s="281">
        <v>75</v>
      </c>
      <c r="Q183" s="281">
        <v>100</v>
      </c>
      <c r="R183" s="268" t="s">
        <v>3383</v>
      </c>
      <c r="S183" s="268"/>
      <c r="T183" s="268">
        <v>1</v>
      </c>
      <c r="U183" s="268" t="s">
        <v>4880</v>
      </c>
      <c r="V183" s="269">
        <v>2</v>
      </c>
      <c r="W183" s="269"/>
      <c r="X183" s="268" t="s">
        <v>4881</v>
      </c>
      <c r="Y183" s="269" t="s">
        <v>5030</v>
      </c>
      <c r="Z183" s="293" t="s">
        <v>5031</v>
      </c>
      <c r="AA183" s="268" t="s">
        <v>4884</v>
      </c>
      <c r="AB183" s="268"/>
      <c r="AC183" s="287">
        <v>1</v>
      </c>
      <c r="AD183" s="287">
        <v>1</v>
      </c>
      <c r="AE183" s="268"/>
      <c r="AF183" s="268"/>
      <c r="AG183" s="290"/>
    </row>
    <row r="184" spans="1:33" s="145" customFormat="1" x14ac:dyDescent="0.15">
      <c r="A184" s="267">
        <v>95106013</v>
      </c>
      <c r="B184" s="268" t="s">
        <v>5027</v>
      </c>
      <c r="C184" s="268" t="s">
        <v>727</v>
      </c>
      <c r="D184" s="293">
        <v>5041</v>
      </c>
      <c r="E184" s="268" t="s">
        <v>4876</v>
      </c>
      <c r="F184" s="268" t="s">
        <v>4877</v>
      </c>
      <c r="G184" s="269">
        <v>3</v>
      </c>
      <c r="H184" s="269">
        <v>0</v>
      </c>
      <c r="I184" s="267">
        <v>34</v>
      </c>
      <c r="J184" s="268" t="s">
        <v>5028</v>
      </c>
      <c r="K184" s="279" t="s">
        <v>5029</v>
      </c>
      <c r="L184" s="279"/>
      <c r="M184" s="268">
        <v>1</v>
      </c>
      <c r="N184" s="268" t="b">
        <v>1</v>
      </c>
      <c r="O184" s="268">
        <v>7</v>
      </c>
      <c r="P184" s="281">
        <v>105</v>
      </c>
      <c r="Q184" s="281">
        <v>140</v>
      </c>
      <c r="R184" s="268" t="s">
        <v>3383</v>
      </c>
      <c r="S184" s="268"/>
      <c r="T184" s="268">
        <v>1</v>
      </c>
      <c r="U184" s="268" t="s">
        <v>4880</v>
      </c>
      <c r="V184" s="269">
        <v>3</v>
      </c>
      <c r="W184" s="269"/>
      <c r="X184" s="268" t="s">
        <v>4881</v>
      </c>
      <c r="Y184" s="269" t="s">
        <v>5030</v>
      </c>
      <c r="Z184" s="293" t="s">
        <v>5031</v>
      </c>
      <c r="AA184" s="268" t="s">
        <v>4884</v>
      </c>
      <c r="AB184" s="268"/>
      <c r="AC184" s="287">
        <v>1</v>
      </c>
      <c r="AD184" s="287">
        <v>1</v>
      </c>
      <c r="AE184" s="268"/>
      <c r="AF184" s="268"/>
      <c r="AG184" s="290"/>
    </row>
    <row r="185" spans="1:33" s="145" customFormat="1" x14ac:dyDescent="0.15">
      <c r="A185" s="267">
        <v>95106014</v>
      </c>
      <c r="B185" s="268" t="s">
        <v>5027</v>
      </c>
      <c r="C185" s="268" t="s">
        <v>727</v>
      </c>
      <c r="D185" s="293">
        <v>5041</v>
      </c>
      <c r="E185" s="268" t="s">
        <v>4876</v>
      </c>
      <c r="F185" s="268" t="s">
        <v>4877</v>
      </c>
      <c r="G185" s="269">
        <v>4</v>
      </c>
      <c r="H185" s="269">
        <v>0</v>
      </c>
      <c r="I185" s="267">
        <v>34</v>
      </c>
      <c r="J185" s="268" t="s">
        <v>5028</v>
      </c>
      <c r="K185" s="279" t="s">
        <v>5029</v>
      </c>
      <c r="L185" s="279"/>
      <c r="M185" s="268">
        <v>1</v>
      </c>
      <c r="N185" s="268" t="b">
        <v>1</v>
      </c>
      <c r="O185" s="268">
        <v>10</v>
      </c>
      <c r="P185" s="281">
        <v>150</v>
      </c>
      <c r="Q185" s="281">
        <v>200</v>
      </c>
      <c r="R185" s="268" t="s">
        <v>3383</v>
      </c>
      <c r="S185" s="268"/>
      <c r="T185" s="268">
        <v>1</v>
      </c>
      <c r="U185" s="268" t="s">
        <v>4880</v>
      </c>
      <c r="V185" s="269">
        <v>4</v>
      </c>
      <c r="W185" s="269"/>
      <c r="X185" s="268" t="s">
        <v>4881</v>
      </c>
      <c r="Y185" s="269" t="s">
        <v>5030</v>
      </c>
      <c r="Z185" s="293" t="s">
        <v>5031</v>
      </c>
      <c r="AA185" s="268" t="s">
        <v>4884</v>
      </c>
      <c r="AB185" s="268"/>
      <c r="AC185" s="287">
        <v>1</v>
      </c>
      <c r="AD185" s="287">
        <v>1</v>
      </c>
      <c r="AE185" s="268"/>
      <c r="AF185" s="268"/>
      <c r="AG185" s="290"/>
    </row>
    <row r="186" spans="1:33" s="145" customFormat="1" x14ac:dyDescent="0.15">
      <c r="A186" s="267">
        <v>95106015</v>
      </c>
      <c r="B186" s="268" t="s">
        <v>5027</v>
      </c>
      <c r="C186" s="268" t="s">
        <v>727</v>
      </c>
      <c r="D186" s="293">
        <v>5041</v>
      </c>
      <c r="E186" s="268" t="s">
        <v>4876</v>
      </c>
      <c r="F186" s="268" t="s">
        <v>4877</v>
      </c>
      <c r="G186" s="269">
        <v>5</v>
      </c>
      <c r="H186" s="269">
        <v>0</v>
      </c>
      <c r="I186" s="267">
        <v>34</v>
      </c>
      <c r="J186" s="268" t="s">
        <v>5028</v>
      </c>
      <c r="K186" s="279" t="s">
        <v>5029</v>
      </c>
      <c r="L186" s="279"/>
      <c r="M186" s="268">
        <v>1</v>
      </c>
      <c r="N186" s="268" t="b">
        <v>1</v>
      </c>
      <c r="O186" s="268">
        <v>12</v>
      </c>
      <c r="P186" s="281">
        <v>180</v>
      </c>
      <c r="Q186" s="281">
        <v>240</v>
      </c>
      <c r="R186" s="268" t="s">
        <v>3383</v>
      </c>
      <c r="S186" s="268"/>
      <c r="T186" s="268">
        <v>1</v>
      </c>
      <c r="U186" s="268" t="s">
        <v>4880</v>
      </c>
      <c r="V186" s="269">
        <v>5</v>
      </c>
      <c r="W186" s="269"/>
      <c r="X186" s="268" t="s">
        <v>4881</v>
      </c>
      <c r="Y186" s="269" t="s">
        <v>5030</v>
      </c>
      <c r="Z186" s="293" t="s">
        <v>5031</v>
      </c>
      <c r="AA186" s="268" t="s">
        <v>4884</v>
      </c>
      <c r="AB186" s="268"/>
      <c r="AC186" s="287">
        <v>1</v>
      </c>
      <c r="AD186" s="287">
        <v>1</v>
      </c>
      <c r="AE186" s="268"/>
      <c r="AF186" s="268"/>
      <c r="AG186" s="290"/>
    </row>
    <row r="187" spans="1:33" s="145" customFormat="1" x14ac:dyDescent="0.15">
      <c r="A187" s="267">
        <v>95106016</v>
      </c>
      <c r="B187" s="268" t="s">
        <v>5027</v>
      </c>
      <c r="C187" s="268" t="s">
        <v>727</v>
      </c>
      <c r="D187" s="268">
        <v>5041</v>
      </c>
      <c r="E187" s="268" t="s">
        <v>4876</v>
      </c>
      <c r="F187" s="268" t="s">
        <v>4877</v>
      </c>
      <c r="G187" s="269">
        <v>6</v>
      </c>
      <c r="H187" s="269">
        <v>0</v>
      </c>
      <c r="I187" s="267">
        <v>34</v>
      </c>
      <c r="J187" s="268" t="s">
        <v>5028</v>
      </c>
      <c r="K187" s="279" t="s">
        <v>5029</v>
      </c>
      <c r="L187" s="279"/>
      <c r="M187" s="268">
        <v>1</v>
      </c>
      <c r="N187" s="268" t="b">
        <v>1</v>
      </c>
      <c r="O187" s="268">
        <v>25</v>
      </c>
      <c r="P187" s="281">
        <v>375</v>
      </c>
      <c r="Q187" s="281">
        <v>500</v>
      </c>
      <c r="R187" s="268" t="s">
        <v>3383</v>
      </c>
      <c r="S187" s="268"/>
      <c r="T187" s="268">
        <v>1</v>
      </c>
      <c r="U187" s="268" t="s">
        <v>4880</v>
      </c>
      <c r="V187" s="269">
        <v>7</v>
      </c>
      <c r="W187" s="269"/>
      <c r="X187" s="268" t="s">
        <v>4881</v>
      </c>
      <c r="Y187" s="269" t="s">
        <v>5030</v>
      </c>
      <c r="Z187" s="293" t="s">
        <v>5031</v>
      </c>
      <c r="AA187" s="268" t="s">
        <v>4884</v>
      </c>
      <c r="AB187" s="268"/>
      <c r="AC187" s="287">
        <v>1</v>
      </c>
      <c r="AD187" s="287">
        <v>1</v>
      </c>
      <c r="AE187" s="268"/>
      <c r="AF187" s="268"/>
      <c r="AG187" s="290"/>
    </row>
    <row r="188" spans="1:33" s="145" customFormat="1" x14ac:dyDescent="0.15">
      <c r="A188" s="267">
        <v>95106017</v>
      </c>
      <c r="B188" s="268" t="s">
        <v>5027</v>
      </c>
      <c r="C188" s="268" t="s">
        <v>727</v>
      </c>
      <c r="D188" s="268">
        <v>5041</v>
      </c>
      <c r="E188" s="268" t="s">
        <v>4876</v>
      </c>
      <c r="F188" s="268" t="s">
        <v>4877</v>
      </c>
      <c r="G188" s="269">
        <v>7</v>
      </c>
      <c r="H188" s="269">
        <v>0</v>
      </c>
      <c r="I188" s="267">
        <v>34</v>
      </c>
      <c r="J188" s="268" t="s">
        <v>5028</v>
      </c>
      <c r="K188" s="279" t="s">
        <v>5029</v>
      </c>
      <c r="L188" s="279"/>
      <c r="M188" s="268">
        <v>1</v>
      </c>
      <c r="N188" s="268" t="b">
        <v>1</v>
      </c>
      <c r="O188" s="268">
        <v>38</v>
      </c>
      <c r="P188" s="281">
        <v>570</v>
      </c>
      <c r="Q188" s="281">
        <v>760</v>
      </c>
      <c r="R188" s="268" t="s">
        <v>3383</v>
      </c>
      <c r="S188" s="268"/>
      <c r="T188" s="268">
        <v>1</v>
      </c>
      <c r="U188" s="268" t="s">
        <v>4880</v>
      </c>
      <c r="V188" s="269">
        <v>10</v>
      </c>
      <c r="W188" s="269"/>
      <c r="X188" s="268" t="s">
        <v>4881</v>
      </c>
      <c r="Y188" s="269" t="s">
        <v>5030</v>
      </c>
      <c r="Z188" s="293" t="s">
        <v>5031</v>
      </c>
      <c r="AA188" s="268" t="s">
        <v>4884</v>
      </c>
      <c r="AB188" s="268"/>
      <c r="AC188" s="287">
        <v>1</v>
      </c>
      <c r="AD188" s="287">
        <v>1</v>
      </c>
      <c r="AE188" s="268"/>
      <c r="AF188" s="268"/>
      <c r="AG188" s="290"/>
    </row>
    <row r="189" spans="1:33" s="258" customFormat="1" x14ac:dyDescent="0.15">
      <c r="A189" s="271">
        <v>95106018</v>
      </c>
      <c r="B189" s="272" t="s">
        <v>5032</v>
      </c>
      <c r="C189" s="272" t="s">
        <v>727</v>
      </c>
      <c r="D189" s="272">
        <v>5081</v>
      </c>
      <c r="E189" s="272" t="s">
        <v>4876</v>
      </c>
      <c r="F189" s="272" t="s">
        <v>4877</v>
      </c>
      <c r="G189" s="269">
        <v>6</v>
      </c>
      <c r="H189" s="273">
        <v>1</v>
      </c>
      <c r="I189" s="283">
        <v>34</v>
      </c>
      <c r="J189" s="284" t="s">
        <v>5028</v>
      </c>
      <c r="K189" s="285" t="s">
        <v>5029</v>
      </c>
      <c r="L189" s="272" t="s">
        <v>44</v>
      </c>
      <c r="M189" s="272">
        <v>1</v>
      </c>
      <c r="N189" s="272" t="b">
        <v>1</v>
      </c>
      <c r="O189" s="272">
        <v>51</v>
      </c>
      <c r="P189" s="281">
        <v>765</v>
      </c>
      <c r="Q189" s="281">
        <v>1020</v>
      </c>
      <c r="R189" s="272" t="s">
        <v>3383</v>
      </c>
      <c r="S189" s="272"/>
      <c r="T189" s="272">
        <v>1</v>
      </c>
      <c r="U189" s="272" t="s">
        <v>4880</v>
      </c>
      <c r="V189" s="273">
        <v>10</v>
      </c>
      <c r="W189" s="273"/>
      <c r="X189" s="272" t="s">
        <v>4881</v>
      </c>
      <c r="Y189" s="333" t="s">
        <v>5030</v>
      </c>
      <c r="Z189" s="334" t="s">
        <v>5031</v>
      </c>
      <c r="AA189" s="272" t="s">
        <v>4884</v>
      </c>
      <c r="AB189" s="272"/>
      <c r="AC189" s="289">
        <v>1</v>
      </c>
      <c r="AD189" s="289">
        <v>1</v>
      </c>
      <c r="AE189" s="289"/>
      <c r="AF189" s="272"/>
      <c r="AG189" s="272"/>
    </row>
    <row r="190" spans="1:33" s="258" customFormat="1" x14ac:dyDescent="0.15">
      <c r="A190" s="271">
        <v>95106019</v>
      </c>
      <c r="B190" s="272" t="s">
        <v>5033</v>
      </c>
      <c r="C190" s="272" t="s">
        <v>727</v>
      </c>
      <c r="D190" s="272">
        <v>5081</v>
      </c>
      <c r="E190" s="272" t="s">
        <v>4876</v>
      </c>
      <c r="F190" s="272" t="s">
        <v>4877</v>
      </c>
      <c r="G190" s="269">
        <v>6</v>
      </c>
      <c r="H190" s="273">
        <v>1</v>
      </c>
      <c r="I190" s="283">
        <v>34</v>
      </c>
      <c r="J190" s="284" t="s">
        <v>5028</v>
      </c>
      <c r="K190" s="285" t="s">
        <v>5029</v>
      </c>
      <c r="L190" s="272" t="s">
        <v>4887</v>
      </c>
      <c r="M190" s="272">
        <v>1</v>
      </c>
      <c r="N190" s="272" t="b">
        <v>1</v>
      </c>
      <c r="O190" s="272">
        <v>64</v>
      </c>
      <c r="P190" s="281">
        <v>960</v>
      </c>
      <c r="Q190" s="281">
        <v>1280</v>
      </c>
      <c r="R190" s="272" t="s">
        <v>3383</v>
      </c>
      <c r="S190" s="272"/>
      <c r="T190" s="272">
        <v>1</v>
      </c>
      <c r="U190" s="272" t="s">
        <v>4880</v>
      </c>
      <c r="V190" s="273">
        <v>10</v>
      </c>
      <c r="W190" s="273"/>
      <c r="X190" s="272" t="s">
        <v>4881</v>
      </c>
      <c r="Y190" s="333" t="s">
        <v>5030</v>
      </c>
      <c r="Z190" s="334" t="s">
        <v>5031</v>
      </c>
      <c r="AA190" s="272" t="s">
        <v>4884</v>
      </c>
      <c r="AB190" s="272"/>
      <c r="AC190" s="289">
        <v>1</v>
      </c>
      <c r="AD190" s="289">
        <v>1</v>
      </c>
      <c r="AE190" s="289"/>
      <c r="AF190" s="272"/>
      <c r="AG190" s="272"/>
    </row>
    <row r="191" spans="1:33" s="258" customFormat="1" x14ac:dyDescent="0.15">
      <c r="A191" s="271">
        <v>95106020</v>
      </c>
      <c r="B191" s="272" t="s">
        <v>5034</v>
      </c>
      <c r="C191" s="272" t="s">
        <v>727</v>
      </c>
      <c r="D191" s="272">
        <v>5081</v>
      </c>
      <c r="E191" s="272" t="s">
        <v>4876</v>
      </c>
      <c r="F191" s="272" t="s">
        <v>4877</v>
      </c>
      <c r="G191" s="269">
        <v>7</v>
      </c>
      <c r="H191" s="273">
        <v>0</v>
      </c>
      <c r="I191" s="283">
        <v>34</v>
      </c>
      <c r="J191" s="284" t="s">
        <v>5028</v>
      </c>
      <c r="K191" s="285" t="s">
        <v>5029</v>
      </c>
      <c r="L191" s="272" t="s">
        <v>4889</v>
      </c>
      <c r="M191" s="272">
        <v>1</v>
      </c>
      <c r="N191" s="272" t="b">
        <v>1</v>
      </c>
      <c r="O191" s="272">
        <v>77</v>
      </c>
      <c r="P191" s="281">
        <v>1155</v>
      </c>
      <c r="Q191" s="281">
        <v>1540</v>
      </c>
      <c r="R191" s="272" t="s">
        <v>3383</v>
      </c>
      <c r="S191" s="272"/>
      <c r="T191" s="272">
        <v>1</v>
      </c>
      <c r="U191" s="272" t="s">
        <v>4880</v>
      </c>
      <c r="V191" s="273">
        <v>10</v>
      </c>
      <c r="W191" s="273"/>
      <c r="X191" s="272" t="s">
        <v>4881</v>
      </c>
      <c r="Y191" s="333" t="s">
        <v>5030</v>
      </c>
      <c r="Z191" s="334" t="s">
        <v>5031</v>
      </c>
      <c r="AA191" s="272" t="s">
        <v>4884</v>
      </c>
      <c r="AB191" s="272"/>
      <c r="AC191" s="289">
        <v>1</v>
      </c>
      <c r="AD191" s="289">
        <v>1</v>
      </c>
      <c r="AE191" s="289"/>
      <c r="AF191" s="272"/>
      <c r="AG191" s="272"/>
    </row>
    <row r="192" spans="1:33" s="145" customFormat="1" x14ac:dyDescent="0.15">
      <c r="A192" s="267">
        <v>95106021</v>
      </c>
      <c r="B192" s="268" t="s">
        <v>5035</v>
      </c>
      <c r="C192" s="268" t="s">
        <v>727</v>
      </c>
      <c r="D192" s="293">
        <v>5041</v>
      </c>
      <c r="E192" s="268" t="s">
        <v>4876</v>
      </c>
      <c r="F192" s="268" t="s">
        <v>4877</v>
      </c>
      <c r="G192" s="269">
        <v>1</v>
      </c>
      <c r="H192" s="269">
        <v>0</v>
      </c>
      <c r="I192" s="267">
        <v>34</v>
      </c>
      <c r="J192" s="268" t="s">
        <v>5036</v>
      </c>
      <c r="K192" s="279" t="s">
        <v>5037</v>
      </c>
      <c r="L192" s="279"/>
      <c r="M192" s="268">
        <v>1</v>
      </c>
      <c r="N192" s="268" t="b">
        <v>1</v>
      </c>
      <c r="O192" s="268">
        <v>2</v>
      </c>
      <c r="P192" s="281">
        <v>30</v>
      </c>
      <c r="Q192" s="281">
        <v>40</v>
      </c>
      <c r="R192" s="268" t="s">
        <v>3383</v>
      </c>
      <c r="S192" s="268"/>
      <c r="T192" s="268">
        <v>1</v>
      </c>
      <c r="U192" s="268" t="s">
        <v>4880</v>
      </c>
      <c r="V192" s="269">
        <v>1</v>
      </c>
      <c r="W192" s="269"/>
      <c r="X192" s="268" t="s">
        <v>4881</v>
      </c>
      <c r="Y192" s="269" t="s">
        <v>5038</v>
      </c>
      <c r="Z192" s="293" t="s">
        <v>5039</v>
      </c>
      <c r="AA192" s="268" t="s">
        <v>4884</v>
      </c>
      <c r="AB192" s="268"/>
      <c r="AC192" s="287">
        <v>1</v>
      </c>
      <c r="AD192" s="287">
        <v>1</v>
      </c>
      <c r="AE192" s="268"/>
      <c r="AF192" s="268"/>
      <c r="AG192" s="290"/>
    </row>
    <row r="193" spans="1:33" s="145" customFormat="1" x14ac:dyDescent="0.15">
      <c r="A193" s="267">
        <v>95106022</v>
      </c>
      <c r="B193" s="268" t="s">
        <v>5035</v>
      </c>
      <c r="C193" s="268" t="s">
        <v>727</v>
      </c>
      <c r="D193" s="293">
        <v>5041</v>
      </c>
      <c r="E193" s="268" t="s">
        <v>4876</v>
      </c>
      <c r="F193" s="268" t="s">
        <v>4877</v>
      </c>
      <c r="G193" s="269">
        <v>2</v>
      </c>
      <c r="H193" s="269">
        <v>0</v>
      </c>
      <c r="I193" s="267">
        <v>34</v>
      </c>
      <c r="J193" s="268" t="s">
        <v>5036</v>
      </c>
      <c r="K193" s="279" t="s">
        <v>5037</v>
      </c>
      <c r="L193" s="279"/>
      <c r="M193" s="268">
        <v>1</v>
      </c>
      <c r="N193" s="268" t="b">
        <v>1</v>
      </c>
      <c r="O193" s="268">
        <v>5</v>
      </c>
      <c r="P193" s="281">
        <v>75</v>
      </c>
      <c r="Q193" s="281">
        <v>100</v>
      </c>
      <c r="R193" s="268" t="s">
        <v>3383</v>
      </c>
      <c r="S193" s="268"/>
      <c r="T193" s="268">
        <v>1</v>
      </c>
      <c r="U193" s="268" t="s">
        <v>4880</v>
      </c>
      <c r="V193" s="269">
        <v>2</v>
      </c>
      <c r="W193" s="269"/>
      <c r="X193" s="268" t="s">
        <v>4881</v>
      </c>
      <c r="Y193" s="269" t="s">
        <v>5038</v>
      </c>
      <c r="Z193" s="293" t="s">
        <v>5039</v>
      </c>
      <c r="AA193" s="268" t="s">
        <v>4884</v>
      </c>
      <c r="AB193" s="268"/>
      <c r="AC193" s="287">
        <v>1</v>
      </c>
      <c r="AD193" s="287">
        <v>1</v>
      </c>
      <c r="AE193" s="268"/>
      <c r="AF193" s="268"/>
      <c r="AG193" s="290"/>
    </row>
    <row r="194" spans="1:33" s="145" customFormat="1" x14ac:dyDescent="0.15">
      <c r="A194" s="267">
        <v>95106023</v>
      </c>
      <c r="B194" s="268" t="s">
        <v>5035</v>
      </c>
      <c r="C194" s="268" t="s">
        <v>727</v>
      </c>
      <c r="D194" s="293">
        <v>5041</v>
      </c>
      <c r="E194" s="268" t="s">
        <v>4876</v>
      </c>
      <c r="F194" s="268" t="s">
        <v>4877</v>
      </c>
      <c r="G194" s="269">
        <v>3</v>
      </c>
      <c r="H194" s="269">
        <v>0</v>
      </c>
      <c r="I194" s="267">
        <v>34</v>
      </c>
      <c r="J194" s="268" t="s">
        <v>5036</v>
      </c>
      <c r="K194" s="279" t="s">
        <v>5037</v>
      </c>
      <c r="L194" s="279"/>
      <c r="M194" s="268">
        <v>1</v>
      </c>
      <c r="N194" s="268" t="b">
        <v>1</v>
      </c>
      <c r="O194" s="268">
        <v>7</v>
      </c>
      <c r="P194" s="281">
        <v>105</v>
      </c>
      <c r="Q194" s="281">
        <v>140</v>
      </c>
      <c r="R194" s="268" t="s">
        <v>3383</v>
      </c>
      <c r="S194" s="268"/>
      <c r="T194" s="268">
        <v>1</v>
      </c>
      <c r="U194" s="268" t="s">
        <v>4880</v>
      </c>
      <c r="V194" s="269">
        <v>3</v>
      </c>
      <c r="W194" s="269"/>
      <c r="X194" s="268" t="s">
        <v>4881</v>
      </c>
      <c r="Y194" s="269" t="s">
        <v>5038</v>
      </c>
      <c r="Z194" s="293" t="s">
        <v>5039</v>
      </c>
      <c r="AA194" s="268" t="s">
        <v>4884</v>
      </c>
      <c r="AB194" s="268"/>
      <c r="AC194" s="287">
        <v>1</v>
      </c>
      <c r="AD194" s="287">
        <v>1</v>
      </c>
      <c r="AE194" s="268"/>
      <c r="AF194" s="268"/>
      <c r="AG194" s="290"/>
    </row>
    <row r="195" spans="1:33" s="145" customFormat="1" x14ac:dyDescent="0.15">
      <c r="A195" s="267">
        <v>95106024</v>
      </c>
      <c r="B195" s="268" t="s">
        <v>5035</v>
      </c>
      <c r="C195" s="268" t="s">
        <v>727</v>
      </c>
      <c r="D195" s="293">
        <v>5041</v>
      </c>
      <c r="E195" s="268" t="s">
        <v>4876</v>
      </c>
      <c r="F195" s="268" t="s">
        <v>4877</v>
      </c>
      <c r="G195" s="269">
        <v>4</v>
      </c>
      <c r="H195" s="269">
        <v>0</v>
      </c>
      <c r="I195" s="267">
        <v>34</v>
      </c>
      <c r="J195" s="268" t="s">
        <v>5036</v>
      </c>
      <c r="K195" s="279" t="s">
        <v>5037</v>
      </c>
      <c r="L195" s="279"/>
      <c r="M195" s="268">
        <v>1</v>
      </c>
      <c r="N195" s="268" t="b">
        <v>1</v>
      </c>
      <c r="O195" s="268">
        <v>10</v>
      </c>
      <c r="P195" s="281">
        <v>150</v>
      </c>
      <c r="Q195" s="281">
        <v>200</v>
      </c>
      <c r="R195" s="268" t="s">
        <v>3383</v>
      </c>
      <c r="S195" s="268"/>
      <c r="T195" s="268">
        <v>1</v>
      </c>
      <c r="U195" s="268" t="s">
        <v>4880</v>
      </c>
      <c r="V195" s="269">
        <v>4</v>
      </c>
      <c r="W195" s="269"/>
      <c r="X195" s="268" t="s">
        <v>4881</v>
      </c>
      <c r="Y195" s="269" t="s">
        <v>5038</v>
      </c>
      <c r="Z195" s="293" t="s">
        <v>5039</v>
      </c>
      <c r="AA195" s="268" t="s">
        <v>4884</v>
      </c>
      <c r="AB195" s="268"/>
      <c r="AC195" s="287">
        <v>1</v>
      </c>
      <c r="AD195" s="287">
        <v>1</v>
      </c>
      <c r="AE195" s="268"/>
      <c r="AF195" s="268"/>
      <c r="AG195" s="290"/>
    </row>
    <row r="196" spans="1:33" s="145" customFormat="1" x14ac:dyDescent="0.15">
      <c r="A196" s="267">
        <v>95106025</v>
      </c>
      <c r="B196" s="268" t="s">
        <v>5035</v>
      </c>
      <c r="C196" s="268" t="s">
        <v>727</v>
      </c>
      <c r="D196" s="293">
        <v>5041</v>
      </c>
      <c r="E196" s="268" t="s">
        <v>4876</v>
      </c>
      <c r="F196" s="268" t="s">
        <v>4877</v>
      </c>
      <c r="G196" s="269">
        <v>5</v>
      </c>
      <c r="H196" s="269">
        <v>0</v>
      </c>
      <c r="I196" s="267">
        <v>34</v>
      </c>
      <c r="J196" s="268" t="s">
        <v>5036</v>
      </c>
      <c r="K196" s="279" t="s">
        <v>5037</v>
      </c>
      <c r="L196" s="279"/>
      <c r="M196" s="268">
        <v>1</v>
      </c>
      <c r="N196" s="268" t="b">
        <v>1</v>
      </c>
      <c r="O196" s="268">
        <v>12</v>
      </c>
      <c r="P196" s="281">
        <v>180</v>
      </c>
      <c r="Q196" s="281">
        <v>240</v>
      </c>
      <c r="R196" s="268" t="s">
        <v>3383</v>
      </c>
      <c r="S196" s="268"/>
      <c r="T196" s="268">
        <v>1</v>
      </c>
      <c r="U196" s="268" t="s">
        <v>4880</v>
      </c>
      <c r="V196" s="269">
        <v>5</v>
      </c>
      <c r="W196" s="269"/>
      <c r="X196" s="268" t="s">
        <v>4881</v>
      </c>
      <c r="Y196" s="269" t="s">
        <v>5038</v>
      </c>
      <c r="Z196" s="293" t="s">
        <v>5039</v>
      </c>
      <c r="AA196" s="268" t="s">
        <v>4884</v>
      </c>
      <c r="AB196" s="268"/>
      <c r="AC196" s="287">
        <v>1</v>
      </c>
      <c r="AD196" s="287">
        <v>1</v>
      </c>
      <c r="AE196" s="268"/>
      <c r="AF196" s="268"/>
      <c r="AG196" s="290"/>
    </row>
    <row r="197" spans="1:33" s="145" customFormat="1" x14ac:dyDescent="0.15">
      <c r="A197" s="267">
        <v>95106026</v>
      </c>
      <c r="B197" s="268" t="s">
        <v>5035</v>
      </c>
      <c r="C197" s="268" t="s">
        <v>727</v>
      </c>
      <c r="D197" s="268">
        <v>5041</v>
      </c>
      <c r="E197" s="268" t="s">
        <v>4876</v>
      </c>
      <c r="F197" s="268" t="s">
        <v>4877</v>
      </c>
      <c r="G197" s="269">
        <v>6</v>
      </c>
      <c r="H197" s="269">
        <v>0</v>
      </c>
      <c r="I197" s="267">
        <v>34</v>
      </c>
      <c r="J197" s="268" t="s">
        <v>5036</v>
      </c>
      <c r="K197" s="279" t="s">
        <v>5037</v>
      </c>
      <c r="L197" s="279"/>
      <c r="M197" s="268">
        <v>1</v>
      </c>
      <c r="N197" s="268" t="b">
        <v>1</v>
      </c>
      <c r="O197" s="268">
        <v>25</v>
      </c>
      <c r="P197" s="281">
        <v>375</v>
      </c>
      <c r="Q197" s="281">
        <v>500</v>
      </c>
      <c r="R197" s="268" t="s">
        <v>3383</v>
      </c>
      <c r="S197" s="268"/>
      <c r="T197" s="268">
        <v>1</v>
      </c>
      <c r="U197" s="268" t="s">
        <v>4880</v>
      </c>
      <c r="V197" s="269">
        <v>7</v>
      </c>
      <c r="W197" s="269"/>
      <c r="X197" s="268" t="s">
        <v>4881</v>
      </c>
      <c r="Y197" s="269" t="s">
        <v>5038</v>
      </c>
      <c r="Z197" s="293" t="s">
        <v>5039</v>
      </c>
      <c r="AA197" s="268" t="s">
        <v>4884</v>
      </c>
      <c r="AB197" s="268"/>
      <c r="AC197" s="287">
        <v>1</v>
      </c>
      <c r="AD197" s="287">
        <v>1</v>
      </c>
      <c r="AE197" s="268"/>
      <c r="AF197" s="268"/>
      <c r="AG197" s="290"/>
    </row>
    <row r="198" spans="1:33" s="145" customFormat="1" x14ac:dyDescent="0.15">
      <c r="A198" s="267">
        <v>95106027</v>
      </c>
      <c r="B198" s="268" t="s">
        <v>5035</v>
      </c>
      <c r="C198" s="268" t="s">
        <v>727</v>
      </c>
      <c r="D198" s="268">
        <v>5041</v>
      </c>
      <c r="E198" s="268" t="s">
        <v>4876</v>
      </c>
      <c r="F198" s="268" t="s">
        <v>4877</v>
      </c>
      <c r="G198" s="269">
        <v>7</v>
      </c>
      <c r="H198" s="269">
        <v>0</v>
      </c>
      <c r="I198" s="267">
        <v>34</v>
      </c>
      <c r="J198" s="268" t="s">
        <v>5036</v>
      </c>
      <c r="K198" s="279" t="s">
        <v>5037</v>
      </c>
      <c r="L198" s="279"/>
      <c r="M198" s="268">
        <v>1</v>
      </c>
      <c r="N198" s="268" t="b">
        <v>1</v>
      </c>
      <c r="O198" s="268">
        <v>38</v>
      </c>
      <c r="P198" s="281">
        <v>570</v>
      </c>
      <c r="Q198" s="281">
        <v>760</v>
      </c>
      <c r="R198" s="268" t="s">
        <v>3383</v>
      </c>
      <c r="S198" s="268"/>
      <c r="T198" s="268">
        <v>1</v>
      </c>
      <c r="U198" s="268" t="s">
        <v>4880</v>
      </c>
      <c r="V198" s="269">
        <v>10</v>
      </c>
      <c r="W198" s="269"/>
      <c r="X198" s="268" t="s">
        <v>4881</v>
      </c>
      <c r="Y198" s="269" t="s">
        <v>5038</v>
      </c>
      <c r="Z198" s="293" t="s">
        <v>5039</v>
      </c>
      <c r="AA198" s="268" t="s">
        <v>4884</v>
      </c>
      <c r="AB198" s="268"/>
      <c r="AC198" s="287">
        <v>1</v>
      </c>
      <c r="AD198" s="287">
        <v>1</v>
      </c>
      <c r="AE198" s="268"/>
      <c r="AF198" s="268"/>
      <c r="AG198" s="290"/>
    </row>
    <row r="199" spans="1:33" s="258" customFormat="1" x14ac:dyDescent="0.15">
      <c r="A199" s="271">
        <v>95106028</v>
      </c>
      <c r="B199" s="272" t="s">
        <v>5040</v>
      </c>
      <c r="C199" s="272" t="s">
        <v>727</v>
      </c>
      <c r="D199" s="272">
        <v>5081</v>
      </c>
      <c r="E199" s="272" t="s">
        <v>4876</v>
      </c>
      <c r="F199" s="272" t="s">
        <v>4877</v>
      </c>
      <c r="G199" s="269">
        <v>6</v>
      </c>
      <c r="H199" s="273">
        <v>1</v>
      </c>
      <c r="I199" s="283">
        <v>34</v>
      </c>
      <c r="J199" s="284" t="s">
        <v>5036</v>
      </c>
      <c r="K199" s="285" t="s">
        <v>5037</v>
      </c>
      <c r="L199" s="272" t="s">
        <v>44</v>
      </c>
      <c r="M199" s="272">
        <v>1</v>
      </c>
      <c r="N199" s="272" t="b">
        <v>1</v>
      </c>
      <c r="O199" s="272">
        <v>51</v>
      </c>
      <c r="P199" s="281">
        <v>765</v>
      </c>
      <c r="Q199" s="281">
        <v>1020</v>
      </c>
      <c r="R199" s="272" t="s">
        <v>3383</v>
      </c>
      <c r="S199" s="272"/>
      <c r="T199" s="272">
        <v>1</v>
      </c>
      <c r="U199" s="272" t="s">
        <v>4880</v>
      </c>
      <c r="V199" s="273">
        <v>10</v>
      </c>
      <c r="W199" s="273"/>
      <c r="X199" s="272" t="s">
        <v>4881</v>
      </c>
      <c r="Y199" s="333" t="s">
        <v>5038</v>
      </c>
      <c r="Z199" s="334" t="s">
        <v>5039</v>
      </c>
      <c r="AA199" s="272" t="s">
        <v>4884</v>
      </c>
      <c r="AB199" s="272"/>
      <c r="AC199" s="289">
        <v>1</v>
      </c>
      <c r="AD199" s="289">
        <v>1</v>
      </c>
      <c r="AE199" s="289"/>
      <c r="AF199" s="272"/>
      <c r="AG199" s="272"/>
    </row>
    <row r="200" spans="1:33" s="258" customFormat="1" x14ac:dyDescent="0.15">
      <c r="A200" s="271">
        <v>95106029</v>
      </c>
      <c r="B200" s="272" t="s">
        <v>5041</v>
      </c>
      <c r="C200" s="272" t="s">
        <v>727</v>
      </c>
      <c r="D200" s="272">
        <v>5081</v>
      </c>
      <c r="E200" s="272" t="s">
        <v>4876</v>
      </c>
      <c r="F200" s="272" t="s">
        <v>4877</v>
      </c>
      <c r="G200" s="269">
        <v>6</v>
      </c>
      <c r="H200" s="273">
        <v>1</v>
      </c>
      <c r="I200" s="283">
        <v>34</v>
      </c>
      <c r="J200" s="284" t="s">
        <v>5036</v>
      </c>
      <c r="K200" s="285" t="s">
        <v>5037</v>
      </c>
      <c r="L200" s="272" t="s">
        <v>4887</v>
      </c>
      <c r="M200" s="272">
        <v>1</v>
      </c>
      <c r="N200" s="272" t="b">
        <v>1</v>
      </c>
      <c r="O200" s="272">
        <v>64</v>
      </c>
      <c r="P200" s="281">
        <v>960</v>
      </c>
      <c r="Q200" s="281">
        <v>1280</v>
      </c>
      <c r="R200" s="272" t="s">
        <v>3383</v>
      </c>
      <c r="S200" s="272"/>
      <c r="T200" s="272">
        <v>1</v>
      </c>
      <c r="U200" s="272" t="s">
        <v>4880</v>
      </c>
      <c r="V200" s="273">
        <v>10</v>
      </c>
      <c r="W200" s="273"/>
      <c r="X200" s="272" t="s">
        <v>4881</v>
      </c>
      <c r="Y200" s="333" t="s">
        <v>5038</v>
      </c>
      <c r="Z200" s="334" t="s">
        <v>5039</v>
      </c>
      <c r="AA200" s="272" t="s">
        <v>4884</v>
      </c>
      <c r="AB200" s="272"/>
      <c r="AC200" s="289">
        <v>1</v>
      </c>
      <c r="AD200" s="289">
        <v>1</v>
      </c>
      <c r="AE200" s="289"/>
      <c r="AF200" s="272"/>
      <c r="AG200" s="272"/>
    </row>
    <row r="201" spans="1:33" s="258" customFormat="1" x14ac:dyDescent="0.15">
      <c r="A201" s="271">
        <v>95106030</v>
      </c>
      <c r="B201" s="272" t="s">
        <v>5042</v>
      </c>
      <c r="C201" s="272" t="s">
        <v>727</v>
      </c>
      <c r="D201" s="272">
        <v>5081</v>
      </c>
      <c r="E201" s="272" t="s">
        <v>4876</v>
      </c>
      <c r="F201" s="272" t="s">
        <v>4877</v>
      </c>
      <c r="G201" s="269">
        <v>7</v>
      </c>
      <c r="H201" s="273">
        <v>0</v>
      </c>
      <c r="I201" s="283">
        <v>34</v>
      </c>
      <c r="J201" s="284" t="s">
        <v>5036</v>
      </c>
      <c r="K201" s="285" t="s">
        <v>5037</v>
      </c>
      <c r="L201" s="272" t="s">
        <v>4889</v>
      </c>
      <c r="M201" s="272">
        <v>1</v>
      </c>
      <c r="N201" s="272" t="b">
        <v>1</v>
      </c>
      <c r="O201" s="272">
        <v>77</v>
      </c>
      <c r="P201" s="281">
        <v>1155</v>
      </c>
      <c r="Q201" s="281">
        <v>1540</v>
      </c>
      <c r="R201" s="272" t="s">
        <v>3383</v>
      </c>
      <c r="S201" s="272"/>
      <c r="T201" s="272">
        <v>1</v>
      </c>
      <c r="U201" s="272" t="s">
        <v>4880</v>
      </c>
      <c r="V201" s="273">
        <v>10</v>
      </c>
      <c r="W201" s="273"/>
      <c r="X201" s="272" t="s">
        <v>4881</v>
      </c>
      <c r="Y201" s="333" t="s">
        <v>5038</v>
      </c>
      <c r="Z201" s="334" t="s">
        <v>5039</v>
      </c>
      <c r="AA201" s="272" t="s">
        <v>4884</v>
      </c>
      <c r="AB201" s="272"/>
      <c r="AC201" s="289">
        <v>1</v>
      </c>
      <c r="AD201" s="289">
        <v>1</v>
      </c>
      <c r="AE201" s="289"/>
      <c r="AF201" s="272"/>
      <c r="AG201" s="272"/>
    </row>
    <row r="202" spans="1:33" s="145" customFormat="1" x14ac:dyDescent="0.15">
      <c r="A202" s="267">
        <v>95109011</v>
      </c>
      <c r="B202" s="268" t="s">
        <v>5043</v>
      </c>
      <c r="C202" s="293" t="s">
        <v>5044</v>
      </c>
      <c r="D202" s="293">
        <v>5021</v>
      </c>
      <c r="E202" s="268" t="s">
        <v>4876</v>
      </c>
      <c r="F202" s="268" t="s">
        <v>4877</v>
      </c>
      <c r="G202" s="269">
        <v>1</v>
      </c>
      <c r="H202" s="269">
        <v>0</v>
      </c>
      <c r="I202" s="267">
        <v>34</v>
      </c>
      <c r="J202" s="282" t="s">
        <v>5045</v>
      </c>
      <c r="K202" s="279" t="s">
        <v>5046</v>
      </c>
      <c r="L202" s="279"/>
      <c r="M202" s="268">
        <v>1</v>
      </c>
      <c r="N202" s="268" t="b">
        <v>1</v>
      </c>
      <c r="O202" s="268">
        <v>2</v>
      </c>
      <c r="P202" s="281">
        <v>30</v>
      </c>
      <c r="Q202" s="281">
        <v>40</v>
      </c>
      <c r="R202" s="268" t="s">
        <v>3383</v>
      </c>
      <c r="S202" s="268"/>
      <c r="T202" s="268">
        <v>1</v>
      </c>
      <c r="U202" s="268" t="s">
        <v>4880</v>
      </c>
      <c r="V202" s="269">
        <v>1</v>
      </c>
      <c r="W202" s="269"/>
      <c r="X202" s="268" t="s">
        <v>4881</v>
      </c>
      <c r="Y202" s="269" t="s">
        <v>5047</v>
      </c>
      <c r="Z202" s="332" t="s">
        <v>5048</v>
      </c>
      <c r="AA202" s="268" t="s">
        <v>4884</v>
      </c>
      <c r="AB202" s="268"/>
      <c r="AC202" s="287">
        <v>1</v>
      </c>
      <c r="AD202" s="287">
        <v>1</v>
      </c>
      <c r="AE202" s="268"/>
      <c r="AF202" s="268"/>
      <c r="AG202" s="290"/>
    </row>
    <row r="203" spans="1:33" s="145" customFormat="1" x14ac:dyDescent="0.15">
      <c r="A203" s="267">
        <v>95109012</v>
      </c>
      <c r="B203" s="268" t="s">
        <v>5043</v>
      </c>
      <c r="C203" s="293" t="s">
        <v>5044</v>
      </c>
      <c r="D203" s="293">
        <v>5021</v>
      </c>
      <c r="E203" s="268" t="s">
        <v>4876</v>
      </c>
      <c r="F203" s="268" t="s">
        <v>4877</v>
      </c>
      <c r="G203" s="269">
        <v>2</v>
      </c>
      <c r="H203" s="269">
        <v>0</v>
      </c>
      <c r="I203" s="267">
        <v>34</v>
      </c>
      <c r="J203" s="282" t="s">
        <v>5045</v>
      </c>
      <c r="K203" s="279" t="s">
        <v>5046</v>
      </c>
      <c r="L203" s="279"/>
      <c r="M203" s="268">
        <v>1</v>
      </c>
      <c r="N203" s="268" t="b">
        <v>1</v>
      </c>
      <c r="O203" s="268">
        <v>5</v>
      </c>
      <c r="P203" s="281">
        <v>75</v>
      </c>
      <c r="Q203" s="281">
        <v>100</v>
      </c>
      <c r="R203" s="268" t="s">
        <v>3383</v>
      </c>
      <c r="S203" s="268"/>
      <c r="T203" s="268">
        <v>1</v>
      </c>
      <c r="U203" s="268" t="s">
        <v>4880</v>
      </c>
      <c r="V203" s="269">
        <v>2</v>
      </c>
      <c r="W203" s="269"/>
      <c r="X203" s="268" t="s">
        <v>4881</v>
      </c>
      <c r="Y203" s="269" t="s">
        <v>5047</v>
      </c>
      <c r="Z203" s="332" t="s">
        <v>5048</v>
      </c>
      <c r="AA203" s="268" t="s">
        <v>4884</v>
      </c>
      <c r="AB203" s="268"/>
      <c r="AC203" s="287">
        <v>1</v>
      </c>
      <c r="AD203" s="287">
        <v>1</v>
      </c>
      <c r="AE203" s="268"/>
      <c r="AF203" s="268"/>
      <c r="AG203" s="290"/>
    </row>
    <row r="204" spans="1:33" s="145" customFormat="1" x14ac:dyDescent="0.15">
      <c r="A204" s="267">
        <v>95109013</v>
      </c>
      <c r="B204" s="268" t="s">
        <v>5043</v>
      </c>
      <c r="C204" s="293" t="s">
        <v>5044</v>
      </c>
      <c r="D204" s="293">
        <v>5021</v>
      </c>
      <c r="E204" s="268" t="s">
        <v>4876</v>
      </c>
      <c r="F204" s="268" t="s">
        <v>4877</v>
      </c>
      <c r="G204" s="269">
        <v>3</v>
      </c>
      <c r="H204" s="269">
        <v>0</v>
      </c>
      <c r="I204" s="267">
        <v>34</v>
      </c>
      <c r="J204" s="282" t="s">
        <v>5045</v>
      </c>
      <c r="K204" s="279" t="s">
        <v>5046</v>
      </c>
      <c r="L204" s="279"/>
      <c r="M204" s="268">
        <v>1</v>
      </c>
      <c r="N204" s="268" t="b">
        <v>1</v>
      </c>
      <c r="O204" s="268">
        <v>7</v>
      </c>
      <c r="P204" s="281">
        <v>105</v>
      </c>
      <c r="Q204" s="281">
        <v>140</v>
      </c>
      <c r="R204" s="268" t="s">
        <v>3383</v>
      </c>
      <c r="S204" s="268"/>
      <c r="T204" s="268">
        <v>1</v>
      </c>
      <c r="U204" s="268" t="s">
        <v>4880</v>
      </c>
      <c r="V204" s="269">
        <v>3</v>
      </c>
      <c r="W204" s="269"/>
      <c r="X204" s="268" t="s">
        <v>4881</v>
      </c>
      <c r="Y204" s="269" t="s">
        <v>5047</v>
      </c>
      <c r="Z204" s="332" t="s">
        <v>5048</v>
      </c>
      <c r="AA204" s="268" t="s">
        <v>4884</v>
      </c>
      <c r="AB204" s="268"/>
      <c r="AC204" s="287">
        <v>1</v>
      </c>
      <c r="AD204" s="287">
        <v>1</v>
      </c>
      <c r="AE204" s="268"/>
      <c r="AF204" s="268"/>
      <c r="AG204" s="290"/>
    </row>
    <row r="205" spans="1:33" s="145" customFormat="1" x14ac:dyDescent="0.15">
      <c r="A205" s="267">
        <v>95109014</v>
      </c>
      <c r="B205" s="268" t="s">
        <v>5043</v>
      </c>
      <c r="C205" s="293" t="s">
        <v>5044</v>
      </c>
      <c r="D205" s="293">
        <v>5021</v>
      </c>
      <c r="E205" s="268" t="s">
        <v>4876</v>
      </c>
      <c r="F205" s="268" t="s">
        <v>4877</v>
      </c>
      <c r="G205" s="269">
        <v>4</v>
      </c>
      <c r="H205" s="269">
        <v>0</v>
      </c>
      <c r="I205" s="267">
        <v>34</v>
      </c>
      <c r="J205" s="282" t="s">
        <v>5045</v>
      </c>
      <c r="K205" s="279" t="s">
        <v>5046</v>
      </c>
      <c r="L205" s="279"/>
      <c r="M205" s="268">
        <v>1</v>
      </c>
      <c r="N205" s="268" t="b">
        <v>1</v>
      </c>
      <c r="O205" s="268">
        <v>10</v>
      </c>
      <c r="P205" s="281">
        <v>150</v>
      </c>
      <c r="Q205" s="281">
        <v>200</v>
      </c>
      <c r="R205" s="268" t="s">
        <v>3383</v>
      </c>
      <c r="S205" s="268"/>
      <c r="T205" s="268">
        <v>1</v>
      </c>
      <c r="U205" s="268" t="s">
        <v>4880</v>
      </c>
      <c r="V205" s="269">
        <v>4</v>
      </c>
      <c r="W205" s="269"/>
      <c r="X205" s="268" t="s">
        <v>4881</v>
      </c>
      <c r="Y205" s="269" t="s">
        <v>5047</v>
      </c>
      <c r="Z205" s="332" t="s">
        <v>5048</v>
      </c>
      <c r="AA205" s="268" t="s">
        <v>4884</v>
      </c>
      <c r="AB205" s="268"/>
      <c r="AC205" s="287">
        <v>1</v>
      </c>
      <c r="AD205" s="287">
        <v>1</v>
      </c>
      <c r="AE205" s="268"/>
      <c r="AF205" s="268"/>
      <c r="AG205" s="290"/>
    </row>
    <row r="206" spans="1:33" s="145" customFormat="1" x14ac:dyDescent="0.15">
      <c r="A206" s="267">
        <v>95109015</v>
      </c>
      <c r="B206" s="268" t="s">
        <v>5043</v>
      </c>
      <c r="C206" s="293" t="s">
        <v>5044</v>
      </c>
      <c r="D206" s="293">
        <v>5021</v>
      </c>
      <c r="E206" s="268" t="s">
        <v>4876</v>
      </c>
      <c r="F206" s="268" t="s">
        <v>4877</v>
      </c>
      <c r="G206" s="269">
        <v>5</v>
      </c>
      <c r="H206" s="269">
        <v>0</v>
      </c>
      <c r="I206" s="267">
        <v>34</v>
      </c>
      <c r="J206" s="282" t="s">
        <v>5045</v>
      </c>
      <c r="K206" s="279" t="s">
        <v>5046</v>
      </c>
      <c r="L206" s="279"/>
      <c r="M206" s="268">
        <v>1</v>
      </c>
      <c r="N206" s="268" t="b">
        <v>1</v>
      </c>
      <c r="O206" s="268">
        <v>12</v>
      </c>
      <c r="P206" s="281">
        <v>180</v>
      </c>
      <c r="Q206" s="281">
        <v>240</v>
      </c>
      <c r="R206" s="268" t="s">
        <v>3383</v>
      </c>
      <c r="S206" s="268"/>
      <c r="T206" s="268">
        <v>1</v>
      </c>
      <c r="U206" s="268" t="s">
        <v>4880</v>
      </c>
      <c r="V206" s="269">
        <v>5</v>
      </c>
      <c r="W206" s="269"/>
      <c r="X206" s="268" t="s">
        <v>4881</v>
      </c>
      <c r="Y206" s="269" t="s">
        <v>5047</v>
      </c>
      <c r="Z206" s="332" t="s">
        <v>5048</v>
      </c>
      <c r="AA206" s="268" t="s">
        <v>4884</v>
      </c>
      <c r="AB206" s="268"/>
      <c r="AC206" s="287">
        <v>1</v>
      </c>
      <c r="AD206" s="287">
        <v>1</v>
      </c>
      <c r="AE206" s="268"/>
      <c r="AF206" s="268"/>
      <c r="AG206" s="290"/>
    </row>
    <row r="207" spans="1:33" s="145" customFormat="1" x14ac:dyDescent="0.15">
      <c r="A207" s="270">
        <v>95109016</v>
      </c>
      <c r="B207" s="268" t="s">
        <v>5043</v>
      </c>
      <c r="C207" s="268" t="s">
        <v>5044</v>
      </c>
      <c r="D207" s="268">
        <v>5021</v>
      </c>
      <c r="E207" s="268" t="s">
        <v>4876</v>
      </c>
      <c r="F207" s="268" t="s">
        <v>4877</v>
      </c>
      <c r="G207" s="269">
        <v>6</v>
      </c>
      <c r="H207" s="269">
        <v>0</v>
      </c>
      <c r="I207" s="267">
        <v>34</v>
      </c>
      <c r="J207" s="282" t="s">
        <v>5045</v>
      </c>
      <c r="K207" s="279" t="s">
        <v>5046</v>
      </c>
      <c r="L207" s="279"/>
      <c r="M207" s="268">
        <v>1</v>
      </c>
      <c r="N207" s="268" t="b">
        <v>1</v>
      </c>
      <c r="O207" s="268">
        <v>25</v>
      </c>
      <c r="P207" s="281">
        <v>375</v>
      </c>
      <c r="Q207" s="281">
        <v>500</v>
      </c>
      <c r="R207" s="268" t="s">
        <v>3383</v>
      </c>
      <c r="S207" s="268"/>
      <c r="T207" s="268">
        <v>1</v>
      </c>
      <c r="U207" s="268" t="s">
        <v>4880</v>
      </c>
      <c r="V207" s="269">
        <v>7</v>
      </c>
      <c r="W207" s="269"/>
      <c r="X207" s="268" t="s">
        <v>4881</v>
      </c>
      <c r="Y207" s="331" t="s">
        <v>5047</v>
      </c>
      <c r="Z207" s="332" t="s">
        <v>5048</v>
      </c>
      <c r="AA207" s="268" t="s">
        <v>4884</v>
      </c>
      <c r="AB207" s="268"/>
      <c r="AC207" s="287">
        <v>1</v>
      </c>
      <c r="AD207" s="287">
        <v>1</v>
      </c>
      <c r="AE207" s="268"/>
      <c r="AF207" s="268"/>
      <c r="AG207" s="290"/>
    </row>
    <row r="208" spans="1:33" s="145" customFormat="1" x14ac:dyDescent="0.15">
      <c r="A208" s="270">
        <v>95109017</v>
      </c>
      <c r="B208" s="268" t="s">
        <v>5043</v>
      </c>
      <c r="C208" s="268" t="s">
        <v>5044</v>
      </c>
      <c r="D208" s="268">
        <v>5021</v>
      </c>
      <c r="E208" s="268" t="s">
        <v>4876</v>
      </c>
      <c r="F208" s="268" t="s">
        <v>4877</v>
      </c>
      <c r="G208" s="269">
        <v>7</v>
      </c>
      <c r="H208" s="269">
        <v>0</v>
      </c>
      <c r="I208" s="267">
        <v>34</v>
      </c>
      <c r="J208" s="282" t="s">
        <v>5045</v>
      </c>
      <c r="K208" s="279" t="s">
        <v>5046</v>
      </c>
      <c r="L208" s="279"/>
      <c r="M208" s="268">
        <v>1</v>
      </c>
      <c r="N208" s="268" t="b">
        <v>1</v>
      </c>
      <c r="O208" s="268">
        <v>38</v>
      </c>
      <c r="P208" s="281">
        <v>570</v>
      </c>
      <c r="Q208" s="281">
        <v>760</v>
      </c>
      <c r="R208" s="268" t="s">
        <v>3383</v>
      </c>
      <c r="S208" s="268"/>
      <c r="T208" s="268">
        <v>1</v>
      </c>
      <c r="U208" s="268" t="s">
        <v>4880</v>
      </c>
      <c r="V208" s="269">
        <v>10</v>
      </c>
      <c r="W208" s="269"/>
      <c r="X208" s="268" t="s">
        <v>4881</v>
      </c>
      <c r="Y208" s="331" t="s">
        <v>5047</v>
      </c>
      <c r="Z208" s="332" t="s">
        <v>5048</v>
      </c>
      <c r="AA208" s="268" t="s">
        <v>4884</v>
      </c>
      <c r="AB208" s="268"/>
      <c r="AC208" s="287">
        <v>1</v>
      </c>
      <c r="AD208" s="287">
        <v>1</v>
      </c>
      <c r="AE208" s="268"/>
      <c r="AF208" s="268"/>
      <c r="AG208" s="290"/>
    </row>
    <row r="209" spans="1:33" s="258" customFormat="1" x14ac:dyDescent="0.15">
      <c r="A209" s="271">
        <v>95109018</v>
      </c>
      <c r="B209" s="272" t="s">
        <v>5049</v>
      </c>
      <c r="C209" s="272" t="s">
        <v>5044</v>
      </c>
      <c r="D209" s="272">
        <v>5081</v>
      </c>
      <c r="E209" s="272" t="s">
        <v>4876</v>
      </c>
      <c r="F209" s="272" t="s">
        <v>4877</v>
      </c>
      <c r="G209" s="269">
        <v>6</v>
      </c>
      <c r="H209" s="273">
        <v>1</v>
      </c>
      <c r="I209" s="283">
        <v>34</v>
      </c>
      <c r="J209" s="284" t="s">
        <v>5045</v>
      </c>
      <c r="K209" s="285" t="s">
        <v>5046</v>
      </c>
      <c r="L209" s="272" t="s">
        <v>44</v>
      </c>
      <c r="M209" s="272">
        <v>1</v>
      </c>
      <c r="N209" s="272" t="b">
        <v>1</v>
      </c>
      <c r="O209" s="272">
        <v>51</v>
      </c>
      <c r="P209" s="281">
        <v>765</v>
      </c>
      <c r="Q209" s="281">
        <v>1020</v>
      </c>
      <c r="R209" s="272" t="s">
        <v>3383</v>
      </c>
      <c r="S209" s="272"/>
      <c r="T209" s="272">
        <v>1</v>
      </c>
      <c r="U209" s="272" t="s">
        <v>4880</v>
      </c>
      <c r="V209" s="273">
        <v>10</v>
      </c>
      <c r="W209" s="273"/>
      <c r="X209" s="272" t="s">
        <v>4881</v>
      </c>
      <c r="Y209" s="333" t="s">
        <v>5047</v>
      </c>
      <c r="Z209" s="334" t="s">
        <v>5048</v>
      </c>
      <c r="AA209" s="272" t="s">
        <v>4884</v>
      </c>
      <c r="AB209" s="272"/>
      <c r="AC209" s="289">
        <v>1</v>
      </c>
      <c r="AD209" s="289">
        <v>1</v>
      </c>
      <c r="AE209" s="289"/>
      <c r="AF209" s="272"/>
      <c r="AG209" s="272"/>
    </row>
    <row r="210" spans="1:33" s="258" customFormat="1" x14ac:dyDescent="0.15">
      <c r="A210" s="271">
        <v>95109019</v>
      </c>
      <c r="B210" s="272" t="s">
        <v>5050</v>
      </c>
      <c r="C210" s="272" t="s">
        <v>5044</v>
      </c>
      <c r="D210" s="272">
        <v>5081</v>
      </c>
      <c r="E210" s="272" t="s">
        <v>4876</v>
      </c>
      <c r="F210" s="272" t="s">
        <v>4877</v>
      </c>
      <c r="G210" s="269">
        <v>6</v>
      </c>
      <c r="H210" s="273">
        <v>1</v>
      </c>
      <c r="I210" s="283">
        <v>34</v>
      </c>
      <c r="J210" s="284" t="s">
        <v>5045</v>
      </c>
      <c r="K210" s="285" t="s">
        <v>5046</v>
      </c>
      <c r="L210" s="272" t="s">
        <v>4887</v>
      </c>
      <c r="M210" s="272">
        <v>1</v>
      </c>
      <c r="N210" s="272" t="b">
        <v>1</v>
      </c>
      <c r="O210" s="272">
        <v>64</v>
      </c>
      <c r="P210" s="281">
        <v>960</v>
      </c>
      <c r="Q210" s="281">
        <v>1280</v>
      </c>
      <c r="R210" s="272" t="s">
        <v>3383</v>
      </c>
      <c r="S210" s="272"/>
      <c r="T210" s="272">
        <v>1</v>
      </c>
      <c r="U210" s="272" t="s">
        <v>4880</v>
      </c>
      <c r="V210" s="273">
        <v>10</v>
      </c>
      <c r="W210" s="273"/>
      <c r="X210" s="272" t="s">
        <v>4881</v>
      </c>
      <c r="Y210" s="333" t="s">
        <v>5047</v>
      </c>
      <c r="Z210" s="334" t="s">
        <v>5048</v>
      </c>
      <c r="AA210" s="272" t="s">
        <v>4884</v>
      </c>
      <c r="AB210" s="272"/>
      <c r="AC210" s="289">
        <v>1</v>
      </c>
      <c r="AD210" s="289">
        <v>1</v>
      </c>
      <c r="AE210" s="289"/>
      <c r="AF210" s="272"/>
      <c r="AG210" s="272"/>
    </row>
    <row r="211" spans="1:33" s="258" customFormat="1" x14ac:dyDescent="0.15">
      <c r="A211" s="271">
        <v>95109020</v>
      </c>
      <c r="B211" s="272" t="s">
        <v>5051</v>
      </c>
      <c r="C211" s="272" t="s">
        <v>5044</v>
      </c>
      <c r="D211" s="272">
        <v>5081</v>
      </c>
      <c r="E211" s="272" t="s">
        <v>4876</v>
      </c>
      <c r="F211" s="272" t="s">
        <v>4877</v>
      </c>
      <c r="G211" s="269">
        <v>7</v>
      </c>
      <c r="H211" s="273">
        <v>0</v>
      </c>
      <c r="I211" s="283">
        <v>34</v>
      </c>
      <c r="J211" s="284" t="s">
        <v>5045</v>
      </c>
      <c r="K211" s="285" t="s">
        <v>5046</v>
      </c>
      <c r="L211" s="272" t="s">
        <v>4889</v>
      </c>
      <c r="M211" s="272">
        <v>1</v>
      </c>
      <c r="N211" s="272" t="b">
        <v>1</v>
      </c>
      <c r="O211" s="272">
        <v>77</v>
      </c>
      <c r="P211" s="281">
        <v>1155</v>
      </c>
      <c r="Q211" s="281">
        <v>1540</v>
      </c>
      <c r="R211" s="272" t="s">
        <v>3383</v>
      </c>
      <c r="S211" s="272"/>
      <c r="T211" s="272">
        <v>1</v>
      </c>
      <c r="U211" s="272" t="s">
        <v>4880</v>
      </c>
      <c r="V211" s="273">
        <v>10</v>
      </c>
      <c r="W211" s="273"/>
      <c r="X211" s="272" t="s">
        <v>4881</v>
      </c>
      <c r="Y211" s="333" t="s">
        <v>5047</v>
      </c>
      <c r="Z211" s="334" t="s">
        <v>5048</v>
      </c>
      <c r="AA211" s="272" t="s">
        <v>4884</v>
      </c>
      <c r="AB211" s="272"/>
      <c r="AC211" s="289">
        <v>1</v>
      </c>
      <c r="AD211" s="289">
        <v>1</v>
      </c>
      <c r="AE211" s="289"/>
      <c r="AF211" s="272"/>
      <c r="AG211" s="272"/>
    </row>
    <row r="212" spans="1:33" s="145" customFormat="1" x14ac:dyDescent="0.15">
      <c r="A212" s="267">
        <v>95109021</v>
      </c>
      <c r="B212" s="268" t="s">
        <v>5052</v>
      </c>
      <c r="C212" s="293" t="s">
        <v>5044</v>
      </c>
      <c r="D212" s="293">
        <v>5041</v>
      </c>
      <c r="E212" s="268" t="s">
        <v>4876</v>
      </c>
      <c r="F212" s="268" t="s">
        <v>4877</v>
      </c>
      <c r="G212" s="269">
        <v>1</v>
      </c>
      <c r="H212" s="269">
        <v>0</v>
      </c>
      <c r="I212" s="267">
        <v>34</v>
      </c>
      <c r="J212" s="282" t="s">
        <v>5053</v>
      </c>
      <c r="K212" s="279" t="s">
        <v>5054</v>
      </c>
      <c r="L212" s="279"/>
      <c r="M212" s="268">
        <v>1</v>
      </c>
      <c r="N212" s="268" t="b">
        <v>1</v>
      </c>
      <c r="O212" s="268">
        <v>2</v>
      </c>
      <c r="P212" s="281">
        <v>30</v>
      </c>
      <c r="Q212" s="281">
        <v>40</v>
      </c>
      <c r="R212" s="268" t="s">
        <v>3383</v>
      </c>
      <c r="S212" s="268"/>
      <c r="T212" s="268">
        <v>1</v>
      </c>
      <c r="U212" s="268" t="s">
        <v>4880</v>
      </c>
      <c r="V212" s="269">
        <v>1</v>
      </c>
      <c r="W212" s="269"/>
      <c r="X212" s="268" t="s">
        <v>4881</v>
      </c>
      <c r="Y212" s="269" t="s">
        <v>5055</v>
      </c>
      <c r="Z212" s="293" t="s">
        <v>5056</v>
      </c>
      <c r="AA212" s="268" t="s">
        <v>4884</v>
      </c>
      <c r="AB212" s="268"/>
      <c r="AC212" s="287">
        <v>1</v>
      </c>
      <c r="AD212" s="287">
        <v>1</v>
      </c>
      <c r="AE212" s="268"/>
      <c r="AF212" s="268"/>
      <c r="AG212" s="290"/>
    </row>
    <row r="213" spans="1:33" s="145" customFormat="1" x14ac:dyDescent="0.15">
      <c r="A213" s="267">
        <v>95109022</v>
      </c>
      <c r="B213" s="268" t="s">
        <v>5052</v>
      </c>
      <c r="C213" s="293" t="s">
        <v>5044</v>
      </c>
      <c r="D213" s="293">
        <v>5041</v>
      </c>
      <c r="E213" s="268" t="s">
        <v>4876</v>
      </c>
      <c r="F213" s="268" t="s">
        <v>4877</v>
      </c>
      <c r="G213" s="269">
        <v>2</v>
      </c>
      <c r="H213" s="269">
        <v>0</v>
      </c>
      <c r="I213" s="267">
        <v>34</v>
      </c>
      <c r="J213" s="282" t="s">
        <v>5053</v>
      </c>
      <c r="K213" s="279" t="s">
        <v>5054</v>
      </c>
      <c r="L213" s="279"/>
      <c r="M213" s="268">
        <v>1</v>
      </c>
      <c r="N213" s="268" t="b">
        <v>1</v>
      </c>
      <c r="O213" s="268">
        <v>5</v>
      </c>
      <c r="P213" s="281">
        <v>75</v>
      </c>
      <c r="Q213" s="281">
        <v>100</v>
      </c>
      <c r="R213" s="268" t="s">
        <v>3383</v>
      </c>
      <c r="S213" s="268"/>
      <c r="T213" s="268">
        <v>1</v>
      </c>
      <c r="U213" s="268" t="s">
        <v>4880</v>
      </c>
      <c r="V213" s="269">
        <v>2</v>
      </c>
      <c r="W213" s="269"/>
      <c r="X213" s="268" t="s">
        <v>4881</v>
      </c>
      <c r="Y213" s="269" t="s">
        <v>5055</v>
      </c>
      <c r="Z213" s="293" t="s">
        <v>5056</v>
      </c>
      <c r="AA213" s="268" t="s">
        <v>4884</v>
      </c>
      <c r="AB213" s="268"/>
      <c r="AC213" s="287">
        <v>1</v>
      </c>
      <c r="AD213" s="287">
        <v>1</v>
      </c>
      <c r="AE213" s="268"/>
      <c r="AF213" s="268"/>
      <c r="AG213" s="290"/>
    </row>
    <row r="214" spans="1:33" s="145" customFormat="1" x14ac:dyDescent="0.15">
      <c r="A214" s="267">
        <v>95109023</v>
      </c>
      <c r="B214" s="268" t="s">
        <v>5052</v>
      </c>
      <c r="C214" s="293" t="s">
        <v>5044</v>
      </c>
      <c r="D214" s="293">
        <v>5041</v>
      </c>
      <c r="E214" s="268" t="s">
        <v>4876</v>
      </c>
      <c r="F214" s="268" t="s">
        <v>4877</v>
      </c>
      <c r="G214" s="269">
        <v>3</v>
      </c>
      <c r="H214" s="269">
        <v>0</v>
      </c>
      <c r="I214" s="267">
        <v>34</v>
      </c>
      <c r="J214" s="282" t="s">
        <v>5053</v>
      </c>
      <c r="K214" s="279" t="s">
        <v>5054</v>
      </c>
      <c r="L214" s="279"/>
      <c r="M214" s="268">
        <v>1</v>
      </c>
      <c r="N214" s="268" t="b">
        <v>1</v>
      </c>
      <c r="O214" s="268">
        <v>7</v>
      </c>
      <c r="P214" s="281">
        <v>105</v>
      </c>
      <c r="Q214" s="281">
        <v>140</v>
      </c>
      <c r="R214" s="268" t="s">
        <v>3383</v>
      </c>
      <c r="S214" s="268"/>
      <c r="T214" s="268">
        <v>1</v>
      </c>
      <c r="U214" s="268" t="s">
        <v>4880</v>
      </c>
      <c r="V214" s="269">
        <v>3</v>
      </c>
      <c r="W214" s="269"/>
      <c r="X214" s="268" t="s">
        <v>4881</v>
      </c>
      <c r="Y214" s="269" t="s">
        <v>5055</v>
      </c>
      <c r="Z214" s="293" t="s">
        <v>5056</v>
      </c>
      <c r="AA214" s="268" t="s">
        <v>4884</v>
      </c>
      <c r="AB214" s="268"/>
      <c r="AC214" s="287">
        <v>1</v>
      </c>
      <c r="AD214" s="287">
        <v>1</v>
      </c>
      <c r="AE214" s="268"/>
      <c r="AF214" s="268"/>
      <c r="AG214" s="290"/>
    </row>
    <row r="215" spans="1:33" s="145" customFormat="1" x14ac:dyDescent="0.15">
      <c r="A215" s="267">
        <v>95109024</v>
      </c>
      <c r="B215" s="268" t="s">
        <v>5052</v>
      </c>
      <c r="C215" s="293" t="s">
        <v>5044</v>
      </c>
      <c r="D215" s="293">
        <v>5041</v>
      </c>
      <c r="E215" s="268" t="s">
        <v>4876</v>
      </c>
      <c r="F215" s="268" t="s">
        <v>4877</v>
      </c>
      <c r="G215" s="269">
        <v>4</v>
      </c>
      <c r="H215" s="269">
        <v>0</v>
      </c>
      <c r="I215" s="267">
        <v>34</v>
      </c>
      <c r="J215" s="282" t="s">
        <v>5053</v>
      </c>
      <c r="K215" s="279" t="s">
        <v>5054</v>
      </c>
      <c r="L215" s="279"/>
      <c r="M215" s="268">
        <v>1</v>
      </c>
      <c r="N215" s="268" t="b">
        <v>1</v>
      </c>
      <c r="O215" s="268">
        <v>10</v>
      </c>
      <c r="P215" s="281">
        <v>150</v>
      </c>
      <c r="Q215" s="281">
        <v>200</v>
      </c>
      <c r="R215" s="268" t="s">
        <v>3383</v>
      </c>
      <c r="S215" s="268"/>
      <c r="T215" s="268">
        <v>1</v>
      </c>
      <c r="U215" s="268" t="s">
        <v>4880</v>
      </c>
      <c r="V215" s="269">
        <v>4</v>
      </c>
      <c r="W215" s="269"/>
      <c r="X215" s="268" t="s">
        <v>4881</v>
      </c>
      <c r="Y215" s="269" t="s">
        <v>5055</v>
      </c>
      <c r="Z215" s="293" t="s">
        <v>5056</v>
      </c>
      <c r="AA215" s="268" t="s">
        <v>4884</v>
      </c>
      <c r="AB215" s="268"/>
      <c r="AC215" s="287">
        <v>1</v>
      </c>
      <c r="AD215" s="287">
        <v>1</v>
      </c>
      <c r="AE215" s="268"/>
      <c r="AF215" s="268"/>
      <c r="AG215" s="290"/>
    </row>
    <row r="216" spans="1:33" s="145" customFormat="1" x14ac:dyDescent="0.15">
      <c r="A216" s="267">
        <v>95109025</v>
      </c>
      <c r="B216" s="268" t="s">
        <v>5052</v>
      </c>
      <c r="C216" s="293" t="s">
        <v>5044</v>
      </c>
      <c r="D216" s="293">
        <v>5041</v>
      </c>
      <c r="E216" s="268" t="s">
        <v>4876</v>
      </c>
      <c r="F216" s="268" t="s">
        <v>4877</v>
      </c>
      <c r="G216" s="269">
        <v>5</v>
      </c>
      <c r="H216" s="269">
        <v>0</v>
      </c>
      <c r="I216" s="267">
        <v>34</v>
      </c>
      <c r="J216" s="282" t="s">
        <v>5053</v>
      </c>
      <c r="K216" s="279" t="s">
        <v>5054</v>
      </c>
      <c r="L216" s="279"/>
      <c r="M216" s="268">
        <v>1</v>
      </c>
      <c r="N216" s="268" t="b">
        <v>1</v>
      </c>
      <c r="O216" s="268">
        <v>12</v>
      </c>
      <c r="P216" s="281">
        <v>180</v>
      </c>
      <c r="Q216" s="281">
        <v>240</v>
      </c>
      <c r="R216" s="268" t="s">
        <v>3383</v>
      </c>
      <c r="S216" s="268"/>
      <c r="T216" s="268">
        <v>1</v>
      </c>
      <c r="U216" s="268" t="s">
        <v>4880</v>
      </c>
      <c r="V216" s="269">
        <v>5</v>
      </c>
      <c r="W216" s="269"/>
      <c r="X216" s="268" t="s">
        <v>4881</v>
      </c>
      <c r="Y216" s="269" t="s">
        <v>5055</v>
      </c>
      <c r="Z216" s="293" t="s">
        <v>5056</v>
      </c>
      <c r="AA216" s="268" t="s">
        <v>4884</v>
      </c>
      <c r="AB216" s="268"/>
      <c r="AC216" s="287">
        <v>1</v>
      </c>
      <c r="AD216" s="287">
        <v>1</v>
      </c>
      <c r="AE216" s="268"/>
      <c r="AF216" s="268"/>
      <c r="AG216" s="290"/>
    </row>
    <row r="217" spans="1:33" s="145" customFormat="1" x14ac:dyDescent="0.15">
      <c r="A217" s="267">
        <v>95109026</v>
      </c>
      <c r="B217" s="268" t="s">
        <v>5052</v>
      </c>
      <c r="C217" s="268" t="s">
        <v>5044</v>
      </c>
      <c r="D217" s="268">
        <v>5041</v>
      </c>
      <c r="E217" s="268" t="s">
        <v>4876</v>
      </c>
      <c r="F217" s="268" t="s">
        <v>4877</v>
      </c>
      <c r="G217" s="269">
        <v>6</v>
      </c>
      <c r="H217" s="269">
        <v>0</v>
      </c>
      <c r="I217" s="267">
        <v>34</v>
      </c>
      <c r="J217" s="282" t="s">
        <v>5053</v>
      </c>
      <c r="K217" s="279" t="s">
        <v>5054</v>
      </c>
      <c r="L217" s="279"/>
      <c r="M217" s="268">
        <v>1</v>
      </c>
      <c r="N217" s="268" t="b">
        <v>1</v>
      </c>
      <c r="O217" s="268">
        <v>25</v>
      </c>
      <c r="P217" s="281">
        <v>375</v>
      </c>
      <c r="Q217" s="281">
        <v>500</v>
      </c>
      <c r="R217" s="268" t="s">
        <v>3383</v>
      </c>
      <c r="S217" s="268"/>
      <c r="T217" s="268">
        <v>1</v>
      </c>
      <c r="U217" s="268" t="s">
        <v>4880</v>
      </c>
      <c r="V217" s="269">
        <v>7</v>
      </c>
      <c r="W217" s="269"/>
      <c r="X217" s="268" t="s">
        <v>4881</v>
      </c>
      <c r="Y217" s="269" t="s">
        <v>5055</v>
      </c>
      <c r="Z217" s="293" t="s">
        <v>5056</v>
      </c>
      <c r="AA217" s="268" t="s">
        <v>4884</v>
      </c>
      <c r="AB217" s="268"/>
      <c r="AC217" s="287">
        <v>1</v>
      </c>
      <c r="AD217" s="287">
        <v>1</v>
      </c>
      <c r="AE217" s="268"/>
      <c r="AF217" s="268"/>
      <c r="AG217" s="290"/>
    </row>
    <row r="218" spans="1:33" s="145" customFormat="1" x14ac:dyDescent="0.15">
      <c r="A218" s="267">
        <v>95109027</v>
      </c>
      <c r="B218" s="268" t="s">
        <v>5052</v>
      </c>
      <c r="C218" s="268" t="s">
        <v>5044</v>
      </c>
      <c r="D218" s="268">
        <v>5041</v>
      </c>
      <c r="E218" s="268" t="s">
        <v>4876</v>
      </c>
      <c r="F218" s="268" t="s">
        <v>4877</v>
      </c>
      <c r="G218" s="269">
        <v>7</v>
      </c>
      <c r="H218" s="269">
        <v>0</v>
      </c>
      <c r="I218" s="267">
        <v>34</v>
      </c>
      <c r="J218" s="282" t="s">
        <v>5053</v>
      </c>
      <c r="K218" s="279" t="s">
        <v>5054</v>
      </c>
      <c r="L218" s="279"/>
      <c r="M218" s="268">
        <v>1</v>
      </c>
      <c r="N218" s="268" t="b">
        <v>1</v>
      </c>
      <c r="O218" s="268">
        <v>38</v>
      </c>
      <c r="P218" s="281">
        <v>570</v>
      </c>
      <c r="Q218" s="281">
        <v>760</v>
      </c>
      <c r="R218" s="268" t="s">
        <v>3383</v>
      </c>
      <c r="S218" s="268"/>
      <c r="T218" s="268">
        <v>1</v>
      </c>
      <c r="U218" s="268" t="s">
        <v>4880</v>
      </c>
      <c r="V218" s="269">
        <v>10</v>
      </c>
      <c r="W218" s="269"/>
      <c r="X218" s="268" t="s">
        <v>4881</v>
      </c>
      <c r="Y218" s="269" t="s">
        <v>5055</v>
      </c>
      <c r="Z218" s="293" t="s">
        <v>5056</v>
      </c>
      <c r="AA218" s="268" t="s">
        <v>4884</v>
      </c>
      <c r="AB218" s="268"/>
      <c r="AC218" s="287">
        <v>1</v>
      </c>
      <c r="AD218" s="287">
        <v>1</v>
      </c>
      <c r="AE218" s="268"/>
      <c r="AF218" s="268"/>
      <c r="AG218" s="290"/>
    </row>
    <row r="219" spans="1:33" s="258" customFormat="1" x14ac:dyDescent="0.15">
      <c r="A219" s="271">
        <v>95109028</v>
      </c>
      <c r="B219" s="272" t="s">
        <v>5057</v>
      </c>
      <c r="C219" s="272" t="s">
        <v>5044</v>
      </c>
      <c r="D219" s="272">
        <v>5081</v>
      </c>
      <c r="E219" s="272" t="s">
        <v>4876</v>
      </c>
      <c r="F219" s="272" t="s">
        <v>4877</v>
      </c>
      <c r="G219" s="269">
        <v>6</v>
      </c>
      <c r="H219" s="273">
        <v>0</v>
      </c>
      <c r="I219" s="283">
        <v>34</v>
      </c>
      <c r="J219" s="284" t="s">
        <v>5053</v>
      </c>
      <c r="K219" s="285" t="s">
        <v>5054</v>
      </c>
      <c r="L219" s="272" t="s">
        <v>44</v>
      </c>
      <c r="M219" s="272">
        <v>1</v>
      </c>
      <c r="N219" s="272" t="b">
        <v>1</v>
      </c>
      <c r="O219" s="272">
        <v>51</v>
      </c>
      <c r="P219" s="281">
        <v>765</v>
      </c>
      <c r="Q219" s="281">
        <v>1020</v>
      </c>
      <c r="R219" s="272" t="s">
        <v>3383</v>
      </c>
      <c r="S219" s="272"/>
      <c r="T219" s="272">
        <v>1</v>
      </c>
      <c r="U219" s="272" t="s">
        <v>4880</v>
      </c>
      <c r="V219" s="273">
        <v>10</v>
      </c>
      <c r="W219" s="273"/>
      <c r="X219" s="272" t="s">
        <v>4881</v>
      </c>
      <c r="Y219" s="333" t="s">
        <v>5055</v>
      </c>
      <c r="Z219" s="334" t="s">
        <v>5056</v>
      </c>
      <c r="AA219" s="272" t="s">
        <v>4884</v>
      </c>
      <c r="AB219" s="272"/>
      <c r="AC219" s="289">
        <v>1</v>
      </c>
      <c r="AD219" s="289">
        <v>1</v>
      </c>
      <c r="AE219" s="289"/>
      <c r="AF219" s="272"/>
      <c r="AG219" s="272"/>
    </row>
    <row r="220" spans="1:33" s="258" customFormat="1" x14ac:dyDescent="0.15">
      <c r="A220" s="271">
        <v>95109029</v>
      </c>
      <c r="B220" s="272" t="s">
        <v>5058</v>
      </c>
      <c r="C220" s="272" t="s">
        <v>5044</v>
      </c>
      <c r="D220" s="272">
        <v>5081</v>
      </c>
      <c r="E220" s="272" t="s">
        <v>4876</v>
      </c>
      <c r="F220" s="272" t="s">
        <v>4877</v>
      </c>
      <c r="G220" s="269">
        <v>6</v>
      </c>
      <c r="H220" s="273">
        <v>0</v>
      </c>
      <c r="I220" s="283">
        <v>34</v>
      </c>
      <c r="J220" s="284" t="s">
        <v>5053</v>
      </c>
      <c r="K220" s="285" t="s">
        <v>5054</v>
      </c>
      <c r="L220" s="272" t="s">
        <v>4887</v>
      </c>
      <c r="M220" s="272">
        <v>1</v>
      </c>
      <c r="N220" s="272" t="b">
        <v>1</v>
      </c>
      <c r="O220" s="272">
        <v>64</v>
      </c>
      <c r="P220" s="281">
        <v>960</v>
      </c>
      <c r="Q220" s="281">
        <v>1280</v>
      </c>
      <c r="R220" s="272" t="s">
        <v>3383</v>
      </c>
      <c r="S220" s="272"/>
      <c r="T220" s="272">
        <v>1</v>
      </c>
      <c r="U220" s="272" t="s">
        <v>4880</v>
      </c>
      <c r="V220" s="273">
        <v>10</v>
      </c>
      <c r="W220" s="273"/>
      <c r="X220" s="272" t="s">
        <v>4881</v>
      </c>
      <c r="Y220" s="333" t="s">
        <v>5055</v>
      </c>
      <c r="Z220" s="334" t="s">
        <v>5056</v>
      </c>
      <c r="AA220" s="272" t="s">
        <v>4884</v>
      </c>
      <c r="AB220" s="272"/>
      <c r="AC220" s="289">
        <v>1</v>
      </c>
      <c r="AD220" s="289">
        <v>1</v>
      </c>
      <c r="AE220" s="289"/>
      <c r="AF220" s="272"/>
      <c r="AG220" s="272"/>
    </row>
    <row r="221" spans="1:33" s="258" customFormat="1" x14ac:dyDescent="0.15">
      <c r="A221" s="271">
        <v>95109030</v>
      </c>
      <c r="B221" s="272" t="s">
        <v>5059</v>
      </c>
      <c r="C221" s="272" t="s">
        <v>5044</v>
      </c>
      <c r="D221" s="272">
        <v>5081</v>
      </c>
      <c r="E221" s="272" t="s">
        <v>4876</v>
      </c>
      <c r="F221" s="272" t="s">
        <v>4877</v>
      </c>
      <c r="G221" s="269">
        <v>7</v>
      </c>
      <c r="H221" s="273">
        <v>0</v>
      </c>
      <c r="I221" s="283">
        <v>34</v>
      </c>
      <c r="J221" s="284" t="s">
        <v>5053</v>
      </c>
      <c r="K221" s="285" t="s">
        <v>5054</v>
      </c>
      <c r="L221" s="272" t="s">
        <v>4889</v>
      </c>
      <c r="M221" s="272">
        <v>1</v>
      </c>
      <c r="N221" s="272" t="b">
        <v>1</v>
      </c>
      <c r="O221" s="272">
        <v>77</v>
      </c>
      <c r="P221" s="281">
        <v>1155</v>
      </c>
      <c r="Q221" s="281">
        <v>1540</v>
      </c>
      <c r="R221" s="272" t="s">
        <v>3383</v>
      </c>
      <c r="S221" s="272"/>
      <c r="T221" s="272">
        <v>1</v>
      </c>
      <c r="U221" s="272" t="s">
        <v>4880</v>
      </c>
      <c r="V221" s="273">
        <v>10</v>
      </c>
      <c r="W221" s="273"/>
      <c r="X221" s="272" t="s">
        <v>4881</v>
      </c>
      <c r="Y221" s="333" t="s">
        <v>5055</v>
      </c>
      <c r="Z221" s="334" t="s">
        <v>5056</v>
      </c>
      <c r="AA221" s="272" t="s">
        <v>4884</v>
      </c>
      <c r="AB221" s="272"/>
      <c r="AC221" s="289">
        <v>1</v>
      </c>
      <c r="AD221" s="289">
        <v>1</v>
      </c>
      <c r="AE221" s="289"/>
      <c r="AF221" s="272"/>
      <c r="AG221" s="272"/>
    </row>
    <row r="222" spans="1:33" s="145" customFormat="1" x14ac:dyDescent="0.15">
      <c r="A222" s="267">
        <v>95110011</v>
      </c>
      <c r="B222" s="268" t="s">
        <v>5060</v>
      </c>
      <c r="C222" s="293" t="s">
        <v>887</v>
      </c>
      <c r="D222" s="293">
        <v>5011</v>
      </c>
      <c r="E222" s="268" t="s">
        <v>4876</v>
      </c>
      <c r="F222" s="268" t="s">
        <v>4877</v>
      </c>
      <c r="G222" s="269">
        <v>1</v>
      </c>
      <c r="H222" s="269">
        <v>0</v>
      </c>
      <c r="I222" s="267">
        <v>34</v>
      </c>
      <c r="J222" s="282" t="s">
        <v>5061</v>
      </c>
      <c r="K222" s="279" t="s">
        <v>5062</v>
      </c>
      <c r="L222" s="279"/>
      <c r="M222" s="268">
        <v>1</v>
      </c>
      <c r="N222" s="268" t="b">
        <v>1</v>
      </c>
      <c r="O222" s="268">
        <v>2</v>
      </c>
      <c r="P222" s="281">
        <v>30</v>
      </c>
      <c r="Q222" s="281">
        <v>40</v>
      </c>
      <c r="R222" s="268" t="s">
        <v>3383</v>
      </c>
      <c r="S222" s="268"/>
      <c r="T222" s="268">
        <v>1</v>
      </c>
      <c r="U222" s="268" t="s">
        <v>4880</v>
      </c>
      <c r="V222" s="269">
        <v>1</v>
      </c>
      <c r="W222" s="269"/>
      <c r="X222" s="268" t="s">
        <v>4881</v>
      </c>
      <c r="Y222" s="269" t="s">
        <v>5063</v>
      </c>
      <c r="Z222" s="332" t="s">
        <v>5064</v>
      </c>
      <c r="AA222" s="268" t="s">
        <v>4884</v>
      </c>
      <c r="AB222" s="268"/>
      <c r="AC222" s="287">
        <v>1</v>
      </c>
      <c r="AD222" s="287">
        <v>1</v>
      </c>
      <c r="AE222" s="268"/>
      <c r="AF222" s="268"/>
      <c r="AG222" s="290"/>
    </row>
    <row r="223" spans="1:33" s="145" customFormat="1" x14ac:dyDescent="0.15">
      <c r="A223" s="267">
        <v>95110012</v>
      </c>
      <c r="B223" s="268" t="s">
        <v>5060</v>
      </c>
      <c r="C223" s="293" t="s">
        <v>887</v>
      </c>
      <c r="D223" s="293">
        <v>5011</v>
      </c>
      <c r="E223" s="268" t="s">
        <v>4876</v>
      </c>
      <c r="F223" s="268" t="s">
        <v>4877</v>
      </c>
      <c r="G223" s="269">
        <v>2</v>
      </c>
      <c r="H223" s="269">
        <v>0</v>
      </c>
      <c r="I223" s="267">
        <v>34</v>
      </c>
      <c r="J223" s="282" t="s">
        <v>5061</v>
      </c>
      <c r="K223" s="279" t="s">
        <v>5062</v>
      </c>
      <c r="L223" s="279"/>
      <c r="M223" s="268">
        <v>1</v>
      </c>
      <c r="N223" s="268" t="b">
        <v>1</v>
      </c>
      <c r="O223" s="268">
        <v>5</v>
      </c>
      <c r="P223" s="281">
        <v>75</v>
      </c>
      <c r="Q223" s="281">
        <v>100</v>
      </c>
      <c r="R223" s="268" t="s">
        <v>3383</v>
      </c>
      <c r="S223" s="268"/>
      <c r="T223" s="268">
        <v>1</v>
      </c>
      <c r="U223" s="268" t="s">
        <v>4880</v>
      </c>
      <c r="V223" s="269">
        <v>2</v>
      </c>
      <c r="W223" s="269"/>
      <c r="X223" s="268" t="s">
        <v>4881</v>
      </c>
      <c r="Y223" s="269" t="s">
        <v>5063</v>
      </c>
      <c r="Z223" s="332" t="s">
        <v>5064</v>
      </c>
      <c r="AA223" s="268" t="s">
        <v>4884</v>
      </c>
      <c r="AB223" s="268"/>
      <c r="AC223" s="287">
        <v>1</v>
      </c>
      <c r="AD223" s="287">
        <v>1</v>
      </c>
      <c r="AE223" s="268"/>
      <c r="AF223" s="268"/>
      <c r="AG223" s="290"/>
    </row>
    <row r="224" spans="1:33" s="145" customFormat="1" x14ac:dyDescent="0.15">
      <c r="A224" s="267">
        <v>95110013</v>
      </c>
      <c r="B224" s="268" t="s">
        <v>5060</v>
      </c>
      <c r="C224" s="293" t="s">
        <v>887</v>
      </c>
      <c r="D224" s="293">
        <v>5011</v>
      </c>
      <c r="E224" s="268" t="s">
        <v>4876</v>
      </c>
      <c r="F224" s="268" t="s">
        <v>4877</v>
      </c>
      <c r="G224" s="269">
        <v>3</v>
      </c>
      <c r="H224" s="269">
        <v>0</v>
      </c>
      <c r="I224" s="267">
        <v>34</v>
      </c>
      <c r="J224" s="282" t="s">
        <v>5061</v>
      </c>
      <c r="K224" s="279" t="s">
        <v>5062</v>
      </c>
      <c r="L224" s="279"/>
      <c r="M224" s="268">
        <v>1</v>
      </c>
      <c r="N224" s="268" t="b">
        <v>1</v>
      </c>
      <c r="O224" s="268">
        <v>7</v>
      </c>
      <c r="P224" s="281">
        <v>105</v>
      </c>
      <c r="Q224" s="281">
        <v>140</v>
      </c>
      <c r="R224" s="268" t="s">
        <v>3383</v>
      </c>
      <c r="S224" s="268"/>
      <c r="T224" s="268">
        <v>1</v>
      </c>
      <c r="U224" s="268" t="s">
        <v>4880</v>
      </c>
      <c r="V224" s="269">
        <v>3</v>
      </c>
      <c r="W224" s="269"/>
      <c r="X224" s="268" t="s">
        <v>4881</v>
      </c>
      <c r="Y224" s="269" t="s">
        <v>5063</v>
      </c>
      <c r="Z224" s="332" t="s">
        <v>5064</v>
      </c>
      <c r="AA224" s="268" t="s">
        <v>4884</v>
      </c>
      <c r="AB224" s="268"/>
      <c r="AC224" s="287">
        <v>1</v>
      </c>
      <c r="AD224" s="287">
        <v>1</v>
      </c>
      <c r="AE224" s="268"/>
      <c r="AF224" s="268"/>
      <c r="AG224" s="290"/>
    </row>
    <row r="225" spans="1:33" s="145" customFormat="1" x14ac:dyDescent="0.15">
      <c r="A225" s="267">
        <v>95110014</v>
      </c>
      <c r="B225" s="268" t="s">
        <v>5060</v>
      </c>
      <c r="C225" s="293" t="s">
        <v>887</v>
      </c>
      <c r="D225" s="293">
        <v>5011</v>
      </c>
      <c r="E225" s="268" t="s">
        <v>4876</v>
      </c>
      <c r="F225" s="268" t="s">
        <v>4877</v>
      </c>
      <c r="G225" s="269">
        <v>4</v>
      </c>
      <c r="H225" s="269">
        <v>0</v>
      </c>
      <c r="I225" s="267">
        <v>34</v>
      </c>
      <c r="J225" s="282" t="s">
        <v>5061</v>
      </c>
      <c r="K225" s="279" t="s">
        <v>5062</v>
      </c>
      <c r="L225" s="279"/>
      <c r="M225" s="268">
        <v>1</v>
      </c>
      <c r="N225" s="268" t="b">
        <v>1</v>
      </c>
      <c r="O225" s="268">
        <v>10</v>
      </c>
      <c r="P225" s="281">
        <v>150</v>
      </c>
      <c r="Q225" s="281">
        <v>200</v>
      </c>
      <c r="R225" s="268" t="s">
        <v>3383</v>
      </c>
      <c r="S225" s="268"/>
      <c r="T225" s="268">
        <v>1</v>
      </c>
      <c r="U225" s="268" t="s">
        <v>4880</v>
      </c>
      <c r="V225" s="269">
        <v>4</v>
      </c>
      <c r="W225" s="269"/>
      <c r="X225" s="268" t="s">
        <v>4881</v>
      </c>
      <c r="Y225" s="269" t="s">
        <v>5063</v>
      </c>
      <c r="Z225" s="332" t="s">
        <v>5064</v>
      </c>
      <c r="AA225" s="268" t="s">
        <v>4884</v>
      </c>
      <c r="AB225" s="268"/>
      <c r="AC225" s="287">
        <v>1</v>
      </c>
      <c r="AD225" s="287">
        <v>1</v>
      </c>
      <c r="AE225" s="268"/>
      <c r="AF225" s="268"/>
      <c r="AG225" s="290"/>
    </row>
    <row r="226" spans="1:33" s="145" customFormat="1" x14ac:dyDescent="0.15">
      <c r="A226" s="267">
        <v>95110015</v>
      </c>
      <c r="B226" s="268" t="s">
        <v>5060</v>
      </c>
      <c r="C226" s="293" t="s">
        <v>887</v>
      </c>
      <c r="D226" s="293">
        <v>5011</v>
      </c>
      <c r="E226" s="268" t="s">
        <v>4876</v>
      </c>
      <c r="F226" s="268" t="s">
        <v>4877</v>
      </c>
      <c r="G226" s="269">
        <v>5</v>
      </c>
      <c r="H226" s="269">
        <v>0</v>
      </c>
      <c r="I226" s="267">
        <v>34</v>
      </c>
      <c r="J226" s="282" t="s">
        <v>5061</v>
      </c>
      <c r="K226" s="279" t="s">
        <v>5062</v>
      </c>
      <c r="L226" s="279"/>
      <c r="M226" s="268">
        <v>1</v>
      </c>
      <c r="N226" s="268" t="b">
        <v>1</v>
      </c>
      <c r="O226" s="268">
        <v>12</v>
      </c>
      <c r="P226" s="281">
        <v>180</v>
      </c>
      <c r="Q226" s="281">
        <v>240</v>
      </c>
      <c r="R226" s="268" t="s">
        <v>3383</v>
      </c>
      <c r="S226" s="268"/>
      <c r="T226" s="268">
        <v>1</v>
      </c>
      <c r="U226" s="268" t="s">
        <v>4880</v>
      </c>
      <c r="V226" s="269">
        <v>5</v>
      </c>
      <c r="W226" s="269"/>
      <c r="X226" s="268" t="s">
        <v>4881</v>
      </c>
      <c r="Y226" s="269" t="s">
        <v>5063</v>
      </c>
      <c r="Z226" s="332" t="s">
        <v>5064</v>
      </c>
      <c r="AA226" s="268" t="s">
        <v>4884</v>
      </c>
      <c r="AB226" s="268"/>
      <c r="AC226" s="287">
        <v>1</v>
      </c>
      <c r="AD226" s="287">
        <v>1</v>
      </c>
      <c r="AE226" s="268"/>
      <c r="AF226" s="268"/>
      <c r="AG226" s="290"/>
    </row>
    <row r="227" spans="1:33" s="145" customFormat="1" x14ac:dyDescent="0.15">
      <c r="A227" s="270">
        <v>95110016</v>
      </c>
      <c r="B227" s="268" t="s">
        <v>5060</v>
      </c>
      <c r="C227" s="268" t="s">
        <v>887</v>
      </c>
      <c r="D227" s="268">
        <v>5011</v>
      </c>
      <c r="E227" s="268" t="s">
        <v>4876</v>
      </c>
      <c r="F227" s="268" t="s">
        <v>4877</v>
      </c>
      <c r="G227" s="269">
        <v>6</v>
      </c>
      <c r="H227" s="269">
        <v>0</v>
      </c>
      <c r="I227" s="267">
        <v>34</v>
      </c>
      <c r="J227" s="282" t="s">
        <v>5061</v>
      </c>
      <c r="K227" s="279" t="s">
        <v>5062</v>
      </c>
      <c r="L227" s="279"/>
      <c r="M227" s="268">
        <v>1</v>
      </c>
      <c r="N227" s="268" t="b">
        <v>1</v>
      </c>
      <c r="O227" s="268">
        <v>25</v>
      </c>
      <c r="P227" s="281">
        <v>375</v>
      </c>
      <c r="Q227" s="281">
        <v>500</v>
      </c>
      <c r="R227" s="268" t="s">
        <v>3383</v>
      </c>
      <c r="S227" s="268"/>
      <c r="T227" s="268">
        <v>1</v>
      </c>
      <c r="U227" s="268" t="s">
        <v>4880</v>
      </c>
      <c r="V227" s="269">
        <v>7</v>
      </c>
      <c r="W227" s="269"/>
      <c r="X227" s="268" t="s">
        <v>4881</v>
      </c>
      <c r="Y227" s="331" t="s">
        <v>5063</v>
      </c>
      <c r="Z227" s="332" t="s">
        <v>5064</v>
      </c>
      <c r="AA227" s="268" t="s">
        <v>4884</v>
      </c>
      <c r="AB227" s="268"/>
      <c r="AC227" s="287">
        <v>1</v>
      </c>
      <c r="AD227" s="287">
        <v>1</v>
      </c>
      <c r="AE227" s="268"/>
      <c r="AF227" s="268"/>
      <c r="AG227" s="290"/>
    </row>
    <row r="228" spans="1:33" s="145" customFormat="1" x14ac:dyDescent="0.15">
      <c r="A228" s="270">
        <v>95110017</v>
      </c>
      <c r="B228" s="268" t="s">
        <v>5060</v>
      </c>
      <c r="C228" s="268" t="s">
        <v>887</v>
      </c>
      <c r="D228" s="268">
        <v>5011</v>
      </c>
      <c r="E228" s="268" t="s">
        <v>4876</v>
      </c>
      <c r="F228" s="268" t="s">
        <v>4877</v>
      </c>
      <c r="G228" s="269">
        <v>7</v>
      </c>
      <c r="H228" s="269">
        <v>0</v>
      </c>
      <c r="I228" s="267">
        <v>34</v>
      </c>
      <c r="J228" s="282" t="s">
        <v>5061</v>
      </c>
      <c r="K228" s="279" t="s">
        <v>5062</v>
      </c>
      <c r="L228" s="279"/>
      <c r="M228" s="268">
        <v>1</v>
      </c>
      <c r="N228" s="268" t="b">
        <v>1</v>
      </c>
      <c r="O228" s="268">
        <v>38</v>
      </c>
      <c r="P228" s="281">
        <v>570</v>
      </c>
      <c r="Q228" s="281">
        <v>760</v>
      </c>
      <c r="R228" s="268" t="s">
        <v>3383</v>
      </c>
      <c r="S228" s="268"/>
      <c r="T228" s="268">
        <v>1</v>
      </c>
      <c r="U228" s="268" t="s">
        <v>4880</v>
      </c>
      <c r="V228" s="269">
        <v>10</v>
      </c>
      <c r="W228" s="269"/>
      <c r="X228" s="268" t="s">
        <v>4881</v>
      </c>
      <c r="Y228" s="331" t="s">
        <v>5063</v>
      </c>
      <c r="Z228" s="332" t="s">
        <v>5064</v>
      </c>
      <c r="AA228" s="268" t="s">
        <v>4884</v>
      </c>
      <c r="AB228" s="268"/>
      <c r="AC228" s="287">
        <v>1</v>
      </c>
      <c r="AD228" s="287">
        <v>1</v>
      </c>
      <c r="AE228" s="268"/>
      <c r="AF228" s="268"/>
      <c r="AG228" s="290"/>
    </row>
    <row r="229" spans="1:33" s="258" customFormat="1" x14ac:dyDescent="0.15">
      <c r="A229" s="271">
        <v>95110018</v>
      </c>
      <c r="B229" s="272" t="s">
        <v>5065</v>
      </c>
      <c r="C229" s="272" t="s">
        <v>887</v>
      </c>
      <c r="D229" s="272">
        <v>5081</v>
      </c>
      <c r="E229" s="272" t="s">
        <v>4876</v>
      </c>
      <c r="F229" s="272" t="s">
        <v>4877</v>
      </c>
      <c r="G229" s="269">
        <v>6</v>
      </c>
      <c r="H229" s="273">
        <v>1</v>
      </c>
      <c r="I229" s="283">
        <v>34</v>
      </c>
      <c r="J229" s="284" t="s">
        <v>5061</v>
      </c>
      <c r="K229" s="285" t="s">
        <v>5062</v>
      </c>
      <c r="L229" s="272" t="s">
        <v>44</v>
      </c>
      <c r="M229" s="272">
        <v>1</v>
      </c>
      <c r="N229" s="272" t="b">
        <v>1</v>
      </c>
      <c r="O229" s="272">
        <v>51</v>
      </c>
      <c r="P229" s="281">
        <v>765</v>
      </c>
      <c r="Q229" s="281">
        <v>1020</v>
      </c>
      <c r="R229" s="272" t="s">
        <v>3383</v>
      </c>
      <c r="S229" s="272"/>
      <c r="T229" s="272">
        <v>1</v>
      </c>
      <c r="U229" s="272" t="s">
        <v>4880</v>
      </c>
      <c r="V229" s="273">
        <v>10</v>
      </c>
      <c r="W229" s="273"/>
      <c r="X229" s="272" t="s">
        <v>4881</v>
      </c>
      <c r="Y229" s="333" t="s">
        <v>5063</v>
      </c>
      <c r="Z229" s="334" t="s">
        <v>5064</v>
      </c>
      <c r="AA229" s="272" t="s">
        <v>4884</v>
      </c>
      <c r="AB229" s="272"/>
      <c r="AC229" s="289">
        <v>1</v>
      </c>
      <c r="AD229" s="289">
        <v>1</v>
      </c>
      <c r="AE229" s="289"/>
      <c r="AF229" s="272"/>
      <c r="AG229" s="272"/>
    </row>
    <row r="230" spans="1:33" s="258" customFormat="1" x14ac:dyDescent="0.15">
      <c r="A230" s="271">
        <v>95110019</v>
      </c>
      <c r="B230" s="272" t="s">
        <v>5066</v>
      </c>
      <c r="C230" s="272" t="s">
        <v>887</v>
      </c>
      <c r="D230" s="272">
        <v>5081</v>
      </c>
      <c r="E230" s="272" t="s">
        <v>4876</v>
      </c>
      <c r="F230" s="272" t="s">
        <v>4877</v>
      </c>
      <c r="G230" s="269">
        <v>6</v>
      </c>
      <c r="H230" s="273">
        <v>1</v>
      </c>
      <c r="I230" s="283">
        <v>34</v>
      </c>
      <c r="J230" s="284" t="s">
        <v>5061</v>
      </c>
      <c r="K230" s="285" t="s">
        <v>5062</v>
      </c>
      <c r="L230" s="272" t="s">
        <v>4887</v>
      </c>
      <c r="M230" s="272">
        <v>1</v>
      </c>
      <c r="N230" s="272" t="b">
        <v>1</v>
      </c>
      <c r="O230" s="272">
        <v>64</v>
      </c>
      <c r="P230" s="281">
        <v>960</v>
      </c>
      <c r="Q230" s="281">
        <v>1280</v>
      </c>
      <c r="R230" s="272" t="s">
        <v>3383</v>
      </c>
      <c r="S230" s="272"/>
      <c r="T230" s="272">
        <v>1</v>
      </c>
      <c r="U230" s="272" t="s">
        <v>4880</v>
      </c>
      <c r="V230" s="273">
        <v>10</v>
      </c>
      <c r="W230" s="273"/>
      <c r="X230" s="272" t="s">
        <v>4881</v>
      </c>
      <c r="Y230" s="333" t="s">
        <v>5063</v>
      </c>
      <c r="Z230" s="334" t="s">
        <v>5064</v>
      </c>
      <c r="AA230" s="272" t="s">
        <v>4884</v>
      </c>
      <c r="AB230" s="272"/>
      <c r="AC230" s="289">
        <v>1</v>
      </c>
      <c r="AD230" s="289">
        <v>1</v>
      </c>
      <c r="AE230" s="289"/>
      <c r="AF230" s="272"/>
      <c r="AG230" s="272"/>
    </row>
    <row r="231" spans="1:33" s="258" customFormat="1" x14ac:dyDescent="0.15">
      <c r="A231" s="271">
        <v>95110020</v>
      </c>
      <c r="B231" s="272" t="s">
        <v>5067</v>
      </c>
      <c r="C231" s="272" t="s">
        <v>887</v>
      </c>
      <c r="D231" s="272">
        <v>5081</v>
      </c>
      <c r="E231" s="272" t="s">
        <v>4876</v>
      </c>
      <c r="F231" s="272" t="s">
        <v>4877</v>
      </c>
      <c r="G231" s="269">
        <v>7</v>
      </c>
      <c r="H231" s="273">
        <v>0</v>
      </c>
      <c r="I231" s="283">
        <v>34</v>
      </c>
      <c r="J231" s="284" t="s">
        <v>5061</v>
      </c>
      <c r="K231" s="285" t="s">
        <v>5062</v>
      </c>
      <c r="L231" s="272" t="s">
        <v>4889</v>
      </c>
      <c r="M231" s="272">
        <v>1</v>
      </c>
      <c r="N231" s="272" t="b">
        <v>1</v>
      </c>
      <c r="O231" s="272">
        <v>77</v>
      </c>
      <c r="P231" s="281">
        <v>1155</v>
      </c>
      <c r="Q231" s="281">
        <v>1540</v>
      </c>
      <c r="R231" s="272" t="s">
        <v>3383</v>
      </c>
      <c r="S231" s="272"/>
      <c r="T231" s="272">
        <v>1</v>
      </c>
      <c r="U231" s="272" t="s">
        <v>4880</v>
      </c>
      <c r="V231" s="273">
        <v>10</v>
      </c>
      <c r="W231" s="273"/>
      <c r="X231" s="272" t="s">
        <v>4881</v>
      </c>
      <c r="Y231" s="333" t="s">
        <v>5063</v>
      </c>
      <c r="Z231" s="334" t="s">
        <v>5064</v>
      </c>
      <c r="AA231" s="272" t="s">
        <v>4884</v>
      </c>
      <c r="AB231" s="272"/>
      <c r="AC231" s="289">
        <v>1</v>
      </c>
      <c r="AD231" s="289">
        <v>1</v>
      </c>
      <c r="AE231" s="289"/>
      <c r="AF231" s="272"/>
      <c r="AG231" s="272"/>
    </row>
    <row r="232" spans="1:33" s="145" customFormat="1" x14ac:dyDescent="0.15">
      <c r="A232" s="267">
        <v>95110021</v>
      </c>
      <c r="B232" s="268" t="s">
        <v>5068</v>
      </c>
      <c r="C232" s="293" t="s">
        <v>887</v>
      </c>
      <c r="D232" s="293">
        <v>5011</v>
      </c>
      <c r="E232" s="268" t="s">
        <v>4876</v>
      </c>
      <c r="F232" s="268" t="s">
        <v>4877</v>
      </c>
      <c r="G232" s="269">
        <v>1</v>
      </c>
      <c r="H232" s="269">
        <v>0</v>
      </c>
      <c r="I232" s="267">
        <v>34</v>
      </c>
      <c r="J232" s="282" t="s">
        <v>5069</v>
      </c>
      <c r="K232" s="279" t="s">
        <v>5070</v>
      </c>
      <c r="L232" s="279"/>
      <c r="M232" s="268">
        <v>1</v>
      </c>
      <c r="N232" s="268" t="b">
        <v>1</v>
      </c>
      <c r="O232" s="268">
        <v>2</v>
      </c>
      <c r="P232" s="281">
        <v>30</v>
      </c>
      <c r="Q232" s="281">
        <v>40</v>
      </c>
      <c r="R232" s="268" t="s">
        <v>3383</v>
      </c>
      <c r="S232" s="268"/>
      <c r="T232" s="268">
        <v>1</v>
      </c>
      <c r="U232" s="268" t="s">
        <v>4880</v>
      </c>
      <c r="V232" s="269">
        <v>1</v>
      </c>
      <c r="W232" s="269"/>
      <c r="X232" s="268" t="s">
        <v>4881</v>
      </c>
      <c r="Y232" s="269" t="s">
        <v>5071</v>
      </c>
      <c r="Z232" s="332" t="s">
        <v>5072</v>
      </c>
      <c r="AA232" s="268" t="s">
        <v>4884</v>
      </c>
      <c r="AB232" s="268"/>
      <c r="AC232" s="287">
        <v>1</v>
      </c>
      <c r="AD232" s="287">
        <v>1</v>
      </c>
      <c r="AE232" s="268"/>
      <c r="AF232" s="268"/>
      <c r="AG232" s="290"/>
    </row>
    <row r="233" spans="1:33" s="145" customFormat="1" x14ac:dyDescent="0.15">
      <c r="A233" s="267">
        <v>95110022</v>
      </c>
      <c r="B233" s="268" t="s">
        <v>5068</v>
      </c>
      <c r="C233" s="293" t="s">
        <v>887</v>
      </c>
      <c r="D233" s="293">
        <v>5011</v>
      </c>
      <c r="E233" s="268" t="s">
        <v>4876</v>
      </c>
      <c r="F233" s="268" t="s">
        <v>4877</v>
      </c>
      <c r="G233" s="269">
        <v>2</v>
      </c>
      <c r="H233" s="269">
        <v>0</v>
      </c>
      <c r="I233" s="267">
        <v>34</v>
      </c>
      <c r="J233" s="282" t="s">
        <v>5069</v>
      </c>
      <c r="K233" s="279" t="s">
        <v>5070</v>
      </c>
      <c r="L233" s="279"/>
      <c r="M233" s="268">
        <v>1</v>
      </c>
      <c r="N233" s="268" t="b">
        <v>1</v>
      </c>
      <c r="O233" s="268">
        <v>5</v>
      </c>
      <c r="P233" s="281">
        <v>75</v>
      </c>
      <c r="Q233" s="281">
        <v>100</v>
      </c>
      <c r="R233" s="268" t="s">
        <v>3383</v>
      </c>
      <c r="S233" s="268"/>
      <c r="T233" s="268">
        <v>1</v>
      </c>
      <c r="U233" s="268" t="s">
        <v>4880</v>
      </c>
      <c r="V233" s="269">
        <v>2</v>
      </c>
      <c r="W233" s="269"/>
      <c r="X233" s="268" t="s">
        <v>4881</v>
      </c>
      <c r="Y233" s="269" t="s">
        <v>5071</v>
      </c>
      <c r="Z233" s="332" t="s">
        <v>5072</v>
      </c>
      <c r="AA233" s="268" t="s">
        <v>4884</v>
      </c>
      <c r="AB233" s="268"/>
      <c r="AC233" s="287">
        <v>1</v>
      </c>
      <c r="AD233" s="287">
        <v>1</v>
      </c>
      <c r="AE233" s="268"/>
      <c r="AF233" s="268"/>
      <c r="AG233" s="290"/>
    </row>
    <row r="234" spans="1:33" s="145" customFormat="1" x14ac:dyDescent="0.15">
      <c r="A234" s="267">
        <v>95110023</v>
      </c>
      <c r="B234" s="268" t="s">
        <v>5068</v>
      </c>
      <c r="C234" s="293" t="s">
        <v>887</v>
      </c>
      <c r="D234" s="293">
        <v>5011</v>
      </c>
      <c r="E234" s="268" t="s">
        <v>4876</v>
      </c>
      <c r="F234" s="268" t="s">
        <v>4877</v>
      </c>
      <c r="G234" s="269">
        <v>3</v>
      </c>
      <c r="H234" s="269">
        <v>0</v>
      </c>
      <c r="I234" s="267">
        <v>34</v>
      </c>
      <c r="J234" s="282" t="s">
        <v>5069</v>
      </c>
      <c r="K234" s="279" t="s">
        <v>5070</v>
      </c>
      <c r="L234" s="279"/>
      <c r="M234" s="268">
        <v>1</v>
      </c>
      <c r="N234" s="268" t="b">
        <v>1</v>
      </c>
      <c r="O234" s="268">
        <v>7</v>
      </c>
      <c r="P234" s="281">
        <v>105</v>
      </c>
      <c r="Q234" s="281">
        <v>140</v>
      </c>
      <c r="R234" s="268" t="s">
        <v>3383</v>
      </c>
      <c r="S234" s="268"/>
      <c r="T234" s="268">
        <v>1</v>
      </c>
      <c r="U234" s="268" t="s">
        <v>4880</v>
      </c>
      <c r="V234" s="269">
        <v>3</v>
      </c>
      <c r="W234" s="269"/>
      <c r="X234" s="268" t="s">
        <v>4881</v>
      </c>
      <c r="Y234" s="269" t="s">
        <v>5071</v>
      </c>
      <c r="Z234" s="332" t="s">
        <v>5072</v>
      </c>
      <c r="AA234" s="268" t="s">
        <v>4884</v>
      </c>
      <c r="AB234" s="268"/>
      <c r="AC234" s="287">
        <v>1</v>
      </c>
      <c r="AD234" s="287">
        <v>1</v>
      </c>
      <c r="AE234" s="268"/>
      <c r="AF234" s="268"/>
      <c r="AG234" s="290"/>
    </row>
    <row r="235" spans="1:33" s="145" customFormat="1" x14ac:dyDescent="0.15">
      <c r="A235" s="267">
        <v>95110024</v>
      </c>
      <c r="B235" s="268" t="s">
        <v>5068</v>
      </c>
      <c r="C235" s="293" t="s">
        <v>887</v>
      </c>
      <c r="D235" s="293">
        <v>5011</v>
      </c>
      <c r="E235" s="268" t="s">
        <v>4876</v>
      </c>
      <c r="F235" s="268" t="s">
        <v>4877</v>
      </c>
      <c r="G235" s="269">
        <v>4</v>
      </c>
      <c r="H235" s="269">
        <v>0</v>
      </c>
      <c r="I235" s="267">
        <v>34</v>
      </c>
      <c r="J235" s="282" t="s">
        <v>5069</v>
      </c>
      <c r="K235" s="279" t="s">
        <v>5070</v>
      </c>
      <c r="L235" s="279"/>
      <c r="M235" s="268">
        <v>1</v>
      </c>
      <c r="N235" s="268" t="b">
        <v>1</v>
      </c>
      <c r="O235" s="268">
        <v>10</v>
      </c>
      <c r="P235" s="281">
        <v>150</v>
      </c>
      <c r="Q235" s="281">
        <v>200</v>
      </c>
      <c r="R235" s="268" t="s">
        <v>3383</v>
      </c>
      <c r="S235" s="268"/>
      <c r="T235" s="268">
        <v>1</v>
      </c>
      <c r="U235" s="268" t="s">
        <v>4880</v>
      </c>
      <c r="V235" s="269">
        <v>4</v>
      </c>
      <c r="W235" s="269"/>
      <c r="X235" s="268" t="s">
        <v>4881</v>
      </c>
      <c r="Y235" s="269" t="s">
        <v>5071</v>
      </c>
      <c r="Z235" s="332" t="s">
        <v>5072</v>
      </c>
      <c r="AA235" s="268" t="s">
        <v>4884</v>
      </c>
      <c r="AB235" s="268"/>
      <c r="AC235" s="287">
        <v>1</v>
      </c>
      <c r="AD235" s="287">
        <v>1</v>
      </c>
      <c r="AE235" s="268"/>
      <c r="AF235" s="268"/>
      <c r="AG235" s="290"/>
    </row>
    <row r="236" spans="1:33" s="145" customFormat="1" x14ac:dyDescent="0.15">
      <c r="A236" s="267">
        <v>95110025</v>
      </c>
      <c r="B236" s="268" t="s">
        <v>5068</v>
      </c>
      <c r="C236" s="293" t="s">
        <v>887</v>
      </c>
      <c r="D236" s="293">
        <v>5011</v>
      </c>
      <c r="E236" s="268" t="s">
        <v>4876</v>
      </c>
      <c r="F236" s="268" t="s">
        <v>4877</v>
      </c>
      <c r="G236" s="269">
        <v>5</v>
      </c>
      <c r="H236" s="269">
        <v>0</v>
      </c>
      <c r="I236" s="267">
        <v>34</v>
      </c>
      <c r="J236" s="282" t="s">
        <v>5069</v>
      </c>
      <c r="K236" s="279" t="s">
        <v>5070</v>
      </c>
      <c r="L236" s="279"/>
      <c r="M236" s="268">
        <v>1</v>
      </c>
      <c r="N236" s="268" t="b">
        <v>1</v>
      </c>
      <c r="O236" s="268">
        <v>12</v>
      </c>
      <c r="P236" s="281">
        <v>180</v>
      </c>
      <c r="Q236" s="281">
        <v>240</v>
      </c>
      <c r="R236" s="268" t="s">
        <v>3383</v>
      </c>
      <c r="S236" s="268"/>
      <c r="T236" s="268">
        <v>1</v>
      </c>
      <c r="U236" s="268" t="s">
        <v>4880</v>
      </c>
      <c r="V236" s="269">
        <v>5</v>
      </c>
      <c r="W236" s="269"/>
      <c r="X236" s="268" t="s">
        <v>4881</v>
      </c>
      <c r="Y236" s="269" t="s">
        <v>5071</v>
      </c>
      <c r="Z236" s="332" t="s">
        <v>5072</v>
      </c>
      <c r="AA236" s="268" t="s">
        <v>4884</v>
      </c>
      <c r="AB236" s="268"/>
      <c r="AC236" s="287">
        <v>1</v>
      </c>
      <c r="AD236" s="287">
        <v>1</v>
      </c>
      <c r="AE236" s="268"/>
      <c r="AF236" s="268"/>
      <c r="AG236" s="290"/>
    </row>
    <row r="237" spans="1:33" s="145" customFormat="1" x14ac:dyDescent="0.15">
      <c r="A237" s="270">
        <v>95110026</v>
      </c>
      <c r="B237" s="268" t="s">
        <v>5068</v>
      </c>
      <c r="C237" s="268" t="s">
        <v>887</v>
      </c>
      <c r="D237" s="268">
        <v>5011</v>
      </c>
      <c r="E237" s="268" t="s">
        <v>4876</v>
      </c>
      <c r="F237" s="268" t="s">
        <v>4877</v>
      </c>
      <c r="G237" s="269">
        <v>6</v>
      </c>
      <c r="H237" s="269">
        <v>0</v>
      </c>
      <c r="I237" s="267">
        <v>34</v>
      </c>
      <c r="J237" s="282" t="s">
        <v>5069</v>
      </c>
      <c r="K237" s="279" t="s">
        <v>5070</v>
      </c>
      <c r="L237" s="279"/>
      <c r="M237" s="268">
        <v>1</v>
      </c>
      <c r="N237" s="268" t="b">
        <v>1</v>
      </c>
      <c r="O237" s="268">
        <v>25</v>
      </c>
      <c r="P237" s="281">
        <v>375</v>
      </c>
      <c r="Q237" s="281">
        <v>500</v>
      </c>
      <c r="R237" s="268" t="s">
        <v>3383</v>
      </c>
      <c r="S237" s="268"/>
      <c r="T237" s="268">
        <v>1</v>
      </c>
      <c r="U237" s="268" t="s">
        <v>4880</v>
      </c>
      <c r="V237" s="269">
        <v>7</v>
      </c>
      <c r="W237" s="269"/>
      <c r="X237" s="268" t="s">
        <v>4881</v>
      </c>
      <c r="Y237" s="331" t="s">
        <v>5071</v>
      </c>
      <c r="Z237" s="332" t="s">
        <v>5072</v>
      </c>
      <c r="AA237" s="268" t="s">
        <v>4884</v>
      </c>
      <c r="AB237" s="268"/>
      <c r="AC237" s="287">
        <v>1</v>
      </c>
      <c r="AD237" s="287">
        <v>1</v>
      </c>
      <c r="AE237" s="268"/>
      <c r="AF237" s="268"/>
      <c r="AG237" s="290"/>
    </row>
    <row r="238" spans="1:33" s="145" customFormat="1" x14ac:dyDescent="0.15">
      <c r="A238" s="270">
        <v>95110027</v>
      </c>
      <c r="B238" s="268" t="s">
        <v>5068</v>
      </c>
      <c r="C238" s="268" t="s">
        <v>887</v>
      </c>
      <c r="D238" s="268">
        <v>5011</v>
      </c>
      <c r="E238" s="268" t="s">
        <v>4876</v>
      </c>
      <c r="F238" s="268" t="s">
        <v>4877</v>
      </c>
      <c r="G238" s="269">
        <v>7</v>
      </c>
      <c r="H238" s="269">
        <v>0</v>
      </c>
      <c r="I238" s="267">
        <v>34</v>
      </c>
      <c r="J238" s="282" t="s">
        <v>5069</v>
      </c>
      <c r="K238" s="279" t="s">
        <v>5070</v>
      </c>
      <c r="L238" s="279"/>
      <c r="M238" s="268">
        <v>1</v>
      </c>
      <c r="N238" s="268" t="b">
        <v>1</v>
      </c>
      <c r="O238" s="268">
        <v>38</v>
      </c>
      <c r="P238" s="281">
        <v>570</v>
      </c>
      <c r="Q238" s="281">
        <v>760</v>
      </c>
      <c r="R238" s="268" t="s">
        <v>3383</v>
      </c>
      <c r="S238" s="268"/>
      <c r="T238" s="268">
        <v>1</v>
      </c>
      <c r="U238" s="268" t="s">
        <v>4880</v>
      </c>
      <c r="V238" s="269">
        <v>10</v>
      </c>
      <c r="W238" s="269"/>
      <c r="X238" s="268" t="s">
        <v>4881</v>
      </c>
      <c r="Y238" s="331" t="s">
        <v>5071</v>
      </c>
      <c r="Z238" s="332" t="s">
        <v>5072</v>
      </c>
      <c r="AA238" s="268" t="s">
        <v>4884</v>
      </c>
      <c r="AB238" s="268"/>
      <c r="AC238" s="287">
        <v>1</v>
      </c>
      <c r="AD238" s="287">
        <v>1</v>
      </c>
      <c r="AE238" s="268"/>
      <c r="AF238" s="268"/>
      <c r="AG238" s="290"/>
    </row>
    <row r="239" spans="1:33" s="258" customFormat="1" x14ac:dyDescent="0.15">
      <c r="A239" s="271">
        <v>95110028</v>
      </c>
      <c r="B239" s="272" t="s">
        <v>5073</v>
      </c>
      <c r="C239" s="272" t="s">
        <v>887</v>
      </c>
      <c r="D239" s="272">
        <v>5081</v>
      </c>
      <c r="E239" s="272" t="s">
        <v>4876</v>
      </c>
      <c r="F239" s="272" t="s">
        <v>4877</v>
      </c>
      <c r="G239" s="269">
        <v>6</v>
      </c>
      <c r="H239" s="273">
        <v>1</v>
      </c>
      <c r="I239" s="283">
        <v>34</v>
      </c>
      <c r="J239" s="284" t="s">
        <v>5069</v>
      </c>
      <c r="K239" s="285" t="s">
        <v>5070</v>
      </c>
      <c r="L239" s="272" t="s">
        <v>44</v>
      </c>
      <c r="M239" s="272">
        <v>1</v>
      </c>
      <c r="N239" s="272" t="b">
        <v>1</v>
      </c>
      <c r="O239" s="272">
        <v>51</v>
      </c>
      <c r="P239" s="281">
        <v>765</v>
      </c>
      <c r="Q239" s="281">
        <v>1020</v>
      </c>
      <c r="R239" s="272" t="s">
        <v>3383</v>
      </c>
      <c r="S239" s="272"/>
      <c r="T239" s="272">
        <v>1</v>
      </c>
      <c r="U239" s="272" t="s">
        <v>4880</v>
      </c>
      <c r="V239" s="273">
        <v>10</v>
      </c>
      <c r="W239" s="273"/>
      <c r="X239" s="272" t="s">
        <v>4881</v>
      </c>
      <c r="Y239" s="333" t="s">
        <v>5071</v>
      </c>
      <c r="Z239" s="334" t="s">
        <v>5072</v>
      </c>
      <c r="AA239" s="272" t="s">
        <v>4884</v>
      </c>
      <c r="AB239" s="272"/>
      <c r="AC239" s="289">
        <v>1</v>
      </c>
      <c r="AD239" s="289">
        <v>1</v>
      </c>
      <c r="AE239" s="289"/>
      <c r="AF239" s="272"/>
      <c r="AG239" s="272"/>
    </row>
    <row r="240" spans="1:33" s="258" customFormat="1" x14ac:dyDescent="0.15">
      <c r="A240" s="271">
        <v>95110029</v>
      </c>
      <c r="B240" s="272" t="s">
        <v>5074</v>
      </c>
      <c r="C240" s="272" t="s">
        <v>887</v>
      </c>
      <c r="D240" s="272">
        <v>5081</v>
      </c>
      <c r="E240" s="272" t="s">
        <v>4876</v>
      </c>
      <c r="F240" s="272" t="s">
        <v>4877</v>
      </c>
      <c r="G240" s="269">
        <v>6</v>
      </c>
      <c r="H240" s="273">
        <v>1</v>
      </c>
      <c r="I240" s="283">
        <v>34</v>
      </c>
      <c r="J240" s="284" t="s">
        <v>5069</v>
      </c>
      <c r="K240" s="285" t="s">
        <v>5070</v>
      </c>
      <c r="L240" s="272" t="s">
        <v>4887</v>
      </c>
      <c r="M240" s="272">
        <v>1</v>
      </c>
      <c r="N240" s="272" t="b">
        <v>1</v>
      </c>
      <c r="O240" s="272">
        <v>64</v>
      </c>
      <c r="P240" s="281">
        <v>960</v>
      </c>
      <c r="Q240" s="281">
        <v>1280</v>
      </c>
      <c r="R240" s="272" t="s">
        <v>3383</v>
      </c>
      <c r="S240" s="272"/>
      <c r="T240" s="272">
        <v>1</v>
      </c>
      <c r="U240" s="272" t="s">
        <v>4880</v>
      </c>
      <c r="V240" s="273">
        <v>10</v>
      </c>
      <c r="W240" s="273"/>
      <c r="X240" s="272" t="s">
        <v>4881</v>
      </c>
      <c r="Y240" s="333" t="s">
        <v>5071</v>
      </c>
      <c r="Z240" s="334" t="s">
        <v>5072</v>
      </c>
      <c r="AA240" s="272" t="s">
        <v>4884</v>
      </c>
      <c r="AB240" s="272"/>
      <c r="AC240" s="289">
        <v>1</v>
      </c>
      <c r="AD240" s="289">
        <v>1</v>
      </c>
      <c r="AE240" s="289"/>
      <c r="AF240" s="272"/>
      <c r="AG240" s="272"/>
    </row>
    <row r="241" spans="1:33" s="258" customFormat="1" x14ac:dyDescent="0.15">
      <c r="A241" s="271">
        <v>95110030</v>
      </c>
      <c r="B241" s="272" t="s">
        <v>5075</v>
      </c>
      <c r="C241" s="272" t="s">
        <v>887</v>
      </c>
      <c r="D241" s="272">
        <v>5081</v>
      </c>
      <c r="E241" s="272" t="s">
        <v>4876</v>
      </c>
      <c r="F241" s="272" t="s">
        <v>4877</v>
      </c>
      <c r="G241" s="269">
        <v>7</v>
      </c>
      <c r="H241" s="273">
        <v>0</v>
      </c>
      <c r="I241" s="283">
        <v>34</v>
      </c>
      <c r="J241" s="284" t="s">
        <v>5069</v>
      </c>
      <c r="K241" s="285" t="s">
        <v>5070</v>
      </c>
      <c r="L241" s="272" t="s">
        <v>4889</v>
      </c>
      <c r="M241" s="272">
        <v>1</v>
      </c>
      <c r="N241" s="272" t="b">
        <v>1</v>
      </c>
      <c r="O241" s="272">
        <v>77</v>
      </c>
      <c r="P241" s="281">
        <v>1155</v>
      </c>
      <c r="Q241" s="281">
        <v>1540</v>
      </c>
      <c r="R241" s="272" t="s">
        <v>3383</v>
      </c>
      <c r="S241" s="272"/>
      <c r="T241" s="272">
        <v>1</v>
      </c>
      <c r="U241" s="272" t="s">
        <v>4880</v>
      </c>
      <c r="V241" s="273">
        <v>10</v>
      </c>
      <c r="W241" s="273"/>
      <c r="X241" s="272" t="s">
        <v>4881</v>
      </c>
      <c r="Y241" s="333" t="s">
        <v>5071</v>
      </c>
      <c r="Z241" s="334" t="s">
        <v>5072</v>
      </c>
      <c r="AA241" s="272" t="s">
        <v>4884</v>
      </c>
      <c r="AB241" s="272"/>
      <c r="AC241" s="289">
        <v>1</v>
      </c>
      <c r="AD241" s="289">
        <v>1</v>
      </c>
      <c r="AE241" s="289"/>
      <c r="AF241" s="272"/>
      <c r="AG241" s="272"/>
    </row>
    <row r="242" spans="1:33" s="145" customFormat="1" x14ac:dyDescent="0.15">
      <c r="A242" s="267">
        <v>95110031</v>
      </c>
      <c r="B242" s="268" t="s">
        <v>5076</v>
      </c>
      <c r="C242" s="293" t="s">
        <v>887</v>
      </c>
      <c r="D242" s="293">
        <v>5011</v>
      </c>
      <c r="E242" s="268" t="s">
        <v>4876</v>
      </c>
      <c r="F242" s="268" t="s">
        <v>4877</v>
      </c>
      <c r="G242" s="269">
        <v>1</v>
      </c>
      <c r="H242" s="269">
        <v>0</v>
      </c>
      <c r="I242" s="267">
        <v>34</v>
      </c>
      <c r="J242" s="282" t="s">
        <v>5077</v>
      </c>
      <c r="K242" s="279" t="s">
        <v>5078</v>
      </c>
      <c r="L242" s="279"/>
      <c r="M242" s="268">
        <v>1</v>
      </c>
      <c r="N242" s="268" t="b">
        <v>1</v>
      </c>
      <c r="O242" s="268">
        <v>2</v>
      </c>
      <c r="P242" s="281">
        <v>30</v>
      </c>
      <c r="Q242" s="281">
        <v>40</v>
      </c>
      <c r="R242" s="268" t="s">
        <v>3383</v>
      </c>
      <c r="S242" s="268"/>
      <c r="T242" s="268">
        <v>1</v>
      </c>
      <c r="U242" s="268" t="s">
        <v>4880</v>
      </c>
      <c r="V242" s="269">
        <v>1</v>
      </c>
      <c r="W242" s="269"/>
      <c r="X242" s="268" t="s">
        <v>4881</v>
      </c>
      <c r="Y242" s="269" t="s">
        <v>5071</v>
      </c>
      <c r="Z242" s="332" t="s">
        <v>5079</v>
      </c>
      <c r="AA242" s="268" t="s">
        <v>4884</v>
      </c>
      <c r="AB242" s="268"/>
      <c r="AC242" s="287">
        <v>1</v>
      </c>
      <c r="AD242" s="287">
        <v>1</v>
      </c>
      <c r="AE242" s="268"/>
      <c r="AF242" s="268"/>
      <c r="AG242" s="290"/>
    </row>
    <row r="243" spans="1:33" s="145" customFormat="1" x14ac:dyDescent="0.15">
      <c r="A243" s="267">
        <v>95110032</v>
      </c>
      <c r="B243" s="268" t="s">
        <v>5076</v>
      </c>
      <c r="C243" s="293" t="s">
        <v>887</v>
      </c>
      <c r="D243" s="293">
        <v>5011</v>
      </c>
      <c r="E243" s="268" t="s">
        <v>4876</v>
      </c>
      <c r="F243" s="268" t="s">
        <v>4877</v>
      </c>
      <c r="G243" s="269">
        <v>2</v>
      </c>
      <c r="H243" s="269">
        <v>0</v>
      </c>
      <c r="I243" s="267">
        <v>34</v>
      </c>
      <c r="J243" s="282" t="s">
        <v>5077</v>
      </c>
      <c r="K243" s="279" t="s">
        <v>5078</v>
      </c>
      <c r="L243" s="279"/>
      <c r="M243" s="268">
        <v>1</v>
      </c>
      <c r="N243" s="268" t="b">
        <v>1</v>
      </c>
      <c r="O243" s="268">
        <v>5</v>
      </c>
      <c r="P243" s="281">
        <v>75</v>
      </c>
      <c r="Q243" s="281">
        <v>100</v>
      </c>
      <c r="R243" s="268" t="s">
        <v>3383</v>
      </c>
      <c r="S243" s="268"/>
      <c r="T243" s="268">
        <v>1</v>
      </c>
      <c r="U243" s="268" t="s">
        <v>4880</v>
      </c>
      <c r="V243" s="269">
        <v>2</v>
      </c>
      <c r="W243" s="269"/>
      <c r="X243" s="268" t="s">
        <v>4881</v>
      </c>
      <c r="Y243" s="269" t="s">
        <v>5071</v>
      </c>
      <c r="Z243" s="332" t="s">
        <v>5079</v>
      </c>
      <c r="AA243" s="268" t="s">
        <v>4884</v>
      </c>
      <c r="AB243" s="268"/>
      <c r="AC243" s="287">
        <v>1</v>
      </c>
      <c r="AD243" s="287">
        <v>1</v>
      </c>
      <c r="AE243" s="268"/>
      <c r="AF243" s="268"/>
      <c r="AG243" s="290"/>
    </row>
    <row r="244" spans="1:33" s="145" customFormat="1" x14ac:dyDescent="0.15">
      <c r="A244" s="267">
        <v>95110033</v>
      </c>
      <c r="B244" s="268" t="s">
        <v>5076</v>
      </c>
      <c r="C244" s="293" t="s">
        <v>887</v>
      </c>
      <c r="D244" s="293">
        <v>5011</v>
      </c>
      <c r="E244" s="268" t="s">
        <v>4876</v>
      </c>
      <c r="F244" s="268" t="s">
        <v>4877</v>
      </c>
      <c r="G244" s="269">
        <v>3</v>
      </c>
      <c r="H244" s="269">
        <v>0</v>
      </c>
      <c r="I244" s="267">
        <v>34</v>
      </c>
      <c r="J244" s="282" t="s">
        <v>5077</v>
      </c>
      <c r="K244" s="279" t="s">
        <v>5078</v>
      </c>
      <c r="L244" s="279"/>
      <c r="M244" s="268">
        <v>1</v>
      </c>
      <c r="N244" s="268" t="b">
        <v>1</v>
      </c>
      <c r="O244" s="268">
        <v>7</v>
      </c>
      <c r="P244" s="281">
        <v>105</v>
      </c>
      <c r="Q244" s="281">
        <v>140</v>
      </c>
      <c r="R244" s="268" t="s">
        <v>3383</v>
      </c>
      <c r="S244" s="268"/>
      <c r="T244" s="268">
        <v>1</v>
      </c>
      <c r="U244" s="268" t="s">
        <v>4880</v>
      </c>
      <c r="V244" s="269">
        <v>3</v>
      </c>
      <c r="W244" s="269"/>
      <c r="X244" s="268" t="s">
        <v>4881</v>
      </c>
      <c r="Y244" s="269" t="s">
        <v>5071</v>
      </c>
      <c r="Z244" s="332" t="s">
        <v>5079</v>
      </c>
      <c r="AA244" s="268" t="s">
        <v>4884</v>
      </c>
      <c r="AB244" s="268"/>
      <c r="AC244" s="287">
        <v>1</v>
      </c>
      <c r="AD244" s="287">
        <v>1</v>
      </c>
      <c r="AE244" s="268"/>
      <c r="AF244" s="268"/>
      <c r="AG244" s="290"/>
    </row>
    <row r="245" spans="1:33" s="145" customFormat="1" x14ac:dyDescent="0.15">
      <c r="A245" s="267">
        <v>95110034</v>
      </c>
      <c r="B245" s="268" t="s">
        <v>5076</v>
      </c>
      <c r="C245" s="293" t="s">
        <v>887</v>
      </c>
      <c r="D245" s="293">
        <v>5011</v>
      </c>
      <c r="E245" s="268" t="s">
        <v>4876</v>
      </c>
      <c r="F245" s="268" t="s">
        <v>4877</v>
      </c>
      <c r="G245" s="269">
        <v>4</v>
      </c>
      <c r="H245" s="269">
        <v>0</v>
      </c>
      <c r="I245" s="267">
        <v>34</v>
      </c>
      <c r="J245" s="282" t="s">
        <v>5077</v>
      </c>
      <c r="K245" s="279" t="s">
        <v>5078</v>
      </c>
      <c r="L245" s="279"/>
      <c r="M245" s="268">
        <v>1</v>
      </c>
      <c r="N245" s="268" t="b">
        <v>1</v>
      </c>
      <c r="O245" s="268">
        <v>10</v>
      </c>
      <c r="P245" s="281">
        <v>150</v>
      </c>
      <c r="Q245" s="281">
        <v>200</v>
      </c>
      <c r="R245" s="268" t="s">
        <v>3383</v>
      </c>
      <c r="S245" s="268"/>
      <c r="T245" s="268">
        <v>1</v>
      </c>
      <c r="U245" s="268" t="s">
        <v>4880</v>
      </c>
      <c r="V245" s="269">
        <v>4</v>
      </c>
      <c r="W245" s="269"/>
      <c r="X245" s="268" t="s">
        <v>4881</v>
      </c>
      <c r="Y245" s="269" t="s">
        <v>5071</v>
      </c>
      <c r="Z245" s="332" t="s">
        <v>5079</v>
      </c>
      <c r="AA245" s="268" t="s">
        <v>4884</v>
      </c>
      <c r="AB245" s="268"/>
      <c r="AC245" s="287">
        <v>1</v>
      </c>
      <c r="AD245" s="287">
        <v>1</v>
      </c>
      <c r="AE245" s="268"/>
      <c r="AF245" s="268"/>
      <c r="AG245" s="290"/>
    </row>
    <row r="246" spans="1:33" s="145" customFormat="1" x14ac:dyDescent="0.15">
      <c r="A246" s="267">
        <v>95110035</v>
      </c>
      <c r="B246" s="268" t="s">
        <v>5076</v>
      </c>
      <c r="C246" s="293" t="s">
        <v>887</v>
      </c>
      <c r="D246" s="293">
        <v>5011</v>
      </c>
      <c r="E246" s="268" t="s">
        <v>4876</v>
      </c>
      <c r="F246" s="268" t="s">
        <v>4877</v>
      </c>
      <c r="G246" s="269">
        <v>5</v>
      </c>
      <c r="H246" s="269">
        <v>0</v>
      </c>
      <c r="I246" s="267">
        <v>34</v>
      </c>
      <c r="J246" s="282" t="s">
        <v>5077</v>
      </c>
      <c r="K246" s="279" t="s">
        <v>5078</v>
      </c>
      <c r="L246" s="279"/>
      <c r="M246" s="268">
        <v>1</v>
      </c>
      <c r="N246" s="268" t="b">
        <v>1</v>
      </c>
      <c r="O246" s="268">
        <v>12</v>
      </c>
      <c r="P246" s="281">
        <v>180</v>
      </c>
      <c r="Q246" s="281">
        <v>240</v>
      </c>
      <c r="R246" s="268" t="s">
        <v>3383</v>
      </c>
      <c r="S246" s="268"/>
      <c r="T246" s="268">
        <v>1</v>
      </c>
      <c r="U246" s="268" t="s">
        <v>4880</v>
      </c>
      <c r="V246" s="269">
        <v>5</v>
      </c>
      <c r="W246" s="269"/>
      <c r="X246" s="268" t="s">
        <v>4881</v>
      </c>
      <c r="Y246" s="269" t="s">
        <v>5071</v>
      </c>
      <c r="Z246" s="332" t="s">
        <v>5079</v>
      </c>
      <c r="AA246" s="268" t="s">
        <v>4884</v>
      </c>
      <c r="AB246" s="268"/>
      <c r="AC246" s="287">
        <v>1</v>
      </c>
      <c r="AD246" s="287">
        <v>1</v>
      </c>
      <c r="AE246" s="268"/>
      <c r="AF246" s="268"/>
      <c r="AG246" s="290"/>
    </row>
    <row r="247" spans="1:33" s="145" customFormat="1" x14ac:dyDescent="0.15">
      <c r="A247" s="270">
        <v>95110036</v>
      </c>
      <c r="B247" s="268" t="s">
        <v>5076</v>
      </c>
      <c r="C247" s="268" t="s">
        <v>887</v>
      </c>
      <c r="D247" s="268">
        <v>5011</v>
      </c>
      <c r="E247" s="268" t="s">
        <v>4876</v>
      </c>
      <c r="F247" s="268" t="s">
        <v>4877</v>
      </c>
      <c r="G247" s="269">
        <v>6</v>
      </c>
      <c r="H247" s="269">
        <v>0</v>
      </c>
      <c r="I247" s="267">
        <v>34</v>
      </c>
      <c r="J247" s="282" t="s">
        <v>5077</v>
      </c>
      <c r="K247" s="279" t="s">
        <v>5078</v>
      </c>
      <c r="L247" s="279"/>
      <c r="M247" s="268">
        <v>1</v>
      </c>
      <c r="N247" s="268" t="b">
        <v>1</v>
      </c>
      <c r="O247" s="268">
        <v>25</v>
      </c>
      <c r="P247" s="281">
        <v>375</v>
      </c>
      <c r="Q247" s="281">
        <v>500</v>
      </c>
      <c r="R247" s="268" t="s">
        <v>3383</v>
      </c>
      <c r="S247" s="268"/>
      <c r="T247" s="268">
        <v>1</v>
      </c>
      <c r="U247" s="268" t="s">
        <v>4880</v>
      </c>
      <c r="V247" s="269">
        <v>7</v>
      </c>
      <c r="W247" s="269"/>
      <c r="X247" s="268" t="s">
        <v>4881</v>
      </c>
      <c r="Y247" s="331" t="s">
        <v>5071</v>
      </c>
      <c r="Z247" s="332" t="s">
        <v>5079</v>
      </c>
      <c r="AA247" s="268" t="s">
        <v>4884</v>
      </c>
      <c r="AB247" s="268"/>
      <c r="AC247" s="287">
        <v>1</v>
      </c>
      <c r="AD247" s="287">
        <v>1</v>
      </c>
      <c r="AE247" s="268"/>
      <c r="AF247" s="268"/>
      <c r="AG247" s="290"/>
    </row>
    <row r="248" spans="1:33" s="145" customFormat="1" x14ac:dyDescent="0.15">
      <c r="A248" s="270">
        <v>95110037</v>
      </c>
      <c r="B248" s="268" t="s">
        <v>5076</v>
      </c>
      <c r="C248" s="268" t="s">
        <v>887</v>
      </c>
      <c r="D248" s="268">
        <v>5011</v>
      </c>
      <c r="E248" s="268" t="s">
        <v>4876</v>
      </c>
      <c r="F248" s="268" t="s">
        <v>4877</v>
      </c>
      <c r="G248" s="269">
        <v>7</v>
      </c>
      <c r="H248" s="269">
        <v>0</v>
      </c>
      <c r="I248" s="267">
        <v>34</v>
      </c>
      <c r="J248" s="282" t="s">
        <v>5077</v>
      </c>
      <c r="K248" s="279" t="s">
        <v>5078</v>
      </c>
      <c r="L248" s="279"/>
      <c r="M248" s="268">
        <v>1</v>
      </c>
      <c r="N248" s="268" t="b">
        <v>1</v>
      </c>
      <c r="O248" s="268">
        <v>38</v>
      </c>
      <c r="P248" s="281">
        <v>570</v>
      </c>
      <c r="Q248" s="281">
        <v>760</v>
      </c>
      <c r="R248" s="268" t="s">
        <v>3383</v>
      </c>
      <c r="S248" s="268"/>
      <c r="T248" s="268">
        <v>1</v>
      </c>
      <c r="U248" s="268" t="s">
        <v>4880</v>
      </c>
      <c r="V248" s="269">
        <v>10</v>
      </c>
      <c r="W248" s="269"/>
      <c r="X248" s="268" t="s">
        <v>4881</v>
      </c>
      <c r="Y248" s="331" t="s">
        <v>5071</v>
      </c>
      <c r="Z248" s="332" t="s">
        <v>5079</v>
      </c>
      <c r="AA248" s="268" t="s">
        <v>4884</v>
      </c>
      <c r="AB248" s="268"/>
      <c r="AC248" s="287">
        <v>1</v>
      </c>
      <c r="AD248" s="287">
        <v>1</v>
      </c>
      <c r="AE248" s="268"/>
      <c r="AF248" s="268"/>
      <c r="AG248" s="290"/>
    </row>
    <row r="249" spans="1:33" s="258" customFormat="1" x14ac:dyDescent="0.15">
      <c r="A249" s="271">
        <v>95110038</v>
      </c>
      <c r="B249" s="272" t="s">
        <v>5080</v>
      </c>
      <c r="C249" s="272" t="s">
        <v>887</v>
      </c>
      <c r="D249" s="272">
        <v>5081</v>
      </c>
      <c r="E249" s="272" t="s">
        <v>4876</v>
      </c>
      <c r="F249" s="272" t="s">
        <v>4877</v>
      </c>
      <c r="G249" s="269">
        <v>6</v>
      </c>
      <c r="H249" s="273">
        <v>1</v>
      </c>
      <c r="I249" s="283">
        <v>34</v>
      </c>
      <c r="J249" s="284" t="s">
        <v>5077</v>
      </c>
      <c r="K249" s="285" t="s">
        <v>5078</v>
      </c>
      <c r="L249" s="272" t="s">
        <v>44</v>
      </c>
      <c r="M249" s="272">
        <v>1</v>
      </c>
      <c r="N249" s="272" t="b">
        <v>1</v>
      </c>
      <c r="O249" s="272">
        <v>51</v>
      </c>
      <c r="P249" s="281">
        <v>765</v>
      </c>
      <c r="Q249" s="281">
        <v>1020</v>
      </c>
      <c r="R249" s="272" t="s">
        <v>3383</v>
      </c>
      <c r="S249" s="272"/>
      <c r="T249" s="272">
        <v>1</v>
      </c>
      <c r="U249" s="272" t="s">
        <v>4880</v>
      </c>
      <c r="V249" s="273">
        <v>10</v>
      </c>
      <c r="W249" s="273"/>
      <c r="X249" s="272" t="s">
        <v>4881</v>
      </c>
      <c r="Y249" s="333" t="s">
        <v>5071</v>
      </c>
      <c r="Z249" s="334" t="s">
        <v>5079</v>
      </c>
      <c r="AA249" s="272" t="s">
        <v>4884</v>
      </c>
      <c r="AB249" s="272"/>
      <c r="AC249" s="289">
        <v>1</v>
      </c>
      <c r="AD249" s="289">
        <v>1</v>
      </c>
      <c r="AE249" s="289"/>
      <c r="AF249" s="272"/>
      <c r="AG249" s="272"/>
    </row>
    <row r="250" spans="1:33" s="258" customFormat="1" x14ac:dyDescent="0.15">
      <c r="A250" s="271">
        <v>95110039</v>
      </c>
      <c r="B250" s="272" t="s">
        <v>5081</v>
      </c>
      <c r="C250" s="272" t="s">
        <v>887</v>
      </c>
      <c r="D250" s="272">
        <v>5081</v>
      </c>
      <c r="E250" s="272" t="s">
        <v>4876</v>
      </c>
      <c r="F250" s="272" t="s">
        <v>4877</v>
      </c>
      <c r="G250" s="269">
        <v>6</v>
      </c>
      <c r="H250" s="273">
        <v>1</v>
      </c>
      <c r="I250" s="283">
        <v>34</v>
      </c>
      <c r="J250" s="284" t="s">
        <v>5077</v>
      </c>
      <c r="K250" s="285" t="s">
        <v>5078</v>
      </c>
      <c r="L250" s="272" t="s">
        <v>4887</v>
      </c>
      <c r="M250" s="272">
        <v>1</v>
      </c>
      <c r="N250" s="272" t="b">
        <v>1</v>
      </c>
      <c r="O250" s="272">
        <v>64</v>
      </c>
      <c r="P250" s="281">
        <v>960</v>
      </c>
      <c r="Q250" s="281">
        <v>1280</v>
      </c>
      <c r="R250" s="272" t="s">
        <v>3383</v>
      </c>
      <c r="S250" s="272"/>
      <c r="T250" s="272">
        <v>1</v>
      </c>
      <c r="U250" s="272" t="s">
        <v>4880</v>
      </c>
      <c r="V250" s="273">
        <v>10</v>
      </c>
      <c r="W250" s="273"/>
      <c r="X250" s="272" t="s">
        <v>4881</v>
      </c>
      <c r="Y250" s="333" t="s">
        <v>5071</v>
      </c>
      <c r="Z250" s="334" t="s">
        <v>5079</v>
      </c>
      <c r="AA250" s="272" t="s">
        <v>4884</v>
      </c>
      <c r="AB250" s="272"/>
      <c r="AC250" s="289">
        <v>1</v>
      </c>
      <c r="AD250" s="289">
        <v>1</v>
      </c>
      <c r="AE250" s="289"/>
      <c r="AF250" s="272"/>
      <c r="AG250" s="272"/>
    </row>
    <row r="251" spans="1:33" s="258" customFormat="1" x14ac:dyDescent="0.15">
      <c r="A251" s="271">
        <v>95110040</v>
      </c>
      <c r="B251" s="272" t="s">
        <v>5082</v>
      </c>
      <c r="C251" s="272" t="s">
        <v>887</v>
      </c>
      <c r="D251" s="272">
        <v>5081</v>
      </c>
      <c r="E251" s="272" t="s">
        <v>4876</v>
      </c>
      <c r="F251" s="272" t="s">
        <v>4877</v>
      </c>
      <c r="G251" s="269">
        <v>7</v>
      </c>
      <c r="H251" s="273">
        <v>0</v>
      </c>
      <c r="I251" s="283">
        <v>34</v>
      </c>
      <c r="J251" s="284" t="s">
        <v>5077</v>
      </c>
      <c r="K251" s="285" t="s">
        <v>5078</v>
      </c>
      <c r="L251" s="272" t="s">
        <v>4889</v>
      </c>
      <c r="M251" s="272">
        <v>1</v>
      </c>
      <c r="N251" s="272" t="b">
        <v>1</v>
      </c>
      <c r="O251" s="272">
        <v>77</v>
      </c>
      <c r="P251" s="281">
        <v>1155</v>
      </c>
      <c r="Q251" s="281">
        <v>1540</v>
      </c>
      <c r="R251" s="272" t="s">
        <v>3383</v>
      </c>
      <c r="S251" s="272"/>
      <c r="T251" s="272">
        <v>1</v>
      </c>
      <c r="U251" s="272" t="s">
        <v>4880</v>
      </c>
      <c r="V251" s="273">
        <v>10</v>
      </c>
      <c r="W251" s="273"/>
      <c r="X251" s="272" t="s">
        <v>4881</v>
      </c>
      <c r="Y251" s="333" t="s">
        <v>5071</v>
      </c>
      <c r="Z251" s="334" t="s">
        <v>5079</v>
      </c>
      <c r="AA251" s="272" t="s">
        <v>4884</v>
      </c>
      <c r="AB251" s="272"/>
      <c r="AC251" s="289">
        <v>1</v>
      </c>
      <c r="AD251" s="289">
        <v>1</v>
      </c>
      <c r="AE251" s="289"/>
      <c r="AF251" s="272"/>
      <c r="AG251" s="272"/>
    </row>
    <row r="252" spans="1:33" s="145" customFormat="1" x14ac:dyDescent="0.15">
      <c r="A252" s="267">
        <v>95110041</v>
      </c>
      <c r="B252" s="268" t="s">
        <v>5083</v>
      </c>
      <c r="C252" s="293" t="s">
        <v>887</v>
      </c>
      <c r="D252" s="293">
        <v>5011</v>
      </c>
      <c r="E252" s="268" t="s">
        <v>4876</v>
      </c>
      <c r="F252" s="268" t="s">
        <v>4877</v>
      </c>
      <c r="G252" s="269">
        <v>1</v>
      </c>
      <c r="H252" s="269">
        <v>0</v>
      </c>
      <c r="I252" s="267">
        <v>34</v>
      </c>
      <c r="J252" s="282" t="s">
        <v>5084</v>
      </c>
      <c r="K252" s="279" t="s">
        <v>5085</v>
      </c>
      <c r="L252" s="279"/>
      <c r="M252" s="268">
        <v>1</v>
      </c>
      <c r="N252" s="268" t="b">
        <v>1</v>
      </c>
      <c r="O252" s="268">
        <v>2</v>
      </c>
      <c r="P252" s="281">
        <v>30</v>
      </c>
      <c r="Q252" s="281">
        <v>40</v>
      </c>
      <c r="R252" s="268" t="s">
        <v>3383</v>
      </c>
      <c r="S252" s="268"/>
      <c r="T252" s="268">
        <v>1</v>
      </c>
      <c r="U252" s="268" t="s">
        <v>4880</v>
      </c>
      <c r="V252" s="269">
        <v>1</v>
      </c>
      <c r="W252" s="269"/>
      <c r="X252" s="268" t="s">
        <v>4881</v>
      </c>
      <c r="Y252" s="269" t="s">
        <v>5086</v>
      </c>
      <c r="Z252" s="332" t="s">
        <v>5087</v>
      </c>
      <c r="AA252" s="268" t="s">
        <v>4884</v>
      </c>
      <c r="AB252" s="268"/>
      <c r="AC252" s="287">
        <v>1</v>
      </c>
      <c r="AD252" s="287">
        <v>1</v>
      </c>
      <c r="AE252" s="268"/>
      <c r="AF252" s="268"/>
      <c r="AG252" s="290"/>
    </row>
    <row r="253" spans="1:33" s="145" customFormat="1" x14ac:dyDescent="0.15">
      <c r="A253" s="267">
        <v>95110042</v>
      </c>
      <c r="B253" s="268" t="s">
        <v>5083</v>
      </c>
      <c r="C253" s="293" t="s">
        <v>887</v>
      </c>
      <c r="D253" s="293">
        <v>5011</v>
      </c>
      <c r="E253" s="268" t="s">
        <v>4876</v>
      </c>
      <c r="F253" s="268" t="s">
        <v>4877</v>
      </c>
      <c r="G253" s="269">
        <v>2</v>
      </c>
      <c r="H253" s="269">
        <v>0</v>
      </c>
      <c r="I253" s="267">
        <v>34</v>
      </c>
      <c r="J253" s="282" t="s">
        <v>5084</v>
      </c>
      <c r="K253" s="279" t="s">
        <v>5085</v>
      </c>
      <c r="L253" s="279"/>
      <c r="M253" s="268">
        <v>1</v>
      </c>
      <c r="N253" s="268" t="b">
        <v>1</v>
      </c>
      <c r="O253" s="268">
        <v>5</v>
      </c>
      <c r="P253" s="281">
        <v>75</v>
      </c>
      <c r="Q253" s="281">
        <v>100</v>
      </c>
      <c r="R253" s="268" t="s">
        <v>3383</v>
      </c>
      <c r="S253" s="268"/>
      <c r="T253" s="268">
        <v>1</v>
      </c>
      <c r="U253" s="268" t="s">
        <v>4880</v>
      </c>
      <c r="V253" s="269">
        <v>2</v>
      </c>
      <c r="W253" s="269"/>
      <c r="X253" s="268" t="s">
        <v>4881</v>
      </c>
      <c r="Y253" s="269" t="s">
        <v>5086</v>
      </c>
      <c r="Z253" s="332" t="s">
        <v>5087</v>
      </c>
      <c r="AA253" s="268" t="s">
        <v>4884</v>
      </c>
      <c r="AB253" s="268"/>
      <c r="AC253" s="287">
        <v>1</v>
      </c>
      <c r="AD253" s="287">
        <v>1</v>
      </c>
      <c r="AE253" s="268"/>
      <c r="AF253" s="268"/>
      <c r="AG253" s="290"/>
    </row>
    <row r="254" spans="1:33" s="145" customFormat="1" x14ac:dyDescent="0.15">
      <c r="A254" s="267">
        <v>95110043</v>
      </c>
      <c r="B254" s="268" t="s">
        <v>5083</v>
      </c>
      <c r="C254" s="293" t="s">
        <v>887</v>
      </c>
      <c r="D254" s="293">
        <v>5011</v>
      </c>
      <c r="E254" s="268" t="s">
        <v>4876</v>
      </c>
      <c r="F254" s="268" t="s">
        <v>4877</v>
      </c>
      <c r="G254" s="269">
        <v>3</v>
      </c>
      <c r="H254" s="269">
        <v>0</v>
      </c>
      <c r="I254" s="267">
        <v>34</v>
      </c>
      <c r="J254" s="282" t="s">
        <v>5084</v>
      </c>
      <c r="K254" s="279" t="s">
        <v>5085</v>
      </c>
      <c r="L254" s="279"/>
      <c r="M254" s="268">
        <v>1</v>
      </c>
      <c r="N254" s="268" t="b">
        <v>1</v>
      </c>
      <c r="O254" s="268">
        <v>7</v>
      </c>
      <c r="P254" s="281">
        <v>105</v>
      </c>
      <c r="Q254" s="281">
        <v>140</v>
      </c>
      <c r="R254" s="268" t="s">
        <v>3383</v>
      </c>
      <c r="S254" s="268"/>
      <c r="T254" s="268">
        <v>1</v>
      </c>
      <c r="U254" s="268" t="s">
        <v>4880</v>
      </c>
      <c r="V254" s="269">
        <v>3</v>
      </c>
      <c r="W254" s="269"/>
      <c r="X254" s="268" t="s">
        <v>4881</v>
      </c>
      <c r="Y254" s="269" t="s">
        <v>5086</v>
      </c>
      <c r="Z254" s="332" t="s">
        <v>5087</v>
      </c>
      <c r="AA254" s="268" t="s">
        <v>4884</v>
      </c>
      <c r="AB254" s="268"/>
      <c r="AC254" s="287">
        <v>1</v>
      </c>
      <c r="AD254" s="287">
        <v>1</v>
      </c>
      <c r="AE254" s="268"/>
      <c r="AF254" s="268"/>
      <c r="AG254" s="290"/>
    </row>
    <row r="255" spans="1:33" s="145" customFormat="1" x14ac:dyDescent="0.15">
      <c r="A255" s="267">
        <v>95110044</v>
      </c>
      <c r="B255" s="268" t="s">
        <v>5083</v>
      </c>
      <c r="C255" s="293" t="s">
        <v>887</v>
      </c>
      <c r="D255" s="293">
        <v>5011</v>
      </c>
      <c r="E255" s="268" t="s">
        <v>4876</v>
      </c>
      <c r="F255" s="268" t="s">
        <v>4877</v>
      </c>
      <c r="G255" s="269">
        <v>4</v>
      </c>
      <c r="H255" s="269">
        <v>0</v>
      </c>
      <c r="I255" s="267">
        <v>34</v>
      </c>
      <c r="J255" s="282" t="s">
        <v>5084</v>
      </c>
      <c r="K255" s="279" t="s">
        <v>5085</v>
      </c>
      <c r="L255" s="279"/>
      <c r="M255" s="268">
        <v>1</v>
      </c>
      <c r="N255" s="268" t="b">
        <v>1</v>
      </c>
      <c r="O255" s="268">
        <v>10</v>
      </c>
      <c r="P255" s="281">
        <v>150</v>
      </c>
      <c r="Q255" s="281">
        <v>200</v>
      </c>
      <c r="R255" s="268" t="s">
        <v>3383</v>
      </c>
      <c r="S255" s="268"/>
      <c r="T255" s="268">
        <v>1</v>
      </c>
      <c r="U255" s="268" t="s">
        <v>4880</v>
      </c>
      <c r="V255" s="269">
        <v>4</v>
      </c>
      <c r="W255" s="269"/>
      <c r="X255" s="268" t="s">
        <v>4881</v>
      </c>
      <c r="Y255" s="269" t="s">
        <v>5086</v>
      </c>
      <c r="Z255" s="332" t="s">
        <v>5087</v>
      </c>
      <c r="AA255" s="268" t="s">
        <v>4884</v>
      </c>
      <c r="AB255" s="268"/>
      <c r="AC255" s="287">
        <v>1</v>
      </c>
      <c r="AD255" s="287">
        <v>1</v>
      </c>
      <c r="AE255" s="268"/>
      <c r="AF255" s="268"/>
      <c r="AG255" s="290"/>
    </row>
    <row r="256" spans="1:33" s="145" customFormat="1" x14ac:dyDescent="0.15">
      <c r="A256" s="267">
        <v>95110045</v>
      </c>
      <c r="B256" s="268" t="s">
        <v>5083</v>
      </c>
      <c r="C256" s="293" t="s">
        <v>887</v>
      </c>
      <c r="D256" s="293">
        <v>5011</v>
      </c>
      <c r="E256" s="268" t="s">
        <v>4876</v>
      </c>
      <c r="F256" s="268" t="s">
        <v>4877</v>
      </c>
      <c r="G256" s="269">
        <v>5</v>
      </c>
      <c r="H256" s="269">
        <v>0</v>
      </c>
      <c r="I256" s="267">
        <v>34</v>
      </c>
      <c r="J256" s="282" t="s">
        <v>5084</v>
      </c>
      <c r="K256" s="279" t="s">
        <v>5085</v>
      </c>
      <c r="L256" s="279"/>
      <c r="M256" s="268">
        <v>1</v>
      </c>
      <c r="N256" s="268" t="b">
        <v>1</v>
      </c>
      <c r="O256" s="268">
        <v>12</v>
      </c>
      <c r="P256" s="281">
        <v>180</v>
      </c>
      <c r="Q256" s="281">
        <v>240</v>
      </c>
      <c r="R256" s="268" t="s">
        <v>3383</v>
      </c>
      <c r="S256" s="268"/>
      <c r="T256" s="268">
        <v>1</v>
      </c>
      <c r="U256" s="268" t="s">
        <v>4880</v>
      </c>
      <c r="V256" s="269">
        <v>5</v>
      </c>
      <c r="W256" s="269"/>
      <c r="X256" s="268" t="s">
        <v>4881</v>
      </c>
      <c r="Y256" s="269" t="s">
        <v>5086</v>
      </c>
      <c r="Z256" s="332" t="s">
        <v>5087</v>
      </c>
      <c r="AA256" s="268" t="s">
        <v>4884</v>
      </c>
      <c r="AB256" s="268"/>
      <c r="AC256" s="287">
        <v>1</v>
      </c>
      <c r="AD256" s="287">
        <v>1</v>
      </c>
      <c r="AE256" s="268"/>
      <c r="AF256" s="268"/>
      <c r="AG256" s="290"/>
    </row>
    <row r="257" spans="1:33" s="258" customFormat="1" x14ac:dyDescent="0.15">
      <c r="A257" s="270">
        <v>95110046</v>
      </c>
      <c r="B257" s="268" t="s">
        <v>5083</v>
      </c>
      <c r="C257" s="268" t="s">
        <v>887</v>
      </c>
      <c r="D257" s="268">
        <v>5011</v>
      </c>
      <c r="E257" s="268" t="s">
        <v>4876</v>
      </c>
      <c r="F257" s="268" t="s">
        <v>4877</v>
      </c>
      <c r="G257" s="269">
        <v>6</v>
      </c>
      <c r="H257" s="269">
        <v>0</v>
      </c>
      <c r="I257" s="267">
        <v>34</v>
      </c>
      <c r="J257" s="282" t="s">
        <v>5084</v>
      </c>
      <c r="K257" s="279" t="s">
        <v>5085</v>
      </c>
      <c r="L257" s="279"/>
      <c r="M257" s="268">
        <v>1</v>
      </c>
      <c r="N257" s="268" t="b">
        <v>1</v>
      </c>
      <c r="O257" s="268">
        <v>25</v>
      </c>
      <c r="P257" s="281">
        <v>375</v>
      </c>
      <c r="Q257" s="281">
        <v>500</v>
      </c>
      <c r="R257" s="268" t="s">
        <v>3383</v>
      </c>
      <c r="S257" s="268"/>
      <c r="T257" s="268">
        <v>1</v>
      </c>
      <c r="U257" s="268" t="s">
        <v>4880</v>
      </c>
      <c r="V257" s="269">
        <v>7</v>
      </c>
      <c r="W257" s="269"/>
      <c r="X257" s="268" t="s">
        <v>4881</v>
      </c>
      <c r="Y257" s="331" t="s">
        <v>5086</v>
      </c>
      <c r="Z257" s="332" t="s">
        <v>5087</v>
      </c>
      <c r="AA257" s="268" t="s">
        <v>4884</v>
      </c>
      <c r="AB257" s="268"/>
      <c r="AC257" s="287">
        <v>1</v>
      </c>
      <c r="AD257" s="287">
        <v>1</v>
      </c>
      <c r="AE257" s="268"/>
      <c r="AF257" s="268"/>
      <c r="AG257" s="290"/>
    </row>
    <row r="258" spans="1:33" s="145" customFormat="1" x14ac:dyDescent="0.15">
      <c r="A258" s="270">
        <v>95110047</v>
      </c>
      <c r="B258" s="268" t="s">
        <v>5083</v>
      </c>
      <c r="C258" s="268" t="s">
        <v>887</v>
      </c>
      <c r="D258" s="268">
        <v>5011</v>
      </c>
      <c r="E258" s="268" t="s">
        <v>4876</v>
      </c>
      <c r="F258" s="268" t="s">
        <v>4877</v>
      </c>
      <c r="G258" s="269">
        <v>7</v>
      </c>
      <c r="H258" s="269">
        <v>0</v>
      </c>
      <c r="I258" s="267">
        <v>34</v>
      </c>
      <c r="J258" s="282" t="s">
        <v>5084</v>
      </c>
      <c r="K258" s="279" t="s">
        <v>5085</v>
      </c>
      <c r="L258" s="279"/>
      <c r="M258" s="268">
        <v>1</v>
      </c>
      <c r="N258" s="268" t="b">
        <v>1</v>
      </c>
      <c r="O258" s="268">
        <v>38</v>
      </c>
      <c r="P258" s="281">
        <v>570</v>
      </c>
      <c r="Q258" s="281">
        <v>760</v>
      </c>
      <c r="R258" s="268" t="s">
        <v>3383</v>
      </c>
      <c r="S258" s="268"/>
      <c r="T258" s="268">
        <v>1</v>
      </c>
      <c r="U258" s="268" t="s">
        <v>4880</v>
      </c>
      <c r="V258" s="269">
        <v>10</v>
      </c>
      <c r="W258" s="269"/>
      <c r="X258" s="268" t="s">
        <v>4881</v>
      </c>
      <c r="Y258" s="331" t="s">
        <v>5086</v>
      </c>
      <c r="Z258" s="332" t="s">
        <v>5087</v>
      </c>
      <c r="AA258" s="268" t="s">
        <v>4884</v>
      </c>
      <c r="AB258" s="268"/>
      <c r="AC258" s="287">
        <v>1</v>
      </c>
      <c r="AD258" s="287">
        <v>1</v>
      </c>
      <c r="AE258" s="268"/>
      <c r="AF258" s="268"/>
      <c r="AG258" s="290"/>
    </row>
    <row r="259" spans="1:33" s="258" customFormat="1" x14ac:dyDescent="0.15">
      <c r="A259" s="271">
        <v>95110048</v>
      </c>
      <c r="B259" s="272" t="s">
        <v>5088</v>
      </c>
      <c r="C259" s="272" t="s">
        <v>887</v>
      </c>
      <c r="D259" s="272">
        <v>5081</v>
      </c>
      <c r="E259" s="272" t="s">
        <v>4876</v>
      </c>
      <c r="F259" s="272" t="s">
        <v>4877</v>
      </c>
      <c r="G259" s="269">
        <v>6</v>
      </c>
      <c r="H259" s="273">
        <v>1</v>
      </c>
      <c r="I259" s="283">
        <v>34</v>
      </c>
      <c r="J259" s="284" t="s">
        <v>5084</v>
      </c>
      <c r="K259" s="285" t="s">
        <v>5085</v>
      </c>
      <c r="L259" s="272" t="s">
        <v>44</v>
      </c>
      <c r="M259" s="272">
        <v>1</v>
      </c>
      <c r="N259" s="272" t="b">
        <v>1</v>
      </c>
      <c r="O259" s="272">
        <v>51</v>
      </c>
      <c r="P259" s="281">
        <v>765</v>
      </c>
      <c r="Q259" s="281">
        <v>1020</v>
      </c>
      <c r="R259" s="272" t="s">
        <v>3383</v>
      </c>
      <c r="S259" s="272"/>
      <c r="T259" s="272">
        <v>1</v>
      </c>
      <c r="U259" s="272" t="s">
        <v>4880</v>
      </c>
      <c r="V259" s="273">
        <v>10</v>
      </c>
      <c r="W259" s="273"/>
      <c r="X259" s="272" t="s">
        <v>4881</v>
      </c>
      <c r="Y259" s="333" t="s">
        <v>5086</v>
      </c>
      <c r="Z259" s="334" t="s">
        <v>5087</v>
      </c>
      <c r="AA259" s="272" t="s">
        <v>4884</v>
      </c>
      <c r="AB259" s="272"/>
      <c r="AC259" s="289">
        <v>1</v>
      </c>
      <c r="AD259" s="289">
        <v>1</v>
      </c>
      <c r="AE259" s="289"/>
      <c r="AF259" s="272"/>
      <c r="AG259" s="272"/>
    </row>
    <row r="260" spans="1:33" s="258" customFormat="1" x14ac:dyDescent="0.15">
      <c r="A260" s="271">
        <v>95110049</v>
      </c>
      <c r="B260" s="272" t="s">
        <v>5089</v>
      </c>
      <c r="C260" s="272" t="s">
        <v>887</v>
      </c>
      <c r="D260" s="272">
        <v>5081</v>
      </c>
      <c r="E260" s="272" t="s">
        <v>4876</v>
      </c>
      <c r="F260" s="272" t="s">
        <v>4877</v>
      </c>
      <c r="G260" s="269">
        <v>6</v>
      </c>
      <c r="H260" s="273">
        <v>1</v>
      </c>
      <c r="I260" s="283">
        <v>34</v>
      </c>
      <c r="J260" s="284" t="s">
        <v>5084</v>
      </c>
      <c r="K260" s="285" t="s">
        <v>5085</v>
      </c>
      <c r="L260" s="272" t="s">
        <v>4887</v>
      </c>
      <c r="M260" s="272">
        <v>1</v>
      </c>
      <c r="N260" s="272" t="b">
        <v>1</v>
      </c>
      <c r="O260" s="272">
        <v>64</v>
      </c>
      <c r="P260" s="281">
        <v>960</v>
      </c>
      <c r="Q260" s="281">
        <v>1280</v>
      </c>
      <c r="R260" s="272" t="s">
        <v>3383</v>
      </c>
      <c r="S260" s="272"/>
      <c r="T260" s="272">
        <v>1</v>
      </c>
      <c r="U260" s="272" t="s">
        <v>4880</v>
      </c>
      <c r="V260" s="273">
        <v>10</v>
      </c>
      <c r="W260" s="273"/>
      <c r="X260" s="272" t="s">
        <v>4881</v>
      </c>
      <c r="Y260" s="333" t="s">
        <v>5086</v>
      </c>
      <c r="Z260" s="334" t="s">
        <v>5087</v>
      </c>
      <c r="AA260" s="272" t="s">
        <v>4884</v>
      </c>
      <c r="AB260" s="272"/>
      <c r="AC260" s="289">
        <v>1</v>
      </c>
      <c r="AD260" s="289">
        <v>1</v>
      </c>
      <c r="AE260" s="289"/>
      <c r="AF260" s="272"/>
      <c r="AG260" s="272"/>
    </row>
    <row r="261" spans="1:33" s="258" customFormat="1" x14ac:dyDescent="0.15">
      <c r="A261" s="271">
        <v>95110050</v>
      </c>
      <c r="B261" s="272" t="s">
        <v>5090</v>
      </c>
      <c r="C261" s="272" t="s">
        <v>887</v>
      </c>
      <c r="D261" s="272">
        <v>5081</v>
      </c>
      <c r="E261" s="272" t="s">
        <v>4876</v>
      </c>
      <c r="F261" s="272" t="s">
        <v>4877</v>
      </c>
      <c r="G261" s="269">
        <v>7</v>
      </c>
      <c r="H261" s="273">
        <v>0</v>
      </c>
      <c r="I261" s="283">
        <v>34</v>
      </c>
      <c r="J261" s="284" t="s">
        <v>5084</v>
      </c>
      <c r="K261" s="285" t="s">
        <v>5085</v>
      </c>
      <c r="L261" s="272" t="s">
        <v>4889</v>
      </c>
      <c r="M261" s="272">
        <v>1</v>
      </c>
      <c r="N261" s="272" t="b">
        <v>1</v>
      </c>
      <c r="O261" s="272">
        <v>77</v>
      </c>
      <c r="P261" s="281">
        <v>1155</v>
      </c>
      <c r="Q261" s="281">
        <v>1540</v>
      </c>
      <c r="R261" s="272" t="s">
        <v>3383</v>
      </c>
      <c r="S261" s="272"/>
      <c r="T261" s="272">
        <v>1</v>
      </c>
      <c r="U261" s="272" t="s">
        <v>4880</v>
      </c>
      <c r="V261" s="273">
        <v>10</v>
      </c>
      <c r="W261" s="273"/>
      <c r="X261" s="272" t="s">
        <v>4881</v>
      </c>
      <c r="Y261" s="333" t="s">
        <v>5086</v>
      </c>
      <c r="Z261" s="334" t="s">
        <v>5087</v>
      </c>
      <c r="AA261" s="272" t="s">
        <v>4884</v>
      </c>
      <c r="AB261" s="272"/>
      <c r="AC261" s="289">
        <v>1</v>
      </c>
      <c r="AD261" s="289">
        <v>1</v>
      </c>
      <c r="AE261" s="289"/>
      <c r="AF261" s="272"/>
      <c r="AG261" s="272"/>
    </row>
    <row r="262" spans="1:33" s="145" customFormat="1" x14ac:dyDescent="0.15">
      <c r="A262" s="267">
        <v>95111011</v>
      </c>
      <c r="B262" s="268" t="s">
        <v>5091</v>
      </c>
      <c r="C262" s="293" t="s">
        <v>971</v>
      </c>
      <c r="D262" s="293">
        <v>5011</v>
      </c>
      <c r="E262" s="268" t="s">
        <v>4876</v>
      </c>
      <c r="F262" s="268" t="s">
        <v>4877</v>
      </c>
      <c r="G262" s="269">
        <v>1</v>
      </c>
      <c r="H262" s="269">
        <v>0</v>
      </c>
      <c r="I262" s="267">
        <v>34</v>
      </c>
      <c r="J262" s="282" t="s">
        <v>5092</v>
      </c>
      <c r="K262" s="279" t="s">
        <v>5093</v>
      </c>
      <c r="L262" s="279"/>
      <c r="M262" s="268">
        <v>1</v>
      </c>
      <c r="N262" s="268" t="b">
        <v>1</v>
      </c>
      <c r="O262" s="268">
        <v>2</v>
      </c>
      <c r="P262" s="281">
        <v>30</v>
      </c>
      <c r="Q262" s="281">
        <v>40</v>
      </c>
      <c r="R262" s="268" t="s">
        <v>3383</v>
      </c>
      <c r="S262" s="268"/>
      <c r="T262" s="268">
        <v>1</v>
      </c>
      <c r="U262" s="268" t="s">
        <v>4880</v>
      </c>
      <c r="V262" s="269">
        <v>1</v>
      </c>
      <c r="W262" s="269"/>
      <c r="X262" s="268" t="s">
        <v>4881</v>
      </c>
      <c r="Y262" s="269" t="s">
        <v>5094</v>
      </c>
      <c r="Z262" s="332" t="s">
        <v>5095</v>
      </c>
      <c r="AA262" s="268" t="s">
        <v>4884</v>
      </c>
      <c r="AB262" s="268"/>
      <c r="AC262" s="287">
        <v>1</v>
      </c>
      <c r="AD262" s="287">
        <v>1</v>
      </c>
      <c r="AE262" s="268"/>
      <c r="AF262" s="268"/>
      <c r="AG262" s="290"/>
    </row>
    <row r="263" spans="1:33" s="145" customFormat="1" x14ac:dyDescent="0.15">
      <c r="A263" s="267">
        <v>95111012</v>
      </c>
      <c r="B263" s="268" t="s">
        <v>5091</v>
      </c>
      <c r="C263" s="293" t="s">
        <v>971</v>
      </c>
      <c r="D263" s="293">
        <v>5011</v>
      </c>
      <c r="E263" s="268" t="s">
        <v>4876</v>
      </c>
      <c r="F263" s="268" t="s">
        <v>4877</v>
      </c>
      <c r="G263" s="269">
        <v>2</v>
      </c>
      <c r="H263" s="269">
        <v>0</v>
      </c>
      <c r="I263" s="267">
        <v>34</v>
      </c>
      <c r="J263" s="282" t="s">
        <v>5092</v>
      </c>
      <c r="K263" s="279" t="s">
        <v>5093</v>
      </c>
      <c r="L263" s="279"/>
      <c r="M263" s="268">
        <v>1</v>
      </c>
      <c r="N263" s="268" t="b">
        <v>1</v>
      </c>
      <c r="O263" s="268">
        <v>5</v>
      </c>
      <c r="P263" s="281">
        <v>75</v>
      </c>
      <c r="Q263" s="281">
        <v>100</v>
      </c>
      <c r="R263" s="268" t="s">
        <v>3383</v>
      </c>
      <c r="S263" s="268"/>
      <c r="T263" s="268">
        <v>1</v>
      </c>
      <c r="U263" s="268" t="s">
        <v>4880</v>
      </c>
      <c r="V263" s="269">
        <v>2</v>
      </c>
      <c r="W263" s="269"/>
      <c r="X263" s="268" t="s">
        <v>4881</v>
      </c>
      <c r="Y263" s="269" t="s">
        <v>5094</v>
      </c>
      <c r="Z263" s="332" t="s">
        <v>5095</v>
      </c>
      <c r="AA263" s="268" t="s">
        <v>4884</v>
      </c>
      <c r="AB263" s="268"/>
      <c r="AC263" s="287">
        <v>1</v>
      </c>
      <c r="AD263" s="287">
        <v>1</v>
      </c>
      <c r="AE263" s="268"/>
      <c r="AF263" s="268"/>
      <c r="AG263" s="290"/>
    </row>
    <row r="264" spans="1:33" s="145" customFormat="1" x14ac:dyDescent="0.15">
      <c r="A264" s="267">
        <v>95111013</v>
      </c>
      <c r="B264" s="268" t="s">
        <v>5091</v>
      </c>
      <c r="C264" s="293" t="s">
        <v>971</v>
      </c>
      <c r="D264" s="293">
        <v>5011</v>
      </c>
      <c r="E264" s="268" t="s">
        <v>4876</v>
      </c>
      <c r="F264" s="268" t="s">
        <v>4877</v>
      </c>
      <c r="G264" s="269">
        <v>3</v>
      </c>
      <c r="H264" s="269">
        <v>0</v>
      </c>
      <c r="I264" s="267">
        <v>34</v>
      </c>
      <c r="J264" s="282" t="s">
        <v>5092</v>
      </c>
      <c r="K264" s="279" t="s">
        <v>5093</v>
      </c>
      <c r="L264" s="279"/>
      <c r="M264" s="268">
        <v>1</v>
      </c>
      <c r="N264" s="268" t="b">
        <v>1</v>
      </c>
      <c r="O264" s="268">
        <v>7</v>
      </c>
      <c r="P264" s="281">
        <v>105</v>
      </c>
      <c r="Q264" s="281">
        <v>140</v>
      </c>
      <c r="R264" s="268" t="s">
        <v>3383</v>
      </c>
      <c r="S264" s="268"/>
      <c r="T264" s="268">
        <v>1</v>
      </c>
      <c r="U264" s="268" t="s">
        <v>4880</v>
      </c>
      <c r="V264" s="269">
        <v>3</v>
      </c>
      <c r="W264" s="269"/>
      <c r="X264" s="268" t="s">
        <v>4881</v>
      </c>
      <c r="Y264" s="269" t="s">
        <v>5094</v>
      </c>
      <c r="Z264" s="332" t="s">
        <v>5095</v>
      </c>
      <c r="AA264" s="268" t="s">
        <v>4884</v>
      </c>
      <c r="AB264" s="268"/>
      <c r="AC264" s="287">
        <v>1</v>
      </c>
      <c r="AD264" s="287">
        <v>1</v>
      </c>
      <c r="AE264" s="268"/>
      <c r="AF264" s="268"/>
      <c r="AG264" s="290"/>
    </row>
    <row r="265" spans="1:33" s="145" customFormat="1" x14ac:dyDescent="0.15">
      <c r="A265" s="267">
        <v>95111014</v>
      </c>
      <c r="B265" s="268" t="s">
        <v>5091</v>
      </c>
      <c r="C265" s="293" t="s">
        <v>971</v>
      </c>
      <c r="D265" s="293">
        <v>5011</v>
      </c>
      <c r="E265" s="268" t="s">
        <v>4876</v>
      </c>
      <c r="F265" s="268" t="s">
        <v>4877</v>
      </c>
      <c r="G265" s="269">
        <v>4</v>
      </c>
      <c r="H265" s="269">
        <v>0</v>
      </c>
      <c r="I265" s="267">
        <v>34</v>
      </c>
      <c r="J265" s="282" t="s">
        <v>5092</v>
      </c>
      <c r="K265" s="279" t="s">
        <v>5093</v>
      </c>
      <c r="L265" s="279"/>
      <c r="M265" s="268">
        <v>1</v>
      </c>
      <c r="N265" s="268" t="b">
        <v>1</v>
      </c>
      <c r="O265" s="268">
        <v>10</v>
      </c>
      <c r="P265" s="281">
        <v>150</v>
      </c>
      <c r="Q265" s="281">
        <v>200</v>
      </c>
      <c r="R265" s="268" t="s">
        <v>3383</v>
      </c>
      <c r="S265" s="268"/>
      <c r="T265" s="268">
        <v>1</v>
      </c>
      <c r="U265" s="268" t="s">
        <v>4880</v>
      </c>
      <c r="V265" s="269">
        <v>4</v>
      </c>
      <c r="W265" s="269"/>
      <c r="X265" s="268" t="s">
        <v>4881</v>
      </c>
      <c r="Y265" s="269" t="s">
        <v>5094</v>
      </c>
      <c r="Z265" s="332" t="s">
        <v>5095</v>
      </c>
      <c r="AA265" s="268" t="s">
        <v>4884</v>
      </c>
      <c r="AB265" s="268"/>
      <c r="AC265" s="287">
        <v>1</v>
      </c>
      <c r="AD265" s="287">
        <v>1</v>
      </c>
      <c r="AE265" s="268"/>
      <c r="AF265" s="268"/>
      <c r="AG265" s="290"/>
    </row>
    <row r="266" spans="1:33" s="145" customFormat="1" x14ac:dyDescent="0.15">
      <c r="A266" s="267">
        <v>95111015</v>
      </c>
      <c r="B266" s="268" t="s">
        <v>5091</v>
      </c>
      <c r="C266" s="293" t="s">
        <v>971</v>
      </c>
      <c r="D266" s="293">
        <v>5011</v>
      </c>
      <c r="E266" s="268" t="s">
        <v>4876</v>
      </c>
      <c r="F266" s="268" t="s">
        <v>4877</v>
      </c>
      <c r="G266" s="269">
        <v>5</v>
      </c>
      <c r="H266" s="269">
        <v>0</v>
      </c>
      <c r="I266" s="267">
        <v>34</v>
      </c>
      <c r="J266" s="282" t="s">
        <v>5092</v>
      </c>
      <c r="K266" s="279" t="s">
        <v>5093</v>
      </c>
      <c r="L266" s="279"/>
      <c r="M266" s="268">
        <v>1</v>
      </c>
      <c r="N266" s="268" t="b">
        <v>1</v>
      </c>
      <c r="O266" s="268">
        <v>12</v>
      </c>
      <c r="P266" s="281">
        <v>180</v>
      </c>
      <c r="Q266" s="281">
        <v>240</v>
      </c>
      <c r="R266" s="268" t="s">
        <v>3383</v>
      </c>
      <c r="S266" s="268"/>
      <c r="T266" s="268">
        <v>1</v>
      </c>
      <c r="U266" s="268" t="s">
        <v>4880</v>
      </c>
      <c r="V266" s="269">
        <v>5</v>
      </c>
      <c r="W266" s="269"/>
      <c r="X266" s="268" t="s">
        <v>4881</v>
      </c>
      <c r="Y266" s="269" t="s">
        <v>5094</v>
      </c>
      <c r="Z266" s="332" t="s">
        <v>5095</v>
      </c>
      <c r="AA266" s="268" t="s">
        <v>4884</v>
      </c>
      <c r="AB266" s="268"/>
      <c r="AC266" s="287">
        <v>1</v>
      </c>
      <c r="AD266" s="287">
        <v>1</v>
      </c>
      <c r="AE266" s="268"/>
      <c r="AF266" s="268"/>
      <c r="AG266" s="290"/>
    </row>
    <row r="267" spans="1:33" s="145" customFormat="1" x14ac:dyDescent="0.15">
      <c r="A267" s="267">
        <v>95111016</v>
      </c>
      <c r="B267" s="268" t="s">
        <v>5091</v>
      </c>
      <c r="C267" s="293" t="s">
        <v>971</v>
      </c>
      <c r="D267" s="268">
        <v>5011</v>
      </c>
      <c r="E267" s="268" t="s">
        <v>4876</v>
      </c>
      <c r="F267" s="268" t="s">
        <v>4877</v>
      </c>
      <c r="G267" s="269">
        <v>6</v>
      </c>
      <c r="H267" s="269">
        <v>0</v>
      </c>
      <c r="I267" s="267">
        <v>34</v>
      </c>
      <c r="J267" s="282" t="s">
        <v>5092</v>
      </c>
      <c r="K267" s="279" t="s">
        <v>5093</v>
      </c>
      <c r="L267" s="279"/>
      <c r="M267" s="268">
        <v>1</v>
      </c>
      <c r="N267" s="268" t="b">
        <v>1</v>
      </c>
      <c r="O267" s="268">
        <v>25</v>
      </c>
      <c r="P267" s="281">
        <v>375</v>
      </c>
      <c r="Q267" s="281">
        <v>500</v>
      </c>
      <c r="R267" s="268" t="s">
        <v>3383</v>
      </c>
      <c r="S267" s="268"/>
      <c r="T267" s="268">
        <v>1</v>
      </c>
      <c r="U267" s="268" t="s">
        <v>4880</v>
      </c>
      <c r="V267" s="269">
        <v>7</v>
      </c>
      <c r="W267" s="269"/>
      <c r="X267" s="268" t="s">
        <v>4881</v>
      </c>
      <c r="Y267" s="269" t="s">
        <v>5094</v>
      </c>
      <c r="Z267" s="332" t="s">
        <v>5095</v>
      </c>
      <c r="AA267" s="268" t="s">
        <v>4884</v>
      </c>
      <c r="AB267" s="268"/>
      <c r="AC267" s="287">
        <v>1</v>
      </c>
      <c r="AD267" s="287">
        <v>1</v>
      </c>
      <c r="AE267" s="268"/>
      <c r="AF267" s="268"/>
      <c r="AG267" s="290"/>
    </row>
    <row r="268" spans="1:33" s="145" customFormat="1" x14ac:dyDescent="0.15">
      <c r="A268" s="267">
        <v>95111017</v>
      </c>
      <c r="B268" s="268" t="s">
        <v>5091</v>
      </c>
      <c r="C268" s="293" t="s">
        <v>971</v>
      </c>
      <c r="D268" s="268">
        <v>5011</v>
      </c>
      <c r="E268" s="268" t="s">
        <v>4876</v>
      </c>
      <c r="F268" s="268" t="s">
        <v>4877</v>
      </c>
      <c r="G268" s="269">
        <v>7</v>
      </c>
      <c r="H268" s="269">
        <v>0</v>
      </c>
      <c r="I268" s="267">
        <v>34</v>
      </c>
      <c r="J268" s="282" t="s">
        <v>5092</v>
      </c>
      <c r="K268" s="279" t="s">
        <v>5093</v>
      </c>
      <c r="L268" s="279"/>
      <c r="M268" s="268">
        <v>1</v>
      </c>
      <c r="N268" s="268" t="b">
        <v>1</v>
      </c>
      <c r="O268" s="268">
        <v>38</v>
      </c>
      <c r="P268" s="281">
        <v>570</v>
      </c>
      <c r="Q268" s="281">
        <v>760</v>
      </c>
      <c r="R268" s="268" t="s">
        <v>3383</v>
      </c>
      <c r="S268" s="268"/>
      <c r="T268" s="268">
        <v>1</v>
      </c>
      <c r="U268" s="268" t="s">
        <v>4880</v>
      </c>
      <c r="V268" s="269">
        <v>10</v>
      </c>
      <c r="W268" s="269"/>
      <c r="X268" s="268" t="s">
        <v>4881</v>
      </c>
      <c r="Y268" s="269" t="s">
        <v>5094</v>
      </c>
      <c r="Z268" s="332" t="s">
        <v>5095</v>
      </c>
      <c r="AA268" s="268" t="s">
        <v>4884</v>
      </c>
      <c r="AB268" s="268"/>
      <c r="AC268" s="287">
        <v>1</v>
      </c>
      <c r="AD268" s="287">
        <v>1</v>
      </c>
      <c r="AE268" s="268"/>
      <c r="AF268" s="268"/>
      <c r="AG268" s="290"/>
    </row>
    <row r="269" spans="1:33" s="258" customFormat="1" x14ac:dyDescent="0.15">
      <c r="A269" s="271">
        <v>95111018</v>
      </c>
      <c r="B269" s="272" t="s">
        <v>5096</v>
      </c>
      <c r="C269" s="272" t="s">
        <v>971</v>
      </c>
      <c r="D269" s="272">
        <v>5081</v>
      </c>
      <c r="E269" s="272" t="s">
        <v>4876</v>
      </c>
      <c r="F269" s="272" t="s">
        <v>4877</v>
      </c>
      <c r="G269" s="269">
        <v>6</v>
      </c>
      <c r="H269" s="273">
        <v>1</v>
      </c>
      <c r="I269" s="283">
        <v>34</v>
      </c>
      <c r="J269" s="284" t="s">
        <v>5092</v>
      </c>
      <c r="K269" s="285" t="s">
        <v>5093</v>
      </c>
      <c r="L269" s="272" t="s">
        <v>44</v>
      </c>
      <c r="M269" s="272">
        <v>1</v>
      </c>
      <c r="N269" s="272" t="b">
        <v>1</v>
      </c>
      <c r="O269" s="272">
        <v>51</v>
      </c>
      <c r="P269" s="281">
        <v>765</v>
      </c>
      <c r="Q269" s="281">
        <v>1020</v>
      </c>
      <c r="R269" s="272" t="s">
        <v>3383</v>
      </c>
      <c r="S269" s="272"/>
      <c r="T269" s="272">
        <v>1</v>
      </c>
      <c r="U269" s="272" t="s">
        <v>4880</v>
      </c>
      <c r="V269" s="273">
        <v>10</v>
      </c>
      <c r="W269" s="273"/>
      <c r="X269" s="272" t="s">
        <v>4881</v>
      </c>
      <c r="Y269" s="333" t="s">
        <v>5094</v>
      </c>
      <c r="Z269" s="334" t="s">
        <v>5095</v>
      </c>
      <c r="AA269" s="272" t="s">
        <v>4884</v>
      </c>
      <c r="AB269" s="272"/>
      <c r="AC269" s="289">
        <v>1</v>
      </c>
      <c r="AD269" s="289">
        <v>1</v>
      </c>
      <c r="AE269" s="289"/>
      <c r="AF269" s="272"/>
      <c r="AG269" s="272"/>
    </row>
    <row r="270" spans="1:33" s="258" customFormat="1" x14ac:dyDescent="0.15">
      <c r="A270" s="271">
        <v>95111019</v>
      </c>
      <c r="B270" s="272" t="s">
        <v>5097</v>
      </c>
      <c r="C270" s="272" t="s">
        <v>971</v>
      </c>
      <c r="D270" s="272">
        <v>5081</v>
      </c>
      <c r="E270" s="272" t="s">
        <v>4876</v>
      </c>
      <c r="F270" s="272" t="s">
        <v>4877</v>
      </c>
      <c r="G270" s="269">
        <v>6</v>
      </c>
      <c r="H270" s="273">
        <v>1</v>
      </c>
      <c r="I270" s="283">
        <v>34</v>
      </c>
      <c r="J270" s="284" t="s">
        <v>5092</v>
      </c>
      <c r="K270" s="285" t="s">
        <v>5093</v>
      </c>
      <c r="L270" s="272" t="s">
        <v>4887</v>
      </c>
      <c r="M270" s="272">
        <v>1</v>
      </c>
      <c r="N270" s="272" t="b">
        <v>1</v>
      </c>
      <c r="O270" s="272">
        <v>64</v>
      </c>
      <c r="P270" s="281">
        <v>960</v>
      </c>
      <c r="Q270" s="281">
        <v>1280</v>
      </c>
      <c r="R270" s="272" t="s">
        <v>3383</v>
      </c>
      <c r="S270" s="272"/>
      <c r="T270" s="272">
        <v>1</v>
      </c>
      <c r="U270" s="272" t="s">
        <v>4880</v>
      </c>
      <c r="V270" s="273">
        <v>10</v>
      </c>
      <c r="W270" s="273"/>
      <c r="X270" s="272" t="s">
        <v>4881</v>
      </c>
      <c r="Y270" s="333" t="s">
        <v>5094</v>
      </c>
      <c r="Z270" s="334" t="s">
        <v>5095</v>
      </c>
      <c r="AA270" s="272" t="s">
        <v>4884</v>
      </c>
      <c r="AB270" s="272"/>
      <c r="AC270" s="289">
        <v>1</v>
      </c>
      <c r="AD270" s="289">
        <v>1</v>
      </c>
      <c r="AE270" s="289"/>
      <c r="AF270" s="272"/>
      <c r="AG270" s="272"/>
    </row>
    <row r="271" spans="1:33" s="258" customFormat="1" x14ac:dyDescent="0.15">
      <c r="A271" s="271">
        <v>95111020</v>
      </c>
      <c r="B271" s="272" t="s">
        <v>5098</v>
      </c>
      <c r="C271" s="272" t="s">
        <v>971</v>
      </c>
      <c r="D271" s="272">
        <v>5081</v>
      </c>
      <c r="E271" s="272" t="s">
        <v>4876</v>
      </c>
      <c r="F271" s="272" t="s">
        <v>4877</v>
      </c>
      <c r="G271" s="269">
        <v>7</v>
      </c>
      <c r="H271" s="273">
        <v>0</v>
      </c>
      <c r="I271" s="283">
        <v>34</v>
      </c>
      <c r="J271" s="284" t="s">
        <v>5092</v>
      </c>
      <c r="K271" s="285" t="s">
        <v>5093</v>
      </c>
      <c r="L271" s="272" t="s">
        <v>4889</v>
      </c>
      <c r="M271" s="272">
        <v>1</v>
      </c>
      <c r="N271" s="272" t="b">
        <v>1</v>
      </c>
      <c r="O271" s="272">
        <v>77</v>
      </c>
      <c r="P271" s="281">
        <v>1155</v>
      </c>
      <c r="Q271" s="281">
        <v>1540</v>
      </c>
      <c r="R271" s="272" t="s">
        <v>3383</v>
      </c>
      <c r="S271" s="272"/>
      <c r="T271" s="272">
        <v>1</v>
      </c>
      <c r="U271" s="272" t="s">
        <v>4880</v>
      </c>
      <c r="V271" s="273">
        <v>10</v>
      </c>
      <c r="W271" s="273"/>
      <c r="X271" s="272" t="s">
        <v>4881</v>
      </c>
      <c r="Y271" s="333" t="s">
        <v>5094</v>
      </c>
      <c r="Z271" s="334" t="s">
        <v>5095</v>
      </c>
      <c r="AA271" s="272" t="s">
        <v>4884</v>
      </c>
      <c r="AB271" s="272"/>
      <c r="AC271" s="289">
        <v>1</v>
      </c>
      <c r="AD271" s="289">
        <v>1</v>
      </c>
      <c r="AE271" s="289"/>
      <c r="AF271" s="272"/>
      <c r="AG271" s="272"/>
    </row>
    <row r="272" spans="1:33" s="145" customFormat="1" x14ac:dyDescent="0.15">
      <c r="A272" s="267">
        <v>95120011</v>
      </c>
      <c r="B272" s="268" t="s">
        <v>5099</v>
      </c>
      <c r="C272" s="293" t="s">
        <v>1063</v>
      </c>
      <c r="D272" s="293">
        <v>5091</v>
      </c>
      <c r="E272" s="268" t="s">
        <v>4876</v>
      </c>
      <c r="F272" s="268" t="s">
        <v>4877</v>
      </c>
      <c r="G272" s="269">
        <v>1</v>
      </c>
      <c r="H272" s="269">
        <v>0</v>
      </c>
      <c r="I272" s="267">
        <v>34</v>
      </c>
      <c r="J272" s="282" t="s">
        <v>5100</v>
      </c>
      <c r="K272" s="279" t="s">
        <v>5101</v>
      </c>
      <c r="L272" s="279"/>
      <c r="M272" s="268">
        <v>1</v>
      </c>
      <c r="N272" s="268" t="b">
        <v>1</v>
      </c>
      <c r="O272" s="268">
        <v>2</v>
      </c>
      <c r="P272" s="281">
        <v>30</v>
      </c>
      <c r="Q272" s="281">
        <v>40</v>
      </c>
      <c r="R272" s="268" t="s">
        <v>3383</v>
      </c>
      <c r="S272" s="268"/>
      <c r="T272" s="268">
        <v>1</v>
      </c>
      <c r="U272" s="268" t="s">
        <v>4880</v>
      </c>
      <c r="V272" s="269">
        <v>1</v>
      </c>
      <c r="W272" s="269"/>
      <c r="X272" s="268" t="s">
        <v>4881</v>
      </c>
      <c r="Y272" s="269" t="s">
        <v>5102</v>
      </c>
      <c r="Z272" s="332" t="s">
        <v>5103</v>
      </c>
      <c r="AA272" s="268" t="s">
        <v>4884</v>
      </c>
      <c r="AB272" s="268"/>
      <c r="AC272" s="287">
        <v>1</v>
      </c>
      <c r="AD272" s="287">
        <v>1</v>
      </c>
      <c r="AE272" s="268"/>
      <c r="AF272" s="268"/>
      <c r="AG272" s="290"/>
    </row>
    <row r="273" spans="1:33" s="145" customFormat="1" x14ac:dyDescent="0.15">
      <c r="A273" s="267">
        <v>95120012</v>
      </c>
      <c r="B273" s="268" t="s">
        <v>5099</v>
      </c>
      <c r="C273" s="293" t="s">
        <v>1063</v>
      </c>
      <c r="D273" s="293">
        <v>5091</v>
      </c>
      <c r="E273" s="268" t="s">
        <v>4876</v>
      </c>
      <c r="F273" s="268" t="s">
        <v>4877</v>
      </c>
      <c r="G273" s="269">
        <v>2</v>
      </c>
      <c r="H273" s="269">
        <v>0</v>
      </c>
      <c r="I273" s="267">
        <v>34</v>
      </c>
      <c r="J273" s="282" t="s">
        <v>5100</v>
      </c>
      <c r="K273" s="279" t="s">
        <v>5101</v>
      </c>
      <c r="L273" s="279"/>
      <c r="M273" s="268">
        <v>1</v>
      </c>
      <c r="N273" s="268" t="b">
        <v>1</v>
      </c>
      <c r="O273" s="268">
        <v>5</v>
      </c>
      <c r="P273" s="281">
        <v>75</v>
      </c>
      <c r="Q273" s="281">
        <v>100</v>
      </c>
      <c r="R273" s="268" t="s">
        <v>3383</v>
      </c>
      <c r="S273" s="268"/>
      <c r="T273" s="268">
        <v>1</v>
      </c>
      <c r="U273" s="268" t="s">
        <v>4880</v>
      </c>
      <c r="V273" s="269">
        <v>2</v>
      </c>
      <c r="W273" s="269"/>
      <c r="X273" s="268" t="s">
        <v>4881</v>
      </c>
      <c r="Y273" s="269" t="s">
        <v>5102</v>
      </c>
      <c r="Z273" s="332" t="s">
        <v>5103</v>
      </c>
      <c r="AA273" s="268" t="s">
        <v>4884</v>
      </c>
      <c r="AB273" s="268"/>
      <c r="AC273" s="287">
        <v>1</v>
      </c>
      <c r="AD273" s="287">
        <v>1</v>
      </c>
      <c r="AE273" s="268"/>
      <c r="AF273" s="268"/>
      <c r="AG273" s="290"/>
    </row>
    <row r="274" spans="1:33" s="145" customFormat="1" x14ac:dyDescent="0.15">
      <c r="A274" s="267">
        <v>95120013</v>
      </c>
      <c r="B274" s="268" t="s">
        <v>5099</v>
      </c>
      <c r="C274" s="293" t="s">
        <v>1063</v>
      </c>
      <c r="D274" s="293">
        <v>5091</v>
      </c>
      <c r="E274" s="268" t="s">
        <v>4876</v>
      </c>
      <c r="F274" s="268" t="s">
        <v>4877</v>
      </c>
      <c r="G274" s="269">
        <v>3</v>
      </c>
      <c r="H274" s="269">
        <v>0</v>
      </c>
      <c r="I274" s="267">
        <v>34</v>
      </c>
      <c r="J274" s="282" t="s">
        <v>5100</v>
      </c>
      <c r="K274" s="279" t="s">
        <v>5101</v>
      </c>
      <c r="L274" s="279"/>
      <c r="M274" s="268">
        <v>1</v>
      </c>
      <c r="N274" s="268" t="b">
        <v>1</v>
      </c>
      <c r="O274" s="268">
        <v>7</v>
      </c>
      <c r="P274" s="281">
        <v>105</v>
      </c>
      <c r="Q274" s="281">
        <v>140</v>
      </c>
      <c r="R274" s="268" t="s">
        <v>3383</v>
      </c>
      <c r="S274" s="268"/>
      <c r="T274" s="268">
        <v>1</v>
      </c>
      <c r="U274" s="268" t="s">
        <v>4880</v>
      </c>
      <c r="V274" s="269">
        <v>3</v>
      </c>
      <c r="W274" s="269"/>
      <c r="X274" s="268" t="s">
        <v>4881</v>
      </c>
      <c r="Y274" s="269" t="s">
        <v>5102</v>
      </c>
      <c r="Z274" s="332" t="s">
        <v>5103</v>
      </c>
      <c r="AA274" s="268" t="s">
        <v>4884</v>
      </c>
      <c r="AB274" s="268"/>
      <c r="AC274" s="287">
        <v>1</v>
      </c>
      <c r="AD274" s="287">
        <v>1</v>
      </c>
      <c r="AE274" s="268"/>
      <c r="AF274" s="268"/>
      <c r="AG274" s="290"/>
    </row>
    <row r="275" spans="1:33" s="145" customFormat="1" x14ac:dyDescent="0.15">
      <c r="A275" s="267">
        <v>95120014</v>
      </c>
      <c r="B275" s="268" t="s">
        <v>5099</v>
      </c>
      <c r="C275" s="293" t="s">
        <v>1063</v>
      </c>
      <c r="D275" s="293">
        <v>5091</v>
      </c>
      <c r="E275" s="268" t="s">
        <v>4876</v>
      </c>
      <c r="F275" s="268" t="s">
        <v>4877</v>
      </c>
      <c r="G275" s="269">
        <v>4</v>
      </c>
      <c r="H275" s="269">
        <v>0</v>
      </c>
      <c r="I275" s="267">
        <v>34</v>
      </c>
      <c r="J275" s="282" t="s">
        <v>5100</v>
      </c>
      <c r="K275" s="279" t="s">
        <v>5101</v>
      </c>
      <c r="L275" s="279"/>
      <c r="M275" s="268">
        <v>1</v>
      </c>
      <c r="N275" s="268" t="b">
        <v>1</v>
      </c>
      <c r="O275" s="268">
        <v>10</v>
      </c>
      <c r="P275" s="281">
        <v>150</v>
      </c>
      <c r="Q275" s="281">
        <v>200</v>
      </c>
      <c r="R275" s="268" t="s">
        <v>3383</v>
      </c>
      <c r="S275" s="268"/>
      <c r="T275" s="268">
        <v>1</v>
      </c>
      <c r="U275" s="268" t="s">
        <v>4880</v>
      </c>
      <c r="V275" s="269">
        <v>4</v>
      </c>
      <c r="W275" s="269"/>
      <c r="X275" s="268" t="s">
        <v>4881</v>
      </c>
      <c r="Y275" s="269" t="s">
        <v>5102</v>
      </c>
      <c r="Z275" s="332" t="s">
        <v>5103</v>
      </c>
      <c r="AA275" s="268" t="s">
        <v>4884</v>
      </c>
      <c r="AB275" s="268"/>
      <c r="AC275" s="287">
        <v>1</v>
      </c>
      <c r="AD275" s="287">
        <v>1</v>
      </c>
      <c r="AE275" s="268"/>
      <c r="AF275" s="268"/>
      <c r="AG275" s="290"/>
    </row>
    <row r="276" spans="1:33" s="145" customFormat="1" x14ac:dyDescent="0.15">
      <c r="A276" s="267">
        <v>95120015</v>
      </c>
      <c r="B276" s="268" t="s">
        <v>5099</v>
      </c>
      <c r="C276" s="293" t="s">
        <v>1063</v>
      </c>
      <c r="D276" s="293">
        <v>5091</v>
      </c>
      <c r="E276" s="268" t="s">
        <v>4876</v>
      </c>
      <c r="F276" s="268" t="s">
        <v>4877</v>
      </c>
      <c r="G276" s="269">
        <v>5</v>
      </c>
      <c r="H276" s="269">
        <v>0</v>
      </c>
      <c r="I276" s="267">
        <v>34</v>
      </c>
      <c r="J276" s="282" t="s">
        <v>5100</v>
      </c>
      <c r="K276" s="279" t="s">
        <v>5101</v>
      </c>
      <c r="L276" s="279"/>
      <c r="M276" s="268">
        <v>1</v>
      </c>
      <c r="N276" s="268" t="b">
        <v>1</v>
      </c>
      <c r="O276" s="268">
        <v>12</v>
      </c>
      <c r="P276" s="281">
        <v>180</v>
      </c>
      <c r="Q276" s="281">
        <v>240</v>
      </c>
      <c r="R276" s="268" t="s">
        <v>3383</v>
      </c>
      <c r="S276" s="268"/>
      <c r="T276" s="268">
        <v>1</v>
      </c>
      <c r="U276" s="268" t="s">
        <v>4880</v>
      </c>
      <c r="V276" s="269">
        <v>5</v>
      </c>
      <c r="W276" s="269"/>
      <c r="X276" s="268" t="s">
        <v>4881</v>
      </c>
      <c r="Y276" s="269" t="s">
        <v>5102</v>
      </c>
      <c r="Z276" s="332" t="s">
        <v>5103</v>
      </c>
      <c r="AA276" s="268" t="s">
        <v>4884</v>
      </c>
      <c r="AB276" s="268"/>
      <c r="AC276" s="287">
        <v>1</v>
      </c>
      <c r="AD276" s="287">
        <v>1</v>
      </c>
      <c r="AE276" s="268"/>
      <c r="AF276" s="268"/>
      <c r="AG276" s="290"/>
    </row>
    <row r="277" spans="1:33" s="145" customFormat="1" ht="16.149999999999999" customHeight="1" x14ac:dyDescent="0.15">
      <c r="A277" s="270">
        <v>95120016</v>
      </c>
      <c r="B277" s="268" t="s">
        <v>5099</v>
      </c>
      <c r="C277" s="268" t="s">
        <v>1063</v>
      </c>
      <c r="D277" s="268">
        <v>5091</v>
      </c>
      <c r="E277" s="268" t="s">
        <v>4876</v>
      </c>
      <c r="F277" s="268" t="s">
        <v>4877</v>
      </c>
      <c r="G277" s="269">
        <v>6</v>
      </c>
      <c r="H277" s="269">
        <v>0</v>
      </c>
      <c r="I277" s="267">
        <v>34</v>
      </c>
      <c r="J277" s="282" t="s">
        <v>5100</v>
      </c>
      <c r="K277" s="279" t="s">
        <v>5101</v>
      </c>
      <c r="L277" s="279"/>
      <c r="M277" s="268">
        <v>1</v>
      </c>
      <c r="N277" s="268" t="b">
        <v>1</v>
      </c>
      <c r="O277" s="268">
        <v>25</v>
      </c>
      <c r="P277" s="281">
        <v>375</v>
      </c>
      <c r="Q277" s="281">
        <v>500</v>
      </c>
      <c r="R277" s="268" t="s">
        <v>3383</v>
      </c>
      <c r="S277" s="268"/>
      <c r="T277" s="268">
        <v>1</v>
      </c>
      <c r="U277" s="268" t="s">
        <v>4880</v>
      </c>
      <c r="V277" s="269">
        <v>7</v>
      </c>
      <c r="W277" s="269"/>
      <c r="X277" s="268" t="s">
        <v>4881</v>
      </c>
      <c r="Y277" s="331" t="s">
        <v>5102</v>
      </c>
      <c r="Z277" s="332" t="s">
        <v>5103</v>
      </c>
      <c r="AA277" s="268" t="s">
        <v>4884</v>
      </c>
      <c r="AB277" s="268"/>
      <c r="AC277" s="287">
        <v>1</v>
      </c>
      <c r="AD277" s="287">
        <v>1</v>
      </c>
      <c r="AE277" s="268"/>
      <c r="AF277" s="268"/>
      <c r="AG277" s="290"/>
    </row>
    <row r="278" spans="1:33" s="145" customFormat="1" x14ac:dyDescent="0.15">
      <c r="A278" s="270">
        <v>95120017</v>
      </c>
      <c r="B278" s="268" t="s">
        <v>5099</v>
      </c>
      <c r="C278" s="268" t="s">
        <v>1063</v>
      </c>
      <c r="D278" s="268">
        <v>5091</v>
      </c>
      <c r="E278" s="268" t="s">
        <v>4876</v>
      </c>
      <c r="F278" s="268" t="s">
        <v>4877</v>
      </c>
      <c r="G278" s="269">
        <v>7</v>
      </c>
      <c r="H278" s="269">
        <v>0</v>
      </c>
      <c r="I278" s="267">
        <v>34</v>
      </c>
      <c r="J278" s="282" t="s">
        <v>5100</v>
      </c>
      <c r="K278" s="279" t="s">
        <v>5101</v>
      </c>
      <c r="L278" s="279"/>
      <c r="M278" s="268">
        <v>1</v>
      </c>
      <c r="N278" s="268" t="b">
        <v>1</v>
      </c>
      <c r="O278" s="268">
        <v>38</v>
      </c>
      <c r="P278" s="281">
        <v>570</v>
      </c>
      <c r="Q278" s="281">
        <v>760</v>
      </c>
      <c r="R278" s="268" t="s">
        <v>3383</v>
      </c>
      <c r="S278" s="268"/>
      <c r="T278" s="268">
        <v>1</v>
      </c>
      <c r="U278" s="268" t="s">
        <v>4880</v>
      </c>
      <c r="V278" s="269">
        <v>10</v>
      </c>
      <c r="W278" s="269"/>
      <c r="X278" s="268" t="s">
        <v>4881</v>
      </c>
      <c r="Y278" s="331" t="s">
        <v>5102</v>
      </c>
      <c r="Z278" s="332" t="s">
        <v>5103</v>
      </c>
      <c r="AA278" s="268" t="s">
        <v>4884</v>
      </c>
      <c r="AB278" s="268"/>
      <c r="AC278" s="287">
        <v>1</v>
      </c>
      <c r="AD278" s="287">
        <v>1</v>
      </c>
      <c r="AE278" s="268"/>
      <c r="AF278" s="268"/>
      <c r="AG278" s="290"/>
    </row>
    <row r="279" spans="1:33" s="258" customFormat="1" x14ac:dyDescent="0.15">
      <c r="A279" s="271">
        <v>95120018</v>
      </c>
      <c r="B279" s="272" t="s">
        <v>5104</v>
      </c>
      <c r="C279" s="272" t="s">
        <v>1063</v>
      </c>
      <c r="D279" s="272">
        <v>5081</v>
      </c>
      <c r="E279" s="272" t="s">
        <v>4876</v>
      </c>
      <c r="F279" s="272" t="s">
        <v>4877</v>
      </c>
      <c r="G279" s="269">
        <v>6</v>
      </c>
      <c r="H279" s="273">
        <v>1</v>
      </c>
      <c r="I279" s="283">
        <v>34</v>
      </c>
      <c r="J279" s="284" t="s">
        <v>5100</v>
      </c>
      <c r="K279" s="285" t="s">
        <v>5101</v>
      </c>
      <c r="L279" s="272" t="s">
        <v>44</v>
      </c>
      <c r="M279" s="272">
        <v>1</v>
      </c>
      <c r="N279" s="272" t="b">
        <v>1</v>
      </c>
      <c r="O279" s="272">
        <v>51</v>
      </c>
      <c r="P279" s="281">
        <v>765</v>
      </c>
      <c r="Q279" s="281">
        <v>1020</v>
      </c>
      <c r="R279" s="272" t="s">
        <v>3383</v>
      </c>
      <c r="S279" s="272"/>
      <c r="T279" s="272">
        <v>1</v>
      </c>
      <c r="U279" s="272" t="s">
        <v>4880</v>
      </c>
      <c r="V279" s="273">
        <v>10</v>
      </c>
      <c r="W279" s="273"/>
      <c r="X279" s="272" t="s">
        <v>4881</v>
      </c>
      <c r="Y279" s="333" t="s">
        <v>5102</v>
      </c>
      <c r="Z279" s="334" t="s">
        <v>5103</v>
      </c>
      <c r="AA279" s="272" t="s">
        <v>4884</v>
      </c>
      <c r="AB279" s="272"/>
      <c r="AC279" s="289">
        <v>1</v>
      </c>
      <c r="AD279" s="289">
        <v>1</v>
      </c>
      <c r="AE279" s="289"/>
      <c r="AF279" s="272"/>
      <c r="AG279" s="272"/>
    </row>
    <row r="280" spans="1:33" s="258" customFormat="1" x14ac:dyDescent="0.15">
      <c r="A280" s="271">
        <v>95120019</v>
      </c>
      <c r="B280" s="272" t="s">
        <v>5105</v>
      </c>
      <c r="C280" s="272" t="s">
        <v>1063</v>
      </c>
      <c r="D280" s="272">
        <v>5081</v>
      </c>
      <c r="E280" s="272" t="s">
        <v>4876</v>
      </c>
      <c r="F280" s="272" t="s">
        <v>4877</v>
      </c>
      <c r="G280" s="269">
        <v>6</v>
      </c>
      <c r="H280" s="273">
        <v>1</v>
      </c>
      <c r="I280" s="283">
        <v>34</v>
      </c>
      <c r="J280" s="284" t="s">
        <v>5100</v>
      </c>
      <c r="K280" s="285" t="s">
        <v>5101</v>
      </c>
      <c r="L280" s="272" t="s">
        <v>4887</v>
      </c>
      <c r="M280" s="272">
        <v>1</v>
      </c>
      <c r="N280" s="272" t="b">
        <v>1</v>
      </c>
      <c r="O280" s="272">
        <v>64</v>
      </c>
      <c r="P280" s="281">
        <v>960</v>
      </c>
      <c r="Q280" s="281">
        <v>1280</v>
      </c>
      <c r="R280" s="272" t="s">
        <v>3383</v>
      </c>
      <c r="S280" s="272"/>
      <c r="T280" s="272">
        <v>1</v>
      </c>
      <c r="U280" s="272" t="s">
        <v>4880</v>
      </c>
      <c r="V280" s="273">
        <v>10</v>
      </c>
      <c r="W280" s="273"/>
      <c r="X280" s="272" t="s">
        <v>4881</v>
      </c>
      <c r="Y280" s="333" t="s">
        <v>5102</v>
      </c>
      <c r="Z280" s="334" t="s">
        <v>5103</v>
      </c>
      <c r="AA280" s="272" t="s">
        <v>4884</v>
      </c>
      <c r="AB280" s="272"/>
      <c r="AC280" s="289">
        <v>1</v>
      </c>
      <c r="AD280" s="289">
        <v>1</v>
      </c>
      <c r="AE280" s="289"/>
      <c r="AF280" s="272"/>
      <c r="AG280" s="272"/>
    </row>
    <row r="281" spans="1:33" s="258" customFormat="1" x14ac:dyDescent="0.15">
      <c r="A281" s="271">
        <v>95120020</v>
      </c>
      <c r="B281" s="272" t="s">
        <v>5106</v>
      </c>
      <c r="C281" s="272" t="s">
        <v>1063</v>
      </c>
      <c r="D281" s="272">
        <v>5081</v>
      </c>
      <c r="E281" s="272" t="s">
        <v>4876</v>
      </c>
      <c r="F281" s="272" t="s">
        <v>4877</v>
      </c>
      <c r="G281" s="269">
        <v>7</v>
      </c>
      <c r="H281" s="273">
        <v>0</v>
      </c>
      <c r="I281" s="283">
        <v>34</v>
      </c>
      <c r="J281" s="284" t="s">
        <v>5100</v>
      </c>
      <c r="K281" s="285" t="s">
        <v>5101</v>
      </c>
      <c r="L281" s="272" t="s">
        <v>4889</v>
      </c>
      <c r="M281" s="272">
        <v>1</v>
      </c>
      <c r="N281" s="272" t="b">
        <v>1</v>
      </c>
      <c r="O281" s="272">
        <v>77</v>
      </c>
      <c r="P281" s="281">
        <v>1155</v>
      </c>
      <c r="Q281" s="281">
        <v>1540</v>
      </c>
      <c r="R281" s="272" t="s">
        <v>3383</v>
      </c>
      <c r="S281" s="272"/>
      <c r="T281" s="272">
        <v>1</v>
      </c>
      <c r="U281" s="272" t="s">
        <v>4880</v>
      </c>
      <c r="V281" s="273">
        <v>10</v>
      </c>
      <c r="W281" s="273"/>
      <c r="X281" s="272" t="s">
        <v>4881</v>
      </c>
      <c r="Y281" s="333" t="s">
        <v>5102</v>
      </c>
      <c r="Z281" s="334" t="s">
        <v>5103</v>
      </c>
      <c r="AA281" s="272" t="s">
        <v>4884</v>
      </c>
      <c r="AB281" s="272"/>
      <c r="AC281" s="289">
        <v>1</v>
      </c>
      <c r="AD281" s="289">
        <v>1</v>
      </c>
      <c r="AE281" s="289"/>
      <c r="AF281" s="272"/>
      <c r="AG281" s="272"/>
    </row>
    <row r="282" spans="1:33" s="145" customFormat="1" x14ac:dyDescent="0.15">
      <c r="A282" s="267">
        <v>95130011</v>
      </c>
      <c r="B282" s="268" t="s">
        <v>5107</v>
      </c>
      <c r="C282" s="293" t="s">
        <v>1136</v>
      </c>
      <c r="D282" s="293">
        <v>5091</v>
      </c>
      <c r="E282" s="268" t="s">
        <v>4876</v>
      </c>
      <c r="F282" s="268" t="s">
        <v>4877</v>
      </c>
      <c r="G282" s="269">
        <v>1</v>
      </c>
      <c r="H282" s="269">
        <v>0</v>
      </c>
      <c r="I282" s="267">
        <v>34</v>
      </c>
      <c r="J282" s="282" t="s">
        <v>5108</v>
      </c>
      <c r="K282" s="279" t="s">
        <v>5109</v>
      </c>
      <c r="L282" s="279"/>
      <c r="M282" s="268">
        <v>1</v>
      </c>
      <c r="N282" s="268" t="b">
        <v>1</v>
      </c>
      <c r="O282" s="268">
        <v>2</v>
      </c>
      <c r="P282" s="281">
        <v>30</v>
      </c>
      <c r="Q282" s="281">
        <v>40</v>
      </c>
      <c r="R282" s="268" t="s">
        <v>3383</v>
      </c>
      <c r="S282" s="268"/>
      <c r="T282" s="268">
        <v>1</v>
      </c>
      <c r="U282" s="268" t="s">
        <v>4880</v>
      </c>
      <c r="V282" s="269">
        <v>1</v>
      </c>
      <c r="W282" s="269"/>
      <c r="X282" s="268" t="s">
        <v>4881</v>
      </c>
      <c r="Y282" s="269" t="s">
        <v>5110</v>
      </c>
      <c r="Z282" s="332" t="s">
        <v>5111</v>
      </c>
      <c r="AA282" s="268" t="s">
        <v>4884</v>
      </c>
      <c r="AB282" s="268"/>
      <c r="AC282" s="287">
        <v>1</v>
      </c>
      <c r="AD282" s="287">
        <v>1</v>
      </c>
      <c r="AE282" s="268"/>
      <c r="AF282" s="268"/>
      <c r="AG282" s="290"/>
    </row>
    <row r="283" spans="1:33" s="145" customFormat="1" x14ac:dyDescent="0.15">
      <c r="A283" s="267">
        <v>95130012</v>
      </c>
      <c r="B283" s="268" t="s">
        <v>5107</v>
      </c>
      <c r="C283" s="293" t="s">
        <v>1136</v>
      </c>
      <c r="D283" s="293">
        <v>5091</v>
      </c>
      <c r="E283" s="268" t="s">
        <v>4876</v>
      </c>
      <c r="F283" s="268" t="s">
        <v>4877</v>
      </c>
      <c r="G283" s="269">
        <v>2</v>
      </c>
      <c r="H283" s="269">
        <v>0</v>
      </c>
      <c r="I283" s="267">
        <v>34</v>
      </c>
      <c r="J283" s="282" t="s">
        <v>5108</v>
      </c>
      <c r="K283" s="279" t="s">
        <v>5109</v>
      </c>
      <c r="L283" s="279"/>
      <c r="M283" s="268">
        <v>1</v>
      </c>
      <c r="N283" s="268" t="b">
        <v>1</v>
      </c>
      <c r="O283" s="268">
        <v>5</v>
      </c>
      <c r="P283" s="281">
        <v>75</v>
      </c>
      <c r="Q283" s="281">
        <v>100</v>
      </c>
      <c r="R283" s="268" t="s">
        <v>3383</v>
      </c>
      <c r="S283" s="268"/>
      <c r="T283" s="268">
        <v>1</v>
      </c>
      <c r="U283" s="268" t="s">
        <v>4880</v>
      </c>
      <c r="V283" s="269">
        <v>2</v>
      </c>
      <c r="W283" s="269"/>
      <c r="X283" s="268" t="s">
        <v>4881</v>
      </c>
      <c r="Y283" s="269" t="s">
        <v>5110</v>
      </c>
      <c r="Z283" s="332" t="s">
        <v>5111</v>
      </c>
      <c r="AA283" s="268" t="s">
        <v>4884</v>
      </c>
      <c r="AB283" s="268"/>
      <c r="AC283" s="287">
        <v>1</v>
      </c>
      <c r="AD283" s="287">
        <v>1</v>
      </c>
      <c r="AE283" s="268"/>
      <c r="AF283" s="268"/>
      <c r="AG283" s="290"/>
    </row>
    <row r="284" spans="1:33" s="145" customFormat="1" x14ac:dyDescent="0.15">
      <c r="A284" s="267">
        <v>95130013</v>
      </c>
      <c r="B284" s="268" t="s">
        <v>5107</v>
      </c>
      <c r="C284" s="293" t="s">
        <v>1136</v>
      </c>
      <c r="D284" s="293">
        <v>5091</v>
      </c>
      <c r="E284" s="268" t="s">
        <v>4876</v>
      </c>
      <c r="F284" s="268" t="s">
        <v>4877</v>
      </c>
      <c r="G284" s="269">
        <v>3</v>
      </c>
      <c r="H284" s="269">
        <v>0</v>
      </c>
      <c r="I284" s="267">
        <v>34</v>
      </c>
      <c r="J284" s="282" t="s">
        <v>5108</v>
      </c>
      <c r="K284" s="279" t="s">
        <v>5109</v>
      </c>
      <c r="L284" s="279"/>
      <c r="M284" s="268">
        <v>1</v>
      </c>
      <c r="N284" s="268" t="b">
        <v>1</v>
      </c>
      <c r="O284" s="268">
        <v>7</v>
      </c>
      <c r="P284" s="281">
        <v>105</v>
      </c>
      <c r="Q284" s="281">
        <v>140</v>
      </c>
      <c r="R284" s="268" t="s">
        <v>3383</v>
      </c>
      <c r="S284" s="268"/>
      <c r="T284" s="268">
        <v>1</v>
      </c>
      <c r="U284" s="268" t="s">
        <v>4880</v>
      </c>
      <c r="V284" s="269">
        <v>3</v>
      </c>
      <c r="W284" s="269"/>
      <c r="X284" s="268" t="s">
        <v>4881</v>
      </c>
      <c r="Y284" s="269" t="s">
        <v>5110</v>
      </c>
      <c r="Z284" s="332" t="s">
        <v>5111</v>
      </c>
      <c r="AA284" s="268" t="s">
        <v>4884</v>
      </c>
      <c r="AB284" s="268"/>
      <c r="AC284" s="287">
        <v>1</v>
      </c>
      <c r="AD284" s="287">
        <v>1</v>
      </c>
      <c r="AE284" s="268"/>
      <c r="AF284" s="268"/>
      <c r="AG284" s="290"/>
    </row>
    <row r="285" spans="1:33" s="145" customFormat="1" x14ac:dyDescent="0.15">
      <c r="A285" s="267">
        <v>95130014</v>
      </c>
      <c r="B285" s="268" t="s">
        <v>5107</v>
      </c>
      <c r="C285" s="293" t="s">
        <v>1136</v>
      </c>
      <c r="D285" s="293">
        <v>5091</v>
      </c>
      <c r="E285" s="268" t="s">
        <v>4876</v>
      </c>
      <c r="F285" s="268" t="s">
        <v>4877</v>
      </c>
      <c r="G285" s="269">
        <v>4</v>
      </c>
      <c r="H285" s="269">
        <v>0</v>
      </c>
      <c r="I285" s="267">
        <v>34</v>
      </c>
      <c r="J285" s="282" t="s">
        <v>5108</v>
      </c>
      <c r="K285" s="279" t="s">
        <v>5109</v>
      </c>
      <c r="L285" s="279"/>
      <c r="M285" s="268">
        <v>1</v>
      </c>
      <c r="N285" s="268" t="b">
        <v>1</v>
      </c>
      <c r="O285" s="268">
        <v>10</v>
      </c>
      <c r="P285" s="281">
        <v>150</v>
      </c>
      <c r="Q285" s="281">
        <v>200</v>
      </c>
      <c r="R285" s="268" t="s">
        <v>3383</v>
      </c>
      <c r="S285" s="268"/>
      <c r="T285" s="268">
        <v>1</v>
      </c>
      <c r="U285" s="268" t="s">
        <v>4880</v>
      </c>
      <c r="V285" s="269">
        <v>4</v>
      </c>
      <c r="W285" s="269"/>
      <c r="X285" s="268" t="s">
        <v>4881</v>
      </c>
      <c r="Y285" s="269" t="s">
        <v>5110</v>
      </c>
      <c r="Z285" s="332" t="s">
        <v>5111</v>
      </c>
      <c r="AA285" s="268" t="s">
        <v>4884</v>
      </c>
      <c r="AB285" s="268"/>
      <c r="AC285" s="287">
        <v>1</v>
      </c>
      <c r="AD285" s="287">
        <v>1</v>
      </c>
      <c r="AE285" s="268"/>
      <c r="AF285" s="268"/>
      <c r="AG285" s="290"/>
    </row>
    <row r="286" spans="1:33" s="145" customFormat="1" x14ac:dyDescent="0.15">
      <c r="A286" s="267">
        <v>95130015</v>
      </c>
      <c r="B286" s="268" t="s">
        <v>5107</v>
      </c>
      <c r="C286" s="293" t="s">
        <v>1136</v>
      </c>
      <c r="D286" s="293">
        <v>5091</v>
      </c>
      <c r="E286" s="268" t="s">
        <v>4876</v>
      </c>
      <c r="F286" s="268" t="s">
        <v>4877</v>
      </c>
      <c r="G286" s="269">
        <v>5</v>
      </c>
      <c r="H286" s="269">
        <v>0</v>
      </c>
      <c r="I286" s="267">
        <v>34</v>
      </c>
      <c r="J286" s="282" t="s">
        <v>5108</v>
      </c>
      <c r="K286" s="279" t="s">
        <v>5109</v>
      </c>
      <c r="L286" s="279"/>
      <c r="M286" s="268">
        <v>1</v>
      </c>
      <c r="N286" s="268" t="b">
        <v>1</v>
      </c>
      <c r="O286" s="268">
        <v>12</v>
      </c>
      <c r="P286" s="281">
        <v>180</v>
      </c>
      <c r="Q286" s="281">
        <v>240</v>
      </c>
      <c r="R286" s="268" t="s">
        <v>3383</v>
      </c>
      <c r="S286" s="268"/>
      <c r="T286" s="268">
        <v>1</v>
      </c>
      <c r="U286" s="268" t="s">
        <v>4880</v>
      </c>
      <c r="V286" s="269">
        <v>5</v>
      </c>
      <c r="W286" s="269"/>
      <c r="X286" s="268" t="s">
        <v>4881</v>
      </c>
      <c r="Y286" s="269" t="s">
        <v>5110</v>
      </c>
      <c r="Z286" s="332" t="s">
        <v>5111</v>
      </c>
      <c r="AA286" s="268" t="s">
        <v>4884</v>
      </c>
      <c r="AB286" s="268"/>
      <c r="AC286" s="287">
        <v>1</v>
      </c>
      <c r="AD286" s="287">
        <v>1</v>
      </c>
      <c r="AE286" s="268"/>
      <c r="AF286" s="268"/>
      <c r="AG286" s="290"/>
    </row>
    <row r="287" spans="1:33" s="258" customFormat="1" x14ac:dyDescent="0.15">
      <c r="A287" s="270">
        <v>95130016</v>
      </c>
      <c r="B287" s="268" t="s">
        <v>5107</v>
      </c>
      <c r="C287" s="268" t="s">
        <v>1136</v>
      </c>
      <c r="D287" s="268">
        <v>5091</v>
      </c>
      <c r="E287" s="268" t="s">
        <v>4876</v>
      </c>
      <c r="F287" s="268" t="s">
        <v>4877</v>
      </c>
      <c r="G287" s="269">
        <v>6</v>
      </c>
      <c r="H287" s="269">
        <v>0</v>
      </c>
      <c r="I287" s="267">
        <v>34</v>
      </c>
      <c r="J287" s="282" t="s">
        <v>5108</v>
      </c>
      <c r="K287" s="279" t="s">
        <v>5109</v>
      </c>
      <c r="L287" s="279"/>
      <c r="M287" s="268">
        <v>1</v>
      </c>
      <c r="N287" s="268" t="b">
        <v>1</v>
      </c>
      <c r="O287" s="268">
        <v>25</v>
      </c>
      <c r="P287" s="281">
        <v>375</v>
      </c>
      <c r="Q287" s="281">
        <v>500</v>
      </c>
      <c r="R287" s="268" t="s">
        <v>3383</v>
      </c>
      <c r="S287" s="268"/>
      <c r="T287" s="268">
        <v>1</v>
      </c>
      <c r="U287" s="268" t="s">
        <v>4880</v>
      </c>
      <c r="V287" s="269">
        <v>7</v>
      </c>
      <c r="W287" s="269"/>
      <c r="X287" s="268" t="s">
        <v>4881</v>
      </c>
      <c r="Y287" s="331" t="s">
        <v>5110</v>
      </c>
      <c r="Z287" s="332" t="s">
        <v>5111</v>
      </c>
      <c r="AA287" s="268" t="s">
        <v>4884</v>
      </c>
      <c r="AB287" s="268"/>
      <c r="AC287" s="287">
        <v>1</v>
      </c>
      <c r="AD287" s="287">
        <v>1</v>
      </c>
      <c r="AE287" s="268"/>
      <c r="AF287" s="268"/>
      <c r="AG287" s="290"/>
    </row>
    <row r="288" spans="1:33" s="145" customFormat="1" x14ac:dyDescent="0.15">
      <c r="A288" s="270">
        <v>95130017</v>
      </c>
      <c r="B288" s="268" t="s">
        <v>5107</v>
      </c>
      <c r="C288" s="268" t="s">
        <v>1136</v>
      </c>
      <c r="D288" s="268">
        <v>5091</v>
      </c>
      <c r="E288" s="268" t="s">
        <v>4876</v>
      </c>
      <c r="F288" s="268" t="s">
        <v>4877</v>
      </c>
      <c r="G288" s="269">
        <v>7</v>
      </c>
      <c r="H288" s="269">
        <v>0</v>
      </c>
      <c r="I288" s="267">
        <v>34</v>
      </c>
      <c r="J288" s="282" t="s">
        <v>5108</v>
      </c>
      <c r="K288" s="279" t="s">
        <v>5109</v>
      </c>
      <c r="L288" s="279"/>
      <c r="M288" s="268">
        <v>1</v>
      </c>
      <c r="N288" s="268" t="b">
        <v>1</v>
      </c>
      <c r="O288" s="268">
        <v>38</v>
      </c>
      <c r="P288" s="281">
        <v>570</v>
      </c>
      <c r="Q288" s="281">
        <v>760</v>
      </c>
      <c r="R288" s="268" t="s">
        <v>3383</v>
      </c>
      <c r="S288" s="268"/>
      <c r="T288" s="268">
        <v>1</v>
      </c>
      <c r="U288" s="268" t="s">
        <v>4880</v>
      </c>
      <c r="V288" s="269">
        <v>10</v>
      </c>
      <c r="W288" s="269"/>
      <c r="X288" s="268" t="s">
        <v>4881</v>
      </c>
      <c r="Y288" s="331" t="s">
        <v>5110</v>
      </c>
      <c r="Z288" s="332" t="s">
        <v>5111</v>
      </c>
      <c r="AA288" s="268" t="s">
        <v>4884</v>
      </c>
      <c r="AB288" s="268"/>
      <c r="AC288" s="287">
        <v>1</v>
      </c>
      <c r="AD288" s="287">
        <v>1</v>
      </c>
      <c r="AE288" s="268"/>
      <c r="AF288" s="268"/>
      <c r="AG288" s="290"/>
    </row>
    <row r="289" spans="1:33" s="258" customFormat="1" x14ac:dyDescent="0.15">
      <c r="A289" s="271">
        <v>95130018</v>
      </c>
      <c r="B289" s="272" t="s">
        <v>5112</v>
      </c>
      <c r="C289" s="272" t="s">
        <v>1136</v>
      </c>
      <c r="D289" s="272">
        <v>5081</v>
      </c>
      <c r="E289" s="272" t="s">
        <v>4876</v>
      </c>
      <c r="F289" s="272" t="s">
        <v>4877</v>
      </c>
      <c r="G289" s="269">
        <v>6</v>
      </c>
      <c r="H289" s="273">
        <v>0</v>
      </c>
      <c r="I289" s="283">
        <v>34</v>
      </c>
      <c r="J289" s="284" t="s">
        <v>5108</v>
      </c>
      <c r="K289" s="285" t="s">
        <v>5109</v>
      </c>
      <c r="L289" s="272" t="s">
        <v>44</v>
      </c>
      <c r="M289" s="272">
        <v>1</v>
      </c>
      <c r="N289" s="272" t="b">
        <v>1</v>
      </c>
      <c r="O289" s="272">
        <v>51</v>
      </c>
      <c r="P289" s="281">
        <v>765</v>
      </c>
      <c r="Q289" s="281">
        <v>1020</v>
      </c>
      <c r="R289" s="272" t="s">
        <v>3383</v>
      </c>
      <c r="S289" s="272"/>
      <c r="T289" s="272">
        <v>1</v>
      </c>
      <c r="U289" s="272" t="s">
        <v>4880</v>
      </c>
      <c r="V289" s="273">
        <v>10</v>
      </c>
      <c r="W289" s="273"/>
      <c r="X289" s="272" t="s">
        <v>4881</v>
      </c>
      <c r="Y289" s="333" t="s">
        <v>5110</v>
      </c>
      <c r="Z289" s="334" t="s">
        <v>5111</v>
      </c>
      <c r="AA289" s="272" t="s">
        <v>4884</v>
      </c>
      <c r="AB289" s="272"/>
      <c r="AC289" s="289">
        <v>1</v>
      </c>
      <c r="AD289" s="289">
        <v>1</v>
      </c>
      <c r="AE289" s="289"/>
      <c r="AF289" s="272"/>
      <c r="AG289" s="272"/>
    </row>
    <row r="290" spans="1:33" s="258" customFormat="1" x14ac:dyDescent="0.15">
      <c r="A290" s="271">
        <v>95130019</v>
      </c>
      <c r="B290" s="272" t="s">
        <v>5113</v>
      </c>
      <c r="C290" s="272" t="s">
        <v>1136</v>
      </c>
      <c r="D290" s="272">
        <v>5081</v>
      </c>
      <c r="E290" s="272" t="s">
        <v>4876</v>
      </c>
      <c r="F290" s="272" t="s">
        <v>4877</v>
      </c>
      <c r="G290" s="269">
        <v>6</v>
      </c>
      <c r="H290" s="273">
        <v>0</v>
      </c>
      <c r="I290" s="283">
        <v>34</v>
      </c>
      <c r="J290" s="284" t="s">
        <v>5108</v>
      </c>
      <c r="K290" s="285" t="s">
        <v>5109</v>
      </c>
      <c r="L290" s="272" t="s">
        <v>4887</v>
      </c>
      <c r="M290" s="272">
        <v>1</v>
      </c>
      <c r="N290" s="272" t="b">
        <v>1</v>
      </c>
      <c r="O290" s="272">
        <v>64</v>
      </c>
      <c r="P290" s="281">
        <v>960</v>
      </c>
      <c r="Q290" s="281">
        <v>1280</v>
      </c>
      <c r="R290" s="272" t="s">
        <v>3383</v>
      </c>
      <c r="S290" s="272"/>
      <c r="T290" s="272">
        <v>1</v>
      </c>
      <c r="U290" s="272" t="s">
        <v>4880</v>
      </c>
      <c r="V290" s="273">
        <v>10</v>
      </c>
      <c r="W290" s="273"/>
      <c r="X290" s="272" t="s">
        <v>4881</v>
      </c>
      <c r="Y290" s="333" t="s">
        <v>5110</v>
      </c>
      <c r="Z290" s="334" t="s">
        <v>5111</v>
      </c>
      <c r="AA290" s="272" t="s">
        <v>4884</v>
      </c>
      <c r="AB290" s="272"/>
      <c r="AC290" s="289">
        <v>1</v>
      </c>
      <c r="AD290" s="289">
        <v>1</v>
      </c>
      <c r="AE290" s="289"/>
      <c r="AF290" s="272"/>
      <c r="AG290" s="272"/>
    </row>
    <row r="291" spans="1:33" s="258" customFormat="1" x14ac:dyDescent="0.15">
      <c r="A291" s="271">
        <v>95130020</v>
      </c>
      <c r="B291" s="272" t="s">
        <v>5114</v>
      </c>
      <c r="C291" s="272" t="s">
        <v>1136</v>
      </c>
      <c r="D291" s="272">
        <v>5081</v>
      </c>
      <c r="E291" s="272" t="s">
        <v>4876</v>
      </c>
      <c r="F291" s="272" t="s">
        <v>4877</v>
      </c>
      <c r="G291" s="269">
        <v>7</v>
      </c>
      <c r="H291" s="273">
        <v>0</v>
      </c>
      <c r="I291" s="283">
        <v>34</v>
      </c>
      <c r="J291" s="284" t="s">
        <v>5108</v>
      </c>
      <c r="K291" s="285" t="s">
        <v>5109</v>
      </c>
      <c r="L291" s="272" t="s">
        <v>4889</v>
      </c>
      <c r="M291" s="272">
        <v>1</v>
      </c>
      <c r="N291" s="272" t="b">
        <v>1</v>
      </c>
      <c r="O291" s="272">
        <v>77</v>
      </c>
      <c r="P291" s="281">
        <v>1155</v>
      </c>
      <c r="Q291" s="281">
        <v>1540</v>
      </c>
      <c r="R291" s="272" t="s">
        <v>3383</v>
      </c>
      <c r="S291" s="272"/>
      <c r="T291" s="272">
        <v>1</v>
      </c>
      <c r="U291" s="272" t="s">
        <v>4880</v>
      </c>
      <c r="V291" s="273">
        <v>10</v>
      </c>
      <c r="W291" s="273"/>
      <c r="X291" s="272" t="s">
        <v>4881</v>
      </c>
      <c r="Y291" s="333" t="s">
        <v>5110</v>
      </c>
      <c r="Z291" s="334" t="s">
        <v>5111</v>
      </c>
      <c r="AA291" s="272" t="s">
        <v>4884</v>
      </c>
      <c r="AB291" s="272"/>
      <c r="AC291" s="289">
        <v>1</v>
      </c>
      <c r="AD291" s="289">
        <v>1</v>
      </c>
      <c r="AE291" s="289"/>
      <c r="AF291" s="272"/>
      <c r="AG291" s="272"/>
    </row>
    <row r="292" spans="1:33" s="145" customFormat="1" x14ac:dyDescent="0.15">
      <c r="A292" s="267">
        <v>95130021</v>
      </c>
      <c r="B292" s="268" t="s">
        <v>5115</v>
      </c>
      <c r="C292" s="293" t="s">
        <v>1136</v>
      </c>
      <c r="D292" s="293">
        <v>5091</v>
      </c>
      <c r="E292" s="268" t="s">
        <v>4876</v>
      </c>
      <c r="F292" s="268" t="s">
        <v>4877</v>
      </c>
      <c r="G292" s="269">
        <v>1</v>
      </c>
      <c r="H292" s="269">
        <v>0</v>
      </c>
      <c r="I292" s="267">
        <v>34</v>
      </c>
      <c r="J292" s="282" t="s">
        <v>5116</v>
      </c>
      <c r="K292" s="279" t="s">
        <v>5117</v>
      </c>
      <c r="L292" s="279"/>
      <c r="M292" s="268">
        <v>1</v>
      </c>
      <c r="N292" s="268" t="b">
        <v>1</v>
      </c>
      <c r="O292" s="268">
        <v>2</v>
      </c>
      <c r="P292" s="281">
        <v>30</v>
      </c>
      <c r="Q292" s="281">
        <v>40</v>
      </c>
      <c r="R292" s="268" t="s">
        <v>3383</v>
      </c>
      <c r="S292" s="268"/>
      <c r="T292" s="268">
        <v>1</v>
      </c>
      <c r="U292" s="268" t="s">
        <v>4880</v>
      </c>
      <c r="V292" s="269">
        <v>1</v>
      </c>
      <c r="W292" s="269"/>
      <c r="X292" s="268" t="s">
        <v>4881</v>
      </c>
      <c r="Y292" s="269" t="s">
        <v>5118</v>
      </c>
      <c r="Z292" s="332" t="s">
        <v>5119</v>
      </c>
      <c r="AA292" s="268" t="s">
        <v>4884</v>
      </c>
      <c r="AB292" s="268"/>
      <c r="AC292" s="287">
        <v>1</v>
      </c>
      <c r="AD292" s="287">
        <v>1</v>
      </c>
      <c r="AE292" s="268"/>
      <c r="AF292" s="268"/>
      <c r="AG292" s="290"/>
    </row>
    <row r="293" spans="1:33" s="145" customFormat="1" x14ac:dyDescent="0.15">
      <c r="A293" s="267">
        <v>95130022</v>
      </c>
      <c r="B293" s="268" t="s">
        <v>5115</v>
      </c>
      <c r="C293" s="293" t="s">
        <v>1136</v>
      </c>
      <c r="D293" s="293">
        <v>5091</v>
      </c>
      <c r="E293" s="268" t="s">
        <v>4876</v>
      </c>
      <c r="F293" s="268" t="s">
        <v>4877</v>
      </c>
      <c r="G293" s="269">
        <v>2</v>
      </c>
      <c r="H293" s="269">
        <v>0</v>
      </c>
      <c r="I293" s="267">
        <v>34</v>
      </c>
      <c r="J293" s="282" t="s">
        <v>5116</v>
      </c>
      <c r="K293" s="279" t="s">
        <v>5117</v>
      </c>
      <c r="L293" s="279"/>
      <c r="M293" s="268">
        <v>1</v>
      </c>
      <c r="N293" s="268" t="b">
        <v>1</v>
      </c>
      <c r="O293" s="268">
        <v>5</v>
      </c>
      <c r="P293" s="281">
        <v>75</v>
      </c>
      <c r="Q293" s="281">
        <v>100</v>
      </c>
      <c r="R293" s="268" t="s">
        <v>3383</v>
      </c>
      <c r="S293" s="268"/>
      <c r="T293" s="268">
        <v>1</v>
      </c>
      <c r="U293" s="268" t="s">
        <v>4880</v>
      </c>
      <c r="V293" s="269">
        <v>2</v>
      </c>
      <c r="W293" s="269"/>
      <c r="X293" s="268" t="s">
        <v>4881</v>
      </c>
      <c r="Y293" s="269" t="s">
        <v>5118</v>
      </c>
      <c r="Z293" s="332" t="s">
        <v>5119</v>
      </c>
      <c r="AA293" s="268" t="s">
        <v>4884</v>
      </c>
      <c r="AB293" s="268"/>
      <c r="AC293" s="287">
        <v>1</v>
      </c>
      <c r="AD293" s="287">
        <v>1</v>
      </c>
      <c r="AE293" s="268"/>
      <c r="AF293" s="268"/>
      <c r="AG293" s="290"/>
    </row>
    <row r="294" spans="1:33" s="145" customFormat="1" x14ac:dyDescent="0.15">
      <c r="A294" s="267">
        <v>95130023</v>
      </c>
      <c r="B294" s="268" t="s">
        <v>5115</v>
      </c>
      <c r="C294" s="293" t="s">
        <v>1136</v>
      </c>
      <c r="D294" s="293">
        <v>5091</v>
      </c>
      <c r="E294" s="268" t="s">
        <v>4876</v>
      </c>
      <c r="F294" s="268" t="s">
        <v>4877</v>
      </c>
      <c r="G294" s="269">
        <v>3</v>
      </c>
      <c r="H294" s="269">
        <v>0</v>
      </c>
      <c r="I294" s="267">
        <v>34</v>
      </c>
      <c r="J294" s="282" t="s">
        <v>5116</v>
      </c>
      <c r="K294" s="279" t="s">
        <v>5117</v>
      </c>
      <c r="L294" s="279"/>
      <c r="M294" s="268">
        <v>1</v>
      </c>
      <c r="N294" s="268" t="b">
        <v>1</v>
      </c>
      <c r="O294" s="268">
        <v>7</v>
      </c>
      <c r="P294" s="281">
        <v>105</v>
      </c>
      <c r="Q294" s="281">
        <v>140</v>
      </c>
      <c r="R294" s="268" t="s">
        <v>3383</v>
      </c>
      <c r="S294" s="268"/>
      <c r="T294" s="268">
        <v>1</v>
      </c>
      <c r="U294" s="268" t="s">
        <v>4880</v>
      </c>
      <c r="V294" s="269">
        <v>3</v>
      </c>
      <c r="W294" s="269"/>
      <c r="X294" s="268" t="s">
        <v>4881</v>
      </c>
      <c r="Y294" s="269" t="s">
        <v>5118</v>
      </c>
      <c r="Z294" s="332" t="s">
        <v>5119</v>
      </c>
      <c r="AA294" s="268" t="s">
        <v>4884</v>
      </c>
      <c r="AB294" s="268"/>
      <c r="AC294" s="287">
        <v>1</v>
      </c>
      <c r="AD294" s="287">
        <v>1</v>
      </c>
      <c r="AE294" s="268"/>
      <c r="AF294" s="268"/>
      <c r="AG294" s="290"/>
    </row>
    <row r="295" spans="1:33" s="145" customFormat="1" x14ac:dyDescent="0.15">
      <c r="A295" s="267">
        <v>95130024</v>
      </c>
      <c r="B295" s="268" t="s">
        <v>5115</v>
      </c>
      <c r="C295" s="293" t="s">
        <v>1136</v>
      </c>
      <c r="D295" s="293">
        <v>5091</v>
      </c>
      <c r="E295" s="268" t="s">
        <v>4876</v>
      </c>
      <c r="F295" s="268" t="s">
        <v>4877</v>
      </c>
      <c r="G295" s="269">
        <v>4</v>
      </c>
      <c r="H295" s="269">
        <v>0</v>
      </c>
      <c r="I295" s="267">
        <v>34</v>
      </c>
      <c r="J295" s="282" t="s">
        <v>5116</v>
      </c>
      <c r="K295" s="279" t="s">
        <v>5117</v>
      </c>
      <c r="L295" s="279"/>
      <c r="M295" s="268">
        <v>1</v>
      </c>
      <c r="N295" s="268" t="b">
        <v>1</v>
      </c>
      <c r="O295" s="268">
        <v>10</v>
      </c>
      <c r="P295" s="281">
        <v>150</v>
      </c>
      <c r="Q295" s="281">
        <v>200</v>
      </c>
      <c r="R295" s="268" t="s">
        <v>3383</v>
      </c>
      <c r="S295" s="268"/>
      <c r="T295" s="268">
        <v>1</v>
      </c>
      <c r="U295" s="268" t="s">
        <v>4880</v>
      </c>
      <c r="V295" s="269">
        <v>4</v>
      </c>
      <c r="W295" s="269"/>
      <c r="X295" s="268" t="s">
        <v>4881</v>
      </c>
      <c r="Y295" s="269" t="s">
        <v>5118</v>
      </c>
      <c r="Z295" s="332" t="s">
        <v>5119</v>
      </c>
      <c r="AA295" s="268" t="s">
        <v>4884</v>
      </c>
      <c r="AB295" s="268"/>
      <c r="AC295" s="287">
        <v>1</v>
      </c>
      <c r="AD295" s="287">
        <v>1</v>
      </c>
      <c r="AE295" s="268"/>
      <c r="AF295" s="268"/>
      <c r="AG295" s="290"/>
    </row>
    <row r="296" spans="1:33" s="145" customFormat="1" x14ac:dyDescent="0.15">
      <c r="A296" s="267">
        <v>95130025</v>
      </c>
      <c r="B296" s="268" t="s">
        <v>5115</v>
      </c>
      <c r="C296" s="293" t="s">
        <v>1136</v>
      </c>
      <c r="D296" s="293">
        <v>5091</v>
      </c>
      <c r="E296" s="268" t="s">
        <v>4876</v>
      </c>
      <c r="F296" s="268" t="s">
        <v>4877</v>
      </c>
      <c r="G296" s="269">
        <v>5</v>
      </c>
      <c r="H296" s="269">
        <v>0</v>
      </c>
      <c r="I296" s="267">
        <v>34</v>
      </c>
      <c r="J296" s="282" t="s">
        <v>5116</v>
      </c>
      <c r="K296" s="279" t="s">
        <v>5117</v>
      </c>
      <c r="L296" s="279"/>
      <c r="M296" s="268">
        <v>1</v>
      </c>
      <c r="N296" s="268" t="b">
        <v>1</v>
      </c>
      <c r="O296" s="268">
        <v>12</v>
      </c>
      <c r="P296" s="281">
        <v>180</v>
      </c>
      <c r="Q296" s="281">
        <v>240</v>
      </c>
      <c r="R296" s="268" t="s">
        <v>3383</v>
      </c>
      <c r="S296" s="268"/>
      <c r="T296" s="268">
        <v>1</v>
      </c>
      <c r="U296" s="268" t="s">
        <v>4880</v>
      </c>
      <c r="V296" s="269">
        <v>5</v>
      </c>
      <c r="W296" s="269"/>
      <c r="X296" s="268" t="s">
        <v>4881</v>
      </c>
      <c r="Y296" s="269" t="s">
        <v>5118</v>
      </c>
      <c r="Z296" s="332" t="s">
        <v>5119</v>
      </c>
      <c r="AA296" s="268" t="s">
        <v>4884</v>
      </c>
      <c r="AB296" s="268"/>
      <c r="AC296" s="287">
        <v>1</v>
      </c>
      <c r="AD296" s="287">
        <v>1</v>
      </c>
      <c r="AE296" s="268"/>
      <c r="AF296" s="268"/>
      <c r="AG296" s="290"/>
    </row>
    <row r="297" spans="1:33" s="258" customFormat="1" x14ac:dyDescent="0.15">
      <c r="A297" s="270">
        <v>95130026</v>
      </c>
      <c r="B297" s="268" t="s">
        <v>5115</v>
      </c>
      <c r="C297" s="268" t="s">
        <v>1136</v>
      </c>
      <c r="D297" s="268">
        <v>5091</v>
      </c>
      <c r="E297" s="268" t="s">
        <v>4876</v>
      </c>
      <c r="F297" s="268" t="s">
        <v>4877</v>
      </c>
      <c r="G297" s="269">
        <v>6</v>
      </c>
      <c r="H297" s="269">
        <v>0</v>
      </c>
      <c r="I297" s="267">
        <v>34</v>
      </c>
      <c r="J297" s="282" t="s">
        <v>5116</v>
      </c>
      <c r="K297" s="279" t="s">
        <v>5117</v>
      </c>
      <c r="L297" s="279"/>
      <c r="M297" s="268">
        <v>1</v>
      </c>
      <c r="N297" s="268" t="b">
        <v>1</v>
      </c>
      <c r="O297" s="268">
        <v>25</v>
      </c>
      <c r="P297" s="281">
        <v>375</v>
      </c>
      <c r="Q297" s="281">
        <v>500</v>
      </c>
      <c r="R297" s="268" t="s">
        <v>3383</v>
      </c>
      <c r="S297" s="268"/>
      <c r="T297" s="268">
        <v>1</v>
      </c>
      <c r="U297" s="268" t="s">
        <v>4880</v>
      </c>
      <c r="V297" s="269">
        <v>7</v>
      </c>
      <c r="W297" s="269"/>
      <c r="X297" s="268" t="s">
        <v>4881</v>
      </c>
      <c r="Y297" s="331" t="s">
        <v>5118</v>
      </c>
      <c r="Z297" s="332" t="s">
        <v>5119</v>
      </c>
      <c r="AA297" s="268" t="s">
        <v>4884</v>
      </c>
      <c r="AB297" s="268"/>
      <c r="AC297" s="287">
        <v>1</v>
      </c>
      <c r="AD297" s="287">
        <v>1</v>
      </c>
      <c r="AE297" s="268"/>
      <c r="AF297" s="268"/>
      <c r="AG297" s="290"/>
    </row>
    <row r="298" spans="1:33" s="145" customFormat="1" x14ac:dyDescent="0.15">
      <c r="A298" s="270">
        <v>95130027</v>
      </c>
      <c r="B298" s="268" t="s">
        <v>5115</v>
      </c>
      <c r="C298" s="268" t="s">
        <v>1136</v>
      </c>
      <c r="D298" s="268">
        <v>5091</v>
      </c>
      <c r="E298" s="268" t="s">
        <v>4876</v>
      </c>
      <c r="F298" s="268" t="s">
        <v>4877</v>
      </c>
      <c r="G298" s="269">
        <v>7</v>
      </c>
      <c r="H298" s="269">
        <v>0</v>
      </c>
      <c r="I298" s="267">
        <v>34</v>
      </c>
      <c r="J298" s="282" t="s">
        <v>5116</v>
      </c>
      <c r="K298" s="279" t="s">
        <v>5117</v>
      </c>
      <c r="L298" s="279"/>
      <c r="M298" s="268">
        <v>1</v>
      </c>
      <c r="N298" s="268" t="b">
        <v>1</v>
      </c>
      <c r="O298" s="268">
        <v>38</v>
      </c>
      <c r="P298" s="281">
        <v>570</v>
      </c>
      <c r="Q298" s="281">
        <v>760</v>
      </c>
      <c r="R298" s="268" t="s">
        <v>3383</v>
      </c>
      <c r="S298" s="268"/>
      <c r="T298" s="268">
        <v>1</v>
      </c>
      <c r="U298" s="268" t="s">
        <v>4880</v>
      </c>
      <c r="V298" s="269">
        <v>10</v>
      </c>
      <c r="W298" s="269"/>
      <c r="X298" s="268" t="s">
        <v>4881</v>
      </c>
      <c r="Y298" s="331" t="s">
        <v>5118</v>
      </c>
      <c r="Z298" s="332" t="s">
        <v>5119</v>
      </c>
      <c r="AA298" s="268" t="s">
        <v>4884</v>
      </c>
      <c r="AB298" s="268"/>
      <c r="AC298" s="287">
        <v>1</v>
      </c>
      <c r="AD298" s="287">
        <v>1</v>
      </c>
      <c r="AE298" s="268"/>
      <c r="AF298" s="268"/>
      <c r="AG298" s="290"/>
    </row>
    <row r="299" spans="1:33" s="258" customFormat="1" x14ac:dyDescent="0.15">
      <c r="A299" s="271">
        <v>95130028</v>
      </c>
      <c r="B299" s="272" t="s">
        <v>5120</v>
      </c>
      <c r="C299" s="272" t="s">
        <v>1136</v>
      </c>
      <c r="D299" s="272">
        <v>5081</v>
      </c>
      <c r="E299" s="272" t="s">
        <v>4876</v>
      </c>
      <c r="F299" s="272" t="s">
        <v>4877</v>
      </c>
      <c r="G299" s="269">
        <v>6</v>
      </c>
      <c r="H299" s="273">
        <v>0</v>
      </c>
      <c r="I299" s="283">
        <v>34</v>
      </c>
      <c r="J299" s="284" t="s">
        <v>5116</v>
      </c>
      <c r="K299" s="285" t="s">
        <v>5117</v>
      </c>
      <c r="L299" s="272" t="s">
        <v>44</v>
      </c>
      <c r="M299" s="272">
        <v>1</v>
      </c>
      <c r="N299" s="272" t="b">
        <v>1</v>
      </c>
      <c r="O299" s="272">
        <v>51</v>
      </c>
      <c r="P299" s="281">
        <v>765</v>
      </c>
      <c r="Q299" s="281">
        <v>1020</v>
      </c>
      <c r="R299" s="272" t="s">
        <v>3383</v>
      </c>
      <c r="S299" s="272"/>
      <c r="T299" s="272">
        <v>1</v>
      </c>
      <c r="U299" s="272" t="s">
        <v>4880</v>
      </c>
      <c r="V299" s="273">
        <v>10</v>
      </c>
      <c r="W299" s="273"/>
      <c r="X299" s="272" t="s">
        <v>4881</v>
      </c>
      <c r="Y299" s="333" t="s">
        <v>5118</v>
      </c>
      <c r="Z299" s="334" t="s">
        <v>5119</v>
      </c>
      <c r="AA299" s="272" t="s">
        <v>4884</v>
      </c>
      <c r="AB299" s="272"/>
      <c r="AC299" s="289">
        <v>1</v>
      </c>
      <c r="AD299" s="289">
        <v>1</v>
      </c>
      <c r="AE299" s="289"/>
      <c r="AF299" s="272"/>
      <c r="AG299" s="272"/>
    </row>
    <row r="300" spans="1:33" s="258" customFormat="1" x14ac:dyDescent="0.15">
      <c r="A300" s="271">
        <v>95130029</v>
      </c>
      <c r="B300" s="272" t="s">
        <v>5121</v>
      </c>
      <c r="C300" s="272" t="s">
        <v>1136</v>
      </c>
      <c r="D300" s="272">
        <v>5081</v>
      </c>
      <c r="E300" s="272" t="s">
        <v>4876</v>
      </c>
      <c r="F300" s="272" t="s">
        <v>4877</v>
      </c>
      <c r="G300" s="269">
        <v>6</v>
      </c>
      <c r="H300" s="273">
        <v>0</v>
      </c>
      <c r="I300" s="283">
        <v>34</v>
      </c>
      <c r="J300" s="284" t="s">
        <v>5116</v>
      </c>
      <c r="K300" s="285" t="s">
        <v>5117</v>
      </c>
      <c r="L300" s="272" t="s">
        <v>4887</v>
      </c>
      <c r="M300" s="272">
        <v>1</v>
      </c>
      <c r="N300" s="272" t="b">
        <v>1</v>
      </c>
      <c r="O300" s="272">
        <v>64</v>
      </c>
      <c r="P300" s="281">
        <v>960</v>
      </c>
      <c r="Q300" s="281">
        <v>1280</v>
      </c>
      <c r="R300" s="272" t="s">
        <v>3383</v>
      </c>
      <c r="S300" s="272"/>
      <c r="T300" s="272">
        <v>1</v>
      </c>
      <c r="U300" s="272" t="s">
        <v>4880</v>
      </c>
      <c r="V300" s="273">
        <v>10</v>
      </c>
      <c r="W300" s="273"/>
      <c r="X300" s="272" t="s">
        <v>4881</v>
      </c>
      <c r="Y300" s="333" t="s">
        <v>5118</v>
      </c>
      <c r="Z300" s="334" t="s">
        <v>5119</v>
      </c>
      <c r="AA300" s="272" t="s">
        <v>4884</v>
      </c>
      <c r="AB300" s="272"/>
      <c r="AC300" s="289">
        <v>1</v>
      </c>
      <c r="AD300" s="289">
        <v>1</v>
      </c>
      <c r="AE300" s="289"/>
      <c r="AF300" s="272"/>
      <c r="AG300" s="272"/>
    </row>
    <row r="301" spans="1:33" s="258" customFormat="1" x14ac:dyDescent="0.15">
      <c r="A301" s="271">
        <v>95130030</v>
      </c>
      <c r="B301" s="272" t="s">
        <v>5122</v>
      </c>
      <c r="C301" s="272" t="s">
        <v>1136</v>
      </c>
      <c r="D301" s="272">
        <v>5081</v>
      </c>
      <c r="E301" s="272" t="s">
        <v>4876</v>
      </c>
      <c r="F301" s="272" t="s">
        <v>4877</v>
      </c>
      <c r="G301" s="269">
        <v>7</v>
      </c>
      <c r="H301" s="273">
        <v>0</v>
      </c>
      <c r="I301" s="283">
        <v>34</v>
      </c>
      <c r="J301" s="284" t="s">
        <v>5116</v>
      </c>
      <c r="K301" s="285" t="s">
        <v>5117</v>
      </c>
      <c r="L301" s="272" t="s">
        <v>4889</v>
      </c>
      <c r="M301" s="272">
        <v>1</v>
      </c>
      <c r="N301" s="272" t="b">
        <v>1</v>
      </c>
      <c r="O301" s="272">
        <v>77</v>
      </c>
      <c r="P301" s="281">
        <v>1155</v>
      </c>
      <c r="Q301" s="281">
        <v>1540</v>
      </c>
      <c r="R301" s="272" t="s">
        <v>3383</v>
      </c>
      <c r="S301" s="272"/>
      <c r="T301" s="272">
        <v>1</v>
      </c>
      <c r="U301" s="272" t="s">
        <v>4880</v>
      </c>
      <c r="V301" s="273">
        <v>10</v>
      </c>
      <c r="W301" s="273"/>
      <c r="X301" s="272" t="s">
        <v>4881</v>
      </c>
      <c r="Y301" s="333" t="s">
        <v>5118</v>
      </c>
      <c r="Z301" s="334" t="s">
        <v>5119</v>
      </c>
      <c r="AA301" s="272" t="s">
        <v>4884</v>
      </c>
      <c r="AB301" s="272"/>
      <c r="AC301" s="289">
        <v>1</v>
      </c>
      <c r="AD301" s="289">
        <v>1</v>
      </c>
      <c r="AE301" s="289"/>
      <c r="AF301" s="272"/>
      <c r="AG301" s="272"/>
    </row>
    <row r="302" spans="1:33" s="145" customFormat="1" x14ac:dyDescent="0.15">
      <c r="A302" s="267">
        <v>95140011</v>
      </c>
      <c r="B302" s="268" t="s">
        <v>5123</v>
      </c>
      <c r="C302" s="293" t="s">
        <v>1220</v>
      </c>
      <c r="D302" s="293">
        <v>5091</v>
      </c>
      <c r="E302" s="268" t="s">
        <v>4876</v>
      </c>
      <c r="F302" s="268" t="s">
        <v>4877</v>
      </c>
      <c r="G302" s="269">
        <v>1</v>
      </c>
      <c r="H302" s="269">
        <v>0</v>
      </c>
      <c r="I302" s="267">
        <v>34</v>
      </c>
      <c r="J302" s="282" t="s">
        <v>5124</v>
      </c>
      <c r="K302" s="279" t="s">
        <v>5125</v>
      </c>
      <c r="L302" s="279"/>
      <c r="M302" s="268">
        <v>1</v>
      </c>
      <c r="N302" s="268" t="b">
        <v>1</v>
      </c>
      <c r="O302" s="268">
        <v>2</v>
      </c>
      <c r="P302" s="281">
        <v>30</v>
      </c>
      <c r="Q302" s="281">
        <v>40</v>
      </c>
      <c r="R302" s="268" t="s">
        <v>3383</v>
      </c>
      <c r="S302" s="268"/>
      <c r="T302" s="268">
        <v>1</v>
      </c>
      <c r="U302" s="268" t="s">
        <v>4880</v>
      </c>
      <c r="V302" s="269">
        <v>1</v>
      </c>
      <c r="W302" s="269"/>
      <c r="X302" s="268" t="s">
        <v>4881</v>
      </c>
      <c r="Y302" s="269" t="s">
        <v>5126</v>
      </c>
      <c r="Z302" s="293" t="s">
        <v>5127</v>
      </c>
      <c r="AA302" s="268" t="s">
        <v>4884</v>
      </c>
      <c r="AB302" s="268"/>
      <c r="AC302" s="287">
        <v>1</v>
      </c>
      <c r="AD302" s="287">
        <v>1</v>
      </c>
      <c r="AE302" s="268"/>
      <c r="AF302" s="268"/>
      <c r="AG302" s="290"/>
    </row>
    <row r="303" spans="1:33" s="145" customFormat="1" x14ac:dyDescent="0.15">
      <c r="A303" s="267">
        <v>95140012</v>
      </c>
      <c r="B303" s="268" t="s">
        <v>5123</v>
      </c>
      <c r="C303" s="293" t="s">
        <v>1220</v>
      </c>
      <c r="D303" s="293">
        <v>5091</v>
      </c>
      <c r="E303" s="268" t="s">
        <v>4876</v>
      </c>
      <c r="F303" s="268" t="s">
        <v>4877</v>
      </c>
      <c r="G303" s="269">
        <v>2</v>
      </c>
      <c r="H303" s="269">
        <v>0</v>
      </c>
      <c r="I303" s="267">
        <v>34</v>
      </c>
      <c r="J303" s="282" t="s">
        <v>5124</v>
      </c>
      <c r="K303" s="279" t="s">
        <v>5125</v>
      </c>
      <c r="L303" s="279"/>
      <c r="M303" s="268">
        <v>1</v>
      </c>
      <c r="N303" s="268" t="b">
        <v>1</v>
      </c>
      <c r="O303" s="268">
        <v>5</v>
      </c>
      <c r="P303" s="281">
        <v>75</v>
      </c>
      <c r="Q303" s="281">
        <v>100</v>
      </c>
      <c r="R303" s="268" t="s">
        <v>3383</v>
      </c>
      <c r="S303" s="268"/>
      <c r="T303" s="268">
        <v>1</v>
      </c>
      <c r="U303" s="268" t="s">
        <v>4880</v>
      </c>
      <c r="V303" s="269">
        <v>2</v>
      </c>
      <c r="W303" s="269"/>
      <c r="X303" s="268" t="s">
        <v>4881</v>
      </c>
      <c r="Y303" s="269" t="s">
        <v>5126</v>
      </c>
      <c r="Z303" s="293" t="s">
        <v>5127</v>
      </c>
      <c r="AA303" s="268" t="s">
        <v>4884</v>
      </c>
      <c r="AB303" s="268"/>
      <c r="AC303" s="287">
        <v>1</v>
      </c>
      <c r="AD303" s="287">
        <v>1</v>
      </c>
      <c r="AE303" s="268"/>
      <c r="AF303" s="268"/>
      <c r="AG303" s="290"/>
    </row>
    <row r="304" spans="1:33" s="145" customFormat="1" x14ac:dyDescent="0.15">
      <c r="A304" s="267">
        <v>95140013</v>
      </c>
      <c r="B304" s="268" t="s">
        <v>5123</v>
      </c>
      <c r="C304" s="293" t="s">
        <v>1220</v>
      </c>
      <c r="D304" s="293">
        <v>5091</v>
      </c>
      <c r="E304" s="268" t="s">
        <v>4876</v>
      </c>
      <c r="F304" s="268" t="s">
        <v>4877</v>
      </c>
      <c r="G304" s="269">
        <v>3</v>
      </c>
      <c r="H304" s="269">
        <v>0</v>
      </c>
      <c r="I304" s="267">
        <v>34</v>
      </c>
      <c r="J304" s="282" t="s">
        <v>5124</v>
      </c>
      <c r="K304" s="279" t="s">
        <v>5125</v>
      </c>
      <c r="L304" s="279"/>
      <c r="M304" s="268">
        <v>1</v>
      </c>
      <c r="N304" s="268" t="b">
        <v>1</v>
      </c>
      <c r="O304" s="268">
        <v>7</v>
      </c>
      <c r="P304" s="281">
        <v>105</v>
      </c>
      <c r="Q304" s="281">
        <v>140</v>
      </c>
      <c r="R304" s="268" t="s">
        <v>3383</v>
      </c>
      <c r="S304" s="268"/>
      <c r="T304" s="268">
        <v>1</v>
      </c>
      <c r="U304" s="268" t="s">
        <v>4880</v>
      </c>
      <c r="V304" s="269">
        <v>3</v>
      </c>
      <c r="W304" s="269"/>
      <c r="X304" s="268" t="s">
        <v>4881</v>
      </c>
      <c r="Y304" s="269" t="s">
        <v>5126</v>
      </c>
      <c r="Z304" s="293" t="s">
        <v>5127</v>
      </c>
      <c r="AA304" s="268" t="s">
        <v>4884</v>
      </c>
      <c r="AB304" s="268"/>
      <c r="AC304" s="287">
        <v>1</v>
      </c>
      <c r="AD304" s="287">
        <v>1</v>
      </c>
      <c r="AE304" s="268"/>
      <c r="AF304" s="268"/>
      <c r="AG304" s="290"/>
    </row>
    <row r="305" spans="1:33" s="145" customFormat="1" x14ac:dyDescent="0.15">
      <c r="A305" s="267">
        <v>95140014</v>
      </c>
      <c r="B305" s="268" t="s">
        <v>5123</v>
      </c>
      <c r="C305" s="293" t="s">
        <v>1220</v>
      </c>
      <c r="D305" s="293">
        <v>5091</v>
      </c>
      <c r="E305" s="268" t="s">
        <v>4876</v>
      </c>
      <c r="F305" s="268" t="s">
        <v>4877</v>
      </c>
      <c r="G305" s="269">
        <v>4</v>
      </c>
      <c r="H305" s="269">
        <v>0</v>
      </c>
      <c r="I305" s="267">
        <v>34</v>
      </c>
      <c r="J305" s="282" t="s">
        <v>5124</v>
      </c>
      <c r="K305" s="279" t="s">
        <v>5125</v>
      </c>
      <c r="L305" s="279"/>
      <c r="M305" s="268">
        <v>1</v>
      </c>
      <c r="N305" s="268" t="b">
        <v>1</v>
      </c>
      <c r="O305" s="268">
        <v>10</v>
      </c>
      <c r="P305" s="281">
        <v>150</v>
      </c>
      <c r="Q305" s="281">
        <v>200</v>
      </c>
      <c r="R305" s="268" t="s">
        <v>3383</v>
      </c>
      <c r="S305" s="268"/>
      <c r="T305" s="268">
        <v>1</v>
      </c>
      <c r="U305" s="268" t="s">
        <v>4880</v>
      </c>
      <c r="V305" s="269">
        <v>4</v>
      </c>
      <c r="W305" s="269"/>
      <c r="X305" s="268" t="s">
        <v>4881</v>
      </c>
      <c r="Y305" s="269" t="s">
        <v>5126</v>
      </c>
      <c r="Z305" s="293" t="s">
        <v>5127</v>
      </c>
      <c r="AA305" s="268" t="s">
        <v>4884</v>
      </c>
      <c r="AB305" s="268"/>
      <c r="AC305" s="287">
        <v>1</v>
      </c>
      <c r="AD305" s="287">
        <v>1</v>
      </c>
      <c r="AE305" s="268"/>
      <c r="AF305" s="268"/>
      <c r="AG305" s="290"/>
    </row>
    <row r="306" spans="1:33" s="145" customFormat="1" x14ac:dyDescent="0.15">
      <c r="A306" s="267">
        <v>95140015</v>
      </c>
      <c r="B306" s="268" t="s">
        <v>5123</v>
      </c>
      <c r="C306" s="293" t="s">
        <v>1220</v>
      </c>
      <c r="D306" s="293">
        <v>5091</v>
      </c>
      <c r="E306" s="268" t="s">
        <v>4876</v>
      </c>
      <c r="F306" s="268" t="s">
        <v>4877</v>
      </c>
      <c r="G306" s="269">
        <v>5</v>
      </c>
      <c r="H306" s="269">
        <v>0</v>
      </c>
      <c r="I306" s="267">
        <v>34</v>
      </c>
      <c r="J306" s="282" t="s">
        <v>5124</v>
      </c>
      <c r="K306" s="279" t="s">
        <v>5125</v>
      </c>
      <c r="L306" s="279"/>
      <c r="M306" s="268">
        <v>1</v>
      </c>
      <c r="N306" s="268" t="b">
        <v>1</v>
      </c>
      <c r="O306" s="268">
        <v>12</v>
      </c>
      <c r="P306" s="281">
        <v>180</v>
      </c>
      <c r="Q306" s="281">
        <v>240</v>
      </c>
      <c r="R306" s="268" t="s">
        <v>3383</v>
      </c>
      <c r="S306" s="268"/>
      <c r="T306" s="268">
        <v>1</v>
      </c>
      <c r="U306" s="268" t="s">
        <v>4880</v>
      </c>
      <c r="V306" s="269">
        <v>5</v>
      </c>
      <c r="W306" s="269"/>
      <c r="X306" s="268" t="s">
        <v>4881</v>
      </c>
      <c r="Y306" s="269" t="s">
        <v>5126</v>
      </c>
      <c r="Z306" s="293" t="s">
        <v>5127</v>
      </c>
      <c r="AA306" s="268" t="s">
        <v>4884</v>
      </c>
      <c r="AB306" s="268"/>
      <c r="AC306" s="287">
        <v>1</v>
      </c>
      <c r="AD306" s="287">
        <v>1</v>
      </c>
      <c r="AE306" s="268"/>
      <c r="AF306" s="268"/>
      <c r="AG306" s="290"/>
    </row>
    <row r="307" spans="1:33" s="145" customFormat="1" x14ac:dyDescent="0.15">
      <c r="A307" s="267">
        <v>95140016</v>
      </c>
      <c r="B307" s="268" t="s">
        <v>5123</v>
      </c>
      <c r="C307" s="268" t="s">
        <v>1220</v>
      </c>
      <c r="D307" s="268">
        <v>5091</v>
      </c>
      <c r="E307" s="268" t="s">
        <v>4876</v>
      </c>
      <c r="F307" s="268" t="s">
        <v>4877</v>
      </c>
      <c r="G307" s="269">
        <v>6</v>
      </c>
      <c r="H307" s="269">
        <v>0</v>
      </c>
      <c r="I307" s="267">
        <v>34</v>
      </c>
      <c r="J307" s="282" t="s">
        <v>5124</v>
      </c>
      <c r="K307" s="279" t="s">
        <v>5125</v>
      </c>
      <c r="L307" s="279"/>
      <c r="M307" s="268">
        <v>1</v>
      </c>
      <c r="N307" s="268" t="b">
        <v>1</v>
      </c>
      <c r="O307" s="268">
        <v>25</v>
      </c>
      <c r="P307" s="281">
        <v>375</v>
      </c>
      <c r="Q307" s="281">
        <v>500</v>
      </c>
      <c r="R307" s="268" t="s">
        <v>3383</v>
      </c>
      <c r="S307" s="268"/>
      <c r="T307" s="268">
        <v>1</v>
      </c>
      <c r="U307" s="268" t="s">
        <v>4880</v>
      </c>
      <c r="V307" s="269">
        <v>7</v>
      </c>
      <c r="W307" s="269"/>
      <c r="X307" s="268" t="s">
        <v>4881</v>
      </c>
      <c r="Y307" s="269" t="s">
        <v>5126</v>
      </c>
      <c r="Z307" s="293" t="s">
        <v>5127</v>
      </c>
      <c r="AA307" s="268" t="s">
        <v>4884</v>
      </c>
      <c r="AB307" s="268"/>
      <c r="AC307" s="287">
        <v>1</v>
      </c>
      <c r="AD307" s="287">
        <v>1</v>
      </c>
      <c r="AE307" s="268"/>
      <c r="AF307" s="268"/>
      <c r="AG307" s="290"/>
    </row>
    <row r="308" spans="1:33" s="145" customFormat="1" x14ac:dyDescent="0.15">
      <c r="A308" s="267">
        <v>95140017</v>
      </c>
      <c r="B308" s="268" t="s">
        <v>5123</v>
      </c>
      <c r="C308" s="268" t="s">
        <v>1220</v>
      </c>
      <c r="D308" s="268">
        <v>5091</v>
      </c>
      <c r="E308" s="268" t="s">
        <v>4876</v>
      </c>
      <c r="F308" s="268" t="s">
        <v>4877</v>
      </c>
      <c r="G308" s="269">
        <v>7</v>
      </c>
      <c r="H308" s="269">
        <v>0</v>
      </c>
      <c r="I308" s="267">
        <v>34</v>
      </c>
      <c r="J308" s="282" t="s">
        <v>5124</v>
      </c>
      <c r="K308" s="279" t="s">
        <v>5125</v>
      </c>
      <c r="L308" s="279"/>
      <c r="M308" s="268">
        <v>1</v>
      </c>
      <c r="N308" s="268" t="b">
        <v>1</v>
      </c>
      <c r="O308" s="268">
        <v>38</v>
      </c>
      <c r="P308" s="281">
        <v>570</v>
      </c>
      <c r="Q308" s="281">
        <v>760</v>
      </c>
      <c r="R308" s="268" t="s">
        <v>3383</v>
      </c>
      <c r="S308" s="268"/>
      <c r="T308" s="268">
        <v>1</v>
      </c>
      <c r="U308" s="268" t="s">
        <v>4880</v>
      </c>
      <c r="V308" s="269">
        <v>10</v>
      </c>
      <c r="W308" s="269"/>
      <c r="X308" s="268" t="s">
        <v>4881</v>
      </c>
      <c r="Y308" s="269" t="s">
        <v>5126</v>
      </c>
      <c r="Z308" s="293" t="s">
        <v>5127</v>
      </c>
      <c r="AA308" s="268" t="s">
        <v>4884</v>
      </c>
      <c r="AB308" s="268"/>
      <c r="AC308" s="287">
        <v>1</v>
      </c>
      <c r="AD308" s="287">
        <v>1</v>
      </c>
      <c r="AE308" s="268"/>
      <c r="AF308" s="268"/>
      <c r="AG308" s="290"/>
    </row>
    <row r="309" spans="1:33" s="258" customFormat="1" x14ac:dyDescent="0.15">
      <c r="A309" s="271">
        <v>95140018</v>
      </c>
      <c r="B309" s="272" t="s">
        <v>5128</v>
      </c>
      <c r="C309" s="272" t="s">
        <v>1220</v>
      </c>
      <c r="D309" s="272">
        <v>5081</v>
      </c>
      <c r="E309" s="272" t="s">
        <v>4876</v>
      </c>
      <c r="F309" s="272" t="s">
        <v>4877</v>
      </c>
      <c r="G309" s="269">
        <v>6</v>
      </c>
      <c r="H309" s="273">
        <v>1</v>
      </c>
      <c r="I309" s="283">
        <v>34</v>
      </c>
      <c r="J309" s="284" t="s">
        <v>5124</v>
      </c>
      <c r="K309" s="285" t="s">
        <v>5125</v>
      </c>
      <c r="L309" s="272" t="s">
        <v>44</v>
      </c>
      <c r="M309" s="272">
        <v>1</v>
      </c>
      <c r="N309" s="272" t="b">
        <v>1</v>
      </c>
      <c r="O309" s="272">
        <v>51</v>
      </c>
      <c r="P309" s="281">
        <v>765</v>
      </c>
      <c r="Q309" s="281">
        <v>1020</v>
      </c>
      <c r="R309" s="272" t="s">
        <v>3383</v>
      </c>
      <c r="S309" s="272"/>
      <c r="T309" s="272">
        <v>1</v>
      </c>
      <c r="U309" s="272" t="s">
        <v>4880</v>
      </c>
      <c r="V309" s="273">
        <v>10</v>
      </c>
      <c r="W309" s="273"/>
      <c r="X309" s="272" t="s">
        <v>4881</v>
      </c>
      <c r="Y309" s="333" t="s">
        <v>5126</v>
      </c>
      <c r="Z309" s="334" t="s">
        <v>5127</v>
      </c>
      <c r="AA309" s="272" t="s">
        <v>4884</v>
      </c>
      <c r="AB309" s="272"/>
      <c r="AC309" s="289">
        <v>1</v>
      </c>
      <c r="AD309" s="289">
        <v>1</v>
      </c>
      <c r="AE309" s="289"/>
      <c r="AF309" s="272"/>
      <c r="AG309" s="272"/>
    </row>
    <row r="310" spans="1:33" s="258" customFormat="1" x14ac:dyDescent="0.15">
      <c r="A310" s="271">
        <v>95140019</v>
      </c>
      <c r="B310" s="272" t="s">
        <v>5129</v>
      </c>
      <c r="C310" s="272" t="s">
        <v>1220</v>
      </c>
      <c r="D310" s="272">
        <v>5081</v>
      </c>
      <c r="E310" s="272" t="s">
        <v>4876</v>
      </c>
      <c r="F310" s="272" t="s">
        <v>4877</v>
      </c>
      <c r="G310" s="269">
        <v>6</v>
      </c>
      <c r="H310" s="273">
        <v>1</v>
      </c>
      <c r="I310" s="283">
        <v>34</v>
      </c>
      <c r="J310" s="284" t="s">
        <v>5124</v>
      </c>
      <c r="K310" s="285" t="s">
        <v>5125</v>
      </c>
      <c r="L310" s="272" t="s">
        <v>4887</v>
      </c>
      <c r="M310" s="272">
        <v>1</v>
      </c>
      <c r="N310" s="272" t="b">
        <v>1</v>
      </c>
      <c r="O310" s="272">
        <v>64</v>
      </c>
      <c r="P310" s="281">
        <v>960</v>
      </c>
      <c r="Q310" s="281">
        <v>1280</v>
      </c>
      <c r="R310" s="272" t="s">
        <v>3383</v>
      </c>
      <c r="S310" s="272"/>
      <c r="T310" s="272">
        <v>1</v>
      </c>
      <c r="U310" s="272" t="s">
        <v>4880</v>
      </c>
      <c r="V310" s="273">
        <v>10</v>
      </c>
      <c r="W310" s="273"/>
      <c r="X310" s="272" t="s">
        <v>4881</v>
      </c>
      <c r="Y310" s="333" t="s">
        <v>5126</v>
      </c>
      <c r="Z310" s="334" t="s">
        <v>5127</v>
      </c>
      <c r="AA310" s="272" t="s">
        <v>4884</v>
      </c>
      <c r="AB310" s="272"/>
      <c r="AC310" s="289">
        <v>1</v>
      </c>
      <c r="AD310" s="289">
        <v>1</v>
      </c>
      <c r="AE310" s="289"/>
      <c r="AF310" s="272"/>
      <c r="AG310" s="272"/>
    </row>
    <row r="311" spans="1:33" s="258" customFormat="1" x14ac:dyDescent="0.15">
      <c r="A311" s="271">
        <v>95140020</v>
      </c>
      <c r="B311" s="272" t="s">
        <v>5130</v>
      </c>
      <c r="C311" s="272" t="s">
        <v>1220</v>
      </c>
      <c r="D311" s="272">
        <v>5081</v>
      </c>
      <c r="E311" s="272" t="s">
        <v>4876</v>
      </c>
      <c r="F311" s="272" t="s">
        <v>4877</v>
      </c>
      <c r="G311" s="269">
        <v>7</v>
      </c>
      <c r="H311" s="273">
        <v>0</v>
      </c>
      <c r="I311" s="283">
        <v>34</v>
      </c>
      <c r="J311" s="284" t="s">
        <v>5124</v>
      </c>
      <c r="K311" s="285" t="s">
        <v>5125</v>
      </c>
      <c r="L311" s="272" t="s">
        <v>4889</v>
      </c>
      <c r="M311" s="272">
        <v>1</v>
      </c>
      <c r="N311" s="272" t="b">
        <v>1</v>
      </c>
      <c r="O311" s="272">
        <v>77</v>
      </c>
      <c r="P311" s="281">
        <v>1155</v>
      </c>
      <c r="Q311" s="281">
        <v>1540</v>
      </c>
      <c r="R311" s="272" t="s">
        <v>3383</v>
      </c>
      <c r="S311" s="272"/>
      <c r="T311" s="272">
        <v>1</v>
      </c>
      <c r="U311" s="272" t="s">
        <v>4880</v>
      </c>
      <c r="V311" s="273">
        <v>10</v>
      </c>
      <c r="W311" s="273"/>
      <c r="X311" s="272" t="s">
        <v>4881</v>
      </c>
      <c r="Y311" s="333" t="s">
        <v>5126</v>
      </c>
      <c r="Z311" s="334" t="s">
        <v>5127</v>
      </c>
      <c r="AA311" s="272" t="s">
        <v>4884</v>
      </c>
      <c r="AB311" s="272"/>
      <c r="AC311" s="289">
        <v>1</v>
      </c>
      <c r="AD311" s="289">
        <v>1</v>
      </c>
      <c r="AE311" s="289"/>
      <c r="AF311" s="272"/>
      <c r="AG311" s="272"/>
    </row>
    <row r="312" spans="1:33" s="145" customFormat="1" x14ac:dyDescent="0.15">
      <c r="A312" s="267">
        <v>95150011</v>
      </c>
      <c r="B312" s="268" t="s">
        <v>5131</v>
      </c>
      <c r="C312" s="293" t="s">
        <v>1316</v>
      </c>
      <c r="D312" s="293">
        <v>5091</v>
      </c>
      <c r="E312" s="268" t="s">
        <v>4876</v>
      </c>
      <c r="F312" s="268" t="s">
        <v>4877</v>
      </c>
      <c r="G312" s="269">
        <v>1</v>
      </c>
      <c r="H312" s="269">
        <v>0</v>
      </c>
      <c r="I312" s="267">
        <v>34</v>
      </c>
      <c r="J312" s="282" t="s">
        <v>5132</v>
      </c>
      <c r="K312" s="279" t="s">
        <v>5133</v>
      </c>
      <c r="L312" s="279"/>
      <c r="M312" s="268">
        <v>1</v>
      </c>
      <c r="N312" s="268" t="b">
        <v>1</v>
      </c>
      <c r="O312" s="268">
        <v>2</v>
      </c>
      <c r="P312" s="281">
        <v>30</v>
      </c>
      <c r="Q312" s="281">
        <v>40</v>
      </c>
      <c r="R312" s="268" t="s">
        <v>3383</v>
      </c>
      <c r="S312" s="268"/>
      <c r="T312" s="268">
        <v>1</v>
      </c>
      <c r="U312" s="268" t="s">
        <v>4880</v>
      </c>
      <c r="V312" s="269">
        <v>1</v>
      </c>
      <c r="W312" s="269"/>
      <c r="X312" s="268" t="s">
        <v>4881</v>
      </c>
      <c r="Y312" s="269" t="s">
        <v>5134</v>
      </c>
      <c r="Z312" s="332" t="s">
        <v>5135</v>
      </c>
      <c r="AA312" s="268" t="s">
        <v>4884</v>
      </c>
      <c r="AB312" s="268"/>
      <c r="AC312" s="287">
        <v>1</v>
      </c>
      <c r="AD312" s="287">
        <v>1</v>
      </c>
      <c r="AE312" s="268"/>
      <c r="AF312" s="268"/>
      <c r="AG312" s="290"/>
    </row>
    <row r="313" spans="1:33" s="145" customFormat="1" x14ac:dyDescent="0.15">
      <c r="A313" s="267">
        <v>95150012</v>
      </c>
      <c r="B313" s="268" t="s">
        <v>5131</v>
      </c>
      <c r="C313" s="293" t="s">
        <v>1316</v>
      </c>
      <c r="D313" s="293">
        <v>5091</v>
      </c>
      <c r="E313" s="268" t="s">
        <v>4876</v>
      </c>
      <c r="F313" s="268" t="s">
        <v>4877</v>
      </c>
      <c r="G313" s="269">
        <v>2</v>
      </c>
      <c r="H313" s="269">
        <v>0</v>
      </c>
      <c r="I313" s="267">
        <v>34</v>
      </c>
      <c r="J313" s="282" t="s">
        <v>5132</v>
      </c>
      <c r="K313" s="279" t="s">
        <v>5133</v>
      </c>
      <c r="L313" s="279"/>
      <c r="M313" s="268">
        <v>1</v>
      </c>
      <c r="N313" s="268" t="b">
        <v>1</v>
      </c>
      <c r="O313" s="268">
        <v>5</v>
      </c>
      <c r="P313" s="281">
        <v>75</v>
      </c>
      <c r="Q313" s="281">
        <v>100</v>
      </c>
      <c r="R313" s="268" t="s">
        <v>3383</v>
      </c>
      <c r="S313" s="268"/>
      <c r="T313" s="268">
        <v>1</v>
      </c>
      <c r="U313" s="268" t="s">
        <v>4880</v>
      </c>
      <c r="V313" s="269">
        <v>2</v>
      </c>
      <c r="W313" s="269"/>
      <c r="X313" s="268" t="s">
        <v>4881</v>
      </c>
      <c r="Y313" s="269" t="s">
        <v>5134</v>
      </c>
      <c r="Z313" s="293" t="s">
        <v>5135</v>
      </c>
      <c r="AA313" s="268" t="s">
        <v>4884</v>
      </c>
      <c r="AB313" s="268"/>
      <c r="AC313" s="287">
        <v>1</v>
      </c>
      <c r="AD313" s="287">
        <v>1</v>
      </c>
      <c r="AE313" s="268"/>
      <c r="AF313" s="268"/>
      <c r="AG313" s="290"/>
    </row>
    <row r="314" spans="1:33" s="145" customFormat="1" x14ac:dyDescent="0.15">
      <c r="A314" s="267">
        <v>95150013</v>
      </c>
      <c r="B314" s="268" t="s">
        <v>5131</v>
      </c>
      <c r="C314" s="293" t="s">
        <v>1316</v>
      </c>
      <c r="D314" s="293">
        <v>5091</v>
      </c>
      <c r="E314" s="268" t="s">
        <v>4876</v>
      </c>
      <c r="F314" s="268" t="s">
        <v>4877</v>
      </c>
      <c r="G314" s="269">
        <v>3</v>
      </c>
      <c r="H314" s="269">
        <v>0</v>
      </c>
      <c r="I314" s="267">
        <v>34</v>
      </c>
      <c r="J314" s="282" t="s">
        <v>5132</v>
      </c>
      <c r="K314" s="279" t="s">
        <v>5133</v>
      </c>
      <c r="L314" s="279"/>
      <c r="M314" s="268">
        <v>1</v>
      </c>
      <c r="N314" s="268" t="b">
        <v>1</v>
      </c>
      <c r="O314" s="268">
        <v>7</v>
      </c>
      <c r="P314" s="281">
        <v>105</v>
      </c>
      <c r="Q314" s="281">
        <v>140</v>
      </c>
      <c r="R314" s="268" t="s">
        <v>3383</v>
      </c>
      <c r="S314" s="268"/>
      <c r="T314" s="268">
        <v>1</v>
      </c>
      <c r="U314" s="268" t="s">
        <v>4880</v>
      </c>
      <c r="V314" s="269">
        <v>3</v>
      </c>
      <c r="W314" s="269"/>
      <c r="X314" s="268" t="s">
        <v>4881</v>
      </c>
      <c r="Y314" s="269" t="s">
        <v>5134</v>
      </c>
      <c r="Z314" s="293" t="s">
        <v>5135</v>
      </c>
      <c r="AA314" s="268" t="s">
        <v>4884</v>
      </c>
      <c r="AB314" s="268"/>
      <c r="AC314" s="287">
        <v>1</v>
      </c>
      <c r="AD314" s="287">
        <v>1</v>
      </c>
      <c r="AE314" s="268"/>
      <c r="AF314" s="268"/>
      <c r="AG314" s="290"/>
    </row>
    <row r="315" spans="1:33" s="145" customFormat="1" x14ac:dyDescent="0.15">
      <c r="A315" s="267">
        <v>95150014</v>
      </c>
      <c r="B315" s="268" t="s">
        <v>5131</v>
      </c>
      <c r="C315" s="293" t="s">
        <v>1316</v>
      </c>
      <c r="D315" s="293">
        <v>5091</v>
      </c>
      <c r="E315" s="268" t="s">
        <v>4876</v>
      </c>
      <c r="F315" s="268" t="s">
        <v>4877</v>
      </c>
      <c r="G315" s="269">
        <v>4</v>
      </c>
      <c r="H315" s="269">
        <v>0</v>
      </c>
      <c r="I315" s="267">
        <v>34</v>
      </c>
      <c r="J315" s="282" t="s">
        <v>5132</v>
      </c>
      <c r="K315" s="279" t="s">
        <v>5133</v>
      </c>
      <c r="L315" s="279"/>
      <c r="M315" s="268">
        <v>1</v>
      </c>
      <c r="N315" s="268" t="b">
        <v>1</v>
      </c>
      <c r="O315" s="268">
        <v>10</v>
      </c>
      <c r="P315" s="281">
        <v>150</v>
      </c>
      <c r="Q315" s="281">
        <v>200</v>
      </c>
      <c r="R315" s="268" t="s">
        <v>3383</v>
      </c>
      <c r="S315" s="268"/>
      <c r="T315" s="268">
        <v>1</v>
      </c>
      <c r="U315" s="268" t="s">
        <v>4880</v>
      </c>
      <c r="V315" s="269">
        <v>4</v>
      </c>
      <c r="W315" s="269"/>
      <c r="X315" s="268" t="s">
        <v>4881</v>
      </c>
      <c r="Y315" s="269" t="s">
        <v>5134</v>
      </c>
      <c r="Z315" s="293" t="s">
        <v>5135</v>
      </c>
      <c r="AA315" s="268" t="s">
        <v>4884</v>
      </c>
      <c r="AB315" s="268"/>
      <c r="AC315" s="287">
        <v>1</v>
      </c>
      <c r="AD315" s="287">
        <v>1</v>
      </c>
      <c r="AE315" s="268"/>
      <c r="AF315" s="268"/>
      <c r="AG315" s="290"/>
    </row>
    <row r="316" spans="1:33" s="145" customFormat="1" x14ac:dyDescent="0.15">
      <c r="A316" s="267">
        <v>95150015</v>
      </c>
      <c r="B316" s="268" t="s">
        <v>5131</v>
      </c>
      <c r="C316" s="293" t="s">
        <v>1316</v>
      </c>
      <c r="D316" s="293">
        <v>5091</v>
      </c>
      <c r="E316" s="268" t="s">
        <v>4876</v>
      </c>
      <c r="F316" s="268" t="s">
        <v>4877</v>
      </c>
      <c r="G316" s="269">
        <v>5</v>
      </c>
      <c r="H316" s="269">
        <v>0</v>
      </c>
      <c r="I316" s="267">
        <v>34</v>
      </c>
      <c r="J316" s="282" t="s">
        <v>5132</v>
      </c>
      <c r="K316" s="279" t="s">
        <v>5133</v>
      </c>
      <c r="L316" s="279"/>
      <c r="M316" s="268">
        <v>1</v>
      </c>
      <c r="N316" s="268" t="b">
        <v>1</v>
      </c>
      <c r="O316" s="268">
        <v>12</v>
      </c>
      <c r="P316" s="281">
        <v>180</v>
      </c>
      <c r="Q316" s="281">
        <v>240</v>
      </c>
      <c r="R316" s="268" t="s">
        <v>3383</v>
      </c>
      <c r="S316" s="268"/>
      <c r="T316" s="268">
        <v>1</v>
      </c>
      <c r="U316" s="268" t="s">
        <v>4880</v>
      </c>
      <c r="V316" s="269">
        <v>5</v>
      </c>
      <c r="W316" s="269"/>
      <c r="X316" s="268" t="s">
        <v>4881</v>
      </c>
      <c r="Y316" s="269" t="s">
        <v>5134</v>
      </c>
      <c r="Z316" s="293" t="s">
        <v>5135</v>
      </c>
      <c r="AA316" s="268" t="s">
        <v>4884</v>
      </c>
      <c r="AB316" s="268"/>
      <c r="AC316" s="287">
        <v>1</v>
      </c>
      <c r="AD316" s="287">
        <v>1</v>
      </c>
      <c r="AE316" s="268"/>
      <c r="AF316" s="268"/>
      <c r="AG316" s="290"/>
    </row>
    <row r="317" spans="1:33" s="145" customFormat="1" x14ac:dyDescent="0.15">
      <c r="A317" s="270">
        <v>95150016</v>
      </c>
      <c r="B317" s="268" t="s">
        <v>5131</v>
      </c>
      <c r="C317" s="268" t="s">
        <v>1316</v>
      </c>
      <c r="D317" s="268">
        <v>5091</v>
      </c>
      <c r="E317" s="268" t="s">
        <v>4876</v>
      </c>
      <c r="F317" s="268" t="s">
        <v>4877</v>
      </c>
      <c r="G317" s="269">
        <v>6</v>
      </c>
      <c r="H317" s="269">
        <v>0</v>
      </c>
      <c r="I317" s="267">
        <v>34</v>
      </c>
      <c r="J317" s="282" t="s">
        <v>5132</v>
      </c>
      <c r="K317" s="279" t="s">
        <v>5133</v>
      </c>
      <c r="L317" s="279"/>
      <c r="M317" s="268">
        <v>1</v>
      </c>
      <c r="N317" s="268" t="b">
        <v>1</v>
      </c>
      <c r="O317" s="268">
        <v>25</v>
      </c>
      <c r="P317" s="281">
        <v>375</v>
      </c>
      <c r="Q317" s="281">
        <v>500</v>
      </c>
      <c r="R317" s="268" t="s">
        <v>3383</v>
      </c>
      <c r="S317" s="268"/>
      <c r="T317" s="268">
        <v>1</v>
      </c>
      <c r="U317" s="268" t="s">
        <v>4880</v>
      </c>
      <c r="V317" s="269">
        <v>7</v>
      </c>
      <c r="W317" s="269"/>
      <c r="X317" s="268" t="s">
        <v>4881</v>
      </c>
      <c r="Y317" s="331" t="s">
        <v>5134</v>
      </c>
      <c r="Z317" s="332" t="s">
        <v>5135</v>
      </c>
      <c r="AA317" s="268" t="s">
        <v>4884</v>
      </c>
      <c r="AB317" s="268"/>
      <c r="AC317" s="287">
        <v>1</v>
      </c>
      <c r="AD317" s="287">
        <v>1</v>
      </c>
      <c r="AE317" s="268"/>
      <c r="AF317" s="268"/>
      <c r="AG317" s="290"/>
    </row>
    <row r="318" spans="1:33" s="145" customFormat="1" x14ac:dyDescent="0.15">
      <c r="A318" s="270">
        <v>95150017</v>
      </c>
      <c r="B318" s="268" t="s">
        <v>5131</v>
      </c>
      <c r="C318" s="268" t="s">
        <v>1316</v>
      </c>
      <c r="D318" s="268">
        <v>5091</v>
      </c>
      <c r="E318" s="268" t="s">
        <v>4876</v>
      </c>
      <c r="F318" s="268" t="s">
        <v>4877</v>
      </c>
      <c r="G318" s="269">
        <v>7</v>
      </c>
      <c r="H318" s="269">
        <v>0</v>
      </c>
      <c r="I318" s="267">
        <v>34</v>
      </c>
      <c r="J318" s="282" t="s">
        <v>5132</v>
      </c>
      <c r="K318" s="279" t="s">
        <v>5133</v>
      </c>
      <c r="L318" s="279"/>
      <c r="M318" s="268">
        <v>1</v>
      </c>
      <c r="N318" s="268" t="b">
        <v>1</v>
      </c>
      <c r="O318" s="268">
        <v>38</v>
      </c>
      <c r="P318" s="281">
        <v>570</v>
      </c>
      <c r="Q318" s="281">
        <v>760</v>
      </c>
      <c r="R318" s="268" t="s">
        <v>3383</v>
      </c>
      <c r="S318" s="268"/>
      <c r="T318" s="268">
        <v>1</v>
      </c>
      <c r="U318" s="268" t="s">
        <v>4880</v>
      </c>
      <c r="V318" s="269">
        <v>10</v>
      </c>
      <c r="W318" s="269"/>
      <c r="X318" s="268" t="s">
        <v>4881</v>
      </c>
      <c r="Y318" s="331" t="s">
        <v>5134</v>
      </c>
      <c r="Z318" s="332" t="s">
        <v>5135</v>
      </c>
      <c r="AA318" s="268" t="s">
        <v>4884</v>
      </c>
      <c r="AB318" s="268"/>
      <c r="AC318" s="287">
        <v>1</v>
      </c>
      <c r="AD318" s="287">
        <v>1</v>
      </c>
      <c r="AE318" s="268"/>
      <c r="AF318" s="268"/>
      <c r="AG318" s="290"/>
    </row>
    <row r="319" spans="1:33" s="258" customFormat="1" x14ac:dyDescent="0.15">
      <c r="A319" s="271">
        <v>95150018</v>
      </c>
      <c r="B319" s="272" t="s">
        <v>5136</v>
      </c>
      <c r="C319" s="272" t="s">
        <v>1316</v>
      </c>
      <c r="D319" s="272">
        <v>5081</v>
      </c>
      <c r="E319" s="272" t="s">
        <v>4876</v>
      </c>
      <c r="F319" s="272" t="s">
        <v>4877</v>
      </c>
      <c r="G319" s="269">
        <v>6</v>
      </c>
      <c r="H319" s="273">
        <v>0</v>
      </c>
      <c r="I319" s="283">
        <v>34</v>
      </c>
      <c r="J319" s="284" t="s">
        <v>5132</v>
      </c>
      <c r="K319" s="285" t="s">
        <v>5133</v>
      </c>
      <c r="L319" s="272" t="s">
        <v>44</v>
      </c>
      <c r="M319" s="272">
        <v>1</v>
      </c>
      <c r="N319" s="272" t="b">
        <v>1</v>
      </c>
      <c r="O319" s="272">
        <v>51</v>
      </c>
      <c r="P319" s="281">
        <v>765</v>
      </c>
      <c r="Q319" s="281">
        <v>1020</v>
      </c>
      <c r="R319" s="272" t="s">
        <v>3383</v>
      </c>
      <c r="S319" s="272"/>
      <c r="T319" s="272">
        <v>1</v>
      </c>
      <c r="U319" s="272" t="s">
        <v>4880</v>
      </c>
      <c r="V319" s="273">
        <v>10</v>
      </c>
      <c r="W319" s="273"/>
      <c r="X319" s="272" t="s">
        <v>4881</v>
      </c>
      <c r="Y319" s="333" t="s">
        <v>5134</v>
      </c>
      <c r="Z319" s="334" t="s">
        <v>5135</v>
      </c>
      <c r="AA319" s="272" t="s">
        <v>4884</v>
      </c>
      <c r="AB319" s="272"/>
      <c r="AC319" s="289">
        <v>1</v>
      </c>
      <c r="AD319" s="289">
        <v>1</v>
      </c>
      <c r="AE319" s="289"/>
      <c r="AF319" s="272"/>
      <c r="AG319" s="272"/>
    </row>
    <row r="320" spans="1:33" s="258" customFormat="1" x14ac:dyDescent="0.15">
      <c r="A320" s="271">
        <v>95150019</v>
      </c>
      <c r="B320" s="272" t="s">
        <v>5137</v>
      </c>
      <c r="C320" s="272" t="s">
        <v>1316</v>
      </c>
      <c r="D320" s="272">
        <v>5081</v>
      </c>
      <c r="E320" s="272" t="s">
        <v>4876</v>
      </c>
      <c r="F320" s="272" t="s">
        <v>4877</v>
      </c>
      <c r="G320" s="269">
        <v>6</v>
      </c>
      <c r="H320" s="273">
        <v>0</v>
      </c>
      <c r="I320" s="283">
        <v>34</v>
      </c>
      <c r="J320" s="284" t="s">
        <v>5132</v>
      </c>
      <c r="K320" s="285" t="s">
        <v>5133</v>
      </c>
      <c r="L320" s="272" t="s">
        <v>4887</v>
      </c>
      <c r="M320" s="272">
        <v>1</v>
      </c>
      <c r="N320" s="272" t="b">
        <v>1</v>
      </c>
      <c r="O320" s="272">
        <v>64</v>
      </c>
      <c r="P320" s="281">
        <v>960</v>
      </c>
      <c r="Q320" s="281">
        <v>1280</v>
      </c>
      <c r="R320" s="272" t="s">
        <v>3383</v>
      </c>
      <c r="S320" s="272"/>
      <c r="T320" s="272">
        <v>1</v>
      </c>
      <c r="U320" s="272" t="s">
        <v>4880</v>
      </c>
      <c r="V320" s="273">
        <v>10</v>
      </c>
      <c r="W320" s="273"/>
      <c r="X320" s="272" t="s">
        <v>4881</v>
      </c>
      <c r="Y320" s="333" t="s">
        <v>5134</v>
      </c>
      <c r="Z320" s="334" t="s">
        <v>5135</v>
      </c>
      <c r="AA320" s="272" t="s">
        <v>4884</v>
      </c>
      <c r="AB320" s="272"/>
      <c r="AC320" s="289">
        <v>1</v>
      </c>
      <c r="AD320" s="289">
        <v>1</v>
      </c>
      <c r="AE320" s="289"/>
      <c r="AF320" s="272"/>
      <c r="AG320" s="272"/>
    </row>
    <row r="321" spans="1:33" s="258" customFormat="1" x14ac:dyDescent="0.15">
      <c r="A321" s="271">
        <v>95150020</v>
      </c>
      <c r="B321" s="272" t="s">
        <v>5138</v>
      </c>
      <c r="C321" s="272" t="s">
        <v>1316</v>
      </c>
      <c r="D321" s="272">
        <v>5081</v>
      </c>
      <c r="E321" s="272" t="s">
        <v>4876</v>
      </c>
      <c r="F321" s="272" t="s">
        <v>4877</v>
      </c>
      <c r="G321" s="269">
        <v>7</v>
      </c>
      <c r="H321" s="273">
        <v>0</v>
      </c>
      <c r="I321" s="283">
        <v>34</v>
      </c>
      <c r="J321" s="284" t="s">
        <v>5132</v>
      </c>
      <c r="K321" s="285" t="s">
        <v>5133</v>
      </c>
      <c r="L321" s="272" t="s">
        <v>4889</v>
      </c>
      <c r="M321" s="272">
        <v>1</v>
      </c>
      <c r="N321" s="272" t="b">
        <v>1</v>
      </c>
      <c r="O321" s="272">
        <v>77</v>
      </c>
      <c r="P321" s="281">
        <v>1155</v>
      </c>
      <c r="Q321" s="281">
        <v>1540</v>
      </c>
      <c r="R321" s="272" t="s">
        <v>3383</v>
      </c>
      <c r="S321" s="272"/>
      <c r="T321" s="272">
        <v>1</v>
      </c>
      <c r="U321" s="272" t="s">
        <v>4880</v>
      </c>
      <c r="V321" s="273">
        <v>10</v>
      </c>
      <c r="W321" s="273"/>
      <c r="X321" s="272" t="s">
        <v>4881</v>
      </c>
      <c r="Y321" s="333" t="s">
        <v>5134</v>
      </c>
      <c r="Z321" s="334" t="s">
        <v>5135</v>
      </c>
      <c r="AA321" s="272" t="s">
        <v>4884</v>
      </c>
      <c r="AB321" s="272"/>
      <c r="AC321" s="289">
        <v>1</v>
      </c>
      <c r="AD321" s="289">
        <v>1</v>
      </c>
      <c r="AE321" s="289"/>
      <c r="AF321" s="272"/>
      <c r="AG321" s="272"/>
    </row>
    <row r="322" spans="1:33" s="145" customFormat="1" x14ac:dyDescent="0.15">
      <c r="A322" s="267">
        <v>95150021</v>
      </c>
      <c r="B322" s="268" t="s">
        <v>5139</v>
      </c>
      <c r="C322" s="293" t="s">
        <v>1316</v>
      </c>
      <c r="D322" s="293">
        <v>5091</v>
      </c>
      <c r="E322" s="268" t="s">
        <v>4876</v>
      </c>
      <c r="F322" s="268" t="s">
        <v>4877</v>
      </c>
      <c r="G322" s="269">
        <v>1</v>
      </c>
      <c r="H322" s="269">
        <v>0</v>
      </c>
      <c r="I322" s="267">
        <v>34</v>
      </c>
      <c r="J322" s="282" t="s">
        <v>5140</v>
      </c>
      <c r="K322" s="279" t="s">
        <v>5141</v>
      </c>
      <c r="L322" s="279"/>
      <c r="M322" s="268">
        <v>1</v>
      </c>
      <c r="N322" s="268" t="b">
        <v>1</v>
      </c>
      <c r="O322" s="268">
        <v>2</v>
      </c>
      <c r="P322" s="281">
        <v>30</v>
      </c>
      <c r="Q322" s="281">
        <v>40</v>
      </c>
      <c r="R322" s="268" t="s">
        <v>3383</v>
      </c>
      <c r="S322" s="268"/>
      <c r="T322" s="268">
        <v>1</v>
      </c>
      <c r="U322" s="268" t="s">
        <v>4880</v>
      </c>
      <c r="V322" s="269">
        <v>1</v>
      </c>
      <c r="W322" s="269"/>
      <c r="X322" s="268" t="s">
        <v>4881</v>
      </c>
      <c r="Y322" s="337" t="s">
        <v>5142</v>
      </c>
      <c r="Z322" s="293" t="s">
        <v>5143</v>
      </c>
      <c r="AA322" s="268" t="s">
        <v>4884</v>
      </c>
      <c r="AB322" s="268"/>
      <c r="AC322" s="287">
        <v>1</v>
      </c>
      <c r="AD322" s="287">
        <v>1</v>
      </c>
      <c r="AE322" s="268"/>
      <c r="AF322" s="268"/>
      <c r="AG322" s="290"/>
    </row>
    <row r="323" spans="1:33" s="145" customFormat="1" x14ac:dyDescent="0.15">
      <c r="A323" s="267">
        <v>95150022</v>
      </c>
      <c r="B323" s="268" t="s">
        <v>5139</v>
      </c>
      <c r="C323" s="293" t="s">
        <v>1316</v>
      </c>
      <c r="D323" s="293">
        <v>5091</v>
      </c>
      <c r="E323" s="268" t="s">
        <v>4876</v>
      </c>
      <c r="F323" s="268" t="s">
        <v>4877</v>
      </c>
      <c r="G323" s="269">
        <v>2</v>
      </c>
      <c r="H323" s="269">
        <v>0</v>
      </c>
      <c r="I323" s="267">
        <v>34</v>
      </c>
      <c r="J323" s="282" t="s">
        <v>5140</v>
      </c>
      <c r="K323" s="279" t="s">
        <v>5141</v>
      </c>
      <c r="L323" s="279"/>
      <c r="M323" s="268">
        <v>1</v>
      </c>
      <c r="N323" s="268" t="b">
        <v>1</v>
      </c>
      <c r="O323" s="268">
        <v>5</v>
      </c>
      <c r="P323" s="281">
        <v>75</v>
      </c>
      <c r="Q323" s="281">
        <v>100</v>
      </c>
      <c r="R323" s="268" t="s">
        <v>3383</v>
      </c>
      <c r="S323" s="268"/>
      <c r="T323" s="268">
        <v>1</v>
      </c>
      <c r="U323" s="268" t="s">
        <v>4880</v>
      </c>
      <c r="V323" s="269">
        <v>2</v>
      </c>
      <c r="W323" s="269"/>
      <c r="X323" s="268" t="s">
        <v>4881</v>
      </c>
      <c r="Y323" s="337" t="s">
        <v>5142</v>
      </c>
      <c r="Z323" s="293" t="s">
        <v>5143</v>
      </c>
      <c r="AA323" s="268" t="s">
        <v>4884</v>
      </c>
      <c r="AB323" s="268"/>
      <c r="AC323" s="287">
        <v>1</v>
      </c>
      <c r="AD323" s="287">
        <v>1</v>
      </c>
      <c r="AE323" s="268"/>
      <c r="AF323" s="268"/>
      <c r="AG323" s="290"/>
    </row>
    <row r="324" spans="1:33" s="145" customFormat="1" x14ac:dyDescent="0.15">
      <c r="A324" s="267">
        <v>95150023</v>
      </c>
      <c r="B324" s="268" t="s">
        <v>5139</v>
      </c>
      <c r="C324" s="293" t="s">
        <v>1316</v>
      </c>
      <c r="D324" s="293">
        <v>5091</v>
      </c>
      <c r="E324" s="268" t="s">
        <v>4876</v>
      </c>
      <c r="F324" s="268" t="s">
        <v>4877</v>
      </c>
      <c r="G324" s="269">
        <v>3</v>
      </c>
      <c r="H324" s="269">
        <v>0</v>
      </c>
      <c r="I324" s="267">
        <v>34</v>
      </c>
      <c r="J324" s="282" t="s">
        <v>5140</v>
      </c>
      <c r="K324" s="279" t="s">
        <v>5141</v>
      </c>
      <c r="L324" s="279"/>
      <c r="M324" s="268">
        <v>1</v>
      </c>
      <c r="N324" s="268" t="b">
        <v>1</v>
      </c>
      <c r="O324" s="268">
        <v>7</v>
      </c>
      <c r="P324" s="281">
        <v>105</v>
      </c>
      <c r="Q324" s="281">
        <v>140</v>
      </c>
      <c r="R324" s="268" t="s">
        <v>3383</v>
      </c>
      <c r="S324" s="268"/>
      <c r="T324" s="268">
        <v>1</v>
      </c>
      <c r="U324" s="268" t="s">
        <v>4880</v>
      </c>
      <c r="V324" s="269">
        <v>3</v>
      </c>
      <c r="W324" s="269"/>
      <c r="X324" s="268" t="s">
        <v>4881</v>
      </c>
      <c r="Y324" s="337" t="s">
        <v>5142</v>
      </c>
      <c r="Z324" s="293" t="s">
        <v>5143</v>
      </c>
      <c r="AA324" s="268" t="s">
        <v>4884</v>
      </c>
      <c r="AB324" s="268"/>
      <c r="AC324" s="287">
        <v>1</v>
      </c>
      <c r="AD324" s="287">
        <v>1</v>
      </c>
      <c r="AE324" s="268"/>
      <c r="AF324" s="268"/>
      <c r="AG324" s="290"/>
    </row>
    <row r="325" spans="1:33" s="145" customFormat="1" x14ac:dyDescent="0.15">
      <c r="A325" s="267">
        <v>95150024</v>
      </c>
      <c r="B325" s="268" t="s">
        <v>5139</v>
      </c>
      <c r="C325" s="293" t="s">
        <v>1316</v>
      </c>
      <c r="D325" s="293">
        <v>5091</v>
      </c>
      <c r="E325" s="268" t="s">
        <v>4876</v>
      </c>
      <c r="F325" s="268" t="s">
        <v>4877</v>
      </c>
      <c r="G325" s="269">
        <v>4</v>
      </c>
      <c r="H325" s="269">
        <v>0</v>
      </c>
      <c r="I325" s="267">
        <v>34</v>
      </c>
      <c r="J325" s="282" t="s">
        <v>5140</v>
      </c>
      <c r="K325" s="279" t="s">
        <v>5141</v>
      </c>
      <c r="L325" s="279"/>
      <c r="M325" s="268">
        <v>1</v>
      </c>
      <c r="N325" s="268" t="b">
        <v>1</v>
      </c>
      <c r="O325" s="268">
        <v>10</v>
      </c>
      <c r="P325" s="281">
        <v>150</v>
      </c>
      <c r="Q325" s="281">
        <v>200</v>
      </c>
      <c r="R325" s="268" t="s">
        <v>3383</v>
      </c>
      <c r="S325" s="268"/>
      <c r="T325" s="268">
        <v>1</v>
      </c>
      <c r="U325" s="268" t="s">
        <v>4880</v>
      </c>
      <c r="V325" s="269">
        <v>4</v>
      </c>
      <c r="W325" s="269"/>
      <c r="X325" s="268" t="s">
        <v>4881</v>
      </c>
      <c r="Y325" s="337" t="s">
        <v>5142</v>
      </c>
      <c r="Z325" s="293" t="s">
        <v>5143</v>
      </c>
      <c r="AA325" s="268" t="s">
        <v>4884</v>
      </c>
      <c r="AB325" s="268"/>
      <c r="AC325" s="287">
        <v>1</v>
      </c>
      <c r="AD325" s="287">
        <v>1</v>
      </c>
      <c r="AE325" s="268"/>
      <c r="AF325" s="268"/>
      <c r="AG325" s="290"/>
    </row>
    <row r="326" spans="1:33" s="145" customFormat="1" x14ac:dyDescent="0.15">
      <c r="A326" s="267">
        <v>95150025</v>
      </c>
      <c r="B326" s="268" t="s">
        <v>5139</v>
      </c>
      <c r="C326" s="293" t="s">
        <v>1316</v>
      </c>
      <c r="D326" s="293">
        <v>5091</v>
      </c>
      <c r="E326" s="268" t="s">
        <v>4876</v>
      </c>
      <c r="F326" s="268" t="s">
        <v>4877</v>
      </c>
      <c r="G326" s="269">
        <v>5</v>
      </c>
      <c r="H326" s="269">
        <v>0</v>
      </c>
      <c r="I326" s="267">
        <v>34</v>
      </c>
      <c r="J326" s="282" t="s">
        <v>5140</v>
      </c>
      <c r="K326" s="279" t="s">
        <v>5141</v>
      </c>
      <c r="L326" s="279"/>
      <c r="M326" s="268">
        <v>1</v>
      </c>
      <c r="N326" s="268" t="b">
        <v>1</v>
      </c>
      <c r="O326" s="268">
        <v>12</v>
      </c>
      <c r="P326" s="281">
        <v>180</v>
      </c>
      <c r="Q326" s="281">
        <v>240</v>
      </c>
      <c r="R326" s="268" t="s">
        <v>3383</v>
      </c>
      <c r="S326" s="268"/>
      <c r="T326" s="268">
        <v>1</v>
      </c>
      <c r="U326" s="268" t="s">
        <v>4880</v>
      </c>
      <c r="V326" s="269">
        <v>5</v>
      </c>
      <c r="W326" s="269"/>
      <c r="X326" s="268" t="s">
        <v>4881</v>
      </c>
      <c r="Y326" s="337" t="s">
        <v>5142</v>
      </c>
      <c r="Z326" s="293" t="s">
        <v>5143</v>
      </c>
      <c r="AA326" s="268" t="s">
        <v>4884</v>
      </c>
      <c r="AB326" s="268"/>
      <c r="AC326" s="287">
        <v>1</v>
      </c>
      <c r="AD326" s="287">
        <v>1</v>
      </c>
      <c r="AE326" s="268"/>
      <c r="AF326" s="268"/>
      <c r="AG326" s="290"/>
    </row>
    <row r="327" spans="1:33" s="258" customFormat="1" x14ac:dyDescent="0.15">
      <c r="A327" s="270">
        <v>95150026</v>
      </c>
      <c r="B327" s="268" t="s">
        <v>5139</v>
      </c>
      <c r="C327" s="268" t="s">
        <v>1316</v>
      </c>
      <c r="D327" s="268">
        <v>5091</v>
      </c>
      <c r="E327" s="268" t="s">
        <v>4876</v>
      </c>
      <c r="F327" s="268" t="s">
        <v>4877</v>
      </c>
      <c r="G327" s="269">
        <v>6</v>
      </c>
      <c r="H327" s="269">
        <v>0</v>
      </c>
      <c r="I327" s="267">
        <v>34</v>
      </c>
      <c r="J327" s="282" t="s">
        <v>5140</v>
      </c>
      <c r="K327" s="279" t="s">
        <v>5141</v>
      </c>
      <c r="L327" s="279"/>
      <c r="M327" s="268">
        <v>1</v>
      </c>
      <c r="N327" s="268" t="b">
        <v>1</v>
      </c>
      <c r="O327" s="268">
        <v>25</v>
      </c>
      <c r="P327" s="281">
        <v>375</v>
      </c>
      <c r="Q327" s="281">
        <v>500</v>
      </c>
      <c r="R327" s="268" t="s">
        <v>3383</v>
      </c>
      <c r="S327" s="268"/>
      <c r="T327" s="268">
        <v>1</v>
      </c>
      <c r="U327" s="268" t="s">
        <v>4880</v>
      </c>
      <c r="V327" s="269">
        <v>7</v>
      </c>
      <c r="W327" s="269"/>
      <c r="X327" s="268" t="s">
        <v>4881</v>
      </c>
      <c r="Y327" s="331" t="s">
        <v>5142</v>
      </c>
      <c r="Z327" s="332" t="s">
        <v>5143</v>
      </c>
      <c r="AA327" s="268" t="s">
        <v>4884</v>
      </c>
      <c r="AB327" s="268"/>
      <c r="AC327" s="287">
        <v>1</v>
      </c>
      <c r="AD327" s="287">
        <v>1</v>
      </c>
      <c r="AE327" s="268"/>
      <c r="AF327" s="268"/>
      <c r="AG327" s="290"/>
    </row>
    <row r="328" spans="1:33" s="145" customFormat="1" x14ac:dyDescent="0.15">
      <c r="A328" s="270">
        <v>95150027</v>
      </c>
      <c r="B328" s="268" t="s">
        <v>5139</v>
      </c>
      <c r="C328" s="268" t="s">
        <v>1316</v>
      </c>
      <c r="D328" s="268">
        <v>5091</v>
      </c>
      <c r="E328" s="268" t="s">
        <v>4876</v>
      </c>
      <c r="F328" s="268" t="s">
        <v>4877</v>
      </c>
      <c r="G328" s="269">
        <v>7</v>
      </c>
      <c r="H328" s="269">
        <v>0</v>
      </c>
      <c r="I328" s="267">
        <v>34</v>
      </c>
      <c r="J328" s="282" t="s">
        <v>5140</v>
      </c>
      <c r="K328" s="279" t="s">
        <v>5141</v>
      </c>
      <c r="L328" s="279"/>
      <c r="M328" s="268">
        <v>1</v>
      </c>
      <c r="N328" s="268" t="b">
        <v>1</v>
      </c>
      <c r="O328" s="268">
        <v>38</v>
      </c>
      <c r="P328" s="281">
        <v>570</v>
      </c>
      <c r="Q328" s="281">
        <v>760</v>
      </c>
      <c r="R328" s="268" t="s">
        <v>3383</v>
      </c>
      <c r="S328" s="268"/>
      <c r="T328" s="268">
        <v>1</v>
      </c>
      <c r="U328" s="268" t="s">
        <v>4880</v>
      </c>
      <c r="V328" s="269">
        <v>10</v>
      </c>
      <c r="W328" s="269"/>
      <c r="X328" s="268" t="s">
        <v>4881</v>
      </c>
      <c r="Y328" s="331" t="s">
        <v>5142</v>
      </c>
      <c r="Z328" s="332" t="s">
        <v>5143</v>
      </c>
      <c r="AA328" s="268" t="s">
        <v>4884</v>
      </c>
      <c r="AB328" s="268"/>
      <c r="AC328" s="287">
        <v>1</v>
      </c>
      <c r="AD328" s="287">
        <v>1</v>
      </c>
      <c r="AE328" s="268"/>
      <c r="AF328" s="268"/>
      <c r="AG328" s="290"/>
    </row>
    <row r="329" spans="1:33" s="258" customFormat="1" x14ac:dyDescent="0.15">
      <c r="A329" s="271">
        <v>95150028</v>
      </c>
      <c r="B329" s="272" t="s">
        <v>5144</v>
      </c>
      <c r="C329" s="272" t="s">
        <v>1316</v>
      </c>
      <c r="D329" s="272">
        <v>5081</v>
      </c>
      <c r="E329" s="272" t="s">
        <v>4876</v>
      </c>
      <c r="F329" s="272" t="s">
        <v>4877</v>
      </c>
      <c r="G329" s="269">
        <v>6</v>
      </c>
      <c r="H329" s="273">
        <v>1</v>
      </c>
      <c r="I329" s="283">
        <v>34</v>
      </c>
      <c r="J329" s="284" t="s">
        <v>5140</v>
      </c>
      <c r="K329" s="285" t="s">
        <v>5141</v>
      </c>
      <c r="L329" s="272" t="s">
        <v>44</v>
      </c>
      <c r="M329" s="272">
        <v>1</v>
      </c>
      <c r="N329" s="272" t="b">
        <v>1</v>
      </c>
      <c r="O329" s="272">
        <v>51</v>
      </c>
      <c r="P329" s="281">
        <v>765</v>
      </c>
      <c r="Q329" s="281">
        <v>1020</v>
      </c>
      <c r="R329" s="272" t="s">
        <v>3383</v>
      </c>
      <c r="S329" s="272"/>
      <c r="T329" s="272">
        <v>1</v>
      </c>
      <c r="U329" s="272" t="s">
        <v>4880</v>
      </c>
      <c r="V329" s="273">
        <v>10</v>
      </c>
      <c r="W329" s="273"/>
      <c r="X329" s="272" t="s">
        <v>4881</v>
      </c>
      <c r="Y329" s="333" t="s">
        <v>5142</v>
      </c>
      <c r="Z329" s="334" t="s">
        <v>5143</v>
      </c>
      <c r="AA329" s="272" t="s">
        <v>4884</v>
      </c>
      <c r="AB329" s="272"/>
      <c r="AC329" s="289">
        <v>1</v>
      </c>
      <c r="AD329" s="289">
        <v>1</v>
      </c>
      <c r="AE329" s="289"/>
      <c r="AF329" s="272"/>
      <c r="AG329" s="272"/>
    </row>
    <row r="330" spans="1:33" s="258" customFormat="1" x14ac:dyDescent="0.15">
      <c r="A330" s="271">
        <v>95150029</v>
      </c>
      <c r="B330" s="272" t="s">
        <v>5145</v>
      </c>
      <c r="C330" s="272" t="s">
        <v>1316</v>
      </c>
      <c r="D330" s="272">
        <v>5081</v>
      </c>
      <c r="E330" s="272" t="s">
        <v>4876</v>
      </c>
      <c r="F330" s="272" t="s">
        <v>4877</v>
      </c>
      <c r="G330" s="269">
        <v>6</v>
      </c>
      <c r="H330" s="273">
        <v>1</v>
      </c>
      <c r="I330" s="283">
        <v>34</v>
      </c>
      <c r="J330" s="284" t="s">
        <v>5140</v>
      </c>
      <c r="K330" s="285" t="s">
        <v>5141</v>
      </c>
      <c r="L330" s="272" t="s">
        <v>4887</v>
      </c>
      <c r="M330" s="272">
        <v>1</v>
      </c>
      <c r="N330" s="272" t="b">
        <v>1</v>
      </c>
      <c r="O330" s="272">
        <v>64</v>
      </c>
      <c r="P330" s="281">
        <v>960</v>
      </c>
      <c r="Q330" s="281">
        <v>1280</v>
      </c>
      <c r="R330" s="272" t="s">
        <v>3383</v>
      </c>
      <c r="S330" s="272"/>
      <c r="T330" s="272">
        <v>1</v>
      </c>
      <c r="U330" s="272" t="s">
        <v>4880</v>
      </c>
      <c r="V330" s="273">
        <v>10</v>
      </c>
      <c r="W330" s="273"/>
      <c r="X330" s="272" t="s">
        <v>4881</v>
      </c>
      <c r="Y330" s="333" t="s">
        <v>5142</v>
      </c>
      <c r="Z330" s="334" t="s">
        <v>5143</v>
      </c>
      <c r="AA330" s="272" t="s">
        <v>4884</v>
      </c>
      <c r="AB330" s="272"/>
      <c r="AC330" s="289">
        <v>1</v>
      </c>
      <c r="AD330" s="289">
        <v>1</v>
      </c>
      <c r="AE330" s="289"/>
      <c r="AF330" s="272"/>
      <c r="AG330" s="272"/>
    </row>
    <row r="331" spans="1:33" s="258" customFormat="1" x14ac:dyDescent="0.15">
      <c r="A331" s="271">
        <v>95150030</v>
      </c>
      <c r="B331" s="272" t="s">
        <v>5146</v>
      </c>
      <c r="C331" s="272" t="s">
        <v>1316</v>
      </c>
      <c r="D331" s="272">
        <v>5081</v>
      </c>
      <c r="E331" s="272" t="s">
        <v>4876</v>
      </c>
      <c r="F331" s="272" t="s">
        <v>4877</v>
      </c>
      <c r="G331" s="269">
        <v>7</v>
      </c>
      <c r="H331" s="273">
        <v>0</v>
      </c>
      <c r="I331" s="283">
        <v>34</v>
      </c>
      <c r="J331" s="284" t="s">
        <v>5140</v>
      </c>
      <c r="K331" s="285" t="s">
        <v>5141</v>
      </c>
      <c r="L331" s="272" t="s">
        <v>4889</v>
      </c>
      <c r="M331" s="272">
        <v>1</v>
      </c>
      <c r="N331" s="272" t="b">
        <v>1</v>
      </c>
      <c r="O331" s="272">
        <v>77</v>
      </c>
      <c r="P331" s="281">
        <v>1155</v>
      </c>
      <c r="Q331" s="281">
        <v>1540</v>
      </c>
      <c r="R331" s="272" t="s">
        <v>3383</v>
      </c>
      <c r="S331" s="272"/>
      <c r="T331" s="272">
        <v>1</v>
      </c>
      <c r="U331" s="272" t="s">
        <v>4880</v>
      </c>
      <c r="V331" s="273">
        <v>10</v>
      </c>
      <c r="W331" s="273"/>
      <c r="X331" s="272" t="s">
        <v>4881</v>
      </c>
      <c r="Y331" s="333" t="s">
        <v>5142</v>
      </c>
      <c r="Z331" s="334" t="s">
        <v>5143</v>
      </c>
      <c r="AA331" s="272" t="s">
        <v>4884</v>
      </c>
      <c r="AB331" s="272"/>
      <c r="AC331" s="289">
        <v>1</v>
      </c>
      <c r="AD331" s="289">
        <v>1</v>
      </c>
      <c r="AE331" s="289"/>
      <c r="AF331" s="272"/>
      <c r="AG331" s="272"/>
    </row>
    <row r="332" spans="1:33" s="145" customFormat="1" x14ac:dyDescent="0.15">
      <c r="A332" s="267">
        <v>95201011</v>
      </c>
      <c r="B332" s="268" t="s">
        <v>5147</v>
      </c>
      <c r="C332" s="293" t="s">
        <v>5148</v>
      </c>
      <c r="D332" s="293">
        <v>7901</v>
      </c>
      <c r="E332" s="268" t="s">
        <v>4876</v>
      </c>
      <c r="F332" s="268" t="s">
        <v>4877</v>
      </c>
      <c r="G332" s="269">
        <v>1</v>
      </c>
      <c r="H332" s="269">
        <v>0</v>
      </c>
      <c r="I332" s="267">
        <v>34</v>
      </c>
      <c r="J332" s="268" t="s">
        <v>5149</v>
      </c>
      <c r="K332" s="295" t="s">
        <v>5150</v>
      </c>
      <c r="L332" s="295"/>
      <c r="M332" s="268">
        <v>1</v>
      </c>
      <c r="N332" s="268" t="b">
        <v>1</v>
      </c>
      <c r="O332" s="268">
        <v>2</v>
      </c>
      <c r="P332" s="281">
        <v>30</v>
      </c>
      <c r="Q332" s="281">
        <v>40</v>
      </c>
      <c r="R332" s="268" t="s">
        <v>3383</v>
      </c>
      <c r="S332" s="268"/>
      <c r="T332" s="268">
        <v>1</v>
      </c>
      <c r="U332" s="268" t="s">
        <v>4880</v>
      </c>
      <c r="V332" s="269">
        <v>1</v>
      </c>
      <c r="W332" s="269"/>
      <c r="X332" s="268" t="s">
        <v>4881</v>
      </c>
      <c r="Y332" s="331" t="s">
        <v>5151</v>
      </c>
      <c r="Z332" s="332" t="s">
        <v>5152</v>
      </c>
      <c r="AA332" s="268" t="s">
        <v>4884</v>
      </c>
      <c r="AB332" s="268"/>
      <c r="AC332" s="287">
        <v>1</v>
      </c>
      <c r="AD332" s="287">
        <v>1</v>
      </c>
      <c r="AE332" s="268"/>
      <c r="AF332" s="268"/>
      <c r="AG332" s="290"/>
    </row>
    <row r="333" spans="1:33" s="145" customFormat="1" x14ac:dyDescent="0.15">
      <c r="A333" s="267">
        <v>95201012</v>
      </c>
      <c r="B333" s="268" t="s">
        <v>5147</v>
      </c>
      <c r="C333" s="293" t="s">
        <v>5148</v>
      </c>
      <c r="D333" s="293">
        <v>7901</v>
      </c>
      <c r="E333" s="268" t="s">
        <v>4876</v>
      </c>
      <c r="F333" s="268" t="s">
        <v>4877</v>
      </c>
      <c r="G333" s="269">
        <v>2</v>
      </c>
      <c r="H333" s="269">
        <v>0</v>
      </c>
      <c r="I333" s="267">
        <v>34</v>
      </c>
      <c r="J333" s="268" t="s">
        <v>5149</v>
      </c>
      <c r="K333" s="295" t="s">
        <v>5150</v>
      </c>
      <c r="L333" s="295"/>
      <c r="M333" s="268">
        <v>1</v>
      </c>
      <c r="N333" s="268" t="b">
        <v>1</v>
      </c>
      <c r="O333" s="268">
        <v>5</v>
      </c>
      <c r="P333" s="281">
        <v>75</v>
      </c>
      <c r="Q333" s="281">
        <v>100</v>
      </c>
      <c r="R333" s="268" t="s">
        <v>3383</v>
      </c>
      <c r="S333" s="268"/>
      <c r="T333" s="268">
        <v>1</v>
      </c>
      <c r="U333" s="268" t="s">
        <v>4880</v>
      </c>
      <c r="V333" s="269">
        <v>2</v>
      </c>
      <c r="W333" s="269"/>
      <c r="X333" s="268" t="s">
        <v>4881</v>
      </c>
      <c r="Y333" s="331" t="s">
        <v>5151</v>
      </c>
      <c r="Z333" s="332" t="s">
        <v>5152</v>
      </c>
      <c r="AA333" s="268" t="s">
        <v>4884</v>
      </c>
      <c r="AB333" s="268"/>
      <c r="AC333" s="287">
        <v>1</v>
      </c>
      <c r="AD333" s="287">
        <v>1</v>
      </c>
      <c r="AE333" s="268"/>
      <c r="AF333" s="268"/>
      <c r="AG333" s="290"/>
    </row>
    <row r="334" spans="1:33" s="145" customFormat="1" x14ac:dyDescent="0.15">
      <c r="A334" s="267">
        <v>95201013</v>
      </c>
      <c r="B334" s="268" t="s">
        <v>5147</v>
      </c>
      <c r="C334" s="293" t="s">
        <v>5148</v>
      </c>
      <c r="D334" s="293">
        <v>7901</v>
      </c>
      <c r="E334" s="268" t="s">
        <v>4876</v>
      </c>
      <c r="F334" s="268" t="s">
        <v>4877</v>
      </c>
      <c r="G334" s="269">
        <v>3</v>
      </c>
      <c r="H334" s="269">
        <v>0</v>
      </c>
      <c r="I334" s="267">
        <v>34</v>
      </c>
      <c r="J334" s="268" t="s">
        <v>5149</v>
      </c>
      <c r="K334" s="295" t="s">
        <v>5150</v>
      </c>
      <c r="L334" s="295"/>
      <c r="M334" s="268">
        <v>1</v>
      </c>
      <c r="N334" s="268" t="b">
        <v>1</v>
      </c>
      <c r="O334" s="268">
        <v>7</v>
      </c>
      <c r="P334" s="281">
        <v>105</v>
      </c>
      <c r="Q334" s="281">
        <v>140</v>
      </c>
      <c r="R334" s="268" t="s">
        <v>3383</v>
      </c>
      <c r="S334" s="268"/>
      <c r="T334" s="268">
        <v>1</v>
      </c>
      <c r="U334" s="268" t="s">
        <v>4880</v>
      </c>
      <c r="V334" s="269">
        <v>3</v>
      </c>
      <c r="W334" s="269"/>
      <c r="X334" s="268" t="s">
        <v>4881</v>
      </c>
      <c r="Y334" s="331" t="s">
        <v>5151</v>
      </c>
      <c r="Z334" s="332" t="s">
        <v>5152</v>
      </c>
      <c r="AA334" s="268" t="s">
        <v>4884</v>
      </c>
      <c r="AB334" s="268"/>
      <c r="AC334" s="287">
        <v>1</v>
      </c>
      <c r="AD334" s="287">
        <v>1</v>
      </c>
      <c r="AE334" s="268"/>
      <c r="AF334" s="268"/>
      <c r="AG334" s="290"/>
    </row>
    <row r="335" spans="1:33" s="145" customFormat="1" x14ac:dyDescent="0.15">
      <c r="A335" s="267">
        <v>95201014</v>
      </c>
      <c r="B335" s="268" t="s">
        <v>5147</v>
      </c>
      <c r="C335" s="293" t="s">
        <v>5148</v>
      </c>
      <c r="D335" s="293">
        <v>7901</v>
      </c>
      <c r="E335" s="268" t="s">
        <v>4876</v>
      </c>
      <c r="F335" s="268" t="s">
        <v>4877</v>
      </c>
      <c r="G335" s="269">
        <v>4</v>
      </c>
      <c r="H335" s="269">
        <v>0</v>
      </c>
      <c r="I335" s="267">
        <v>34</v>
      </c>
      <c r="J335" s="268" t="s">
        <v>5149</v>
      </c>
      <c r="K335" s="295" t="s">
        <v>5150</v>
      </c>
      <c r="L335" s="295"/>
      <c r="M335" s="268">
        <v>1</v>
      </c>
      <c r="N335" s="268" t="b">
        <v>1</v>
      </c>
      <c r="O335" s="268">
        <v>10</v>
      </c>
      <c r="P335" s="281">
        <v>150</v>
      </c>
      <c r="Q335" s="281">
        <v>200</v>
      </c>
      <c r="R335" s="268" t="s">
        <v>3383</v>
      </c>
      <c r="S335" s="268"/>
      <c r="T335" s="268">
        <v>1</v>
      </c>
      <c r="U335" s="268" t="s">
        <v>4880</v>
      </c>
      <c r="V335" s="269">
        <v>4</v>
      </c>
      <c r="W335" s="269"/>
      <c r="X335" s="268" t="s">
        <v>4881</v>
      </c>
      <c r="Y335" s="331" t="s">
        <v>5151</v>
      </c>
      <c r="Z335" s="332" t="s">
        <v>5152</v>
      </c>
      <c r="AA335" s="268" t="s">
        <v>4884</v>
      </c>
      <c r="AB335" s="268"/>
      <c r="AC335" s="287">
        <v>1</v>
      </c>
      <c r="AD335" s="287">
        <v>1</v>
      </c>
      <c r="AE335" s="268"/>
      <c r="AF335" s="268"/>
      <c r="AG335" s="290"/>
    </row>
    <row r="336" spans="1:33" s="145" customFormat="1" x14ac:dyDescent="0.15">
      <c r="A336" s="267">
        <v>95201015</v>
      </c>
      <c r="B336" s="268" t="s">
        <v>5147</v>
      </c>
      <c r="C336" s="293" t="s">
        <v>5148</v>
      </c>
      <c r="D336" s="293">
        <v>7901</v>
      </c>
      <c r="E336" s="268" t="s">
        <v>4876</v>
      </c>
      <c r="F336" s="268" t="s">
        <v>4877</v>
      </c>
      <c r="G336" s="269">
        <v>5</v>
      </c>
      <c r="H336" s="269">
        <v>0</v>
      </c>
      <c r="I336" s="267">
        <v>34</v>
      </c>
      <c r="J336" s="268" t="s">
        <v>5149</v>
      </c>
      <c r="K336" s="295" t="s">
        <v>5150</v>
      </c>
      <c r="L336" s="295"/>
      <c r="M336" s="268">
        <v>1</v>
      </c>
      <c r="N336" s="268" t="b">
        <v>1</v>
      </c>
      <c r="O336" s="268">
        <v>12</v>
      </c>
      <c r="P336" s="281">
        <v>180</v>
      </c>
      <c r="Q336" s="281">
        <v>240</v>
      </c>
      <c r="R336" s="268" t="s">
        <v>3383</v>
      </c>
      <c r="S336" s="268"/>
      <c r="T336" s="268">
        <v>1</v>
      </c>
      <c r="U336" s="268" t="s">
        <v>4880</v>
      </c>
      <c r="V336" s="269">
        <v>5</v>
      </c>
      <c r="W336" s="269"/>
      <c r="X336" s="268" t="s">
        <v>4881</v>
      </c>
      <c r="Y336" s="331" t="s">
        <v>5151</v>
      </c>
      <c r="Z336" s="332" t="s">
        <v>5152</v>
      </c>
      <c r="AA336" s="268" t="s">
        <v>4884</v>
      </c>
      <c r="AB336" s="268"/>
      <c r="AC336" s="287">
        <v>1</v>
      </c>
      <c r="AD336" s="287">
        <v>1</v>
      </c>
      <c r="AE336" s="268"/>
      <c r="AF336" s="268"/>
      <c r="AG336" s="290"/>
    </row>
    <row r="337" spans="1:33" s="258" customFormat="1" x14ac:dyDescent="0.15">
      <c r="A337" s="270">
        <v>95201016</v>
      </c>
      <c r="B337" s="268" t="s">
        <v>5147</v>
      </c>
      <c r="C337" s="268" t="s">
        <v>5148</v>
      </c>
      <c r="D337" s="268">
        <v>7901</v>
      </c>
      <c r="E337" s="268" t="s">
        <v>4876</v>
      </c>
      <c r="F337" s="268" t="s">
        <v>4877</v>
      </c>
      <c r="G337" s="269">
        <v>6</v>
      </c>
      <c r="H337" s="269">
        <v>0</v>
      </c>
      <c r="I337" s="267">
        <v>34</v>
      </c>
      <c r="J337" s="282" t="s">
        <v>5149</v>
      </c>
      <c r="K337" s="279" t="s">
        <v>5150</v>
      </c>
      <c r="L337" s="279"/>
      <c r="M337" s="268">
        <v>1</v>
      </c>
      <c r="N337" s="268" t="b">
        <v>1</v>
      </c>
      <c r="O337" s="268">
        <v>25</v>
      </c>
      <c r="P337" s="281">
        <v>375</v>
      </c>
      <c r="Q337" s="281">
        <v>500</v>
      </c>
      <c r="R337" s="268" t="s">
        <v>3383</v>
      </c>
      <c r="S337" s="268"/>
      <c r="T337" s="268">
        <v>1</v>
      </c>
      <c r="U337" s="268" t="s">
        <v>4880</v>
      </c>
      <c r="V337" s="269">
        <v>6</v>
      </c>
      <c r="W337" s="269"/>
      <c r="X337" s="268" t="s">
        <v>4881</v>
      </c>
      <c r="Y337" s="331" t="s">
        <v>5151</v>
      </c>
      <c r="Z337" s="332" t="s">
        <v>5152</v>
      </c>
      <c r="AA337" s="268" t="s">
        <v>4884</v>
      </c>
      <c r="AB337" s="268"/>
      <c r="AC337" s="287">
        <v>1</v>
      </c>
      <c r="AD337" s="287">
        <v>1</v>
      </c>
      <c r="AE337" s="268"/>
      <c r="AF337" s="268"/>
      <c r="AG337" s="290"/>
    </row>
    <row r="338" spans="1:33" s="145" customFormat="1" x14ac:dyDescent="0.15">
      <c r="A338" s="270">
        <v>95201017</v>
      </c>
      <c r="B338" s="268" t="s">
        <v>5147</v>
      </c>
      <c r="C338" s="268" t="s">
        <v>5148</v>
      </c>
      <c r="D338" s="268">
        <v>7901</v>
      </c>
      <c r="E338" s="268" t="s">
        <v>4876</v>
      </c>
      <c r="F338" s="268" t="s">
        <v>4877</v>
      </c>
      <c r="G338" s="269">
        <v>7</v>
      </c>
      <c r="H338" s="269">
        <v>0</v>
      </c>
      <c r="I338" s="267">
        <v>34</v>
      </c>
      <c r="J338" s="282" t="s">
        <v>5149</v>
      </c>
      <c r="K338" s="279" t="s">
        <v>5150</v>
      </c>
      <c r="L338" s="279"/>
      <c r="M338" s="268">
        <v>1</v>
      </c>
      <c r="N338" s="268" t="b">
        <v>1</v>
      </c>
      <c r="O338" s="268">
        <v>38</v>
      </c>
      <c r="P338" s="281">
        <v>570</v>
      </c>
      <c r="Q338" s="281">
        <v>760</v>
      </c>
      <c r="R338" s="268" t="s">
        <v>3383</v>
      </c>
      <c r="S338" s="268"/>
      <c r="T338" s="268">
        <v>1</v>
      </c>
      <c r="U338" s="268" t="s">
        <v>4880</v>
      </c>
      <c r="V338" s="269">
        <v>7</v>
      </c>
      <c r="W338" s="269"/>
      <c r="X338" s="268" t="s">
        <v>4881</v>
      </c>
      <c r="Y338" s="331" t="s">
        <v>5151</v>
      </c>
      <c r="Z338" s="332" t="s">
        <v>5152</v>
      </c>
      <c r="AA338" s="268" t="s">
        <v>4884</v>
      </c>
      <c r="AB338" s="268"/>
      <c r="AC338" s="287">
        <v>1</v>
      </c>
      <c r="AD338" s="287">
        <v>1</v>
      </c>
      <c r="AE338" s="268"/>
      <c r="AF338" s="268"/>
      <c r="AG338" s="290"/>
    </row>
    <row r="339" spans="1:33" s="258" customFormat="1" x14ac:dyDescent="0.15">
      <c r="A339" s="271">
        <v>95201018</v>
      </c>
      <c r="B339" s="272" t="s">
        <v>5153</v>
      </c>
      <c r="C339" s="272" t="s">
        <v>5148</v>
      </c>
      <c r="D339" s="272">
        <v>5081</v>
      </c>
      <c r="E339" s="272" t="s">
        <v>4876</v>
      </c>
      <c r="F339" s="272" t="s">
        <v>4877</v>
      </c>
      <c r="G339" s="269">
        <v>6</v>
      </c>
      <c r="H339" s="273">
        <v>0</v>
      </c>
      <c r="I339" s="283">
        <v>34</v>
      </c>
      <c r="J339" s="284" t="s">
        <v>5149</v>
      </c>
      <c r="K339" s="285" t="s">
        <v>5150</v>
      </c>
      <c r="L339" s="272" t="s">
        <v>44</v>
      </c>
      <c r="M339" s="272">
        <v>1</v>
      </c>
      <c r="N339" s="272" t="b">
        <v>1</v>
      </c>
      <c r="O339" s="272">
        <v>51</v>
      </c>
      <c r="P339" s="281">
        <v>765</v>
      </c>
      <c r="Q339" s="281">
        <v>1020</v>
      </c>
      <c r="R339" s="272" t="s">
        <v>3383</v>
      </c>
      <c r="S339" s="272"/>
      <c r="T339" s="272">
        <v>1</v>
      </c>
      <c r="U339" s="272" t="s">
        <v>4880</v>
      </c>
      <c r="V339" s="273">
        <v>10</v>
      </c>
      <c r="W339" s="273"/>
      <c r="X339" s="272" t="s">
        <v>4881</v>
      </c>
      <c r="Y339" s="333" t="s">
        <v>5151</v>
      </c>
      <c r="Z339" s="334" t="s">
        <v>5152</v>
      </c>
      <c r="AA339" s="272" t="s">
        <v>4884</v>
      </c>
      <c r="AB339" s="272"/>
      <c r="AC339" s="289">
        <v>1</v>
      </c>
      <c r="AD339" s="289">
        <v>1</v>
      </c>
      <c r="AE339" s="289"/>
      <c r="AF339" s="272"/>
      <c r="AG339" s="272"/>
    </row>
    <row r="340" spans="1:33" s="258" customFormat="1" x14ac:dyDescent="0.15">
      <c r="A340" s="271">
        <v>95201019</v>
      </c>
      <c r="B340" s="272" t="s">
        <v>5154</v>
      </c>
      <c r="C340" s="272" t="s">
        <v>5148</v>
      </c>
      <c r="D340" s="272">
        <v>5081</v>
      </c>
      <c r="E340" s="272" t="s">
        <v>4876</v>
      </c>
      <c r="F340" s="272" t="s">
        <v>4877</v>
      </c>
      <c r="G340" s="269">
        <v>6</v>
      </c>
      <c r="H340" s="273">
        <v>0</v>
      </c>
      <c r="I340" s="283">
        <v>34</v>
      </c>
      <c r="J340" s="284" t="s">
        <v>5149</v>
      </c>
      <c r="K340" s="285" t="s">
        <v>5150</v>
      </c>
      <c r="L340" s="272" t="s">
        <v>4887</v>
      </c>
      <c r="M340" s="272">
        <v>1</v>
      </c>
      <c r="N340" s="272" t="b">
        <v>1</v>
      </c>
      <c r="O340" s="272">
        <v>64</v>
      </c>
      <c r="P340" s="281">
        <v>960</v>
      </c>
      <c r="Q340" s="281">
        <v>1280</v>
      </c>
      <c r="R340" s="272" t="s">
        <v>3383</v>
      </c>
      <c r="S340" s="272"/>
      <c r="T340" s="272">
        <v>1</v>
      </c>
      <c r="U340" s="272" t="s">
        <v>4880</v>
      </c>
      <c r="V340" s="273">
        <v>10</v>
      </c>
      <c r="W340" s="273"/>
      <c r="X340" s="272" t="s">
        <v>4881</v>
      </c>
      <c r="Y340" s="333" t="s">
        <v>5151</v>
      </c>
      <c r="Z340" s="334" t="s">
        <v>5152</v>
      </c>
      <c r="AA340" s="272" t="s">
        <v>4884</v>
      </c>
      <c r="AB340" s="272"/>
      <c r="AC340" s="289">
        <v>1</v>
      </c>
      <c r="AD340" s="289">
        <v>1</v>
      </c>
      <c r="AE340" s="289"/>
      <c r="AF340" s="272"/>
      <c r="AG340" s="272"/>
    </row>
    <row r="341" spans="1:33" s="258" customFormat="1" x14ac:dyDescent="0.15">
      <c r="A341" s="271">
        <v>95201020</v>
      </c>
      <c r="B341" s="272" t="s">
        <v>5155</v>
      </c>
      <c r="C341" s="272" t="s">
        <v>5148</v>
      </c>
      <c r="D341" s="272">
        <v>5081</v>
      </c>
      <c r="E341" s="272" t="s">
        <v>4876</v>
      </c>
      <c r="F341" s="272" t="s">
        <v>4877</v>
      </c>
      <c r="G341" s="269">
        <v>7</v>
      </c>
      <c r="H341" s="273">
        <v>0</v>
      </c>
      <c r="I341" s="283">
        <v>34</v>
      </c>
      <c r="J341" s="284" t="s">
        <v>5149</v>
      </c>
      <c r="K341" s="285" t="s">
        <v>5150</v>
      </c>
      <c r="L341" s="272" t="s">
        <v>4889</v>
      </c>
      <c r="M341" s="272">
        <v>1</v>
      </c>
      <c r="N341" s="272" t="b">
        <v>1</v>
      </c>
      <c r="O341" s="272">
        <v>77</v>
      </c>
      <c r="P341" s="281">
        <v>1155</v>
      </c>
      <c r="Q341" s="281">
        <v>1540</v>
      </c>
      <c r="R341" s="272" t="s">
        <v>3383</v>
      </c>
      <c r="S341" s="272"/>
      <c r="T341" s="272">
        <v>1</v>
      </c>
      <c r="U341" s="272" t="s">
        <v>4880</v>
      </c>
      <c r="V341" s="273">
        <v>10</v>
      </c>
      <c r="W341" s="273"/>
      <c r="X341" s="272" t="s">
        <v>4881</v>
      </c>
      <c r="Y341" s="333" t="s">
        <v>5151</v>
      </c>
      <c r="Z341" s="334" t="s">
        <v>5152</v>
      </c>
      <c r="AA341" s="272" t="s">
        <v>4884</v>
      </c>
      <c r="AB341" s="272"/>
      <c r="AC341" s="289">
        <v>1</v>
      </c>
      <c r="AD341" s="289">
        <v>1</v>
      </c>
      <c r="AE341" s="289"/>
      <c r="AF341" s="272"/>
      <c r="AG341" s="272"/>
    </row>
    <row r="342" spans="1:33" s="145" customFormat="1" x14ac:dyDescent="0.15">
      <c r="A342" s="267">
        <v>95201021</v>
      </c>
      <c r="B342" s="268" t="s">
        <v>5156</v>
      </c>
      <c r="C342" s="293" t="s">
        <v>5148</v>
      </c>
      <c r="D342" s="293">
        <v>7902</v>
      </c>
      <c r="E342" s="268" t="s">
        <v>4876</v>
      </c>
      <c r="F342" s="268" t="s">
        <v>4877</v>
      </c>
      <c r="G342" s="269">
        <v>1</v>
      </c>
      <c r="H342" s="269">
        <v>0</v>
      </c>
      <c r="I342" s="267">
        <v>34</v>
      </c>
      <c r="J342" s="268" t="s">
        <v>5157</v>
      </c>
      <c r="K342" s="295" t="s">
        <v>5158</v>
      </c>
      <c r="L342" s="295"/>
      <c r="M342" s="268">
        <v>1</v>
      </c>
      <c r="N342" s="268" t="b">
        <v>1</v>
      </c>
      <c r="O342" s="268">
        <v>2</v>
      </c>
      <c r="P342" s="281">
        <v>30</v>
      </c>
      <c r="Q342" s="281">
        <v>40</v>
      </c>
      <c r="R342" s="268" t="s">
        <v>3383</v>
      </c>
      <c r="S342" s="268"/>
      <c r="T342" s="268">
        <v>1</v>
      </c>
      <c r="U342" s="268" t="s">
        <v>4880</v>
      </c>
      <c r="V342" s="269">
        <v>1</v>
      </c>
      <c r="W342" s="269"/>
      <c r="X342" s="268" t="s">
        <v>4881</v>
      </c>
      <c r="Y342" s="331" t="s">
        <v>5159</v>
      </c>
      <c r="Z342" s="332" t="s">
        <v>5160</v>
      </c>
      <c r="AA342" s="268" t="s">
        <v>4884</v>
      </c>
      <c r="AB342" s="268"/>
      <c r="AC342" s="287">
        <v>1</v>
      </c>
      <c r="AD342" s="287">
        <v>1</v>
      </c>
      <c r="AE342" s="268"/>
      <c r="AF342" s="268"/>
      <c r="AG342" s="290"/>
    </row>
    <row r="343" spans="1:33" s="145" customFormat="1" x14ac:dyDescent="0.15">
      <c r="A343" s="267">
        <v>95201022</v>
      </c>
      <c r="B343" s="268" t="s">
        <v>5156</v>
      </c>
      <c r="C343" s="293" t="s">
        <v>5148</v>
      </c>
      <c r="D343" s="293">
        <v>7902</v>
      </c>
      <c r="E343" s="268" t="s">
        <v>4876</v>
      </c>
      <c r="F343" s="268" t="s">
        <v>4877</v>
      </c>
      <c r="G343" s="269">
        <v>2</v>
      </c>
      <c r="H343" s="269">
        <v>0</v>
      </c>
      <c r="I343" s="267">
        <v>34</v>
      </c>
      <c r="J343" s="268" t="s">
        <v>5157</v>
      </c>
      <c r="K343" s="295" t="s">
        <v>5158</v>
      </c>
      <c r="L343" s="295"/>
      <c r="M343" s="268">
        <v>1</v>
      </c>
      <c r="N343" s="268" t="b">
        <v>1</v>
      </c>
      <c r="O343" s="268">
        <v>5</v>
      </c>
      <c r="P343" s="281">
        <v>75</v>
      </c>
      <c r="Q343" s="281">
        <v>100</v>
      </c>
      <c r="R343" s="268" t="s">
        <v>3383</v>
      </c>
      <c r="S343" s="268"/>
      <c r="T343" s="268">
        <v>1</v>
      </c>
      <c r="U343" s="268" t="s">
        <v>4880</v>
      </c>
      <c r="V343" s="269">
        <v>2</v>
      </c>
      <c r="W343" s="269"/>
      <c r="X343" s="268" t="s">
        <v>4881</v>
      </c>
      <c r="Y343" s="331" t="s">
        <v>5159</v>
      </c>
      <c r="Z343" s="332" t="s">
        <v>5160</v>
      </c>
      <c r="AA343" s="268" t="s">
        <v>4884</v>
      </c>
      <c r="AB343" s="268"/>
      <c r="AC343" s="287">
        <v>1</v>
      </c>
      <c r="AD343" s="287">
        <v>1</v>
      </c>
      <c r="AE343" s="268"/>
      <c r="AF343" s="268"/>
      <c r="AG343" s="290"/>
    </row>
    <row r="344" spans="1:33" s="145" customFormat="1" x14ac:dyDescent="0.15">
      <c r="A344" s="267">
        <v>95201023</v>
      </c>
      <c r="B344" s="268" t="s">
        <v>5156</v>
      </c>
      <c r="C344" s="293" t="s">
        <v>5148</v>
      </c>
      <c r="D344" s="293">
        <v>7902</v>
      </c>
      <c r="E344" s="268" t="s">
        <v>4876</v>
      </c>
      <c r="F344" s="268" t="s">
        <v>4877</v>
      </c>
      <c r="G344" s="269">
        <v>3</v>
      </c>
      <c r="H344" s="269">
        <v>0</v>
      </c>
      <c r="I344" s="267">
        <v>34</v>
      </c>
      <c r="J344" s="268" t="s">
        <v>5157</v>
      </c>
      <c r="K344" s="295" t="s">
        <v>5158</v>
      </c>
      <c r="L344" s="295"/>
      <c r="M344" s="268">
        <v>1</v>
      </c>
      <c r="N344" s="268" t="b">
        <v>1</v>
      </c>
      <c r="O344" s="268">
        <v>7</v>
      </c>
      <c r="P344" s="281">
        <v>105</v>
      </c>
      <c r="Q344" s="281">
        <v>140</v>
      </c>
      <c r="R344" s="268" t="s">
        <v>3383</v>
      </c>
      <c r="S344" s="268"/>
      <c r="T344" s="268">
        <v>1</v>
      </c>
      <c r="U344" s="268" t="s">
        <v>4880</v>
      </c>
      <c r="V344" s="269">
        <v>3</v>
      </c>
      <c r="W344" s="269"/>
      <c r="X344" s="268" t="s">
        <v>4881</v>
      </c>
      <c r="Y344" s="331" t="s">
        <v>5159</v>
      </c>
      <c r="Z344" s="332" t="s">
        <v>5160</v>
      </c>
      <c r="AA344" s="268" t="s">
        <v>4884</v>
      </c>
      <c r="AB344" s="268"/>
      <c r="AC344" s="287">
        <v>1</v>
      </c>
      <c r="AD344" s="287">
        <v>1</v>
      </c>
      <c r="AE344" s="268"/>
      <c r="AF344" s="268"/>
      <c r="AG344" s="290"/>
    </row>
    <row r="345" spans="1:33" s="145" customFormat="1" x14ac:dyDescent="0.15">
      <c r="A345" s="267">
        <v>95201024</v>
      </c>
      <c r="B345" s="268" t="s">
        <v>5156</v>
      </c>
      <c r="C345" s="293" t="s">
        <v>5148</v>
      </c>
      <c r="D345" s="293">
        <v>7902</v>
      </c>
      <c r="E345" s="268" t="s">
        <v>4876</v>
      </c>
      <c r="F345" s="268" t="s">
        <v>4877</v>
      </c>
      <c r="G345" s="269">
        <v>4</v>
      </c>
      <c r="H345" s="269">
        <v>0</v>
      </c>
      <c r="I345" s="267">
        <v>34</v>
      </c>
      <c r="J345" s="268" t="s">
        <v>5157</v>
      </c>
      <c r="K345" s="295" t="s">
        <v>5158</v>
      </c>
      <c r="L345" s="295"/>
      <c r="M345" s="268">
        <v>1</v>
      </c>
      <c r="N345" s="268" t="b">
        <v>1</v>
      </c>
      <c r="O345" s="268">
        <v>10</v>
      </c>
      <c r="P345" s="281">
        <v>150</v>
      </c>
      <c r="Q345" s="281">
        <v>200</v>
      </c>
      <c r="R345" s="268" t="s">
        <v>3383</v>
      </c>
      <c r="S345" s="268"/>
      <c r="T345" s="268">
        <v>1</v>
      </c>
      <c r="U345" s="268" t="s">
        <v>4880</v>
      </c>
      <c r="V345" s="269">
        <v>4</v>
      </c>
      <c r="W345" s="269"/>
      <c r="X345" s="268" t="s">
        <v>4881</v>
      </c>
      <c r="Y345" s="331" t="s">
        <v>5159</v>
      </c>
      <c r="Z345" s="332" t="s">
        <v>5160</v>
      </c>
      <c r="AA345" s="268" t="s">
        <v>4884</v>
      </c>
      <c r="AB345" s="268"/>
      <c r="AC345" s="287">
        <v>1</v>
      </c>
      <c r="AD345" s="287">
        <v>1</v>
      </c>
      <c r="AE345" s="268"/>
      <c r="AF345" s="268"/>
      <c r="AG345" s="290"/>
    </row>
    <row r="346" spans="1:33" s="145" customFormat="1" x14ac:dyDescent="0.15">
      <c r="A346" s="267">
        <v>95201025</v>
      </c>
      <c r="B346" s="268" t="s">
        <v>5156</v>
      </c>
      <c r="C346" s="293" t="s">
        <v>5148</v>
      </c>
      <c r="D346" s="293">
        <v>7902</v>
      </c>
      <c r="E346" s="268" t="s">
        <v>4876</v>
      </c>
      <c r="F346" s="268" t="s">
        <v>4877</v>
      </c>
      <c r="G346" s="269">
        <v>5</v>
      </c>
      <c r="H346" s="269">
        <v>0</v>
      </c>
      <c r="I346" s="267">
        <v>34</v>
      </c>
      <c r="J346" s="268" t="s">
        <v>5157</v>
      </c>
      <c r="K346" s="295" t="s">
        <v>5158</v>
      </c>
      <c r="L346" s="295"/>
      <c r="M346" s="268">
        <v>1</v>
      </c>
      <c r="N346" s="268" t="b">
        <v>1</v>
      </c>
      <c r="O346" s="268">
        <v>12</v>
      </c>
      <c r="P346" s="281">
        <v>180</v>
      </c>
      <c r="Q346" s="281">
        <v>240</v>
      </c>
      <c r="R346" s="268" t="s">
        <v>3383</v>
      </c>
      <c r="S346" s="268"/>
      <c r="T346" s="268">
        <v>1</v>
      </c>
      <c r="U346" s="268" t="s">
        <v>4880</v>
      </c>
      <c r="V346" s="269">
        <v>5</v>
      </c>
      <c r="W346" s="269"/>
      <c r="X346" s="268" t="s">
        <v>4881</v>
      </c>
      <c r="Y346" s="331" t="s">
        <v>5159</v>
      </c>
      <c r="Z346" s="332" t="s">
        <v>5160</v>
      </c>
      <c r="AA346" s="268" t="s">
        <v>4884</v>
      </c>
      <c r="AB346" s="268"/>
      <c r="AC346" s="287">
        <v>1</v>
      </c>
      <c r="AD346" s="287">
        <v>1</v>
      </c>
      <c r="AE346" s="268"/>
      <c r="AF346" s="268"/>
      <c r="AG346" s="290"/>
    </row>
    <row r="347" spans="1:33" s="145" customFormat="1" x14ac:dyDescent="0.15">
      <c r="A347" s="270">
        <v>95201026</v>
      </c>
      <c r="B347" s="268" t="s">
        <v>5156</v>
      </c>
      <c r="C347" s="268" t="s">
        <v>5148</v>
      </c>
      <c r="D347" s="268">
        <v>7902</v>
      </c>
      <c r="E347" s="268" t="s">
        <v>4876</v>
      </c>
      <c r="F347" s="268" t="s">
        <v>4877</v>
      </c>
      <c r="G347" s="269">
        <v>6</v>
      </c>
      <c r="H347" s="269">
        <v>0</v>
      </c>
      <c r="I347" s="267">
        <v>34</v>
      </c>
      <c r="J347" s="282" t="s">
        <v>5157</v>
      </c>
      <c r="K347" s="279" t="s">
        <v>5158</v>
      </c>
      <c r="L347" s="279"/>
      <c r="M347" s="268">
        <v>1</v>
      </c>
      <c r="N347" s="268" t="b">
        <v>1</v>
      </c>
      <c r="O347" s="268">
        <v>25</v>
      </c>
      <c r="P347" s="281">
        <v>375</v>
      </c>
      <c r="Q347" s="281">
        <v>500</v>
      </c>
      <c r="R347" s="268" t="s">
        <v>3383</v>
      </c>
      <c r="S347" s="268"/>
      <c r="T347" s="268">
        <v>1</v>
      </c>
      <c r="U347" s="268" t="s">
        <v>4880</v>
      </c>
      <c r="V347" s="269">
        <v>6</v>
      </c>
      <c r="W347" s="269"/>
      <c r="X347" s="268" t="s">
        <v>4881</v>
      </c>
      <c r="Y347" s="331" t="s">
        <v>5159</v>
      </c>
      <c r="Z347" s="332" t="s">
        <v>5160</v>
      </c>
      <c r="AA347" s="268" t="s">
        <v>4884</v>
      </c>
      <c r="AB347" s="268"/>
      <c r="AC347" s="287">
        <v>1</v>
      </c>
      <c r="AD347" s="287">
        <v>1</v>
      </c>
      <c r="AE347" s="268"/>
      <c r="AF347" s="268"/>
      <c r="AG347" s="290"/>
    </row>
    <row r="348" spans="1:33" s="145" customFormat="1" x14ac:dyDescent="0.15">
      <c r="A348" s="270">
        <v>95201027</v>
      </c>
      <c r="B348" s="268" t="s">
        <v>5156</v>
      </c>
      <c r="C348" s="268" t="s">
        <v>5148</v>
      </c>
      <c r="D348" s="268">
        <v>7902</v>
      </c>
      <c r="E348" s="268" t="s">
        <v>4876</v>
      </c>
      <c r="F348" s="268" t="s">
        <v>4877</v>
      </c>
      <c r="G348" s="269">
        <v>7</v>
      </c>
      <c r="H348" s="269">
        <v>0</v>
      </c>
      <c r="I348" s="267">
        <v>34</v>
      </c>
      <c r="J348" s="282" t="s">
        <v>5157</v>
      </c>
      <c r="K348" s="279" t="s">
        <v>5158</v>
      </c>
      <c r="L348" s="279"/>
      <c r="M348" s="268">
        <v>1</v>
      </c>
      <c r="N348" s="268" t="b">
        <v>1</v>
      </c>
      <c r="O348" s="268">
        <v>38</v>
      </c>
      <c r="P348" s="281">
        <v>570</v>
      </c>
      <c r="Q348" s="281">
        <v>760</v>
      </c>
      <c r="R348" s="268" t="s">
        <v>3383</v>
      </c>
      <c r="S348" s="268"/>
      <c r="T348" s="268">
        <v>1</v>
      </c>
      <c r="U348" s="268" t="s">
        <v>4880</v>
      </c>
      <c r="V348" s="269">
        <v>7</v>
      </c>
      <c r="W348" s="269"/>
      <c r="X348" s="268" t="s">
        <v>4881</v>
      </c>
      <c r="Y348" s="331" t="s">
        <v>5159</v>
      </c>
      <c r="Z348" s="332" t="s">
        <v>5160</v>
      </c>
      <c r="AA348" s="268" t="s">
        <v>4884</v>
      </c>
      <c r="AB348" s="268"/>
      <c r="AC348" s="287">
        <v>1</v>
      </c>
      <c r="AD348" s="287">
        <v>1</v>
      </c>
      <c r="AE348" s="268"/>
      <c r="AF348" s="268"/>
      <c r="AG348" s="290"/>
    </row>
    <row r="349" spans="1:33" s="258" customFormat="1" x14ac:dyDescent="0.15">
      <c r="A349" s="271">
        <v>95201028</v>
      </c>
      <c r="B349" s="272" t="s">
        <v>5161</v>
      </c>
      <c r="C349" s="272" t="s">
        <v>5148</v>
      </c>
      <c r="D349" s="272">
        <v>5081</v>
      </c>
      <c r="E349" s="272" t="s">
        <v>4876</v>
      </c>
      <c r="F349" s="272" t="s">
        <v>4877</v>
      </c>
      <c r="G349" s="269">
        <v>6</v>
      </c>
      <c r="H349" s="273">
        <v>0</v>
      </c>
      <c r="I349" s="283">
        <v>34</v>
      </c>
      <c r="J349" s="284" t="s">
        <v>5157</v>
      </c>
      <c r="K349" s="285" t="s">
        <v>5158</v>
      </c>
      <c r="L349" s="272" t="s">
        <v>44</v>
      </c>
      <c r="M349" s="272">
        <v>1</v>
      </c>
      <c r="N349" s="272" t="b">
        <v>1</v>
      </c>
      <c r="O349" s="272">
        <v>51</v>
      </c>
      <c r="P349" s="281">
        <v>765</v>
      </c>
      <c r="Q349" s="281">
        <v>1020</v>
      </c>
      <c r="R349" s="272" t="s">
        <v>3383</v>
      </c>
      <c r="S349" s="272"/>
      <c r="T349" s="272">
        <v>1</v>
      </c>
      <c r="U349" s="272" t="s">
        <v>4880</v>
      </c>
      <c r="V349" s="273">
        <v>10</v>
      </c>
      <c r="W349" s="273"/>
      <c r="X349" s="272" t="s">
        <v>4881</v>
      </c>
      <c r="Y349" s="333" t="s">
        <v>5159</v>
      </c>
      <c r="Z349" s="334" t="s">
        <v>5160</v>
      </c>
      <c r="AA349" s="272" t="s">
        <v>4884</v>
      </c>
      <c r="AB349" s="272"/>
      <c r="AC349" s="289">
        <v>1</v>
      </c>
      <c r="AD349" s="289">
        <v>1</v>
      </c>
      <c r="AE349" s="289"/>
      <c r="AF349" s="272"/>
      <c r="AG349" s="272"/>
    </row>
    <row r="350" spans="1:33" s="258" customFormat="1" x14ac:dyDescent="0.15">
      <c r="A350" s="271">
        <v>95201029</v>
      </c>
      <c r="B350" s="272" t="s">
        <v>5162</v>
      </c>
      <c r="C350" s="272" t="s">
        <v>5148</v>
      </c>
      <c r="D350" s="272">
        <v>5081</v>
      </c>
      <c r="E350" s="272" t="s">
        <v>4876</v>
      </c>
      <c r="F350" s="272" t="s">
        <v>4877</v>
      </c>
      <c r="G350" s="269">
        <v>6</v>
      </c>
      <c r="H350" s="273">
        <v>0</v>
      </c>
      <c r="I350" s="283">
        <v>34</v>
      </c>
      <c r="J350" s="284" t="s">
        <v>5157</v>
      </c>
      <c r="K350" s="285" t="s">
        <v>5158</v>
      </c>
      <c r="L350" s="272" t="s">
        <v>4887</v>
      </c>
      <c r="M350" s="272">
        <v>1</v>
      </c>
      <c r="N350" s="272" t="b">
        <v>1</v>
      </c>
      <c r="O350" s="272">
        <v>64</v>
      </c>
      <c r="P350" s="281">
        <v>960</v>
      </c>
      <c r="Q350" s="281">
        <v>1280</v>
      </c>
      <c r="R350" s="272" t="s">
        <v>3383</v>
      </c>
      <c r="S350" s="272"/>
      <c r="T350" s="272">
        <v>1</v>
      </c>
      <c r="U350" s="272" t="s">
        <v>4880</v>
      </c>
      <c r="V350" s="273">
        <v>10</v>
      </c>
      <c r="W350" s="273"/>
      <c r="X350" s="272" t="s">
        <v>4881</v>
      </c>
      <c r="Y350" s="333" t="s">
        <v>5159</v>
      </c>
      <c r="Z350" s="334" t="s">
        <v>5160</v>
      </c>
      <c r="AA350" s="272" t="s">
        <v>4884</v>
      </c>
      <c r="AB350" s="272"/>
      <c r="AC350" s="289">
        <v>1</v>
      </c>
      <c r="AD350" s="289">
        <v>1</v>
      </c>
      <c r="AE350" s="289"/>
      <c r="AF350" s="272"/>
      <c r="AG350" s="272"/>
    </row>
    <row r="351" spans="1:33" s="258" customFormat="1" x14ac:dyDescent="0.15">
      <c r="A351" s="271">
        <v>95201030</v>
      </c>
      <c r="B351" s="272" t="s">
        <v>5163</v>
      </c>
      <c r="C351" s="272" t="s">
        <v>5148</v>
      </c>
      <c r="D351" s="272">
        <v>5081</v>
      </c>
      <c r="E351" s="272" t="s">
        <v>4876</v>
      </c>
      <c r="F351" s="272" t="s">
        <v>4877</v>
      </c>
      <c r="G351" s="269">
        <v>7</v>
      </c>
      <c r="H351" s="273">
        <v>0</v>
      </c>
      <c r="I351" s="283">
        <v>34</v>
      </c>
      <c r="J351" s="284" t="s">
        <v>5157</v>
      </c>
      <c r="K351" s="285" t="s">
        <v>5158</v>
      </c>
      <c r="L351" s="272" t="s">
        <v>4889</v>
      </c>
      <c r="M351" s="272">
        <v>1</v>
      </c>
      <c r="N351" s="272" t="b">
        <v>1</v>
      </c>
      <c r="O351" s="272">
        <v>77</v>
      </c>
      <c r="P351" s="281">
        <v>1155</v>
      </c>
      <c r="Q351" s="281">
        <v>1540</v>
      </c>
      <c r="R351" s="272" t="s">
        <v>3383</v>
      </c>
      <c r="S351" s="272"/>
      <c r="T351" s="272">
        <v>1</v>
      </c>
      <c r="U351" s="272" t="s">
        <v>4880</v>
      </c>
      <c r="V351" s="273">
        <v>10</v>
      </c>
      <c r="W351" s="273"/>
      <c r="X351" s="272" t="s">
        <v>4881</v>
      </c>
      <c r="Y351" s="333" t="s">
        <v>5159</v>
      </c>
      <c r="Z351" s="334" t="s">
        <v>5160</v>
      </c>
      <c r="AA351" s="272" t="s">
        <v>4884</v>
      </c>
      <c r="AB351" s="272"/>
      <c r="AC351" s="289">
        <v>1</v>
      </c>
      <c r="AD351" s="289">
        <v>1</v>
      </c>
      <c r="AE351" s="289"/>
      <c r="AF351" s="272"/>
      <c r="AG351" s="272"/>
    </row>
    <row r="352" spans="1:33" s="145" customFormat="1" x14ac:dyDescent="0.15">
      <c r="A352" s="267">
        <v>95201031</v>
      </c>
      <c r="B352" s="268" t="s">
        <v>5164</v>
      </c>
      <c r="C352" s="293" t="s">
        <v>5148</v>
      </c>
      <c r="D352" s="293">
        <v>7906</v>
      </c>
      <c r="E352" s="268" t="s">
        <v>4876</v>
      </c>
      <c r="F352" s="268" t="s">
        <v>4877</v>
      </c>
      <c r="G352" s="269">
        <v>1</v>
      </c>
      <c r="H352" s="269">
        <v>0</v>
      </c>
      <c r="I352" s="267">
        <v>34</v>
      </c>
      <c r="J352" s="268" t="s">
        <v>5165</v>
      </c>
      <c r="K352" s="295" t="s">
        <v>5166</v>
      </c>
      <c r="L352" s="295"/>
      <c r="M352" s="268">
        <v>1</v>
      </c>
      <c r="N352" s="268" t="b">
        <v>1</v>
      </c>
      <c r="O352" s="268">
        <v>2</v>
      </c>
      <c r="P352" s="281">
        <v>30</v>
      </c>
      <c r="Q352" s="281">
        <v>40</v>
      </c>
      <c r="R352" s="268" t="s">
        <v>3383</v>
      </c>
      <c r="S352" s="268"/>
      <c r="T352" s="268">
        <v>1</v>
      </c>
      <c r="U352" s="268" t="s">
        <v>4880</v>
      </c>
      <c r="V352" s="269">
        <v>1</v>
      </c>
      <c r="W352" s="269"/>
      <c r="X352" s="268" t="s">
        <v>4881</v>
      </c>
      <c r="Y352" s="331" t="s">
        <v>5167</v>
      </c>
      <c r="Z352" s="332" t="s">
        <v>5168</v>
      </c>
      <c r="AA352" s="268" t="s">
        <v>4884</v>
      </c>
      <c r="AB352" s="268"/>
      <c r="AC352" s="287">
        <v>1</v>
      </c>
      <c r="AD352" s="287">
        <v>1</v>
      </c>
      <c r="AE352" s="268"/>
      <c r="AF352" s="268"/>
      <c r="AG352" s="290"/>
    </row>
    <row r="353" spans="1:33" s="145" customFormat="1" x14ac:dyDescent="0.15">
      <c r="A353" s="267">
        <v>95201032</v>
      </c>
      <c r="B353" s="268" t="s">
        <v>5164</v>
      </c>
      <c r="C353" s="293" t="s">
        <v>5148</v>
      </c>
      <c r="D353" s="293">
        <v>7906</v>
      </c>
      <c r="E353" s="268" t="s">
        <v>4876</v>
      </c>
      <c r="F353" s="268" t="s">
        <v>4877</v>
      </c>
      <c r="G353" s="269">
        <v>2</v>
      </c>
      <c r="H353" s="269">
        <v>0</v>
      </c>
      <c r="I353" s="267">
        <v>34</v>
      </c>
      <c r="J353" s="268" t="s">
        <v>5165</v>
      </c>
      <c r="K353" s="295" t="s">
        <v>5166</v>
      </c>
      <c r="L353" s="295"/>
      <c r="M353" s="268">
        <v>1</v>
      </c>
      <c r="N353" s="268" t="b">
        <v>1</v>
      </c>
      <c r="O353" s="268">
        <v>5</v>
      </c>
      <c r="P353" s="281">
        <v>75</v>
      </c>
      <c r="Q353" s="281">
        <v>100</v>
      </c>
      <c r="R353" s="268" t="s">
        <v>3383</v>
      </c>
      <c r="S353" s="268"/>
      <c r="T353" s="268">
        <v>1</v>
      </c>
      <c r="U353" s="268" t="s">
        <v>4880</v>
      </c>
      <c r="V353" s="269">
        <v>2</v>
      </c>
      <c r="W353" s="269"/>
      <c r="X353" s="268" t="s">
        <v>4881</v>
      </c>
      <c r="Y353" s="331" t="s">
        <v>5167</v>
      </c>
      <c r="Z353" s="332" t="s">
        <v>5168</v>
      </c>
      <c r="AA353" s="268" t="s">
        <v>4884</v>
      </c>
      <c r="AB353" s="268"/>
      <c r="AC353" s="287">
        <v>1</v>
      </c>
      <c r="AD353" s="287">
        <v>1</v>
      </c>
      <c r="AE353" s="268"/>
      <c r="AF353" s="268"/>
      <c r="AG353" s="290"/>
    </row>
    <row r="354" spans="1:33" s="145" customFormat="1" x14ac:dyDescent="0.15">
      <c r="A354" s="267">
        <v>95201033</v>
      </c>
      <c r="B354" s="268" t="s">
        <v>5164</v>
      </c>
      <c r="C354" s="293" t="s">
        <v>5148</v>
      </c>
      <c r="D354" s="293">
        <v>7906</v>
      </c>
      <c r="E354" s="268" t="s">
        <v>4876</v>
      </c>
      <c r="F354" s="268" t="s">
        <v>4877</v>
      </c>
      <c r="G354" s="269">
        <v>3</v>
      </c>
      <c r="H354" s="269">
        <v>0</v>
      </c>
      <c r="I354" s="267">
        <v>34</v>
      </c>
      <c r="J354" s="268" t="s">
        <v>5165</v>
      </c>
      <c r="K354" s="295" t="s">
        <v>5166</v>
      </c>
      <c r="L354" s="295"/>
      <c r="M354" s="268">
        <v>1</v>
      </c>
      <c r="N354" s="268" t="b">
        <v>1</v>
      </c>
      <c r="O354" s="268">
        <v>7</v>
      </c>
      <c r="P354" s="281">
        <v>105</v>
      </c>
      <c r="Q354" s="281">
        <v>140</v>
      </c>
      <c r="R354" s="268" t="s">
        <v>3383</v>
      </c>
      <c r="S354" s="268"/>
      <c r="T354" s="268">
        <v>1</v>
      </c>
      <c r="U354" s="268" t="s">
        <v>4880</v>
      </c>
      <c r="V354" s="269">
        <v>3</v>
      </c>
      <c r="W354" s="269"/>
      <c r="X354" s="268" t="s">
        <v>4881</v>
      </c>
      <c r="Y354" s="331" t="s">
        <v>5167</v>
      </c>
      <c r="Z354" s="332" t="s">
        <v>5168</v>
      </c>
      <c r="AA354" s="268" t="s">
        <v>4884</v>
      </c>
      <c r="AB354" s="268"/>
      <c r="AC354" s="287">
        <v>1</v>
      </c>
      <c r="AD354" s="287">
        <v>1</v>
      </c>
      <c r="AE354" s="268"/>
      <c r="AF354" s="268"/>
      <c r="AG354" s="290"/>
    </row>
    <row r="355" spans="1:33" s="145" customFormat="1" x14ac:dyDescent="0.15">
      <c r="A355" s="267">
        <v>95201034</v>
      </c>
      <c r="B355" s="268" t="s">
        <v>5164</v>
      </c>
      <c r="C355" s="293" t="s">
        <v>5148</v>
      </c>
      <c r="D355" s="293">
        <v>7906</v>
      </c>
      <c r="E355" s="268" t="s">
        <v>4876</v>
      </c>
      <c r="F355" s="268" t="s">
        <v>4877</v>
      </c>
      <c r="G355" s="269">
        <v>4</v>
      </c>
      <c r="H355" s="269">
        <v>0</v>
      </c>
      <c r="I355" s="267">
        <v>34</v>
      </c>
      <c r="J355" s="268" t="s">
        <v>5165</v>
      </c>
      <c r="K355" s="295" t="s">
        <v>5166</v>
      </c>
      <c r="L355" s="295"/>
      <c r="M355" s="268">
        <v>1</v>
      </c>
      <c r="N355" s="268" t="b">
        <v>1</v>
      </c>
      <c r="O355" s="268">
        <v>10</v>
      </c>
      <c r="P355" s="281">
        <v>150</v>
      </c>
      <c r="Q355" s="281">
        <v>200</v>
      </c>
      <c r="R355" s="268" t="s">
        <v>3383</v>
      </c>
      <c r="S355" s="268"/>
      <c r="T355" s="268">
        <v>1</v>
      </c>
      <c r="U355" s="268" t="s">
        <v>4880</v>
      </c>
      <c r="V355" s="269">
        <v>4</v>
      </c>
      <c r="W355" s="269"/>
      <c r="X355" s="268" t="s">
        <v>4881</v>
      </c>
      <c r="Y355" s="331" t="s">
        <v>5167</v>
      </c>
      <c r="Z355" s="332" t="s">
        <v>5168</v>
      </c>
      <c r="AA355" s="268" t="s">
        <v>4884</v>
      </c>
      <c r="AB355" s="268"/>
      <c r="AC355" s="287">
        <v>1</v>
      </c>
      <c r="AD355" s="287">
        <v>1</v>
      </c>
      <c r="AE355" s="268"/>
      <c r="AF355" s="268"/>
      <c r="AG355" s="290"/>
    </row>
    <row r="356" spans="1:33" s="145" customFormat="1" x14ac:dyDescent="0.15">
      <c r="A356" s="267">
        <v>95201035</v>
      </c>
      <c r="B356" s="268" t="s">
        <v>5164</v>
      </c>
      <c r="C356" s="293" t="s">
        <v>5148</v>
      </c>
      <c r="D356" s="293">
        <v>7906</v>
      </c>
      <c r="E356" s="268" t="s">
        <v>4876</v>
      </c>
      <c r="F356" s="268" t="s">
        <v>4877</v>
      </c>
      <c r="G356" s="269">
        <v>5</v>
      </c>
      <c r="H356" s="269">
        <v>0</v>
      </c>
      <c r="I356" s="267">
        <v>34</v>
      </c>
      <c r="J356" s="268" t="s">
        <v>5165</v>
      </c>
      <c r="K356" s="295" t="s">
        <v>5166</v>
      </c>
      <c r="L356" s="295"/>
      <c r="M356" s="268">
        <v>1</v>
      </c>
      <c r="N356" s="268" t="b">
        <v>1</v>
      </c>
      <c r="O356" s="268">
        <v>12</v>
      </c>
      <c r="P356" s="281">
        <v>180</v>
      </c>
      <c r="Q356" s="281">
        <v>240</v>
      </c>
      <c r="R356" s="268" t="s">
        <v>3383</v>
      </c>
      <c r="S356" s="268"/>
      <c r="T356" s="268">
        <v>1</v>
      </c>
      <c r="U356" s="268" t="s">
        <v>4880</v>
      </c>
      <c r="V356" s="269">
        <v>5</v>
      </c>
      <c r="W356" s="269"/>
      <c r="X356" s="268" t="s">
        <v>4881</v>
      </c>
      <c r="Y356" s="331" t="s">
        <v>5167</v>
      </c>
      <c r="Z356" s="332" t="s">
        <v>5168</v>
      </c>
      <c r="AA356" s="268" t="s">
        <v>4884</v>
      </c>
      <c r="AB356" s="268"/>
      <c r="AC356" s="287">
        <v>1</v>
      </c>
      <c r="AD356" s="287">
        <v>1</v>
      </c>
      <c r="AE356" s="268"/>
      <c r="AF356" s="268"/>
      <c r="AG356" s="290"/>
    </row>
    <row r="357" spans="1:33" s="145" customFormat="1" x14ac:dyDescent="0.15">
      <c r="A357" s="271">
        <v>95201036</v>
      </c>
      <c r="B357" s="272" t="s">
        <v>5164</v>
      </c>
      <c r="C357" s="272" t="s">
        <v>5148</v>
      </c>
      <c r="D357" s="272">
        <v>7906</v>
      </c>
      <c r="E357" s="272" t="s">
        <v>4876</v>
      </c>
      <c r="F357" s="272" t="s">
        <v>4877</v>
      </c>
      <c r="G357" s="294">
        <v>6</v>
      </c>
      <c r="H357" s="273">
        <v>0</v>
      </c>
      <c r="I357" s="283">
        <v>34</v>
      </c>
      <c r="J357" s="284" t="s">
        <v>5165</v>
      </c>
      <c r="K357" s="285" t="s">
        <v>5166</v>
      </c>
      <c r="L357" s="285"/>
      <c r="M357" s="272">
        <v>1</v>
      </c>
      <c r="N357" s="272" t="b">
        <v>1</v>
      </c>
      <c r="O357" s="272">
        <v>25</v>
      </c>
      <c r="P357" s="281">
        <v>375</v>
      </c>
      <c r="Q357" s="281">
        <v>500</v>
      </c>
      <c r="R357" s="272" t="s">
        <v>3383</v>
      </c>
      <c r="S357" s="272"/>
      <c r="T357" s="272">
        <v>1</v>
      </c>
      <c r="U357" s="272" t="s">
        <v>4880</v>
      </c>
      <c r="V357" s="273">
        <v>6</v>
      </c>
      <c r="W357" s="273"/>
      <c r="X357" s="272" t="s">
        <v>4881</v>
      </c>
      <c r="Y357" s="331" t="s">
        <v>5167</v>
      </c>
      <c r="Z357" s="334" t="s">
        <v>5168</v>
      </c>
      <c r="AA357" s="272" t="s">
        <v>4884</v>
      </c>
      <c r="AB357" s="272"/>
      <c r="AC357" s="289">
        <v>1</v>
      </c>
      <c r="AD357" s="289">
        <v>1</v>
      </c>
      <c r="AE357" s="272"/>
      <c r="AF357" s="272"/>
      <c r="AG357" s="296"/>
    </row>
    <row r="358" spans="1:33" s="145" customFormat="1" x14ac:dyDescent="0.15">
      <c r="A358" s="270">
        <v>95201037</v>
      </c>
      <c r="B358" s="268" t="s">
        <v>5164</v>
      </c>
      <c r="C358" s="268" t="s">
        <v>5148</v>
      </c>
      <c r="D358" s="268">
        <v>7906</v>
      </c>
      <c r="E358" s="268" t="s">
        <v>4876</v>
      </c>
      <c r="F358" s="268" t="s">
        <v>4877</v>
      </c>
      <c r="G358" s="269">
        <v>7</v>
      </c>
      <c r="H358" s="269">
        <v>0</v>
      </c>
      <c r="I358" s="267">
        <v>34</v>
      </c>
      <c r="J358" s="282" t="s">
        <v>5165</v>
      </c>
      <c r="K358" s="279" t="s">
        <v>5166</v>
      </c>
      <c r="L358" s="279"/>
      <c r="M358" s="268">
        <v>1</v>
      </c>
      <c r="N358" s="268" t="b">
        <v>1</v>
      </c>
      <c r="O358" s="268">
        <v>38</v>
      </c>
      <c r="P358" s="281">
        <v>570</v>
      </c>
      <c r="Q358" s="281">
        <v>760</v>
      </c>
      <c r="R358" s="268" t="s">
        <v>3383</v>
      </c>
      <c r="S358" s="268"/>
      <c r="T358" s="268">
        <v>1</v>
      </c>
      <c r="U358" s="268" t="s">
        <v>4880</v>
      </c>
      <c r="V358" s="269">
        <v>7</v>
      </c>
      <c r="W358" s="269"/>
      <c r="X358" s="268" t="s">
        <v>4881</v>
      </c>
      <c r="Y358" s="331" t="s">
        <v>5167</v>
      </c>
      <c r="Z358" s="332" t="s">
        <v>5168</v>
      </c>
      <c r="AA358" s="268" t="s">
        <v>4884</v>
      </c>
      <c r="AB358" s="268"/>
      <c r="AC358" s="287">
        <v>1</v>
      </c>
      <c r="AD358" s="287">
        <v>1</v>
      </c>
      <c r="AE358" s="268"/>
      <c r="AF358" s="268"/>
      <c r="AG358" s="290"/>
    </row>
    <row r="359" spans="1:33" s="258" customFormat="1" x14ac:dyDescent="0.15">
      <c r="A359" s="271">
        <v>95201038</v>
      </c>
      <c r="B359" s="272" t="s">
        <v>5169</v>
      </c>
      <c r="C359" s="272" t="s">
        <v>5148</v>
      </c>
      <c r="D359" s="272">
        <v>5081</v>
      </c>
      <c r="E359" s="272" t="s">
        <v>4876</v>
      </c>
      <c r="F359" s="272" t="s">
        <v>4877</v>
      </c>
      <c r="G359" s="269">
        <v>6</v>
      </c>
      <c r="H359" s="273">
        <v>1</v>
      </c>
      <c r="I359" s="283">
        <v>34</v>
      </c>
      <c r="J359" s="284" t="s">
        <v>5165</v>
      </c>
      <c r="K359" s="285" t="s">
        <v>5166</v>
      </c>
      <c r="L359" s="272" t="s">
        <v>44</v>
      </c>
      <c r="M359" s="272">
        <v>1</v>
      </c>
      <c r="N359" s="272" t="b">
        <v>1</v>
      </c>
      <c r="O359" s="272">
        <v>51</v>
      </c>
      <c r="P359" s="281">
        <v>765</v>
      </c>
      <c r="Q359" s="281">
        <v>1020</v>
      </c>
      <c r="R359" s="272" t="s">
        <v>3383</v>
      </c>
      <c r="S359" s="272"/>
      <c r="T359" s="272">
        <v>1</v>
      </c>
      <c r="U359" s="272" t="s">
        <v>4880</v>
      </c>
      <c r="V359" s="273">
        <v>10</v>
      </c>
      <c r="W359" s="273"/>
      <c r="X359" s="272" t="s">
        <v>4881</v>
      </c>
      <c r="Y359" s="333" t="s">
        <v>5167</v>
      </c>
      <c r="Z359" s="334" t="s">
        <v>5168</v>
      </c>
      <c r="AA359" s="272" t="s">
        <v>4884</v>
      </c>
      <c r="AB359" s="272"/>
      <c r="AC359" s="289">
        <v>1</v>
      </c>
      <c r="AD359" s="289">
        <v>1</v>
      </c>
      <c r="AE359" s="289"/>
      <c r="AF359" s="272"/>
      <c r="AG359" s="272"/>
    </row>
    <row r="360" spans="1:33" s="258" customFormat="1" x14ac:dyDescent="0.15">
      <c r="A360" s="271">
        <v>95201039</v>
      </c>
      <c r="B360" s="272" t="s">
        <v>5170</v>
      </c>
      <c r="C360" s="272" t="s">
        <v>5148</v>
      </c>
      <c r="D360" s="272">
        <v>5081</v>
      </c>
      <c r="E360" s="272" t="s">
        <v>4876</v>
      </c>
      <c r="F360" s="272" t="s">
        <v>4877</v>
      </c>
      <c r="G360" s="269">
        <v>6</v>
      </c>
      <c r="H360" s="273">
        <v>1</v>
      </c>
      <c r="I360" s="283">
        <v>34</v>
      </c>
      <c r="J360" s="284" t="s">
        <v>5165</v>
      </c>
      <c r="K360" s="285" t="s">
        <v>5166</v>
      </c>
      <c r="L360" s="272" t="s">
        <v>4887</v>
      </c>
      <c r="M360" s="272">
        <v>1</v>
      </c>
      <c r="N360" s="272" t="b">
        <v>1</v>
      </c>
      <c r="O360" s="272">
        <v>64</v>
      </c>
      <c r="P360" s="281">
        <v>960</v>
      </c>
      <c r="Q360" s="281">
        <v>1280</v>
      </c>
      <c r="R360" s="272" t="s">
        <v>3383</v>
      </c>
      <c r="S360" s="272"/>
      <c r="T360" s="272">
        <v>1</v>
      </c>
      <c r="U360" s="272" t="s">
        <v>4880</v>
      </c>
      <c r="V360" s="273">
        <v>10</v>
      </c>
      <c r="W360" s="273"/>
      <c r="X360" s="272" t="s">
        <v>4881</v>
      </c>
      <c r="Y360" s="333" t="s">
        <v>5167</v>
      </c>
      <c r="Z360" s="334" t="s">
        <v>5168</v>
      </c>
      <c r="AA360" s="272" t="s">
        <v>4884</v>
      </c>
      <c r="AB360" s="272"/>
      <c r="AC360" s="289">
        <v>1</v>
      </c>
      <c r="AD360" s="289">
        <v>1</v>
      </c>
      <c r="AE360" s="289"/>
      <c r="AF360" s="272"/>
      <c r="AG360" s="272"/>
    </row>
    <row r="361" spans="1:33" s="258" customFormat="1" x14ac:dyDescent="0.15">
      <c r="A361" s="271">
        <v>95201040</v>
      </c>
      <c r="B361" s="272" t="s">
        <v>5171</v>
      </c>
      <c r="C361" s="272" t="s">
        <v>5148</v>
      </c>
      <c r="D361" s="272">
        <v>5081</v>
      </c>
      <c r="E361" s="272" t="s">
        <v>4876</v>
      </c>
      <c r="F361" s="272" t="s">
        <v>4877</v>
      </c>
      <c r="G361" s="269">
        <v>7</v>
      </c>
      <c r="H361" s="273">
        <v>0</v>
      </c>
      <c r="I361" s="283">
        <v>34</v>
      </c>
      <c r="J361" s="284" t="s">
        <v>5165</v>
      </c>
      <c r="K361" s="285" t="s">
        <v>5166</v>
      </c>
      <c r="L361" s="272" t="s">
        <v>4889</v>
      </c>
      <c r="M361" s="272">
        <v>1</v>
      </c>
      <c r="N361" s="272" t="b">
        <v>1</v>
      </c>
      <c r="O361" s="272">
        <v>77</v>
      </c>
      <c r="P361" s="281">
        <v>1155</v>
      </c>
      <c r="Q361" s="281">
        <v>1540</v>
      </c>
      <c r="R361" s="272" t="s">
        <v>3383</v>
      </c>
      <c r="S361" s="272"/>
      <c r="T361" s="272">
        <v>1</v>
      </c>
      <c r="U361" s="272" t="s">
        <v>4880</v>
      </c>
      <c r="V361" s="273">
        <v>10</v>
      </c>
      <c r="W361" s="273"/>
      <c r="X361" s="272" t="s">
        <v>4881</v>
      </c>
      <c r="Y361" s="333" t="s">
        <v>5167</v>
      </c>
      <c r="Z361" s="334" t="s">
        <v>5168</v>
      </c>
      <c r="AA361" s="272" t="s">
        <v>4884</v>
      </c>
      <c r="AB361" s="272"/>
      <c r="AC361" s="289">
        <v>1</v>
      </c>
      <c r="AD361" s="289">
        <v>1</v>
      </c>
      <c r="AE361" s="289"/>
      <c r="AF361" s="272"/>
      <c r="AG361" s="272"/>
    </row>
    <row r="362" spans="1:33" s="145" customFormat="1" x14ac:dyDescent="0.15">
      <c r="A362" s="267">
        <v>95201041</v>
      </c>
      <c r="B362" s="268" t="s">
        <v>5172</v>
      </c>
      <c r="C362" s="293" t="s">
        <v>5148</v>
      </c>
      <c r="D362" s="293">
        <v>7906</v>
      </c>
      <c r="E362" s="268" t="s">
        <v>4876</v>
      </c>
      <c r="F362" s="268" t="s">
        <v>4877</v>
      </c>
      <c r="G362" s="269">
        <v>1</v>
      </c>
      <c r="H362" s="269">
        <v>0</v>
      </c>
      <c r="I362" s="267">
        <v>34</v>
      </c>
      <c r="J362" s="282" t="s">
        <v>5173</v>
      </c>
      <c r="K362" s="295" t="s">
        <v>5174</v>
      </c>
      <c r="L362" s="295"/>
      <c r="M362" s="268">
        <v>1</v>
      </c>
      <c r="N362" s="268" t="b">
        <v>1</v>
      </c>
      <c r="O362" s="268">
        <v>2</v>
      </c>
      <c r="P362" s="281">
        <v>30</v>
      </c>
      <c r="Q362" s="281">
        <v>40</v>
      </c>
      <c r="R362" s="268" t="s">
        <v>3383</v>
      </c>
      <c r="S362" s="268"/>
      <c r="T362" s="268">
        <v>1</v>
      </c>
      <c r="U362" s="268" t="s">
        <v>4880</v>
      </c>
      <c r="V362" s="269">
        <v>1</v>
      </c>
      <c r="W362" s="269"/>
      <c r="X362" s="268" t="s">
        <v>4881</v>
      </c>
      <c r="Y362" s="331" t="s">
        <v>5175</v>
      </c>
      <c r="Z362" s="332" t="s">
        <v>5176</v>
      </c>
      <c r="AA362" s="268" t="s">
        <v>4884</v>
      </c>
      <c r="AB362" s="268"/>
      <c r="AC362" s="287">
        <v>1</v>
      </c>
      <c r="AD362" s="287">
        <v>1</v>
      </c>
      <c r="AE362" s="268"/>
      <c r="AF362" s="268"/>
      <c r="AG362" s="290"/>
    </row>
    <row r="363" spans="1:33" s="145" customFormat="1" x14ac:dyDescent="0.15">
      <c r="A363" s="267">
        <v>95201042</v>
      </c>
      <c r="B363" s="268" t="s">
        <v>5172</v>
      </c>
      <c r="C363" s="293" t="s">
        <v>5148</v>
      </c>
      <c r="D363" s="293">
        <v>7906</v>
      </c>
      <c r="E363" s="268" t="s">
        <v>4876</v>
      </c>
      <c r="F363" s="268" t="s">
        <v>4877</v>
      </c>
      <c r="G363" s="269">
        <v>2</v>
      </c>
      <c r="H363" s="269">
        <v>0</v>
      </c>
      <c r="I363" s="267">
        <v>34</v>
      </c>
      <c r="J363" s="282" t="s">
        <v>5173</v>
      </c>
      <c r="K363" s="295" t="s">
        <v>5174</v>
      </c>
      <c r="L363" s="295"/>
      <c r="M363" s="268">
        <v>1</v>
      </c>
      <c r="N363" s="268" t="b">
        <v>1</v>
      </c>
      <c r="O363" s="268">
        <v>5</v>
      </c>
      <c r="P363" s="281">
        <v>75</v>
      </c>
      <c r="Q363" s="281">
        <v>100</v>
      </c>
      <c r="R363" s="268" t="s">
        <v>3383</v>
      </c>
      <c r="S363" s="268"/>
      <c r="T363" s="268">
        <v>1</v>
      </c>
      <c r="U363" s="268" t="s">
        <v>4880</v>
      </c>
      <c r="V363" s="269">
        <v>2</v>
      </c>
      <c r="W363" s="269"/>
      <c r="X363" s="268" t="s">
        <v>4881</v>
      </c>
      <c r="Y363" s="331" t="s">
        <v>5175</v>
      </c>
      <c r="Z363" s="332" t="s">
        <v>5176</v>
      </c>
      <c r="AA363" s="268" t="s">
        <v>4884</v>
      </c>
      <c r="AB363" s="268"/>
      <c r="AC363" s="287">
        <v>1</v>
      </c>
      <c r="AD363" s="287">
        <v>1</v>
      </c>
      <c r="AE363" s="268"/>
      <c r="AF363" s="268"/>
      <c r="AG363" s="290"/>
    </row>
    <row r="364" spans="1:33" s="145" customFormat="1" x14ac:dyDescent="0.15">
      <c r="A364" s="267">
        <v>95201043</v>
      </c>
      <c r="B364" s="268" t="s">
        <v>5172</v>
      </c>
      <c r="C364" s="293" t="s">
        <v>5148</v>
      </c>
      <c r="D364" s="293">
        <v>7906</v>
      </c>
      <c r="E364" s="268" t="s">
        <v>4876</v>
      </c>
      <c r="F364" s="268" t="s">
        <v>4877</v>
      </c>
      <c r="G364" s="269">
        <v>3</v>
      </c>
      <c r="H364" s="269">
        <v>0</v>
      </c>
      <c r="I364" s="267">
        <v>34</v>
      </c>
      <c r="J364" s="282" t="s">
        <v>5173</v>
      </c>
      <c r="K364" s="295" t="s">
        <v>5174</v>
      </c>
      <c r="L364" s="295"/>
      <c r="M364" s="268">
        <v>1</v>
      </c>
      <c r="N364" s="268" t="b">
        <v>1</v>
      </c>
      <c r="O364" s="268">
        <v>7</v>
      </c>
      <c r="P364" s="281">
        <v>105</v>
      </c>
      <c r="Q364" s="281">
        <v>140</v>
      </c>
      <c r="R364" s="268" t="s">
        <v>3383</v>
      </c>
      <c r="S364" s="268"/>
      <c r="T364" s="268">
        <v>1</v>
      </c>
      <c r="U364" s="268" t="s">
        <v>4880</v>
      </c>
      <c r="V364" s="269">
        <v>3</v>
      </c>
      <c r="W364" s="269"/>
      <c r="X364" s="268" t="s">
        <v>4881</v>
      </c>
      <c r="Y364" s="331" t="s">
        <v>5175</v>
      </c>
      <c r="Z364" s="332" t="s">
        <v>5176</v>
      </c>
      <c r="AA364" s="268" t="s">
        <v>4884</v>
      </c>
      <c r="AB364" s="268"/>
      <c r="AC364" s="287">
        <v>1</v>
      </c>
      <c r="AD364" s="287">
        <v>1</v>
      </c>
      <c r="AE364" s="268"/>
      <c r="AF364" s="268"/>
      <c r="AG364" s="290"/>
    </row>
    <row r="365" spans="1:33" s="145" customFormat="1" x14ac:dyDescent="0.15">
      <c r="A365" s="267">
        <v>95201044</v>
      </c>
      <c r="B365" s="268" t="s">
        <v>5172</v>
      </c>
      <c r="C365" s="293" t="s">
        <v>5148</v>
      </c>
      <c r="D365" s="293">
        <v>7906</v>
      </c>
      <c r="E365" s="268" t="s">
        <v>4876</v>
      </c>
      <c r="F365" s="268" t="s">
        <v>4877</v>
      </c>
      <c r="G365" s="269">
        <v>4</v>
      </c>
      <c r="H365" s="269">
        <v>0</v>
      </c>
      <c r="I365" s="267">
        <v>34</v>
      </c>
      <c r="J365" s="282" t="s">
        <v>5173</v>
      </c>
      <c r="K365" s="295" t="s">
        <v>5174</v>
      </c>
      <c r="L365" s="295"/>
      <c r="M365" s="268">
        <v>1</v>
      </c>
      <c r="N365" s="268" t="b">
        <v>1</v>
      </c>
      <c r="O365" s="268">
        <v>10</v>
      </c>
      <c r="P365" s="281">
        <v>150</v>
      </c>
      <c r="Q365" s="281">
        <v>200</v>
      </c>
      <c r="R365" s="268" t="s">
        <v>3383</v>
      </c>
      <c r="S365" s="268"/>
      <c r="T365" s="268">
        <v>1</v>
      </c>
      <c r="U365" s="268" t="s">
        <v>4880</v>
      </c>
      <c r="V365" s="269">
        <v>4</v>
      </c>
      <c r="W365" s="269"/>
      <c r="X365" s="268" t="s">
        <v>4881</v>
      </c>
      <c r="Y365" s="331" t="s">
        <v>5175</v>
      </c>
      <c r="Z365" s="332" t="s">
        <v>5176</v>
      </c>
      <c r="AA365" s="268" t="s">
        <v>4884</v>
      </c>
      <c r="AB365" s="268"/>
      <c r="AC365" s="287">
        <v>1</v>
      </c>
      <c r="AD365" s="287">
        <v>1</v>
      </c>
      <c r="AE365" s="268"/>
      <c r="AF365" s="268"/>
      <c r="AG365" s="290"/>
    </row>
    <row r="366" spans="1:33" s="145" customFormat="1" x14ac:dyDescent="0.15">
      <c r="A366" s="267">
        <v>95201045</v>
      </c>
      <c r="B366" s="268" t="s">
        <v>5172</v>
      </c>
      <c r="C366" s="293" t="s">
        <v>5148</v>
      </c>
      <c r="D366" s="293">
        <v>7906</v>
      </c>
      <c r="E366" s="268" t="s">
        <v>4876</v>
      </c>
      <c r="F366" s="268" t="s">
        <v>4877</v>
      </c>
      <c r="G366" s="269">
        <v>5</v>
      </c>
      <c r="H366" s="269">
        <v>0</v>
      </c>
      <c r="I366" s="267">
        <v>34</v>
      </c>
      <c r="J366" s="282" t="s">
        <v>5173</v>
      </c>
      <c r="K366" s="295" t="s">
        <v>5174</v>
      </c>
      <c r="L366" s="295"/>
      <c r="M366" s="268">
        <v>1</v>
      </c>
      <c r="N366" s="268" t="b">
        <v>1</v>
      </c>
      <c r="O366" s="268">
        <v>12</v>
      </c>
      <c r="P366" s="281">
        <v>180</v>
      </c>
      <c r="Q366" s="281">
        <v>240</v>
      </c>
      <c r="R366" s="268" t="s">
        <v>3383</v>
      </c>
      <c r="S366" s="268"/>
      <c r="T366" s="268">
        <v>1</v>
      </c>
      <c r="U366" s="268" t="s">
        <v>4880</v>
      </c>
      <c r="V366" s="269">
        <v>5</v>
      </c>
      <c r="W366" s="269"/>
      <c r="X366" s="268" t="s">
        <v>4881</v>
      </c>
      <c r="Y366" s="331" t="s">
        <v>5175</v>
      </c>
      <c r="Z366" s="332" t="s">
        <v>5176</v>
      </c>
      <c r="AA366" s="268" t="s">
        <v>4884</v>
      </c>
      <c r="AB366" s="268"/>
      <c r="AC366" s="287">
        <v>1</v>
      </c>
      <c r="AD366" s="287">
        <v>1</v>
      </c>
      <c r="AE366" s="268"/>
      <c r="AF366" s="268"/>
      <c r="AG366" s="290"/>
    </row>
    <row r="367" spans="1:33" s="145" customFormat="1" x14ac:dyDescent="0.15">
      <c r="A367" s="270">
        <v>95201046</v>
      </c>
      <c r="B367" s="268" t="s">
        <v>5172</v>
      </c>
      <c r="C367" s="268" t="s">
        <v>5148</v>
      </c>
      <c r="D367" s="268">
        <v>7906</v>
      </c>
      <c r="E367" s="268" t="s">
        <v>4876</v>
      </c>
      <c r="F367" s="268" t="s">
        <v>4877</v>
      </c>
      <c r="G367" s="269">
        <v>6</v>
      </c>
      <c r="H367" s="269">
        <v>0</v>
      </c>
      <c r="I367" s="267">
        <v>34</v>
      </c>
      <c r="J367" s="282" t="s">
        <v>5173</v>
      </c>
      <c r="K367" s="279" t="s">
        <v>5174</v>
      </c>
      <c r="L367" s="279"/>
      <c r="M367" s="268">
        <v>1</v>
      </c>
      <c r="N367" s="268" t="b">
        <v>1</v>
      </c>
      <c r="O367" s="268">
        <v>25</v>
      </c>
      <c r="P367" s="281">
        <v>375</v>
      </c>
      <c r="Q367" s="281">
        <v>500</v>
      </c>
      <c r="R367" s="268" t="s">
        <v>3383</v>
      </c>
      <c r="S367" s="268"/>
      <c r="T367" s="268">
        <v>1</v>
      </c>
      <c r="U367" s="268" t="s">
        <v>4880</v>
      </c>
      <c r="V367" s="269">
        <v>6</v>
      </c>
      <c r="W367" s="269"/>
      <c r="X367" s="268" t="s">
        <v>4881</v>
      </c>
      <c r="Y367" s="331" t="s">
        <v>5175</v>
      </c>
      <c r="Z367" s="332" t="s">
        <v>5176</v>
      </c>
      <c r="AA367" s="268" t="s">
        <v>4884</v>
      </c>
      <c r="AB367" s="268"/>
      <c r="AC367" s="287">
        <v>1</v>
      </c>
      <c r="AD367" s="287">
        <v>1</v>
      </c>
      <c r="AE367" s="268"/>
      <c r="AF367" s="268"/>
      <c r="AG367" s="290"/>
    </row>
    <row r="368" spans="1:33" s="145" customFormat="1" x14ac:dyDescent="0.15">
      <c r="A368" s="270">
        <v>95201047</v>
      </c>
      <c r="B368" s="268" t="s">
        <v>5172</v>
      </c>
      <c r="C368" s="268" t="s">
        <v>5148</v>
      </c>
      <c r="D368" s="268">
        <v>7906</v>
      </c>
      <c r="E368" s="268" t="s">
        <v>4876</v>
      </c>
      <c r="F368" s="268" t="s">
        <v>4877</v>
      </c>
      <c r="G368" s="269">
        <v>7</v>
      </c>
      <c r="H368" s="269">
        <v>0</v>
      </c>
      <c r="I368" s="267">
        <v>34</v>
      </c>
      <c r="J368" s="282" t="s">
        <v>5173</v>
      </c>
      <c r="K368" s="279" t="s">
        <v>5174</v>
      </c>
      <c r="L368" s="279"/>
      <c r="M368" s="268">
        <v>1</v>
      </c>
      <c r="N368" s="268" t="b">
        <v>1</v>
      </c>
      <c r="O368" s="268">
        <v>38</v>
      </c>
      <c r="P368" s="281">
        <v>570</v>
      </c>
      <c r="Q368" s="281">
        <v>760</v>
      </c>
      <c r="R368" s="268" t="s">
        <v>3383</v>
      </c>
      <c r="S368" s="268"/>
      <c r="T368" s="268">
        <v>1</v>
      </c>
      <c r="U368" s="268" t="s">
        <v>4880</v>
      </c>
      <c r="V368" s="269">
        <v>7</v>
      </c>
      <c r="W368" s="269"/>
      <c r="X368" s="268" t="s">
        <v>4881</v>
      </c>
      <c r="Y368" s="331" t="s">
        <v>5175</v>
      </c>
      <c r="Z368" s="332" t="s">
        <v>5176</v>
      </c>
      <c r="AA368" s="268" t="s">
        <v>4884</v>
      </c>
      <c r="AB368" s="268"/>
      <c r="AC368" s="287">
        <v>1</v>
      </c>
      <c r="AD368" s="287">
        <v>1</v>
      </c>
      <c r="AE368" s="268"/>
      <c r="AF368" s="268"/>
      <c r="AG368" s="290"/>
    </row>
    <row r="369" spans="1:33" s="258" customFormat="1" x14ac:dyDescent="0.15">
      <c r="A369" s="271">
        <v>95201048</v>
      </c>
      <c r="B369" s="272" t="s">
        <v>5177</v>
      </c>
      <c r="C369" s="272" t="s">
        <v>5148</v>
      </c>
      <c r="D369" s="272">
        <v>5081</v>
      </c>
      <c r="E369" s="272" t="s">
        <v>4876</v>
      </c>
      <c r="F369" s="272" t="s">
        <v>4877</v>
      </c>
      <c r="G369" s="269">
        <v>6</v>
      </c>
      <c r="H369" s="273">
        <v>0</v>
      </c>
      <c r="I369" s="283">
        <v>34</v>
      </c>
      <c r="J369" s="284" t="s">
        <v>5173</v>
      </c>
      <c r="K369" s="285" t="s">
        <v>5174</v>
      </c>
      <c r="L369" s="272" t="s">
        <v>44</v>
      </c>
      <c r="M369" s="272">
        <v>1</v>
      </c>
      <c r="N369" s="272" t="b">
        <v>1</v>
      </c>
      <c r="O369" s="272">
        <v>51</v>
      </c>
      <c r="P369" s="281">
        <v>765</v>
      </c>
      <c r="Q369" s="281">
        <v>1020</v>
      </c>
      <c r="R369" s="272" t="s">
        <v>3383</v>
      </c>
      <c r="S369" s="272"/>
      <c r="T369" s="272">
        <v>1</v>
      </c>
      <c r="U369" s="272" t="s">
        <v>4880</v>
      </c>
      <c r="V369" s="273">
        <v>10</v>
      </c>
      <c r="W369" s="273"/>
      <c r="X369" s="272" t="s">
        <v>4881</v>
      </c>
      <c r="Y369" s="333" t="s">
        <v>5175</v>
      </c>
      <c r="Z369" s="334" t="s">
        <v>5176</v>
      </c>
      <c r="AA369" s="272" t="s">
        <v>4884</v>
      </c>
      <c r="AB369" s="272"/>
      <c r="AC369" s="289">
        <v>1</v>
      </c>
      <c r="AD369" s="289">
        <v>1</v>
      </c>
      <c r="AE369" s="289"/>
      <c r="AF369" s="272"/>
      <c r="AG369" s="272"/>
    </row>
    <row r="370" spans="1:33" s="258" customFormat="1" x14ac:dyDescent="0.15">
      <c r="A370" s="271">
        <v>95201049</v>
      </c>
      <c r="B370" s="272" t="s">
        <v>5178</v>
      </c>
      <c r="C370" s="272" t="s">
        <v>5148</v>
      </c>
      <c r="D370" s="272">
        <v>5081</v>
      </c>
      <c r="E370" s="272" t="s">
        <v>4876</v>
      </c>
      <c r="F370" s="272" t="s">
        <v>4877</v>
      </c>
      <c r="G370" s="269">
        <v>6</v>
      </c>
      <c r="H370" s="273">
        <v>0</v>
      </c>
      <c r="I370" s="283">
        <v>34</v>
      </c>
      <c r="J370" s="284" t="s">
        <v>5173</v>
      </c>
      <c r="K370" s="285" t="s">
        <v>5174</v>
      </c>
      <c r="L370" s="272" t="s">
        <v>4887</v>
      </c>
      <c r="M370" s="272">
        <v>1</v>
      </c>
      <c r="N370" s="272" t="b">
        <v>1</v>
      </c>
      <c r="O370" s="272">
        <v>64</v>
      </c>
      <c r="P370" s="281">
        <v>960</v>
      </c>
      <c r="Q370" s="281">
        <v>1280</v>
      </c>
      <c r="R370" s="272" t="s">
        <v>3383</v>
      </c>
      <c r="S370" s="272"/>
      <c r="T370" s="272">
        <v>1</v>
      </c>
      <c r="U370" s="272" t="s">
        <v>4880</v>
      </c>
      <c r="V370" s="273">
        <v>10</v>
      </c>
      <c r="W370" s="273"/>
      <c r="X370" s="272" t="s">
        <v>4881</v>
      </c>
      <c r="Y370" s="333" t="s">
        <v>5175</v>
      </c>
      <c r="Z370" s="334" t="s">
        <v>5176</v>
      </c>
      <c r="AA370" s="272" t="s">
        <v>4884</v>
      </c>
      <c r="AB370" s="272"/>
      <c r="AC370" s="289">
        <v>1</v>
      </c>
      <c r="AD370" s="289">
        <v>1</v>
      </c>
      <c r="AE370" s="289"/>
      <c r="AF370" s="272"/>
      <c r="AG370" s="272"/>
    </row>
    <row r="371" spans="1:33" s="258" customFormat="1" x14ac:dyDescent="0.15">
      <c r="A371" s="271">
        <v>95201050</v>
      </c>
      <c r="B371" s="272" t="s">
        <v>5179</v>
      </c>
      <c r="C371" s="272" t="s">
        <v>5148</v>
      </c>
      <c r="D371" s="272">
        <v>5081</v>
      </c>
      <c r="E371" s="272" t="s">
        <v>4876</v>
      </c>
      <c r="F371" s="272" t="s">
        <v>4877</v>
      </c>
      <c r="G371" s="269">
        <v>7</v>
      </c>
      <c r="H371" s="273">
        <v>0</v>
      </c>
      <c r="I371" s="283">
        <v>34</v>
      </c>
      <c r="J371" s="284" t="s">
        <v>5173</v>
      </c>
      <c r="K371" s="285" t="s">
        <v>5174</v>
      </c>
      <c r="L371" s="272" t="s">
        <v>4889</v>
      </c>
      <c r="M371" s="272">
        <v>1</v>
      </c>
      <c r="N371" s="272" t="b">
        <v>1</v>
      </c>
      <c r="O371" s="272">
        <v>77</v>
      </c>
      <c r="P371" s="281">
        <v>1155</v>
      </c>
      <c r="Q371" s="281">
        <v>1540</v>
      </c>
      <c r="R371" s="272" t="s">
        <v>3383</v>
      </c>
      <c r="S371" s="272"/>
      <c r="T371" s="272">
        <v>1</v>
      </c>
      <c r="U371" s="272" t="s">
        <v>4880</v>
      </c>
      <c r="V371" s="273">
        <v>10</v>
      </c>
      <c r="W371" s="273"/>
      <c r="X371" s="272" t="s">
        <v>4881</v>
      </c>
      <c r="Y371" s="333" t="s">
        <v>5175</v>
      </c>
      <c r="Z371" s="334" t="s">
        <v>5176</v>
      </c>
      <c r="AA371" s="272" t="s">
        <v>4884</v>
      </c>
      <c r="AB371" s="272"/>
      <c r="AC371" s="289">
        <v>1</v>
      </c>
      <c r="AD371" s="289">
        <v>1</v>
      </c>
      <c r="AE371" s="289"/>
      <c r="AF371" s="272"/>
      <c r="AG371" s="272"/>
    </row>
    <row r="372" spans="1:33" s="145" customFormat="1" x14ac:dyDescent="0.15">
      <c r="A372" s="267">
        <v>95201051</v>
      </c>
      <c r="B372" s="268" t="s">
        <v>5180</v>
      </c>
      <c r="C372" s="293" t="s">
        <v>5148</v>
      </c>
      <c r="D372" s="293">
        <v>7906</v>
      </c>
      <c r="E372" s="268" t="s">
        <v>4876</v>
      </c>
      <c r="F372" s="268" t="s">
        <v>4877</v>
      </c>
      <c r="G372" s="269">
        <v>1</v>
      </c>
      <c r="H372" s="269">
        <v>0</v>
      </c>
      <c r="I372" s="267">
        <v>34</v>
      </c>
      <c r="J372" s="268" t="s">
        <v>5181</v>
      </c>
      <c r="K372" s="295" t="s">
        <v>5182</v>
      </c>
      <c r="L372" s="295"/>
      <c r="M372" s="268">
        <v>1</v>
      </c>
      <c r="N372" s="268" t="b">
        <v>1</v>
      </c>
      <c r="O372" s="268">
        <v>200</v>
      </c>
      <c r="P372" s="281">
        <v>3000</v>
      </c>
      <c r="Q372" s="281">
        <v>4000</v>
      </c>
      <c r="R372" s="268" t="s">
        <v>3383</v>
      </c>
      <c r="S372" s="268"/>
      <c r="T372" s="268">
        <v>1</v>
      </c>
      <c r="U372" s="268" t="s">
        <v>4880</v>
      </c>
      <c r="V372" s="269">
        <v>1</v>
      </c>
      <c r="W372" s="269"/>
      <c r="X372" s="268" t="s">
        <v>4881</v>
      </c>
      <c r="Y372" s="331" t="s">
        <v>5183</v>
      </c>
      <c r="Z372" s="332" t="s">
        <v>5184</v>
      </c>
      <c r="AA372" s="268" t="s">
        <v>4884</v>
      </c>
      <c r="AB372" s="268"/>
      <c r="AC372" s="287">
        <v>1</v>
      </c>
      <c r="AD372" s="287">
        <v>1</v>
      </c>
      <c r="AE372" s="268"/>
      <c r="AF372" s="268"/>
      <c r="AG372" s="290"/>
    </row>
    <row r="373" spans="1:33" s="145" customFormat="1" x14ac:dyDescent="0.15">
      <c r="A373" s="267">
        <v>95201052</v>
      </c>
      <c r="B373" s="268" t="s">
        <v>5180</v>
      </c>
      <c r="C373" s="293" t="s">
        <v>5148</v>
      </c>
      <c r="D373" s="293">
        <v>7906</v>
      </c>
      <c r="E373" s="268" t="s">
        <v>4876</v>
      </c>
      <c r="F373" s="268" t="s">
        <v>4877</v>
      </c>
      <c r="G373" s="269">
        <v>2</v>
      </c>
      <c r="H373" s="269">
        <v>0</v>
      </c>
      <c r="I373" s="267">
        <v>34</v>
      </c>
      <c r="J373" s="268" t="s">
        <v>5181</v>
      </c>
      <c r="K373" s="295" t="s">
        <v>5182</v>
      </c>
      <c r="L373" s="295"/>
      <c r="M373" s="268">
        <v>1</v>
      </c>
      <c r="N373" s="268" t="b">
        <v>1</v>
      </c>
      <c r="O373" s="268">
        <v>500</v>
      </c>
      <c r="P373" s="281">
        <v>7500</v>
      </c>
      <c r="Q373" s="281">
        <v>10000</v>
      </c>
      <c r="R373" s="268" t="s">
        <v>3383</v>
      </c>
      <c r="S373" s="268"/>
      <c r="T373" s="268">
        <v>1</v>
      </c>
      <c r="U373" s="268" t="s">
        <v>4880</v>
      </c>
      <c r="V373" s="269">
        <v>2</v>
      </c>
      <c r="W373" s="269"/>
      <c r="X373" s="268" t="s">
        <v>4881</v>
      </c>
      <c r="Y373" s="331" t="s">
        <v>5183</v>
      </c>
      <c r="Z373" s="332" t="s">
        <v>5184</v>
      </c>
      <c r="AA373" s="268" t="s">
        <v>4884</v>
      </c>
      <c r="AB373" s="268"/>
      <c r="AC373" s="287">
        <v>1</v>
      </c>
      <c r="AD373" s="287">
        <v>1</v>
      </c>
      <c r="AE373" s="268"/>
      <c r="AF373" s="268"/>
      <c r="AG373" s="290"/>
    </row>
    <row r="374" spans="1:33" s="145" customFormat="1" x14ac:dyDescent="0.15">
      <c r="A374" s="267">
        <v>95201053</v>
      </c>
      <c r="B374" s="268" t="s">
        <v>5180</v>
      </c>
      <c r="C374" s="293" t="s">
        <v>5148</v>
      </c>
      <c r="D374" s="293">
        <v>7906</v>
      </c>
      <c r="E374" s="268" t="s">
        <v>4876</v>
      </c>
      <c r="F374" s="268" t="s">
        <v>4877</v>
      </c>
      <c r="G374" s="269">
        <v>3</v>
      </c>
      <c r="H374" s="269">
        <v>0</v>
      </c>
      <c r="I374" s="267">
        <v>34</v>
      </c>
      <c r="J374" s="268" t="s">
        <v>5181</v>
      </c>
      <c r="K374" s="295" t="s">
        <v>5182</v>
      </c>
      <c r="L374" s="295"/>
      <c r="M374" s="268">
        <v>1</v>
      </c>
      <c r="N374" s="268" t="b">
        <v>1</v>
      </c>
      <c r="O374" s="268">
        <v>700</v>
      </c>
      <c r="P374" s="281">
        <v>10500</v>
      </c>
      <c r="Q374" s="281">
        <v>14000</v>
      </c>
      <c r="R374" s="268" t="s">
        <v>3383</v>
      </c>
      <c r="S374" s="268"/>
      <c r="T374" s="268">
        <v>1</v>
      </c>
      <c r="U374" s="268" t="s">
        <v>4880</v>
      </c>
      <c r="V374" s="269">
        <v>3</v>
      </c>
      <c r="W374" s="269"/>
      <c r="X374" s="268" t="s">
        <v>4881</v>
      </c>
      <c r="Y374" s="331" t="s">
        <v>5183</v>
      </c>
      <c r="Z374" s="332" t="s">
        <v>5184</v>
      </c>
      <c r="AA374" s="268" t="s">
        <v>4884</v>
      </c>
      <c r="AB374" s="268"/>
      <c r="AC374" s="287">
        <v>1</v>
      </c>
      <c r="AD374" s="287">
        <v>1</v>
      </c>
      <c r="AE374" s="268"/>
      <c r="AF374" s="268"/>
      <c r="AG374" s="290"/>
    </row>
    <row r="375" spans="1:33" s="145" customFormat="1" x14ac:dyDescent="0.15">
      <c r="A375" s="267">
        <v>95201054</v>
      </c>
      <c r="B375" s="268" t="s">
        <v>5180</v>
      </c>
      <c r="C375" s="293" t="s">
        <v>5148</v>
      </c>
      <c r="D375" s="293">
        <v>7906</v>
      </c>
      <c r="E375" s="268" t="s">
        <v>4876</v>
      </c>
      <c r="F375" s="268" t="s">
        <v>4877</v>
      </c>
      <c r="G375" s="269">
        <v>4</v>
      </c>
      <c r="H375" s="269">
        <v>0</v>
      </c>
      <c r="I375" s="267">
        <v>34</v>
      </c>
      <c r="J375" s="268" t="s">
        <v>5181</v>
      </c>
      <c r="K375" s="295" t="s">
        <v>5182</v>
      </c>
      <c r="L375" s="295"/>
      <c r="M375" s="268">
        <v>1</v>
      </c>
      <c r="N375" s="268" t="b">
        <v>1</v>
      </c>
      <c r="O375" s="268">
        <v>1000</v>
      </c>
      <c r="P375" s="281">
        <v>15000</v>
      </c>
      <c r="Q375" s="281">
        <v>20000</v>
      </c>
      <c r="R375" s="268" t="s">
        <v>3383</v>
      </c>
      <c r="S375" s="268"/>
      <c r="T375" s="268">
        <v>1</v>
      </c>
      <c r="U375" s="268" t="s">
        <v>4880</v>
      </c>
      <c r="V375" s="269">
        <v>4</v>
      </c>
      <c r="W375" s="269"/>
      <c r="X375" s="268" t="s">
        <v>4881</v>
      </c>
      <c r="Y375" s="331" t="s">
        <v>5183</v>
      </c>
      <c r="Z375" s="332" t="s">
        <v>5184</v>
      </c>
      <c r="AA375" s="268" t="s">
        <v>4884</v>
      </c>
      <c r="AB375" s="268"/>
      <c r="AC375" s="287">
        <v>1</v>
      </c>
      <c r="AD375" s="287">
        <v>1</v>
      </c>
      <c r="AE375" s="268"/>
      <c r="AF375" s="268"/>
      <c r="AG375" s="290"/>
    </row>
    <row r="376" spans="1:33" s="145" customFormat="1" x14ac:dyDescent="0.15">
      <c r="A376" s="267">
        <v>95201055</v>
      </c>
      <c r="B376" s="268" t="s">
        <v>5180</v>
      </c>
      <c r="C376" s="293" t="s">
        <v>5148</v>
      </c>
      <c r="D376" s="293">
        <v>7906</v>
      </c>
      <c r="E376" s="268" t="s">
        <v>4876</v>
      </c>
      <c r="F376" s="268" t="s">
        <v>4877</v>
      </c>
      <c r="G376" s="269">
        <v>5</v>
      </c>
      <c r="H376" s="269">
        <v>0</v>
      </c>
      <c r="I376" s="267">
        <v>34</v>
      </c>
      <c r="J376" s="268" t="s">
        <v>5181</v>
      </c>
      <c r="K376" s="295" t="s">
        <v>5182</v>
      </c>
      <c r="L376" s="295"/>
      <c r="M376" s="268">
        <v>1</v>
      </c>
      <c r="N376" s="268" t="b">
        <v>1</v>
      </c>
      <c r="O376" s="268">
        <v>1200</v>
      </c>
      <c r="P376" s="281">
        <v>18000</v>
      </c>
      <c r="Q376" s="281">
        <v>24000</v>
      </c>
      <c r="R376" s="268" t="s">
        <v>3383</v>
      </c>
      <c r="S376" s="268"/>
      <c r="T376" s="268">
        <v>1</v>
      </c>
      <c r="U376" s="268" t="s">
        <v>4880</v>
      </c>
      <c r="V376" s="269">
        <v>5</v>
      </c>
      <c r="W376" s="269"/>
      <c r="X376" s="268" t="s">
        <v>4881</v>
      </c>
      <c r="Y376" s="331" t="s">
        <v>5183</v>
      </c>
      <c r="Z376" s="332" t="s">
        <v>5184</v>
      </c>
      <c r="AA376" s="268" t="s">
        <v>4884</v>
      </c>
      <c r="AB376" s="268"/>
      <c r="AC376" s="287">
        <v>1</v>
      </c>
      <c r="AD376" s="287">
        <v>1</v>
      </c>
      <c r="AE376" s="268"/>
      <c r="AF376" s="268"/>
      <c r="AG376" s="290"/>
    </row>
    <row r="377" spans="1:33" s="145" customFormat="1" x14ac:dyDescent="0.15">
      <c r="A377" s="270">
        <v>95201056</v>
      </c>
      <c r="B377" s="268" t="s">
        <v>5180</v>
      </c>
      <c r="C377" s="268" t="s">
        <v>5148</v>
      </c>
      <c r="D377" s="268">
        <v>7906</v>
      </c>
      <c r="E377" s="268" t="s">
        <v>4876</v>
      </c>
      <c r="F377" s="268" t="s">
        <v>4877</v>
      </c>
      <c r="G377" s="269">
        <v>7</v>
      </c>
      <c r="H377" s="269">
        <v>0</v>
      </c>
      <c r="I377" s="267">
        <v>34</v>
      </c>
      <c r="J377" s="282" t="s">
        <v>5181</v>
      </c>
      <c r="K377" s="279" t="s">
        <v>5182</v>
      </c>
      <c r="L377" s="279"/>
      <c r="M377" s="268">
        <v>1</v>
      </c>
      <c r="N377" s="268" t="b">
        <v>1</v>
      </c>
      <c r="O377" s="268">
        <v>2500</v>
      </c>
      <c r="P377" s="281">
        <v>37500</v>
      </c>
      <c r="Q377" s="281">
        <v>50000</v>
      </c>
      <c r="R377" s="268" t="s">
        <v>3383</v>
      </c>
      <c r="S377" s="268"/>
      <c r="T377" s="268">
        <v>1</v>
      </c>
      <c r="U377" s="268" t="s">
        <v>4880</v>
      </c>
      <c r="V377" s="269">
        <v>7</v>
      </c>
      <c r="W377" s="269"/>
      <c r="X377" s="268" t="s">
        <v>4881</v>
      </c>
      <c r="Y377" s="331" t="s">
        <v>5183</v>
      </c>
      <c r="Z377" s="332" t="s">
        <v>5184</v>
      </c>
      <c r="AA377" s="268" t="s">
        <v>4884</v>
      </c>
      <c r="AB377" s="268"/>
      <c r="AC377" s="287">
        <v>1</v>
      </c>
      <c r="AD377" s="287">
        <v>1</v>
      </c>
      <c r="AE377" s="268"/>
      <c r="AF377" s="268"/>
      <c r="AG377" s="290"/>
    </row>
    <row r="378" spans="1:33" s="145" customFormat="1" x14ac:dyDescent="0.15">
      <c r="A378" s="270">
        <v>95201057</v>
      </c>
      <c r="B378" s="268" t="s">
        <v>5180</v>
      </c>
      <c r="C378" s="268" t="s">
        <v>5148</v>
      </c>
      <c r="D378" s="268">
        <v>7906</v>
      </c>
      <c r="E378" s="268" t="s">
        <v>4876</v>
      </c>
      <c r="F378" s="268" t="s">
        <v>4877</v>
      </c>
      <c r="G378" s="269">
        <v>6</v>
      </c>
      <c r="H378" s="269">
        <v>0</v>
      </c>
      <c r="I378" s="267">
        <v>34</v>
      </c>
      <c r="J378" s="282" t="s">
        <v>5181</v>
      </c>
      <c r="K378" s="279" t="s">
        <v>5182</v>
      </c>
      <c r="L378" s="279"/>
      <c r="M378" s="268">
        <v>1</v>
      </c>
      <c r="N378" s="268" t="b">
        <v>1</v>
      </c>
      <c r="O378" s="268">
        <v>3800</v>
      </c>
      <c r="P378" s="281">
        <v>57000</v>
      </c>
      <c r="Q378" s="281">
        <v>76000</v>
      </c>
      <c r="R378" s="268" t="s">
        <v>3383</v>
      </c>
      <c r="S378" s="268"/>
      <c r="T378" s="268">
        <v>1</v>
      </c>
      <c r="U378" s="268" t="s">
        <v>4880</v>
      </c>
      <c r="V378" s="269">
        <v>6</v>
      </c>
      <c r="W378" s="269"/>
      <c r="X378" s="268" t="s">
        <v>4881</v>
      </c>
      <c r="Y378" s="331" t="s">
        <v>5183</v>
      </c>
      <c r="Z378" s="332" t="s">
        <v>5184</v>
      </c>
      <c r="AA378" s="268" t="s">
        <v>4884</v>
      </c>
      <c r="AB378" s="268"/>
      <c r="AC378" s="287">
        <v>1</v>
      </c>
      <c r="AD378" s="287">
        <v>1</v>
      </c>
      <c r="AE378" s="268"/>
      <c r="AF378" s="268"/>
      <c r="AG378" s="290"/>
    </row>
    <row r="379" spans="1:33" s="258" customFormat="1" x14ac:dyDescent="0.15">
      <c r="A379" s="271">
        <v>95201058</v>
      </c>
      <c r="B379" s="272" t="s">
        <v>5185</v>
      </c>
      <c r="C379" s="272" t="s">
        <v>5148</v>
      </c>
      <c r="D379" s="272">
        <v>5081</v>
      </c>
      <c r="E379" s="272" t="s">
        <v>4876</v>
      </c>
      <c r="F379" s="272" t="s">
        <v>4877</v>
      </c>
      <c r="G379" s="269">
        <v>6</v>
      </c>
      <c r="H379" s="273">
        <v>0</v>
      </c>
      <c r="I379" s="283">
        <v>34</v>
      </c>
      <c r="J379" s="284" t="s">
        <v>5181</v>
      </c>
      <c r="K379" s="285" t="s">
        <v>5182</v>
      </c>
      <c r="L379" s="272" t="s">
        <v>44</v>
      </c>
      <c r="M379" s="272">
        <v>1</v>
      </c>
      <c r="N379" s="272" t="b">
        <v>1</v>
      </c>
      <c r="O379" s="272">
        <v>51</v>
      </c>
      <c r="P379" s="281">
        <v>765</v>
      </c>
      <c r="Q379" s="281">
        <v>1020</v>
      </c>
      <c r="R379" s="272" t="s">
        <v>3383</v>
      </c>
      <c r="S379" s="272"/>
      <c r="T379" s="272">
        <v>1</v>
      </c>
      <c r="U379" s="272" t="s">
        <v>4880</v>
      </c>
      <c r="V379" s="273">
        <v>10</v>
      </c>
      <c r="W379" s="273"/>
      <c r="X379" s="272" t="s">
        <v>4881</v>
      </c>
      <c r="Y379" s="333" t="s">
        <v>5183</v>
      </c>
      <c r="Z379" s="334" t="s">
        <v>5184</v>
      </c>
      <c r="AA379" s="272" t="s">
        <v>4884</v>
      </c>
      <c r="AB379" s="272"/>
      <c r="AC379" s="289">
        <v>1</v>
      </c>
      <c r="AD379" s="289">
        <v>1</v>
      </c>
      <c r="AE379" s="289"/>
      <c r="AF379" s="272"/>
      <c r="AG379" s="272"/>
    </row>
    <row r="380" spans="1:33" s="258" customFormat="1" x14ac:dyDescent="0.15">
      <c r="A380" s="271">
        <v>95201059</v>
      </c>
      <c r="B380" s="272" t="s">
        <v>5186</v>
      </c>
      <c r="C380" s="272" t="s">
        <v>5148</v>
      </c>
      <c r="D380" s="272">
        <v>5081</v>
      </c>
      <c r="E380" s="272" t="s">
        <v>4876</v>
      </c>
      <c r="F380" s="272" t="s">
        <v>4877</v>
      </c>
      <c r="G380" s="269">
        <v>6</v>
      </c>
      <c r="H380" s="273">
        <v>0</v>
      </c>
      <c r="I380" s="283">
        <v>34</v>
      </c>
      <c r="J380" s="284" t="s">
        <v>5181</v>
      </c>
      <c r="K380" s="285" t="s">
        <v>5182</v>
      </c>
      <c r="L380" s="272" t="s">
        <v>4887</v>
      </c>
      <c r="M380" s="272">
        <v>1</v>
      </c>
      <c r="N380" s="272" t="b">
        <v>1</v>
      </c>
      <c r="O380" s="272">
        <v>64</v>
      </c>
      <c r="P380" s="281">
        <v>960</v>
      </c>
      <c r="Q380" s="281">
        <v>1280</v>
      </c>
      <c r="R380" s="272" t="s">
        <v>3383</v>
      </c>
      <c r="S380" s="272"/>
      <c r="T380" s="272">
        <v>1</v>
      </c>
      <c r="U380" s="272" t="s">
        <v>4880</v>
      </c>
      <c r="V380" s="273">
        <v>10</v>
      </c>
      <c r="W380" s="273"/>
      <c r="X380" s="272" t="s">
        <v>4881</v>
      </c>
      <c r="Y380" s="333" t="s">
        <v>5183</v>
      </c>
      <c r="Z380" s="334" t="s">
        <v>5184</v>
      </c>
      <c r="AA380" s="272" t="s">
        <v>4884</v>
      </c>
      <c r="AB380" s="272"/>
      <c r="AC380" s="289">
        <v>1</v>
      </c>
      <c r="AD380" s="289">
        <v>1</v>
      </c>
      <c r="AE380" s="289"/>
      <c r="AF380" s="272"/>
      <c r="AG380" s="272"/>
    </row>
    <row r="381" spans="1:33" s="258" customFormat="1" x14ac:dyDescent="0.15">
      <c r="A381" s="271">
        <v>95201060</v>
      </c>
      <c r="B381" s="272" t="s">
        <v>5187</v>
      </c>
      <c r="C381" s="272" t="s">
        <v>5148</v>
      </c>
      <c r="D381" s="272">
        <v>5081</v>
      </c>
      <c r="E381" s="272" t="s">
        <v>4876</v>
      </c>
      <c r="F381" s="272" t="s">
        <v>4877</v>
      </c>
      <c r="G381" s="269">
        <v>7</v>
      </c>
      <c r="H381" s="273">
        <v>0</v>
      </c>
      <c r="I381" s="283">
        <v>34</v>
      </c>
      <c r="J381" s="284" t="s">
        <v>5181</v>
      </c>
      <c r="K381" s="285" t="s">
        <v>5182</v>
      </c>
      <c r="L381" s="272" t="s">
        <v>4889</v>
      </c>
      <c r="M381" s="272">
        <v>1</v>
      </c>
      <c r="N381" s="272" t="b">
        <v>1</v>
      </c>
      <c r="O381" s="272">
        <v>77</v>
      </c>
      <c r="P381" s="281">
        <v>1155</v>
      </c>
      <c r="Q381" s="281">
        <v>1540</v>
      </c>
      <c r="R381" s="272" t="s">
        <v>3383</v>
      </c>
      <c r="S381" s="272"/>
      <c r="T381" s="272">
        <v>1</v>
      </c>
      <c r="U381" s="272" t="s">
        <v>4880</v>
      </c>
      <c r="V381" s="273">
        <v>10</v>
      </c>
      <c r="W381" s="273"/>
      <c r="X381" s="272" t="s">
        <v>4881</v>
      </c>
      <c r="Y381" s="333" t="s">
        <v>5183</v>
      </c>
      <c r="Z381" s="334" t="s">
        <v>5184</v>
      </c>
      <c r="AA381" s="272" t="s">
        <v>4884</v>
      </c>
      <c r="AB381" s="272"/>
      <c r="AC381" s="289">
        <v>1</v>
      </c>
      <c r="AD381" s="289">
        <v>1</v>
      </c>
      <c r="AE381" s="289"/>
      <c r="AF381" s="272"/>
      <c r="AG381" s="272"/>
    </row>
    <row r="382" spans="1:33" s="145" customFormat="1" x14ac:dyDescent="0.15">
      <c r="A382" s="267">
        <v>95201061</v>
      </c>
      <c r="B382" s="268" t="s">
        <v>5188</v>
      </c>
      <c r="C382" s="293" t="s">
        <v>5148</v>
      </c>
      <c r="D382" s="293">
        <v>7906</v>
      </c>
      <c r="E382" s="268" t="s">
        <v>4876</v>
      </c>
      <c r="F382" s="268" t="s">
        <v>4877</v>
      </c>
      <c r="G382" s="269">
        <v>1</v>
      </c>
      <c r="H382" s="269">
        <v>0</v>
      </c>
      <c r="I382" s="267">
        <v>34</v>
      </c>
      <c r="J382" s="268" t="s">
        <v>5189</v>
      </c>
      <c r="K382" s="295" t="s">
        <v>5190</v>
      </c>
      <c r="L382" s="295"/>
      <c r="M382" s="268">
        <v>1</v>
      </c>
      <c r="N382" s="268" t="b">
        <v>1</v>
      </c>
      <c r="O382" s="268">
        <v>2</v>
      </c>
      <c r="P382" s="281">
        <v>30</v>
      </c>
      <c r="Q382" s="281">
        <v>40</v>
      </c>
      <c r="R382" s="268" t="s">
        <v>3383</v>
      </c>
      <c r="S382" s="268"/>
      <c r="T382" s="268">
        <v>1</v>
      </c>
      <c r="U382" s="268" t="s">
        <v>4880</v>
      </c>
      <c r="V382" s="269">
        <v>1</v>
      </c>
      <c r="W382" s="269"/>
      <c r="X382" s="268" t="s">
        <v>4881</v>
      </c>
      <c r="Y382" s="331" t="s">
        <v>5191</v>
      </c>
      <c r="Z382" s="332" t="s">
        <v>5192</v>
      </c>
      <c r="AA382" s="268" t="s">
        <v>4884</v>
      </c>
      <c r="AB382" s="268"/>
      <c r="AC382" s="287">
        <v>1</v>
      </c>
      <c r="AD382" s="287">
        <v>1</v>
      </c>
      <c r="AE382" s="268"/>
      <c r="AF382" s="268"/>
      <c r="AG382" s="290"/>
    </row>
    <row r="383" spans="1:33" s="145" customFormat="1" x14ac:dyDescent="0.15">
      <c r="A383" s="267">
        <v>95201062</v>
      </c>
      <c r="B383" s="268" t="s">
        <v>5188</v>
      </c>
      <c r="C383" s="293" t="s">
        <v>5148</v>
      </c>
      <c r="D383" s="293">
        <v>7906</v>
      </c>
      <c r="E383" s="268" t="s">
        <v>4876</v>
      </c>
      <c r="F383" s="268" t="s">
        <v>4877</v>
      </c>
      <c r="G383" s="269">
        <v>2</v>
      </c>
      <c r="H383" s="269">
        <v>0</v>
      </c>
      <c r="I383" s="267">
        <v>34</v>
      </c>
      <c r="J383" s="268" t="s">
        <v>5189</v>
      </c>
      <c r="K383" s="295" t="s">
        <v>5190</v>
      </c>
      <c r="L383" s="295"/>
      <c r="M383" s="268">
        <v>1</v>
      </c>
      <c r="N383" s="268" t="b">
        <v>1</v>
      </c>
      <c r="O383" s="268">
        <v>5</v>
      </c>
      <c r="P383" s="281">
        <v>75</v>
      </c>
      <c r="Q383" s="281">
        <v>100</v>
      </c>
      <c r="R383" s="268" t="s">
        <v>3383</v>
      </c>
      <c r="S383" s="268"/>
      <c r="T383" s="268">
        <v>1</v>
      </c>
      <c r="U383" s="268" t="s">
        <v>4880</v>
      </c>
      <c r="V383" s="269">
        <v>2</v>
      </c>
      <c r="W383" s="269"/>
      <c r="X383" s="268" t="s">
        <v>4881</v>
      </c>
      <c r="Y383" s="331" t="s">
        <v>5191</v>
      </c>
      <c r="Z383" s="332" t="s">
        <v>5192</v>
      </c>
      <c r="AA383" s="268" t="s">
        <v>4884</v>
      </c>
      <c r="AB383" s="268"/>
      <c r="AC383" s="287">
        <v>1</v>
      </c>
      <c r="AD383" s="287">
        <v>1</v>
      </c>
      <c r="AE383" s="268"/>
      <c r="AF383" s="268"/>
      <c r="AG383" s="290"/>
    </row>
    <row r="384" spans="1:33" s="145" customFormat="1" x14ac:dyDescent="0.15">
      <c r="A384" s="267">
        <v>95201063</v>
      </c>
      <c r="B384" s="268" t="s">
        <v>5188</v>
      </c>
      <c r="C384" s="293" t="s">
        <v>5148</v>
      </c>
      <c r="D384" s="293">
        <v>7906</v>
      </c>
      <c r="E384" s="268" t="s">
        <v>4876</v>
      </c>
      <c r="F384" s="268" t="s">
        <v>4877</v>
      </c>
      <c r="G384" s="269">
        <v>3</v>
      </c>
      <c r="H384" s="269">
        <v>0</v>
      </c>
      <c r="I384" s="267">
        <v>34</v>
      </c>
      <c r="J384" s="268" t="s">
        <v>5189</v>
      </c>
      <c r="K384" s="295" t="s">
        <v>5190</v>
      </c>
      <c r="L384" s="295"/>
      <c r="M384" s="268">
        <v>1</v>
      </c>
      <c r="N384" s="268" t="b">
        <v>1</v>
      </c>
      <c r="O384" s="268">
        <v>7</v>
      </c>
      <c r="P384" s="281">
        <v>105</v>
      </c>
      <c r="Q384" s="281">
        <v>140</v>
      </c>
      <c r="R384" s="268" t="s">
        <v>3383</v>
      </c>
      <c r="S384" s="268"/>
      <c r="T384" s="268">
        <v>1</v>
      </c>
      <c r="U384" s="268" t="s">
        <v>4880</v>
      </c>
      <c r="V384" s="269">
        <v>3</v>
      </c>
      <c r="W384" s="269"/>
      <c r="X384" s="268" t="s">
        <v>4881</v>
      </c>
      <c r="Y384" s="331" t="s">
        <v>5191</v>
      </c>
      <c r="Z384" s="332" t="s">
        <v>5192</v>
      </c>
      <c r="AA384" s="268" t="s">
        <v>4884</v>
      </c>
      <c r="AB384" s="268"/>
      <c r="AC384" s="287">
        <v>1</v>
      </c>
      <c r="AD384" s="287">
        <v>1</v>
      </c>
      <c r="AE384" s="268"/>
      <c r="AF384" s="268"/>
      <c r="AG384" s="290"/>
    </row>
    <row r="385" spans="1:33" s="145" customFormat="1" x14ac:dyDescent="0.15">
      <c r="A385" s="267">
        <v>95201064</v>
      </c>
      <c r="B385" s="268" t="s">
        <v>5188</v>
      </c>
      <c r="C385" s="293" t="s">
        <v>5148</v>
      </c>
      <c r="D385" s="293">
        <v>7906</v>
      </c>
      <c r="E385" s="268" t="s">
        <v>4876</v>
      </c>
      <c r="F385" s="268" t="s">
        <v>4877</v>
      </c>
      <c r="G385" s="269">
        <v>4</v>
      </c>
      <c r="H385" s="269">
        <v>0</v>
      </c>
      <c r="I385" s="267">
        <v>34</v>
      </c>
      <c r="J385" s="268" t="s">
        <v>5189</v>
      </c>
      <c r="K385" s="295" t="s">
        <v>5190</v>
      </c>
      <c r="L385" s="295"/>
      <c r="M385" s="268">
        <v>1</v>
      </c>
      <c r="N385" s="268" t="b">
        <v>1</v>
      </c>
      <c r="O385" s="268">
        <v>10</v>
      </c>
      <c r="P385" s="281">
        <v>150</v>
      </c>
      <c r="Q385" s="281">
        <v>200</v>
      </c>
      <c r="R385" s="268" t="s">
        <v>3383</v>
      </c>
      <c r="S385" s="268"/>
      <c r="T385" s="268">
        <v>1</v>
      </c>
      <c r="U385" s="268" t="s">
        <v>4880</v>
      </c>
      <c r="V385" s="269">
        <v>4</v>
      </c>
      <c r="W385" s="269"/>
      <c r="X385" s="268" t="s">
        <v>4881</v>
      </c>
      <c r="Y385" s="331" t="s">
        <v>5191</v>
      </c>
      <c r="Z385" s="332" t="s">
        <v>5192</v>
      </c>
      <c r="AA385" s="268" t="s">
        <v>4884</v>
      </c>
      <c r="AB385" s="268"/>
      <c r="AC385" s="287">
        <v>1</v>
      </c>
      <c r="AD385" s="287">
        <v>1</v>
      </c>
      <c r="AE385" s="268"/>
      <c r="AF385" s="268"/>
      <c r="AG385" s="290"/>
    </row>
    <row r="386" spans="1:33" s="145" customFormat="1" x14ac:dyDescent="0.15">
      <c r="A386" s="267">
        <v>95201065</v>
      </c>
      <c r="B386" s="268" t="s">
        <v>5188</v>
      </c>
      <c r="C386" s="293" t="s">
        <v>5148</v>
      </c>
      <c r="D386" s="293">
        <v>7906</v>
      </c>
      <c r="E386" s="268" t="s">
        <v>4876</v>
      </c>
      <c r="F386" s="268" t="s">
        <v>4877</v>
      </c>
      <c r="G386" s="269">
        <v>5</v>
      </c>
      <c r="H386" s="269">
        <v>0</v>
      </c>
      <c r="I386" s="267">
        <v>34</v>
      </c>
      <c r="J386" s="268" t="s">
        <v>5189</v>
      </c>
      <c r="K386" s="295" t="s">
        <v>5190</v>
      </c>
      <c r="L386" s="295"/>
      <c r="M386" s="268">
        <v>1</v>
      </c>
      <c r="N386" s="268" t="b">
        <v>1</v>
      </c>
      <c r="O386" s="268">
        <v>12</v>
      </c>
      <c r="P386" s="281">
        <v>180</v>
      </c>
      <c r="Q386" s="281">
        <v>240</v>
      </c>
      <c r="R386" s="268" t="s">
        <v>3383</v>
      </c>
      <c r="S386" s="268"/>
      <c r="T386" s="268">
        <v>1</v>
      </c>
      <c r="U386" s="268" t="s">
        <v>4880</v>
      </c>
      <c r="V386" s="269">
        <v>5</v>
      </c>
      <c r="W386" s="269"/>
      <c r="X386" s="268" t="s">
        <v>4881</v>
      </c>
      <c r="Y386" s="331" t="s">
        <v>5191</v>
      </c>
      <c r="Z386" s="332" t="s">
        <v>5192</v>
      </c>
      <c r="AA386" s="268" t="s">
        <v>4884</v>
      </c>
      <c r="AB386" s="268"/>
      <c r="AC386" s="287">
        <v>1</v>
      </c>
      <c r="AD386" s="287">
        <v>1</v>
      </c>
      <c r="AE386" s="268"/>
      <c r="AF386" s="268"/>
      <c r="AG386" s="290"/>
    </row>
    <row r="387" spans="1:33" s="145" customFormat="1" x14ac:dyDescent="0.15">
      <c r="A387" s="271">
        <v>95201066</v>
      </c>
      <c r="B387" s="272" t="s">
        <v>5188</v>
      </c>
      <c r="C387" s="272" t="s">
        <v>5148</v>
      </c>
      <c r="D387" s="272">
        <v>7906</v>
      </c>
      <c r="E387" s="272" t="s">
        <v>4876</v>
      </c>
      <c r="F387" s="272" t="s">
        <v>4877</v>
      </c>
      <c r="G387" s="294">
        <v>6</v>
      </c>
      <c r="H387" s="273">
        <v>0</v>
      </c>
      <c r="I387" s="283">
        <v>34</v>
      </c>
      <c r="J387" s="284" t="s">
        <v>5189</v>
      </c>
      <c r="K387" s="285" t="s">
        <v>5190</v>
      </c>
      <c r="L387" s="285"/>
      <c r="M387" s="272">
        <v>1</v>
      </c>
      <c r="N387" s="272" t="b">
        <v>1</v>
      </c>
      <c r="O387" s="272">
        <v>25</v>
      </c>
      <c r="P387" s="281">
        <v>375</v>
      </c>
      <c r="Q387" s="281">
        <v>500</v>
      </c>
      <c r="R387" s="272" t="s">
        <v>3383</v>
      </c>
      <c r="S387" s="272"/>
      <c r="T387" s="272">
        <v>1</v>
      </c>
      <c r="U387" s="272" t="s">
        <v>4880</v>
      </c>
      <c r="V387" s="273">
        <v>6</v>
      </c>
      <c r="W387" s="273"/>
      <c r="X387" s="272" t="s">
        <v>4881</v>
      </c>
      <c r="Y387" s="333" t="s">
        <v>5191</v>
      </c>
      <c r="Z387" s="334" t="s">
        <v>5192</v>
      </c>
      <c r="AA387" s="272" t="s">
        <v>4884</v>
      </c>
      <c r="AB387" s="272"/>
      <c r="AC387" s="289">
        <v>1</v>
      </c>
      <c r="AD387" s="289">
        <v>1</v>
      </c>
      <c r="AE387" s="272"/>
      <c r="AF387" s="272"/>
      <c r="AG387" s="296"/>
    </row>
    <row r="388" spans="1:33" s="145" customFormat="1" x14ac:dyDescent="0.15">
      <c r="A388" s="270">
        <v>95201067</v>
      </c>
      <c r="B388" s="268" t="s">
        <v>5188</v>
      </c>
      <c r="C388" s="268" t="s">
        <v>5148</v>
      </c>
      <c r="D388" s="268">
        <v>7906</v>
      </c>
      <c r="E388" s="268" t="s">
        <v>4876</v>
      </c>
      <c r="F388" s="268" t="s">
        <v>4877</v>
      </c>
      <c r="G388" s="269">
        <v>7</v>
      </c>
      <c r="H388" s="269">
        <v>0</v>
      </c>
      <c r="I388" s="267">
        <v>34</v>
      </c>
      <c r="J388" s="282" t="s">
        <v>5189</v>
      </c>
      <c r="K388" s="279" t="s">
        <v>5190</v>
      </c>
      <c r="L388" s="279"/>
      <c r="M388" s="268">
        <v>1</v>
      </c>
      <c r="N388" s="268" t="b">
        <v>1</v>
      </c>
      <c r="O388" s="268">
        <v>38</v>
      </c>
      <c r="P388" s="281">
        <v>570</v>
      </c>
      <c r="Q388" s="281">
        <v>760</v>
      </c>
      <c r="R388" s="268" t="s">
        <v>3383</v>
      </c>
      <c r="S388" s="268"/>
      <c r="T388" s="268">
        <v>1</v>
      </c>
      <c r="U388" s="268" t="s">
        <v>4880</v>
      </c>
      <c r="V388" s="269">
        <v>7</v>
      </c>
      <c r="W388" s="269"/>
      <c r="X388" s="268" t="s">
        <v>4881</v>
      </c>
      <c r="Y388" s="331" t="s">
        <v>5191</v>
      </c>
      <c r="Z388" s="332" t="s">
        <v>5192</v>
      </c>
      <c r="AA388" s="268" t="s">
        <v>4884</v>
      </c>
      <c r="AB388" s="268"/>
      <c r="AC388" s="287">
        <v>1</v>
      </c>
      <c r="AD388" s="287">
        <v>1</v>
      </c>
      <c r="AE388" s="268"/>
      <c r="AF388" s="268"/>
      <c r="AG388" s="290"/>
    </row>
    <row r="389" spans="1:33" s="258" customFormat="1" x14ac:dyDescent="0.15">
      <c r="A389" s="271">
        <v>95201068</v>
      </c>
      <c r="B389" s="272" t="s">
        <v>5193</v>
      </c>
      <c r="C389" s="272" t="s">
        <v>5148</v>
      </c>
      <c r="D389" s="272">
        <v>5081</v>
      </c>
      <c r="E389" s="272" t="s">
        <v>4876</v>
      </c>
      <c r="F389" s="272" t="s">
        <v>4877</v>
      </c>
      <c r="G389" s="269">
        <v>6</v>
      </c>
      <c r="H389" s="273">
        <v>0</v>
      </c>
      <c r="I389" s="283">
        <v>34</v>
      </c>
      <c r="J389" s="284" t="s">
        <v>5189</v>
      </c>
      <c r="K389" s="285" t="s">
        <v>5190</v>
      </c>
      <c r="L389" s="272" t="s">
        <v>44</v>
      </c>
      <c r="M389" s="272">
        <v>1</v>
      </c>
      <c r="N389" s="272" t="b">
        <v>1</v>
      </c>
      <c r="O389" s="272">
        <v>51</v>
      </c>
      <c r="P389" s="281">
        <v>765</v>
      </c>
      <c r="Q389" s="281">
        <v>1020</v>
      </c>
      <c r="R389" s="272" t="s">
        <v>3383</v>
      </c>
      <c r="S389" s="272"/>
      <c r="T389" s="272">
        <v>1</v>
      </c>
      <c r="U389" s="272" t="s">
        <v>4880</v>
      </c>
      <c r="V389" s="273">
        <v>10</v>
      </c>
      <c r="W389" s="273"/>
      <c r="X389" s="272" t="s">
        <v>4881</v>
      </c>
      <c r="Y389" s="333" t="s">
        <v>5191</v>
      </c>
      <c r="Z389" s="334" t="s">
        <v>5192</v>
      </c>
      <c r="AA389" s="272" t="s">
        <v>4884</v>
      </c>
      <c r="AB389" s="272"/>
      <c r="AC389" s="289">
        <v>1</v>
      </c>
      <c r="AD389" s="289">
        <v>1</v>
      </c>
      <c r="AE389" s="289"/>
      <c r="AF389" s="272"/>
      <c r="AG389" s="272"/>
    </row>
    <row r="390" spans="1:33" s="258" customFormat="1" x14ac:dyDescent="0.15">
      <c r="A390" s="271">
        <v>95201069</v>
      </c>
      <c r="B390" s="272" t="s">
        <v>5194</v>
      </c>
      <c r="C390" s="272" t="s">
        <v>5148</v>
      </c>
      <c r="D390" s="272">
        <v>5081</v>
      </c>
      <c r="E390" s="272" t="s">
        <v>4876</v>
      </c>
      <c r="F390" s="272" t="s">
        <v>4877</v>
      </c>
      <c r="G390" s="269">
        <v>6</v>
      </c>
      <c r="H390" s="273">
        <v>0</v>
      </c>
      <c r="I390" s="283">
        <v>34</v>
      </c>
      <c r="J390" s="284" t="s">
        <v>5189</v>
      </c>
      <c r="K390" s="285" t="s">
        <v>5190</v>
      </c>
      <c r="L390" s="272" t="s">
        <v>4887</v>
      </c>
      <c r="M390" s="272">
        <v>1</v>
      </c>
      <c r="N390" s="272" t="b">
        <v>1</v>
      </c>
      <c r="O390" s="272">
        <v>64</v>
      </c>
      <c r="P390" s="281">
        <v>960</v>
      </c>
      <c r="Q390" s="281">
        <v>1280</v>
      </c>
      <c r="R390" s="272" t="s">
        <v>3383</v>
      </c>
      <c r="S390" s="272"/>
      <c r="T390" s="272">
        <v>1</v>
      </c>
      <c r="U390" s="272" t="s">
        <v>4880</v>
      </c>
      <c r="V390" s="273">
        <v>10</v>
      </c>
      <c r="W390" s="273"/>
      <c r="X390" s="272" t="s">
        <v>4881</v>
      </c>
      <c r="Y390" s="333" t="s">
        <v>5191</v>
      </c>
      <c r="Z390" s="334" t="s">
        <v>5192</v>
      </c>
      <c r="AA390" s="272" t="s">
        <v>4884</v>
      </c>
      <c r="AB390" s="272"/>
      <c r="AC390" s="289">
        <v>1</v>
      </c>
      <c r="AD390" s="289">
        <v>1</v>
      </c>
      <c r="AE390" s="289"/>
      <c r="AF390" s="272"/>
      <c r="AG390" s="272"/>
    </row>
    <row r="391" spans="1:33" s="258" customFormat="1" x14ac:dyDescent="0.15">
      <c r="A391" s="271">
        <v>95201070</v>
      </c>
      <c r="B391" s="272" t="s">
        <v>5195</v>
      </c>
      <c r="C391" s="272" t="s">
        <v>5148</v>
      </c>
      <c r="D391" s="272">
        <v>5081</v>
      </c>
      <c r="E391" s="272" t="s">
        <v>4876</v>
      </c>
      <c r="F391" s="272" t="s">
        <v>4877</v>
      </c>
      <c r="G391" s="269">
        <v>7</v>
      </c>
      <c r="H391" s="273">
        <v>0</v>
      </c>
      <c r="I391" s="283">
        <v>34</v>
      </c>
      <c r="J391" s="284" t="s">
        <v>5189</v>
      </c>
      <c r="K391" s="285" t="s">
        <v>5190</v>
      </c>
      <c r="L391" s="272" t="s">
        <v>4889</v>
      </c>
      <c r="M391" s="272">
        <v>1</v>
      </c>
      <c r="N391" s="272" t="b">
        <v>1</v>
      </c>
      <c r="O391" s="272">
        <v>77</v>
      </c>
      <c r="P391" s="281">
        <v>1155</v>
      </c>
      <c r="Q391" s="281">
        <v>1540</v>
      </c>
      <c r="R391" s="272" t="s">
        <v>3383</v>
      </c>
      <c r="S391" s="272"/>
      <c r="T391" s="272">
        <v>1</v>
      </c>
      <c r="U391" s="272" t="s">
        <v>4880</v>
      </c>
      <c r="V391" s="273">
        <v>10</v>
      </c>
      <c r="W391" s="273"/>
      <c r="X391" s="272" t="s">
        <v>4881</v>
      </c>
      <c r="Y391" s="333" t="s">
        <v>5191</v>
      </c>
      <c r="Z391" s="334" t="s">
        <v>5192</v>
      </c>
      <c r="AA391" s="272" t="s">
        <v>4884</v>
      </c>
      <c r="AB391" s="272"/>
      <c r="AC391" s="289">
        <v>1</v>
      </c>
      <c r="AD391" s="289">
        <v>1</v>
      </c>
      <c r="AE391" s="289"/>
      <c r="AF391" s="272"/>
      <c r="AG391" s="272"/>
    </row>
    <row r="392" spans="1:33" s="145" customFormat="1" x14ac:dyDescent="0.15">
      <c r="A392" s="267">
        <v>95201071</v>
      </c>
      <c r="B392" s="268" t="s">
        <v>5196</v>
      </c>
      <c r="C392" s="293" t="s">
        <v>5148</v>
      </c>
      <c r="D392" s="293">
        <v>7906</v>
      </c>
      <c r="E392" s="268" t="s">
        <v>4876</v>
      </c>
      <c r="F392" s="268" t="s">
        <v>4877</v>
      </c>
      <c r="G392" s="269">
        <v>1</v>
      </c>
      <c r="H392" s="269">
        <v>0</v>
      </c>
      <c r="I392" s="267">
        <v>34</v>
      </c>
      <c r="J392" s="268" t="s">
        <v>5197</v>
      </c>
      <c r="K392" s="295" t="s">
        <v>5198</v>
      </c>
      <c r="L392" s="295"/>
      <c r="M392" s="268">
        <v>1</v>
      </c>
      <c r="N392" s="268" t="b">
        <v>1</v>
      </c>
      <c r="O392" s="268">
        <v>2</v>
      </c>
      <c r="P392" s="281">
        <v>30</v>
      </c>
      <c r="Q392" s="281">
        <v>40</v>
      </c>
      <c r="R392" s="268" t="s">
        <v>3383</v>
      </c>
      <c r="S392" s="268"/>
      <c r="T392" s="268">
        <v>1</v>
      </c>
      <c r="U392" s="268" t="s">
        <v>4880</v>
      </c>
      <c r="V392" s="269">
        <v>1</v>
      </c>
      <c r="W392" s="269"/>
      <c r="X392" s="268" t="s">
        <v>4881</v>
      </c>
      <c r="Y392" s="331" t="s">
        <v>5199</v>
      </c>
      <c r="Z392" s="332" t="s">
        <v>5200</v>
      </c>
      <c r="AA392" s="268" t="s">
        <v>4884</v>
      </c>
      <c r="AB392" s="268"/>
      <c r="AC392" s="287">
        <v>1</v>
      </c>
      <c r="AD392" s="287">
        <v>1</v>
      </c>
      <c r="AE392" s="268"/>
      <c r="AF392" s="268"/>
      <c r="AG392" s="290"/>
    </row>
    <row r="393" spans="1:33" s="145" customFormat="1" x14ac:dyDescent="0.15">
      <c r="A393" s="267">
        <v>95201072</v>
      </c>
      <c r="B393" s="268" t="s">
        <v>5196</v>
      </c>
      <c r="C393" s="293" t="s">
        <v>5148</v>
      </c>
      <c r="D393" s="293">
        <v>7906</v>
      </c>
      <c r="E393" s="268" t="s">
        <v>4876</v>
      </c>
      <c r="F393" s="268" t="s">
        <v>4877</v>
      </c>
      <c r="G393" s="269">
        <v>2</v>
      </c>
      <c r="H393" s="269">
        <v>0</v>
      </c>
      <c r="I393" s="267">
        <v>34</v>
      </c>
      <c r="J393" s="268" t="s">
        <v>5197</v>
      </c>
      <c r="K393" s="295" t="s">
        <v>5198</v>
      </c>
      <c r="L393" s="295"/>
      <c r="M393" s="268">
        <v>1</v>
      </c>
      <c r="N393" s="268" t="b">
        <v>1</v>
      </c>
      <c r="O393" s="268">
        <v>5</v>
      </c>
      <c r="P393" s="281">
        <v>75</v>
      </c>
      <c r="Q393" s="281">
        <v>100</v>
      </c>
      <c r="R393" s="268" t="s">
        <v>3383</v>
      </c>
      <c r="S393" s="268"/>
      <c r="T393" s="268">
        <v>1</v>
      </c>
      <c r="U393" s="268" t="s">
        <v>4880</v>
      </c>
      <c r="V393" s="269">
        <v>2</v>
      </c>
      <c r="W393" s="269"/>
      <c r="X393" s="268" t="s">
        <v>4881</v>
      </c>
      <c r="Y393" s="331" t="s">
        <v>5199</v>
      </c>
      <c r="Z393" s="332" t="s">
        <v>5200</v>
      </c>
      <c r="AA393" s="268" t="s">
        <v>4884</v>
      </c>
      <c r="AB393" s="268"/>
      <c r="AC393" s="287">
        <v>1</v>
      </c>
      <c r="AD393" s="287">
        <v>1</v>
      </c>
      <c r="AE393" s="268"/>
      <c r="AF393" s="268"/>
      <c r="AG393" s="290"/>
    </row>
    <row r="394" spans="1:33" s="145" customFormat="1" x14ac:dyDescent="0.15">
      <c r="A394" s="267">
        <v>95201073</v>
      </c>
      <c r="B394" s="268" t="s">
        <v>5196</v>
      </c>
      <c r="C394" s="293" t="s">
        <v>5148</v>
      </c>
      <c r="D394" s="293">
        <v>7906</v>
      </c>
      <c r="E394" s="268" t="s">
        <v>4876</v>
      </c>
      <c r="F394" s="268" t="s">
        <v>4877</v>
      </c>
      <c r="G394" s="269">
        <v>3</v>
      </c>
      <c r="H394" s="269">
        <v>0</v>
      </c>
      <c r="I394" s="267">
        <v>34</v>
      </c>
      <c r="J394" s="268" t="s">
        <v>5197</v>
      </c>
      <c r="K394" s="295" t="s">
        <v>5198</v>
      </c>
      <c r="L394" s="295"/>
      <c r="M394" s="268">
        <v>1</v>
      </c>
      <c r="N394" s="268" t="b">
        <v>1</v>
      </c>
      <c r="O394" s="268">
        <v>7</v>
      </c>
      <c r="P394" s="281">
        <v>105</v>
      </c>
      <c r="Q394" s="281">
        <v>140</v>
      </c>
      <c r="R394" s="268" t="s">
        <v>3383</v>
      </c>
      <c r="S394" s="268"/>
      <c r="T394" s="268">
        <v>1</v>
      </c>
      <c r="U394" s="268" t="s">
        <v>4880</v>
      </c>
      <c r="V394" s="269">
        <v>3</v>
      </c>
      <c r="W394" s="269"/>
      <c r="X394" s="268" t="s">
        <v>4881</v>
      </c>
      <c r="Y394" s="331" t="s">
        <v>5199</v>
      </c>
      <c r="Z394" s="332" t="s">
        <v>5200</v>
      </c>
      <c r="AA394" s="268" t="s">
        <v>4884</v>
      </c>
      <c r="AB394" s="268"/>
      <c r="AC394" s="287">
        <v>1</v>
      </c>
      <c r="AD394" s="287">
        <v>1</v>
      </c>
      <c r="AE394" s="268"/>
      <c r="AF394" s="268"/>
      <c r="AG394" s="290"/>
    </row>
    <row r="395" spans="1:33" s="145" customFormat="1" x14ac:dyDescent="0.15">
      <c r="A395" s="267">
        <v>95201074</v>
      </c>
      <c r="B395" s="268" t="s">
        <v>5196</v>
      </c>
      <c r="C395" s="293" t="s">
        <v>5148</v>
      </c>
      <c r="D395" s="293">
        <v>7906</v>
      </c>
      <c r="E395" s="268" t="s">
        <v>4876</v>
      </c>
      <c r="F395" s="268" t="s">
        <v>4877</v>
      </c>
      <c r="G395" s="269">
        <v>4</v>
      </c>
      <c r="H395" s="269">
        <v>0</v>
      </c>
      <c r="I395" s="267">
        <v>34</v>
      </c>
      <c r="J395" s="268" t="s">
        <v>5197</v>
      </c>
      <c r="K395" s="295" t="s">
        <v>5198</v>
      </c>
      <c r="L395" s="295"/>
      <c r="M395" s="268">
        <v>1</v>
      </c>
      <c r="N395" s="268" t="b">
        <v>1</v>
      </c>
      <c r="O395" s="268">
        <v>10</v>
      </c>
      <c r="P395" s="281">
        <v>150</v>
      </c>
      <c r="Q395" s="281">
        <v>200</v>
      </c>
      <c r="R395" s="268" t="s">
        <v>3383</v>
      </c>
      <c r="S395" s="268"/>
      <c r="T395" s="268">
        <v>1</v>
      </c>
      <c r="U395" s="268" t="s">
        <v>4880</v>
      </c>
      <c r="V395" s="269">
        <v>4</v>
      </c>
      <c r="W395" s="269"/>
      <c r="X395" s="268" t="s">
        <v>4881</v>
      </c>
      <c r="Y395" s="331" t="s">
        <v>5199</v>
      </c>
      <c r="Z395" s="332" t="s">
        <v>5200</v>
      </c>
      <c r="AA395" s="268" t="s">
        <v>4884</v>
      </c>
      <c r="AB395" s="268"/>
      <c r="AC395" s="287">
        <v>1</v>
      </c>
      <c r="AD395" s="287">
        <v>1</v>
      </c>
      <c r="AE395" s="268"/>
      <c r="AF395" s="268"/>
      <c r="AG395" s="290"/>
    </row>
    <row r="396" spans="1:33" s="145" customFormat="1" x14ac:dyDescent="0.15">
      <c r="A396" s="267">
        <v>95201075</v>
      </c>
      <c r="B396" s="268" t="s">
        <v>5196</v>
      </c>
      <c r="C396" s="293" t="s">
        <v>5148</v>
      </c>
      <c r="D396" s="293">
        <v>7906</v>
      </c>
      <c r="E396" s="268" t="s">
        <v>4876</v>
      </c>
      <c r="F396" s="268" t="s">
        <v>4877</v>
      </c>
      <c r="G396" s="269">
        <v>5</v>
      </c>
      <c r="H396" s="269">
        <v>0</v>
      </c>
      <c r="I396" s="267">
        <v>34</v>
      </c>
      <c r="J396" s="268" t="s">
        <v>5197</v>
      </c>
      <c r="K396" s="295" t="s">
        <v>5198</v>
      </c>
      <c r="L396" s="295"/>
      <c r="M396" s="268">
        <v>1</v>
      </c>
      <c r="N396" s="268" t="b">
        <v>1</v>
      </c>
      <c r="O396" s="268">
        <v>12</v>
      </c>
      <c r="P396" s="281">
        <v>180</v>
      </c>
      <c r="Q396" s="281">
        <v>240</v>
      </c>
      <c r="R396" s="268" t="s">
        <v>3383</v>
      </c>
      <c r="S396" s="268"/>
      <c r="T396" s="268">
        <v>1</v>
      </c>
      <c r="U396" s="268" t="s">
        <v>4880</v>
      </c>
      <c r="V396" s="269">
        <v>5</v>
      </c>
      <c r="W396" s="269"/>
      <c r="X396" s="268" t="s">
        <v>4881</v>
      </c>
      <c r="Y396" s="331" t="s">
        <v>5199</v>
      </c>
      <c r="Z396" s="332" t="s">
        <v>5200</v>
      </c>
      <c r="AA396" s="268" t="s">
        <v>4884</v>
      </c>
      <c r="AB396" s="268"/>
      <c r="AC396" s="287">
        <v>1</v>
      </c>
      <c r="AD396" s="287">
        <v>1</v>
      </c>
      <c r="AE396" s="268"/>
      <c r="AF396" s="268"/>
      <c r="AG396" s="290"/>
    </row>
    <row r="397" spans="1:33" s="145" customFormat="1" x14ac:dyDescent="0.15">
      <c r="A397" s="271">
        <v>95201076</v>
      </c>
      <c r="B397" s="272" t="s">
        <v>5196</v>
      </c>
      <c r="C397" s="272" t="s">
        <v>5148</v>
      </c>
      <c r="D397" s="272">
        <v>7906</v>
      </c>
      <c r="E397" s="272" t="s">
        <v>4876</v>
      </c>
      <c r="F397" s="272" t="s">
        <v>4877</v>
      </c>
      <c r="G397" s="294">
        <v>6</v>
      </c>
      <c r="H397" s="273">
        <v>0</v>
      </c>
      <c r="I397" s="283">
        <v>34</v>
      </c>
      <c r="J397" s="284" t="s">
        <v>5197</v>
      </c>
      <c r="K397" s="285" t="s">
        <v>5198</v>
      </c>
      <c r="L397" s="285"/>
      <c r="M397" s="272">
        <v>1</v>
      </c>
      <c r="N397" s="272" t="b">
        <v>1</v>
      </c>
      <c r="O397" s="272">
        <v>25</v>
      </c>
      <c r="P397" s="281">
        <v>375</v>
      </c>
      <c r="Q397" s="281">
        <v>500</v>
      </c>
      <c r="R397" s="272" t="s">
        <v>3383</v>
      </c>
      <c r="S397" s="272"/>
      <c r="T397" s="272">
        <v>1</v>
      </c>
      <c r="U397" s="272" t="s">
        <v>4880</v>
      </c>
      <c r="V397" s="273">
        <v>6</v>
      </c>
      <c r="W397" s="273"/>
      <c r="X397" s="272" t="s">
        <v>4881</v>
      </c>
      <c r="Y397" s="333" t="s">
        <v>5199</v>
      </c>
      <c r="Z397" s="334" t="s">
        <v>5200</v>
      </c>
      <c r="AA397" s="272" t="s">
        <v>4884</v>
      </c>
      <c r="AB397" s="272"/>
      <c r="AC397" s="289">
        <v>1</v>
      </c>
      <c r="AD397" s="289">
        <v>1</v>
      </c>
      <c r="AE397" s="272"/>
      <c r="AF397" s="272"/>
      <c r="AG397" s="296"/>
    </row>
    <row r="398" spans="1:33" s="145" customFormat="1" x14ac:dyDescent="0.15">
      <c r="A398" s="270">
        <v>95201077</v>
      </c>
      <c r="B398" s="268" t="s">
        <v>5196</v>
      </c>
      <c r="C398" s="268" t="s">
        <v>5148</v>
      </c>
      <c r="D398" s="268">
        <v>7906</v>
      </c>
      <c r="E398" s="268" t="s">
        <v>4876</v>
      </c>
      <c r="F398" s="268" t="s">
        <v>4877</v>
      </c>
      <c r="G398" s="269">
        <v>7</v>
      </c>
      <c r="H398" s="269">
        <v>0</v>
      </c>
      <c r="I398" s="267">
        <v>34</v>
      </c>
      <c r="J398" s="282" t="s">
        <v>5197</v>
      </c>
      <c r="K398" s="279" t="s">
        <v>5198</v>
      </c>
      <c r="L398" s="279"/>
      <c r="M398" s="268">
        <v>1</v>
      </c>
      <c r="N398" s="268" t="b">
        <v>1</v>
      </c>
      <c r="O398" s="268">
        <v>38</v>
      </c>
      <c r="P398" s="281">
        <v>570</v>
      </c>
      <c r="Q398" s="281">
        <v>760</v>
      </c>
      <c r="R398" s="268" t="s">
        <v>3383</v>
      </c>
      <c r="S398" s="268"/>
      <c r="T398" s="268">
        <v>1</v>
      </c>
      <c r="U398" s="268" t="s">
        <v>4880</v>
      </c>
      <c r="V398" s="269">
        <v>7</v>
      </c>
      <c r="W398" s="269"/>
      <c r="X398" s="268" t="s">
        <v>4881</v>
      </c>
      <c r="Y398" s="331" t="s">
        <v>5199</v>
      </c>
      <c r="Z398" s="332" t="s">
        <v>5200</v>
      </c>
      <c r="AA398" s="268" t="s">
        <v>4884</v>
      </c>
      <c r="AB398" s="268"/>
      <c r="AC398" s="287">
        <v>1</v>
      </c>
      <c r="AD398" s="287">
        <v>1</v>
      </c>
      <c r="AE398" s="268"/>
      <c r="AF398" s="268"/>
      <c r="AG398" s="290"/>
    </row>
    <row r="399" spans="1:33" s="258" customFormat="1" x14ac:dyDescent="0.15">
      <c r="A399" s="271">
        <v>95201078</v>
      </c>
      <c r="B399" s="272" t="s">
        <v>5201</v>
      </c>
      <c r="C399" s="272" t="s">
        <v>5148</v>
      </c>
      <c r="D399" s="272">
        <v>5081</v>
      </c>
      <c r="E399" s="272" t="s">
        <v>4876</v>
      </c>
      <c r="F399" s="272" t="s">
        <v>4877</v>
      </c>
      <c r="G399" s="269">
        <v>6</v>
      </c>
      <c r="H399" s="273">
        <v>0</v>
      </c>
      <c r="I399" s="283">
        <v>34</v>
      </c>
      <c r="J399" s="284" t="s">
        <v>5197</v>
      </c>
      <c r="K399" s="285" t="s">
        <v>5198</v>
      </c>
      <c r="L399" s="272" t="s">
        <v>44</v>
      </c>
      <c r="M399" s="272">
        <v>1</v>
      </c>
      <c r="N399" s="272" t="b">
        <v>1</v>
      </c>
      <c r="O399" s="272">
        <v>51</v>
      </c>
      <c r="P399" s="281">
        <v>765</v>
      </c>
      <c r="Q399" s="281">
        <v>1020</v>
      </c>
      <c r="R399" s="272" t="s">
        <v>3383</v>
      </c>
      <c r="S399" s="272"/>
      <c r="T399" s="272">
        <v>1</v>
      </c>
      <c r="U399" s="272" t="s">
        <v>4880</v>
      </c>
      <c r="V399" s="273">
        <v>10</v>
      </c>
      <c r="W399" s="273"/>
      <c r="X399" s="272" t="s">
        <v>4881</v>
      </c>
      <c r="Y399" s="333" t="s">
        <v>5199</v>
      </c>
      <c r="Z399" s="334" t="s">
        <v>5200</v>
      </c>
      <c r="AA399" s="272" t="s">
        <v>4884</v>
      </c>
      <c r="AB399" s="272"/>
      <c r="AC399" s="289">
        <v>1</v>
      </c>
      <c r="AD399" s="289">
        <v>1</v>
      </c>
      <c r="AE399" s="289"/>
      <c r="AF399" s="272"/>
      <c r="AG399" s="272"/>
    </row>
    <row r="400" spans="1:33" s="258" customFormat="1" x14ac:dyDescent="0.15">
      <c r="A400" s="271">
        <v>95201079</v>
      </c>
      <c r="B400" s="272" t="s">
        <v>5202</v>
      </c>
      <c r="C400" s="272" t="s">
        <v>5148</v>
      </c>
      <c r="D400" s="272">
        <v>5081</v>
      </c>
      <c r="E400" s="272" t="s">
        <v>4876</v>
      </c>
      <c r="F400" s="272" t="s">
        <v>4877</v>
      </c>
      <c r="G400" s="269">
        <v>6</v>
      </c>
      <c r="H400" s="273">
        <v>0</v>
      </c>
      <c r="I400" s="283">
        <v>34</v>
      </c>
      <c r="J400" s="284" t="s">
        <v>5197</v>
      </c>
      <c r="K400" s="285" t="s">
        <v>5198</v>
      </c>
      <c r="L400" s="272" t="s">
        <v>4887</v>
      </c>
      <c r="M400" s="272">
        <v>1</v>
      </c>
      <c r="N400" s="272" t="b">
        <v>1</v>
      </c>
      <c r="O400" s="272">
        <v>64</v>
      </c>
      <c r="P400" s="281">
        <v>960</v>
      </c>
      <c r="Q400" s="281">
        <v>1280</v>
      </c>
      <c r="R400" s="272" t="s">
        <v>3383</v>
      </c>
      <c r="S400" s="272"/>
      <c r="T400" s="272">
        <v>1</v>
      </c>
      <c r="U400" s="272" t="s">
        <v>4880</v>
      </c>
      <c r="V400" s="273">
        <v>10</v>
      </c>
      <c r="W400" s="273"/>
      <c r="X400" s="272" t="s">
        <v>4881</v>
      </c>
      <c r="Y400" s="333" t="s">
        <v>5199</v>
      </c>
      <c r="Z400" s="334" t="s">
        <v>5200</v>
      </c>
      <c r="AA400" s="272" t="s">
        <v>4884</v>
      </c>
      <c r="AB400" s="272"/>
      <c r="AC400" s="289">
        <v>1</v>
      </c>
      <c r="AD400" s="289">
        <v>1</v>
      </c>
      <c r="AE400" s="289"/>
      <c r="AF400" s="272"/>
      <c r="AG400" s="272"/>
    </row>
    <row r="401" spans="1:33" s="258" customFormat="1" x14ac:dyDescent="0.15">
      <c r="A401" s="271">
        <v>95201080</v>
      </c>
      <c r="B401" s="272" t="s">
        <v>5203</v>
      </c>
      <c r="C401" s="272" t="s">
        <v>5148</v>
      </c>
      <c r="D401" s="272">
        <v>5081</v>
      </c>
      <c r="E401" s="272" t="s">
        <v>4876</v>
      </c>
      <c r="F401" s="272" t="s">
        <v>4877</v>
      </c>
      <c r="G401" s="269">
        <v>7</v>
      </c>
      <c r="H401" s="273">
        <v>0</v>
      </c>
      <c r="I401" s="283">
        <v>34</v>
      </c>
      <c r="J401" s="284" t="s">
        <v>5197</v>
      </c>
      <c r="K401" s="285" t="s">
        <v>5198</v>
      </c>
      <c r="L401" s="272" t="s">
        <v>4889</v>
      </c>
      <c r="M401" s="272">
        <v>1</v>
      </c>
      <c r="N401" s="272" t="b">
        <v>1</v>
      </c>
      <c r="O401" s="272">
        <v>77</v>
      </c>
      <c r="P401" s="281">
        <v>1155</v>
      </c>
      <c r="Q401" s="281">
        <v>1540</v>
      </c>
      <c r="R401" s="272" t="s">
        <v>3383</v>
      </c>
      <c r="S401" s="272"/>
      <c r="T401" s="272">
        <v>1</v>
      </c>
      <c r="U401" s="272" t="s">
        <v>4880</v>
      </c>
      <c r="V401" s="273">
        <v>10</v>
      </c>
      <c r="W401" s="273"/>
      <c r="X401" s="272" t="s">
        <v>4881</v>
      </c>
      <c r="Y401" s="333" t="s">
        <v>5199</v>
      </c>
      <c r="Z401" s="334" t="s">
        <v>5200</v>
      </c>
      <c r="AA401" s="272" t="s">
        <v>4884</v>
      </c>
      <c r="AB401" s="272"/>
      <c r="AC401" s="289">
        <v>1</v>
      </c>
      <c r="AD401" s="289">
        <v>1</v>
      </c>
      <c r="AE401" s="289"/>
      <c r="AF401" s="272"/>
      <c r="AG401" s="272"/>
    </row>
    <row r="402" spans="1:33" s="145" customFormat="1" x14ac:dyDescent="0.15">
      <c r="A402" s="267">
        <v>95201081</v>
      </c>
      <c r="B402" s="268" t="s">
        <v>5204</v>
      </c>
      <c r="C402" s="293" t="s">
        <v>5148</v>
      </c>
      <c r="D402" s="293">
        <v>7906</v>
      </c>
      <c r="E402" s="268" t="s">
        <v>4876</v>
      </c>
      <c r="F402" s="268" t="s">
        <v>4877</v>
      </c>
      <c r="G402" s="269">
        <v>1</v>
      </c>
      <c r="H402" s="269">
        <v>0</v>
      </c>
      <c r="I402" s="267">
        <v>34</v>
      </c>
      <c r="J402" s="268" t="s">
        <v>5205</v>
      </c>
      <c r="K402" s="295" t="s">
        <v>5206</v>
      </c>
      <c r="L402" s="295"/>
      <c r="M402" s="268">
        <v>1</v>
      </c>
      <c r="N402" s="268" t="b">
        <v>1</v>
      </c>
      <c r="O402" s="268">
        <v>200</v>
      </c>
      <c r="P402" s="281">
        <v>3000</v>
      </c>
      <c r="Q402" s="281">
        <v>4000</v>
      </c>
      <c r="R402" s="268" t="s">
        <v>3383</v>
      </c>
      <c r="S402" s="268"/>
      <c r="T402" s="268">
        <v>1</v>
      </c>
      <c r="U402" s="268" t="s">
        <v>4880</v>
      </c>
      <c r="V402" s="269">
        <v>1</v>
      </c>
      <c r="W402" s="269"/>
      <c r="X402" s="268" t="s">
        <v>4881</v>
      </c>
      <c r="Y402" s="331" t="s">
        <v>5207</v>
      </c>
      <c r="Z402" s="332" t="s">
        <v>5208</v>
      </c>
      <c r="AA402" s="268" t="s">
        <v>4884</v>
      </c>
      <c r="AB402" s="268"/>
      <c r="AC402" s="287">
        <v>1</v>
      </c>
      <c r="AD402" s="287">
        <v>1</v>
      </c>
      <c r="AE402" s="268"/>
      <c r="AF402" s="268"/>
      <c r="AG402" s="290"/>
    </row>
    <row r="403" spans="1:33" s="145" customFormat="1" x14ac:dyDescent="0.15">
      <c r="A403" s="267">
        <v>95201082</v>
      </c>
      <c r="B403" s="268" t="s">
        <v>5204</v>
      </c>
      <c r="C403" s="293" t="s">
        <v>5148</v>
      </c>
      <c r="D403" s="293">
        <v>7906</v>
      </c>
      <c r="E403" s="268" t="s">
        <v>4876</v>
      </c>
      <c r="F403" s="268" t="s">
        <v>4877</v>
      </c>
      <c r="G403" s="269">
        <v>2</v>
      </c>
      <c r="H403" s="269">
        <v>0</v>
      </c>
      <c r="I403" s="267">
        <v>34</v>
      </c>
      <c r="J403" s="268" t="s">
        <v>5205</v>
      </c>
      <c r="K403" s="295" t="s">
        <v>5206</v>
      </c>
      <c r="L403" s="295"/>
      <c r="M403" s="268">
        <v>1</v>
      </c>
      <c r="N403" s="268" t="b">
        <v>1</v>
      </c>
      <c r="O403" s="268">
        <v>500</v>
      </c>
      <c r="P403" s="281">
        <v>7500</v>
      </c>
      <c r="Q403" s="281">
        <v>10000</v>
      </c>
      <c r="R403" s="268" t="s">
        <v>3383</v>
      </c>
      <c r="S403" s="268"/>
      <c r="T403" s="268">
        <v>1</v>
      </c>
      <c r="U403" s="268" t="s">
        <v>4880</v>
      </c>
      <c r="V403" s="269">
        <v>2</v>
      </c>
      <c r="W403" s="269"/>
      <c r="X403" s="268" t="s">
        <v>4881</v>
      </c>
      <c r="Y403" s="331" t="s">
        <v>5207</v>
      </c>
      <c r="Z403" s="332" t="s">
        <v>5208</v>
      </c>
      <c r="AA403" s="268" t="s">
        <v>4884</v>
      </c>
      <c r="AB403" s="268"/>
      <c r="AC403" s="287">
        <v>1</v>
      </c>
      <c r="AD403" s="287">
        <v>1</v>
      </c>
      <c r="AE403" s="268"/>
      <c r="AF403" s="268"/>
      <c r="AG403" s="290"/>
    </row>
    <row r="404" spans="1:33" s="145" customFormat="1" x14ac:dyDescent="0.15">
      <c r="A404" s="267">
        <v>95201083</v>
      </c>
      <c r="B404" s="268" t="s">
        <v>5204</v>
      </c>
      <c r="C404" s="293" t="s">
        <v>5148</v>
      </c>
      <c r="D404" s="293">
        <v>7906</v>
      </c>
      <c r="E404" s="268" t="s">
        <v>4876</v>
      </c>
      <c r="F404" s="268" t="s">
        <v>4877</v>
      </c>
      <c r="G404" s="269">
        <v>3</v>
      </c>
      <c r="H404" s="269">
        <v>0</v>
      </c>
      <c r="I404" s="267">
        <v>34</v>
      </c>
      <c r="J404" s="268" t="s">
        <v>5205</v>
      </c>
      <c r="K404" s="295" t="s">
        <v>5206</v>
      </c>
      <c r="L404" s="295"/>
      <c r="M404" s="268">
        <v>1</v>
      </c>
      <c r="N404" s="268" t="b">
        <v>1</v>
      </c>
      <c r="O404" s="268">
        <v>700</v>
      </c>
      <c r="P404" s="281">
        <v>10500</v>
      </c>
      <c r="Q404" s="281">
        <v>14000</v>
      </c>
      <c r="R404" s="268" t="s">
        <v>3383</v>
      </c>
      <c r="S404" s="268"/>
      <c r="T404" s="268">
        <v>1</v>
      </c>
      <c r="U404" s="268" t="s">
        <v>4880</v>
      </c>
      <c r="V404" s="269">
        <v>3</v>
      </c>
      <c r="W404" s="269"/>
      <c r="X404" s="268" t="s">
        <v>4881</v>
      </c>
      <c r="Y404" s="331" t="s">
        <v>5207</v>
      </c>
      <c r="Z404" s="332" t="s">
        <v>5208</v>
      </c>
      <c r="AA404" s="268" t="s">
        <v>4884</v>
      </c>
      <c r="AB404" s="268"/>
      <c r="AC404" s="287">
        <v>1</v>
      </c>
      <c r="AD404" s="287">
        <v>1</v>
      </c>
      <c r="AE404" s="268"/>
      <c r="AF404" s="268"/>
      <c r="AG404" s="290"/>
    </row>
    <row r="405" spans="1:33" s="145" customFormat="1" x14ac:dyDescent="0.15">
      <c r="A405" s="267">
        <v>95201084</v>
      </c>
      <c r="B405" s="268" t="s">
        <v>5204</v>
      </c>
      <c r="C405" s="293" t="s">
        <v>5148</v>
      </c>
      <c r="D405" s="293">
        <v>7906</v>
      </c>
      <c r="E405" s="268" t="s">
        <v>4876</v>
      </c>
      <c r="F405" s="268" t="s">
        <v>4877</v>
      </c>
      <c r="G405" s="269">
        <v>4</v>
      </c>
      <c r="H405" s="269">
        <v>0</v>
      </c>
      <c r="I405" s="267">
        <v>34</v>
      </c>
      <c r="J405" s="268" t="s">
        <v>5205</v>
      </c>
      <c r="K405" s="295" t="s">
        <v>5206</v>
      </c>
      <c r="L405" s="295"/>
      <c r="M405" s="268">
        <v>1</v>
      </c>
      <c r="N405" s="268" t="b">
        <v>1</v>
      </c>
      <c r="O405" s="268">
        <v>1000</v>
      </c>
      <c r="P405" s="281">
        <v>15000</v>
      </c>
      <c r="Q405" s="281">
        <v>20000</v>
      </c>
      <c r="R405" s="268" t="s">
        <v>3383</v>
      </c>
      <c r="S405" s="268"/>
      <c r="T405" s="268">
        <v>1</v>
      </c>
      <c r="U405" s="268" t="s">
        <v>4880</v>
      </c>
      <c r="V405" s="269">
        <v>4</v>
      </c>
      <c r="W405" s="269"/>
      <c r="X405" s="268" t="s">
        <v>4881</v>
      </c>
      <c r="Y405" s="331" t="s">
        <v>5207</v>
      </c>
      <c r="Z405" s="332" t="s">
        <v>5208</v>
      </c>
      <c r="AA405" s="268" t="s">
        <v>4884</v>
      </c>
      <c r="AB405" s="268"/>
      <c r="AC405" s="287">
        <v>1</v>
      </c>
      <c r="AD405" s="287">
        <v>1</v>
      </c>
      <c r="AE405" s="268"/>
      <c r="AF405" s="268"/>
      <c r="AG405" s="290"/>
    </row>
    <row r="406" spans="1:33" s="145" customFormat="1" x14ac:dyDescent="0.15">
      <c r="A406" s="267">
        <v>95201085</v>
      </c>
      <c r="B406" s="268" t="s">
        <v>5204</v>
      </c>
      <c r="C406" s="293" t="s">
        <v>5148</v>
      </c>
      <c r="D406" s="293">
        <v>7906</v>
      </c>
      <c r="E406" s="268" t="s">
        <v>4876</v>
      </c>
      <c r="F406" s="268" t="s">
        <v>4877</v>
      </c>
      <c r="G406" s="269">
        <v>5</v>
      </c>
      <c r="H406" s="269">
        <v>0</v>
      </c>
      <c r="I406" s="267">
        <v>34</v>
      </c>
      <c r="J406" s="268" t="s">
        <v>5205</v>
      </c>
      <c r="K406" s="295" t="s">
        <v>5206</v>
      </c>
      <c r="L406" s="295"/>
      <c r="M406" s="268">
        <v>1</v>
      </c>
      <c r="N406" s="268" t="b">
        <v>1</v>
      </c>
      <c r="O406" s="268">
        <v>1200</v>
      </c>
      <c r="P406" s="281">
        <v>18000</v>
      </c>
      <c r="Q406" s="281">
        <v>24000</v>
      </c>
      <c r="R406" s="268" t="s">
        <v>3383</v>
      </c>
      <c r="S406" s="268"/>
      <c r="T406" s="268">
        <v>1</v>
      </c>
      <c r="U406" s="268" t="s">
        <v>4880</v>
      </c>
      <c r="V406" s="269">
        <v>5</v>
      </c>
      <c r="W406" s="269"/>
      <c r="X406" s="268" t="s">
        <v>4881</v>
      </c>
      <c r="Y406" s="331" t="s">
        <v>5207</v>
      </c>
      <c r="Z406" s="332" t="s">
        <v>5208</v>
      </c>
      <c r="AA406" s="268" t="s">
        <v>4884</v>
      </c>
      <c r="AB406" s="268"/>
      <c r="AC406" s="287">
        <v>1</v>
      </c>
      <c r="AD406" s="287">
        <v>1</v>
      </c>
      <c r="AE406" s="268"/>
      <c r="AF406" s="268"/>
      <c r="AG406" s="290"/>
    </row>
    <row r="407" spans="1:33" s="145" customFormat="1" x14ac:dyDescent="0.15">
      <c r="A407" s="270">
        <v>95201086</v>
      </c>
      <c r="B407" s="268" t="s">
        <v>5204</v>
      </c>
      <c r="C407" s="268" t="s">
        <v>5148</v>
      </c>
      <c r="D407" s="268">
        <v>7906</v>
      </c>
      <c r="E407" s="268" t="s">
        <v>4876</v>
      </c>
      <c r="F407" s="268" t="s">
        <v>4877</v>
      </c>
      <c r="G407" s="269">
        <v>7</v>
      </c>
      <c r="H407" s="269">
        <v>0</v>
      </c>
      <c r="I407" s="267">
        <v>34</v>
      </c>
      <c r="J407" s="282" t="s">
        <v>5205</v>
      </c>
      <c r="K407" s="279" t="s">
        <v>5206</v>
      </c>
      <c r="L407" s="279"/>
      <c r="M407" s="268">
        <v>1</v>
      </c>
      <c r="N407" s="268" t="b">
        <v>1</v>
      </c>
      <c r="O407" s="268">
        <v>2500</v>
      </c>
      <c r="P407" s="281">
        <v>37500</v>
      </c>
      <c r="Q407" s="281">
        <v>50000</v>
      </c>
      <c r="R407" s="268" t="s">
        <v>3383</v>
      </c>
      <c r="S407" s="268"/>
      <c r="T407" s="268">
        <v>1</v>
      </c>
      <c r="U407" s="268" t="s">
        <v>4880</v>
      </c>
      <c r="V407" s="269">
        <v>7</v>
      </c>
      <c r="W407" s="269"/>
      <c r="X407" s="268" t="s">
        <v>4881</v>
      </c>
      <c r="Y407" s="331" t="s">
        <v>5207</v>
      </c>
      <c r="Z407" s="332" t="s">
        <v>5208</v>
      </c>
      <c r="AA407" s="268" t="s">
        <v>4884</v>
      </c>
      <c r="AB407" s="268"/>
      <c r="AC407" s="287">
        <v>1</v>
      </c>
      <c r="AD407" s="287">
        <v>1</v>
      </c>
      <c r="AE407" s="268"/>
      <c r="AF407" s="268"/>
      <c r="AG407" s="290"/>
    </row>
    <row r="408" spans="1:33" s="145" customFormat="1" x14ac:dyDescent="0.15">
      <c r="A408" s="270">
        <v>95201087</v>
      </c>
      <c r="B408" s="268" t="s">
        <v>5204</v>
      </c>
      <c r="C408" s="268" t="s">
        <v>5148</v>
      </c>
      <c r="D408" s="268">
        <v>7906</v>
      </c>
      <c r="E408" s="268" t="s">
        <v>4876</v>
      </c>
      <c r="F408" s="268" t="s">
        <v>4877</v>
      </c>
      <c r="G408" s="269">
        <v>6</v>
      </c>
      <c r="H408" s="269">
        <v>0</v>
      </c>
      <c r="I408" s="267">
        <v>34</v>
      </c>
      <c r="J408" s="282" t="s">
        <v>5205</v>
      </c>
      <c r="K408" s="279" t="s">
        <v>5206</v>
      </c>
      <c r="L408" s="279"/>
      <c r="M408" s="268">
        <v>1</v>
      </c>
      <c r="N408" s="268" t="b">
        <v>1</v>
      </c>
      <c r="O408" s="268">
        <v>3800</v>
      </c>
      <c r="P408" s="281">
        <v>57000</v>
      </c>
      <c r="Q408" s="281">
        <v>76000</v>
      </c>
      <c r="R408" s="268" t="s">
        <v>3383</v>
      </c>
      <c r="S408" s="268"/>
      <c r="T408" s="268">
        <v>1</v>
      </c>
      <c r="U408" s="268" t="s">
        <v>4880</v>
      </c>
      <c r="V408" s="269">
        <v>6</v>
      </c>
      <c r="W408" s="269"/>
      <c r="X408" s="268" t="s">
        <v>4881</v>
      </c>
      <c r="Y408" s="331" t="s">
        <v>5207</v>
      </c>
      <c r="Z408" s="332" t="s">
        <v>5208</v>
      </c>
      <c r="AA408" s="268" t="s">
        <v>4884</v>
      </c>
      <c r="AB408" s="268"/>
      <c r="AC408" s="287">
        <v>1</v>
      </c>
      <c r="AD408" s="287">
        <v>1</v>
      </c>
      <c r="AE408" s="268"/>
      <c r="AF408" s="268"/>
      <c r="AG408" s="290"/>
    </row>
    <row r="409" spans="1:33" s="258" customFormat="1" x14ac:dyDescent="0.15">
      <c r="A409" s="271">
        <v>95201088</v>
      </c>
      <c r="B409" s="272" t="s">
        <v>5209</v>
      </c>
      <c r="C409" s="272" t="s">
        <v>5148</v>
      </c>
      <c r="D409" s="272">
        <v>5081</v>
      </c>
      <c r="E409" s="272" t="s">
        <v>4876</v>
      </c>
      <c r="F409" s="272" t="s">
        <v>4877</v>
      </c>
      <c r="G409" s="269">
        <v>6</v>
      </c>
      <c r="H409" s="273">
        <v>0</v>
      </c>
      <c r="I409" s="283">
        <v>34</v>
      </c>
      <c r="J409" s="284" t="s">
        <v>5205</v>
      </c>
      <c r="K409" s="285" t="s">
        <v>5206</v>
      </c>
      <c r="L409" s="272" t="s">
        <v>44</v>
      </c>
      <c r="M409" s="272">
        <v>1</v>
      </c>
      <c r="N409" s="272" t="b">
        <v>1</v>
      </c>
      <c r="O409" s="272">
        <v>51</v>
      </c>
      <c r="P409" s="281">
        <v>765</v>
      </c>
      <c r="Q409" s="281">
        <v>1020</v>
      </c>
      <c r="R409" s="272" t="s">
        <v>3383</v>
      </c>
      <c r="S409" s="272"/>
      <c r="T409" s="272">
        <v>1</v>
      </c>
      <c r="U409" s="272" t="s">
        <v>4880</v>
      </c>
      <c r="V409" s="273">
        <v>10</v>
      </c>
      <c r="W409" s="273"/>
      <c r="X409" s="272" t="s">
        <v>4881</v>
      </c>
      <c r="Y409" s="333" t="s">
        <v>5207</v>
      </c>
      <c r="Z409" s="334" t="s">
        <v>5208</v>
      </c>
      <c r="AA409" s="272" t="s">
        <v>4884</v>
      </c>
      <c r="AB409" s="272"/>
      <c r="AC409" s="289">
        <v>1</v>
      </c>
      <c r="AD409" s="289">
        <v>1</v>
      </c>
      <c r="AE409" s="289"/>
      <c r="AF409" s="272"/>
      <c r="AG409" s="272"/>
    </row>
    <row r="410" spans="1:33" s="258" customFormat="1" x14ac:dyDescent="0.15">
      <c r="A410" s="271">
        <v>95201089</v>
      </c>
      <c r="B410" s="272" t="s">
        <v>5210</v>
      </c>
      <c r="C410" s="272" t="s">
        <v>5148</v>
      </c>
      <c r="D410" s="272">
        <v>5081</v>
      </c>
      <c r="E410" s="272" t="s">
        <v>4876</v>
      </c>
      <c r="F410" s="272" t="s">
        <v>4877</v>
      </c>
      <c r="G410" s="269">
        <v>6</v>
      </c>
      <c r="H410" s="273">
        <v>0</v>
      </c>
      <c r="I410" s="283">
        <v>34</v>
      </c>
      <c r="J410" s="284" t="s">
        <v>5205</v>
      </c>
      <c r="K410" s="285" t="s">
        <v>5206</v>
      </c>
      <c r="L410" s="272" t="s">
        <v>4887</v>
      </c>
      <c r="M410" s="272">
        <v>1</v>
      </c>
      <c r="N410" s="272" t="b">
        <v>1</v>
      </c>
      <c r="O410" s="272">
        <v>64</v>
      </c>
      <c r="P410" s="281">
        <v>960</v>
      </c>
      <c r="Q410" s="281">
        <v>1280</v>
      </c>
      <c r="R410" s="272" t="s">
        <v>3383</v>
      </c>
      <c r="S410" s="272"/>
      <c r="T410" s="272">
        <v>1</v>
      </c>
      <c r="U410" s="272" t="s">
        <v>4880</v>
      </c>
      <c r="V410" s="273">
        <v>10</v>
      </c>
      <c r="W410" s="273"/>
      <c r="X410" s="272" t="s">
        <v>4881</v>
      </c>
      <c r="Y410" s="333" t="s">
        <v>5207</v>
      </c>
      <c r="Z410" s="334" t="s">
        <v>5208</v>
      </c>
      <c r="AA410" s="272" t="s">
        <v>4884</v>
      </c>
      <c r="AB410" s="272"/>
      <c r="AC410" s="289">
        <v>1</v>
      </c>
      <c r="AD410" s="289">
        <v>1</v>
      </c>
      <c r="AE410" s="289"/>
      <c r="AF410" s="272"/>
      <c r="AG410" s="272"/>
    </row>
    <row r="411" spans="1:33" s="258" customFormat="1" x14ac:dyDescent="0.15">
      <c r="A411" s="271">
        <v>95201090</v>
      </c>
      <c r="B411" s="272" t="s">
        <v>5211</v>
      </c>
      <c r="C411" s="272" t="s">
        <v>5148</v>
      </c>
      <c r="D411" s="272">
        <v>5081</v>
      </c>
      <c r="E411" s="272" t="s">
        <v>4876</v>
      </c>
      <c r="F411" s="272" t="s">
        <v>4877</v>
      </c>
      <c r="G411" s="269">
        <v>7</v>
      </c>
      <c r="H411" s="273">
        <v>0</v>
      </c>
      <c r="I411" s="283">
        <v>34</v>
      </c>
      <c r="J411" s="284" t="s">
        <v>5205</v>
      </c>
      <c r="K411" s="285" t="s">
        <v>5206</v>
      </c>
      <c r="L411" s="272" t="s">
        <v>4889</v>
      </c>
      <c r="M411" s="272">
        <v>1</v>
      </c>
      <c r="N411" s="272" t="b">
        <v>1</v>
      </c>
      <c r="O411" s="272">
        <v>77</v>
      </c>
      <c r="P411" s="281">
        <v>1155</v>
      </c>
      <c r="Q411" s="281">
        <v>1540</v>
      </c>
      <c r="R411" s="272" t="s">
        <v>3383</v>
      </c>
      <c r="S411" s="272"/>
      <c r="T411" s="272">
        <v>1</v>
      </c>
      <c r="U411" s="272" t="s">
        <v>4880</v>
      </c>
      <c r="V411" s="273">
        <v>10</v>
      </c>
      <c r="W411" s="273"/>
      <c r="X411" s="272" t="s">
        <v>4881</v>
      </c>
      <c r="Y411" s="333" t="s">
        <v>5207</v>
      </c>
      <c r="Z411" s="334" t="s">
        <v>5208</v>
      </c>
      <c r="AA411" s="272" t="s">
        <v>4884</v>
      </c>
      <c r="AB411" s="272"/>
      <c r="AC411" s="289">
        <v>1</v>
      </c>
      <c r="AD411" s="289">
        <v>1</v>
      </c>
      <c r="AE411" s="289"/>
      <c r="AF411" s="272"/>
      <c r="AG411" s="272"/>
    </row>
    <row r="412" spans="1:33" s="145" customFormat="1" x14ac:dyDescent="0.15">
      <c r="A412" s="267">
        <v>95201091</v>
      </c>
      <c r="B412" s="268" t="s">
        <v>5212</v>
      </c>
      <c r="C412" s="293" t="s">
        <v>5148</v>
      </c>
      <c r="D412" s="293">
        <v>7906</v>
      </c>
      <c r="E412" s="268" t="s">
        <v>4876</v>
      </c>
      <c r="F412" s="268" t="s">
        <v>4877</v>
      </c>
      <c r="G412" s="269">
        <v>1</v>
      </c>
      <c r="H412" s="269">
        <v>0</v>
      </c>
      <c r="I412" s="267">
        <v>34</v>
      </c>
      <c r="J412" s="268" t="s">
        <v>5213</v>
      </c>
      <c r="K412" s="295" t="s">
        <v>5214</v>
      </c>
      <c r="L412" s="295"/>
      <c r="M412" s="268">
        <v>1</v>
      </c>
      <c r="N412" s="268" t="b">
        <v>1</v>
      </c>
      <c r="O412" s="268">
        <v>200</v>
      </c>
      <c r="P412" s="281">
        <v>3000</v>
      </c>
      <c r="Q412" s="281">
        <v>4000</v>
      </c>
      <c r="R412" s="268" t="s">
        <v>3383</v>
      </c>
      <c r="S412" s="268"/>
      <c r="T412" s="268">
        <v>1</v>
      </c>
      <c r="U412" s="268" t="s">
        <v>4880</v>
      </c>
      <c r="V412" s="269">
        <v>1</v>
      </c>
      <c r="W412" s="269"/>
      <c r="X412" s="268" t="s">
        <v>4881</v>
      </c>
      <c r="Y412" s="331" t="s">
        <v>5215</v>
      </c>
      <c r="Z412" s="332" t="s">
        <v>5216</v>
      </c>
      <c r="AA412" s="268" t="s">
        <v>4884</v>
      </c>
      <c r="AB412" s="268"/>
      <c r="AC412" s="287">
        <v>1</v>
      </c>
      <c r="AD412" s="287">
        <v>1</v>
      </c>
      <c r="AE412" s="268"/>
      <c r="AF412" s="268"/>
      <c r="AG412" s="290"/>
    </row>
    <row r="413" spans="1:33" s="145" customFormat="1" x14ac:dyDescent="0.15">
      <c r="A413" s="267">
        <v>95201092</v>
      </c>
      <c r="B413" s="268" t="s">
        <v>5212</v>
      </c>
      <c r="C413" s="293" t="s">
        <v>5148</v>
      </c>
      <c r="D413" s="293">
        <v>7906</v>
      </c>
      <c r="E413" s="268" t="s">
        <v>4876</v>
      </c>
      <c r="F413" s="268" t="s">
        <v>4877</v>
      </c>
      <c r="G413" s="269">
        <v>2</v>
      </c>
      <c r="H413" s="269">
        <v>0</v>
      </c>
      <c r="I413" s="267">
        <v>34</v>
      </c>
      <c r="J413" s="268" t="s">
        <v>5213</v>
      </c>
      <c r="K413" s="295" t="s">
        <v>5214</v>
      </c>
      <c r="L413" s="295"/>
      <c r="M413" s="268">
        <v>1</v>
      </c>
      <c r="N413" s="268" t="b">
        <v>1</v>
      </c>
      <c r="O413" s="268">
        <v>500</v>
      </c>
      <c r="P413" s="281">
        <v>7500</v>
      </c>
      <c r="Q413" s="281">
        <v>10000</v>
      </c>
      <c r="R413" s="268" t="s">
        <v>3383</v>
      </c>
      <c r="S413" s="268"/>
      <c r="T413" s="268">
        <v>1</v>
      </c>
      <c r="U413" s="268" t="s">
        <v>4880</v>
      </c>
      <c r="V413" s="269">
        <v>2</v>
      </c>
      <c r="W413" s="269"/>
      <c r="X413" s="268" t="s">
        <v>4881</v>
      </c>
      <c r="Y413" s="331" t="s">
        <v>5215</v>
      </c>
      <c r="Z413" s="332" t="s">
        <v>5216</v>
      </c>
      <c r="AA413" s="268" t="s">
        <v>4884</v>
      </c>
      <c r="AB413" s="268"/>
      <c r="AC413" s="287">
        <v>1</v>
      </c>
      <c r="AD413" s="287">
        <v>1</v>
      </c>
      <c r="AE413" s="268"/>
      <c r="AF413" s="268"/>
      <c r="AG413" s="290"/>
    </row>
    <row r="414" spans="1:33" s="145" customFormat="1" x14ac:dyDescent="0.15">
      <c r="A414" s="267">
        <v>95201093</v>
      </c>
      <c r="B414" s="268" t="s">
        <v>5212</v>
      </c>
      <c r="C414" s="293" t="s">
        <v>5148</v>
      </c>
      <c r="D414" s="293">
        <v>7906</v>
      </c>
      <c r="E414" s="268" t="s">
        <v>4876</v>
      </c>
      <c r="F414" s="268" t="s">
        <v>4877</v>
      </c>
      <c r="G414" s="269">
        <v>3</v>
      </c>
      <c r="H414" s="269">
        <v>0</v>
      </c>
      <c r="I414" s="267">
        <v>34</v>
      </c>
      <c r="J414" s="268" t="s">
        <v>5213</v>
      </c>
      <c r="K414" s="295" t="s">
        <v>5214</v>
      </c>
      <c r="L414" s="295"/>
      <c r="M414" s="268">
        <v>1</v>
      </c>
      <c r="N414" s="268" t="b">
        <v>1</v>
      </c>
      <c r="O414" s="268">
        <v>700</v>
      </c>
      <c r="P414" s="281">
        <v>10500</v>
      </c>
      <c r="Q414" s="281">
        <v>14000</v>
      </c>
      <c r="R414" s="268" t="s">
        <v>3383</v>
      </c>
      <c r="S414" s="268"/>
      <c r="T414" s="268">
        <v>1</v>
      </c>
      <c r="U414" s="268" t="s">
        <v>4880</v>
      </c>
      <c r="V414" s="269">
        <v>3</v>
      </c>
      <c r="W414" s="269"/>
      <c r="X414" s="268" t="s">
        <v>4881</v>
      </c>
      <c r="Y414" s="331" t="s">
        <v>5215</v>
      </c>
      <c r="Z414" s="332" t="s">
        <v>5216</v>
      </c>
      <c r="AA414" s="268" t="s">
        <v>4884</v>
      </c>
      <c r="AB414" s="268"/>
      <c r="AC414" s="287">
        <v>1</v>
      </c>
      <c r="AD414" s="287">
        <v>1</v>
      </c>
      <c r="AE414" s="268"/>
      <c r="AF414" s="268"/>
      <c r="AG414" s="290"/>
    </row>
    <row r="415" spans="1:33" s="145" customFormat="1" x14ac:dyDescent="0.15">
      <c r="A415" s="267">
        <v>95201094</v>
      </c>
      <c r="B415" s="268" t="s">
        <v>5212</v>
      </c>
      <c r="C415" s="293" t="s">
        <v>5148</v>
      </c>
      <c r="D415" s="293">
        <v>7906</v>
      </c>
      <c r="E415" s="268" t="s">
        <v>4876</v>
      </c>
      <c r="F415" s="268" t="s">
        <v>4877</v>
      </c>
      <c r="G415" s="269">
        <v>4</v>
      </c>
      <c r="H415" s="269">
        <v>0</v>
      </c>
      <c r="I415" s="267">
        <v>34</v>
      </c>
      <c r="J415" s="268" t="s">
        <v>5213</v>
      </c>
      <c r="K415" s="295" t="s">
        <v>5214</v>
      </c>
      <c r="L415" s="295"/>
      <c r="M415" s="268">
        <v>1</v>
      </c>
      <c r="N415" s="268" t="b">
        <v>1</v>
      </c>
      <c r="O415" s="268">
        <v>1000</v>
      </c>
      <c r="P415" s="281">
        <v>15000</v>
      </c>
      <c r="Q415" s="281">
        <v>20000</v>
      </c>
      <c r="R415" s="268" t="s">
        <v>3383</v>
      </c>
      <c r="S415" s="268"/>
      <c r="T415" s="268">
        <v>1</v>
      </c>
      <c r="U415" s="268" t="s">
        <v>4880</v>
      </c>
      <c r="V415" s="269">
        <v>4</v>
      </c>
      <c r="W415" s="269"/>
      <c r="X415" s="268" t="s">
        <v>4881</v>
      </c>
      <c r="Y415" s="331" t="s">
        <v>5215</v>
      </c>
      <c r="Z415" s="332" t="s">
        <v>5216</v>
      </c>
      <c r="AA415" s="268" t="s">
        <v>4884</v>
      </c>
      <c r="AB415" s="268"/>
      <c r="AC415" s="287">
        <v>1</v>
      </c>
      <c r="AD415" s="287">
        <v>1</v>
      </c>
      <c r="AE415" s="268"/>
      <c r="AF415" s="268"/>
      <c r="AG415" s="290"/>
    </row>
    <row r="416" spans="1:33" s="145" customFormat="1" x14ac:dyDescent="0.15">
      <c r="A416" s="267">
        <v>95201095</v>
      </c>
      <c r="B416" s="268" t="s">
        <v>5212</v>
      </c>
      <c r="C416" s="293" t="s">
        <v>5148</v>
      </c>
      <c r="D416" s="293">
        <v>7906</v>
      </c>
      <c r="E416" s="268" t="s">
        <v>4876</v>
      </c>
      <c r="F416" s="268" t="s">
        <v>4877</v>
      </c>
      <c r="G416" s="269">
        <v>5</v>
      </c>
      <c r="H416" s="269">
        <v>0</v>
      </c>
      <c r="I416" s="267">
        <v>34</v>
      </c>
      <c r="J416" s="268" t="s">
        <v>5213</v>
      </c>
      <c r="K416" s="295" t="s">
        <v>5214</v>
      </c>
      <c r="L416" s="295"/>
      <c r="M416" s="268">
        <v>1</v>
      </c>
      <c r="N416" s="268" t="b">
        <v>1</v>
      </c>
      <c r="O416" s="268">
        <v>1200</v>
      </c>
      <c r="P416" s="281">
        <v>18000</v>
      </c>
      <c r="Q416" s="281">
        <v>24000</v>
      </c>
      <c r="R416" s="268" t="s">
        <v>3383</v>
      </c>
      <c r="S416" s="268"/>
      <c r="T416" s="268">
        <v>1</v>
      </c>
      <c r="U416" s="268" t="s">
        <v>4880</v>
      </c>
      <c r="V416" s="269">
        <v>5</v>
      </c>
      <c r="W416" s="269"/>
      <c r="X416" s="268" t="s">
        <v>4881</v>
      </c>
      <c r="Y416" s="331" t="s">
        <v>5215</v>
      </c>
      <c r="Z416" s="332" t="s">
        <v>5216</v>
      </c>
      <c r="AA416" s="268" t="s">
        <v>4884</v>
      </c>
      <c r="AB416" s="268"/>
      <c r="AC416" s="287">
        <v>1</v>
      </c>
      <c r="AD416" s="287">
        <v>1</v>
      </c>
      <c r="AE416" s="268"/>
      <c r="AF416" s="268"/>
      <c r="AG416" s="290"/>
    </row>
    <row r="417" spans="1:33" s="145" customFormat="1" x14ac:dyDescent="0.15">
      <c r="A417" s="270">
        <v>95201096</v>
      </c>
      <c r="B417" s="268" t="s">
        <v>5212</v>
      </c>
      <c r="C417" s="268" t="s">
        <v>5148</v>
      </c>
      <c r="D417" s="268">
        <v>7906</v>
      </c>
      <c r="E417" s="268" t="s">
        <v>4876</v>
      </c>
      <c r="F417" s="268" t="s">
        <v>4877</v>
      </c>
      <c r="G417" s="269">
        <v>7</v>
      </c>
      <c r="H417" s="269">
        <v>0</v>
      </c>
      <c r="I417" s="267">
        <v>34</v>
      </c>
      <c r="J417" s="282" t="s">
        <v>5213</v>
      </c>
      <c r="K417" s="279" t="s">
        <v>5214</v>
      </c>
      <c r="L417" s="279"/>
      <c r="M417" s="268">
        <v>1</v>
      </c>
      <c r="N417" s="268" t="b">
        <v>1</v>
      </c>
      <c r="O417" s="268">
        <v>2500</v>
      </c>
      <c r="P417" s="281">
        <v>37500</v>
      </c>
      <c r="Q417" s="281">
        <v>50000</v>
      </c>
      <c r="R417" s="268" t="s">
        <v>3383</v>
      </c>
      <c r="S417" s="268"/>
      <c r="T417" s="268">
        <v>1</v>
      </c>
      <c r="U417" s="268" t="s">
        <v>4880</v>
      </c>
      <c r="V417" s="269">
        <v>7</v>
      </c>
      <c r="W417" s="269"/>
      <c r="X417" s="268" t="s">
        <v>4881</v>
      </c>
      <c r="Y417" s="331" t="s">
        <v>5215</v>
      </c>
      <c r="Z417" s="332" t="s">
        <v>5216</v>
      </c>
      <c r="AA417" s="268" t="s">
        <v>4884</v>
      </c>
      <c r="AB417" s="268"/>
      <c r="AC417" s="287">
        <v>1</v>
      </c>
      <c r="AD417" s="287">
        <v>1</v>
      </c>
      <c r="AE417" s="268"/>
      <c r="AF417" s="268"/>
      <c r="AG417" s="290"/>
    </row>
    <row r="418" spans="1:33" s="145" customFormat="1" x14ac:dyDescent="0.15">
      <c r="A418" s="270">
        <v>95201097</v>
      </c>
      <c r="B418" s="268" t="s">
        <v>5212</v>
      </c>
      <c r="C418" s="268" t="s">
        <v>5148</v>
      </c>
      <c r="D418" s="268">
        <v>7906</v>
      </c>
      <c r="E418" s="268" t="s">
        <v>4876</v>
      </c>
      <c r="F418" s="268" t="s">
        <v>4877</v>
      </c>
      <c r="G418" s="269">
        <v>6</v>
      </c>
      <c r="H418" s="269">
        <v>0</v>
      </c>
      <c r="I418" s="267">
        <v>34</v>
      </c>
      <c r="J418" s="282" t="s">
        <v>5213</v>
      </c>
      <c r="K418" s="279" t="s">
        <v>5214</v>
      </c>
      <c r="L418" s="279"/>
      <c r="M418" s="268">
        <v>1</v>
      </c>
      <c r="N418" s="268" t="b">
        <v>1</v>
      </c>
      <c r="O418" s="268">
        <v>3800</v>
      </c>
      <c r="P418" s="281">
        <v>57000</v>
      </c>
      <c r="Q418" s="281">
        <v>76000</v>
      </c>
      <c r="R418" s="268" t="s">
        <v>3383</v>
      </c>
      <c r="S418" s="268"/>
      <c r="T418" s="268">
        <v>1</v>
      </c>
      <c r="U418" s="268" t="s">
        <v>4880</v>
      </c>
      <c r="V418" s="269">
        <v>6</v>
      </c>
      <c r="W418" s="269"/>
      <c r="X418" s="268" t="s">
        <v>4881</v>
      </c>
      <c r="Y418" s="331" t="s">
        <v>5215</v>
      </c>
      <c r="Z418" s="332" t="s">
        <v>5216</v>
      </c>
      <c r="AA418" s="268" t="s">
        <v>4884</v>
      </c>
      <c r="AB418" s="268"/>
      <c r="AC418" s="287">
        <v>1</v>
      </c>
      <c r="AD418" s="287">
        <v>1</v>
      </c>
      <c r="AE418" s="268"/>
      <c r="AF418" s="268"/>
      <c r="AG418" s="290"/>
    </row>
    <row r="419" spans="1:33" s="258" customFormat="1" x14ac:dyDescent="0.15">
      <c r="A419" s="271">
        <v>95201098</v>
      </c>
      <c r="B419" s="272" t="s">
        <v>5217</v>
      </c>
      <c r="C419" s="272" t="s">
        <v>5148</v>
      </c>
      <c r="D419" s="272">
        <v>5081</v>
      </c>
      <c r="E419" s="272" t="s">
        <v>4876</v>
      </c>
      <c r="F419" s="272" t="s">
        <v>4877</v>
      </c>
      <c r="G419" s="269">
        <v>6</v>
      </c>
      <c r="H419" s="273">
        <v>0</v>
      </c>
      <c r="I419" s="283">
        <v>34</v>
      </c>
      <c r="J419" s="284" t="s">
        <v>5213</v>
      </c>
      <c r="K419" s="285" t="s">
        <v>5214</v>
      </c>
      <c r="L419" s="272" t="s">
        <v>44</v>
      </c>
      <c r="M419" s="272">
        <v>1</v>
      </c>
      <c r="N419" s="272" t="b">
        <v>1</v>
      </c>
      <c r="O419" s="272">
        <v>51</v>
      </c>
      <c r="P419" s="281">
        <v>765</v>
      </c>
      <c r="Q419" s="281">
        <v>1020</v>
      </c>
      <c r="R419" s="272" t="s">
        <v>3383</v>
      </c>
      <c r="S419" s="272"/>
      <c r="T419" s="272">
        <v>1</v>
      </c>
      <c r="U419" s="272" t="s">
        <v>4880</v>
      </c>
      <c r="V419" s="273">
        <v>10</v>
      </c>
      <c r="W419" s="273"/>
      <c r="X419" s="272" t="s">
        <v>4881</v>
      </c>
      <c r="Y419" s="333" t="s">
        <v>5215</v>
      </c>
      <c r="Z419" s="334" t="s">
        <v>5216</v>
      </c>
      <c r="AA419" s="272" t="s">
        <v>4884</v>
      </c>
      <c r="AB419" s="272"/>
      <c r="AC419" s="289">
        <v>1</v>
      </c>
      <c r="AD419" s="289">
        <v>1</v>
      </c>
      <c r="AE419" s="289"/>
      <c r="AF419" s="272"/>
      <c r="AG419" s="272"/>
    </row>
    <row r="420" spans="1:33" s="258" customFormat="1" x14ac:dyDescent="0.15">
      <c r="A420" s="271">
        <v>95201099</v>
      </c>
      <c r="B420" s="272" t="s">
        <v>5218</v>
      </c>
      <c r="C420" s="272" t="s">
        <v>5148</v>
      </c>
      <c r="D420" s="272">
        <v>5081</v>
      </c>
      <c r="E420" s="272" t="s">
        <v>4876</v>
      </c>
      <c r="F420" s="272" t="s">
        <v>4877</v>
      </c>
      <c r="G420" s="269">
        <v>6</v>
      </c>
      <c r="H420" s="273">
        <v>0</v>
      </c>
      <c r="I420" s="283">
        <v>34</v>
      </c>
      <c r="J420" s="284" t="s">
        <v>5213</v>
      </c>
      <c r="K420" s="285" t="s">
        <v>5214</v>
      </c>
      <c r="L420" s="272" t="s">
        <v>4887</v>
      </c>
      <c r="M420" s="272">
        <v>1</v>
      </c>
      <c r="N420" s="272" t="b">
        <v>1</v>
      </c>
      <c r="O420" s="272">
        <v>64</v>
      </c>
      <c r="P420" s="281">
        <v>960</v>
      </c>
      <c r="Q420" s="281">
        <v>1280</v>
      </c>
      <c r="R420" s="272" t="s">
        <v>3383</v>
      </c>
      <c r="S420" s="272"/>
      <c r="T420" s="272">
        <v>1</v>
      </c>
      <c r="U420" s="272" t="s">
        <v>4880</v>
      </c>
      <c r="V420" s="273">
        <v>10</v>
      </c>
      <c r="W420" s="273"/>
      <c r="X420" s="272" t="s">
        <v>4881</v>
      </c>
      <c r="Y420" s="333" t="s">
        <v>5215</v>
      </c>
      <c r="Z420" s="334" t="s">
        <v>5216</v>
      </c>
      <c r="AA420" s="272" t="s">
        <v>4884</v>
      </c>
      <c r="AB420" s="272"/>
      <c r="AC420" s="289">
        <v>1</v>
      </c>
      <c r="AD420" s="289">
        <v>1</v>
      </c>
      <c r="AE420" s="289"/>
      <c r="AF420" s="272"/>
      <c r="AG420" s="272"/>
    </row>
    <row r="421" spans="1:33" s="258" customFormat="1" x14ac:dyDescent="0.15">
      <c r="A421" s="271">
        <v>95201100</v>
      </c>
      <c r="B421" s="272" t="s">
        <v>5219</v>
      </c>
      <c r="C421" s="272" t="s">
        <v>5148</v>
      </c>
      <c r="D421" s="272">
        <v>5081</v>
      </c>
      <c r="E421" s="272" t="s">
        <v>4876</v>
      </c>
      <c r="F421" s="272" t="s">
        <v>4877</v>
      </c>
      <c r="G421" s="269">
        <v>7</v>
      </c>
      <c r="H421" s="273">
        <v>0</v>
      </c>
      <c r="I421" s="283">
        <v>34</v>
      </c>
      <c r="J421" s="284" t="s">
        <v>5213</v>
      </c>
      <c r="K421" s="285" t="s">
        <v>5214</v>
      </c>
      <c r="L421" s="272" t="s">
        <v>4889</v>
      </c>
      <c r="M421" s="272">
        <v>1</v>
      </c>
      <c r="N421" s="272" t="b">
        <v>1</v>
      </c>
      <c r="O421" s="272">
        <v>77</v>
      </c>
      <c r="P421" s="281">
        <v>1155</v>
      </c>
      <c r="Q421" s="281">
        <v>1540</v>
      </c>
      <c r="R421" s="272" t="s">
        <v>3383</v>
      </c>
      <c r="S421" s="272"/>
      <c r="T421" s="272">
        <v>1</v>
      </c>
      <c r="U421" s="272" t="s">
        <v>4880</v>
      </c>
      <c r="V421" s="273">
        <v>10</v>
      </c>
      <c r="W421" s="273"/>
      <c r="X421" s="272" t="s">
        <v>4881</v>
      </c>
      <c r="Y421" s="333" t="s">
        <v>5215</v>
      </c>
      <c r="Z421" s="334" t="s">
        <v>5216</v>
      </c>
      <c r="AA421" s="272" t="s">
        <v>4884</v>
      </c>
      <c r="AB421" s="272"/>
      <c r="AC421" s="289">
        <v>1</v>
      </c>
      <c r="AD421" s="289">
        <v>1</v>
      </c>
      <c r="AE421" s="289"/>
      <c r="AF421" s="272"/>
      <c r="AG421" s="272"/>
    </row>
    <row r="422" spans="1:33" s="145" customFormat="1" x14ac:dyDescent="0.15">
      <c r="A422" s="267">
        <v>95201101</v>
      </c>
      <c r="B422" s="268" t="s">
        <v>5220</v>
      </c>
      <c r="C422" s="293" t="s">
        <v>5148</v>
      </c>
      <c r="D422" s="293">
        <v>7906</v>
      </c>
      <c r="E422" s="268" t="s">
        <v>4876</v>
      </c>
      <c r="F422" s="268" t="s">
        <v>4877</v>
      </c>
      <c r="G422" s="269">
        <v>1</v>
      </c>
      <c r="H422" s="269">
        <v>0</v>
      </c>
      <c r="I422" s="267">
        <v>34</v>
      </c>
      <c r="J422" s="268" t="s">
        <v>5221</v>
      </c>
      <c r="K422" s="295" t="s">
        <v>5222</v>
      </c>
      <c r="L422" s="295"/>
      <c r="M422" s="268">
        <v>1</v>
      </c>
      <c r="N422" s="268" t="b">
        <v>1</v>
      </c>
      <c r="O422" s="268">
        <v>2</v>
      </c>
      <c r="P422" s="281">
        <v>30</v>
      </c>
      <c r="Q422" s="281">
        <v>40</v>
      </c>
      <c r="R422" s="268" t="s">
        <v>3383</v>
      </c>
      <c r="S422" s="268"/>
      <c r="T422" s="268">
        <v>1</v>
      </c>
      <c r="U422" s="268" t="s">
        <v>4880</v>
      </c>
      <c r="V422" s="269">
        <v>1</v>
      </c>
      <c r="W422" s="269"/>
      <c r="X422" s="268" t="s">
        <v>4881</v>
      </c>
      <c r="Y422" s="331" t="s">
        <v>5223</v>
      </c>
      <c r="Z422" s="332" t="s">
        <v>5224</v>
      </c>
      <c r="AA422" s="268" t="s">
        <v>4884</v>
      </c>
      <c r="AB422" s="268"/>
      <c r="AC422" s="287">
        <v>1</v>
      </c>
      <c r="AD422" s="287">
        <v>1</v>
      </c>
      <c r="AE422" s="268"/>
      <c r="AF422" s="268"/>
      <c r="AG422" s="290"/>
    </row>
    <row r="423" spans="1:33" s="145" customFormat="1" x14ac:dyDescent="0.15">
      <c r="A423" s="267">
        <v>95201102</v>
      </c>
      <c r="B423" s="268" t="s">
        <v>5220</v>
      </c>
      <c r="C423" s="293" t="s">
        <v>5148</v>
      </c>
      <c r="D423" s="293">
        <v>7906</v>
      </c>
      <c r="E423" s="268" t="s">
        <v>4876</v>
      </c>
      <c r="F423" s="268" t="s">
        <v>4877</v>
      </c>
      <c r="G423" s="269">
        <v>2</v>
      </c>
      <c r="H423" s="269">
        <v>0</v>
      </c>
      <c r="I423" s="267">
        <v>34</v>
      </c>
      <c r="J423" s="268" t="s">
        <v>5221</v>
      </c>
      <c r="K423" s="295" t="s">
        <v>5222</v>
      </c>
      <c r="L423" s="295"/>
      <c r="M423" s="268">
        <v>1</v>
      </c>
      <c r="N423" s="268" t="b">
        <v>1</v>
      </c>
      <c r="O423" s="268">
        <v>5</v>
      </c>
      <c r="P423" s="281">
        <v>75</v>
      </c>
      <c r="Q423" s="281">
        <v>100</v>
      </c>
      <c r="R423" s="268" t="s">
        <v>3383</v>
      </c>
      <c r="S423" s="268"/>
      <c r="T423" s="268">
        <v>1</v>
      </c>
      <c r="U423" s="268" t="s">
        <v>4880</v>
      </c>
      <c r="V423" s="269">
        <v>2</v>
      </c>
      <c r="W423" s="269"/>
      <c r="X423" s="268" t="s">
        <v>4881</v>
      </c>
      <c r="Y423" s="331" t="s">
        <v>5223</v>
      </c>
      <c r="Z423" s="332" t="s">
        <v>5224</v>
      </c>
      <c r="AA423" s="268" t="s">
        <v>4884</v>
      </c>
      <c r="AB423" s="268"/>
      <c r="AC423" s="287">
        <v>1</v>
      </c>
      <c r="AD423" s="287">
        <v>1</v>
      </c>
      <c r="AE423" s="268"/>
      <c r="AF423" s="268"/>
      <c r="AG423" s="290"/>
    </row>
    <row r="424" spans="1:33" s="145" customFormat="1" x14ac:dyDescent="0.15">
      <c r="A424" s="267">
        <v>95201103</v>
      </c>
      <c r="B424" s="268" t="s">
        <v>5220</v>
      </c>
      <c r="C424" s="293" t="s">
        <v>5148</v>
      </c>
      <c r="D424" s="293">
        <v>7906</v>
      </c>
      <c r="E424" s="268" t="s">
        <v>4876</v>
      </c>
      <c r="F424" s="268" t="s">
        <v>4877</v>
      </c>
      <c r="G424" s="269">
        <v>3</v>
      </c>
      <c r="H424" s="269">
        <v>0</v>
      </c>
      <c r="I424" s="267">
        <v>34</v>
      </c>
      <c r="J424" s="268" t="s">
        <v>5221</v>
      </c>
      <c r="K424" s="295" t="s">
        <v>5222</v>
      </c>
      <c r="L424" s="295"/>
      <c r="M424" s="268">
        <v>1</v>
      </c>
      <c r="N424" s="268" t="b">
        <v>1</v>
      </c>
      <c r="O424" s="268">
        <v>7</v>
      </c>
      <c r="P424" s="281">
        <v>105</v>
      </c>
      <c r="Q424" s="281">
        <v>140</v>
      </c>
      <c r="R424" s="268" t="s">
        <v>3383</v>
      </c>
      <c r="S424" s="268"/>
      <c r="T424" s="268">
        <v>1</v>
      </c>
      <c r="U424" s="268" t="s">
        <v>4880</v>
      </c>
      <c r="V424" s="269">
        <v>3</v>
      </c>
      <c r="W424" s="269"/>
      <c r="X424" s="268" t="s">
        <v>4881</v>
      </c>
      <c r="Y424" s="331" t="s">
        <v>5223</v>
      </c>
      <c r="Z424" s="332" t="s">
        <v>5224</v>
      </c>
      <c r="AA424" s="268" t="s">
        <v>4884</v>
      </c>
      <c r="AB424" s="268"/>
      <c r="AC424" s="287">
        <v>1</v>
      </c>
      <c r="AD424" s="287">
        <v>1</v>
      </c>
      <c r="AE424" s="268"/>
      <c r="AF424" s="268"/>
      <c r="AG424" s="290"/>
    </row>
    <row r="425" spans="1:33" s="145" customFormat="1" x14ac:dyDescent="0.15">
      <c r="A425" s="267">
        <v>95201104</v>
      </c>
      <c r="B425" s="268" t="s">
        <v>5220</v>
      </c>
      <c r="C425" s="293" t="s">
        <v>5148</v>
      </c>
      <c r="D425" s="293">
        <v>7906</v>
      </c>
      <c r="E425" s="268" t="s">
        <v>4876</v>
      </c>
      <c r="F425" s="268" t="s">
        <v>4877</v>
      </c>
      <c r="G425" s="269">
        <v>4</v>
      </c>
      <c r="H425" s="269">
        <v>0</v>
      </c>
      <c r="I425" s="267">
        <v>34</v>
      </c>
      <c r="J425" s="268" t="s">
        <v>5221</v>
      </c>
      <c r="K425" s="295" t="s">
        <v>5222</v>
      </c>
      <c r="L425" s="295"/>
      <c r="M425" s="268">
        <v>1</v>
      </c>
      <c r="N425" s="268" t="b">
        <v>1</v>
      </c>
      <c r="O425" s="268">
        <v>10</v>
      </c>
      <c r="P425" s="281">
        <v>150</v>
      </c>
      <c r="Q425" s="281">
        <v>200</v>
      </c>
      <c r="R425" s="268" t="s">
        <v>3383</v>
      </c>
      <c r="S425" s="268"/>
      <c r="T425" s="268">
        <v>1</v>
      </c>
      <c r="U425" s="268" t="s">
        <v>4880</v>
      </c>
      <c r="V425" s="269">
        <v>4</v>
      </c>
      <c r="W425" s="269"/>
      <c r="X425" s="268" t="s">
        <v>4881</v>
      </c>
      <c r="Y425" s="331" t="s">
        <v>5223</v>
      </c>
      <c r="Z425" s="332" t="s">
        <v>5224</v>
      </c>
      <c r="AA425" s="268" t="s">
        <v>4884</v>
      </c>
      <c r="AB425" s="268"/>
      <c r="AC425" s="287">
        <v>1</v>
      </c>
      <c r="AD425" s="287">
        <v>1</v>
      </c>
      <c r="AE425" s="268"/>
      <c r="AF425" s="268"/>
      <c r="AG425" s="290"/>
    </row>
    <row r="426" spans="1:33" s="145" customFormat="1" x14ac:dyDescent="0.15">
      <c r="A426" s="267">
        <v>95201105</v>
      </c>
      <c r="B426" s="268" t="s">
        <v>5220</v>
      </c>
      <c r="C426" s="293" t="s">
        <v>5148</v>
      </c>
      <c r="D426" s="293">
        <v>7906</v>
      </c>
      <c r="E426" s="268" t="s">
        <v>4876</v>
      </c>
      <c r="F426" s="268" t="s">
        <v>4877</v>
      </c>
      <c r="G426" s="269">
        <v>5</v>
      </c>
      <c r="H426" s="269">
        <v>0</v>
      </c>
      <c r="I426" s="267">
        <v>34</v>
      </c>
      <c r="J426" s="268" t="s">
        <v>5221</v>
      </c>
      <c r="K426" s="295" t="s">
        <v>5222</v>
      </c>
      <c r="L426" s="295"/>
      <c r="M426" s="268">
        <v>1</v>
      </c>
      <c r="N426" s="268" t="b">
        <v>1</v>
      </c>
      <c r="O426" s="268">
        <v>12</v>
      </c>
      <c r="P426" s="281">
        <v>180</v>
      </c>
      <c r="Q426" s="281">
        <v>240</v>
      </c>
      <c r="R426" s="268" t="s">
        <v>3383</v>
      </c>
      <c r="S426" s="268"/>
      <c r="T426" s="268">
        <v>1</v>
      </c>
      <c r="U426" s="268" t="s">
        <v>4880</v>
      </c>
      <c r="V426" s="269">
        <v>5</v>
      </c>
      <c r="W426" s="269"/>
      <c r="X426" s="268" t="s">
        <v>4881</v>
      </c>
      <c r="Y426" s="331" t="s">
        <v>5223</v>
      </c>
      <c r="Z426" s="332" t="s">
        <v>5224</v>
      </c>
      <c r="AA426" s="268" t="s">
        <v>4884</v>
      </c>
      <c r="AB426" s="268"/>
      <c r="AC426" s="287">
        <v>1</v>
      </c>
      <c r="AD426" s="287">
        <v>1</v>
      </c>
      <c r="AE426" s="268"/>
      <c r="AF426" s="268"/>
      <c r="AG426" s="290"/>
    </row>
    <row r="427" spans="1:33" s="145" customFormat="1" x14ac:dyDescent="0.15">
      <c r="A427" s="271">
        <v>95201106</v>
      </c>
      <c r="B427" s="272" t="s">
        <v>5220</v>
      </c>
      <c r="C427" s="272" t="s">
        <v>5148</v>
      </c>
      <c r="D427" s="272">
        <v>7906</v>
      </c>
      <c r="E427" s="272" t="s">
        <v>4876</v>
      </c>
      <c r="F427" s="272" t="s">
        <v>4877</v>
      </c>
      <c r="G427" s="294">
        <v>6</v>
      </c>
      <c r="H427" s="273">
        <v>0</v>
      </c>
      <c r="I427" s="283">
        <v>34</v>
      </c>
      <c r="J427" s="284" t="s">
        <v>5221</v>
      </c>
      <c r="K427" s="285" t="s">
        <v>5222</v>
      </c>
      <c r="L427" s="285"/>
      <c r="M427" s="272">
        <v>1</v>
      </c>
      <c r="N427" s="272" t="b">
        <v>1</v>
      </c>
      <c r="O427" s="272">
        <v>25</v>
      </c>
      <c r="P427" s="281">
        <v>375</v>
      </c>
      <c r="Q427" s="281">
        <v>500</v>
      </c>
      <c r="R427" s="272" t="s">
        <v>3383</v>
      </c>
      <c r="S427" s="272"/>
      <c r="T427" s="272">
        <v>1</v>
      </c>
      <c r="U427" s="272" t="s">
        <v>4880</v>
      </c>
      <c r="V427" s="273">
        <v>6</v>
      </c>
      <c r="W427" s="273"/>
      <c r="X427" s="272" t="s">
        <v>4881</v>
      </c>
      <c r="Y427" s="333" t="s">
        <v>5223</v>
      </c>
      <c r="Z427" s="334" t="s">
        <v>5224</v>
      </c>
      <c r="AA427" s="272" t="s">
        <v>4884</v>
      </c>
      <c r="AB427" s="272"/>
      <c r="AC427" s="289">
        <v>1</v>
      </c>
      <c r="AD427" s="289">
        <v>1</v>
      </c>
      <c r="AE427" s="272"/>
      <c r="AF427" s="272"/>
      <c r="AG427" s="296"/>
    </row>
    <row r="428" spans="1:33" s="145" customFormat="1" x14ac:dyDescent="0.15">
      <c r="A428" s="270">
        <v>95201107</v>
      </c>
      <c r="B428" s="268" t="s">
        <v>5220</v>
      </c>
      <c r="C428" s="268" t="s">
        <v>5148</v>
      </c>
      <c r="D428" s="268">
        <v>7906</v>
      </c>
      <c r="E428" s="268" t="s">
        <v>4876</v>
      </c>
      <c r="F428" s="268" t="s">
        <v>4877</v>
      </c>
      <c r="G428" s="269">
        <v>7</v>
      </c>
      <c r="H428" s="269">
        <v>0</v>
      </c>
      <c r="I428" s="267">
        <v>34</v>
      </c>
      <c r="J428" s="282" t="s">
        <v>5221</v>
      </c>
      <c r="K428" s="279" t="s">
        <v>5222</v>
      </c>
      <c r="L428" s="279"/>
      <c r="M428" s="268">
        <v>1</v>
      </c>
      <c r="N428" s="268" t="b">
        <v>1</v>
      </c>
      <c r="O428" s="268">
        <v>38</v>
      </c>
      <c r="P428" s="281">
        <v>570</v>
      </c>
      <c r="Q428" s="281">
        <v>760</v>
      </c>
      <c r="R428" s="268" t="s">
        <v>3383</v>
      </c>
      <c r="S428" s="268"/>
      <c r="T428" s="268">
        <v>1</v>
      </c>
      <c r="U428" s="268" t="s">
        <v>4880</v>
      </c>
      <c r="V428" s="269">
        <v>7</v>
      </c>
      <c r="W428" s="269"/>
      <c r="X428" s="268" t="s">
        <v>4881</v>
      </c>
      <c r="Y428" s="331" t="s">
        <v>5223</v>
      </c>
      <c r="Z428" s="332" t="s">
        <v>5224</v>
      </c>
      <c r="AA428" s="268" t="s">
        <v>4884</v>
      </c>
      <c r="AB428" s="268"/>
      <c r="AC428" s="287">
        <v>1</v>
      </c>
      <c r="AD428" s="287">
        <v>1</v>
      </c>
      <c r="AE428" s="268"/>
      <c r="AF428" s="268"/>
      <c r="AG428" s="290"/>
    </row>
    <row r="429" spans="1:33" s="258" customFormat="1" x14ac:dyDescent="0.15">
      <c r="A429" s="271">
        <v>95201108</v>
      </c>
      <c r="B429" s="272" t="s">
        <v>5225</v>
      </c>
      <c r="C429" s="272" t="s">
        <v>5148</v>
      </c>
      <c r="D429" s="272">
        <v>5081</v>
      </c>
      <c r="E429" s="272" t="s">
        <v>4876</v>
      </c>
      <c r="F429" s="272" t="s">
        <v>4877</v>
      </c>
      <c r="G429" s="269">
        <v>6</v>
      </c>
      <c r="H429" s="273">
        <v>1</v>
      </c>
      <c r="I429" s="283">
        <v>34</v>
      </c>
      <c r="J429" s="284" t="s">
        <v>5221</v>
      </c>
      <c r="K429" s="285" t="s">
        <v>5222</v>
      </c>
      <c r="L429" s="272" t="s">
        <v>44</v>
      </c>
      <c r="M429" s="272">
        <v>1</v>
      </c>
      <c r="N429" s="272" t="b">
        <v>1</v>
      </c>
      <c r="O429" s="272">
        <v>51</v>
      </c>
      <c r="P429" s="281">
        <v>765</v>
      </c>
      <c r="Q429" s="281">
        <v>1020</v>
      </c>
      <c r="R429" s="272" t="s">
        <v>3383</v>
      </c>
      <c r="S429" s="272"/>
      <c r="T429" s="272">
        <v>1</v>
      </c>
      <c r="U429" s="272" t="s">
        <v>4880</v>
      </c>
      <c r="V429" s="273">
        <v>10</v>
      </c>
      <c r="W429" s="273"/>
      <c r="X429" s="272" t="s">
        <v>4881</v>
      </c>
      <c r="Y429" s="333" t="s">
        <v>5223</v>
      </c>
      <c r="Z429" s="334" t="s">
        <v>5224</v>
      </c>
      <c r="AA429" s="272" t="s">
        <v>4884</v>
      </c>
      <c r="AB429" s="272"/>
      <c r="AC429" s="289">
        <v>1</v>
      </c>
      <c r="AD429" s="289">
        <v>1</v>
      </c>
      <c r="AE429" s="289"/>
      <c r="AF429" s="272"/>
      <c r="AG429" s="272"/>
    </row>
    <row r="430" spans="1:33" s="258" customFormat="1" x14ac:dyDescent="0.15">
      <c r="A430" s="271">
        <v>95201109</v>
      </c>
      <c r="B430" s="272" t="s">
        <v>5226</v>
      </c>
      <c r="C430" s="272" t="s">
        <v>5148</v>
      </c>
      <c r="D430" s="272">
        <v>5081</v>
      </c>
      <c r="E430" s="272" t="s">
        <v>4876</v>
      </c>
      <c r="F430" s="272" t="s">
        <v>4877</v>
      </c>
      <c r="G430" s="269">
        <v>6</v>
      </c>
      <c r="H430" s="273">
        <v>1</v>
      </c>
      <c r="I430" s="283">
        <v>34</v>
      </c>
      <c r="J430" s="284" t="s">
        <v>5221</v>
      </c>
      <c r="K430" s="285" t="s">
        <v>5222</v>
      </c>
      <c r="L430" s="272" t="s">
        <v>4887</v>
      </c>
      <c r="M430" s="272">
        <v>1</v>
      </c>
      <c r="N430" s="272" t="b">
        <v>1</v>
      </c>
      <c r="O430" s="272">
        <v>64</v>
      </c>
      <c r="P430" s="281">
        <v>960</v>
      </c>
      <c r="Q430" s="281">
        <v>1280</v>
      </c>
      <c r="R430" s="272" t="s">
        <v>3383</v>
      </c>
      <c r="S430" s="272"/>
      <c r="T430" s="272">
        <v>1</v>
      </c>
      <c r="U430" s="272" t="s">
        <v>4880</v>
      </c>
      <c r="V430" s="273">
        <v>10</v>
      </c>
      <c r="W430" s="273"/>
      <c r="X430" s="272" t="s">
        <v>4881</v>
      </c>
      <c r="Y430" s="333" t="s">
        <v>5223</v>
      </c>
      <c r="Z430" s="334" t="s">
        <v>5224</v>
      </c>
      <c r="AA430" s="272" t="s">
        <v>4884</v>
      </c>
      <c r="AB430" s="272"/>
      <c r="AC430" s="289">
        <v>1</v>
      </c>
      <c r="AD430" s="289">
        <v>1</v>
      </c>
      <c r="AE430" s="289"/>
      <c r="AF430" s="272"/>
      <c r="AG430" s="272"/>
    </row>
    <row r="431" spans="1:33" s="258" customFormat="1" x14ac:dyDescent="0.15">
      <c r="A431" s="271">
        <v>95201110</v>
      </c>
      <c r="B431" s="272" t="s">
        <v>5227</v>
      </c>
      <c r="C431" s="272" t="s">
        <v>5148</v>
      </c>
      <c r="D431" s="272">
        <v>5081</v>
      </c>
      <c r="E431" s="272" t="s">
        <v>4876</v>
      </c>
      <c r="F431" s="272" t="s">
        <v>4877</v>
      </c>
      <c r="G431" s="269">
        <v>7</v>
      </c>
      <c r="H431" s="273">
        <v>0</v>
      </c>
      <c r="I431" s="283">
        <v>34</v>
      </c>
      <c r="J431" s="284" t="s">
        <v>5221</v>
      </c>
      <c r="K431" s="285" t="s">
        <v>5222</v>
      </c>
      <c r="L431" s="272" t="s">
        <v>4889</v>
      </c>
      <c r="M431" s="272">
        <v>1</v>
      </c>
      <c r="N431" s="272" t="b">
        <v>1</v>
      </c>
      <c r="O431" s="272">
        <v>77</v>
      </c>
      <c r="P431" s="281">
        <v>1155</v>
      </c>
      <c r="Q431" s="281">
        <v>1540</v>
      </c>
      <c r="R431" s="272" t="s">
        <v>3383</v>
      </c>
      <c r="S431" s="272"/>
      <c r="T431" s="272">
        <v>1</v>
      </c>
      <c r="U431" s="272" t="s">
        <v>4880</v>
      </c>
      <c r="V431" s="273">
        <v>10</v>
      </c>
      <c r="W431" s="273"/>
      <c r="X431" s="272" t="s">
        <v>4881</v>
      </c>
      <c r="Y431" s="333" t="s">
        <v>5223</v>
      </c>
      <c r="Z431" s="334" t="s">
        <v>5224</v>
      </c>
      <c r="AA431" s="272" t="s">
        <v>4884</v>
      </c>
      <c r="AB431" s="272"/>
      <c r="AC431" s="289">
        <v>1</v>
      </c>
      <c r="AD431" s="289">
        <v>1</v>
      </c>
      <c r="AE431" s="289"/>
      <c r="AF431" s="272"/>
      <c r="AG431" s="272"/>
    </row>
    <row r="432" spans="1:33" s="145" customFormat="1" x14ac:dyDescent="0.15">
      <c r="A432" s="267">
        <v>95201111</v>
      </c>
      <c r="B432" s="268" t="s">
        <v>5228</v>
      </c>
      <c r="C432" s="293" t="s">
        <v>5148</v>
      </c>
      <c r="D432" s="293">
        <v>7906</v>
      </c>
      <c r="E432" s="268" t="s">
        <v>4876</v>
      </c>
      <c r="F432" s="268" t="s">
        <v>4877</v>
      </c>
      <c r="G432" s="269">
        <v>1</v>
      </c>
      <c r="H432" s="269">
        <v>0</v>
      </c>
      <c r="I432" s="267">
        <v>34</v>
      </c>
      <c r="J432" s="268" t="s">
        <v>5229</v>
      </c>
      <c r="K432" s="295" t="s">
        <v>5230</v>
      </c>
      <c r="L432" s="295"/>
      <c r="M432" s="268">
        <v>1</v>
      </c>
      <c r="N432" s="268" t="b">
        <v>1</v>
      </c>
      <c r="O432" s="268">
        <v>2</v>
      </c>
      <c r="P432" s="281">
        <v>30</v>
      </c>
      <c r="Q432" s="281">
        <v>40</v>
      </c>
      <c r="R432" s="268" t="s">
        <v>3383</v>
      </c>
      <c r="S432" s="268"/>
      <c r="T432" s="268">
        <v>1</v>
      </c>
      <c r="U432" s="268" t="s">
        <v>4880</v>
      </c>
      <c r="V432" s="269">
        <v>1</v>
      </c>
      <c r="W432" s="269"/>
      <c r="X432" s="268" t="s">
        <v>4881</v>
      </c>
      <c r="Y432" s="331" t="s">
        <v>5231</v>
      </c>
      <c r="Z432" s="332" t="s">
        <v>5232</v>
      </c>
      <c r="AA432" s="268" t="s">
        <v>4884</v>
      </c>
      <c r="AB432" s="268"/>
      <c r="AC432" s="287">
        <v>1</v>
      </c>
      <c r="AD432" s="287">
        <v>1</v>
      </c>
      <c r="AE432" s="268"/>
      <c r="AF432" s="268"/>
      <c r="AG432" s="290"/>
    </row>
    <row r="433" spans="1:33" s="145" customFormat="1" x14ac:dyDescent="0.15">
      <c r="A433" s="267">
        <v>95201112</v>
      </c>
      <c r="B433" s="268" t="s">
        <v>5228</v>
      </c>
      <c r="C433" s="293" t="s">
        <v>5148</v>
      </c>
      <c r="D433" s="293">
        <v>7906</v>
      </c>
      <c r="E433" s="268" t="s">
        <v>4876</v>
      </c>
      <c r="F433" s="268" t="s">
        <v>4877</v>
      </c>
      <c r="G433" s="269">
        <v>2</v>
      </c>
      <c r="H433" s="269">
        <v>0</v>
      </c>
      <c r="I433" s="267">
        <v>34</v>
      </c>
      <c r="J433" s="268" t="s">
        <v>5229</v>
      </c>
      <c r="K433" s="295" t="s">
        <v>5230</v>
      </c>
      <c r="L433" s="295"/>
      <c r="M433" s="268">
        <v>1</v>
      </c>
      <c r="N433" s="268" t="b">
        <v>1</v>
      </c>
      <c r="O433" s="268">
        <v>5</v>
      </c>
      <c r="P433" s="281">
        <v>75</v>
      </c>
      <c r="Q433" s="281">
        <v>100</v>
      </c>
      <c r="R433" s="268" t="s">
        <v>3383</v>
      </c>
      <c r="S433" s="268"/>
      <c r="T433" s="268">
        <v>1</v>
      </c>
      <c r="U433" s="268" t="s">
        <v>4880</v>
      </c>
      <c r="V433" s="269">
        <v>2</v>
      </c>
      <c r="W433" s="269"/>
      <c r="X433" s="268" t="s">
        <v>4881</v>
      </c>
      <c r="Y433" s="331" t="s">
        <v>5231</v>
      </c>
      <c r="Z433" s="332" t="s">
        <v>5232</v>
      </c>
      <c r="AA433" s="268" t="s">
        <v>4884</v>
      </c>
      <c r="AB433" s="268"/>
      <c r="AC433" s="287">
        <v>1</v>
      </c>
      <c r="AD433" s="287">
        <v>1</v>
      </c>
      <c r="AE433" s="268"/>
      <c r="AF433" s="268"/>
      <c r="AG433" s="290"/>
    </row>
    <row r="434" spans="1:33" s="145" customFormat="1" x14ac:dyDescent="0.15">
      <c r="A434" s="267">
        <v>95201113</v>
      </c>
      <c r="B434" s="268" t="s">
        <v>5228</v>
      </c>
      <c r="C434" s="293" t="s">
        <v>5148</v>
      </c>
      <c r="D434" s="293">
        <v>7906</v>
      </c>
      <c r="E434" s="268" t="s">
        <v>4876</v>
      </c>
      <c r="F434" s="268" t="s">
        <v>4877</v>
      </c>
      <c r="G434" s="269">
        <v>3</v>
      </c>
      <c r="H434" s="269">
        <v>0</v>
      </c>
      <c r="I434" s="267">
        <v>34</v>
      </c>
      <c r="J434" s="268" t="s">
        <v>5229</v>
      </c>
      <c r="K434" s="295" t="s">
        <v>5230</v>
      </c>
      <c r="L434" s="295"/>
      <c r="M434" s="268">
        <v>1</v>
      </c>
      <c r="N434" s="268" t="b">
        <v>1</v>
      </c>
      <c r="O434" s="268">
        <v>7</v>
      </c>
      <c r="P434" s="281">
        <v>105</v>
      </c>
      <c r="Q434" s="281">
        <v>140</v>
      </c>
      <c r="R434" s="268" t="s">
        <v>3383</v>
      </c>
      <c r="S434" s="268"/>
      <c r="T434" s="268">
        <v>1</v>
      </c>
      <c r="U434" s="268" t="s">
        <v>4880</v>
      </c>
      <c r="V434" s="269">
        <v>3</v>
      </c>
      <c r="W434" s="269"/>
      <c r="X434" s="268" t="s">
        <v>4881</v>
      </c>
      <c r="Y434" s="331" t="s">
        <v>5231</v>
      </c>
      <c r="Z434" s="332" t="s">
        <v>5232</v>
      </c>
      <c r="AA434" s="268" t="s">
        <v>4884</v>
      </c>
      <c r="AB434" s="268"/>
      <c r="AC434" s="287">
        <v>1</v>
      </c>
      <c r="AD434" s="287">
        <v>1</v>
      </c>
      <c r="AE434" s="268"/>
      <c r="AF434" s="268"/>
      <c r="AG434" s="290"/>
    </row>
    <row r="435" spans="1:33" s="145" customFormat="1" x14ac:dyDescent="0.15">
      <c r="A435" s="267">
        <v>95201114</v>
      </c>
      <c r="B435" s="268" t="s">
        <v>5228</v>
      </c>
      <c r="C435" s="293" t="s">
        <v>5148</v>
      </c>
      <c r="D435" s="293">
        <v>7906</v>
      </c>
      <c r="E435" s="268" t="s">
        <v>4876</v>
      </c>
      <c r="F435" s="268" t="s">
        <v>4877</v>
      </c>
      <c r="G435" s="269">
        <v>4</v>
      </c>
      <c r="H435" s="269">
        <v>0</v>
      </c>
      <c r="I435" s="267">
        <v>34</v>
      </c>
      <c r="J435" s="268" t="s">
        <v>5229</v>
      </c>
      <c r="K435" s="295" t="s">
        <v>5230</v>
      </c>
      <c r="L435" s="295"/>
      <c r="M435" s="268">
        <v>1</v>
      </c>
      <c r="N435" s="268" t="b">
        <v>1</v>
      </c>
      <c r="O435" s="268">
        <v>10</v>
      </c>
      <c r="P435" s="281">
        <v>150</v>
      </c>
      <c r="Q435" s="281">
        <v>200</v>
      </c>
      <c r="R435" s="268" t="s">
        <v>3383</v>
      </c>
      <c r="S435" s="268"/>
      <c r="T435" s="268">
        <v>1</v>
      </c>
      <c r="U435" s="268" t="s">
        <v>4880</v>
      </c>
      <c r="V435" s="269">
        <v>4</v>
      </c>
      <c r="W435" s="269"/>
      <c r="X435" s="268" t="s">
        <v>4881</v>
      </c>
      <c r="Y435" s="331" t="s">
        <v>5231</v>
      </c>
      <c r="Z435" s="332" t="s">
        <v>5232</v>
      </c>
      <c r="AA435" s="268" t="s">
        <v>4884</v>
      </c>
      <c r="AB435" s="268"/>
      <c r="AC435" s="287">
        <v>1</v>
      </c>
      <c r="AD435" s="287">
        <v>1</v>
      </c>
      <c r="AE435" s="268"/>
      <c r="AF435" s="268"/>
      <c r="AG435" s="290"/>
    </row>
    <row r="436" spans="1:33" s="145" customFormat="1" x14ac:dyDescent="0.15">
      <c r="A436" s="267">
        <v>95201115</v>
      </c>
      <c r="B436" s="268" t="s">
        <v>5228</v>
      </c>
      <c r="C436" s="293" t="s">
        <v>5148</v>
      </c>
      <c r="D436" s="293">
        <v>7906</v>
      </c>
      <c r="E436" s="268" t="s">
        <v>4876</v>
      </c>
      <c r="F436" s="268" t="s">
        <v>4877</v>
      </c>
      <c r="G436" s="269">
        <v>5</v>
      </c>
      <c r="H436" s="269">
        <v>0</v>
      </c>
      <c r="I436" s="267">
        <v>34</v>
      </c>
      <c r="J436" s="268" t="s">
        <v>5229</v>
      </c>
      <c r="K436" s="295" t="s">
        <v>5230</v>
      </c>
      <c r="L436" s="295"/>
      <c r="M436" s="268">
        <v>1</v>
      </c>
      <c r="N436" s="268" t="b">
        <v>1</v>
      </c>
      <c r="O436" s="268">
        <v>12</v>
      </c>
      <c r="P436" s="281">
        <v>180</v>
      </c>
      <c r="Q436" s="281">
        <v>240</v>
      </c>
      <c r="R436" s="268" t="s">
        <v>3383</v>
      </c>
      <c r="S436" s="268"/>
      <c r="T436" s="268">
        <v>1</v>
      </c>
      <c r="U436" s="268" t="s">
        <v>4880</v>
      </c>
      <c r="V436" s="269">
        <v>5</v>
      </c>
      <c r="W436" s="269"/>
      <c r="X436" s="268" t="s">
        <v>4881</v>
      </c>
      <c r="Y436" s="331" t="s">
        <v>5231</v>
      </c>
      <c r="Z436" s="332" t="s">
        <v>5232</v>
      </c>
      <c r="AA436" s="268" t="s">
        <v>4884</v>
      </c>
      <c r="AB436" s="268"/>
      <c r="AC436" s="287">
        <v>1</v>
      </c>
      <c r="AD436" s="287">
        <v>1</v>
      </c>
      <c r="AE436" s="268"/>
      <c r="AF436" s="268"/>
      <c r="AG436" s="290"/>
    </row>
    <row r="437" spans="1:33" s="145" customFormat="1" x14ac:dyDescent="0.15">
      <c r="A437" s="271">
        <v>95201116</v>
      </c>
      <c r="B437" s="272" t="s">
        <v>5228</v>
      </c>
      <c r="C437" s="272" t="s">
        <v>5148</v>
      </c>
      <c r="D437" s="272">
        <v>7906</v>
      </c>
      <c r="E437" s="272" t="s">
        <v>4876</v>
      </c>
      <c r="F437" s="272" t="s">
        <v>4877</v>
      </c>
      <c r="G437" s="294">
        <v>6</v>
      </c>
      <c r="H437" s="273">
        <v>0</v>
      </c>
      <c r="I437" s="283">
        <v>34</v>
      </c>
      <c r="J437" s="284" t="s">
        <v>5229</v>
      </c>
      <c r="K437" s="285" t="s">
        <v>5230</v>
      </c>
      <c r="L437" s="285"/>
      <c r="M437" s="272">
        <v>1</v>
      </c>
      <c r="N437" s="272" t="b">
        <v>1</v>
      </c>
      <c r="O437" s="272">
        <v>25</v>
      </c>
      <c r="P437" s="281">
        <v>375</v>
      </c>
      <c r="Q437" s="281">
        <v>500</v>
      </c>
      <c r="R437" s="272" t="s">
        <v>3383</v>
      </c>
      <c r="S437" s="272"/>
      <c r="T437" s="272">
        <v>1</v>
      </c>
      <c r="U437" s="272" t="s">
        <v>4880</v>
      </c>
      <c r="V437" s="273">
        <v>6</v>
      </c>
      <c r="W437" s="273"/>
      <c r="X437" s="272" t="s">
        <v>4881</v>
      </c>
      <c r="Y437" s="333" t="s">
        <v>5231</v>
      </c>
      <c r="Z437" s="334" t="s">
        <v>5232</v>
      </c>
      <c r="AA437" s="272" t="s">
        <v>4884</v>
      </c>
      <c r="AB437" s="272"/>
      <c r="AC437" s="289">
        <v>1</v>
      </c>
      <c r="AD437" s="289">
        <v>1</v>
      </c>
      <c r="AE437" s="272"/>
      <c r="AF437" s="272"/>
      <c r="AG437" s="296"/>
    </row>
    <row r="438" spans="1:33" s="145" customFormat="1" x14ac:dyDescent="0.15">
      <c r="A438" s="270">
        <v>95201117</v>
      </c>
      <c r="B438" s="268" t="s">
        <v>5228</v>
      </c>
      <c r="C438" s="268" t="s">
        <v>5148</v>
      </c>
      <c r="D438" s="268">
        <v>7906</v>
      </c>
      <c r="E438" s="268" t="s">
        <v>4876</v>
      </c>
      <c r="F438" s="268" t="s">
        <v>4877</v>
      </c>
      <c r="G438" s="269">
        <v>7</v>
      </c>
      <c r="H438" s="269">
        <v>0</v>
      </c>
      <c r="I438" s="267">
        <v>34</v>
      </c>
      <c r="J438" s="282" t="s">
        <v>5229</v>
      </c>
      <c r="K438" s="279" t="s">
        <v>5230</v>
      </c>
      <c r="L438" s="279"/>
      <c r="M438" s="268">
        <v>1</v>
      </c>
      <c r="N438" s="268" t="b">
        <v>1</v>
      </c>
      <c r="O438" s="268">
        <v>38</v>
      </c>
      <c r="P438" s="281">
        <v>570</v>
      </c>
      <c r="Q438" s="281">
        <v>760</v>
      </c>
      <c r="R438" s="268" t="s">
        <v>3383</v>
      </c>
      <c r="S438" s="268"/>
      <c r="T438" s="268">
        <v>1</v>
      </c>
      <c r="U438" s="268" t="s">
        <v>4880</v>
      </c>
      <c r="V438" s="269">
        <v>7</v>
      </c>
      <c r="W438" s="269"/>
      <c r="X438" s="268" t="s">
        <v>4881</v>
      </c>
      <c r="Y438" s="331" t="s">
        <v>5231</v>
      </c>
      <c r="Z438" s="332" t="s">
        <v>5232</v>
      </c>
      <c r="AA438" s="268" t="s">
        <v>4884</v>
      </c>
      <c r="AB438" s="268"/>
      <c r="AC438" s="287">
        <v>1</v>
      </c>
      <c r="AD438" s="287">
        <v>1</v>
      </c>
      <c r="AE438" s="268"/>
      <c r="AF438" s="268"/>
      <c r="AG438" s="290"/>
    </row>
    <row r="439" spans="1:33" s="258" customFormat="1" x14ac:dyDescent="0.15">
      <c r="A439" s="271">
        <v>95201118</v>
      </c>
      <c r="B439" s="272" t="s">
        <v>5233</v>
      </c>
      <c r="C439" s="272" t="s">
        <v>5148</v>
      </c>
      <c r="D439" s="272">
        <v>5081</v>
      </c>
      <c r="E439" s="272" t="s">
        <v>4876</v>
      </c>
      <c r="F439" s="272" t="s">
        <v>4877</v>
      </c>
      <c r="G439" s="269">
        <v>6</v>
      </c>
      <c r="H439" s="273">
        <v>1</v>
      </c>
      <c r="I439" s="283">
        <v>34</v>
      </c>
      <c r="J439" s="284" t="s">
        <v>5229</v>
      </c>
      <c r="K439" s="285" t="s">
        <v>5230</v>
      </c>
      <c r="L439" s="272" t="s">
        <v>44</v>
      </c>
      <c r="M439" s="272">
        <v>1</v>
      </c>
      <c r="N439" s="272" t="b">
        <v>1</v>
      </c>
      <c r="O439" s="272">
        <v>51</v>
      </c>
      <c r="P439" s="281">
        <v>765</v>
      </c>
      <c r="Q439" s="281">
        <v>1020</v>
      </c>
      <c r="R439" s="272" t="s">
        <v>3383</v>
      </c>
      <c r="S439" s="272"/>
      <c r="T439" s="272">
        <v>1</v>
      </c>
      <c r="U439" s="272" t="s">
        <v>4880</v>
      </c>
      <c r="V439" s="273">
        <v>10</v>
      </c>
      <c r="W439" s="273"/>
      <c r="X439" s="272" t="s">
        <v>4881</v>
      </c>
      <c r="Y439" s="333" t="s">
        <v>5231</v>
      </c>
      <c r="Z439" s="334" t="s">
        <v>5232</v>
      </c>
      <c r="AA439" s="272" t="s">
        <v>4884</v>
      </c>
      <c r="AB439" s="272"/>
      <c r="AC439" s="289">
        <v>1</v>
      </c>
      <c r="AD439" s="289">
        <v>1</v>
      </c>
      <c r="AE439" s="289"/>
      <c r="AF439" s="272"/>
      <c r="AG439" s="272"/>
    </row>
    <row r="440" spans="1:33" s="258" customFormat="1" x14ac:dyDescent="0.15">
      <c r="A440" s="271">
        <v>95201119</v>
      </c>
      <c r="B440" s="272" t="s">
        <v>5234</v>
      </c>
      <c r="C440" s="272" t="s">
        <v>5148</v>
      </c>
      <c r="D440" s="272">
        <v>5081</v>
      </c>
      <c r="E440" s="272" t="s">
        <v>4876</v>
      </c>
      <c r="F440" s="272" t="s">
        <v>4877</v>
      </c>
      <c r="G440" s="269">
        <v>6</v>
      </c>
      <c r="H440" s="273">
        <v>1</v>
      </c>
      <c r="I440" s="283">
        <v>34</v>
      </c>
      <c r="J440" s="284" t="s">
        <v>5229</v>
      </c>
      <c r="K440" s="285" t="s">
        <v>5230</v>
      </c>
      <c r="L440" s="272" t="s">
        <v>4887</v>
      </c>
      <c r="M440" s="272">
        <v>1</v>
      </c>
      <c r="N440" s="272" t="b">
        <v>1</v>
      </c>
      <c r="O440" s="272">
        <v>64</v>
      </c>
      <c r="P440" s="281">
        <v>960</v>
      </c>
      <c r="Q440" s="281">
        <v>1280</v>
      </c>
      <c r="R440" s="272" t="s">
        <v>3383</v>
      </c>
      <c r="S440" s="272"/>
      <c r="T440" s="272">
        <v>1</v>
      </c>
      <c r="U440" s="272" t="s">
        <v>4880</v>
      </c>
      <c r="V440" s="273">
        <v>10</v>
      </c>
      <c r="W440" s="273"/>
      <c r="X440" s="272" t="s">
        <v>4881</v>
      </c>
      <c r="Y440" s="333" t="s">
        <v>5231</v>
      </c>
      <c r="Z440" s="334" t="s">
        <v>5232</v>
      </c>
      <c r="AA440" s="272" t="s">
        <v>4884</v>
      </c>
      <c r="AB440" s="272"/>
      <c r="AC440" s="289">
        <v>1</v>
      </c>
      <c r="AD440" s="289">
        <v>1</v>
      </c>
      <c r="AE440" s="289"/>
      <c r="AF440" s="272"/>
      <c r="AG440" s="272"/>
    </row>
    <row r="441" spans="1:33" s="258" customFormat="1" x14ac:dyDescent="0.15">
      <c r="A441" s="271">
        <v>95201120</v>
      </c>
      <c r="B441" s="272" t="s">
        <v>5235</v>
      </c>
      <c r="C441" s="272" t="s">
        <v>5148</v>
      </c>
      <c r="D441" s="272">
        <v>5081</v>
      </c>
      <c r="E441" s="272" t="s">
        <v>4876</v>
      </c>
      <c r="F441" s="272" t="s">
        <v>4877</v>
      </c>
      <c r="G441" s="269">
        <v>7</v>
      </c>
      <c r="H441" s="273">
        <v>0</v>
      </c>
      <c r="I441" s="283">
        <v>34</v>
      </c>
      <c r="J441" s="284" t="s">
        <v>5229</v>
      </c>
      <c r="K441" s="285" t="s">
        <v>5230</v>
      </c>
      <c r="L441" s="272" t="s">
        <v>4889</v>
      </c>
      <c r="M441" s="272">
        <v>1</v>
      </c>
      <c r="N441" s="272" t="b">
        <v>1</v>
      </c>
      <c r="O441" s="272">
        <v>77</v>
      </c>
      <c r="P441" s="281">
        <v>1155</v>
      </c>
      <c r="Q441" s="281">
        <v>1540</v>
      </c>
      <c r="R441" s="272" t="s">
        <v>3383</v>
      </c>
      <c r="S441" s="272"/>
      <c r="T441" s="272">
        <v>1</v>
      </c>
      <c r="U441" s="272" t="s">
        <v>4880</v>
      </c>
      <c r="V441" s="273">
        <v>10</v>
      </c>
      <c r="W441" s="273"/>
      <c r="X441" s="272" t="s">
        <v>4881</v>
      </c>
      <c r="Y441" s="333" t="s">
        <v>5231</v>
      </c>
      <c r="Z441" s="334" t="s">
        <v>5232</v>
      </c>
      <c r="AA441" s="272" t="s">
        <v>4884</v>
      </c>
      <c r="AB441" s="272"/>
      <c r="AC441" s="289">
        <v>1</v>
      </c>
      <c r="AD441" s="289">
        <v>1</v>
      </c>
      <c r="AE441" s="289"/>
      <c r="AF441" s="272"/>
      <c r="AG441" s="272"/>
    </row>
    <row r="442" spans="1:33" s="145" customFormat="1" x14ac:dyDescent="0.15">
      <c r="A442" s="267">
        <v>95201121</v>
      </c>
      <c r="B442" s="268" t="s">
        <v>5236</v>
      </c>
      <c r="C442" s="293" t="s">
        <v>5148</v>
      </c>
      <c r="D442" s="293">
        <v>7906</v>
      </c>
      <c r="E442" s="268" t="s">
        <v>4876</v>
      </c>
      <c r="F442" s="268" t="s">
        <v>4877</v>
      </c>
      <c r="G442" s="269">
        <v>1</v>
      </c>
      <c r="H442" s="269">
        <v>0</v>
      </c>
      <c r="I442" s="267">
        <v>34</v>
      </c>
      <c r="J442" s="268" t="s">
        <v>5237</v>
      </c>
      <c r="K442" s="295" t="s">
        <v>5238</v>
      </c>
      <c r="L442" s="295"/>
      <c r="M442" s="268">
        <v>1</v>
      </c>
      <c r="N442" s="268" t="b">
        <v>1</v>
      </c>
      <c r="O442" s="268">
        <v>200</v>
      </c>
      <c r="P442" s="281">
        <v>3000</v>
      </c>
      <c r="Q442" s="281">
        <v>4000</v>
      </c>
      <c r="R442" s="268" t="s">
        <v>3383</v>
      </c>
      <c r="S442" s="268"/>
      <c r="T442" s="268">
        <v>1</v>
      </c>
      <c r="U442" s="268" t="s">
        <v>4880</v>
      </c>
      <c r="V442" s="269">
        <v>1</v>
      </c>
      <c r="W442" s="269"/>
      <c r="X442" s="268" t="s">
        <v>4881</v>
      </c>
      <c r="Y442" s="331" t="s">
        <v>5239</v>
      </c>
      <c r="Z442" s="332" t="s">
        <v>5240</v>
      </c>
      <c r="AA442" s="268" t="s">
        <v>4884</v>
      </c>
      <c r="AB442" s="268"/>
      <c r="AC442" s="287">
        <v>1</v>
      </c>
      <c r="AD442" s="287">
        <v>1</v>
      </c>
      <c r="AE442" s="268"/>
      <c r="AF442" s="268"/>
      <c r="AG442" s="290"/>
    </row>
    <row r="443" spans="1:33" s="145" customFormat="1" x14ac:dyDescent="0.15">
      <c r="A443" s="267">
        <v>95201122</v>
      </c>
      <c r="B443" s="268" t="s">
        <v>5236</v>
      </c>
      <c r="C443" s="293" t="s">
        <v>5148</v>
      </c>
      <c r="D443" s="293">
        <v>7906</v>
      </c>
      <c r="E443" s="268" t="s">
        <v>4876</v>
      </c>
      <c r="F443" s="268" t="s">
        <v>4877</v>
      </c>
      <c r="G443" s="269">
        <v>2</v>
      </c>
      <c r="H443" s="269">
        <v>0</v>
      </c>
      <c r="I443" s="267">
        <v>34</v>
      </c>
      <c r="J443" s="268" t="s">
        <v>5237</v>
      </c>
      <c r="K443" s="295" t="s">
        <v>5238</v>
      </c>
      <c r="L443" s="295"/>
      <c r="M443" s="268">
        <v>1</v>
      </c>
      <c r="N443" s="268" t="b">
        <v>1</v>
      </c>
      <c r="O443" s="268">
        <v>500</v>
      </c>
      <c r="P443" s="281">
        <v>7500</v>
      </c>
      <c r="Q443" s="281">
        <v>10000</v>
      </c>
      <c r="R443" s="268" t="s">
        <v>3383</v>
      </c>
      <c r="S443" s="268"/>
      <c r="T443" s="268">
        <v>1</v>
      </c>
      <c r="U443" s="268" t="s">
        <v>4880</v>
      </c>
      <c r="V443" s="269">
        <v>2</v>
      </c>
      <c r="W443" s="269"/>
      <c r="X443" s="268" t="s">
        <v>4881</v>
      </c>
      <c r="Y443" s="331" t="s">
        <v>5239</v>
      </c>
      <c r="Z443" s="332" t="s">
        <v>5240</v>
      </c>
      <c r="AA443" s="268" t="s">
        <v>4884</v>
      </c>
      <c r="AB443" s="268"/>
      <c r="AC443" s="287">
        <v>1</v>
      </c>
      <c r="AD443" s="287">
        <v>1</v>
      </c>
      <c r="AE443" s="268"/>
      <c r="AF443" s="268"/>
      <c r="AG443" s="290"/>
    </row>
    <row r="444" spans="1:33" s="145" customFormat="1" x14ac:dyDescent="0.15">
      <c r="A444" s="267">
        <v>95201123</v>
      </c>
      <c r="B444" s="268" t="s">
        <v>5236</v>
      </c>
      <c r="C444" s="293" t="s">
        <v>5148</v>
      </c>
      <c r="D444" s="293">
        <v>7906</v>
      </c>
      <c r="E444" s="268" t="s">
        <v>4876</v>
      </c>
      <c r="F444" s="268" t="s">
        <v>4877</v>
      </c>
      <c r="G444" s="269">
        <v>3</v>
      </c>
      <c r="H444" s="269">
        <v>0</v>
      </c>
      <c r="I444" s="267">
        <v>34</v>
      </c>
      <c r="J444" s="268" t="s">
        <v>5237</v>
      </c>
      <c r="K444" s="295" t="s">
        <v>5238</v>
      </c>
      <c r="L444" s="295"/>
      <c r="M444" s="268">
        <v>1</v>
      </c>
      <c r="N444" s="268" t="b">
        <v>1</v>
      </c>
      <c r="O444" s="268">
        <v>700</v>
      </c>
      <c r="P444" s="281">
        <v>10500</v>
      </c>
      <c r="Q444" s="281">
        <v>14000</v>
      </c>
      <c r="R444" s="268" t="s">
        <v>3383</v>
      </c>
      <c r="S444" s="268"/>
      <c r="T444" s="268">
        <v>1</v>
      </c>
      <c r="U444" s="268" t="s">
        <v>4880</v>
      </c>
      <c r="V444" s="269">
        <v>3</v>
      </c>
      <c r="W444" s="269"/>
      <c r="X444" s="268" t="s">
        <v>4881</v>
      </c>
      <c r="Y444" s="331" t="s">
        <v>5239</v>
      </c>
      <c r="Z444" s="332" t="s">
        <v>5240</v>
      </c>
      <c r="AA444" s="268" t="s">
        <v>4884</v>
      </c>
      <c r="AB444" s="268"/>
      <c r="AC444" s="287">
        <v>1</v>
      </c>
      <c r="AD444" s="287">
        <v>1</v>
      </c>
      <c r="AE444" s="268"/>
      <c r="AF444" s="268"/>
      <c r="AG444" s="290"/>
    </row>
    <row r="445" spans="1:33" s="145" customFormat="1" x14ac:dyDescent="0.15">
      <c r="A445" s="267">
        <v>95201124</v>
      </c>
      <c r="B445" s="268" t="s">
        <v>5236</v>
      </c>
      <c r="C445" s="293" t="s">
        <v>5148</v>
      </c>
      <c r="D445" s="293">
        <v>7906</v>
      </c>
      <c r="E445" s="268" t="s">
        <v>4876</v>
      </c>
      <c r="F445" s="268" t="s">
        <v>4877</v>
      </c>
      <c r="G445" s="269">
        <v>4</v>
      </c>
      <c r="H445" s="269">
        <v>0</v>
      </c>
      <c r="I445" s="267">
        <v>34</v>
      </c>
      <c r="J445" s="268" t="s">
        <v>5237</v>
      </c>
      <c r="K445" s="295" t="s">
        <v>5238</v>
      </c>
      <c r="L445" s="295"/>
      <c r="M445" s="268">
        <v>1</v>
      </c>
      <c r="N445" s="268" t="b">
        <v>1</v>
      </c>
      <c r="O445" s="268">
        <v>1000</v>
      </c>
      <c r="P445" s="281">
        <v>15000</v>
      </c>
      <c r="Q445" s="281">
        <v>20000</v>
      </c>
      <c r="R445" s="268" t="s">
        <v>3383</v>
      </c>
      <c r="S445" s="268"/>
      <c r="T445" s="268">
        <v>1</v>
      </c>
      <c r="U445" s="268" t="s">
        <v>4880</v>
      </c>
      <c r="V445" s="269">
        <v>4</v>
      </c>
      <c r="W445" s="269"/>
      <c r="X445" s="268" t="s">
        <v>4881</v>
      </c>
      <c r="Y445" s="331" t="s">
        <v>5239</v>
      </c>
      <c r="Z445" s="332" t="s">
        <v>5240</v>
      </c>
      <c r="AA445" s="268" t="s">
        <v>4884</v>
      </c>
      <c r="AB445" s="268"/>
      <c r="AC445" s="287">
        <v>1</v>
      </c>
      <c r="AD445" s="287">
        <v>1</v>
      </c>
      <c r="AE445" s="268"/>
      <c r="AF445" s="268"/>
      <c r="AG445" s="290"/>
    </row>
    <row r="446" spans="1:33" s="145" customFormat="1" x14ac:dyDescent="0.15">
      <c r="A446" s="267">
        <v>95201125</v>
      </c>
      <c r="B446" s="268" t="s">
        <v>5236</v>
      </c>
      <c r="C446" s="293" t="s">
        <v>5148</v>
      </c>
      <c r="D446" s="293">
        <v>7906</v>
      </c>
      <c r="E446" s="268" t="s">
        <v>4876</v>
      </c>
      <c r="F446" s="268" t="s">
        <v>4877</v>
      </c>
      <c r="G446" s="269">
        <v>5</v>
      </c>
      <c r="H446" s="269">
        <v>0</v>
      </c>
      <c r="I446" s="267">
        <v>34</v>
      </c>
      <c r="J446" s="268" t="s">
        <v>5237</v>
      </c>
      <c r="K446" s="295" t="s">
        <v>5238</v>
      </c>
      <c r="L446" s="295"/>
      <c r="M446" s="268">
        <v>1</v>
      </c>
      <c r="N446" s="268" t="b">
        <v>1</v>
      </c>
      <c r="O446" s="268">
        <v>1200</v>
      </c>
      <c r="P446" s="281">
        <v>18000</v>
      </c>
      <c r="Q446" s="281">
        <v>24000</v>
      </c>
      <c r="R446" s="268" t="s">
        <v>3383</v>
      </c>
      <c r="S446" s="268"/>
      <c r="T446" s="268">
        <v>1</v>
      </c>
      <c r="U446" s="268" t="s">
        <v>4880</v>
      </c>
      <c r="V446" s="269">
        <v>5</v>
      </c>
      <c r="W446" s="269"/>
      <c r="X446" s="268" t="s">
        <v>4881</v>
      </c>
      <c r="Y446" s="331" t="s">
        <v>5239</v>
      </c>
      <c r="Z446" s="332" t="s">
        <v>5240</v>
      </c>
      <c r="AA446" s="268" t="s">
        <v>4884</v>
      </c>
      <c r="AB446" s="268"/>
      <c r="AC446" s="287">
        <v>1</v>
      </c>
      <c r="AD446" s="287">
        <v>1</v>
      </c>
      <c r="AE446" s="268"/>
      <c r="AF446" s="268"/>
      <c r="AG446" s="290"/>
    </row>
    <row r="447" spans="1:33" s="145" customFormat="1" x14ac:dyDescent="0.15">
      <c r="A447" s="270">
        <v>95201126</v>
      </c>
      <c r="B447" s="268" t="s">
        <v>5236</v>
      </c>
      <c r="C447" s="268" t="s">
        <v>5148</v>
      </c>
      <c r="D447" s="268">
        <v>7906</v>
      </c>
      <c r="E447" s="268" t="s">
        <v>4876</v>
      </c>
      <c r="F447" s="268" t="s">
        <v>4877</v>
      </c>
      <c r="G447" s="269">
        <v>7</v>
      </c>
      <c r="H447" s="269">
        <v>0</v>
      </c>
      <c r="I447" s="267">
        <v>34</v>
      </c>
      <c r="J447" s="282" t="s">
        <v>5237</v>
      </c>
      <c r="K447" s="279" t="s">
        <v>5238</v>
      </c>
      <c r="L447" s="279"/>
      <c r="M447" s="268">
        <v>1</v>
      </c>
      <c r="N447" s="268" t="b">
        <v>1</v>
      </c>
      <c r="O447" s="268">
        <v>2500</v>
      </c>
      <c r="P447" s="281">
        <v>37500</v>
      </c>
      <c r="Q447" s="281">
        <v>50000</v>
      </c>
      <c r="R447" s="268" t="s">
        <v>3383</v>
      </c>
      <c r="S447" s="268"/>
      <c r="T447" s="268">
        <v>1</v>
      </c>
      <c r="U447" s="268" t="s">
        <v>4880</v>
      </c>
      <c r="V447" s="269">
        <v>7</v>
      </c>
      <c r="W447" s="269"/>
      <c r="X447" s="268" t="s">
        <v>4881</v>
      </c>
      <c r="Y447" s="331" t="s">
        <v>5239</v>
      </c>
      <c r="Z447" s="332" t="s">
        <v>5240</v>
      </c>
      <c r="AA447" s="268" t="s">
        <v>4884</v>
      </c>
      <c r="AB447" s="268"/>
      <c r="AC447" s="287">
        <v>1</v>
      </c>
      <c r="AD447" s="287">
        <v>1</v>
      </c>
      <c r="AE447" s="268"/>
      <c r="AF447" s="268"/>
      <c r="AG447" s="290"/>
    </row>
    <row r="448" spans="1:33" s="145" customFormat="1" x14ac:dyDescent="0.15">
      <c r="A448" s="270">
        <v>95201127</v>
      </c>
      <c r="B448" s="268" t="s">
        <v>5236</v>
      </c>
      <c r="C448" s="268" t="s">
        <v>5148</v>
      </c>
      <c r="D448" s="268">
        <v>7906</v>
      </c>
      <c r="E448" s="268" t="s">
        <v>4876</v>
      </c>
      <c r="F448" s="268" t="s">
        <v>4877</v>
      </c>
      <c r="G448" s="269">
        <v>6</v>
      </c>
      <c r="H448" s="269">
        <v>0</v>
      </c>
      <c r="I448" s="267">
        <v>34</v>
      </c>
      <c r="J448" s="282" t="s">
        <v>5237</v>
      </c>
      <c r="K448" s="279" t="s">
        <v>5238</v>
      </c>
      <c r="L448" s="279"/>
      <c r="M448" s="268">
        <v>1</v>
      </c>
      <c r="N448" s="268" t="b">
        <v>1</v>
      </c>
      <c r="O448" s="268">
        <v>3800</v>
      </c>
      <c r="P448" s="281">
        <v>57000</v>
      </c>
      <c r="Q448" s="281">
        <v>76000</v>
      </c>
      <c r="R448" s="268" t="s">
        <v>3383</v>
      </c>
      <c r="S448" s="268"/>
      <c r="T448" s="268">
        <v>1</v>
      </c>
      <c r="U448" s="268" t="s">
        <v>4880</v>
      </c>
      <c r="V448" s="269">
        <v>6</v>
      </c>
      <c r="W448" s="269"/>
      <c r="X448" s="268" t="s">
        <v>4881</v>
      </c>
      <c r="Y448" s="331" t="s">
        <v>5239</v>
      </c>
      <c r="Z448" s="332" t="s">
        <v>5240</v>
      </c>
      <c r="AA448" s="268" t="s">
        <v>4884</v>
      </c>
      <c r="AB448" s="268"/>
      <c r="AC448" s="287">
        <v>1</v>
      </c>
      <c r="AD448" s="287">
        <v>1</v>
      </c>
      <c r="AE448" s="268"/>
      <c r="AF448" s="268"/>
      <c r="AG448" s="290"/>
    </row>
    <row r="449" spans="1:33" s="258" customFormat="1" x14ac:dyDescent="0.15">
      <c r="A449" s="271">
        <v>95201128</v>
      </c>
      <c r="B449" s="272" t="s">
        <v>5241</v>
      </c>
      <c r="C449" s="272" t="s">
        <v>5148</v>
      </c>
      <c r="D449" s="272">
        <v>5081</v>
      </c>
      <c r="E449" s="272" t="s">
        <v>4876</v>
      </c>
      <c r="F449" s="272" t="s">
        <v>4877</v>
      </c>
      <c r="G449" s="269">
        <v>6</v>
      </c>
      <c r="H449" s="273">
        <v>0</v>
      </c>
      <c r="I449" s="283">
        <v>34</v>
      </c>
      <c r="J449" s="284" t="s">
        <v>5237</v>
      </c>
      <c r="K449" s="285" t="s">
        <v>5238</v>
      </c>
      <c r="L449" s="272" t="s">
        <v>44</v>
      </c>
      <c r="M449" s="272">
        <v>1</v>
      </c>
      <c r="N449" s="272" t="b">
        <v>1</v>
      </c>
      <c r="O449" s="272">
        <v>51</v>
      </c>
      <c r="P449" s="281">
        <v>765</v>
      </c>
      <c r="Q449" s="281">
        <v>1020</v>
      </c>
      <c r="R449" s="272" t="s">
        <v>3383</v>
      </c>
      <c r="S449" s="272"/>
      <c r="T449" s="272">
        <v>1</v>
      </c>
      <c r="U449" s="272" t="s">
        <v>4880</v>
      </c>
      <c r="V449" s="273">
        <v>10</v>
      </c>
      <c r="W449" s="273"/>
      <c r="X449" s="272" t="s">
        <v>4881</v>
      </c>
      <c r="Y449" s="333" t="s">
        <v>5239</v>
      </c>
      <c r="Z449" s="334" t="s">
        <v>5240</v>
      </c>
      <c r="AA449" s="272" t="s">
        <v>4884</v>
      </c>
      <c r="AB449" s="272"/>
      <c r="AC449" s="289">
        <v>1</v>
      </c>
      <c r="AD449" s="289">
        <v>1</v>
      </c>
      <c r="AE449" s="289"/>
      <c r="AF449" s="272"/>
      <c r="AG449" s="272"/>
    </row>
    <row r="450" spans="1:33" s="258" customFormat="1" x14ac:dyDescent="0.15">
      <c r="A450" s="271">
        <v>95201129</v>
      </c>
      <c r="B450" s="272" t="s">
        <v>5242</v>
      </c>
      <c r="C450" s="272" t="s">
        <v>5148</v>
      </c>
      <c r="D450" s="272">
        <v>5081</v>
      </c>
      <c r="E450" s="272" t="s">
        <v>4876</v>
      </c>
      <c r="F450" s="272" t="s">
        <v>4877</v>
      </c>
      <c r="G450" s="269">
        <v>6</v>
      </c>
      <c r="H450" s="273">
        <v>0</v>
      </c>
      <c r="I450" s="283">
        <v>34</v>
      </c>
      <c r="J450" s="284" t="s">
        <v>5237</v>
      </c>
      <c r="K450" s="285" t="s">
        <v>5238</v>
      </c>
      <c r="L450" s="272" t="s">
        <v>4887</v>
      </c>
      <c r="M450" s="272">
        <v>1</v>
      </c>
      <c r="N450" s="272" t="b">
        <v>1</v>
      </c>
      <c r="O450" s="272">
        <v>64</v>
      </c>
      <c r="P450" s="281">
        <v>960</v>
      </c>
      <c r="Q450" s="281">
        <v>1280</v>
      </c>
      <c r="R450" s="272" t="s">
        <v>3383</v>
      </c>
      <c r="S450" s="272"/>
      <c r="T450" s="272">
        <v>1</v>
      </c>
      <c r="U450" s="272" t="s">
        <v>4880</v>
      </c>
      <c r="V450" s="273">
        <v>10</v>
      </c>
      <c r="W450" s="273"/>
      <c r="X450" s="272" t="s">
        <v>4881</v>
      </c>
      <c r="Y450" s="333" t="s">
        <v>5239</v>
      </c>
      <c r="Z450" s="334" t="s">
        <v>5240</v>
      </c>
      <c r="AA450" s="272" t="s">
        <v>4884</v>
      </c>
      <c r="AB450" s="272"/>
      <c r="AC450" s="289">
        <v>1</v>
      </c>
      <c r="AD450" s="289">
        <v>1</v>
      </c>
      <c r="AE450" s="289"/>
      <c r="AF450" s="272"/>
      <c r="AG450" s="272"/>
    </row>
    <row r="451" spans="1:33" s="258" customFormat="1" x14ac:dyDescent="0.15">
      <c r="A451" s="271">
        <v>95201130</v>
      </c>
      <c r="B451" s="272" t="s">
        <v>5243</v>
      </c>
      <c r="C451" s="272" t="s">
        <v>5148</v>
      </c>
      <c r="D451" s="272">
        <v>5081</v>
      </c>
      <c r="E451" s="272" t="s">
        <v>4876</v>
      </c>
      <c r="F451" s="272" t="s">
        <v>4877</v>
      </c>
      <c r="G451" s="269">
        <v>7</v>
      </c>
      <c r="H451" s="273">
        <v>0</v>
      </c>
      <c r="I451" s="283">
        <v>34</v>
      </c>
      <c r="J451" s="284" t="s">
        <v>5237</v>
      </c>
      <c r="K451" s="285" t="s">
        <v>5238</v>
      </c>
      <c r="L451" s="272" t="s">
        <v>4889</v>
      </c>
      <c r="M451" s="272">
        <v>1</v>
      </c>
      <c r="N451" s="272" t="b">
        <v>1</v>
      </c>
      <c r="O451" s="272">
        <v>77</v>
      </c>
      <c r="P451" s="281">
        <v>1155</v>
      </c>
      <c r="Q451" s="281">
        <v>1540</v>
      </c>
      <c r="R451" s="272" t="s">
        <v>3383</v>
      </c>
      <c r="S451" s="272"/>
      <c r="T451" s="272">
        <v>1</v>
      </c>
      <c r="U451" s="272" t="s">
        <v>4880</v>
      </c>
      <c r="V451" s="273">
        <v>10</v>
      </c>
      <c r="W451" s="273"/>
      <c r="X451" s="272" t="s">
        <v>4881</v>
      </c>
      <c r="Y451" s="333" t="s">
        <v>5239</v>
      </c>
      <c r="Z451" s="334" t="s">
        <v>5240</v>
      </c>
      <c r="AA451" s="272" t="s">
        <v>4884</v>
      </c>
      <c r="AB451" s="272"/>
      <c r="AC451" s="289">
        <v>1</v>
      </c>
      <c r="AD451" s="289">
        <v>1</v>
      </c>
      <c r="AE451" s="289"/>
      <c r="AF451" s="272"/>
      <c r="AG451" s="272"/>
    </row>
    <row r="452" spans="1:33" s="145" customFormat="1" x14ac:dyDescent="0.15">
      <c r="A452" s="267">
        <v>95201131</v>
      </c>
      <c r="B452" s="268" t="s">
        <v>5244</v>
      </c>
      <c r="C452" s="293" t="s">
        <v>5148</v>
      </c>
      <c r="D452" s="293">
        <v>7906</v>
      </c>
      <c r="E452" s="268" t="s">
        <v>4876</v>
      </c>
      <c r="F452" s="268" t="s">
        <v>4877</v>
      </c>
      <c r="G452" s="269">
        <v>1</v>
      </c>
      <c r="H452" s="269">
        <v>0</v>
      </c>
      <c r="I452" s="267">
        <v>34</v>
      </c>
      <c r="J452" s="268" t="s">
        <v>5245</v>
      </c>
      <c r="K452" s="295" t="s">
        <v>5246</v>
      </c>
      <c r="L452" s="295"/>
      <c r="M452" s="268">
        <v>1</v>
      </c>
      <c r="N452" s="268" t="b">
        <v>1</v>
      </c>
      <c r="O452" s="268">
        <v>200</v>
      </c>
      <c r="P452" s="281">
        <v>3000</v>
      </c>
      <c r="Q452" s="281">
        <v>4000</v>
      </c>
      <c r="R452" s="268" t="s">
        <v>3383</v>
      </c>
      <c r="S452" s="268"/>
      <c r="T452" s="268">
        <v>1</v>
      </c>
      <c r="U452" s="268" t="s">
        <v>4880</v>
      </c>
      <c r="V452" s="269">
        <v>1</v>
      </c>
      <c r="W452" s="269"/>
      <c r="X452" s="268" t="s">
        <v>4881</v>
      </c>
      <c r="Y452" s="331" t="s">
        <v>5247</v>
      </c>
      <c r="Z452" s="332" t="s">
        <v>5248</v>
      </c>
      <c r="AA452" s="268" t="s">
        <v>4884</v>
      </c>
      <c r="AB452" s="268"/>
      <c r="AC452" s="287">
        <v>1</v>
      </c>
      <c r="AD452" s="287">
        <v>1</v>
      </c>
      <c r="AE452" s="268"/>
      <c r="AF452" s="268"/>
      <c r="AG452" s="290"/>
    </row>
    <row r="453" spans="1:33" s="145" customFormat="1" x14ac:dyDescent="0.15">
      <c r="A453" s="267">
        <v>95201132</v>
      </c>
      <c r="B453" s="268" t="s">
        <v>5244</v>
      </c>
      <c r="C453" s="293" t="s">
        <v>5148</v>
      </c>
      <c r="D453" s="293">
        <v>7906</v>
      </c>
      <c r="E453" s="268" t="s">
        <v>4876</v>
      </c>
      <c r="F453" s="268" t="s">
        <v>4877</v>
      </c>
      <c r="G453" s="269">
        <v>2</v>
      </c>
      <c r="H453" s="269">
        <v>0</v>
      </c>
      <c r="I453" s="267">
        <v>34</v>
      </c>
      <c r="J453" s="268" t="s">
        <v>5245</v>
      </c>
      <c r="K453" s="295" t="s">
        <v>5246</v>
      </c>
      <c r="L453" s="295"/>
      <c r="M453" s="268">
        <v>1</v>
      </c>
      <c r="N453" s="268" t="b">
        <v>1</v>
      </c>
      <c r="O453" s="268">
        <v>500</v>
      </c>
      <c r="P453" s="281">
        <v>7500</v>
      </c>
      <c r="Q453" s="281">
        <v>10000</v>
      </c>
      <c r="R453" s="268" t="s">
        <v>3383</v>
      </c>
      <c r="S453" s="268"/>
      <c r="T453" s="268">
        <v>1</v>
      </c>
      <c r="U453" s="268" t="s">
        <v>4880</v>
      </c>
      <c r="V453" s="269">
        <v>2</v>
      </c>
      <c r="W453" s="269"/>
      <c r="X453" s="268" t="s">
        <v>4881</v>
      </c>
      <c r="Y453" s="331" t="s">
        <v>5247</v>
      </c>
      <c r="Z453" s="332" t="s">
        <v>5248</v>
      </c>
      <c r="AA453" s="268" t="s">
        <v>4884</v>
      </c>
      <c r="AB453" s="268"/>
      <c r="AC453" s="287">
        <v>1</v>
      </c>
      <c r="AD453" s="287">
        <v>1</v>
      </c>
      <c r="AE453" s="268"/>
      <c r="AF453" s="268"/>
      <c r="AG453" s="290"/>
    </row>
    <row r="454" spans="1:33" s="145" customFormat="1" x14ac:dyDescent="0.15">
      <c r="A454" s="267">
        <v>95201133</v>
      </c>
      <c r="B454" s="268" t="s">
        <v>5244</v>
      </c>
      <c r="C454" s="293" t="s">
        <v>5148</v>
      </c>
      <c r="D454" s="293">
        <v>7906</v>
      </c>
      <c r="E454" s="268" t="s">
        <v>4876</v>
      </c>
      <c r="F454" s="268" t="s">
        <v>4877</v>
      </c>
      <c r="G454" s="269">
        <v>3</v>
      </c>
      <c r="H454" s="269">
        <v>0</v>
      </c>
      <c r="I454" s="267">
        <v>34</v>
      </c>
      <c r="J454" s="268" t="s">
        <v>5245</v>
      </c>
      <c r="K454" s="295" t="s">
        <v>5246</v>
      </c>
      <c r="L454" s="295"/>
      <c r="M454" s="268">
        <v>1</v>
      </c>
      <c r="N454" s="268" t="b">
        <v>1</v>
      </c>
      <c r="O454" s="268">
        <v>700</v>
      </c>
      <c r="P454" s="281">
        <v>10500</v>
      </c>
      <c r="Q454" s="281">
        <v>14000</v>
      </c>
      <c r="R454" s="268" t="s">
        <v>3383</v>
      </c>
      <c r="S454" s="268"/>
      <c r="T454" s="268">
        <v>1</v>
      </c>
      <c r="U454" s="268" t="s">
        <v>4880</v>
      </c>
      <c r="V454" s="269">
        <v>3</v>
      </c>
      <c r="W454" s="269"/>
      <c r="X454" s="268" t="s">
        <v>4881</v>
      </c>
      <c r="Y454" s="331" t="s">
        <v>5247</v>
      </c>
      <c r="Z454" s="332" t="s">
        <v>5248</v>
      </c>
      <c r="AA454" s="268" t="s">
        <v>4884</v>
      </c>
      <c r="AB454" s="268"/>
      <c r="AC454" s="287">
        <v>1</v>
      </c>
      <c r="AD454" s="287">
        <v>1</v>
      </c>
      <c r="AE454" s="268"/>
      <c r="AF454" s="268"/>
      <c r="AG454" s="290"/>
    </row>
    <row r="455" spans="1:33" s="145" customFormat="1" x14ac:dyDescent="0.15">
      <c r="A455" s="267">
        <v>95201134</v>
      </c>
      <c r="B455" s="268" t="s">
        <v>5244</v>
      </c>
      <c r="C455" s="293" t="s">
        <v>5148</v>
      </c>
      <c r="D455" s="293">
        <v>7906</v>
      </c>
      <c r="E455" s="268" t="s">
        <v>4876</v>
      </c>
      <c r="F455" s="268" t="s">
        <v>4877</v>
      </c>
      <c r="G455" s="269">
        <v>4</v>
      </c>
      <c r="H455" s="269">
        <v>0</v>
      </c>
      <c r="I455" s="267">
        <v>34</v>
      </c>
      <c r="J455" s="268" t="s">
        <v>5245</v>
      </c>
      <c r="K455" s="295" t="s">
        <v>5246</v>
      </c>
      <c r="L455" s="295"/>
      <c r="M455" s="268">
        <v>1</v>
      </c>
      <c r="N455" s="268" t="b">
        <v>1</v>
      </c>
      <c r="O455" s="268">
        <v>1000</v>
      </c>
      <c r="P455" s="281">
        <v>15000</v>
      </c>
      <c r="Q455" s="281">
        <v>20000</v>
      </c>
      <c r="R455" s="268" t="s">
        <v>3383</v>
      </c>
      <c r="S455" s="268"/>
      <c r="T455" s="268">
        <v>1</v>
      </c>
      <c r="U455" s="268" t="s">
        <v>4880</v>
      </c>
      <c r="V455" s="269">
        <v>4</v>
      </c>
      <c r="W455" s="269"/>
      <c r="X455" s="268" t="s">
        <v>4881</v>
      </c>
      <c r="Y455" s="331" t="s">
        <v>5247</v>
      </c>
      <c r="Z455" s="332" t="s">
        <v>5248</v>
      </c>
      <c r="AA455" s="268" t="s">
        <v>4884</v>
      </c>
      <c r="AB455" s="268"/>
      <c r="AC455" s="287">
        <v>1</v>
      </c>
      <c r="AD455" s="287">
        <v>1</v>
      </c>
      <c r="AE455" s="268"/>
      <c r="AF455" s="268"/>
      <c r="AG455" s="290"/>
    </row>
    <row r="456" spans="1:33" s="145" customFormat="1" x14ac:dyDescent="0.15">
      <c r="A456" s="267">
        <v>95201135</v>
      </c>
      <c r="B456" s="268" t="s">
        <v>5244</v>
      </c>
      <c r="C456" s="293" t="s">
        <v>5148</v>
      </c>
      <c r="D456" s="293">
        <v>7906</v>
      </c>
      <c r="E456" s="268" t="s">
        <v>4876</v>
      </c>
      <c r="F456" s="268" t="s">
        <v>4877</v>
      </c>
      <c r="G456" s="269">
        <v>5</v>
      </c>
      <c r="H456" s="269">
        <v>0</v>
      </c>
      <c r="I456" s="267">
        <v>34</v>
      </c>
      <c r="J456" s="268" t="s">
        <v>5245</v>
      </c>
      <c r="K456" s="295" t="s">
        <v>5246</v>
      </c>
      <c r="L456" s="295"/>
      <c r="M456" s="268">
        <v>1</v>
      </c>
      <c r="N456" s="268" t="b">
        <v>1</v>
      </c>
      <c r="O456" s="268">
        <v>1200</v>
      </c>
      <c r="P456" s="281">
        <v>18000</v>
      </c>
      <c r="Q456" s="281">
        <v>24000</v>
      </c>
      <c r="R456" s="268" t="s">
        <v>3383</v>
      </c>
      <c r="S456" s="268"/>
      <c r="T456" s="268">
        <v>1</v>
      </c>
      <c r="U456" s="268" t="s">
        <v>4880</v>
      </c>
      <c r="V456" s="269">
        <v>5</v>
      </c>
      <c r="W456" s="269"/>
      <c r="X456" s="268" t="s">
        <v>4881</v>
      </c>
      <c r="Y456" s="331" t="s">
        <v>5247</v>
      </c>
      <c r="Z456" s="332" t="s">
        <v>5248</v>
      </c>
      <c r="AA456" s="268" t="s">
        <v>4884</v>
      </c>
      <c r="AB456" s="268"/>
      <c r="AC456" s="287">
        <v>1</v>
      </c>
      <c r="AD456" s="287">
        <v>1</v>
      </c>
      <c r="AE456" s="268"/>
      <c r="AF456" s="268"/>
      <c r="AG456" s="290"/>
    </row>
    <row r="457" spans="1:33" s="145" customFormat="1" x14ac:dyDescent="0.15">
      <c r="A457" s="270">
        <v>95201136</v>
      </c>
      <c r="B457" s="268" t="s">
        <v>5244</v>
      </c>
      <c r="C457" s="268" t="s">
        <v>5148</v>
      </c>
      <c r="D457" s="268">
        <v>7906</v>
      </c>
      <c r="E457" s="268" t="s">
        <v>4876</v>
      </c>
      <c r="F457" s="268" t="s">
        <v>4877</v>
      </c>
      <c r="G457" s="269">
        <v>7</v>
      </c>
      <c r="H457" s="269">
        <v>0</v>
      </c>
      <c r="I457" s="267">
        <v>34</v>
      </c>
      <c r="J457" s="282" t="s">
        <v>5245</v>
      </c>
      <c r="K457" s="279" t="s">
        <v>5246</v>
      </c>
      <c r="L457" s="279"/>
      <c r="M457" s="268">
        <v>1</v>
      </c>
      <c r="N457" s="268" t="b">
        <v>1</v>
      </c>
      <c r="O457" s="268">
        <v>2500</v>
      </c>
      <c r="P457" s="281">
        <v>37500</v>
      </c>
      <c r="Q457" s="281">
        <v>50000</v>
      </c>
      <c r="R457" s="268" t="s">
        <v>3383</v>
      </c>
      <c r="S457" s="268"/>
      <c r="T457" s="268">
        <v>1</v>
      </c>
      <c r="U457" s="268" t="s">
        <v>4880</v>
      </c>
      <c r="V457" s="269">
        <v>7</v>
      </c>
      <c r="W457" s="269"/>
      <c r="X457" s="268" t="s">
        <v>4881</v>
      </c>
      <c r="Y457" s="331" t="s">
        <v>5247</v>
      </c>
      <c r="Z457" s="332" t="s">
        <v>5248</v>
      </c>
      <c r="AA457" s="268" t="s">
        <v>4884</v>
      </c>
      <c r="AB457" s="268"/>
      <c r="AC457" s="287">
        <v>1</v>
      </c>
      <c r="AD457" s="287">
        <v>1</v>
      </c>
      <c r="AE457" s="268"/>
      <c r="AF457" s="268"/>
      <c r="AG457" s="290"/>
    </row>
    <row r="458" spans="1:33" s="145" customFormat="1" x14ac:dyDescent="0.15">
      <c r="A458" s="270">
        <v>95201137</v>
      </c>
      <c r="B458" s="268" t="s">
        <v>5244</v>
      </c>
      <c r="C458" s="268" t="s">
        <v>5148</v>
      </c>
      <c r="D458" s="268">
        <v>7906</v>
      </c>
      <c r="E458" s="268" t="s">
        <v>4876</v>
      </c>
      <c r="F458" s="268" t="s">
        <v>4877</v>
      </c>
      <c r="G458" s="269">
        <v>6</v>
      </c>
      <c r="H458" s="269">
        <v>0</v>
      </c>
      <c r="I458" s="267">
        <v>34</v>
      </c>
      <c r="J458" s="282" t="s">
        <v>5245</v>
      </c>
      <c r="K458" s="279" t="s">
        <v>5246</v>
      </c>
      <c r="L458" s="279"/>
      <c r="M458" s="268">
        <v>1</v>
      </c>
      <c r="N458" s="268" t="b">
        <v>1</v>
      </c>
      <c r="O458" s="268">
        <v>3800</v>
      </c>
      <c r="P458" s="281">
        <v>57000</v>
      </c>
      <c r="Q458" s="281">
        <v>76000</v>
      </c>
      <c r="R458" s="268" t="s">
        <v>3383</v>
      </c>
      <c r="S458" s="268"/>
      <c r="T458" s="268">
        <v>1</v>
      </c>
      <c r="U458" s="268" t="s">
        <v>4880</v>
      </c>
      <c r="V458" s="269">
        <v>6</v>
      </c>
      <c r="W458" s="269"/>
      <c r="X458" s="268" t="s">
        <v>4881</v>
      </c>
      <c r="Y458" s="331" t="s">
        <v>5247</v>
      </c>
      <c r="Z458" s="332" t="s">
        <v>5248</v>
      </c>
      <c r="AA458" s="268" t="s">
        <v>4884</v>
      </c>
      <c r="AB458" s="268"/>
      <c r="AC458" s="287">
        <v>1</v>
      </c>
      <c r="AD458" s="287">
        <v>1</v>
      </c>
      <c r="AE458" s="268"/>
      <c r="AF458" s="268"/>
      <c r="AG458" s="290"/>
    </row>
    <row r="459" spans="1:33" s="258" customFormat="1" x14ac:dyDescent="0.15">
      <c r="A459" s="271">
        <v>95201138</v>
      </c>
      <c r="B459" s="272" t="s">
        <v>5249</v>
      </c>
      <c r="C459" s="272" t="s">
        <v>5148</v>
      </c>
      <c r="D459" s="272">
        <v>5081</v>
      </c>
      <c r="E459" s="272" t="s">
        <v>4876</v>
      </c>
      <c r="F459" s="272" t="s">
        <v>4877</v>
      </c>
      <c r="G459" s="269">
        <v>6</v>
      </c>
      <c r="H459" s="273">
        <v>0</v>
      </c>
      <c r="I459" s="283">
        <v>34</v>
      </c>
      <c r="J459" s="284" t="s">
        <v>5245</v>
      </c>
      <c r="K459" s="285" t="s">
        <v>5246</v>
      </c>
      <c r="L459" s="272" t="s">
        <v>44</v>
      </c>
      <c r="M459" s="272">
        <v>1</v>
      </c>
      <c r="N459" s="272" t="b">
        <v>1</v>
      </c>
      <c r="O459" s="272">
        <v>51</v>
      </c>
      <c r="P459" s="281">
        <v>765</v>
      </c>
      <c r="Q459" s="281">
        <v>1020</v>
      </c>
      <c r="R459" s="272" t="s">
        <v>3383</v>
      </c>
      <c r="S459" s="272"/>
      <c r="T459" s="272">
        <v>1</v>
      </c>
      <c r="U459" s="272" t="s">
        <v>4880</v>
      </c>
      <c r="V459" s="273">
        <v>10</v>
      </c>
      <c r="W459" s="273"/>
      <c r="X459" s="272" t="s">
        <v>4881</v>
      </c>
      <c r="Y459" s="333" t="s">
        <v>5247</v>
      </c>
      <c r="Z459" s="334" t="s">
        <v>5248</v>
      </c>
      <c r="AA459" s="272" t="s">
        <v>4884</v>
      </c>
      <c r="AB459" s="272"/>
      <c r="AC459" s="289">
        <v>1</v>
      </c>
      <c r="AD459" s="289">
        <v>1</v>
      </c>
      <c r="AE459" s="289"/>
      <c r="AF459" s="272"/>
      <c r="AG459" s="272"/>
    </row>
    <row r="460" spans="1:33" s="258" customFormat="1" x14ac:dyDescent="0.15">
      <c r="A460" s="271">
        <v>95201139</v>
      </c>
      <c r="B460" s="272" t="s">
        <v>5250</v>
      </c>
      <c r="C460" s="272" t="s">
        <v>5148</v>
      </c>
      <c r="D460" s="272">
        <v>5081</v>
      </c>
      <c r="E460" s="272" t="s">
        <v>4876</v>
      </c>
      <c r="F460" s="272" t="s">
        <v>4877</v>
      </c>
      <c r="G460" s="269">
        <v>6</v>
      </c>
      <c r="H460" s="273">
        <v>0</v>
      </c>
      <c r="I460" s="283">
        <v>34</v>
      </c>
      <c r="J460" s="284" t="s">
        <v>5245</v>
      </c>
      <c r="K460" s="285" t="s">
        <v>5246</v>
      </c>
      <c r="L460" s="272" t="s">
        <v>4887</v>
      </c>
      <c r="M460" s="272">
        <v>1</v>
      </c>
      <c r="N460" s="272" t="b">
        <v>1</v>
      </c>
      <c r="O460" s="272">
        <v>64</v>
      </c>
      <c r="P460" s="281">
        <v>960</v>
      </c>
      <c r="Q460" s="281">
        <v>1280</v>
      </c>
      <c r="R460" s="272" t="s">
        <v>3383</v>
      </c>
      <c r="S460" s="272"/>
      <c r="T460" s="272">
        <v>1</v>
      </c>
      <c r="U460" s="272" t="s">
        <v>4880</v>
      </c>
      <c r="V460" s="273">
        <v>10</v>
      </c>
      <c r="W460" s="273"/>
      <c r="X460" s="272" t="s">
        <v>4881</v>
      </c>
      <c r="Y460" s="333" t="s">
        <v>5247</v>
      </c>
      <c r="Z460" s="334" t="s">
        <v>5248</v>
      </c>
      <c r="AA460" s="272" t="s">
        <v>4884</v>
      </c>
      <c r="AB460" s="272"/>
      <c r="AC460" s="289">
        <v>1</v>
      </c>
      <c r="AD460" s="289">
        <v>1</v>
      </c>
      <c r="AE460" s="289"/>
      <c r="AF460" s="272"/>
      <c r="AG460" s="272"/>
    </row>
    <row r="461" spans="1:33" s="258" customFormat="1" x14ac:dyDescent="0.15">
      <c r="A461" s="271">
        <v>95201140</v>
      </c>
      <c r="B461" s="272" t="s">
        <v>5251</v>
      </c>
      <c r="C461" s="272" t="s">
        <v>5148</v>
      </c>
      <c r="D461" s="272">
        <v>5081</v>
      </c>
      <c r="E461" s="272" t="s">
        <v>4876</v>
      </c>
      <c r="F461" s="272" t="s">
        <v>4877</v>
      </c>
      <c r="G461" s="269">
        <v>7</v>
      </c>
      <c r="H461" s="273">
        <v>0</v>
      </c>
      <c r="I461" s="283">
        <v>34</v>
      </c>
      <c r="J461" s="284" t="s">
        <v>5245</v>
      </c>
      <c r="K461" s="285" t="s">
        <v>5246</v>
      </c>
      <c r="L461" s="272" t="s">
        <v>4889</v>
      </c>
      <c r="M461" s="272">
        <v>1</v>
      </c>
      <c r="N461" s="272" t="b">
        <v>1</v>
      </c>
      <c r="O461" s="272">
        <v>77</v>
      </c>
      <c r="P461" s="281">
        <v>1155</v>
      </c>
      <c r="Q461" s="281">
        <v>1540</v>
      </c>
      <c r="R461" s="272" t="s">
        <v>3383</v>
      </c>
      <c r="S461" s="272"/>
      <c r="T461" s="272">
        <v>1</v>
      </c>
      <c r="U461" s="272" t="s">
        <v>4880</v>
      </c>
      <c r="V461" s="273">
        <v>10</v>
      </c>
      <c r="W461" s="273"/>
      <c r="X461" s="272" t="s">
        <v>4881</v>
      </c>
      <c r="Y461" s="333" t="s">
        <v>5247</v>
      </c>
      <c r="Z461" s="334" t="s">
        <v>5248</v>
      </c>
      <c r="AA461" s="272" t="s">
        <v>4884</v>
      </c>
      <c r="AB461" s="272"/>
      <c r="AC461" s="289">
        <v>1</v>
      </c>
      <c r="AD461" s="289">
        <v>1</v>
      </c>
      <c r="AE461" s="289"/>
      <c r="AF461" s="272"/>
      <c r="AG461" s="272"/>
    </row>
    <row r="462" spans="1:33" s="145" customFormat="1" x14ac:dyDescent="0.15">
      <c r="A462" s="267">
        <v>95201141</v>
      </c>
      <c r="B462" s="268" t="s">
        <v>5252</v>
      </c>
      <c r="C462" s="293" t="s">
        <v>5148</v>
      </c>
      <c r="D462" s="293">
        <v>7906</v>
      </c>
      <c r="E462" s="268" t="s">
        <v>4876</v>
      </c>
      <c r="F462" s="268" t="s">
        <v>4877</v>
      </c>
      <c r="G462" s="269">
        <v>1</v>
      </c>
      <c r="H462" s="269">
        <v>0</v>
      </c>
      <c r="I462" s="267">
        <v>34</v>
      </c>
      <c r="J462" s="268" t="s">
        <v>5253</v>
      </c>
      <c r="K462" s="295" t="s">
        <v>5254</v>
      </c>
      <c r="L462" s="295"/>
      <c r="M462" s="268">
        <v>1</v>
      </c>
      <c r="N462" s="268" t="b">
        <v>1</v>
      </c>
      <c r="O462" s="268">
        <v>2</v>
      </c>
      <c r="P462" s="281">
        <v>30</v>
      </c>
      <c r="Q462" s="281">
        <v>40</v>
      </c>
      <c r="R462" s="268" t="s">
        <v>3383</v>
      </c>
      <c r="S462" s="268"/>
      <c r="T462" s="268">
        <v>1</v>
      </c>
      <c r="U462" s="268" t="s">
        <v>4880</v>
      </c>
      <c r="V462" s="269">
        <v>1</v>
      </c>
      <c r="W462" s="269"/>
      <c r="X462" s="268" t="s">
        <v>4881</v>
      </c>
      <c r="Y462" s="331" t="s">
        <v>5255</v>
      </c>
      <c r="Z462" s="332" t="s">
        <v>5256</v>
      </c>
      <c r="AA462" s="268" t="s">
        <v>4884</v>
      </c>
      <c r="AB462" s="268"/>
      <c r="AC462" s="287">
        <v>1</v>
      </c>
      <c r="AD462" s="287">
        <v>1</v>
      </c>
      <c r="AE462" s="268"/>
      <c r="AF462" s="268"/>
      <c r="AG462" s="290"/>
    </row>
    <row r="463" spans="1:33" s="145" customFormat="1" x14ac:dyDescent="0.15">
      <c r="A463" s="267">
        <v>95201142</v>
      </c>
      <c r="B463" s="268" t="s">
        <v>5252</v>
      </c>
      <c r="C463" s="293" t="s">
        <v>5148</v>
      </c>
      <c r="D463" s="293">
        <v>7906</v>
      </c>
      <c r="E463" s="268" t="s">
        <v>4876</v>
      </c>
      <c r="F463" s="268" t="s">
        <v>4877</v>
      </c>
      <c r="G463" s="269">
        <v>2</v>
      </c>
      <c r="H463" s="269">
        <v>0</v>
      </c>
      <c r="I463" s="267">
        <v>34</v>
      </c>
      <c r="J463" s="268" t="s">
        <v>5253</v>
      </c>
      <c r="K463" s="295" t="s">
        <v>5254</v>
      </c>
      <c r="L463" s="295"/>
      <c r="M463" s="268">
        <v>1</v>
      </c>
      <c r="N463" s="268" t="b">
        <v>1</v>
      </c>
      <c r="O463" s="268">
        <v>5</v>
      </c>
      <c r="P463" s="281">
        <v>75</v>
      </c>
      <c r="Q463" s="281">
        <v>100</v>
      </c>
      <c r="R463" s="268" t="s">
        <v>3383</v>
      </c>
      <c r="S463" s="268"/>
      <c r="T463" s="268">
        <v>1</v>
      </c>
      <c r="U463" s="268" t="s">
        <v>4880</v>
      </c>
      <c r="V463" s="269">
        <v>2</v>
      </c>
      <c r="W463" s="269"/>
      <c r="X463" s="268" t="s">
        <v>4881</v>
      </c>
      <c r="Y463" s="331" t="s">
        <v>5255</v>
      </c>
      <c r="Z463" s="332" t="s">
        <v>5256</v>
      </c>
      <c r="AA463" s="268" t="s">
        <v>4884</v>
      </c>
      <c r="AB463" s="268"/>
      <c r="AC463" s="287">
        <v>1</v>
      </c>
      <c r="AD463" s="287">
        <v>1</v>
      </c>
      <c r="AE463" s="268"/>
      <c r="AF463" s="268"/>
      <c r="AG463" s="290"/>
    </row>
    <row r="464" spans="1:33" s="145" customFormat="1" x14ac:dyDescent="0.15">
      <c r="A464" s="267">
        <v>95201143</v>
      </c>
      <c r="B464" s="268" t="s">
        <v>5252</v>
      </c>
      <c r="C464" s="293" t="s">
        <v>5148</v>
      </c>
      <c r="D464" s="293">
        <v>7906</v>
      </c>
      <c r="E464" s="268" t="s">
        <v>4876</v>
      </c>
      <c r="F464" s="268" t="s">
        <v>4877</v>
      </c>
      <c r="G464" s="269">
        <v>3</v>
      </c>
      <c r="H464" s="269">
        <v>0</v>
      </c>
      <c r="I464" s="267">
        <v>34</v>
      </c>
      <c r="J464" s="268" t="s">
        <v>5253</v>
      </c>
      <c r="K464" s="295" t="s">
        <v>5254</v>
      </c>
      <c r="L464" s="295"/>
      <c r="M464" s="268">
        <v>1</v>
      </c>
      <c r="N464" s="268" t="b">
        <v>1</v>
      </c>
      <c r="O464" s="268">
        <v>7</v>
      </c>
      <c r="P464" s="281">
        <v>105</v>
      </c>
      <c r="Q464" s="281">
        <v>140</v>
      </c>
      <c r="R464" s="268" t="s">
        <v>3383</v>
      </c>
      <c r="S464" s="268"/>
      <c r="T464" s="268">
        <v>1</v>
      </c>
      <c r="U464" s="268" t="s">
        <v>4880</v>
      </c>
      <c r="V464" s="269">
        <v>3</v>
      </c>
      <c r="W464" s="269"/>
      <c r="X464" s="268" t="s">
        <v>4881</v>
      </c>
      <c r="Y464" s="331" t="s">
        <v>5255</v>
      </c>
      <c r="Z464" s="332" t="s">
        <v>5256</v>
      </c>
      <c r="AA464" s="268" t="s">
        <v>4884</v>
      </c>
      <c r="AB464" s="268"/>
      <c r="AC464" s="287">
        <v>1</v>
      </c>
      <c r="AD464" s="287">
        <v>1</v>
      </c>
      <c r="AE464" s="268"/>
      <c r="AF464" s="268"/>
      <c r="AG464" s="290"/>
    </row>
    <row r="465" spans="1:33" s="145" customFormat="1" x14ac:dyDescent="0.15">
      <c r="A465" s="267">
        <v>95201144</v>
      </c>
      <c r="B465" s="268" t="s">
        <v>5252</v>
      </c>
      <c r="C465" s="293" t="s">
        <v>5148</v>
      </c>
      <c r="D465" s="293">
        <v>7906</v>
      </c>
      <c r="E465" s="268" t="s">
        <v>4876</v>
      </c>
      <c r="F465" s="268" t="s">
        <v>4877</v>
      </c>
      <c r="G465" s="269">
        <v>4</v>
      </c>
      <c r="H465" s="269">
        <v>0</v>
      </c>
      <c r="I465" s="267">
        <v>34</v>
      </c>
      <c r="J465" s="268" t="s">
        <v>5253</v>
      </c>
      <c r="K465" s="295" t="s">
        <v>5254</v>
      </c>
      <c r="L465" s="295"/>
      <c r="M465" s="268">
        <v>1</v>
      </c>
      <c r="N465" s="268" t="b">
        <v>1</v>
      </c>
      <c r="O465" s="268">
        <v>10</v>
      </c>
      <c r="P465" s="281">
        <v>150</v>
      </c>
      <c r="Q465" s="281">
        <v>200</v>
      </c>
      <c r="R465" s="268" t="s">
        <v>3383</v>
      </c>
      <c r="S465" s="268"/>
      <c r="T465" s="268">
        <v>1</v>
      </c>
      <c r="U465" s="268" t="s">
        <v>4880</v>
      </c>
      <c r="V465" s="269">
        <v>4</v>
      </c>
      <c r="W465" s="269"/>
      <c r="X465" s="268" t="s">
        <v>4881</v>
      </c>
      <c r="Y465" s="331" t="s">
        <v>5255</v>
      </c>
      <c r="Z465" s="332" t="s">
        <v>5256</v>
      </c>
      <c r="AA465" s="268" t="s">
        <v>4884</v>
      </c>
      <c r="AB465" s="268"/>
      <c r="AC465" s="287">
        <v>1</v>
      </c>
      <c r="AD465" s="287">
        <v>1</v>
      </c>
      <c r="AE465" s="268"/>
      <c r="AF465" s="268"/>
      <c r="AG465" s="290"/>
    </row>
    <row r="466" spans="1:33" s="145" customFormat="1" x14ac:dyDescent="0.15">
      <c r="A466" s="267">
        <v>95201145</v>
      </c>
      <c r="B466" s="268" t="s">
        <v>5252</v>
      </c>
      <c r="C466" s="293" t="s">
        <v>5148</v>
      </c>
      <c r="D466" s="293">
        <v>7906</v>
      </c>
      <c r="E466" s="268" t="s">
        <v>4876</v>
      </c>
      <c r="F466" s="268" t="s">
        <v>4877</v>
      </c>
      <c r="G466" s="269">
        <v>5</v>
      </c>
      <c r="H466" s="269">
        <v>0</v>
      </c>
      <c r="I466" s="267">
        <v>34</v>
      </c>
      <c r="J466" s="268" t="s">
        <v>5253</v>
      </c>
      <c r="K466" s="295" t="s">
        <v>5254</v>
      </c>
      <c r="L466" s="295"/>
      <c r="M466" s="268">
        <v>1</v>
      </c>
      <c r="N466" s="268" t="b">
        <v>1</v>
      </c>
      <c r="O466" s="268">
        <v>12</v>
      </c>
      <c r="P466" s="281">
        <v>180</v>
      </c>
      <c r="Q466" s="281">
        <v>240</v>
      </c>
      <c r="R466" s="268" t="s">
        <v>3383</v>
      </c>
      <c r="S466" s="268"/>
      <c r="T466" s="268">
        <v>1</v>
      </c>
      <c r="U466" s="268" t="s">
        <v>4880</v>
      </c>
      <c r="V466" s="269">
        <v>5</v>
      </c>
      <c r="W466" s="269"/>
      <c r="X466" s="268" t="s">
        <v>4881</v>
      </c>
      <c r="Y466" s="331" t="s">
        <v>5255</v>
      </c>
      <c r="Z466" s="332" t="s">
        <v>5256</v>
      </c>
      <c r="AA466" s="268" t="s">
        <v>4884</v>
      </c>
      <c r="AB466" s="268"/>
      <c r="AC466" s="287">
        <v>1</v>
      </c>
      <c r="AD466" s="287">
        <v>1</v>
      </c>
      <c r="AE466" s="268"/>
      <c r="AF466" s="268"/>
      <c r="AG466" s="290"/>
    </row>
    <row r="467" spans="1:33" s="145" customFormat="1" x14ac:dyDescent="0.15">
      <c r="A467" s="270">
        <v>95201146</v>
      </c>
      <c r="B467" s="268" t="s">
        <v>5252</v>
      </c>
      <c r="C467" s="268" t="s">
        <v>5148</v>
      </c>
      <c r="D467" s="268">
        <v>7906</v>
      </c>
      <c r="E467" s="268" t="s">
        <v>4876</v>
      </c>
      <c r="F467" s="268" t="s">
        <v>4877</v>
      </c>
      <c r="G467" s="269">
        <v>6</v>
      </c>
      <c r="H467" s="269">
        <v>0</v>
      </c>
      <c r="I467" s="267">
        <v>34</v>
      </c>
      <c r="J467" s="282" t="s">
        <v>5253</v>
      </c>
      <c r="K467" s="279" t="s">
        <v>5254</v>
      </c>
      <c r="L467" s="279"/>
      <c r="M467" s="268">
        <v>1</v>
      </c>
      <c r="N467" s="268" t="b">
        <v>1</v>
      </c>
      <c r="O467" s="268">
        <v>25</v>
      </c>
      <c r="P467" s="281">
        <v>375</v>
      </c>
      <c r="Q467" s="281">
        <v>500</v>
      </c>
      <c r="R467" s="268" t="s">
        <v>3383</v>
      </c>
      <c r="S467" s="268"/>
      <c r="T467" s="268">
        <v>1</v>
      </c>
      <c r="U467" s="268" t="s">
        <v>4880</v>
      </c>
      <c r="V467" s="269">
        <v>6</v>
      </c>
      <c r="W467" s="269"/>
      <c r="X467" s="268" t="s">
        <v>4881</v>
      </c>
      <c r="Y467" s="331" t="s">
        <v>5255</v>
      </c>
      <c r="Z467" s="332" t="s">
        <v>5256</v>
      </c>
      <c r="AA467" s="268" t="s">
        <v>4884</v>
      </c>
      <c r="AB467" s="268"/>
      <c r="AC467" s="287">
        <v>1</v>
      </c>
      <c r="AD467" s="287">
        <v>1</v>
      </c>
      <c r="AE467" s="268"/>
      <c r="AF467" s="268"/>
      <c r="AG467" s="290"/>
    </row>
    <row r="468" spans="1:33" s="145" customFormat="1" x14ac:dyDescent="0.15">
      <c r="A468" s="270">
        <v>95201147</v>
      </c>
      <c r="B468" s="268" t="s">
        <v>5252</v>
      </c>
      <c r="C468" s="268" t="s">
        <v>5148</v>
      </c>
      <c r="D468" s="268">
        <v>7906</v>
      </c>
      <c r="E468" s="268" t="s">
        <v>4876</v>
      </c>
      <c r="F468" s="268" t="s">
        <v>4877</v>
      </c>
      <c r="G468" s="269">
        <v>7</v>
      </c>
      <c r="H468" s="269">
        <v>0</v>
      </c>
      <c r="I468" s="267">
        <v>34</v>
      </c>
      <c r="J468" s="282" t="s">
        <v>5253</v>
      </c>
      <c r="K468" s="279" t="s">
        <v>5254</v>
      </c>
      <c r="L468" s="279"/>
      <c r="M468" s="268">
        <v>1</v>
      </c>
      <c r="N468" s="268" t="b">
        <v>1</v>
      </c>
      <c r="O468" s="268">
        <v>38</v>
      </c>
      <c r="P468" s="281">
        <v>570</v>
      </c>
      <c r="Q468" s="281">
        <v>760</v>
      </c>
      <c r="R468" s="268" t="s">
        <v>3383</v>
      </c>
      <c r="S468" s="268"/>
      <c r="T468" s="268">
        <v>1</v>
      </c>
      <c r="U468" s="268" t="s">
        <v>4880</v>
      </c>
      <c r="V468" s="269">
        <v>7</v>
      </c>
      <c r="W468" s="269"/>
      <c r="X468" s="268" t="s">
        <v>4881</v>
      </c>
      <c r="Y468" s="331" t="s">
        <v>5255</v>
      </c>
      <c r="Z468" s="332" t="s">
        <v>5256</v>
      </c>
      <c r="AA468" s="268" t="s">
        <v>4884</v>
      </c>
      <c r="AB468" s="268"/>
      <c r="AC468" s="287">
        <v>1</v>
      </c>
      <c r="AD468" s="287">
        <v>1</v>
      </c>
      <c r="AE468" s="268"/>
      <c r="AF468" s="268"/>
      <c r="AG468" s="290"/>
    </row>
    <row r="469" spans="1:33" s="258" customFormat="1" x14ac:dyDescent="0.15">
      <c r="A469" s="271">
        <v>95201148</v>
      </c>
      <c r="B469" s="272" t="s">
        <v>5257</v>
      </c>
      <c r="C469" s="272" t="s">
        <v>5148</v>
      </c>
      <c r="D469" s="272">
        <v>5081</v>
      </c>
      <c r="E469" s="272" t="s">
        <v>4876</v>
      </c>
      <c r="F469" s="272" t="s">
        <v>4877</v>
      </c>
      <c r="G469" s="269">
        <v>6</v>
      </c>
      <c r="H469" s="273">
        <v>0</v>
      </c>
      <c r="I469" s="283">
        <v>34</v>
      </c>
      <c r="J469" s="284" t="s">
        <v>5253</v>
      </c>
      <c r="K469" s="285" t="s">
        <v>5254</v>
      </c>
      <c r="L469" s="272" t="s">
        <v>44</v>
      </c>
      <c r="M469" s="272">
        <v>1</v>
      </c>
      <c r="N469" s="272" t="b">
        <v>1</v>
      </c>
      <c r="O469" s="272">
        <v>51</v>
      </c>
      <c r="P469" s="281">
        <v>765</v>
      </c>
      <c r="Q469" s="281">
        <v>1020</v>
      </c>
      <c r="R469" s="272" t="s">
        <v>3383</v>
      </c>
      <c r="S469" s="272"/>
      <c r="T469" s="272">
        <v>1</v>
      </c>
      <c r="U469" s="272" t="s">
        <v>4880</v>
      </c>
      <c r="V469" s="273">
        <v>10</v>
      </c>
      <c r="W469" s="273"/>
      <c r="X469" s="272" t="s">
        <v>4881</v>
      </c>
      <c r="Y469" s="333" t="s">
        <v>5255</v>
      </c>
      <c r="Z469" s="334" t="s">
        <v>5256</v>
      </c>
      <c r="AA469" s="272" t="s">
        <v>4884</v>
      </c>
      <c r="AB469" s="272"/>
      <c r="AC469" s="289">
        <v>1</v>
      </c>
      <c r="AD469" s="289">
        <v>1</v>
      </c>
      <c r="AE469" s="289"/>
      <c r="AF469" s="272"/>
      <c r="AG469" s="272"/>
    </row>
    <row r="470" spans="1:33" s="258" customFormat="1" x14ac:dyDescent="0.15">
      <c r="A470" s="271">
        <v>95201149</v>
      </c>
      <c r="B470" s="272" t="s">
        <v>5258</v>
      </c>
      <c r="C470" s="272" t="s">
        <v>5148</v>
      </c>
      <c r="D470" s="272">
        <v>5081</v>
      </c>
      <c r="E470" s="272" t="s">
        <v>4876</v>
      </c>
      <c r="F470" s="272" t="s">
        <v>4877</v>
      </c>
      <c r="G470" s="269">
        <v>6</v>
      </c>
      <c r="H470" s="273">
        <v>0</v>
      </c>
      <c r="I470" s="283">
        <v>34</v>
      </c>
      <c r="J470" s="284" t="s">
        <v>5253</v>
      </c>
      <c r="K470" s="285" t="s">
        <v>5254</v>
      </c>
      <c r="L470" s="272" t="s">
        <v>4887</v>
      </c>
      <c r="M470" s="272">
        <v>1</v>
      </c>
      <c r="N470" s="272" t="b">
        <v>1</v>
      </c>
      <c r="O470" s="272">
        <v>64</v>
      </c>
      <c r="P470" s="281">
        <v>960</v>
      </c>
      <c r="Q470" s="281">
        <v>1280</v>
      </c>
      <c r="R470" s="272" t="s">
        <v>3383</v>
      </c>
      <c r="S470" s="272"/>
      <c r="T470" s="272">
        <v>1</v>
      </c>
      <c r="U470" s="272" t="s">
        <v>4880</v>
      </c>
      <c r="V470" s="273">
        <v>10</v>
      </c>
      <c r="W470" s="273"/>
      <c r="X470" s="272" t="s">
        <v>4881</v>
      </c>
      <c r="Y470" s="333" t="s">
        <v>5255</v>
      </c>
      <c r="Z470" s="334" t="s">
        <v>5256</v>
      </c>
      <c r="AA470" s="272" t="s">
        <v>4884</v>
      </c>
      <c r="AB470" s="272"/>
      <c r="AC470" s="289">
        <v>1</v>
      </c>
      <c r="AD470" s="289">
        <v>1</v>
      </c>
      <c r="AE470" s="289"/>
      <c r="AF470" s="272"/>
      <c r="AG470" s="272"/>
    </row>
    <row r="471" spans="1:33" s="258" customFormat="1" x14ac:dyDescent="0.15">
      <c r="A471" s="271">
        <v>95201150</v>
      </c>
      <c r="B471" s="272" t="s">
        <v>5259</v>
      </c>
      <c r="C471" s="272" t="s">
        <v>5148</v>
      </c>
      <c r="D471" s="272">
        <v>5081</v>
      </c>
      <c r="E471" s="272" t="s">
        <v>4876</v>
      </c>
      <c r="F471" s="272" t="s">
        <v>4877</v>
      </c>
      <c r="G471" s="269">
        <v>7</v>
      </c>
      <c r="H471" s="273">
        <v>0</v>
      </c>
      <c r="I471" s="283">
        <v>34</v>
      </c>
      <c r="J471" s="284" t="s">
        <v>5253</v>
      </c>
      <c r="K471" s="285" t="s">
        <v>5254</v>
      </c>
      <c r="L471" s="272" t="s">
        <v>4889</v>
      </c>
      <c r="M471" s="272">
        <v>1</v>
      </c>
      <c r="N471" s="272" t="b">
        <v>1</v>
      </c>
      <c r="O471" s="272">
        <v>77</v>
      </c>
      <c r="P471" s="281">
        <v>1155</v>
      </c>
      <c r="Q471" s="281">
        <v>1540</v>
      </c>
      <c r="R471" s="272" t="s">
        <v>3383</v>
      </c>
      <c r="S471" s="272"/>
      <c r="T471" s="272">
        <v>1</v>
      </c>
      <c r="U471" s="272" t="s">
        <v>4880</v>
      </c>
      <c r="V471" s="273">
        <v>10</v>
      </c>
      <c r="W471" s="273"/>
      <c r="X471" s="272" t="s">
        <v>4881</v>
      </c>
      <c r="Y471" s="333" t="s">
        <v>5255</v>
      </c>
      <c r="Z471" s="334" t="s">
        <v>5256</v>
      </c>
      <c r="AA471" s="272" t="s">
        <v>4884</v>
      </c>
      <c r="AB471" s="272"/>
      <c r="AC471" s="289">
        <v>1</v>
      </c>
      <c r="AD471" s="289">
        <v>1</v>
      </c>
      <c r="AE471" s="289"/>
      <c r="AF471" s="272"/>
      <c r="AG471" s="272"/>
    </row>
    <row r="472" spans="1:33" s="145" customFormat="1" x14ac:dyDescent="0.15">
      <c r="A472" s="267">
        <v>95201151</v>
      </c>
      <c r="B472" s="268" t="s">
        <v>5260</v>
      </c>
      <c r="C472" s="293" t="s">
        <v>5148</v>
      </c>
      <c r="D472" s="293">
        <v>7906</v>
      </c>
      <c r="E472" s="268" t="s">
        <v>4876</v>
      </c>
      <c r="F472" s="268" t="s">
        <v>4877</v>
      </c>
      <c r="G472" s="269">
        <v>1</v>
      </c>
      <c r="H472" s="269">
        <v>0</v>
      </c>
      <c r="I472" s="267">
        <v>34</v>
      </c>
      <c r="J472" s="268" t="s">
        <v>5261</v>
      </c>
      <c r="K472" s="295" t="s">
        <v>5262</v>
      </c>
      <c r="L472" s="295"/>
      <c r="M472" s="268">
        <v>1</v>
      </c>
      <c r="N472" s="268" t="b">
        <v>1</v>
      </c>
      <c r="O472" s="268">
        <v>2</v>
      </c>
      <c r="P472" s="281">
        <v>30</v>
      </c>
      <c r="Q472" s="281">
        <v>40</v>
      </c>
      <c r="R472" s="268" t="s">
        <v>3383</v>
      </c>
      <c r="S472" s="268"/>
      <c r="T472" s="268">
        <v>1</v>
      </c>
      <c r="U472" s="268" t="s">
        <v>4880</v>
      </c>
      <c r="V472" s="269">
        <v>1</v>
      </c>
      <c r="W472" s="269"/>
      <c r="X472" s="268" t="s">
        <v>4881</v>
      </c>
      <c r="Y472" s="331" t="s">
        <v>5263</v>
      </c>
      <c r="Z472" s="332" t="s">
        <v>5264</v>
      </c>
      <c r="AA472" s="268" t="s">
        <v>4884</v>
      </c>
      <c r="AB472" s="268"/>
      <c r="AC472" s="287">
        <v>1</v>
      </c>
      <c r="AD472" s="287">
        <v>1</v>
      </c>
      <c r="AE472" s="268"/>
      <c r="AF472" s="268"/>
      <c r="AG472" s="290"/>
    </row>
    <row r="473" spans="1:33" s="145" customFormat="1" x14ac:dyDescent="0.15">
      <c r="A473" s="267">
        <v>95201152</v>
      </c>
      <c r="B473" s="268" t="s">
        <v>5260</v>
      </c>
      <c r="C473" s="293" t="s">
        <v>5148</v>
      </c>
      <c r="D473" s="293">
        <v>7906</v>
      </c>
      <c r="E473" s="268" t="s">
        <v>4876</v>
      </c>
      <c r="F473" s="268" t="s">
        <v>4877</v>
      </c>
      <c r="G473" s="269">
        <v>2</v>
      </c>
      <c r="H473" s="269">
        <v>0</v>
      </c>
      <c r="I473" s="267">
        <v>34</v>
      </c>
      <c r="J473" s="268" t="s">
        <v>5261</v>
      </c>
      <c r="K473" s="295" t="s">
        <v>5262</v>
      </c>
      <c r="L473" s="295"/>
      <c r="M473" s="268">
        <v>1</v>
      </c>
      <c r="N473" s="268" t="b">
        <v>1</v>
      </c>
      <c r="O473" s="268">
        <v>5</v>
      </c>
      <c r="P473" s="281">
        <v>75</v>
      </c>
      <c r="Q473" s="281">
        <v>100</v>
      </c>
      <c r="R473" s="268" t="s">
        <v>3383</v>
      </c>
      <c r="S473" s="268"/>
      <c r="T473" s="268">
        <v>1</v>
      </c>
      <c r="U473" s="268" t="s">
        <v>4880</v>
      </c>
      <c r="V473" s="269">
        <v>2</v>
      </c>
      <c r="W473" s="269"/>
      <c r="X473" s="268" t="s">
        <v>4881</v>
      </c>
      <c r="Y473" s="331" t="s">
        <v>5263</v>
      </c>
      <c r="Z473" s="332" t="s">
        <v>5264</v>
      </c>
      <c r="AA473" s="268" t="s">
        <v>4884</v>
      </c>
      <c r="AB473" s="268"/>
      <c r="AC473" s="287">
        <v>1</v>
      </c>
      <c r="AD473" s="287">
        <v>1</v>
      </c>
      <c r="AE473" s="268"/>
      <c r="AF473" s="268"/>
      <c r="AG473" s="290"/>
    </row>
    <row r="474" spans="1:33" s="145" customFormat="1" x14ac:dyDescent="0.15">
      <c r="A474" s="267">
        <v>95201153</v>
      </c>
      <c r="B474" s="268" t="s">
        <v>5260</v>
      </c>
      <c r="C474" s="293" t="s">
        <v>5148</v>
      </c>
      <c r="D474" s="293">
        <v>7906</v>
      </c>
      <c r="E474" s="268" t="s">
        <v>4876</v>
      </c>
      <c r="F474" s="268" t="s">
        <v>4877</v>
      </c>
      <c r="G474" s="269">
        <v>3</v>
      </c>
      <c r="H474" s="269">
        <v>0</v>
      </c>
      <c r="I474" s="267">
        <v>34</v>
      </c>
      <c r="J474" s="268" t="s">
        <v>5261</v>
      </c>
      <c r="K474" s="295" t="s">
        <v>5262</v>
      </c>
      <c r="L474" s="295"/>
      <c r="M474" s="268">
        <v>1</v>
      </c>
      <c r="N474" s="268" t="b">
        <v>1</v>
      </c>
      <c r="O474" s="268">
        <v>7</v>
      </c>
      <c r="P474" s="281">
        <v>105</v>
      </c>
      <c r="Q474" s="281">
        <v>140</v>
      </c>
      <c r="R474" s="268" t="s">
        <v>3383</v>
      </c>
      <c r="S474" s="268"/>
      <c r="T474" s="268">
        <v>1</v>
      </c>
      <c r="U474" s="268" t="s">
        <v>4880</v>
      </c>
      <c r="V474" s="269">
        <v>3</v>
      </c>
      <c r="W474" s="269"/>
      <c r="X474" s="268" t="s">
        <v>4881</v>
      </c>
      <c r="Y474" s="331" t="s">
        <v>5263</v>
      </c>
      <c r="Z474" s="332" t="s">
        <v>5264</v>
      </c>
      <c r="AA474" s="268" t="s">
        <v>4884</v>
      </c>
      <c r="AB474" s="268"/>
      <c r="AC474" s="287">
        <v>1</v>
      </c>
      <c r="AD474" s="287">
        <v>1</v>
      </c>
      <c r="AE474" s="268"/>
      <c r="AF474" s="268"/>
      <c r="AG474" s="290"/>
    </row>
    <row r="475" spans="1:33" s="145" customFormat="1" x14ac:dyDescent="0.15">
      <c r="A475" s="267">
        <v>95201154</v>
      </c>
      <c r="B475" s="268" t="s">
        <v>5260</v>
      </c>
      <c r="C475" s="293" t="s">
        <v>5148</v>
      </c>
      <c r="D475" s="293">
        <v>7906</v>
      </c>
      <c r="E475" s="268" t="s">
        <v>4876</v>
      </c>
      <c r="F475" s="268" t="s">
        <v>4877</v>
      </c>
      <c r="G475" s="269">
        <v>4</v>
      </c>
      <c r="H475" s="269">
        <v>0</v>
      </c>
      <c r="I475" s="267">
        <v>34</v>
      </c>
      <c r="J475" s="268" t="s">
        <v>5261</v>
      </c>
      <c r="K475" s="295" t="s">
        <v>5262</v>
      </c>
      <c r="L475" s="295"/>
      <c r="M475" s="268">
        <v>1</v>
      </c>
      <c r="N475" s="268" t="b">
        <v>1</v>
      </c>
      <c r="O475" s="268">
        <v>10</v>
      </c>
      <c r="P475" s="281">
        <v>150</v>
      </c>
      <c r="Q475" s="281">
        <v>200</v>
      </c>
      <c r="R475" s="268" t="s">
        <v>3383</v>
      </c>
      <c r="S475" s="268"/>
      <c r="T475" s="268">
        <v>1</v>
      </c>
      <c r="U475" s="268" t="s">
        <v>4880</v>
      </c>
      <c r="V475" s="269">
        <v>4</v>
      </c>
      <c r="W475" s="269"/>
      <c r="X475" s="268" t="s">
        <v>4881</v>
      </c>
      <c r="Y475" s="331" t="s">
        <v>5263</v>
      </c>
      <c r="Z475" s="332" t="s">
        <v>5264</v>
      </c>
      <c r="AA475" s="268" t="s">
        <v>4884</v>
      </c>
      <c r="AB475" s="268"/>
      <c r="AC475" s="287">
        <v>1</v>
      </c>
      <c r="AD475" s="287">
        <v>1</v>
      </c>
      <c r="AE475" s="268"/>
      <c r="AF475" s="268"/>
      <c r="AG475" s="290"/>
    </row>
    <row r="476" spans="1:33" s="145" customFormat="1" x14ac:dyDescent="0.15">
      <c r="A476" s="267">
        <v>95201155</v>
      </c>
      <c r="B476" s="268" t="s">
        <v>5260</v>
      </c>
      <c r="C476" s="293" t="s">
        <v>5148</v>
      </c>
      <c r="D476" s="293">
        <v>7906</v>
      </c>
      <c r="E476" s="268" t="s">
        <v>4876</v>
      </c>
      <c r="F476" s="268" t="s">
        <v>4877</v>
      </c>
      <c r="G476" s="269">
        <v>5</v>
      </c>
      <c r="H476" s="269">
        <v>0</v>
      </c>
      <c r="I476" s="267">
        <v>34</v>
      </c>
      <c r="J476" s="268" t="s">
        <v>5261</v>
      </c>
      <c r="K476" s="295" t="s">
        <v>5262</v>
      </c>
      <c r="L476" s="295"/>
      <c r="M476" s="268">
        <v>1</v>
      </c>
      <c r="N476" s="268" t="b">
        <v>1</v>
      </c>
      <c r="O476" s="268">
        <v>12</v>
      </c>
      <c r="P476" s="281">
        <v>180</v>
      </c>
      <c r="Q476" s="281">
        <v>240</v>
      </c>
      <c r="R476" s="268" t="s">
        <v>3383</v>
      </c>
      <c r="S476" s="268"/>
      <c r="T476" s="268">
        <v>1</v>
      </c>
      <c r="U476" s="268" t="s">
        <v>4880</v>
      </c>
      <c r="V476" s="269">
        <v>5</v>
      </c>
      <c r="W476" s="269"/>
      <c r="X476" s="268" t="s">
        <v>4881</v>
      </c>
      <c r="Y476" s="331" t="s">
        <v>5263</v>
      </c>
      <c r="Z476" s="332" t="s">
        <v>5264</v>
      </c>
      <c r="AA476" s="268" t="s">
        <v>4884</v>
      </c>
      <c r="AB476" s="268"/>
      <c r="AC476" s="287">
        <v>1</v>
      </c>
      <c r="AD476" s="287">
        <v>1</v>
      </c>
      <c r="AE476" s="268"/>
      <c r="AF476" s="268"/>
      <c r="AG476" s="290"/>
    </row>
    <row r="477" spans="1:33" s="145" customFormat="1" x14ac:dyDescent="0.15">
      <c r="A477" s="270">
        <v>95201156</v>
      </c>
      <c r="B477" s="268" t="s">
        <v>5260</v>
      </c>
      <c r="C477" s="268" t="s">
        <v>5148</v>
      </c>
      <c r="D477" s="268">
        <v>7906</v>
      </c>
      <c r="E477" s="268" t="s">
        <v>4876</v>
      </c>
      <c r="F477" s="268" t="s">
        <v>4877</v>
      </c>
      <c r="G477" s="269">
        <v>6</v>
      </c>
      <c r="H477" s="269">
        <v>0</v>
      </c>
      <c r="I477" s="267">
        <v>34</v>
      </c>
      <c r="J477" s="282" t="s">
        <v>5261</v>
      </c>
      <c r="K477" s="279" t="s">
        <v>5262</v>
      </c>
      <c r="L477" s="279"/>
      <c r="M477" s="268">
        <v>1</v>
      </c>
      <c r="N477" s="268" t="b">
        <v>1</v>
      </c>
      <c r="O477" s="268">
        <v>25</v>
      </c>
      <c r="P477" s="281">
        <v>375</v>
      </c>
      <c r="Q477" s="281">
        <v>500</v>
      </c>
      <c r="R477" s="268" t="s">
        <v>3383</v>
      </c>
      <c r="S477" s="268"/>
      <c r="T477" s="268">
        <v>1</v>
      </c>
      <c r="U477" s="268" t="s">
        <v>4880</v>
      </c>
      <c r="V477" s="269">
        <v>6</v>
      </c>
      <c r="W477" s="269"/>
      <c r="X477" s="268" t="s">
        <v>4881</v>
      </c>
      <c r="Y477" s="331" t="s">
        <v>5263</v>
      </c>
      <c r="Z477" s="332" t="s">
        <v>5264</v>
      </c>
      <c r="AA477" s="268" t="s">
        <v>4884</v>
      </c>
      <c r="AB477" s="268"/>
      <c r="AC477" s="287">
        <v>1</v>
      </c>
      <c r="AD477" s="287">
        <v>1</v>
      </c>
      <c r="AE477" s="268"/>
      <c r="AF477" s="268"/>
      <c r="AG477" s="290"/>
    </row>
    <row r="478" spans="1:33" s="145" customFormat="1" x14ac:dyDescent="0.15">
      <c r="A478" s="270">
        <v>95201157</v>
      </c>
      <c r="B478" s="268" t="s">
        <v>5260</v>
      </c>
      <c r="C478" s="268" t="s">
        <v>5148</v>
      </c>
      <c r="D478" s="268">
        <v>7906</v>
      </c>
      <c r="E478" s="268" t="s">
        <v>4876</v>
      </c>
      <c r="F478" s="268" t="s">
        <v>4877</v>
      </c>
      <c r="G478" s="269">
        <v>7</v>
      </c>
      <c r="H478" s="269">
        <v>0</v>
      </c>
      <c r="I478" s="267">
        <v>34</v>
      </c>
      <c r="J478" s="282" t="s">
        <v>5261</v>
      </c>
      <c r="K478" s="279" t="s">
        <v>5262</v>
      </c>
      <c r="L478" s="279"/>
      <c r="M478" s="268">
        <v>1</v>
      </c>
      <c r="N478" s="268" t="b">
        <v>1</v>
      </c>
      <c r="O478" s="268">
        <v>38</v>
      </c>
      <c r="P478" s="281">
        <v>570</v>
      </c>
      <c r="Q478" s="281">
        <v>760</v>
      </c>
      <c r="R478" s="268" t="s">
        <v>3383</v>
      </c>
      <c r="S478" s="268"/>
      <c r="T478" s="268">
        <v>1</v>
      </c>
      <c r="U478" s="268" t="s">
        <v>4880</v>
      </c>
      <c r="V478" s="269">
        <v>7</v>
      </c>
      <c r="W478" s="269"/>
      <c r="X478" s="268" t="s">
        <v>4881</v>
      </c>
      <c r="Y478" s="331" t="s">
        <v>5263</v>
      </c>
      <c r="Z478" s="332" t="s">
        <v>5264</v>
      </c>
      <c r="AA478" s="268" t="s">
        <v>4884</v>
      </c>
      <c r="AB478" s="268"/>
      <c r="AC478" s="287">
        <v>1</v>
      </c>
      <c r="AD478" s="287">
        <v>1</v>
      </c>
      <c r="AE478" s="268"/>
      <c r="AF478" s="268"/>
      <c r="AG478" s="290"/>
    </row>
    <row r="479" spans="1:33" s="258" customFormat="1" x14ac:dyDescent="0.15">
      <c r="A479" s="271">
        <v>95201158</v>
      </c>
      <c r="B479" s="272" t="s">
        <v>5265</v>
      </c>
      <c r="C479" s="272" t="s">
        <v>5148</v>
      </c>
      <c r="D479" s="272">
        <v>5081</v>
      </c>
      <c r="E479" s="272" t="s">
        <v>4876</v>
      </c>
      <c r="F479" s="272" t="s">
        <v>4877</v>
      </c>
      <c r="G479" s="269">
        <v>6</v>
      </c>
      <c r="H479" s="273">
        <v>1</v>
      </c>
      <c r="I479" s="283">
        <v>34</v>
      </c>
      <c r="J479" s="284" t="s">
        <v>5261</v>
      </c>
      <c r="K479" s="285" t="s">
        <v>5262</v>
      </c>
      <c r="L479" s="272" t="s">
        <v>44</v>
      </c>
      <c r="M479" s="272">
        <v>1</v>
      </c>
      <c r="N479" s="272" t="b">
        <v>1</v>
      </c>
      <c r="O479" s="272">
        <v>51</v>
      </c>
      <c r="P479" s="281">
        <v>765</v>
      </c>
      <c r="Q479" s="281">
        <v>1020</v>
      </c>
      <c r="R479" s="272" t="s">
        <v>3383</v>
      </c>
      <c r="S479" s="272"/>
      <c r="T479" s="272">
        <v>1</v>
      </c>
      <c r="U479" s="272" t="s">
        <v>4880</v>
      </c>
      <c r="V479" s="273">
        <v>10</v>
      </c>
      <c r="W479" s="273"/>
      <c r="X479" s="272" t="s">
        <v>4881</v>
      </c>
      <c r="Y479" s="333" t="s">
        <v>5263</v>
      </c>
      <c r="Z479" s="334" t="s">
        <v>5264</v>
      </c>
      <c r="AA479" s="272" t="s">
        <v>4884</v>
      </c>
      <c r="AB479" s="272"/>
      <c r="AC479" s="289">
        <v>1</v>
      </c>
      <c r="AD479" s="289">
        <v>1</v>
      </c>
      <c r="AE479" s="289"/>
      <c r="AF479" s="272"/>
      <c r="AG479" s="272"/>
    </row>
    <row r="480" spans="1:33" s="258" customFormat="1" x14ac:dyDescent="0.15">
      <c r="A480" s="271">
        <v>95201159</v>
      </c>
      <c r="B480" s="272" t="s">
        <v>5266</v>
      </c>
      <c r="C480" s="272" t="s">
        <v>5148</v>
      </c>
      <c r="D480" s="272">
        <v>5081</v>
      </c>
      <c r="E480" s="272" t="s">
        <v>4876</v>
      </c>
      <c r="F480" s="272" t="s">
        <v>4877</v>
      </c>
      <c r="G480" s="269">
        <v>6</v>
      </c>
      <c r="H480" s="273">
        <v>1</v>
      </c>
      <c r="I480" s="283">
        <v>34</v>
      </c>
      <c r="J480" s="284" t="s">
        <v>5261</v>
      </c>
      <c r="K480" s="285" t="s">
        <v>5262</v>
      </c>
      <c r="L480" s="272" t="s">
        <v>4887</v>
      </c>
      <c r="M480" s="272">
        <v>1</v>
      </c>
      <c r="N480" s="272" t="b">
        <v>1</v>
      </c>
      <c r="O480" s="272">
        <v>64</v>
      </c>
      <c r="P480" s="281">
        <v>960</v>
      </c>
      <c r="Q480" s="281">
        <v>1280</v>
      </c>
      <c r="R480" s="272" t="s">
        <v>3383</v>
      </c>
      <c r="S480" s="272"/>
      <c r="T480" s="272">
        <v>1</v>
      </c>
      <c r="U480" s="272" t="s">
        <v>4880</v>
      </c>
      <c r="V480" s="273">
        <v>10</v>
      </c>
      <c r="W480" s="273"/>
      <c r="X480" s="272" t="s">
        <v>4881</v>
      </c>
      <c r="Y480" s="333" t="s">
        <v>5263</v>
      </c>
      <c r="Z480" s="334" t="s">
        <v>5264</v>
      </c>
      <c r="AA480" s="272" t="s">
        <v>4884</v>
      </c>
      <c r="AB480" s="272"/>
      <c r="AC480" s="289">
        <v>1</v>
      </c>
      <c r="AD480" s="289">
        <v>1</v>
      </c>
      <c r="AE480" s="289"/>
      <c r="AF480" s="272"/>
      <c r="AG480" s="272"/>
    </row>
    <row r="481" spans="1:33" s="258" customFormat="1" x14ac:dyDescent="0.15">
      <c r="A481" s="271">
        <v>95201160</v>
      </c>
      <c r="B481" s="272" t="s">
        <v>5267</v>
      </c>
      <c r="C481" s="272" t="s">
        <v>5148</v>
      </c>
      <c r="D481" s="272">
        <v>5081</v>
      </c>
      <c r="E481" s="272" t="s">
        <v>4876</v>
      </c>
      <c r="F481" s="272" t="s">
        <v>4877</v>
      </c>
      <c r="G481" s="269">
        <v>7</v>
      </c>
      <c r="H481" s="273">
        <v>0</v>
      </c>
      <c r="I481" s="283">
        <v>34</v>
      </c>
      <c r="J481" s="284" t="s">
        <v>5261</v>
      </c>
      <c r="K481" s="285" t="s">
        <v>5262</v>
      </c>
      <c r="L481" s="272" t="s">
        <v>4889</v>
      </c>
      <c r="M481" s="272">
        <v>1</v>
      </c>
      <c r="N481" s="272" t="b">
        <v>1</v>
      </c>
      <c r="O481" s="272">
        <v>77</v>
      </c>
      <c r="P481" s="281">
        <v>1155</v>
      </c>
      <c r="Q481" s="281">
        <v>1540</v>
      </c>
      <c r="R481" s="272" t="s">
        <v>3383</v>
      </c>
      <c r="S481" s="272"/>
      <c r="T481" s="272">
        <v>1</v>
      </c>
      <c r="U481" s="272" t="s">
        <v>4880</v>
      </c>
      <c r="V481" s="273">
        <v>10</v>
      </c>
      <c r="W481" s="273"/>
      <c r="X481" s="272" t="s">
        <v>4881</v>
      </c>
      <c r="Y481" s="333" t="s">
        <v>5263</v>
      </c>
      <c r="Z481" s="334" t="s">
        <v>5264</v>
      </c>
      <c r="AA481" s="272" t="s">
        <v>4884</v>
      </c>
      <c r="AB481" s="272"/>
      <c r="AC481" s="289">
        <v>1</v>
      </c>
      <c r="AD481" s="289">
        <v>1</v>
      </c>
      <c r="AE481" s="289"/>
      <c r="AF481" s="272"/>
      <c r="AG481" s="272"/>
    </row>
    <row r="482" spans="1:33" s="145" customFormat="1" x14ac:dyDescent="0.15">
      <c r="A482" s="267">
        <v>95201161</v>
      </c>
      <c r="B482" s="268" t="s">
        <v>5268</v>
      </c>
      <c r="C482" s="293" t="s">
        <v>5148</v>
      </c>
      <c r="D482" s="293">
        <v>7906</v>
      </c>
      <c r="E482" s="268" t="s">
        <v>4876</v>
      </c>
      <c r="F482" s="268" t="s">
        <v>4877</v>
      </c>
      <c r="G482" s="269">
        <v>1</v>
      </c>
      <c r="H482" s="269">
        <v>0</v>
      </c>
      <c r="I482" s="267">
        <v>34</v>
      </c>
      <c r="J482" s="268" t="s">
        <v>5269</v>
      </c>
      <c r="K482" s="295" t="s">
        <v>5270</v>
      </c>
      <c r="L482" s="295"/>
      <c r="M482" s="268">
        <v>1</v>
      </c>
      <c r="N482" s="268" t="b">
        <v>1</v>
      </c>
      <c r="O482" s="268">
        <v>2</v>
      </c>
      <c r="P482" s="281">
        <v>30</v>
      </c>
      <c r="Q482" s="281">
        <v>40</v>
      </c>
      <c r="R482" s="268" t="s">
        <v>3383</v>
      </c>
      <c r="S482" s="268"/>
      <c r="T482" s="268">
        <v>1</v>
      </c>
      <c r="U482" s="268" t="s">
        <v>4880</v>
      </c>
      <c r="V482" s="269">
        <v>1</v>
      </c>
      <c r="W482" s="269"/>
      <c r="X482" s="268" t="s">
        <v>4881</v>
      </c>
      <c r="Y482" s="331" t="s">
        <v>5271</v>
      </c>
      <c r="Z482" s="332" t="s">
        <v>5272</v>
      </c>
      <c r="AA482" s="268" t="s">
        <v>4884</v>
      </c>
      <c r="AB482" s="268"/>
      <c r="AC482" s="287">
        <v>1</v>
      </c>
      <c r="AD482" s="287">
        <v>1</v>
      </c>
      <c r="AE482" s="268"/>
      <c r="AF482" s="268"/>
      <c r="AG482" s="290"/>
    </row>
    <row r="483" spans="1:33" s="145" customFormat="1" x14ac:dyDescent="0.15">
      <c r="A483" s="267">
        <v>95201162</v>
      </c>
      <c r="B483" s="268" t="s">
        <v>5268</v>
      </c>
      <c r="C483" s="293" t="s">
        <v>5148</v>
      </c>
      <c r="D483" s="293">
        <v>7906</v>
      </c>
      <c r="E483" s="268" t="s">
        <v>4876</v>
      </c>
      <c r="F483" s="268" t="s">
        <v>4877</v>
      </c>
      <c r="G483" s="269">
        <v>2</v>
      </c>
      <c r="H483" s="269">
        <v>0</v>
      </c>
      <c r="I483" s="267">
        <v>34</v>
      </c>
      <c r="J483" s="268" t="s">
        <v>5269</v>
      </c>
      <c r="K483" s="295" t="s">
        <v>5270</v>
      </c>
      <c r="L483" s="295"/>
      <c r="M483" s="268">
        <v>1</v>
      </c>
      <c r="N483" s="268" t="b">
        <v>1</v>
      </c>
      <c r="O483" s="268">
        <v>5</v>
      </c>
      <c r="P483" s="281">
        <v>75</v>
      </c>
      <c r="Q483" s="281">
        <v>100</v>
      </c>
      <c r="R483" s="268" t="s">
        <v>3383</v>
      </c>
      <c r="S483" s="268"/>
      <c r="T483" s="268">
        <v>1</v>
      </c>
      <c r="U483" s="268" t="s">
        <v>4880</v>
      </c>
      <c r="V483" s="269">
        <v>2</v>
      </c>
      <c r="W483" s="269"/>
      <c r="X483" s="268" t="s">
        <v>4881</v>
      </c>
      <c r="Y483" s="331" t="s">
        <v>5271</v>
      </c>
      <c r="Z483" s="332" t="s">
        <v>5272</v>
      </c>
      <c r="AA483" s="268" t="s">
        <v>4884</v>
      </c>
      <c r="AB483" s="268"/>
      <c r="AC483" s="287">
        <v>1</v>
      </c>
      <c r="AD483" s="287">
        <v>1</v>
      </c>
      <c r="AE483" s="268"/>
      <c r="AF483" s="268"/>
      <c r="AG483" s="290"/>
    </row>
    <row r="484" spans="1:33" s="145" customFormat="1" x14ac:dyDescent="0.15">
      <c r="A484" s="267">
        <v>95201163</v>
      </c>
      <c r="B484" s="268" t="s">
        <v>5268</v>
      </c>
      <c r="C484" s="293" t="s">
        <v>5148</v>
      </c>
      <c r="D484" s="293">
        <v>7906</v>
      </c>
      <c r="E484" s="268" t="s">
        <v>4876</v>
      </c>
      <c r="F484" s="268" t="s">
        <v>4877</v>
      </c>
      <c r="G484" s="269">
        <v>3</v>
      </c>
      <c r="H484" s="269">
        <v>0</v>
      </c>
      <c r="I484" s="267">
        <v>34</v>
      </c>
      <c r="J484" s="268" t="s">
        <v>5269</v>
      </c>
      <c r="K484" s="295" t="s">
        <v>5270</v>
      </c>
      <c r="L484" s="295"/>
      <c r="M484" s="268">
        <v>1</v>
      </c>
      <c r="N484" s="268" t="b">
        <v>1</v>
      </c>
      <c r="O484" s="268">
        <v>7</v>
      </c>
      <c r="P484" s="281">
        <v>105</v>
      </c>
      <c r="Q484" s="281">
        <v>140</v>
      </c>
      <c r="R484" s="268" t="s">
        <v>3383</v>
      </c>
      <c r="S484" s="268"/>
      <c r="T484" s="268">
        <v>1</v>
      </c>
      <c r="U484" s="268" t="s">
        <v>4880</v>
      </c>
      <c r="V484" s="269">
        <v>3</v>
      </c>
      <c r="W484" s="269"/>
      <c r="X484" s="268" t="s">
        <v>4881</v>
      </c>
      <c r="Y484" s="331" t="s">
        <v>5271</v>
      </c>
      <c r="Z484" s="332" t="s">
        <v>5272</v>
      </c>
      <c r="AA484" s="268" t="s">
        <v>4884</v>
      </c>
      <c r="AB484" s="268"/>
      <c r="AC484" s="287">
        <v>1</v>
      </c>
      <c r="AD484" s="287">
        <v>1</v>
      </c>
      <c r="AE484" s="268"/>
      <c r="AF484" s="268"/>
      <c r="AG484" s="290"/>
    </row>
    <row r="485" spans="1:33" s="145" customFormat="1" x14ac:dyDescent="0.15">
      <c r="A485" s="267">
        <v>95201164</v>
      </c>
      <c r="B485" s="268" t="s">
        <v>5268</v>
      </c>
      <c r="C485" s="293" t="s">
        <v>5148</v>
      </c>
      <c r="D485" s="293">
        <v>7906</v>
      </c>
      <c r="E485" s="268" t="s">
        <v>4876</v>
      </c>
      <c r="F485" s="268" t="s">
        <v>4877</v>
      </c>
      <c r="G485" s="269">
        <v>4</v>
      </c>
      <c r="H485" s="269">
        <v>0</v>
      </c>
      <c r="I485" s="267">
        <v>34</v>
      </c>
      <c r="J485" s="268" t="s">
        <v>5269</v>
      </c>
      <c r="K485" s="295" t="s">
        <v>5270</v>
      </c>
      <c r="L485" s="295"/>
      <c r="M485" s="268">
        <v>1</v>
      </c>
      <c r="N485" s="268" t="b">
        <v>1</v>
      </c>
      <c r="O485" s="268">
        <v>10</v>
      </c>
      <c r="P485" s="281">
        <v>150</v>
      </c>
      <c r="Q485" s="281">
        <v>200</v>
      </c>
      <c r="R485" s="268" t="s">
        <v>3383</v>
      </c>
      <c r="S485" s="268"/>
      <c r="T485" s="268">
        <v>1</v>
      </c>
      <c r="U485" s="268" t="s">
        <v>4880</v>
      </c>
      <c r="V485" s="269">
        <v>4</v>
      </c>
      <c r="W485" s="269"/>
      <c r="X485" s="268" t="s">
        <v>4881</v>
      </c>
      <c r="Y485" s="331" t="s">
        <v>5271</v>
      </c>
      <c r="Z485" s="332" t="s">
        <v>5272</v>
      </c>
      <c r="AA485" s="268" t="s">
        <v>4884</v>
      </c>
      <c r="AB485" s="268"/>
      <c r="AC485" s="287">
        <v>1</v>
      </c>
      <c r="AD485" s="287">
        <v>1</v>
      </c>
      <c r="AE485" s="268"/>
      <c r="AF485" s="268"/>
      <c r="AG485" s="290"/>
    </row>
    <row r="486" spans="1:33" s="145" customFormat="1" x14ac:dyDescent="0.15">
      <c r="A486" s="267">
        <v>95201165</v>
      </c>
      <c r="B486" s="268" t="s">
        <v>5268</v>
      </c>
      <c r="C486" s="293" t="s">
        <v>5148</v>
      </c>
      <c r="D486" s="293">
        <v>7906</v>
      </c>
      <c r="E486" s="268" t="s">
        <v>4876</v>
      </c>
      <c r="F486" s="268" t="s">
        <v>4877</v>
      </c>
      <c r="G486" s="269">
        <v>5</v>
      </c>
      <c r="H486" s="269">
        <v>0</v>
      </c>
      <c r="I486" s="267">
        <v>34</v>
      </c>
      <c r="J486" s="268" t="s">
        <v>5269</v>
      </c>
      <c r="K486" s="295" t="s">
        <v>5270</v>
      </c>
      <c r="L486" s="295"/>
      <c r="M486" s="268">
        <v>1</v>
      </c>
      <c r="N486" s="268" t="b">
        <v>1</v>
      </c>
      <c r="O486" s="268">
        <v>12</v>
      </c>
      <c r="P486" s="281">
        <v>180</v>
      </c>
      <c r="Q486" s="281">
        <v>240</v>
      </c>
      <c r="R486" s="268" t="s">
        <v>3383</v>
      </c>
      <c r="S486" s="268"/>
      <c r="T486" s="268">
        <v>1</v>
      </c>
      <c r="U486" s="268" t="s">
        <v>4880</v>
      </c>
      <c r="V486" s="269">
        <v>5</v>
      </c>
      <c r="W486" s="269"/>
      <c r="X486" s="268" t="s">
        <v>4881</v>
      </c>
      <c r="Y486" s="331" t="s">
        <v>5271</v>
      </c>
      <c r="Z486" s="332" t="s">
        <v>5272</v>
      </c>
      <c r="AA486" s="268" t="s">
        <v>4884</v>
      </c>
      <c r="AB486" s="268"/>
      <c r="AC486" s="287">
        <v>1</v>
      </c>
      <c r="AD486" s="287">
        <v>1</v>
      </c>
      <c r="AE486" s="268"/>
      <c r="AF486" s="268"/>
      <c r="AG486" s="290"/>
    </row>
    <row r="487" spans="1:33" s="258" customFormat="1" x14ac:dyDescent="0.15">
      <c r="A487" s="270">
        <v>95201166</v>
      </c>
      <c r="B487" s="268" t="s">
        <v>5268</v>
      </c>
      <c r="C487" s="268" t="s">
        <v>5148</v>
      </c>
      <c r="D487" s="268">
        <v>7906</v>
      </c>
      <c r="E487" s="268" t="s">
        <v>4876</v>
      </c>
      <c r="F487" s="268" t="s">
        <v>4877</v>
      </c>
      <c r="G487" s="269">
        <v>6</v>
      </c>
      <c r="H487" s="269">
        <v>0</v>
      </c>
      <c r="I487" s="267">
        <v>34</v>
      </c>
      <c r="J487" s="282" t="s">
        <v>5269</v>
      </c>
      <c r="K487" s="279" t="s">
        <v>5270</v>
      </c>
      <c r="L487" s="279"/>
      <c r="M487" s="268">
        <v>1</v>
      </c>
      <c r="N487" s="268" t="b">
        <v>1</v>
      </c>
      <c r="O487" s="268">
        <v>25</v>
      </c>
      <c r="P487" s="281">
        <v>375</v>
      </c>
      <c r="Q487" s="281">
        <v>500</v>
      </c>
      <c r="R487" s="268" t="s">
        <v>3383</v>
      </c>
      <c r="S487" s="268"/>
      <c r="T487" s="268">
        <v>1</v>
      </c>
      <c r="U487" s="268" t="s">
        <v>4880</v>
      </c>
      <c r="V487" s="269">
        <v>6</v>
      </c>
      <c r="W487" s="269"/>
      <c r="X487" s="268" t="s">
        <v>4881</v>
      </c>
      <c r="Y487" s="331" t="s">
        <v>5271</v>
      </c>
      <c r="Z487" s="332" t="s">
        <v>5272</v>
      </c>
      <c r="AA487" s="268" t="s">
        <v>4884</v>
      </c>
      <c r="AB487" s="268"/>
      <c r="AC487" s="287">
        <v>1</v>
      </c>
      <c r="AD487" s="287">
        <v>1</v>
      </c>
      <c r="AE487" s="268"/>
      <c r="AF487" s="268"/>
      <c r="AG487" s="290"/>
    </row>
    <row r="488" spans="1:33" s="145" customFormat="1" x14ac:dyDescent="0.15">
      <c r="A488" s="270">
        <v>95201167</v>
      </c>
      <c r="B488" s="268" t="s">
        <v>5268</v>
      </c>
      <c r="C488" s="268" t="s">
        <v>5148</v>
      </c>
      <c r="D488" s="268">
        <v>7906</v>
      </c>
      <c r="E488" s="268" t="s">
        <v>4876</v>
      </c>
      <c r="F488" s="268" t="s">
        <v>4877</v>
      </c>
      <c r="G488" s="269">
        <v>7</v>
      </c>
      <c r="H488" s="269">
        <v>0</v>
      </c>
      <c r="I488" s="267">
        <v>34</v>
      </c>
      <c r="J488" s="282" t="s">
        <v>5269</v>
      </c>
      <c r="K488" s="279" t="s">
        <v>5270</v>
      </c>
      <c r="L488" s="279"/>
      <c r="M488" s="268">
        <v>1</v>
      </c>
      <c r="N488" s="268" t="b">
        <v>1</v>
      </c>
      <c r="O488" s="268">
        <v>38</v>
      </c>
      <c r="P488" s="281">
        <v>570</v>
      </c>
      <c r="Q488" s="281">
        <v>760</v>
      </c>
      <c r="R488" s="268" t="s">
        <v>3383</v>
      </c>
      <c r="S488" s="268"/>
      <c r="T488" s="268">
        <v>1</v>
      </c>
      <c r="U488" s="268" t="s">
        <v>4880</v>
      </c>
      <c r="V488" s="269">
        <v>7</v>
      </c>
      <c r="W488" s="269"/>
      <c r="X488" s="268" t="s">
        <v>4881</v>
      </c>
      <c r="Y488" s="331" t="s">
        <v>5271</v>
      </c>
      <c r="Z488" s="332" t="s">
        <v>5272</v>
      </c>
      <c r="AA488" s="268" t="s">
        <v>4884</v>
      </c>
      <c r="AB488" s="268"/>
      <c r="AC488" s="287">
        <v>1</v>
      </c>
      <c r="AD488" s="287">
        <v>1</v>
      </c>
      <c r="AE488" s="268"/>
      <c r="AF488" s="268"/>
      <c r="AG488" s="290"/>
    </row>
    <row r="489" spans="1:33" s="258" customFormat="1" x14ac:dyDescent="0.15">
      <c r="A489" s="271">
        <v>95201168</v>
      </c>
      <c r="B489" s="272" t="s">
        <v>5273</v>
      </c>
      <c r="C489" s="272" t="s">
        <v>5148</v>
      </c>
      <c r="D489" s="272">
        <v>5081</v>
      </c>
      <c r="E489" s="272" t="s">
        <v>4876</v>
      </c>
      <c r="F489" s="272" t="s">
        <v>4877</v>
      </c>
      <c r="G489" s="269">
        <v>6</v>
      </c>
      <c r="H489" s="273">
        <v>1</v>
      </c>
      <c r="I489" s="283">
        <v>34</v>
      </c>
      <c r="J489" s="284" t="s">
        <v>5269</v>
      </c>
      <c r="K489" s="285" t="s">
        <v>5270</v>
      </c>
      <c r="L489" s="272" t="s">
        <v>44</v>
      </c>
      <c r="M489" s="272">
        <v>1</v>
      </c>
      <c r="N489" s="272" t="b">
        <v>1</v>
      </c>
      <c r="O489" s="272">
        <v>51</v>
      </c>
      <c r="P489" s="281">
        <v>765</v>
      </c>
      <c r="Q489" s="281">
        <v>1020</v>
      </c>
      <c r="R489" s="272" t="s">
        <v>3383</v>
      </c>
      <c r="S489" s="272"/>
      <c r="T489" s="272">
        <v>1</v>
      </c>
      <c r="U489" s="272" t="s">
        <v>4880</v>
      </c>
      <c r="V489" s="273">
        <v>10</v>
      </c>
      <c r="W489" s="273"/>
      <c r="X489" s="272" t="s">
        <v>4881</v>
      </c>
      <c r="Y489" s="333" t="s">
        <v>5271</v>
      </c>
      <c r="Z489" s="334" t="s">
        <v>5272</v>
      </c>
      <c r="AA489" s="272" t="s">
        <v>4884</v>
      </c>
      <c r="AB489" s="272"/>
      <c r="AC489" s="289">
        <v>1</v>
      </c>
      <c r="AD489" s="289">
        <v>1</v>
      </c>
      <c r="AE489" s="289"/>
      <c r="AF489" s="272"/>
      <c r="AG489" s="272"/>
    </row>
    <row r="490" spans="1:33" s="258" customFormat="1" x14ac:dyDescent="0.15">
      <c r="A490" s="271">
        <v>95201169</v>
      </c>
      <c r="B490" s="272" t="s">
        <v>5274</v>
      </c>
      <c r="C490" s="272" t="s">
        <v>5148</v>
      </c>
      <c r="D490" s="272">
        <v>5081</v>
      </c>
      <c r="E490" s="272" t="s">
        <v>4876</v>
      </c>
      <c r="F490" s="272" t="s">
        <v>4877</v>
      </c>
      <c r="G490" s="269">
        <v>6</v>
      </c>
      <c r="H490" s="273">
        <v>1</v>
      </c>
      <c r="I490" s="283">
        <v>34</v>
      </c>
      <c r="J490" s="284" t="s">
        <v>5269</v>
      </c>
      <c r="K490" s="285" t="s">
        <v>5270</v>
      </c>
      <c r="L490" s="272" t="s">
        <v>4887</v>
      </c>
      <c r="M490" s="272">
        <v>1</v>
      </c>
      <c r="N490" s="272" t="b">
        <v>1</v>
      </c>
      <c r="O490" s="272">
        <v>64</v>
      </c>
      <c r="P490" s="281">
        <v>960</v>
      </c>
      <c r="Q490" s="281">
        <v>1280</v>
      </c>
      <c r="R490" s="272" t="s">
        <v>3383</v>
      </c>
      <c r="S490" s="272"/>
      <c r="T490" s="272">
        <v>1</v>
      </c>
      <c r="U490" s="272" t="s">
        <v>4880</v>
      </c>
      <c r="V490" s="273">
        <v>10</v>
      </c>
      <c r="W490" s="273"/>
      <c r="X490" s="272" t="s">
        <v>4881</v>
      </c>
      <c r="Y490" s="333" t="s">
        <v>5271</v>
      </c>
      <c r="Z490" s="334" t="s">
        <v>5272</v>
      </c>
      <c r="AA490" s="272" t="s">
        <v>4884</v>
      </c>
      <c r="AB490" s="272"/>
      <c r="AC490" s="289">
        <v>1</v>
      </c>
      <c r="AD490" s="289">
        <v>1</v>
      </c>
      <c r="AE490" s="289"/>
      <c r="AF490" s="272"/>
      <c r="AG490" s="272"/>
    </row>
    <row r="491" spans="1:33" s="258" customFormat="1" x14ac:dyDescent="0.15">
      <c r="A491" s="271">
        <v>95201170</v>
      </c>
      <c r="B491" s="272" t="s">
        <v>5275</v>
      </c>
      <c r="C491" s="272" t="s">
        <v>5148</v>
      </c>
      <c r="D491" s="272">
        <v>5081</v>
      </c>
      <c r="E491" s="272" t="s">
        <v>4876</v>
      </c>
      <c r="F491" s="272" t="s">
        <v>4877</v>
      </c>
      <c r="G491" s="269">
        <v>7</v>
      </c>
      <c r="H491" s="273">
        <v>0</v>
      </c>
      <c r="I491" s="283">
        <v>34</v>
      </c>
      <c r="J491" s="284" t="s">
        <v>5269</v>
      </c>
      <c r="K491" s="285" t="s">
        <v>5270</v>
      </c>
      <c r="L491" s="272" t="s">
        <v>4889</v>
      </c>
      <c r="M491" s="272">
        <v>1</v>
      </c>
      <c r="N491" s="272" t="b">
        <v>1</v>
      </c>
      <c r="O491" s="272">
        <v>77</v>
      </c>
      <c r="P491" s="281">
        <v>1155</v>
      </c>
      <c r="Q491" s="281">
        <v>1540</v>
      </c>
      <c r="R491" s="272" t="s">
        <v>3383</v>
      </c>
      <c r="S491" s="272"/>
      <c r="T491" s="272">
        <v>1</v>
      </c>
      <c r="U491" s="272" t="s">
        <v>4880</v>
      </c>
      <c r="V491" s="273">
        <v>10</v>
      </c>
      <c r="W491" s="273"/>
      <c r="X491" s="272" t="s">
        <v>4881</v>
      </c>
      <c r="Y491" s="333" t="s">
        <v>5271</v>
      </c>
      <c r="Z491" s="334" t="s">
        <v>5272</v>
      </c>
      <c r="AA491" s="272" t="s">
        <v>4884</v>
      </c>
      <c r="AB491" s="272"/>
      <c r="AC491" s="289">
        <v>1</v>
      </c>
      <c r="AD491" s="289">
        <v>1</v>
      </c>
      <c r="AE491" s="289"/>
      <c r="AF491" s="272"/>
      <c r="AG491" s="272"/>
    </row>
    <row r="492" spans="1:33" s="145" customFormat="1" x14ac:dyDescent="0.15">
      <c r="A492" s="267">
        <v>95201171</v>
      </c>
      <c r="B492" s="268" t="s">
        <v>5276</v>
      </c>
      <c r="C492" s="268" t="s">
        <v>5148</v>
      </c>
      <c r="D492" s="268">
        <v>7906</v>
      </c>
      <c r="E492" s="268" t="s">
        <v>4876</v>
      </c>
      <c r="F492" s="268" t="s">
        <v>4877</v>
      </c>
      <c r="G492" s="269">
        <v>1</v>
      </c>
      <c r="H492" s="269">
        <v>0</v>
      </c>
      <c r="I492" s="267">
        <v>34</v>
      </c>
      <c r="J492" s="282" t="s">
        <v>5277</v>
      </c>
      <c r="K492" s="279" t="s">
        <v>5278</v>
      </c>
      <c r="L492" s="279"/>
      <c r="M492" s="268">
        <v>1</v>
      </c>
      <c r="N492" s="268" t="b">
        <v>1</v>
      </c>
      <c r="O492" s="268">
        <v>2</v>
      </c>
      <c r="P492" s="281">
        <v>30</v>
      </c>
      <c r="Q492" s="281">
        <v>40</v>
      </c>
      <c r="R492" s="268" t="s">
        <v>3383</v>
      </c>
      <c r="S492" s="268"/>
      <c r="T492" s="268">
        <v>1</v>
      </c>
      <c r="U492" s="268" t="s">
        <v>4880</v>
      </c>
      <c r="V492" s="269">
        <v>1</v>
      </c>
      <c r="W492" s="269"/>
      <c r="X492" s="268" t="s">
        <v>4881</v>
      </c>
      <c r="Y492" s="269" t="s">
        <v>5279</v>
      </c>
      <c r="Z492" s="293" t="s">
        <v>5280</v>
      </c>
      <c r="AA492" s="268" t="s">
        <v>4884</v>
      </c>
      <c r="AB492" s="268"/>
      <c r="AC492" s="287">
        <v>1</v>
      </c>
      <c r="AD492" s="287">
        <v>1</v>
      </c>
      <c r="AE492" s="268"/>
      <c r="AF492" s="268"/>
      <c r="AG492" s="290"/>
    </row>
    <row r="493" spans="1:33" s="145" customFormat="1" x14ac:dyDescent="0.15">
      <c r="A493" s="267">
        <v>95201172</v>
      </c>
      <c r="B493" s="268" t="s">
        <v>5276</v>
      </c>
      <c r="C493" s="268" t="s">
        <v>5148</v>
      </c>
      <c r="D493" s="268">
        <v>7906</v>
      </c>
      <c r="E493" s="268" t="s">
        <v>4876</v>
      </c>
      <c r="F493" s="268" t="s">
        <v>4877</v>
      </c>
      <c r="G493" s="269">
        <v>2</v>
      </c>
      <c r="H493" s="269">
        <v>0</v>
      </c>
      <c r="I493" s="267">
        <v>34</v>
      </c>
      <c r="J493" s="282" t="s">
        <v>5277</v>
      </c>
      <c r="K493" s="279" t="s">
        <v>5278</v>
      </c>
      <c r="L493" s="279"/>
      <c r="M493" s="268">
        <v>1</v>
      </c>
      <c r="N493" s="268" t="b">
        <v>1</v>
      </c>
      <c r="O493" s="268">
        <v>5</v>
      </c>
      <c r="P493" s="281">
        <v>75</v>
      </c>
      <c r="Q493" s="281">
        <v>100</v>
      </c>
      <c r="R493" s="268" t="s">
        <v>3383</v>
      </c>
      <c r="S493" s="268"/>
      <c r="T493" s="268">
        <v>1</v>
      </c>
      <c r="U493" s="268" t="s">
        <v>4880</v>
      </c>
      <c r="V493" s="269">
        <v>2</v>
      </c>
      <c r="W493" s="269"/>
      <c r="X493" s="268" t="s">
        <v>4881</v>
      </c>
      <c r="Y493" s="269" t="s">
        <v>5279</v>
      </c>
      <c r="Z493" s="293" t="s">
        <v>5280</v>
      </c>
      <c r="AA493" s="268" t="s">
        <v>4884</v>
      </c>
      <c r="AB493" s="268"/>
      <c r="AC493" s="287">
        <v>1</v>
      </c>
      <c r="AD493" s="287">
        <v>1</v>
      </c>
      <c r="AE493" s="268"/>
      <c r="AF493" s="268"/>
      <c r="AG493" s="290"/>
    </row>
    <row r="494" spans="1:33" s="145" customFormat="1" x14ac:dyDescent="0.15">
      <c r="A494" s="267">
        <v>95201173</v>
      </c>
      <c r="B494" s="268" t="s">
        <v>5276</v>
      </c>
      <c r="C494" s="268" t="s">
        <v>5148</v>
      </c>
      <c r="D494" s="268">
        <v>7906</v>
      </c>
      <c r="E494" s="268" t="s">
        <v>4876</v>
      </c>
      <c r="F494" s="268" t="s">
        <v>4877</v>
      </c>
      <c r="G494" s="269">
        <v>3</v>
      </c>
      <c r="H494" s="269">
        <v>0</v>
      </c>
      <c r="I494" s="267">
        <v>34</v>
      </c>
      <c r="J494" s="282" t="s">
        <v>5277</v>
      </c>
      <c r="K494" s="279" t="s">
        <v>5278</v>
      </c>
      <c r="L494" s="279"/>
      <c r="M494" s="268">
        <v>1</v>
      </c>
      <c r="N494" s="268" t="b">
        <v>1</v>
      </c>
      <c r="O494" s="268">
        <v>7</v>
      </c>
      <c r="P494" s="281">
        <v>105</v>
      </c>
      <c r="Q494" s="281">
        <v>140</v>
      </c>
      <c r="R494" s="268" t="s">
        <v>3383</v>
      </c>
      <c r="S494" s="268"/>
      <c r="T494" s="268">
        <v>1</v>
      </c>
      <c r="U494" s="268" t="s">
        <v>4880</v>
      </c>
      <c r="V494" s="269">
        <v>3</v>
      </c>
      <c r="W494" s="269"/>
      <c r="X494" s="268" t="s">
        <v>4881</v>
      </c>
      <c r="Y494" s="269" t="s">
        <v>5279</v>
      </c>
      <c r="Z494" s="293" t="s">
        <v>5280</v>
      </c>
      <c r="AA494" s="268" t="s">
        <v>4884</v>
      </c>
      <c r="AB494" s="268"/>
      <c r="AC494" s="287">
        <v>1</v>
      </c>
      <c r="AD494" s="287">
        <v>1</v>
      </c>
      <c r="AE494" s="268"/>
      <c r="AF494" s="268"/>
      <c r="AG494" s="290"/>
    </row>
    <row r="495" spans="1:33" s="145" customFormat="1" x14ac:dyDescent="0.15">
      <c r="A495" s="267">
        <v>95201174</v>
      </c>
      <c r="B495" s="268" t="s">
        <v>5276</v>
      </c>
      <c r="C495" s="268" t="s">
        <v>5148</v>
      </c>
      <c r="D495" s="268">
        <v>7906</v>
      </c>
      <c r="E495" s="268" t="s">
        <v>4876</v>
      </c>
      <c r="F495" s="268" t="s">
        <v>4877</v>
      </c>
      <c r="G495" s="269">
        <v>4</v>
      </c>
      <c r="H495" s="269">
        <v>0</v>
      </c>
      <c r="I495" s="267">
        <v>34</v>
      </c>
      <c r="J495" s="282" t="s">
        <v>5277</v>
      </c>
      <c r="K495" s="279" t="s">
        <v>5278</v>
      </c>
      <c r="L495" s="279"/>
      <c r="M495" s="268">
        <v>1</v>
      </c>
      <c r="N495" s="268" t="b">
        <v>1</v>
      </c>
      <c r="O495" s="268">
        <v>10</v>
      </c>
      <c r="P495" s="281">
        <v>150</v>
      </c>
      <c r="Q495" s="281">
        <v>200</v>
      </c>
      <c r="R495" s="268" t="s">
        <v>3383</v>
      </c>
      <c r="S495" s="268"/>
      <c r="T495" s="268">
        <v>1</v>
      </c>
      <c r="U495" s="268" t="s">
        <v>4880</v>
      </c>
      <c r="V495" s="269">
        <v>4</v>
      </c>
      <c r="W495" s="269"/>
      <c r="X495" s="268" t="s">
        <v>4881</v>
      </c>
      <c r="Y495" s="269" t="s">
        <v>5279</v>
      </c>
      <c r="Z495" s="293" t="s">
        <v>5280</v>
      </c>
      <c r="AA495" s="268" t="s">
        <v>4884</v>
      </c>
      <c r="AB495" s="268"/>
      <c r="AC495" s="287">
        <v>1</v>
      </c>
      <c r="AD495" s="287">
        <v>1</v>
      </c>
      <c r="AE495" s="268"/>
      <c r="AF495" s="268"/>
      <c r="AG495" s="290"/>
    </row>
    <row r="496" spans="1:33" s="145" customFormat="1" x14ac:dyDescent="0.15">
      <c r="A496" s="267">
        <v>95201175</v>
      </c>
      <c r="B496" s="268" t="s">
        <v>5276</v>
      </c>
      <c r="C496" s="268" t="s">
        <v>5148</v>
      </c>
      <c r="D496" s="268">
        <v>7906</v>
      </c>
      <c r="E496" s="268" t="s">
        <v>4876</v>
      </c>
      <c r="F496" s="268" t="s">
        <v>4877</v>
      </c>
      <c r="G496" s="269">
        <v>5</v>
      </c>
      <c r="H496" s="269">
        <v>0</v>
      </c>
      <c r="I496" s="267">
        <v>34</v>
      </c>
      <c r="J496" s="282" t="s">
        <v>5277</v>
      </c>
      <c r="K496" s="279" t="s">
        <v>5278</v>
      </c>
      <c r="L496" s="279"/>
      <c r="M496" s="268">
        <v>1</v>
      </c>
      <c r="N496" s="268" t="b">
        <v>1</v>
      </c>
      <c r="O496" s="268">
        <v>12</v>
      </c>
      <c r="P496" s="281">
        <v>180</v>
      </c>
      <c r="Q496" s="281">
        <v>240</v>
      </c>
      <c r="R496" s="268" t="s">
        <v>3383</v>
      </c>
      <c r="S496" s="268"/>
      <c r="T496" s="268">
        <v>1</v>
      </c>
      <c r="U496" s="268" t="s">
        <v>4880</v>
      </c>
      <c r="V496" s="269">
        <v>5</v>
      </c>
      <c r="W496" s="269"/>
      <c r="X496" s="268" t="s">
        <v>4881</v>
      </c>
      <c r="Y496" s="269" t="s">
        <v>5279</v>
      </c>
      <c r="Z496" s="293" t="s">
        <v>5280</v>
      </c>
      <c r="AA496" s="268" t="s">
        <v>4884</v>
      </c>
      <c r="AB496" s="268"/>
      <c r="AC496" s="287">
        <v>1</v>
      </c>
      <c r="AD496" s="287">
        <v>1</v>
      </c>
      <c r="AE496" s="268"/>
      <c r="AF496" s="268"/>
      <c r="AG496" s="290"/>
    </row>
    <row r="497" spans="1:33" s="145" customFormat="1" x14ac:dyDescent="0.15">
      <c r="A497" s="270">
        <v>95201176</v>
      </c>
      <c r="B497" s="268" t="s">
        <v>5276</v>
      </c>
      <c r="C497" s="268" t="s">
        <v>5148</v>
      </c>
      <c r="D497" s="268">
        <v>7906</v>
      </c>
      <c r="E497" s="268" t="s">
        <v>4876</v>
      </c>
      <c r="F497" s="268" t="s">
        <v>4877</v>
      </c>
      <c r="G497" s="269">
        <v>6</v>
      </c>
      <c r="H497" s="269">
        <v>0</v>
      </c>
      <c r="I497" s="267">
        <v>34</v>
      </c>
      <c r="J497" s="282" t="s">
        <v>5277</v>
      </c>
      <c r="K497" s="279" t="s">
        <v>5278</v>
      </c>
      <c r="L497" s="279"/>
      <c r="M497" s="268">
        <v>1</v>
      </c>
      <c r="N497" s="268" t="b">
        <v>1</v>
      </c>
      <c r="O497" s="268">
        <v>25</v>
      </c>
      <c r="P497" s="281">
        <v>375</v>
      </c>
      <c r="Q497" s="281">
        <v>500</v>
      </c>
      <c r="R497" s="268" t="s">
        <v>3383</v>
      </c>
      <c r="S497" s="268"/>
      <c r="T497" s="268">
        <v>1</v>
      </c>
      <c r="U497" s="268" t="s">
        <v>4880</v>
      </c>
      <c r="V497" s="269">
        <v>6</v>
      </c>
      <c r="W497" s="269"/>
      <c r="X497" s="268" t="s">
        <v>4881</v>
      </c>
      <c r="Y497" s="331" t="s">
        <v>5279</v>
      </c>
      <c r="Z497" s="332" t="s">
        <v>5280</v>
      </c>
      <c r="AA497" s="268" t="s">
        <v>4884</v>
      </c>
      <c r="AB497" s="268"/>
      <c r="AC497" s="287">
        <v>1</v>
      </c>
      <c r="AD497" s="287">
        <v>1</v>
      </c>
      <c r="AE497" s="268"/>
      <c r="AF497" s="268"/>
      <c r="AG497" s="290"/>
    </row>
    <row r="498" spans="1:33" s="145" customFormat="1" x14ac:dyDescent="0.15">
      <c r="A498" s="270">
        <v>95201177</v>
      </c>
      <c r="B498" s="268" t="s">
        <v>5276</v>
      </c>
      <c r="C498" s="268" t="s">
        <v>5148</v>
      </c>
      <c r="D498" s="268">
        <v>7906</v>
      </c>
      <c r="E498" s="268" t="s">
        <v>4876</v>
      </c>
      <c r="F498" s="268" t="s">
        <v>4877</v>
      </c>
      <c r="G498" s="269">
        <v>7</v>
      </c>
      <c r="H498" s="269">
        <v>0</v>
      </c>
      <c r="I498" s="267">
        <v>34</v>
      </c>
      <c r="J498" s="282" t="s">
        <v>5277</v>
      </c>
      <c r="K498" s="279" t="s">
        <v>5278</v>
      </c>
      <c r="L498" s="279"/>
      <c r="M498" s="268">
        <v>1</v>
      </c>
      <c r="N498" s="268" t="b">
        <v>1</v>
      </c>
      <c r="O498" s="268">
        <v>38</v>
      </c>
      <c r="P498" s="281">
        <v>570</v>
      </c>
      <c r="Q498" s="281">
        <v>760</v>
      </c>
      <c r="R498" s="268" t="s">
        <v>3383</v>
      </c>
      <c r="S498" s="268"/>
      <c r="T498" s="268">
        <v>1</v>
      </c>
      <c r="U498" s="268" t="s">
        <v>4880</v>
      </c>
      <c r="V498" s="269">
        <v>7</v>
      </c>
      <c r="W498" s="269"/>
      <c r="X498" s="268" t="s">
        <v>4881</v>
      </c>
      <c r="Y498" s="331" t="s">
        <v>5279</v>
      </c>
      <c r="Z498" s="332" t="s">
        <v>5280</v>
      </c>
      <c r="AA498" s="268" t="s">
        <v>4884</v>
      </c>
      <c r="AB498" s="268"/>
      <c r="AC498" s="287">
        <v>1</v>
      </c>
      <c r="AD498" s="287">
        <v>1</v>
      </c>
      <c r="AE498" s="268"/>
      <c r="AF498" s="268"/>
      <c r="AG498" s="290"/>
    </row>
    <row r="499" spans="1:33" s="258" customFormat="1" x14ac:dyDescent="0.15">
      <c r="A499" s="271">
        <v>95201178</v>
      </c>
      <c r="B499" s="272" t="s">
        <v>5281</v>
      </c>
      <c r="C499" s="272" t="s">
        <v>5148</v>
      </c>
      <c r="D499" s="272">
        <v>5081</v>
      </c>
      <c r="E499" s="272" t="s">
        <v>4876</v>
      </c>
      <c r="F499" s="272" t="s">
        <v>4877</v>
      </c>
      <c r="G499" s="269">
        <v>6</v>
      </c>
      <c r="H499" s="273">
        <v>0</v>
      </c>
      <c r="I499" s="283">
        <v>34</v>
      </c>
      <c r="J499" s="284" t="s">
        <v>5277</v>
      </c>
      <c r="K499" s="285" t="s">
        <v>5278</v>
      </c>
      <c r="L499" s="272" t="s">
        <v>44</v>
      </c>
      <c r="M499" s="272">
        <v>1</v>
      </c>
      <c r="N499" s="272" t="b">
        <v>1</v>
      </c>
      <c r="O499" s="272">
        <v>51</v>
      </c>
      <c r="P499" s="281">
        <v>765</v>
      </c>
      <c r="Q499" s="281">
        <v>1020</v>
      </c>
      <c r="R499" s="272" t="s">
        <v>3383</v>
      </c>
      <c r="S499" s="272"/>
      <c r="T499" s="272">
        <v>1</v>
      </c>
      <c r="U499" s="272" t="s">
        <v>4880</v>
      </c>
      <c r="V499" s="273">
        <v>10</v>
      </c>
      <c r="W499" s="273"/>
      <c r="X499" s="272" t="s">
        <v>4881</v>
      </c>
      <c r="Y499" s="333" t="s">
        <v>5279</v>
      </c>
      <c r="Z499" s="334" t="s">
        <v>5280</v>
      </c>
      <c r="AA499" s="272" t="s">
        <v>4884</v>
      </c>
      <c r="AB499" s="272"/>
      <c r="AC499" s="289">
        <v>1</v>
      </c>
      <c r="AD499" s="289">
        <v>1</v>
      </c>
      <c r="AE499" s="289"/>
      <c r="AF499" s="272"/>
      <c r="AG499" s="272"/>
    </row>
    <row r="500" spans="1:33" s="258" customFormat="1" x14ac:dyDescent="0.15">
      <c r="A500" s="271">
        <v>95201179</v>
      </c>
      <c r="B500" s="272" t="s">
        <v>5282</v>
      </c>
      <c r="C500" s="272" t="s">
        <v>5148</v>
      </c>
      <c r="D500" s="272">
        <v>5081</v>
      </c>
      <c r="E500" s="272" t="s">
        <v>4876</v>
      </c>
      <c r="F500" s="272" t="s">
        <v>4877</v>
      </c>
      <c r="G500" s="269">
        <v>6</v>
      </c>
      <c r="H500" s="273">
        <v>0</v>
      </c>
      <c r="I500" s="283">
        <v>34</v>
      </c>
      <c r="J500" s="284" t="s">
        <v>5277</v>
      </c>
      <c r="K500" s="285" t="s">
        <v>5278</v>
      </c>
      <c r="L500" s="272" t="s">
        <v>4887</v>
      </c>
      <c r="M500" s="272">
        <v>1</v>
      </c>
      <c r="N500" s="272" t="b">
        <v>1</v>
      </c>
      <c r="O500" s="272">
        <v>64</v>
      </c>
      <c r="P500" s="281">
        <v>960</v>
      </c>
      <c r="Q500" s="281">
        <v>1280</v>
      </c>
      <c r="R500" s="272" t="s">
        <v>3383</v>
      </c>
      <c r="S500" s="272"/>
      <c r="T500" s="272">
        <v>1</v>
      </c>
      <c r="U500" s="272" t="s">
        <v>4880</v>
      </c>
      <c r="V500" s="273">
        <v>10</v>
      </c>
      <c r="W500" s="273"/>
      <c r="X500" s="272" t="s">
        <v>4881</v>
      </c>
      <c r="Y500" s="333" t="s">
        <v>5279</v>
      </c>
      <c r="Z500" s="334" t="s">
        <v>5280</v>
      </c>
      <c r="AA500" s="272" t="s">
        <v>4884</v>
      </c>
      <c r="AB500" s="272"/>
      <c r="AC500" s="289">
        <v>1</v>
      </c>
      <c r="AD500" s="289">
        <v>1</v>
      </c>
      <c r="AE500" s="289"/>
      <c r="AF500" s="272"/>
      <c r="AG500" s="272"/>
    </row>
    <row r="501" spans="1:33" s="258" customFormat="1" x14ac:dyDescent="0.15">
      <c r="A501" s="271">
        <v>95201180</v>
      </c>
      <c r="B501" s="272" t="s">
        <v>5283</v>
      </c>
      <c r="C501" s="272" t="s">
        <v>5148</v>
      </c>
      <c r="D501" s="272">
        <v>5081</v>
      </c>
      <c r="E501" s="272" t="s">
        <v>4876</v>
      </c>
      <c r="F501" s="272" t="s">
        <v>4877</v>
      </c>
      <c r="G501" s="269">
        <v>7</v>
      </c>
      <c r="H501" s="273">
        <v>0</v>
      </c>
      <c r="I501" s="283">
        <v>34</v>
      </c>
      <c r="J501" s="284" t="s">
        <v>5277</v>
      </c>
      <c r="K501" s="285" t="s">
        <v>5278</v>
      </c>
      <c r="L501" s="272" t="s">
        <v>4889</v>
      </c>
      <c r="M501" s="272">
        <v>1</v>
      </c>
      <c r="N501" s="272" t="b">
        <v>1</v>
      </c>
      <c r="O501" s="272">
        <v>77</v>
      </c>
      <c r="P501" s="281">
        <v>1155</v>
      </c>
      <c r="Q501" s="281">
        <v>1540</v>
      </c>
      <c r="R501" s="272" t="s">
        <v>3383</v>
      </c>
      <c r="S501" s="272"/>
      <c r="T501" s="272">
        <v>1</v>
      </c>
      <c r="U501" s="272" t="s">
        <v>4880</v>
      </c>
      <c r="V501" s="273">
        <v>10</v>
      </c>
      <c r="W501" s="273"/>
      <c r="X501" s="272" t="s">
        <v>4881</v>
      </c>
      <c r="Y501" s="333" t="s">
        <v>5279</v>
      </c>
      <c r="Z501" s="334" t="s">
        <v>5280</v>
      </c>
      <c r="AA501" s="272" t="s">
        <v>4884</v>
      </c>
      <c r="AB501" s="272"/>
      <c r="AC501" s="289">
        <v>1</v>
      </c>
      <c r="AD501" s="289">
        <v>1</v>
      </c>
      <c r="AE501" s="289"/>
      <c r="AF501" s="272"/>
      <c r="AG501" s="272"/>
    </row>
    <row r="502" spans="1:33" s="145" customFormat="1" x14ac:dyDescent="0.15">
      <c r="A502" s="267">
        <v>95201181</v>
      </c>
      <c r="B502" s="268" t="s">
        <v>5284</v>
      </c>
      <c r="C502" s="268" t="s">
        <v>5148</v>
      </c>
      <c r="D502" s="268">
        <v>7906</v>
      </c>
      <c r="E502" s="268" t="s">
        <v>4876</v>
      </c>
      <c r="F502" s="268" t="s">
        <v>4877</v>
      </c>
      <c r="G502" s="269">
        <v>1</v>
      </c>
      <c r="H502" s="269">
        <v>0</v>
      </c>
      <c r="I502" s="267">
        <v>34</v>
      </c>
      <c r="J502" s="282" t="s">
        <v>5285</v>
      </c>
      <c r="K502" s="279" t="s">
        <v>5286</v>
      </c>
      <c r="L502" s="279"/>
      <c r="M502" s="268">
        <v>1</v>
      </c>
      <c r="N502" s="268" t="b">
        <v>1</v>
      </c>
      <c r="O502" s="268">
        <v>2</v>
      </c>
      <c r="P502" s="281">
        <v>30</v>
      </c>
      <c r="Q502" s="281">
        <v>40</v>
      </c>
      <c r="R502" s="268" t="s">
        <v>3383</v>
      </c>
      <c r="S502" s="268"/>
      <c r="T502" s="268">
        <v>1</v>
      </c>
      <c r="U502" s="268" t="s">
        <v>4880</v>
      </c>
      <c r="V502" s="269">
        <v>1</v>
      </c>
      <c r="W502" s="269"/>
      <c r="X502" s="268" t="s">
        <v>4881</v>
      </c>
      <c r="Y502" s="331" t="s">
        <v>5287</v>
      </c>
      <c r="Z502" s="332" t="s">
        <v>5288</v>
      </c>
      <c r="AA502" s="268" t="s">
        <v>4884</v>
      </c>
      <c r="AB502" s="268"/>
      <c r="AC502" s="287">
        <v>1</v>
      </c>
      <c r="AD502" s="287">
        <v>1</v>
      </c>
      <c r="AE502" s="268"/>
      <c r="AF502" s="268"/>
      <c r="AG502" s="290"/>
    </row>
    <row r="503" spans="1:33" s="145" customFormat="1" x14ac:dyDescent="0.15">
      <c r="A503" s="267">
        <v>95201182</v>
      </c>
      <c r="B503" s="268" t="s">
        <v>5284</v>
      </c>
      <c r="C503" s="268" t="s">
        <v>5148</v>
      </c>
      <c r="D503" s="268">
        <v>7906</v>
      </c>
      <c r="E503" s="268" t="s">
        <v>4876</v>
      </c>
      <c r="F503" s="268" t="s">
        <v>4877</v>
      </c>
      <c r="G503" s="269">
        <v>2</v>
      </c>
      <c r="H503" s="269">
        <v>0</v>
      </c>
      <c r="I503" s="267">
        <v>34</v>
      </c>
      <c r="J503" s="282" t="s">
        <v>5285</v>
      </c>
      <c r="K503" s="279" t="s">
        <v>5286</v>
      </c>
      <c r="L503" s="279"/>
      <c r="M503" s="268">
        <v>1</v>
      </c>
      <c r="N503" s="268" t="b">
        <v>1</v>
      </c>
      <c r="O503" s="268">
        <v>5</v>
      </c>
      <c r="P503" s="281">
        <v>75</v>
      </c>
      <c r="Q503" s="281">
        <v>100</v>
      </c>
      <c r="R503" s="268" t="s">
        <v>3383</v>
      </c>
      <c r="S503" s="268"/>
      <c r="T503" s="268">
        <v>1</v>
      </c>
      <c r="U503" s="268" t="s">
        <v>4880</v>
      </c>
      <c r="V503" s="269">
        <v>2</v>
      </c>
      <c r="W503" s="269"/>
      <c r="X503" s="268" t="s">
        <v>4881</v>
      </c>
      <c r="Y503" s="331" t="s">
        <v>5287</v>
      </c>
      <c r="Z503" s="332" t="s">
        <v>5288</v>
      </c>
      <c r="AA503" s="268" t="s">
        <v>4884</v>
      </c>
      <c r="AB503" s="268"/>
      <c r="AC503" s="287">
        <v>1</v>
      </c>
      <c r="AD503" s="287">
        <v>1</v>
      </c>
      <c r="AE503" s="268"/>
      <c r="AF503" s="268"/>
      <c r="AG503" s="290"/>
    </row>
    <row r="504" spans="1:33" s="145" customFormat="1" x14ac:dyDescent="0.15">
      <c r="A504" s="267">
        <v>95201183</v>
      </c>
      <c r="B504" s="268" t="s">
        <v>5284</v>
      </c>
      <c r="C504" s="268" t="s">
        <v>5148</v>
      </c>
      <c r="D504" s="268">
        <v>7906</v>
      </c>
      <c r="E504" s="268" t="s">
        <v>4876</v>
      </c>
      <c r="F504" s="268" t="s">
        <v>4877</v>
      </c>
      <c r="G504" s="269">
        <v>3</v>
      </c>
      <c r="H504" s="269">
        <v>0</v>
      </c>
      <c r="I504" s="267">
        <v>34</v>
      </c>
      <c r="J504" s="282" t="s">
        <v>5285</v>
      </c>
      <c r="K504" s="279" t="s">
        <v>5286</v>
      </c>
      <c r="L504" s="279"/>
      <c r="M504" s="268">
        <v>1</v>
      </c>
      <c r="N504" s="268" t="b">
        <v>1</v>
      </c>
      <c r="O504" s="268">
        <v>7</v>
      </c>
      <c r="P504" s="281">
        <v>105</v>
      </c>
      <c r="Q504" s="281">
        <v>140</v>
      </c>
      <c r="R504" s="268" t="s">
        <v>3383</v>
      </c>
      <c r="S504" s="268"/>
      <c r="T504" s="268">
        <v>1</v>
      </c>
      <c r="U504" s="268" t="s">
        <v>4880</v>
      </c>
      <c r="V504" s="269">
        <v>3</v>
      </c>
      <c r="W504" s="269"/>
      <c r="X504" s="268" t="s">
        <v>4881</v>
      </c>
      <c r="Y504" s="331" t="s">
        <v>5287</v>
      </c>
      <c r="Z504" s="332" t="s">
        <v>5288</v>
      </c>
      <c r="AA504" s="268" t="s">
        <v>4884</v>
      </c>
      <c r="AB504" s="268"/>
      <c r="AC504" s="287">
        <v>1</v>
      </c>
      <c r="AD504" s="287">
        <v>1</v>
      </c>
      <c r="AE504" s="268"/>
      <c r="AF504" s="268"/>
      <c r="AG504" s="290"/>
    </row>
    <row r="505" spans="1:33" s="145" customFormat="1" x14ac:dyDescent="0.15">
      <c r="A505" s="267">
        <v>95201184</v>
      </c>
      <c r="B505" s="268" t="s">
        <v>5284</v>
      </c>
      <c r="C505" s="268" t="s">
        <v>5148</v>
      </c>
      <c r="D505" s="268">
        <v>7906</v>
      </c>
      <c r="E505" s="268" t="s">
        <v>4876</v>
      </c>
      <c r="F505" s="268" t="s">
        <v>4877</v>
      </c>
      <c r="G505" s="269">
        <v>4</v>
      </c>
      <c r="H505" s="269">
        <v>0</v>
      </c>
      <c r="I505" s="267">
        <v>34</v>
      </c>
      <c r="J505" s="282" t="s">
        <v>5285</v>
      </c>
      <c r="K505" s="279" t="s">
        <v>5286</v>
      </c>
      <c r="L505" s="279"/>
      <c r="M505" s="268">
        <v>1</v>
      </c>
      <c r="N505" s="268" t="b">
        <v>1</v>
      </c>
      <c r="O505" s="268">
        <v>10</v>
      </c>
      <c r="P505" s="281">
        <v>150</v>
      </c>
      <c r="Q505" s="281">
        <v>200</v>
      </c>
      <c r="R505" s="268" t="s">
        <v>3383</v>
      </c>
      <c r="S505" s="268"/>
      <c r="T505" s="268">
        <v>1</v>
      </c>
      <c r="U505" s="268" t="s">
        <v>4880</v>
      </c>
      <c r="V505" s="269">
        <v>4</v>
      </c>
      <c r="W505" s="269"/>
      <c r="X505" s="268" t="s">
        <v>4881</v>
      </c>
      <c r="Y505" s="331" t="s">
        <v>5287</v>
      </c>
      <c r="Z505" s="332" t="s">
        <v>5288</v>
      </c>
      <c r="AA505" s="268" t="s">
        <v>4884</v>
      </c>
      <c r="AB505" s="268"/>
      <c r="AC505" s="287">
        <v>1</v>
      </c>
      <c r="AD505" s="287">
        <v>1</v>
      </c>
      <c r="AE505" s="268"/>
      <c r="AF505" s="268"/>
      <c r="AG505" s="290"/>
    </row>
    <row r="506" spans="1:33" s="145" customFormat="1" x14ac:dyDescent="0.15">
      <c r="A506" s="267">
        <v>95201185</v>
      </c>
      <c r="B506" s="268" t="s">
        <v>5284</v>
      </c>
      <c r="C506" s="268" t="s">
        <v>5148</v>
      </c>
      <c r="D506" s="268">
        <v>7906</v>
      </c>
      <c r="E506" s="268" t="s">
        <v>4876</v>
      </c>
      <c r="F506" s="268" t="s">
        <v>4877</v>
      </c>
      <c r="G506" s="269">
        <v>5</v>
      </c>
      <c r="H506" s="269">
        <v>0</v>
      </c>
      <c r="I506" s="267">
        <v>34</v>
      </c>
      <c r="J506" s="282" t="s">
        <v>5285</v>
      </c>
      <c r="K506" s="279" t="s">
        <v>5286</v>
      </c>
      <c r="L506" s="279"/>
      <c r="M506" s="268">
        <v>1</v>
      </c>
      <c r="N506" s="268" t="b">
        <v>1</v>
      </c>
      <c r="O506" s="268">
        <v>12</v>
      </c>
      <c r="P506" s="281">
        <v>180</v>
      </c>
      <c r="Q506" s="281">
        <v>240</v>
      </c>
      <c r="R506" s="268" t="s">
        <v>3383</v>
      </c>
      <c r="S506" s="268"/>
      <c r="T506" s="268">
        <v>1</v>
      </c>
      <c r="U506" s="268" t="s">
        <v>4880</v>
      </c>
      <c r="V506" s="269">
        <v>5</v>
      </c>
      <c r="W506" s="269"/>
      <c r="X506" s="268" t="s">
        <v>4881</v>
      </c>
      <c r="Y506" s="331" t="s">
        <v>5287</v>
      </c>
      <c r="Z506" s="332" t="s">
        <v>5288</v>
      </c>
      <c r="AA506" s="268" t="s">
        <v>4884</v>
      </c>
      <c r="AB506" s="268"/>
      <c r="AC506" s="287">
        <v>1</v>
      </c>
      <c r="AD506" s="287">
        <v>1</v>
      </c>
      <c r="AE506" s="268"/>
      <c r="AF506" s="268"/>
      <c r="AG506" s="290"/>
    </row>
    <row r="507" spans="1:33" s="145" customFormat="1" x14ac:dyDescent="0.15">
      <c r="A507" s="270">
        <v>95201186</v>
      </c>
      <c r="B507" s="268" t="s">
        <v>5284</v>
      </c>
      <c r="C507" s="268" t="s">
        <v>5148</v>
      </c>
      <c r="D507" s="268">
        <v>7906</v>
      </c>
      <c r="E507" s="268" t="s">
        <v>4876</v>
      </c>
      <c r="F507" s="268" t="s">
        <v>4877</v>
      </c>
      <c r="G507" s="269">
        <v>6</v>
      </c>
      <c r="H507" s="269">
        <v>0</v>
      </c>
      <c r="I507" s="267">
        <v>34</v>
      </c>
      <c r="J507" s="282" t="s">
        <v>5285</v>
      </c>
      <c r="K507" s="279" t="s">
        <v>5286</v>
      </c>
      <c r="L507" s="279"/>
      <c r="M507" s="268">
        <v>1</v>
      </c>
      <c r="N507" s="268" t="b">
        <v>1</v>
      </c>
      <c r="O507" s="268">
        <v>25</v>
      </c>
      <c r="P507" s="281">
        <v>375</v>
      </c>
      <c r="Q507" s="281">
        <v>500</v>
      </c>
      <c r="R507" s="268" t="s">
        <v>3383</v>
      </c>
      <c r="S507" s="268"/>
      <c r="T507" s="268">
        <v>1</v>
      </c>
      <c r="U507" s="268" t="s">
        <v>4880</v>
      </c>
      <c r="V507" s="269">
        <v>6</v>
      </c>
      <c r="W507" s="269"/>
      <c r="X507" s="268" t="s">
        <v>4881</v>
      </c>
      <c r="Y507" s="331" t="s">
        <v>5287</v>
      </c>
      <c r="Z507" s="332" t="s">
        <v>5288</v>
      </c>
      <c r="AA507" s="268" t="s">
        <v>4884</v>
      </c>
      <c r="AB507" s="268"/>
      <c r="AC507" s="287">
        <v>1</v>
      </c>
      <c r="AD507" s="287">
        <v>1</v>
      </c>
      <c r="AE507" s="268"/>
      <c r="AF507" s="268"/>
      <c r="AG507" s="290"/>
    </row>
    <row r="508" spans="1:33" s="145" customFormat="1" x14ac:dyDescent="0.15">
      <c r="A508" s="270">
        <v>95201187</v>
      </c>
      <c r="B508" s="268" t="s">
        <v>5284</v>
      </c>
      <c r="C508" s="268" t="s">
        <v>5148</v>
      </c>
      <c r="D508" s="268">
        <v>7906</v>
      </c>
      <c r="E508" s="268" t="s">
        <v>4876</v>
      </c>
      <c r="F508" s="268" t="s">
        <v>4877</v>
      </c>
      <c r="G508" s="269">
        <v>7</v>
      </c>
      <c r="H508" s="269">
        <v>0</v>
      </c>
      <c r="I508" s="267">
        <v>34</v>
      </c>
      <c r="J508" s="282" t="s">
        <v>5285</v>
      </c>
      <c r="K508" s="279" t="s">
        <v>5286</v>
      </c>
      <c r="L508" s="279"/>
      <c r="M508" s="268">
        <v>1</v>
      </c>
      <c r="N508" s="268" t="b">
        <v>1</v>
      </c>
      <c r="O508" s="268">
        <v>38</v>
      </c>
      <c r="P508" s="281">
        <v>570</v>
      </c>
      <c r="Q508" s="281">
        <v>760</v>
      </c>
      <c r="R508" s="268" t="s">
        <v>3383</v>
      </c>
      <c r="S508" s="268"/>
      <c r="T508" s="268">
        <v>1</v>
      </c>
      <c r="U508" s="268" t="s">
        <v>4880</v>
      </c>
      <c r="V508" s="269">
        <v>7</v>
      </c>
      <c r="W508" s="269"/>
      <c r="X508" s="268" t="s">
        <v>4881</v>
      </c>
      <c r="Y508" s="331" t="s">
        <v>5287</v>
      </c>
      <c r="Z508" s="332" t="s">
        <v>5288</v>
      </c>
      <c r="AA508" s="268" t="s">
        <v>4884</v>
      </c>
      <c r="AB508" s="268"/>
      <c r="AC508" s="287">
        <v>1</v>
      </c>
      <c r="AD508" s="287">
        <v>1</v>
      </c>
      <c r="AE508" s="268"/>
      <c r="AF508" s="268"/>
      <c r="AG508" s="290"/>
    </row>
    <row r="509" spans="1:33" s="258" customFormat="1" x14ac:dyDescent="0.15">
      <c r="A509" s="271">
        <v>95201188</v>
      </c>
      <c r="B509" s="272" t="s">
        <v>5289</v>
      </c>
      <c r="C509" s="272" t="s">
        <v>5148</v>
      </c>
      <c r="D509" s="272">
        <v>5081</v>
      </c>
      <c r="E509" s="272" t="s">
        <v>4876</v>
      </c>
      <c r="F509" s="272" t="s">
        <v>4877</v>
      </c>
      <c r="G509" s="269">
        <v>6</v>
      </c>
      <c r="H509" s="273">
        <v>1</v>
      </c>
      <c r="I509" s="283">
        <v>34</v>
      </c>
      <c r="J509" s="284" t="s">
        <v>5285</v>
      </c>
      <c r="K509" s="285" t="s">
        <v>5286</v>
      </c>
      <c r="L509" s="272" t="s">
        <v>44</v>
      </c>
      <c r="M509" s="272">
        <v>1</v>
      </c>
      <c r="N509" s="272" t="b">
        <v>1</v>
      </c>
      <c r="O509" s="272">
        <v>51</v>
      </c>
      <c r="P509" s="281">
        <v>765</v>
      </c>
      <c r="Q509" s="281">
        <v>1020</v>
      </c>
      <c r="R509" s="272" t="s">
        <v>3383</v>
      </c>
      <c r="S509" s="272"/>
      <c r="T509" s="272">
        <v>1</v>
      </c>
      <c r="U509" s="272" t="s">
        <v>4880</v>
      </c>
      <c r="V509" s="273">
        <v>10</v>
      </c>
      <c r="W509" s="273"/>
      <c r="X509" s="272" t="s">
        <v>4881</v>
      </c>
      <c r="Y509" s="333" t="s">
        <v>5287</v>
      </c>
      <c r="Z509" s="334" t="s">
        <v>5288</v>
      </c>
      <c r="AA509" s="272" t="s">
        <v>4884</v>
      </c>
      <c r="AB509" s="272"/>
      <c r="AC509" s="289">
        <v>1</v>
      </c>
      <c r="AD509" s="289">
        <v>1</v>
      </c>
      <c r="AE509" s="289"/>
      <c r="AF509" s="272"/>
      <c r="AG509" s="272"/>
    </row>
    <row r="510" spans="1:33" s="258" customFormat="1" x14ac:dyDescent="0.15">
      <c r="A510" s="271">
        <v>95201189</v>
      </c>
      <c r="B510" s="272" t="s">
        <v>5290</v>
      </c>
      <c r="C510" s="272" t="s">
        <v>5148</v>
      </c>
      <c r="D510" s="272">
        <v>5081</v>
      </c>
      <c r="E510" s="272" t="s">
        <v>4876</v>
      </c>
      <c r="F510" s="272" t="s">
        <v>4877</v>
      </c>
      <c r="G510" s="269">
        <v>6</v>
      </c>
      <c r="H510" s="273">
        <v>1</v>
      </c>
      <c r="I510" s="283">
        <v>34</v>
      </c>
      <c r="J510" s="284" t="s">
        <v>5285</v>
      </c>
      <c r="K510" s="285" t="s">
        <v>5286</v>
      </c>
      <c r="L510" s="272" t="s">
        <v>4887</v>
      </c>
      <c r="M510" s="272">
        <v>1</v>
      </c>
      <c r="N510" s="272" t="b">
        <v>1</v>
      </c>
      <c r="O510" s="272">
        <v>64</v>
      </c>
      <c r="P510" s="281">
        <v>960</v>
      </c>
      <c r="Q510" s="281">
        <v>1280</v>
      </c>
      <c r="R510" s="272" t="s">
        <v>3383</v>
      </c>
      <c r="S510" s="272"/>
      <c r="T510" s="272">
        <v>1</v>
      </c>
      <c r="U510" s="272" t="s">
        <v>4880</v>
      </c>
      <c r="V510" s="273">
        <v>10</v>
      </c>
      <c r="W510" s="273"/>
      <c r="X510" s="272" t="s">
        <v>4881</v>
      </c>
      <c r="Y510" s="333" t="s">
        <v>5287</v>
      </c>
      <c r="Z510" s="334" t="s">
        <v>5288</v>
      </c>
      <c r="AA510" s="272" t="s">
        <v>4884</v>
      </c>
      <c r="AB510" s="272"/>
      <c r="AC510" s="289">
        <v>1</v>
      </c>
      <c r="AD510" s="289">
        <v>1</v>
      </c>
      <c r="AE510" s="289"/>
      <c r="AF510" s="272"/>
      <c r="AG510" s="272"/>
    </row>
    <row r="511" spans="1:33" s="258" customFormat="1" x14ac:dyDescent="0.15">
      <c r="A511" s="271">
        <v>95201190</v>
      </c>
      <c r="B511" s="272" t="s">
        <v>5291</v>
      </c>
      <c r="C511" s="272" t="s">
        <v>5148</v>
      </c>
      <c r="D511" s="272">
        <v>5081</v>
      </c>
      <c r="E511" s="272" t="s">
        <v>4876</v>
      </c>
      <c r="F511" s="272" t="s">
        <v>4877</v>
      </c>
      <c r="G511" s="269">
        <v>7</v>
      </c>
      <c r="H511" s="273">
        <v>0</v>
      </c>
      <c r="I511" s="283">
        <v>34</v>
      </c>
      <c r="J511" s="284" t="s">
        <v>5285</v>
      </c>
      <c r="K511" s="285" t="s">
        <v>5286</v>
      </c>
      <c r="L511" s="272" t="s">
        <v>4889</v>
      </c>
      <c r="M511" s="272">
        <v>1</v>
      </c>
      <c r="N511" s="272" t="b">
        <v>1</v>
      </c>
      <c r="O511" s="272">
        <v>77</v>
      </c>
      <c r="P511" s="281">
        <v>1155</v>
      </c>
      <c r="Q511" s="281">
        <v>1540</v>
      </c>
      <c r="R511" s="272" t="s">
        <v>3383</v>
      </c>
      <c r="S511" s="272"/>
      <c r="T511" s="272">
        <v>1</v>
      </c>
      <c r="U511" s="272" t="s">
        <v>4880</v>
      </c>
      <c r="V511" s="273">
        <v>10</v>
      </c>
      <c r="W511" s="273"/>
      <c r="X511" s="272" t="s">
        <v>4881</v>
      </c>
      <c r="Y511" s="333" t="s">
        <v>5287</v>
      </c>
      <c r="Z511" s="334" t="s">
        <v>5288</v>
      </c>
      <c r="AA511" s="272" t="s">
        <v>4884</v>
      </c>
      <c r="AB511" s="272"/>
      <c r="AC511" s="289">
        <v>1</v>
      </c>
      <c r="AD511" s="289">
        <v>1</v>
      </c>
      <c r="AE511" s="289"/>
      <c r="AF511" s="272"/>
      <c r="AG511" s="272"/>
    </row>
    <row r="512" spans="1:33" s="145" customFormat="1" x14ac:dyDescent="0.15">
      <c r="A512" s="267">
        <v>95201191</v>
      </c>
      <c r="B512" s="268" t="s">
        <v>5292</v>
      </c>
      <c r="C512" s="268" t="s">
        <v>5148</v>
      </c>
      <c r="D512" s="268">
        <v>7906</v>
      </c>
      <c r="E512" s="268" t="s">
        <v>4876</v>
      </c>
      <c r="F512" s="268" t="s">
        <v>4877</v>
      </c>
      <c r="G512" s="269">
        <v>1</v>
      </c>
      <c r="H512" s="269">
        <v>0</v>
      </c>
      <c r="I512" s="267">
        <v>34</v>
      </c>
      <c r="J512" s="282" t="s">
        <v>5293</v>
      </c>
      <c r="K512" s="279" t="s">
        <v>5294</v>
      </c>
      <c r="L512" s="279"/>
      <c r="M512" s="268">
        <v>1</v>
      </c>
      <c r="N512" s="268" t="b">
        <v>1</v>
      </c>
      <c r="O512" s="268">
        <v>2</v>
      </c>
      <c r="P512" s="281">
        <v>30</v>
      </c>
      <c r="Q512" s="281">
        <v>40</v>
      </c>
      <c r="R512" s="268" t="s">
        <v>3383</v>
      </c>
      <c r="S512" s="268"/>
      <c r="T512" s="268">
        <v>1</v>
      </c>
      <c r="U512" s="268" t="s">
        <v>4880</v>
      </c>
      <c r="V512" s="269">
        <v>1</v>
      </c>
      <c r="W512" s="269"/>
      <c r="X512" s="268" t="s">
        <v>4881</v>
      </c>
      <c r="Y512" s="331" t="s">
        <v>5287</v>
      </c>
      <c r="Z512" s="332" t="s">
        <v>5288</v>
      </c>
      <c r="AA512" s="268" t="s">
        <v>4884</v>
      </c>
      <c r="AB512" s="268"/>
      <c r="AC512" s="287">
        <v>1</v>
      </c>
      <c r="AD512" s="287">
        <v>1</v>
      </c>
      <c r="AE512" s="268"/>
      <c r="AF512" s="268"/>
      <c r="AG512" s="290"/>
    </row>
    <row r="513" spans="1:33" s="145" customFormat="1" x14ac:dyDescent="0.15">
      <c r="A513" s="267">
        <v>95201192</v>
      </c>
      <c r="B513" s="268" t="s">
        <v>5292</v>
      </c>
      <c r="C513" s="268" t="s">
        <v>5148</v>
      </c>
      <c r="D513" s="268">
        <v>7906</v>
      </c>
      <c r="E513" s="268" t="s">
        <v>4876</v>
      </c>
      <c r="F513" s="268" t="s">
        <v>4877</v>
      </c>
      <c r="G513" s="269">
        <v>2</v>
      </c>
      <c r="H513" s="269">
        <v>0</v>
      </c>
      <c r="I513" s="267">
        <v>34</v>
      </c>
      <c r="J513" s="282" t="s">
        <v>5293</v>
      </c>
      <c r="K513" s="279" t="s">
        <v>5294</v>
      </c>
      <c r="L513" s="279"/>
      <c r="M513" s="268">
        <v>1</v>
      </c>
      <c r="N513" s="268" t="b">
        <v>1</v>
      </c>
      <c r="O513" s="268">
        <v>5</v>
      </c>
      <c r="P513" s="281">
        <v>75</v>
      </c>
      <c r="Q513" s="281">
        <v>100</v>
      </c>
      <c r="R513" s="268" t="s">
        <v>3383</v>
      </c>
      <c r="S513" s="268"/>
      <c r="T513" s="268">
        <v>1</v>
      </c>
      <c r="U513" s="268" t="s">
        <v>4880</v>
      </c>
      <c r="V513" s="269">
        <v>2</v>
      </c>
      <c r="W513" s="269"/>
      <c r="X513" s="268" t="s">
        <v>4881</v>
      </c>
      <c r="Y513" s="331" t="s">
        <v>5287</v>
      </c>
      <c r="Z513" s="332" t="s">
        <v>5288</v>
      </c>
      <c r="AA513" s="268" t="s">
        <v>4884</v>
      </c>
      <c r="AB513" s="268"/>
      <c r="AC513" s="287">
        <v>1</v>
      </c>
      <c r="AD513" s="287">
        <v>1</v>
      </c>
      <c r="AE513" s="268"/>
      <c r="AF513" s="268"/>
      <c r="AG513" s="290"/>
    </row>
    <row r="514" spans="1:33" s="145" customFormat="1" x14ac:dyDescent="0.15">
      <c r="A514" s="267">
        <v>95201193</v>
      </c>
      <c r="B514" s="268" t="s">
        <v>5292</v>
      </c>
      <c r="C514" s="268" t="s">
        <v>5148</v>
      </c>
      <c r="D514" s="268">
        <v>7906</v>
      </c>
      <c r="E514" s="268" t="s">
        <v>4876</v>
      </c>
      <c r="F514" s="268" t="s">
        <v>4877</v>
      </c>
      <c r="G514" s="269">
        <v>3</v>
      </c>
      <c r="H514" s="269">
        <v>0</v>
      </c>
      <c r="I514" s="267">
        <v>34</v>
      </c>
      <c r="J514" s="282" t="s">
        <v>5293</v>
      </c>
      <c r="K514" s="279" t="s">
        <v>5294</v>
      </c>
      <c r="L514" s="279"/>
      <c r="M514" s="268">
        <v>1</v>
      </c>
      <c r="N514" s="268" t="b">
        <v>1</v>
      </c>
      <c r="O514" s="268">
        <v>7</v>
      </c>
      <c r="P514" s="281">
        <v>105</v>
      </c>
      <c r="Q514" s="281">
        <v>140</v>
      </c>
      <c r="R514" s="268" t="s">
        <v>3383</v>
      </c>
      <c r="S514" s="268"/>
      <c r="T514" s="268">
        <v>1</v>
      </c>
      <c r="U514" s="268" t="s">
        <v>4880</v>
      </c>
      <c r="V514" s="269">
        <v>3</v>
      </c>
      <c r="W514" s="269"/>
      <c r="X514" s="268" t="s">
        <v>4881</v>
      </c>
      <c r="Y514" s="331" t="s">
        <v>5287</v>
      </c>
      <c r="Z514" s="332" t="s">
        <v>5288</v>
      </c>
      <c r="AA514" s="268" t="s">
        <v>4884</v>
      </c>
      <c r="AB514" s="268"/>
      <c r="AC514" s="287">
        <v>1</v>
      </c>
      <c r="AD514" s="287">
        <v>1</v>
      </c>
      <c r="AE514" s="268"/>
      <c r="AF514" s="268"/>
      <c r="AG514" s="290"/>
    </row>
    <row r="515" spans="1:33" s="145" customFormat="1" x14ac:dyDescent="0.15">
      <c r="A515" s="267">
        <v>95201194</v>
      </c>
      <c r="B515" s="268" t="s">
        <v>5292</v>
      </c>
      <c r="C515" s="268" t="s">
        <v>5148</v>
      </c>
      <c r="D515" s="268">
        <v>7906</v>
      </c>
      <c r="E515" s="268" t="s">
        <v>4876</v>
      </c>
      <c r="F515" s="268" t="s">
        <v>4877</v>
      </c>
      <c r="G515" s="269">
        <v>4</v>
      </c>
      <c r="H515" s="269">
        <v>0</v>
      </c>
      <c r="I515" s="267">
        <v>34</v>
      </c>
      <c r="J515" s="282" t="s">
        <v>5293</v>
      </c>
      <c r="K515" s="279" t="s">
        <v>5294</v>
      </c>
      <c r="L515" s="279"/>
      <c r="M515" s="268">
        <v>1</v>
      </c>
      <c r="N515" s="268" t="b">
        <v>1</v>
      </c>
      <c r="O515" s="268">
        <v>10</v>
      </c>
      <c r="P515" s="281">
        <v>150</v>
      </c>
      <c r="Q515" s="281">
        <v>200</v>
      </c>
      <c r="R515" s="268" t="s">
        <v>3383</v>
      </c>
      <c r="S515" s="268"/>
      <c r="T515" s="268">
        <v>1</v>
      </c>
      <c r="U515" s="268" t="s">
        <v>4880</v>
      </c>
      <c r="V515" s="269">
        <v>4</v>
      </c>
      <c r="W515" s="269"/>
      <c r="X515" s="268" t="s">
        <v>4881</v>
      </c>
      <c r="Y515" s="331" t="s">
        <v>5287</v>
      </c>
      <c r="Z515" s="332" t="s">
        <v>5288</v>
      </c>
      <c r="AA515" s="268" t="s">
        <v>4884</v>
      </c>
      <c r="AB515" s="268"/>
      <c r="AC515" s="287">
        <v>1</v>
      </c>
      <c r="AD515" s="287">
        <v>1</v>
      </c>
      <c r="AE515" s="268"/>
      <c r="AF515" s="268"/>
      <c r="AG515" s="290"/>
    </row>
    <row r="516" spans="1:33" s="145" customFormat="1" x14ac:dyDescent="0.15">
      <c r="A516" s="267">
        <v>95201195</v>
      </c>
      <c r="B516" s="268" t="s">
        <v>5292</v>
      </c>
      <c r="C516" s="268" t="s">
        <v>5148</v>
      </c>
      <c r="D516" s="268">
        <v>7906</v>
      </c>
      <c r="E516" s="268" t="s">
        <v>4876</v>
      </c>
      <c r="F516" s="268" t="s">
        <v>4877</v>
      </c>
      <c r="G516" s="269">
        <v>5</v>
      </c>
      <c r="H516" s="269">
        <v>0</v>
      </c>
      <c r="I516" s="267">
        <v>34</v>
      </c>
      <c r="J516" s="282" t="s">
        <v>5293</v>
      </c>
      <c r="K516" s="279" t="s">
        <v>5294</v>
      </c>
      <c r="L516" s="279"/>
      <c r="M516" s="268">
        <v>1</v>
      </c>
      <c r="N516" s="268" t="b">
        <v>1</v>
      </c>
      <c r="O516" s="268">
        <v>12</v>
      </c>
      <c r="P516" s="281">
        <v>180</v>
      </c>
      <c r="Q516" s="281">
        <v>240</v>
      </c>
      <c r="R516" s="268" t="s">
        <v>3383</v>
      </c>
      <c r="S516" s="268"/>
      <c r="T516" s="268">
        <v>1</v>
      </c>
      <c r="U516" s="268" t="s">
        <v>4880</v>
      </c>
      <c r="V516" s="269">
        <v>5</v>
      </c>
      <c r="W516" s="269"/>
      <c r="X516" s="268" t="s">
        <v>4881</v>
      </c>
      <c r="Y516" s="331" t="s">
        <v>5287</v>
      </c>
      <c r="Z516" s="332" t="s">
        <v>5288</v>
      </c>
      <c r="AA516" s="268" t="s">
        <v>4884</v>
      </c>
      <c r="AB516" s="268"/>
      <c r="AC516" s="287">
        <v>1</v>
      </c>
      <c r="AD516" s="287">
        <v>1</v>
      </c>
      <c r="AE516" s="268"/>
      <c r="AF516" s="268"/>
      <c r="AG516" s="290"/>
    </row>
    <row r="517" spans="1:33" s="145" customFormat="1" x14ac:dyDescent="0.15">
      <c r="A517" s="270">
        <v>95201196</v>
      </c>
      <c r="B517" s="268" t="s">
        <v>5292</v>
      </c>
      <c r="C517" s="268" t="s">
        <v>5148</v>
      </c>
      <c r="D517" s="268">
        <v>7906</v>
      </c>
      <c r="E517" s="268" t="s">
        <v>4876</v>
      </c>
      <c r="F517" s="268" t="s">
        <v>4877</v>
      </c>
      <c r="G517" s="269">
        <v>6</v>
      </c>
      <c r="H517" s="269">
        <v>0</v>
      </c>
      <c r="I517" s="267">
        <v>34</v>
      </c>
      <c r="J517" s="282" t="s">
        <v>5293</v>
      </c>
      <c r="K517" s="279" t="s">
        <v>5294</v>
      </c>
      <c r="L517" s="279"/>
      <c r="M517" s="268">
        <v>1</v>
      </c>
      <c r="N517" s="268" t="b">
        <v>1</v>
      </c>
      <c r="O517" s="268">
        <v>25</v>
      </c>
      <c r="P517" s="281">
        <v>375</v>
      </c>
      <c r="Q517" s="281">
        <v>500</v>
      </c>
      <c r="R517" s="268" t="s">
        <v>3383</v>
      </c>
      <c r="S517" s="268"/>
      <c r="T517" s="268">
        <v>1</v>
      </c>
      <c r="U517" s="268" t="s">
        <v>4880</v>
      </c>
      <c r="V517" s="269">
        <v>6</v>
      </c>
      <c r="W517" s="269"/>
      <c r="X517" s="268" t="s">
        <v>4881</v>
      </c>
      <c r="Y517" s="331" t="s">
        <v>5287</v>
      </c>
      <c r="Z517" s="332" t="s">
        <v>5288</v>
      </c>
      <c r="AA517" s="268" t="s">
        <v>4884</v>
      </c>
      <c r="AB517" s="268"/>
      <c r="AC517" s="287">
        <v>1</v>
      </c>
      <c r="AD517" s="287">
        <v>1</v>
      </c>
      <c r="AE517" s="268"/>
      <c r="AF517" s="268"/>
      <c r="AG517" s="290"/>
    </row>
    <row r="518" spans="1:33" s="145" customFormat="1" x14ac:dyDescent="0.15">
      <c r="A518" s="270">
        <v>95201197</v>
      </c>
      <c r="B518" s="268" t="s">
        <v>5292</v>
      </c>
      <c r="C518" s="268" t="s">
        <v>5148</v>
      </c>
      <c r="D518" s="268">
        <v>7906</v>
      </c>
      <c r="E518" s="268" t="s">
        <v>4876</v>
      </c>
      <c r="F518" s="268" t="s">
        <v>4877</v>
      </c>
      <c r="G518" s="269">
        <v>7</v>
      </c>
      <c r="H518" s="269">
        <v>0</v>
      </c>
      <c r="I518" s="267">
        <v>34</v>
      </c>
      <c r="J518" s="282" t="s">
        <v>5293</v>
      </c>
      <c r="K518" s="279" t="s">
        <v>5294</v>
      </c>
      <c r="L518" s="279"/>
      <c r="M518" s="268">
        <v>1</v>
      </c>
      <c r="N518" s="268" t="b">
        <v>1</v>
      </c>
      <c r="O518" s="268">
        <v>38</v>
      </c>
      <c r="P518" s="281">
        <v>570</v>
      </c>
      <c r="Q518" s="281">
        <v>760</v>
      </c>
      <c r="R518" s="268" t="s">
        <v>3383</v>
      </c>
      <c r="S518" s="268"/>
      <c r="T518" s="268">
        <v>1</v>
      </c>
      <c r="U518" s="268" t="s">
        <v>4880</v>
      </c>
      <c r="V518" s="269">
        <v>7</v>
      </c>
      <c r="W518" s="269"/>
      <c r="X518" s="268" t="s">
        <v>4881</v>
      </c>
      <c r="Y518" s="331" t="s">
        <v>5287</v>
      </c>
      <c r="Z518" s="332" t="s">
        <v>5288</v>
      </c>
      <c r="AA518" s="268" t="s">
        <v>4884</v>
      </c>
      <c r="AB518" s="268"/>
      <c r="AC518" s="287">
        <v>1</v>
      </c>
      <c r="AD518" s="287">
        <v>1</v>
      </c>
      <c r="AE518" s="268"/>
      <c r="AF518" s="268"/>
      <c r="AG518" s="290"/>
    </row>
    <row r="519" spans="1:33" s="258" customFormat="1" x14ac:dyDescent="0.15">
      <c r="A519" s="271">
        <v>95201198</v>
      </c>
      <c r="B519" s="272" t="s">
        <v>5295</v>
      </c>
      <c r="C519" s="272" t="s">
        <v>5148</v>
      </c>
      <c r="D519" s="272">
        <v>5081</v>
      </c>
      <c r="E519" s="272" t="s">
        <v>4876</v>
      </c>
      <c r="F519" s="272" t="s">
        <v>4877</v>
      </c>
      <c r="G519" s="269">
        <v>6</v>
      </c>
      <c r="H519" s="273">
        <v>0</v>
      </c>
      <c r="I519" s="283">
        <v>34</v>
      </c>
      <c r="J519" s="284" t="s">
        <v>5293</v>
      </c>
      <c r="K519" s="285" t="s">
        <v>5294</v>
      </c>
      <c r="L519" s="272" t="s">
        <v>44</v>
      </c>
      <c r="M519" s="272">
        <v>1</v>
      </c>
      <c r="N519" s="272" t="b">
        <v>1</v>
      </c>
      <c r="O519" s="272">
        <v>51</v>
      </c>
      <c r="P519" s="281">
        <v>765</v>
      </c>
      <c r="Q519" s="281">
        <v>1020</v>
      </c>
      <c r="R519" s="272" t="s">
        <v>3383</v>
      </c>
      <c r="S519" s="272"/>
      <c r="T519" s="272">
        <v>1</v>
      </c>
      <c r="U519" s="272" t="s">
        <v>4880</v>
      </c>
      <c r="V519" s="273">
        <v>10</v>
      </c>
      <c r="W519" s="273"/>
      <c r="X519" s="272" t="s">
        <v>4881</v>
      </c>
      <c r="Y519" s="333" t="s">
        <v>5287</v>
      </c>
      <c r="Z519" s="334" t="s">
        <v>5288</v>
      </c>
      <c r="AA519" s="272" t="s">
        <v>4884</v>
      </c>
      <c r="AB519" s="272"/>
      <c r="AC519" s="289">
        <v>1</v>
      </c>
      <c r="AD519" s="289">
        <v>1</v>
      </c>
      <c r="AE519" s="289"/>
      <c r="AF519" s="272"/>
      <c r="AG519" s="272"/>
    </row>
    <row r="520" spans="1:33" s="258" customFormat="1" x14ac:dyDescent="0.15">
      <c r="A520" s="271">
        <v>95201199</v>
      </c>
      <c r="B520" s="272" t="s">
        <v>5296</v>
      </c>
      <c r="C520" s="272" t="s">
        <v>5148</v>
      </c>
      <c r="D520" s="272">
        <v>5081</v>
      </c>
      <c r="E520" s="272" t="s">
        <v>4876</v>
      </c>
      <c r="F520" s="272" t="s">
        <v>4877</v>
      </c>
      <c r="G520" s="269">
        <v>6</v>
      </c>
      <c r="H520" s="273">
        <v>0</v>
      </c>
      <c r="I520" s="283">
        <v>34</v>
      </c>
      <c r="J520" s="284" t="s">
        <v>5293</v>
      </c>
      <c r="K520" s="285" t="s">
        <v>5294</v>
      </c>
      <c r="L520" s="272" t="s">
        <v>4887</v>
      </c>
      <c r="M520" s="272">
        <v>1</v>
      </c>
      <c r="N520" s="272" t="b">
        <v>1</v>
      </c>
      <c r="O520" s="272">
        <v>64</v>
      </c>
      <c r="P520" s="281">
        <v>960</v>
      </c>
      <c r="Q520" s="281">
        <v>1280</v>
      </c>
      <c r="R520" s="272" t="s">
        <v>3383</v>
      </c>
      <c r="S520" s="272"/>
      <c r="T520" s="272">
        <v>1</v>
      </c>
      <c r="U520" s="272" t="s">
        <v>4880</v>
      </c>
      <c r="V520" s="273">
        <v>10</v>
      </c>
      <c r="W520" s="273"/>
      <c r="X520" s="272" t="s">
        <v>4881</v>
      </c>
      <c r="Y520" s="333" t="s">
        <v>5287</v>
      </c>
      <c r="Z520" s="334" t="s">
        <v>5288</v>
      </c>
      <c r="AA520" s="272" t="s">
        <v>4884</v>
      </c>
      <c r="AB520" s="272"/>
      <c r="AC520" s="289">
        <v>1</v>
      </c>
      <c r="AD520" s="289">
        <v>1</v>
      </c>
      <c r="AE520" s="289"/>
      <c r="AF520" s="272"/>
      <c r="AG520" s="272"/>
    </row>
    <row r="521" spans="1:33" s="258" customFormat="1" x14ac:dyDescent="0.15">
      <c r="A521" s="271">
        <v>95201200</v>
      </c>
      <c r="B521" s="272" t="s">
        <v>5297</v>
      </c>
      <c r="C521" s="272" t="s">
        <v>5148</v>
      </c>
      <c r="D521" s="272">
        <v>5081</v>
      </c>
      <c r="E521" s="272" t="s">
        <v>4876</v>
      </c>
      <c r="F521" s="272" t="s">
        <v>4877</v>
      </c>
      <c r="G521" s="269">
        <v>7</v>
      </c>
      <c r="H521" s="273">
        <v>0</v>
      </c>
      <c r="I521" s="283">
        <v>34</v>
      </c>
      <c r="J521" s="284" t="s">
        <v>5293</v>
      </c>
      <c r="K521" s="285" t="s">
        <v>5294</v>
      </c>
      <c r="L521" s="272" t="s">
        <v>4889</v>
      </c>
      <c r="M521" s="272">
        <v>1</v>
      </c>
      <c r="N521" s="272" t="b">
        <v>1</v>
      </c>
      <c r="O521" s="272">
        <v>77</v>
      </c>
      <c r="P521" s="281">
        <v>1155</v>
      </c>
      <c r="Q521" s="281">
        <v>1540</v>
      </c>
      <c r="R521" s="272" t="s">
        <v>3383</v>
      </c>
      <c r="S521" s="272"/>
      <c r="T521" s="272">
        <v>1</v>
      </c>
      <c r="U521" s="272" t="s">
        <v>4880</v>
      </c>
      <c r="V521" s="273">
        <v>10</v>
      </c>
      <c r="W521" s="273"/>
      <c r="X521" s="272" t="s">
        <v>4881</v>
      </c>
      <c r="Y521" s="333" t="s">
        <v>5287</v>
      </c>
      <c r="Z521" s="334" t="s">
        <v>5288</v>
      </c>
      <c r="AA521" s="272" t="s">
        <v>4884</v>
      </c>
      <c r="AB521" s="272"/>
      <c r="AC521" s="289">
        <v>1</v>
      </c>
      <c r="AD521" s="289">
        <v>1</v>
      </c>
      <c r="AE521" s="289"/>
      <c r="AF521" s="272"/>
      <c r="AG521" s="272"/>
    </row>
    <row r="522" spans="1:33" s="145" customFormat="1" x14ac:dyDescent="0.15">
      <c r="A522" s="267">
        <v>95201201</v>
      </c>
      <c r="B522" s="268" t="s">
        <v>5298</v>
      </c>
      <c r="C522" s="268" t="s">
        <v>5148</v>
      </c>
      <c r="D522" s="268">
        <v>7906</v>
      </c>
      <c r="E522" s="268" t="s">
        <v>4876</v>
      </c>
      <c r="F522" s="268" t="s">
        <v>4877</v>
      </c>
      <c r="G522" s="269">
        <v>1</v>
      </c>
      <c r="H522" s="269">
        <v>0</v>
      </c>
      <c r="I522" s="267">
        <v>34</v>
      </c>
      <c r="J522" s="282" t="s">
        <v>5299</v>
      </c>
      <c r="K522" s="279" t="s">
        <v>5300</v>
      </c>
      <c r="L522" s="279"/>
      <c r="M522" s="268">
        <v>1</v>
      </c>
      <c r="N522" s="268" t="b">
        <v>1</v>
      </c>
      <c r="O522" s="268">
        <v>2</v>
      </c>
      <c r="P522" s="281">
        <v>30</v>
      </c>
      <c r="Q522" s="281">
        <v>40</v>
      </c>
      <c r="R522" s="268" t="s">
        <v>3383</v>
      </c>
      <c r="S522" s="268"/>
      <c r="T522" s="268">
        <v>1</v>
      </c>
      <c r="U522" s="268" t="s">
        <v>4880</v>
      </c>
      <c r="V522" s="269">
        <v>1</v>
      </c>
      <c r="W522" s="269"/>
      <c r="X522" s="268" t="s">
        <v>4881</v>
      </c>
      <c r="Y522" s="331" t="s">
        <v>5301</v>
      </c>
      <c r="Z522" s="332" t="s">
        <v>5302</v>
      </c>
      <c r="AA522" s="268" t="s">
        <v>4884</v>
      </c>
      <c r="AB522" s="268"/>
      <c r="AC522" s="287">
        <v>1</v>
      </c>
      <c r="AD522" s="287">
        <v>1</v>
      </c>
      <c r="AE522" s="268"/>
      <c r="AF522" s="268"/>
      <c r="AG522" s="290"/>
    </row>
    <row r="523" spans="1:33" s="145" customFormat="1" x14ac:dyDescent="0.15">
      <c r="A523" s="267">
        <v>95201202</v>
      </c>
      <c r="B523" s="268" t="s">
        <v>5298</v>
      </c>
      <c r="C523" s="268" t="s">
        <v>5148</v>
      </c>
      <c r="D523" s="268">
        <v>7906</v>
      </c>
      <c r="E523" s="268" t="s">
        <v>4876</v>
      </c>
      <c r="F523" s="268" t="s">
        <v>4877</v>
      </c>
      <c r="G523" s="269">
        <v>2</v>
      </c>
      <c r="H523" s="269">
        <v>0</v>
      </c>
      <c r="I523" s="267">
        <v>34</v>
      </c>
      <c r="J523" s="282" t="s">
        <v>5299</v>
      </c>
      <c r="K523" s="279" t="s">
        <v>5300</v>
      </c>
      <c r="L523" s="279"/>
      <c r="M523" s="268">
        <v>1</v>
      </c>
      <c r="N523" s="268" t="b">
        <v>1</v>
      </c>
      <c r="O523" s="268">
        <v>5</v>
      </c>
      <c r="P523" s="281">
        <v>75</v>
      </c>
      <c r="Q523" s="281">
        <v>100</v>
      </c>
      <c r="R523" s="268" t="s">
        <v>3383</v>
      </c>
      <c r="S523" s="268"/>
      <c r="T523" s="268">
        <v>1</v>
      </c>
      <c r="U523" s="268" t="s">
        <v>4880</v>
      </c>
      <c r="V523" s="269">
        <v>2</v>
      </c>
      <c r="W523" s="269"/>
      <c r="X523" s="268" t="s">
        <v>4881</v>
      </c>
      <c r="Y523" s="331" t="s">
        <v>5301</v>
      </c>
      <c r="Z523" s="332" t="s">
        <v>5302</v>
      </c>
      <c r="AA523" s="268" t="s">
        <v>4884</v>
      </c>
      <c r="AB523" s="268"/>
      <c r="AC523" s="287">
        <v>1</v>
      </c>
      <c r="AD523" s="287">
        <v>1</v>
      </c>
      <c r="AE523" s="268"/>
      <c r="AF523" s="268"/>
      <c r="AG523" s="290"/>
    </row>
    <row r="524" spans="1:33" s="145" customFormat="1" x14ac:dyDescent="0.15">
      <c r="A524" s="267">
        <v>95201203</v>
      </c>
      <c r="B524" s="268" t="s">
        <v>5298</v>
      </c>
      <c r="C524" s="268" t="s">
        <v>5148</v>
      </c>
      <c r="D524" s="268">
        <v>7906</v>
      </c>
      <c r="E524" s="268" t="s">
        <v>4876</v>
      </c>
      <c r="F524" s="268" t="s">
        <v>4877</v>
      </c>
      <c r="G524" s="269">
        <v>3</v>
      </c>
      <c r="H524" s="269">
        <v>0</v>
      </c>
      <c r="I524" s="267">
        <v>34</v>
      </c>
      <c r="J524" s="282" t="s">
        <v>5299</v>
      </c>
      <c r="K524" s="279" t="s">
        <v>5300</v>
      </c>
      <c r="L524" s="279"/>
      <c r="M524" s="268">
        <v>1</v>
      </c>
      <c r="N524" s="268" t="b">
        <v>1</v>
      </c>
      <c r="O524" s="268">
        <v>7</v>
      </c>
      <c r="P524" s="281">
        <v>105</v>
      </c>
      <c r="Q524" s="281">
        <v>140</v>
      </c>
      <c r="R524" s="268" t="s">
        <v>3383</v>
      </c>
      <c r="S524" s="268"/>
      <c r="T524" s="268">
        <v>1</v>
      </c>
      <c r="U524" s="268" t="s">
        <v>4880</v>
      </c>
      <c r="V524" s="269">
        <v>3</v>
      </c>
      <c r="W524" s="269"/>
      <c r="X524" s="268" t="s">
        <v>4881</v>
      </c>
      <c r="Y524" s="331" t="s">
        <v>5301</v>
      </c>
      <c r="Z524" s="332" t="s">
        <v>5302</v>
      </c>
      <c r="AA524" s="268" t="s">
        <v>4884</v>
      </c>
      <c r="AB524" s="268"/>
      <c r="AC524" s="287">
        <v>1</v>
      </c>
      <c r="AD524" s="287">
        <v>1</v>
      </c>
      <c r="AE524" s="268"/>
      <c r="AF524" s="268"/>
      <c r="AG524" s="290"/>
    </row>
    <row r="525" spans="1:33" s="145" customFormat="1" x14ac:dyDescent="0.15">
      <c r="A525" s="267">
        <v>95201204</v>
      </c>
      <c r="B525" s="268" t="s">
        <v>5298</v>
      </c>
      <c r="C525" s="268" t="s">
        <v>5148</v>
      </c>
      <c r="D525" s="268">
        <v>7906</v>
      </c>
      <c r="E525" s="268" t="s">
        <v>4876</v>
      </c>
      <c r="F525" s="268" t="s">
        <v>4877</v>
      </c>
      <c r="G525" s="269">
        <v>4</v>
      </c>
      <c r="H525" s="269">
        <v>0</v>
      </c>
      <c r="I525" s="267">
        <v>34</v>
      </c>
      <c r="J525" s="282" t="s">
        <v>5299</v>
      </c>
      <c r="K525" s="279" t="s">
        <v>5300</v>
      </c>
      <c r="L525" s="279"/>
      <c r="M525" s="268">
        <v>1</v>
      </c>
      <c r="N525" s="268" t="b">
        <v>1</v>
      </c>
      <c r="O525" s="268">
        <v>10</v>
      </c>
      <c r="P525" s="281">
        <v>150</v>
      </c>
      <c r="Q525" s="281">
        <v>200</v>
      </c>
      <c r="R525" s="268" t="s">
        <v>3383</v>
      </c>
      <c r="S525" s="268"/>
      <c r="T525" s="268">
        <v>1</v>
      </c>
      <c r="U525" s="268" t="s">
        <v>4880</v>
      </c>
      <c r="V525" s="269">
        <v>4</v>
      </c>
      <c r="W525" s="269"/>
      <c r="X525" s="268" t="s">
        <v>4881</v>
      </c>
      <c r="Y525" s="331" t="s">
        <v>5301</v>
      </c>
      <c r="Z525" s="332" t="s">
        <v>5302</v>
      </c>
      <c r="AA525" s="268" t="s">
        <v>4884</v>
      </c>
      <c r="AB525" s="268"/>
      <c r="AC525" s="287">
        <v>1</v>
      </c>
      <c r="AD525" s="287">
        <v>1</v>
      </c>
      <c r="AE525" s="268"/>
      <c r="AF525" s="268"/>
      <c r="AG525" s="290"/>
    </row>
    <row r="526" spans="1:33" s="145" customFormat="1" x14ac:dyDescent="0.15">
      <c r="A526" s="267">
        <v>95201205</v>
      </c>
      <c r="B526" s="268" t="s">
        <v>5298</v>
      </c>
      <c r="C526" s="268" t="s">
        <v>5148</v>
      </c>
      <c r="D526" s="268">
        <v>7906</v>
      </c>
      <c r="E526" s="268" t="s">
        <v>4876</v>
      </c>
      <c r="F526" s="268" t="s">
        <v>4877</v>
      </c>
      <c r="G526" s="269">
        <v>5</v>
      </c>
      <c r="H526" s="269">
        <v>0</v>
      </c>
      <c r="I526" s="267">
        <v>34</v>
      </c>
      <c r="J526" s="282" t="s">
        <v>5299</v>
      </c>
      <c r="K526" s="279" t="s">
        <v>5300</v>
      </c>
      <c r="L526" s="279"/>
      <c r="M526" s="268">
        <v>1</v>
      </c>
      <c r="N526" s="268" t="b">
        <v>1</v>
      </c>
      <c r="O526" s="268">
        <v>12</v>
      </c>
      <c r="P526" s="281">
        <v>180</v>
      </c>
      <c r="Q526" s="281">
        <v>240</v>
      </c>
      <c r="R526" s="268" t="s">
        <v>3383</v>
      </c>
      <c r="S526" s="268"/>
      <c r="T526" s="268">
        <v>1</v>
      </c>
      <c r="U526" s="268" t="s">
        <v>4880</v>
      </c>
      <c r="V526" s="269">
        <v>5</v>
      </c>
      <c r="W526" s="269"/>
      <c r="X526" s="268" t="s">
        <v>4881</v>
      </c>
      <c r="Y526" s="331" t="s">
        <v>5301</v>
      </c>
      <c r="Z526" s="332" t="s">
        <v>5302</v>
      </c>
      <c r="AA526" s="268" t="s">
        <v>4884</v>
      </c>
      <c r="AB526" s="268"/>
      <c r="AC526" s="287">
        <v>1</v>
      </c>
      <c r="AD526" s="287">
        <v>1</v>
      </c>
      <c r="AE526" s="268"/>
      <c r="AF526" s="268"/>
      <c r="AG526" s="290"/>
    </row>
    <row r="527" spans="1:33" s="145" customFormat="1" x14ac:dyDescent="0.15">
      <c r="A527" s="270">
        <v>95201206</v>
      </c>
      <c r="B527" s="268" t="s">
        <v>5298</v>
      </c>
      <c r="C527" s="268" t="s">
        <v>5148</v>
      </c>
      <c r="D527" s="268">
        <v>7906</v>
      </c>
      <c r="E527" s="268" t="s">
        <v>4876</v>
      </c>
      <c r="F527" s="268" t="s">
        <v>4877</v>
      </c>
      <c r="G527" s="269">
        <v>6</v>
      </c>
      <c r="H527" s="269">
        <v>0</v>
      </c>
      <c r="I527" s="267">
        <v>34</v>
      </c>
      <c r="J527" s="282" t="s">
        <v>5299</v>
      </c>
      <c r="K527" s="279" t="s">
        <v>5300</v>
      </c>
      <c r="L527" s="279"/>
      <c r="M527" s="268">
        <v>1</v>
      </c>
      <c r="N527" s="268" t="b">
        <v>1</v>
      </c>
      <c r="O527" s="268">
        <v>25</v>
      </c>
      <c r="P527" s="281">
        <v>375</v>
      </c>
      <c r="Q527" s="281">
        <v>500</v>
      </c>
      <c r="R527" s="268" t="s">
        <v>3383</v>
      </c>
      <c r="S527" s="268"/>
      <c r="T527" s="268">
        <v>1</v>
      </c>
      <c r="U527" s="268" t="s">
        <v>4880</v>
      </c>
      <c r="V527" s="269">
        <v>6</v>
      </c>
      <c r="W527" s="269"/>
      <c r="X527" s="268" t="s">
        <v>4881</v>
      </c>
      <c r="Y527" s="331" t="s">
        <v>5301</v>
      </c>
      <c r="Z527" s="332" t="s">
        <v>5302</v>
      </c>
      <c r="AA527" s="268" t="s">
        <v>4884</v>
      </c>
      <c r="AB527" s="268"/>
      <c r="AC527" s="287">
        <v>1</v>
      </c>
      <c r="AD527" s="287">
        <v>1</v>
      </c>
      <c r="AE527" s="268"/>
      <c r="AF527" s="268"/>
      <c r="AG527" s="290"/>
    </row>
    <row r="528" spans="1:33" s="145" customFormat="1" x14ac:dyDescent="0.15">
      <c r="A528" s="270">
        <v>95201207</v>
      </c>
      <c r="B528" s="268" t="s">
        <v>5298</v>
      </c>
      <c r="C528" s="268" t="s">
        <v>5148</v>
      </c>
      <c r="D528" s="268">
        <v>7906</v>
      </c>
      <c r="E528" s="268" t="s">
        <v>4876</v>
      </c>
      <c r="F528" s="268" t="s">
        <v>4877</v>
      </c>
      <c r="G528" s="269">
        <v>7</v>
      </c>
      <c r="H528" s="269">
        <v>0</v>
      </c>
      <c r="I528" s="267">
        <v>34</v>
      </c>
      <c r="J528" s="282" t="s">
        <v>5299</v>
      </c>
      <c r="K528" s="279" t="s">
        <v>5300</v>
      </c>
      <c r="L528" s="279"/>
      <c r="M528" s="268">
        <v>1</v>
      </c>
      <c r="N528" s="268" t="b">
        <v>1</v>
      </c>
      <c r="O528" s="268">
        <v>38</v>
      </c>
      <c r="P528" s="281">
        <v>570</v>
      </c>
      <c r="Q528" s="281">
        <v>760</v>
      </c>
      <c r="R528" s="268" t="s">
        <v>3383</v>
      </c>
      <c r="S528" s="268"/>
      <c r="T528" s="268">
        <v>1</v>
      </c>
      <c r="U528" s="268" t="s">
        <v>4880</v>
      </c>
      <c r="V528" s="269">
        <v>7</v>
      </c>
      <c r="W528" s="269"/>
      <c r="X528" s="268" t="s">
        <v>4881</v>
      </c>
      <c r="Y528" s="331" t="s">
        <v>5301</v>
      </c>
      <c r="Z528" s="332" t="s">
        <v>5302</v>
      </c>
      <c r="AA528" s="268" t="s">
        <v>4884</v>
      </c>
      <c r="AB528" s="268"/>
      <c r="AC528" s="287">
        <v>1</v>
      </c>
      <c r="AD528" s="287">
        <v>1</v>
      </c>
      <c r="AE528" s="268"/>
      <c r="AF528" s="268"/>
      <c r="AG528" s="290"/>
    </row>
    <row r="529" spans="1:33" s="258" customFormat="1" x14ac:dyDescent="0.15">
      <c r="A529" s="271">
        <v>95201208</v>
      </c>
      <c r="B529" s="272" t="s">
        <v>5303</v>
      </c>
      <c r="C529" s="272" t="s">
        <v>5148</v>
      </c>
      <c r="D529" s="272">
        <v>5081</v>
      </c>
      <c r="E529" s="272" t="s">
        <v>4876</v>
      </c>
      <c r="F529" s="272" t="s">
        <v>4877</v>
      </c>
      <c r="G529" s="269">
        <v>6</v>
      </c>
      <c r="H529" s="273">
        <v>1</v>
      </c>
      <c r="I529" s="283">
        <v>34</v>
      </c>
      <c r="J529" s="284" t="s">
        <v>5299</v>
      </c>
      <c r="K529" s="285" t="s">
        <v>5300</v>
      </c>
      <c r="L529" s="272" t="s">
        <v>44</v>
      </c>
      <c r="M529" s="272">
        <v>1</v>
      </c>
      <c r="N529" s="272" t="b">
        <v>1</v>
      </c>
      <c r="O529" s="272">
        <v>51</v>
      </c>
      <c r="P529" s="281">
        <v>765</v>
      </c>
      <c r="Q529" s="281">
        <v>1020</v>
      </c>
      <c r="R529" s="272" t="s">
        <v>3383</v>
      </c>
      <c r="S529" s="272"/>
      <c r="T529" s="272">
        <v>1</v>
      </c>
      <c r="U529" s="272" t="s">
        <v>4880</v>
      </c>
      <c r="V529" s="273">
        <v>10</v>
      </c>
      <c r="W529" s="273"/>
      <c r="X529" s="272" t="s">
        <v>4881</v>
      </c>
      <c r="Y529" s="333" t="s">
        <v>5301</v>
      </c>
      <c r="Z529" s="334" t="s">
        <v>5302</v>
      </c>
      <c r="AA529" s="272" t="s">
        <v>4884</v>
      </c>
      <c r="AB529" s="272"/>
      <c r="AC529" s="289">
        <v>1</v>
      </c>
      <c r="AD529" s="289">
        <v>1</v>
      </c>
      <c r="AE529" s="289"/>
      <c r="AF529" s="272"/>
      <c r="AG529" s="272"/>
    </row>
    <row r="530" spans="1:33" s="258" customFormat="1" x14ac:dyDescent="0.15">
      <c r="A530" s="271">
        <v>95201209</v>
      </c>
      <c r="B530" s="272" t="s">
        <v>5304</v>
      </c>
      <c r="C530" s="272" t="s">
        <v>5148</v>
      </c>
      <c r="D530" s="272">
        <v>5081</v>
      </c>
      <c r="E530" s="272" t="s">
        <v>4876</v>
      </c>
      <c r="F530" s="272" t="s">
        <v>4877</v>
      </c>
      <c r="G530" s="269">
        <v>6</v>
      </c>
      <c r="H530" s="273">
        <v>1</v>
      </c>
      <c r="I530" s="283">
        <v>34</v>
      </c>
      <c r="J530" s="284" t="s">
        <v>5299</v>
      </c>
      <c r="K530" s="285" t="s">
        <v>5300</v>
      </c>
      <c r="L530" s="272" t="s">
        <v>4887</v>
      </c>
      <c r="M530" s="272">
        <v>1</v>
      </c>
      <c r="N530" s="272" t="b">
        <v>1</v>
      </c>
      <c r="O530" s="272">
        <v>64</v>
      </c>
      <c r="P530" s="281">
        <v>960</v>
      </c>
      <c r="Q530" s="281">
        <v>1280</v>
      </c>
      <c r="R530" s="272" t="s">
        <v>3383</v>
      </c>
      <c r="S530" s="272"/>
      <c r="T530" s="272">
        <v>1</v>
      </c>
      <c r="U530" s="272" t="s">
        <v>4880</v>
      </c>
      <c r="V530" s="273">
        <v>10</v>
      </c>
      <c r="W530" s="273"/>
      <c r="X530" s="272" t="s">
        <v>4881</v>
      </c>
      <c r="Y530" s="333" t="s">
        <v>5301</v>
      </c>
      <c r="Z530" s="334" t="s">
        <v>5302</v>
      </c>
      <c r="AA530" s="272" t="s">
        <v>4884</v>
      </c>
      <c r="AB530" s="272"/>
      <c r="AC530" s="289">
        <v>1</v>
      </c>
      <c r="AD530" s="289">
        <v>1</v>
      </c>
      <c r="AE530" s="289"/>
      <c r="AF530" s="272"/>
      <c r="AG530" s="272"/>
    </row>
    <row r="531" spans="1:33" s="258" customFormat="1" x14ac:dyDescent="0.15">
      <c r="A531" s="271">
        <v>95201210</v>
      </c>
      <c r="B531" s="272" t="s">
        <v>5305</v>
      </c>
      <c r="C531" s="272" t="s">
        <v>5148</v>
      </c>
      <c r="D531" s="272">
        <v>5081</v>
      </c>
      <c r="E531" s="272" t="s">
        <v>4876</v>
      </c>
      <c r="F531" s="272" t="s">
        <v>4877</v>
      </c>
      <c r="G531" s="269">
        <v>7</v>
      </c>
      <c r="H531" s="273">
        <v>0</v>
      </c>
      <c r="I531" s="283">
        <v>34</v>
      </c>
      <c r="J531" s="284" t="s">
        <v>5299</v>
      </c>
      <c r="K531" s="285" t="s">
        <v>5300</v>
      </c>
      <c r="L531" s="272" t="s">
        <v>4889</v>
      </c>
      <c r="M531" s="272">
        <v>1</v>
      </c>
      <c r="N531" s="272" t="b">
        <v>1</v>
      </c>
      <c r="O531" s="272">
        <v>77</v>
      </c>
      <c r="P531" s="281">
        <v>1155</v>
      </c>
      <c r="Q531" s="281">
        <v>1540</v>
      </c>
      <c r="R531" s="272" t="s">
        <v>3383</v>
      </c>
      <c r="S531" s="272"/>
      <c r="T531" s="272">
        <v>1</v>
      </c>
      <c r="U531" s="272" t="s">
        <v>4880</v>
      </c>
      <c r="V531" s="273">
        <v>10</v>
      </c>
      <c r="W531" s="273"/>
      <c r="X531" s="272" t="s">
        <v>4881</v>
      </c>
      <c r="Y531" s="333" t="s">
        <v>5301</v>
      </c>
      <c r="Z531" s="334" t="s">
        <v>5302</v>
      </c>
      <c r="AA531" s="272" t="s">
        <v>4884</v>
      </c>
      <c r="AB531" s="272"/>
      <c r="AC531" s="289">
        <v>1</v>
      </c>
      <c r="AD531" s="289">
        <v>1</v>
      </c>
      <c r="AE531" s="289"/>
      <c r="AF531" s="272"/>
      <c r="AG531" s="272"/>
    </row>
    <row r="532" spans="1:33" s="145" customFormat="1" x14ac:dyDescent="0.15">
      <c r="A532" s="267">
        <v>95301011</v>
      </c>
      <c r="B532" s="268" t="s">
        <v>5306</v>
      </c>
      <c r="C532" s="268" t="s">
        <v>5307</v>
      </c>
      <c r="D532" s="268">
        <v>6901</v>
      </c>
      <c r="E532" s="268" t="s">
        <v>4876</v>
      </c>
      <c r="F532" s="268" t="s">
        <v>4877</v>
      </c>
      <c r="G532" s="269">
        <v>1</v>
      </c>
      <c r="H532" s="269">
        <v>0</v>
      </c>
      <c r="I532" s="267">
        <v>34</v>
      </c>
      <c r="J532" s="282" t="s">
        <v>5308</v>
      </c>
      <c r="K532" s="279" t="s">
        <v>5309</v>
      </c>
      <c r="L532" s="279"/>
      <c r="M532" s="268">
        <v>1</v>
      </c>
      <c r="N532" s="268" t="b">
        <v>1</v>
      </c>
      <c r="O532" s="268">
        <v>2</v>
      </c>
      <c r="P532" s="281">
        <v>30</v>
      </c>
      <c r="Q532" s="281">
        <v>40</v>
      </c>
      <c r="R532" s="268" t="s">
        <v>3383</v>
      </c>
      <c r="S532" s="268"/>
      <c r="T532" s="268">
        <v>1</v>
      </c>
      <c r="U532" s="268" t="s">
        <v>4880</v>
      </c>
      <c r="V532" s="269">
        <v>1</v>
      </c>
      <c r="W532" s="269"/>
      <c r="X532" s="268" t="s">
        <v>4881</v>
      </c>
      <c r="Y532" s="331" t="s">
        <v>5310</v>
      </c>
      <c r="Z532" s="332" t="s">
        <v>5311</v>
      </c>
      <c r="AA532" s="268" t="s">
        <v>4884</v>
      </c>
      <c r="AB532" s="268"/>
      <c r="AC532" s="287">
        <v>1</v>
      </c>
      <c r="AD532" s="287">
        <v>1</v>
      </c>
      <c r="AE532" s="268"/>
      <c r="AF532" s="268"/>
      <c r="AG532" s="290"/>
    </row>
    <row r="533" spans="1:33" s="145" customFormat="1" x14ac:dyDescent="0.15">
      <c r="A533" s="267">
        <v>95301012</v>
      </c>
      <c r="B533" s="268" t="s">
        <v>5306</v>
      </c>
      <c r="C533" s="268" t="s">
        <v>5307</v>
      </c>
      <c r="D533" s="268">
        <v>6901</v>
      </c>
      <c r="E533" s="268" t="s">
        <v>4876</v>
      </c>
      <c r="F533" s="268" t="s">
        <v>4877</v>
      </c>
      <c r="G533" s="269">
        <v>2</v>
      </c>
      <c r="H533" s="269">
        <v>0</v>
      </c>
      <c r="I533" s="267">
        <v>34</v>
      </c>
      <c r="J533" s="282" t="s">
        <v>5308</v>
      </c>
      <c r="K533" s="279" t="s">
        <v>5309</v>
      </c>
      <c r="L533" s="279"/>
      <c r="M533" s="268">
        <v>1</v>
      </c>
      <c r="N533" s="268" t="b">
        <v>1</v>
      </c>
      <c r="O533" s="268">
        <v>5</v>
      </c>
      <c r="P533" s="281">
        <v>75</v>
      </c>
      <c r="Q533" s="281">
        <v>100</v>
      </c>
      <c r="R533" s="268" t="s">
        <v>3383</v>
      </c>
      <c r="S533" s="268"/>
      <c r="T533" s="268">
        <v>1</v>
      </c>
      <c r="U533" s="268" t="s">
        <v>4880</v>
      </c>
      <c r="V533" s="269">
        <v>2</v>
      </c>
      <c r="W533" s="269"/>
      <c r="X533" s="268" t="s">
        <v>4881</v>
      </c>
      <c r="Y533" s="331" t="s">
        <v>5310</v>
      </c>
      <c r="Z533" s="332" t="s">
        <v>5311</v>
      </c>
      <c r="AA533" s="268" t="s">
        <v>4884</v>
      </c>
      <c r="AB533" s="268"/>
      <c r="AC533" s="287">
        <v>1</v>
      </c>
      <c r="AD533" s="287">
        <v>1</v>
      </c>
      <c r="AE533" s="268"/>
      <c r="AF533" s="268"/>
      <c r="AG533" s="290"/>
    </row>
    <row r="534" spans="1:33" s="145" customFormat="1" x14ac:dyDescent="0.15">
      <c r="A534" s="267">
        <v>95301013</v>
      </c>
      <c r="B534" s="268" t="s">
        <v>5306</v>
      </c>
      <c r="C534" s="268" t="s">
        <v>5307</v>
      </c>
      <c r="D534" s="268">
        <v>6901</v>
      </c>
      <c r="E534" s="268" t="s">
        <v>4876</v>
      </c>
      <c r="F534" s="268" t="s">
        <v>4877</v>
      </c>
      <c r="G534" s="269">
        <v>3</v>
      </c>
      <c r="H534" s="269">
        <v>0</v>
      </c>
      <c r="I534" s="267">
        <v>34</v>
      </c>
      <c r="J534" s="282" t="s">
        <v>5308</v>
      </c>
      <c r="K534" s="279" t="s">
        <v>5309</v>
      </c>
      <c r="L534" s="279"/>
      <c r="M534" s="268">
        <v>1</v>
      </c>
      <c r="N534" s="268" t="b">
        <v>1</v>
      </c>
      <c r="O534" s="268">
        <v>7</v>
      </c>
      <c r="P534" s="281">
        <v>105</v>
      </c>
      <c r="Q534" s="281">
        <v>140</v>
      </c>
      <c r="R534" s="268" t="s">
        <v>3383</v>
      </c>
      <c r="S534" s="268"/>
      <c r="T534" s="268">
        <v>1</v>
      </c>
      <c r="U534" s="268" t="s">
        <v>4880</v>
      </c>
      <c r="V534" s="269">
        <v>3</v>
      </c>
      <c r="W534" s="269"/>
      <c r="X534" s="268" t="s">
        <v>4881</v>
      </c>
      <c r="Y534" s="331" t="s">
        <v>5310</v>
      </c>
      <c r="Z534" s="332" t="s">
        <v>5311</v>
      </c>
      <c r="AA534" s="268" t="s">
        <v>4884</v>
      </c>
      <c r="AB534" s="268"/>
      <c r="AC534" s="287">
        <v>1</v>
      </c>
      <c r="AD534" s="287">
        <v>1</v>
      </c>
      <c r="AE534" s="268"/>
      <c r="AF534" s="268"/>
      <c r="AG534" s="290"/>
    </row>
    <row r="535" spans="1:33" s="145" customFormat="1" x14ac:dyDescent="0.15">
      <c r="A535" s="267">
        <v>95301014</v>
      </c>
      <c r="B535" s="268" t="s">
        <v>5306</v>
      </c>
      <c r="C535" s="268" t="s">
        <v>5307</v>
      </c>
      <c r="D535" s="268">
        <v>6901</v>
      </c>
      <c r="E535" s="268" t="s">
        <v>4876</v>
      </c>
      <c r="F535" s="268" t="s">
        <v>4877</v>
      </c>
      <c r="G535" s="269">
        <v>4</v>
      </c>
      <c r="H535" s="269">
        <v>0</v>
      </c>
      <c r="I535" s="267">
        <v>34</v>
      </c>
      <c r="J535" s="282" t="s">
        <v>5308</v>
      </c>
      <c r="K535" s="279" t="s">
        <v>5309</v>
      </c>
      <c r="L535" s="279"/>
      <c r="M535" s="268">
        <v>1</v>
      </c>
      <c r="N535" s="268" t="b">
        <v>1</v>
      </c>
      <c r="O535" s="268">
        <v>10</v>
      </c>
      <c r="P535" s="281">
        <v>150</v>
      </c>
      <c r="Q535" s="281">
        <v>200</v>
      </c>
      <c r="R535" s="268" t="s">
        <v>3383</v>
      </c>
      <c r="S535" s="268"/>
      <c r="T535" s="268">
        <v>1</v>
      </c>
      <c r="U535" s="268" t="s">
        <v>4880</v>
      </c>
      <c r="V535" s="269">
        <v>4</v>
      </c>
      <c r="W535" s="269"/>
      <c r="X535" s="268" t="s">
        <v>4881</v>
      </c>
      <c r="Y535" s="331" t="s">
        <v>5310</v>
      </c>
      <c r="Z535" s="332" t="s">
        <v>5311</v>
      </c>
      <c r="AA535" s="268" t="s">
        <v>4884</v>
      </c>
      <c r="AB535" s="268"/>
      <c r="AC535" s="287">
        <v>1</v>
      </c>
      <c r="AD535" s="287">
        <v>1</v>
      </c>
      <c r="AE535" s="268"/>
      <c r="AF535" s="268"/>
      <c r="AG535" s="290"/>
    </row>
    <row r="536" spans="1:33" s="145" customFormat="1" x14ac:dyDescent="0.15">
      <c r="A536" s="267">
        <v>95301015</v>
      </c>
      <c r="B536" s="268" t="s">
        <v>5306</v>
      </c>
      <c r="C536" s="268" t="s">
        <v>5307</v>
      </c>
      <c r="D536" s="268">
        <v>6901</v>
      </c>
      <c r="E536" s="268" t="s">
        <v>4876</v>
      </c>
      <c r="F536" s="268" t="s">
        <v>4877</v>
      </c>
      <c r="G536" s="269">
        <v>5</v>
      </c>
      <c r="H536" s="269">
        <v>0</v>
      </c>
      <c r="I536" s="267">
        <v>34</v>
      </c>
      <c r="J536" s="282" t="s">
        <v>5308</v>
      </c>
      <c r="K536" s="279" t="s">
        <v>5309</v>
      </c>
      <c r="L536" s="279"/>
      <c r="M536" s="268">
        <v>1</v>
      </c>
      <c r="N536" s="268" t="b">
        <v>1</v>
      </c>
      <c r="O536" s="268">
        <v>12</v>
      </c>
      <c r="P536" s="281">
        <v>180</v>
      </c>
      <c r="Q536" s="281">
        <v>240</v>
      </c>
      <c r="R536" s="268" t="s">
        <v>3383</v>
      </c>
      <c r="S536" s="268"/>
      <c r="T536" s="268">
        <v>1</v>
      </c>
      <c r="U536" s="268" t="s">
        <v>4880</v>
      </c>
      <c r="V536" s="269">
        <v>5</v>
      </c>
      <c r="W536" s="269"/>
      <c r="X536" s="268" t="s">
        <v>4881</v>
      </c>
      <c r="Y536" s="331" t="s">
        <v>5310</v>
      </c>
      <c r="Z536" s="332" t="s">
        <v>5311</v>
      </c>
      <c r="AA536" s="268" t="s">
        <v>4884</v>
      </c>
      <c r="AB536" s="268"/>
      <c r="AC536" s="287">
        <v>1</v>
      </c>
      <c r="AD536" s="287">
        <v>1</v>
      </c>
      <c r="AE536" s="268"/>
      <c r="AF536" s="268"/>
      <c r="AG536" s="290"/>
    </row>
    <row r="537" spans="1:33" s="145" customFormat="1" x14ac:dyDescent="0.15">
      <c r="A537" s="270">
        <v>95301016</v>
      </c>
      <c r="B537" s="268" t="s">
        <v>5306</v>
      </c>
      <c r="C537" s="268" t="s">
        <v>5307</v>
      </c>
      <c r="D537" s="268">
        <v>6901</v>
      </c>
      <c r="E537" s="268" t="s">
        <v>4876</v>
      </c>
      <c r="F537" s="268" t="s">
        <v>4877</v>
      </c>
      <c r="G537" s="269">
        <v>6</v>
      </c>
      <c r="H537" s="269">
        <v>0</v>
      </c>
      <c r="I537" s="267">
        <v>34</v>
      </c>
      <c r="J537" s="282" t="s">
        <v>5308</v>
      </c>
      <c r="K537" s="279" t="s">
        <v>5309</v>
      </c>
      <c r="L537" s="279"/>
      <c r="M537" s="268">
        <v>1</v>
      </c>
      <c r="N537" s="268" t="b">
        <v>1</v>
      </c>
      <c r="O537" s="268">
        <v>25</v>
      </c>
      <c r="P537" s="281">
        <v>375</v>
      </c>
      <c r="Q537" s="281">
        <v>500</v>
      </c>
      <c r="R537" s="268" t="s">
        <v>3383</v>
      </c>
      <c r="S537" s="268"/>
      <c r="T537" s="268">
        <v>1</v>
      </c>
      <c r="U537" s="268" t="s">
        <v>4880</v>
      </c>
      <c r="V537" s="269">
        <v>6</v>
      </c>
      <c r="W537" s="269"/>
      <c r="X537" s="268" t="s">
        <v>4881</v>
      </c>
      <c r="Y537" s="331" t="s">
        <v>5310</v>
      </c>
      <c r="Z537" s="332" t="s">
        <v>5311</v>
      </c>
      <c r="AA537" s="268" t="s">
        <v>4884</v>
      </c>
      <c r="AB537" s="268"/>
      <c r="AC537" s="287">
        <v>1</v>
      </c>
      <c r="AD537" s="287">
        <v>1</v>
      </c>
      <c r="AE537" s="268"/>
      <c r="AF537" s="268"/>
      <c r="AG537" s="290"/>
    </row>
    <row r="538" spans="1:33" s="145" customFormat="1" x14ac:dyDescent="0.15">
      <c r="A538" s="270">
        <v>95301017</v>
      </c>
      <c r="B538" s="268" t="s">
        <v>5306</v>
      </c>
      <c r="C538" s="268" t="s">
        <v>5307</v>
      </c>
      <c r="D538" s="268">
        <v>6901</v>
      </c>
      <c r="E538" s="268" t="s">
        <v>4876</v>
      </c>
      <c r="F538" s="268" t="s">
        <v>4877</v>
      </c>
      <c r="G538" s="269">
        <v>7</v>
      </c>
      <c r="H538" s="269">
        <v>0</v>
      </c>
      <c r="I538" s="267">
        <v>34</v>
      </c>
      <c r="J538" s="282" t="s">
        <v>5308</v>
      </c>
      <c r="K538" s="279" t="s">
        <v>5309</v>
      </c>
      <c r="L538" s="279"/>
      <c r="M538" s="268">
        <v>1</v>
      </c>
      <c r="N538" s="268" t="b">
        <v>1</v>
      </c>
      <c r="O538" s="268">
        <v>38</v>
      </c>
      <c r="P538" s="281">
        <v>570</v>
      </c>
      <c r="Q538" s="281">
        <v>760</v>
      </c>
      <c r="R538" s="268" t="s">
        <v>3383</v>
      </c>
      <c r="S538" s="268"/>
      <c r="T538" s="268">
        <v>1</v>
      </c>
      <c r="U538" s="268" t="s">
        <v>4880</v>
      </c>
      <c r="V538" s="269">
        <v>7</v>
      </c>
      <c r="W538" s="269"/>
      <c r="X538" s="268" t="s">
        <v>4881</v>
      </c>
      <c r="Y538" s="331" t="s">
        <v>5310</v>
      </c>
      <c r="Z538" s="332" t="s">
        <v>5311</v>
      </c>
      <c r="AA538" s="268" t="s">
        <v>4884</v>
      </c>
      <c r="AB538" s="268"/>
      <c r="AC538" s="287">
        <v>1</v>
      </c>
      <c r="AD538" s="287">
        <v>1</v>
      </c>
      <c r="AE538" s="268"/>
      <c r="AF538" s="268"/>
      <c r="AG538" s="290"/>
    </row>
    <row r="539" spans="1:33" s="258" customFormat="1" x14ac:dyDescent="0.15">
      <c r="A539" s="271">
        <v>95301018</v>
      </c>
      <c r="B539" s="272" t="s">
        <v>5312</v>
      </c>
      <c r="C539" s="272" t="s">
        <v>5307</v>
      </c>
      <c r="D539" s="272">
        <v>5081</v>
      </c>
      <c r="E539" s="272" t="s">
        <v>4876</v>
      </c>
      <c r="F539" s="272" t="s">
        <v>4877</v>
      </c>
      <c r="G539" s="269">
        <v>6</v>
      </c>
      <c r="H539" s="273">
        <v>0</v>
      </c>
      <c r="I539" s="283">
        <v>34</v>
      </c>
      <c r="J539" s="284" t="s">
        <v>5308</v>
      </c>
      <c r="K539" s="285" t="s">
        <v>5309</v>
      </c>
      <c r="L539" s="272" t="s">
        <v>44</v>
      </c>
      <c r="M539" s="272">
        <v>1</v>
      </c>
      <c r="N539" s="272" t="b">
        <v>1</v>
      </c>
      <c r="O539" s="272">
        <v>51</v>
      </c>
      <c r="P539" s="281">
        <v>765</v>
      </c>
      <c r="Q539" s="281">
        <v>1020</v>
      </c>
      <c r="R539" s="272" t="s">
        <v>3383</v>
      </c>
      <c r="S539" s="272"/>
      <c r="T539" s="272">
        <v>1</v>
      </c>
      <c r="U539" s="272" t="s">
        <v>4880</v>
      </c>
      <c r="V539" s="273">
        <v>10</v>
      </c>
      <c r="W539" s="273"/>
      <c r="X539" s="272" t="s">
        <v>4881</v>
      </c>
      <c r="Y539" s="333" t="s">
        <v>5310</v>
      </c>
      <c r="Z539" s="334" t="s">
        <v>5311</v>
      </c>
      <c r="AA539" s="272" t="s">
        <v>4884</v>
      </c>
      <c r="AB539" s="272"/>
      <c r="AC539" s="289">
        <v>1</v>
      </c>
      <c r="AD539" s="289">
        <v>1</v>
      </c>
      <c r="AE539" s="289"/>
      <c r="AF539" s="272"/>
      <c r="AG539" s="272"/>
    </row>
    <row r="540" spans="1:33" s="258" customFormat="1" x14ac:dyDescent="0.15">
      <c r="A540" s="271">
        <v>95301019</v>
      </c>
      <c r="B540" s="272" t="s">
        <v>5313</v>
      </c>
      <c r="C540" s="272" t="s">
        <v>5307</v>
      </c>
      <c r="D540" s="272">
        <v>5081</v>
      </c>
      <c r="E540" s="272" t="s">
        <v>4876</v>
      </c>
      <c r="F540" s="272" t="s">
        <v>4877</v>
      </c>
      <c r="G540" s="269">
        <v>6</v>
      </c>
      <c r="H540" s="273">
        <v>0</v>
      </c>
      <c r="I540" s="283">
        <v>34</v>
      </c>
      <c r="J540" s="284" t="s">
        <v>5308</v>
      </c>
      <c r="K540" s="285" t="s">
        <v>5309</v>
      </c>
      <c r="L540" s="272" t="s">
        <v>4887</v>
      </c>
      <c r="M540" s="272">
        <v>1</v>
      </c>
      <c r="N540" s="272" t="b">
        <v>1</v>
      </c>
      <c r="O540" s="272">
        <v>64</v>
      </c>
      <c r="P540" s="281">
        <v>960</v>
      </c>
      <c r="Q540" s="281">
        <v>1280</v>
      </c>
      <c r="R540" s="272" t="s">
        <v>3383</v>
      </c>
      <c r="S540" s="272"/>
      <c r="T540" s="272">
        <v>1</v>
      </c>
      <c r="U540" s="272" t="s">
        <v>4880</v>
      </c>
      <c r="V540" s="273">
        <v>10</v>
      </c>
      <c r="W540" s="273"/>
      <c r="X540" s="272" t="s">
        <v>4881</v>
      </c>
      <c r="Y540" s="333" t="s">
        <v>5310</v>
      </c>
      <c r="Z540" s="334" t="s">
        <v>5311</v>
      </c>
      <c r="AA540" s="272" t="s">
        <v>4884</v>
      </c>
      <c r="AB540" s="272"/>
      <c r="AC540" s="289">
        <v>1</v>
      </c>
      <c r="AD540" s="289">
        <v>1</v>
      </c>
      <c r="AE540" s="289"/>
      <c r="AF540" s="272"/>
      <c r="AG540" s="272"/>
    </row>
    <row r="541" spans="1:33" s="258" customFormat="1" x14ac:dyDescent="0.15">
      <c r="A541" s="271">
        <v>95301020</v>
      </c>
      <c r="B541" s="272" t="s">
        <v>5314</v>
      </c>
      <c r="C541" s="272" t="s">
        <v>5307</v>
      </c>
      <c r="D541" s="272">
        <v>5081</v>
      </c>
      <c r="E541" s="272" t="s">
        <v>4876</v>
      </c>
      <c r="F541" s="272" t="s">
        <v>4877</v>
      </c>
      <c r="G541" s="269">
        <v>7</v>
      </c>
      <c r="H541" s="273">
        <v>0</v>
      </c>
      <c r="I541" s="283">
        <v>34</v>
      </c>
      <c r="J541" s="284" t="s">
        <v>5308</v>
      </c>
      <c r="K541" s="285" t="s">
        <v>5309</v>
      </c>
      <c r="L541" s="272" t="s">
        <v>4889</v>
      </c>
      <c r="M541" s="272">
        <v>1</v>
      </c>
      <c r="N541" s="272" t="b">
        <v>1</v>
      </c>
      <c r="O541" s="272">
        <v>77</v>
      </c>
      <c r="P541" s="281">
        <v>1155</v>
      </c>
      <c r="Q541" s="281">
        <v>1540</v>
      </c>
      <c r="R541" s="272" t="s">
        <v>3383</v>
      </c>
      <c r="S541" s="272"/>
      <c r="T541" s="272">
        <v>1</v>
      </c>
      <c r="U541" s="272" t="s">
        <v>4880</v>
      </c>
      <c r="V541" s="273">
        <v>10</v>
      </c>
      <c r="W541" s="273"/>
      <c r="X541" s="272" t="s">
        <v>4881</v>
      </c>
      <c r="Y541" s="333" t="s">
        <v>5310</v>
      </c>
      <c r="Z541" s="334" t="s">
        <v>5311</v>
      </c>
      <c r="AA541" s="272" t="s">
        <v>4884</v>
      </c>
      <c r="AB541" s="272"/>
      <c r="AC541" s="289">
        <v>1</v>
      </c>
      <c r="AD541" s="289">
        <v>1</v>
      </c>
      <c r="AE541" s="289"/>
      <c r="AF541" s="272"/>
      <c r="AG541" s="272"/>
    </row>
    <row r="542" spans="1:33" s="145" customFormat="1" x14ac:dyDescent="0.15">
      <c r="A542" s="267">
        <v>95301021</v>
      </c>
      <c r="B542" s="268" t="s">
        <v>5315</v>
      </c>
      <c r="C542" s="268" t="s">
        <v>5307</v>
      </c>
      <c r="D542" s="268">
        <v>6901</v>
      </c>
      <c r="E542" s="268" t="s">
        <v>4876</v>
      </c>
      <c r="F542" s="268" t="s">
        <v>4877</v>
      </c>
      <c r="G542" s="269">
        <v>1</v>
      </c>
      <c r="H542" s="269">
        <v>0</v>
      </c>
      <c r="I542" s="267">
        <v>34</v>
      </c>
      <c r="J542" s="282" t="s">
        <v>5316</v>
      </c>
      <c r="K542" s="279" t="s">
        <v>5317</v>
      </c>
      <c r="L542" s="279"/>
      <c r="M542" s="268">
        <v>1</v>
      </c>
      <c r="N542" s="268" t="b">
        <v>1</v>
      </c>
      <c r="O542" s="268">
        <v>2</v>
      </c>
      <c r="P542" s="281">
        <v>30</v>
      </c>
      <c r="Q542" s="281">
        <v>40</v>
      </c>
      <c r="R542" s="268" t="s">
        <v>3383</v>
      </c>
      <c r="S542" s="268"/>
      <c r="T542" s="268">
        <v>1</v>
      </c>
      <c r="U542" s="268" t="s">
        <v>4880</v>
      </c>
      <c r="V542" s="269">
        <v>1</v>
      </c>
      <c r="W542" s="269"/>
      <c r="X542" s="268" t="s">
        <v>4881</v>
      </c>
      <c r="Y542" s="269" t="s">
        <v>5318</v>
      </c>
      <c r="Z542" s="332" t="s">
        <v>5319</v>
      </c>
      <c r="AA542" s="268" t="s">
        <v>4884</v>
      </c>
      <c r="AB542" s="268"/>
      <c r="AC542" s="287">
        <v>1</v>
      </c>
      <c r="AD542" s="287">
        <v>1</v>
      </c>
      <c r="AE542" s="268"/>
      <c r="AF542" s="268"/>
      <c r="AG542" s="290"/>
    </row>
    <row r="543" spans="1:33" s="145" customFormat="1" x14ac:dyDescent="0.15">
      <c r="A543" s="267">
        <v>95301022</v>
      </c>
      <c r="B543" s="268" t="s">
        <v>5315</v>
      </c>
      <c r="C543" s="268" t="s">
        <v>5307</v>
      </c>
      <c r="D543" s="268">
        <v>6901</v>
      </c>
      <c r="E543" s="268" t="s">
        <v>4876</v>
      </c>
      <c r="F543" s="268" t="s">
        <v>4877</v>
      </c>
      <c r="G543" s="269">
        <v>2</v>
      </c>
      <c r="H543" s="269">
        <v>0</v>
      </c>
      <c r="I543" s="267">
        <v>34</v>
      </c>
      <c r="J543" s="282" t="s">
        <v>5316</v>
      </c>
      <c r="K543" s="279" t="s">
        <v>5317</v>
      </c>
      <c r="L543" s="279"/>
      <c r="M543" s="268">
        <v>1</v>
      </c>
      <c r="N543" s="268" t="b">
        <v>1</v>
      </c>
      <c r="O543" s="268">
        <v>5</v>
      </c>
      <c r="P543" s="281">
        <v>75</v>
      </c>
      <c r="Q543" s="281">
        <v>100</v>
      </c>
      <c r="R543" s="268" t="s">
        <v>3383</v>
      </c>
      <c r="S543" s="268"/>
      <c r="T543" s="268">
        <v>1</v>
      </c>
      <c r="U543" s="268" t="s">
        <v>4880</v>
      </c>
      <c r="V543" s="269">
        <v>2</v>
      </c>
      <c r="W543" s="269"/>
      <c r="X543" s="268" t="s">
        <v>4881</v>
      </c>
      <c r="Y543" s="269" t="s">
        <v>5318</v>
      </c>
      <c r="Z543" s="332" t="s">
        <v>5319</v>
      </c>
      <c r="AA543" s="268" t="s">
        <v>4884</v>
      </c>
      <c r="AB543" s="268"/>
      <c r="AC543" s="287">
        <v>1</v>
      </c>
      <c r="AD543" s="287">
        <v>1</v>
      </c>
      <c r="AE543" s="268"/>
      <c r="AF543" s="268"/>
      <c r="AG543" s="290"/>
    </row>
    <row r="544" spans="1:33" s="145" customFormat="1" x14ac:dyDescent="0.15">
      <c r="A544" s="267">
        <v>95301023</v>
      </c>
      <c r="B544" s="268" t="s">
        <v>5315</v>
      </c>
      <c r="C544" s="268" t="s">
        <v>5307</v>
      </c>
      <c r="D544" s="268">
        <v>6901</v>
      </c>
      <c r="E544" s="268" t="s">
        <v>4876</v>
      </c>
      <c r="F544" s="268" t="s">
        <v>4877</v>
      </c>
      <c r="G544" s="269">
        <v>3</v>
      </c>
      <c r="H544" s="269">
        <v>0</v>
      </c>
      <c r="I544" s="267">
        <v>34</v>
      </c>
      <c r="J544" s="282" t="s">
        <v>5316</v>
      </c>
      <c r="K544" s="279" t="s">
        <v>5317</v>
      </c>
      <c r="L544" s="279"/>
      <c r="M544" s="268">
        <v>1</v>
      </c>
      <c r="N544" s="268" t="b">
        <v>1</v>
      </c>
      <c r="O544" s="268">
        <v>7</v>
      </c>
      <c r="P544" s="281">
        <v>105</v>
      </c>
      <c r="Q544" s="281">
        <v>140</v>
      </c>
      <c r="R544" s="268" t="s">
        <v>3383</v>
      </c>
      <c r="S544" s="268"/>
      <c r="T544" s="268">
        <v>1</v>
      </c>
      <c r="U544" s="268" t="s">
        <v>4880</v>
      </c>
      <c r="V544" s="269">
        <v>3</v>
      </c>
      <c r="W544" s="269"/>
      <c r="X544" s="268" t="s">
        <v>4881</v>
      </c>
      <c r="Y544" s="269" t="s">
        <v>5318</v>
      </c>
      <c r="Z544" s="332" t="s">
        <v>5319</v>
      </c>
      <c r="AA544" s="268" t="s">
        <v>4884</v>
      </c>
      <c r="AB544" s="268"/>
      <c r="AC544" s="287">
        <v>1</v>
      </c>
      <c r="AD544" s="287">
        <v>1</v>
      </c>
      <c r="AE544" s="268"/>
      <c r="AF544" s="268"/>
      <c r="AG544" s="290"/>
    </row>
    <row r="545" spans="1:33" s="145" customFormat="1" x14ac:dyDescent="0.15">
      <c r="A545" s="267">
        <v>95301024</v>
      </c>
      <c r="B545" s="268" t="s">
        <v>5315</v>
      </c>
      <c r="C545" s="268" t="s">
        <v>5307</v>
      </c>
      <c r="D545" s="268">
        <v>6901</v>
      </c>
      <c r="E545" s="268" t="s">
        <v>4876</v>
      </c>
      <c r="F545" s="268" t="s">
        <v>4877</v>
      </c>
      <c r="G545" s="269">
        <v>4</v>
      </c>
      <c r="H545" s="269">
        <v>0</v>
      </c>
      <c r="I545" s="267">
        <v>34</v>
      </c>
      <c r="J545" s="282" t="s">
        <v>5316</v>
      </c>
      <c r="K545" s="279" t="s">
        <v>5317</v>
      </c>
      <c r="L545" s="279"/>
      <c r="M545" s="268">
        <v>1</v>
      </c>
      <c r="N545" s="268" t="b">
        <v>1</v>
      </c>
      <c r="O545" s="268">
        <v>10</v>
      </c>
      <c r="P545" s="281">
        <v>150</v>
      </c>
      <c r="Q545" s="281">
        <v>200</v>
      </c>
      <c r="R545" s="268" t="s">
        <v>3383</v>
      </c>
      <c r="S545" s="268"/>
      <c r="T545" s="268">
        <v>1</v>
      </c>
      <c r="U545" s="268" t="s">
        <v>4880</v>
      </c>
      <c r="V545" s="269">
        <v>4</v>
      </c>
      <c r="W545" s="269"/>
      <c r="X545" s="268" t="s">
        <v>4881</v>
      </c>
      <c r="Y545" s="269" t="s">
        <v>5318</v>
      </c>
      <c r="Z545" s="332" t="s">
        <v>5319</v>
      </c>
      <c r="AA545" s="268" t="s">
        <v>4884</v>
      </c>
      <c r="AB545" s="268"/>
      <c r="AC545" s="287">
        <v>1</v>
      </c>
      <c r="AD545" s="287">
        <v>1</v>
      </c>
      <c r="AE545" s="268"/>
      <c r="AF545" s="268"/>
      <c r="AG545" s="290"/>
    </row>
    <row r="546" spans="1:33" s="145" customFormat="1" x14ac:dyDescent="0.15">
      <c r="A546" s="267">
        <v>95301025</v>
      </c>
      <c r="B546" s="268" t="s">
        <v>5315</v>
      </c>
      <c r="C546" s="268" t="s">
        <v>5307</v>
      </c>
      <c r="D546" s="268">
        <v>6901</v>
      </c>
      <c r="E546" s="268" t="s">
        <v>4876</v>
      </c>
      <c r="F546" s="268" t="s">
        <v>4877</v>
      </c>
      <c r="G546" s="269">
        <v>5</v>
      </c>
      <c r="H546" s="269">
        <v>0</v>
      </c>
      <c r="I546" s="267">
        <v>34</v>
      </c>
      <c r="J546" s="282" t="s">
        <v>5316</v>
      </c>
      <c r="K546" s="279" t="s">
        <v>5317</v>
      </c>
      <c r="L546" s="279"/>
      <c r="M546" s="268">
        <v>1</v>
      </c>
      <c r="N546" s="268" t="b">
        <v>1</v>
      </c>
      <c r="O546" s="268">
        <v>12</v>
      </c>
      <c r="P546" s="281">
        <v>180</v>
      </c>
      <c r="Q546" s="281">
        <v>240</v>
      </c>
      <c r="R546" s="268" t="s">
        <v>3383</v>
      </c>
      <c r="S546" s="268"/>
      <c r="T546" s="268">
        <v>1</v>
      </c>
      <c r="U546" s="268" t="s">
        <v>4880</v>
      </c>
      <c r="V546" s="269">
        <v>5</v>
      </c>
      <c r="W546" s="269"/>
      <c r="X546" s="268" t="s">
        <v>4881</v>
      </c>
      <c r="Y546" s="269" t="s">
        <v>5318</v>
      </c>
      <c r="Z546" s="332" t="s">
        <v>5319</v>
      </c>
      <c r="AA546" s="268" t="s">
        <v>4884</v>
      </c>
      <c r="AB546" s="268"/>
      <c r="AC546" s="287">
        <v>1</v>
      </c>
      <c r="AD546" s="287">
        <v>1</v>
      </c>
      <c r="AE546" s="268"/>
      <c r="AF546" s="268"/>
      <c r="AG546" s="290"/>
    </row>
    <row r="547" spans="1:33" s="145" customFormat="1" x14ac:dyDescent="0.15">
      <c r="A547" s="270">
        <v>95301026</v>
      </c>
      <c r="B547" s="268" t="s">
        <v>5315</v>
      </c>
      <c r="C547" s="268" t="s">
        <v>5307</v>
      </c>
      <c r="D547" s="268">
        <v>6901</v>
      </c>
      <c r="E547" s="268" t="s">
        <v>4876</v>
      </c>
      <c r="F547" s="268" t="s">
        <v>4877</v>
      </c>
      <c r="G547" s="269">
        <v>6</v>
      </c>
      <c r="H547" s="269">
        <v>0</v>
      </c>
      <c r="I547" s="267">
        <v>34</v>
      </c>
      <c r="J547" s="282" t="s">
        <v>5316</v>
      </c>
      <c r="K547" s="279" t="s">
        <v>5317</v>
      </c>
      <c r="L547" s="279"/>
      <c r="M547" s="268">
        <v>1</v>
      </c>
      <c r="N547" s="268" t="b">
        <v>1</v>
      </c>
      <c r="O547" s="268">
        <v>25</v>
      </c>
      <c r="P547" s="281">
        <v>375</v>
      </c>
      <c r="Q547" s="281">
        <v>500</v>
      </c>
      <c r="R547" s="268" t="s">
        <v>3383</v>
      </c>
      <c r="S547" s="268"/>
      <c r="T547" s="268">
        <v>1</v>
      </c>
      <c r="U547" s="268" t="s">
        <v>4880</v>
      </c>
      <c r="V547" s="269">
        <v>6</v>
      </c>
      <c r="W547" s="269"/>
      <c r="X547" s="268" t="s">
        <v>4881</v>
      </c>
      <c r="Y547" s="331" t="s">
        <v>5318</v>
      </c>
      <c r="Z547" s="332" t="s">
        <v>5319</v>
      </c>
      <c r="AA547" s="268" t="s">
        <v>4884</v>
      </c>
      <c r="AB547" s="268"/>
      <c r="AC547" s="287">
        <v>1</v>
      </c>
      <c r="AD547" s="287">
        <v>1</v>
      </c>
      <c r="AE547" s="268"/>
      <c r="AF547" s="268"/>
      <c r="AG547" s="290"/>
    </row>
    <row r="548" spans="1:33" s="145" customFormat="1" x14ac:dyDescent="0.15">
      <c r="A548" s="270">
        <v>95301027</v>
      </c>
      <c r="B548" s="268" t="s">
        <v>5315</v>
      </c>
      <c r="C548" s="268" t="s">
        <v>5307</v>
      </c>
      <c r="D548" s="268">
        <v>6901</v>
      </c>
      <c r="E548" s="268" t="s">
        <v>4876</v>
      </c>
      <c r="F548" s="268" t="s">
        <v>4877</v>
      </c>
      <c r="G548" s="269">
        <v>7</v>
      </c>
      <c r="H548" s="269">
        <v>0</v>
      </c>
      <c r="I548" s="267">
        <v>34</v>
      </c>
      <c r="J548" s="282" t="s">
        <v>5316</v>
      </c>
      <c r="K548" s="279" t="s">
        <v>5317</v>
      </c>
      <c r="L548" s="279"/>
      <c r="M548" s="268">
        <v>1</v>
      </c>
      <c r="N548" s="268" t="b">
        <v>1</v>
      </c>
      <c r="O548" s="268">
        <v>38</v>
      </c>
      <c r="P548" s="281">
        <v>570</v>
      </c>
      <c r="Q548" s="281">
        <v>760</v>
      </c>
      <c r="R548" s="268" t="s">
        <v>3383</v>
      </c>
      <c r="S548" s="268"/>
      <c r="T548" s="268">
        <v>1</v>
      </c>
      <c r="U548" s="268" t="s">
        <v>4880</v>
      </c>
      <c r="V548" s="269">
        <v>7</v>
      </c>
      <c r="W548" s="269"/>
      <c r="X548" s="268" t="s">
        <v>4881</v>
      </c>
      <c r="Y548" s="331" t="s">
        <v>5318</v>
      </c>
      <c r="Z548" s="332" t="s">
        <v>5319</v>
      </c>
      <c r="AA548" s="268" t="s">
        <v>4884</v>
      </c>
      <c r="AB548" s="268"/>
      <c r="AC548" s="287">
        <v>1</v>
      </c>
      <c r="AD548" s="287">
        <v>1</v>
      </c>
      <c r="AE548" s="268"/>
      <c r="AF548" s="268"/>
      <c r="AG548" s="290"/>
    </row>
    <row r="549" spans="1:33" s="258" customFormat="1" x14ac:dyDescent="0.15">
      <c r="A549" s="271">
        <v>95301028</v>
      </c>
      <c r="B549" s="272" t="s">
        <v>5320</v>
      </c>
      <c r="C549" s="272" t="s">
        <v>5307</v>
      </c>
      <c r="D549" s="272">
        <v>5081</v>
      </c>
      <c r="E549" s="272" t="s">
        <v>4876</v>
      </c>
      <c r="F549" s="272" t="s">
        <v>4877</v>
      </c>
      <c r="G549" s="269">
        <v>6</v>
      </c>
      <c r="H549" s="273">
        <v>1</v>
      </c>
      <c r="I549" s="283">
        <v>34</v>
      </c>
      <c r="J549" s="284" t="s">
        <v>5316</v>
      </c>
      <c r="K549" s="285" t="s">
        <v>5317</v>
      </c>
      <c r="L549" s="272" t="s">
        <v>44</v>
      </c>
      <c r="M549" s="272">
        <v>1</v>
      </c>
      <c r="N549" s="272" t="b">
        <v>1</v>
      </c>
      <c r="O549" s="272">
        <v>51</v>
      </c>
      <c r="P549" s="281">
        <v>765</v>
      </c>
      <c r="Q549" s="281">
        <v>1020</v>
      </c>
      <c r="R549" s="272" t="s">
        <v>3383</v>
      </c>
      <c r="S549" s="272"/>
      <c r="T549" s="272">
        <v>1</v>
      </c>
      <c r="U549" s="272" t="s">
        <v>4880</v>
      </c>
      <c r="V549" s="273">
        <v>10</v>
      </c>
      <c r="W549" s="273"/>
      <c r="X549" s="272" t="s">
        <v>4881</v>
      </c>
      <c r="Y549" s="333" t="s">
        <v>5318</v>
      </c>
      <c r="Z549" s="334" t="s">
        <v>5319</v>
      </c>
      <c r="AA549" s="272" t="s">
        <v>4884</v>
      </c>
      <c r="AB549" s="272"/>
      <c r="AC549" s="289">
        <v>1</v>
      </c>
      <c r="AD549" s="289">
        <v>1</v>
      </c>
      <c r="AE549" s="289"/>
      <c r="AF549" s="272"/>
      <c r="AG549" s="272"/>
    </row>
    <row r="550" spans="1:33" s="258" customFormat="1" x14ac:dyDescent="0.15">
      <c r="A550" s="271">
        <v>95301029</v>
      </c>
      <c r="B550" s="272" t="s">
        <v>5321</v>
      </c>
      <c r="C550" s="272" t="s">
        <v>5307</v>
      </c>
      <c r="D550" s="272">
        <v>5081</v>
      </c>
      <c r="E550" s="272" t="s">
        <v>4876</v>
      </c>
      <c r="F550" s="272" t="s">
        <v>4877</v>
      </c>
      <c r="G550" s="269">
        <v>6</v>
      </c>
      <c r="H550" s="273">
        <v>1</v>
      </c>
      <c r="I550" s="283">
        <v>34</v>
      </c>
      <c r="J550" s="284" t="s">
        <v>5316</v>
      </c>
      <c r="K550" s="285" t="s">
        <v>5317</v>
      </c>
      <c r="L550" s="272" t="s">
        <v>4887</v>
      </c>
      <c r="M550" s="272">
        <v>1</v>
      </c>
      <c r="N550" s="272" t="b">
        <v>1</v>
      </c>
      <c r="O550" s="272">
        <v>64</v>
      </c>
      <c r="P550" s="281">
        <v>960</v>
      </c>
      <c r="Q550" s="281">
        <v>1280</v>
      </c>
      <c r="R550" s="272" t="s">
        <v>3383</v>
      </c>
      <c r="S550" s="272"/>
      <c r="T550" s="272">
        <v>1</v>
      </c>
      <c r="U550" s="272" t="s">
        <v>4880</v>
      </c>
      <c r="V550" s="273">
        <v>10</v>
      </c>
      <c r="W550" s="273"/>
      <c r="X550" s="272" t="s">
        <v>4881</v>
      </c>
      <c r="Y550" s="333" t="s">
        <v>5318</v>
      </c>
      <c r="Z550" s="334" t="s">
        <v>5319</v>
      </c>
      <c r="AA550" s="272" t="s">
        <v>4884</v>
      </c>
      <c r="AB550" s="272"/>
      <c r="AC550" s="289">
        <v>1</v>
      </c>
      <c r="AD550" s="289">
        <v>1</v>
      </c>
      <c r="AE550" s="289"/>
      <c r="AF550" s="272"/>
      <c r="AG550" s="272"/>
    </row>
    <row r="551" spans="1:33" s="258" customFormat="1" x14ac:dyDescent="0.15">
      <c r="A551" s="271">
        <v>95301030</v>
      </c>
      <c r="B551" s="272" t="s">
        <v>5322</v>
      </c>
      <c r="C551" s="272" t="s">
        <v>5307</v>
      </c>
      <c r="D551" s="272">
        <v>5081</v>
      </c>
      <c r="E551" s="272" t="s">
        <v>4876</v>
      </c>
      <c r="F551" s="272" t="s">
        <v>4877</v>
      </c>
      <c r="G551" s="269">
        <v>7</v>
      </c>
      <c r="H551" s="273">
        <v>0</v>
      </c>
      <c r="I551" s="283">
        <v>34</v>
      </c>
      <c r="J551" s="284" t="s">
        <v>5316</v>
      </c>
      <c r="K551" s="285" t="s">
        <v>5317</v>
      </c>
      <c r="L551" s="272" t="s">
        <v>4889</v>
      </c>
      <c r="M551" s="272">
        <v>1</v>
      </c>
      <c r="N551" s="272" t="b">
        <v>1</v>
      </c>
      <c r="O551" s="272">
        <v>77</v>
      </c>
      <c r="P551" s="281">
        <v>1155</v>
      </c>
      <c r="Q551" s="281">
        <v>1540</v>
      </c>
      <c r="R551" s="272" t="s">
        <v>3383</v>
      </c>
      <c r="S551" s="272"/>
      <c r="T551" s="272">
        <v>1</v>
      </c>
      <c r="U551" s="272" t="s">
        <v>4880</v>
      </c>
      <c r="V551" s="273">
        <v>10</v>
      </c>
      <c r="W551" s="273"/>
      <c r="X551" s="272" t="s">
        <v>4881</v>
      </c>
      <c r="Y551" s="333" t="s">
        <v>5318</v>
      </c>
      <c r="Z551" s="334" t="s">
        <v>5319</v>
      </c>
      <c r="AA551" s="272" t="s">
        <v>4884</v>
      </c>
      <c r="AB551" s="272"/>
      <c r="AC551" s="289">
        <v>1</v>
      </c>
      <c r="AD551" s="289">
        <v>1</v>
      </c>
      <c r="AE551" s="289"/>
      <c r="AF551" s="272"/>
      <c r="AG551" s="272"/>
    </row>
    <row r="552" spans="1:33" s="145" customFormat="1" x14ac:dyDescent="0.15">
      <c r="A552" s="267">
        <v>95301041</v>
      </c>
      <c r="B552" s="268" t="s">
        <v>5323</v>
      </c>
      <c r="C552" s="268" t="s">
        <v>5307</v>
      </c>
      <c r="D552" s="268">
        <v>6901</v>
      </c>
      <c r="E552" s="268" t="s">
        <v>4876</v>
      </c>
      <c r="F552" s="268" t="s">
        <v>4877</v>
      </c>
      <c r="G552" s="269">
        <v>1</v>
      </c>
      <c r="H552" s="269">
        <v>0</v>
      </c>
      <c r="I552" s="267">
        <v>34</v>
      </c>
      <c r="J552" s="282" t="s">
        <v>5324</v>
      </c>
      <c r="K552" s="279" t="s">
        <v>5325</v>
      </c>
      <c r="L552" s="279"/>
      <c r="M552" s="268">
        <v>1</v>
      </c>
      <c r="N552" s="268" t="b">
        <v>1</v>
      </c>
      <c r="O552" s="268">
        <v>2</v>
      </c>
      <c r="P552" s="281">
        <v>30</v>
      </c>
      <c r="Q552" s="281">
        <v>40</v>
      </c>
      <c r="R552" s="268" t="s">
        <v>3383</v>
      </c>
      <c r="S552" s="268"/>
      <c r="T552" s="268">
        <v>1</v>
      </c>
      <c r="U552" s="268" t="s">
        <v>4880</v>
      </c>
      <c r="V552" s="269">
        <v>1</v>
      </c>
      <c r="W552" s="269"/>
      <c r="X552" s="268" t="s">
        <v>4881</v>
      </c>
      <c r="Y552" s="331" t="s">
        <v>5326</v>
      </c>
      <c r="Z552" s="332" t="s">
        <v>5327</v>
      </c>
      <c r="AA552" s="268" t="s">
        <v>4884</v>
      </c>
      <c r="AB552" s="268"/>
      <c r="AC552" s="287">
        <v>1</v>
      </c>
      <c r="AD552" s="287">
        <v>1</v>
      </c>
      <c r="AE552" s="268"/>
      <c r="AF552" s="268"/>
      <c r="AG552" s="290"/>
    </row>
    <row r="553" spans="1:33" s="145" customFormat="1" x14ac:dyDescent="0.15">
      <c r="A553" s="267">
        <v>95301042</v>
      </c>
      <c r="B553" s="268" t="s">
        <v>5323</v>
      </c>
      <c r="C553" s="268" t="s">
        <v>5307</v>
      </c>
      <c r="D553" s="268">
        <v>6901</v>
      </c>
      <c r="E553" s="268" t="s">
        <v>4876</v>
      </c>
      <c r="F553" s="268" t="s">
        <v>4877</v>
      </c>
      <c r="G553" s="269">
        <v>2</v>
      </c>
      <c r="H553" s="269">
        <v>0</v>
      </c>
      <c r="I553" s="267">
        <v>34</v>
      </c>
      <c r="J553" s="282" t="s">
        <v>5324</v>
      </c>
      <c r="K553" s="279" t="s">
        <v>5325</v>
      </c>
      <c r="L553" s="279"/>
      <c r="M553" s="268">
        <v>1</v>
      </c>
      <c r="N553" s="268" t="b">
        <v>1</v>
      </c>
      <c r="O553" s="268">
        <v>5</v>
      </c>
      <c r="P553" s="281">
        <v>75</v>
      </c>
      <c r="Q553" s="281">
        <v>100</v>
      </c>
      <c r="R553" s="268" t="s">
        <v>3383</v>
      </c>
      <c r="S553" s="268"/>
      <c r="T553" s="268">
        <v>1</v>
      </c>
      <c r="U553" s="268" t="s">
        <v>4880</v>
      </c>
      <c r="V553" s="269">
        <v>2</v>
      </c>
      <c r="W553" s="269"/>
      <c r="X553" s="268" t="s">
        <v>4881</v>
      </c>
      <c r="Y553" s="331" t="s">
        <v>5326</v>
      </c>
      <c r="Z553" s="332" t="s">
        <v>5327</v>
      </c>
      <c r="AA553" s="268" t="s">
        <v>4884</v>
      </c>
      <c r="AB553" s="268"/>
      <c r="AC553" s="287">
        <v>1</v>
      </c>
      <c r="AD553" s="287">
        <v>1</v>
      </c>
      <c r="AE553" s="268"/>
      <c r="AF553" s="268"/>
      <c r="AG553" s="290"/>
    </row>
    <row r="554" spans="1:33" s="145" customFormat="1" x14ac:dyDescent="0.15">
      <c r="A554" s="267">
        <v>95301043</v>
      </c>
      <c r="B554" s="268" t="s">
        <v>5323</v>
      </c>
      <c r="C554" s="268" t="s">
        <v>5307</v>
      </c>
      <c r="D554" s="268">
        <v>6901</v>
      </c>
      <c r="E554" s="268" t="s">
        <v>4876</v>
      </c>
      <c r="F554" s="268" t="s">
        <v>4877</v>
      </c>
      <c r="G554" s="269">
        <v>3</v>
      </c>
      <c r="H554" s="269">
        <v>0</v>
      </c>
      <c r="I554" s="267">
        <v>34</v>
      </c>
      <c r="J554" s="282" t="s">
        <v>5324</v>
      </c>
      <c r="K554" s="279" t="s">
        <v>5325</v>
      </c>
      <c r="L554" s="279"/>
      <c r="M554" s="268">
        <v>1</v>
      </c>
      <c r="N554" s="268" t="b">
        <v>1</v>
      </c>
      <c r="O554" s="268">
        <v>7</v>
      </c>
      <c r="P554" s="281">
        <v>105</v>
      </c>
      <c r="Q554" s="281">
        <v>140</v>
      </c>
      <c r="R554" s="268" t="s">
        <v>3383</v>
      </c>
      <c r="S554" s="268"/>
      <c r="T554" s="268">
        <v>1</v>
      </c>
      <c r="U554" s="268" t="s">
        <v>4880</v>
      </c>
      <c r="V554" s="269">
        <v>3</v>
      </c>
      <c r="W554" s="269"/>
      <c r="X554" s="268" t="s">
        <v>4881</v>
      </c>
      <c r="Y554" s="331" t="s">
        <v>5326</v>
      </c>
      <c r="Z554" s="332" t="s">
        <v>5327</v>
      </c>
      <c r="AA554" s="268" t="s">
        <v>4884</v>
      </c>
      <c r="AB554" s="268"/>
      <c r="AC554" s="287">
        <v>1</v>
      </c>
      <c r="AD554" s="287">
        <v>1</v>
      </c>
      <c r="AE554" s="268"/>
      <c r="AF554" s="268"/>
      <c r="AG554" s="290"/>
    </row>
    <row r="555" spans="1:33" s="145" customFormat="1" x14ac:dyDescent="0.15">
      <c r="A555" s="267">
        <v>95301044</v>
      </c>
      <c r="B555" s="268" t="s">
        <v>5323</v>
      </c>
      <c r="C555" s="268" t="s">
        <v>5307</v>
      </c>
      <c r="D555" s="268">
        <v>6901</v>
      </c>
      <c r="E555" s="268" t="s">
        <v>4876</v>
      </c>
      <c r="F555" s="268" t="s">
        <v>4877</v>
      </c>
      <c r="G555" s="269">
        <v>4</v>
      </c>
      <c r="H555" s="269">
        <v>0</v>
      </c>
      <c r="I555" s="267">
        <v>34</v>
      </c>
      <c r="J555" s="282" t="s">
        <v>5324</v>
      </c>
      <c r="K555" s="279" t="s">
        <v>5325</v>
      </c>
      <c r="L555" s="279"/>
      <c r="M555" s="268">
        <v>1</v>
      </c>
      <c r="N555" s="268" t="b">
        <v>1</v>
      </c>
      <c r="O555" s="268">
        <v>10</v>
      </c>
      <c r="P555" s="281">
        <v>150</v>
      </c>
      <c r="Q555" s="281">
        <v>200</v>
      </c>
      <c r="R555" s="268" t="s">
        <v>3383</v>
      </c>
      <c r="S555" s="268"/>
      <c r="T555" s="268">
        <v>1</v>
      </c>
      <c r="U555" s="268" t="s">
        <v>4880</v>
      </c>
      <c r="V555" s="269">
        <v>4</v>
      </c>
      <c r="W555" s="269"/>
      <c r="X555" s="268" t="s">
        <v>4881</v>
      </c>
      <c r="Y555" s="331" t="s">
        <v>5326</v>
      </c>
      <c r="Z555" s="332" t="s">
        <v>5327</v>
      </c>
      <c r="AA555" s="268" t="s">
        <v>4884</v>
      </c>
      <c r="AB555" s="268"/>
      <c r="AC555" s="287">
        <v>1</v>
      </c>
      <c r="AD555" s="287">
        <v>1</v>
      </c>
      <c r="AE555" s="268"/>
      <c r="AF555" s="268"/>
      <c r="AG555" s="290"/>
    </row>
    <row r="556" spans="1:33" s="145" customFormat="1" x14ac:dyDescent="0.15">
      <c r="A556" s="267">
        <v>95301045</v>
      </c>
      <c r="B556" s="268" t="s">
        <v>5323</v>
      </c>
      <c r="C556" s="268" t="s">
        <v>5307</v>
      </c>
      <c r="D556" s="268">
        <v>6901</v>
      </c>
      <c r="E556" s="268" t="s">
        <v>4876</v>
      </c>
      <c r="F556" s="268" t="s">
        <v>4877</v>
      </c>
      <c r="G556" s="269">
        <v>5</v>
      </c>
      <c r="H556" s="269">
        <v>0</v>
      </c>
      <c r="I556" s="267">
        <v>34</v>
      </c>
      <c r="J556" s="282" t="s">
        <v>5324</v>
      </c>
      <c r="K556" s="279" t="s">
        <v>5325</v>
      </c>
      <c r="L556" s="279"/>
      <c r="M556" s="268">
        <v>1</v>
      </c>
      <c r="N556" s="268" t="b">
        <v>1</v>
      </c>
      <c r="O556" s="268">
        <v>12</v>
      </c>
      <c r="P556" s="281">
        <v>180</v>
      </c>
      <c r="Q556" s="281">
        <v>240</v>
      </c>
      <c r="R556" s="268" t="s">
        <v>3383</v>
      </c>
      <c r="S556" s="268"/>
      <c r="T556" s="268">
        <v>1</v>
      </c>
      <c r="U556" s="268" t="s">
        <v>4880</v>
      </c>
      <c r="V556" s="269">
        <v>5</v>
      </c>
      <c r="W556" s="269"/>
      <c r="X556" s="268" t="s">
        <v>4881</v>
      </c>
      <c r="Y556" s="331" t="s">
        <v>5326</v>
      </c>
      <c r="Z556" s="332" t="s">
        <v>5327</v>
      </c>
      <c r="AA556" s="268" t="s">
        <v>4884</v>
      </c>
      <c r="AB556" s="268"/>
      <c r="AC556" s="287">
        <v>1</v>
      </c>
      <c r="AD556" s="287">
        <v>1</v>
      </c>
      <c r="AE556" s="268"/>
      <c r="AF556" s="268"/>
      <c r="AG556" s="290"/>
    </row>
    <row r="557" spans="1:33" s="145" customFormat="1" x14ac:dyDescent="0.15">
      <c r="A557" s="270">
        <v>95301046</v>
      </c>
      <c r="B557" s="268" t="s">
        <v>5323</v>
      </c>
      <c r="C557" s="268" t="s">
        <v>5307</v>
      </c>
      <c r="D557" s="268">
        <v>6901</v>
      </c>
      <c r="E557" s="268" t="s">
        <v>4876</v>
      </c>
      <c r="F557" s="268" t="s">
        <v>4877</v>
      </c>
      <c r="G557" s="269">
        <v>6</v>
      </c>
      <c r="H557" s="269">
        <v>0</v>
      </c>
      <c r="I557" s="267">
        <v>34</v>
      </c>
      <c r="J557" s="282" t="s">
        <v>5324</v>
      </c>
      <c r="K557" s="279" t="s">
        <v>5325</v>
      </c>
      <c r="L557" s="279"/>
      <c r="M557" s="268">
        <v>1</v>
      </c>
      <c r="N557" s="268" t="b">
        <v>1</v>
      </c>
      <c r="O557" s="268">
        <v>25</v>
      </c>
      <c r="P557" s="281">
        <v>375</v>
      </c>
      <c r="Q557" s="281">
        <v>500</v>
      </c>
      <c r="R557" s="268" t="s">
        <v>3383</v>
      </c>
      <c r="S557" s="268"/>
      <c r="T557" s="268">
        <v>1</v>
      </c>
      <c r="U557" s="268" t="s">
        <v>4880</v>
      </c>
      <c r="V557" s="269">
        <v>6</v>
      </c>
      <c r="W557" s="269"/>
      <c r="X557" s="268" t="s">
        <v>4881</v>
      </c>
      <c r="Y557" s="331" t="s">
        <v>5326</v>
      </c>
      <c r="Z557" s="332" t="s">
        <v>5327</v>
      </c>
      <c r="AA557" s="268" t="s">
        <v>4884</v>
      </c>
      <c r="AB557" s="268"/>
      <c r="AC557" s="287">
        <v>1</v>
      </c>
      <c r="AD557" s="287">
        <v>1</v>
      </c>
      <c r="AE557" s="268"/>
      <c r="AF557" s="268"/>
      <c r="AG557" s="290"/>
    </row>
    <row r="558" spans="1:33" s="145" customFormat="1" x14ac:dyDescent="0.15">
      <c r="A558" s="270">
        <v>95301047</v>
      </c>
      <c r="B558" s="268" t="s">
        <v>5323</v>
      </c>
      <c r="C558" s="268" t="s">
        <v>5307</v>
      </c>
      <c r="D558" s="268">
        <v>6901</v>
      </c>
      <c r="E558" s="268" t="s">
        <v>4876</v>
      </c>
      <c r="F558" s="268" t="s">
        <v>4877</v>
      </c>
      <c r="G558" s="269">
        <v>7</v>
      </c>
      <c r="H558" s="269">
        <v>0</v>
      </c>
      <c r="I558" s="267">
        <v>34</v>
      </c>
      <c r="J558" s="282" t="s">
        <v>5324</v>
      </c>
      <c r="K558" s="279" t="s">
        <v>5325</v>
      </c>
      <c r="L558" s="279"/>
      <c r="M558" s="268">
        <v>1</v>
      </c>
      <c r="N558" s="268" t="b">
        <v>1</v>
      </c>
      <c r="O558" s="268">
        <v>38</v>
      </c>
      <c r="P558" s="281">
        <v>570</v>
      </c>
      <c r="Q558" s="281">
        <v>760</v>
      </c>
      <c r="R558" s="268" t="s">
        <v>3383</v>
      </c>
      <c r="S558" s="268"/>
      <c r="T558" s="268">
        <v>1</v>
      </c>
      <c r="U558" s="268" t="s">
        <v>4880</v>
      </c>
      <c r="V558" s="269">
        <v>7</v>
      </c>
      <c r="W558" s="269"/>
      <c r="X558" s="268" t="s">
        <v>4881</v>
      </c>
      <c r="Y558" s="331" t="s">
        <v>5326</v>
      </c>
      <c r="Z558" s="332" t="s">
        <v>5327</v>
      </c>
      <c r="AA558" s="268" t="s">
        <v>4884</v>
      </c>
      <c r="AB558" s="268"/>
      <c r="AC558" s="287">
        <v>1</v>
      </c>
      <c r="AD558" s="287">
        <v>1</v>
      </c>
      <c r="AE558" s="268"/>
      <c r="AF558" s="268"/>
      <c r="AG558" s="290"/>
    </row>
    <row r="559" spans="1:33" s="258" customFormat="1" x14ac:dyDescent="0.15">
      <c r="A559" s="271">
        <v>95301048</v>
      </c>
      <c r="B559" s="272" t="s">
        <v>5328</v>
      </c>
      <c r="C559" s="272" t="s">
        <v>5307</v>
      </c>
      <c r="D559" s="272">
        <v>5081</v>
      </c>
      <c r="E559" s="272" t="s">
        <v>4876</v>
      </c>
      <c r="F559" s="272" t="s">
        <v>4877</v>
      </c>
      <c r="G559" s="269">
        <v>6</v>
      </c>
      <c r="H559" s="273">
        <v>1</v>
      </c>
      <c r="I559" s="283">
        <v>34</v>
      </c>
      <c r="J559" s="284" t="s">
        <v>5324</v>
      </c>
      <c r="K559" s="285" t="s">
        <v>5325</v>
      </c>
      <c r="L559" s="272" t="s">
        <v>44</v>
      </c>
      <c r="M559" s="272">
        <v>1</v>
      </c>
      <c r="N559" s="272" t="b">
        <v>1</v>
      </c>
      <c r="O559" s="272">
        <v>51</v>
      </c>
      <c r="P559" s="281">
        <v>765</v>
      </c>
      <c r="Q559" s="281">
        <v>1020</v>
      </c>
      <c r="R559" s="272" t="s">
        <v>3383</v>
      </c>
      <c r="S559" s="272"/>
      <c r="T559" s="272">
        <v>1</v>
      </c>
      <c r="U559" s="272" t="s">
        <v>4880</v>
      </c>
      <c r="V559" s="273">
        <v>10</v>
      </c>
      <c r="W559" s="273"/>
      <c r="X559" s="272" t="s">
        <v>4881</v>
      </c>
      <c r="Y559" s="333" t="s">
        <v>5326</v>
      </c>
      <c r="Z559" s="334" t="s">
        <v>5327</v>
      </c>
      <c r="AA559" s="272" t="s">
        <v>4884</v>
      </c>
      <c r="AB559" s="272"/>
      <c r="AC559" s="289">
        <v>1</v>
      </c>
      <c r="AD559" s="289">
        <v>1</v>
      </c>
      <c r="AE559" s="289"/>
      <c r="AF559" s="272"/>
      <c r="AG559" s="272"/>
    </row>
    <row r="560" spans="1:33" s="258" customFormat="1" x14ac:dyDescent="0.15">
      <c r="A560" s="271">
        <v>95301049</v>
      </c>
      <c r="B560" s="272" t="s">
        <v>5329</v>
      </c>
      <c r="C560" s="272" t="s">
        <v>5307</v>
      </c>
      <c r="D560" s="272">
        <v>5081</v>
      </c>
      <c r="E560" s="272" t="s">
        <v>4876</v>
      </c>
      <c r="F560" s="272" t="s">
        <v>4877</v>
      </c>
      <c r="G560" s="269">
        <v>6</v>
      </c>
      <c r="H560" s="273">
        <v>1</v>
      </c>
      <c r="I560" s="283">
        <v>34</v>
      </c>
      <c r="J560" s="284" t="s">
        <v>5324</v>
      </c>
      <c r="K560" s="285" t="s">
        <v>5325</v>
      </c>
      <c r="L560" s="272" t="s">
        <v>4887</v>
      </c>
      <c r="M560" s="272">
        <v>1</v>
      </c>
      <c r="N560" s="272" t="b">
        <v>1</v>
      </c>
      <c r="O560" s="272">
        <v>64</v>
      </c>
      <c r="P560" s="281">
        <v>960</v>
      </c>
      <c r="Q560" s="281">
        <v>1280</v>
      </c>
      <c r="R560" s="272" t="s">
        <v>3383</v>
      </c>
      <c r="S560" s="272"/>
      <c r="T560" s="272">
        <v>1</v>
      </c>
      <c r="U560" s="272" t="s">
        <v>4880</v>
      </c>
      <c r="V560" s="273">
        <v>10</v>
      </c>
      <c r="W560" s="273"/>
      <c r="X560" s="272" t="s">
        <v>4881</v>
      </c>
      <c r="Y560" s="333" t="s">
        <v>5326</v>
      </c>
      <c r="Z560" s="334" t="s">
        <v>5327</v>
      </c>
      <c r="AA560" s="272" t="s">
        <v>4884</v>
      </c>
      <c r="AB560" s="272"/>
      <c r="AC560" s="289">
        <v>1</v>
      </c>
      <c r="AD560" s="289">
        <v>1</v>
      </c>
      <c r="AE560" s="289"/>
      <c r="AF560" s="272"/>
      <c r="AG560" s="272"/>
    </row>
    <row r="561" spans="1:33" s="258" customFormat="1" x14ac:dyDescent="0.15">
      <c r="A561" s="271">
        <v>95301050</v>
      </c>
      <c r="B561" s="272" t="s">
        <v>5330</v>
      </c>
      <c r="C561" s="272" t="s">
        <v>5307</v>
      </c>
      <c r="D561" s="272">
        <v>5081</v>
      </c>
      <c r="E561" s="272" t="s">
        <v>4876</v>
      </c>
      <c r="F561" s="272" t="s">
        <v>4877</v>
      </c>
      <c r="G561" s="269">
        <v>7</v>
      </c>
      <c r="H561" s="273">
        <v>0</v>
      </c>
      <c r="I561" s="283">
        <v>34</v>
      </c>
      <c r="J561" s="284" t="s">
        <v>5324</v>
      </c>
      <c r="K561" s="285" t="s">
        <v>5325</v>
      </c>
      <c r="L561" s="272" t="s">
        <v>4889</v>
      </c>
      <c r="M561" s="272">
        <v>1</v>
      </c>
      <c r="N561" s="272" t="b">
        <v>1</v>
      </c>
      <c r="O561" s="272">
        <v>77</v>
      </c>
      <c r="P561" s="281">
        <v>1155</v>
      </c>
      <c r="Q561" s="281">
        <v>1540</v>
      </c>
      <c r="R561" s="272" t="s">
        <v>3383</v>
      </c>
      <c r="S561" s="272"/>
      <c r="T561" s="272">
        <v>1</v>
      </c>
      <c r="U561" s="272" t="s">
        <v>4880</v>
      </c>
      <c r="V561" s="273">
        <v>10</v>
      </c>
      <c r="W561" s="273"/>
      <c r="X561" s="272" t="s">
        <v>4881</v>
      </c>
      <c r="Y561" s="333" t="s">
        <v>5326</v>
      </c>
      <c r="Z561" s="334" t="s">
        <v>5327</v>
      </c>
      <c r="AA561" s="272" t="s">
        <v>4884</v>
      </c>
      <c r="AB561" s="272"/>
      <c r="AC561" s="289">
        <v>1</v>
      </c>
      <c r="AD561" s="289">
        <v>1</v>
      </c>
      <c r="AE561" s="289"/>
      <c r="AF561" s="272"/>
      <c r="AG561" s="272"/>
    </row>
    <row r="562" spans="1:33" s="145" customFormat="1" x14ac:dyDescent="0.15">
      <c r="A562" s="267">
        <v>95301051</v>
      </c>
      <c r="B562" s="268" t="s">
        <v>5331</v>
      </c>
      <c r="C562" s="268" t="s">
        <v>5307</v>
      </c>
      <c r="D562" s="268">
        <v>6901</v>
      </c>
      <c r="E562" s="268" t="s">
        <v>4876</v>
      </c>
      <c r="F562" s="268" t="s">
        <v>4877</v>
      </c>
      <c r="G562" s="269">
        <v>1</v>
      </c>
      <c r="H562" s="269">
        <v>0</v>
      </c>
      <c r="I562" s="267">
        <v>34</v>
      </c>
      <c r="J562" s="282" t="s">
        <v>5332</v>
      </c>
      <c r="K562" s="279" t="s">
        <v>5333</v>
      </c>
      <c r="L562" s="279"/>
      <c r="M562" s="268">
        <v>1</v>
      </c>
      <c r="N562" s="268" t="b">
        <v>1</v>
      </c>
      <c r="O562" s="268">
        <v>2</v>
      </c>
      <c r="P562" s="281">
        <v>30</v>
      </c>
      <c r="Q562" s="281">
        <v>40</v>
      </c>
      <c r="R562" s="268" t="s">
        <v>3383</v>
      </c>
      <c r="S562" s="268"/>
      <c r="T562" s="268">
        <v>1</v>
      </c>
      <c r="U562" s="268" t="s">
        <v>4880</v>
      </c>
      <c r="V562" s="269">
        <v>1</v>
      </c>
      <c r="W562" s="269"/>
      <c r="X562" s="268" t="s">
        <v>4881</v>
      </c>
      <c r="Y562" s="331" t="s">
        <v>5334</v>
      </c>
      <c r="Z562" s="332" t="s">
        <v>5335</v>
      </c>
      <c r="AA562" s="268" t="s">
        <v>4884</v>
      </c>
      <c r="AB562" s="268"/>
      <c r="AC562" s="287">
        <v>1</v>
      </c>
      <c r="AD562" s="287">
        <v>1</v>
      </c>
      <c r="AE562" s="268"/>
      <c r="AF562" s="268"/>
      <c r="AG562" s="290"/>
    </row>
    <row r="563" spans="1:33" s="145" customFormat="1" x14ac:dyDescent="0.15">
      <c r="A563" s="267">
        <v>95301052</v>
      </c>
      <c r="B563" s="268" t="s">
        <v>5331</v>
      </c>
      <c r="C563" s="268" t="s">
        <v>5307</v>
      </c>
      <c r="D563" s="268">
        <v>6901</v>
      </c>
      <c r="E563" s="268" t="s">
        <v>4876</v>
      </c>
      <c r="F563" s="268" t="s">
        <v>4877</v>
      </c>
      <c r="G563" s="269">
        <v>2</v>
      </c>
      <c r="H563" s="269">
        <v>0</v>
      </c>
      <c r="I563" s="267">
        <v>34</v>
      </c>
      <c r="J563" s="282" t="s">
        <v>5332</v>
      </c>
      <c r="K563" s="279" t="s">
        <v>5333</v>
      </c>
      <c r="L563" s="279"/>
      <c r="M563" s="268">
        <v>1</v>
      </c>
      <c r="N563" s="268" t="b">
        <v>1</v>
      </c>
      <c r="O563" s="268">
        <v>5</v>
      </c>
      <c r="P563" s="281">
        <v>75</v>
      </c>
      <c r="Q563" s="281">
        <v>100</v>
      </c>
      <c r="R563" s="268" t="s">
        <v>3383</v>
      </c>
      <c r="S563" s="268"/>
      <c r="T563" s="268">
        <v>1</v>
      </c>
      <c r="U563" s="268" t="s">
        <v>4880</v>
      </c>
      <c r="V563" s="269">
        <v>2</v>
      </c>
      <c r="W563" s="269"/>
      <c r="X563" s="268" t="s">
        <v>4881</v>
      </c>
      <c r="Y563" s="331" t="s">
        <v>5334</v>
      </c>
      <c r="Z563" s="332" t="s">
        <v>5335</v>
      </c>
      <c r="AA563" s="268" t="s">
        <v>4884</v>
      </c>
      <c r="AB563" s="268"/>
      <c r="AC563" s="287">
        <v>1</v>
      </c>
      <c r="AD563" s="287">
        <v>1</v>
      </c>
      <c r="AE563" s="268"/>
      <c r="AF563" s="268"/>
      <c r="AG563" s="290"/>
    </row>
    <row r="564" spans="1:33" s="145" customFormat="1" x14ac:dyDescent="0.15">
      <c r="A564" s="267">
        <v>95301053</v>
      </c>
      <c r="B564" s="268" t="s">
        <v>5331</v>
      </c>
      <c r="C564" s="268" t="s">
        <v>5307</v>
      </c>
      <c r="D564" s="268">
        <v>6901</v>
      </c>
      <c r="E564" s="268" t="s">
        <v>4876</v>
      </c>
      <c r="F564" s="268" t="s">
        <v>4877</v>
      </c>
      <c r="G564" s="269">
        <v>3</v>
      </c>
      <c r="H564" s="269">
        <v>0</v>
      </c>
      <c r="I564" s="267">
        <v>34</v>
      </c>
      <c r="J564" s="282" t="s">
        <v>5332</v>
      </c>
      <c r="K564" s="279" t="s">
        <v>5333</v>
      </c>
      <c r="L564" s="279"/>
      <c r="M564" s="268">
        <v>1</v>
      </c>
      <c r="N564" s="268" t="b">
        <v>1</v>
      </c>
      <c r="O564" s="268">
        <v>7</v>
      </c>
      <c r="P564" s="281">
        <v>105</v>
      </c>
      <c r="Q564" s="281">
        <v>140</v>
      </c>
      <c r="R564" s="268" t="s">
        <v>3383</v>
      </c>
      <c r="S564" s="268"/>
      <c r="T564" s="268">
        <v>1</v>
      </c>
      <c r="U564" s="268" t="s">
        <v>4880</v>
      </c>
      <c r="V564" s="269">
        <v>3</v>
      </c>
      <c r="W564" s="269"/>
      <c r="X564" s="268" t="s">
        <v>4881</v>
      </c>
      <c r="Y564" s="331" t="s">
        <v>5334</v>
      </c>
      <c r="Z564" s="332" t="s">
        <v>5335</v>
      </c>
      <c r="AA564" s="268" t="s">
        <v>4884</v>
      </c>
      <c r="AB564" s="268"/>
      <c r="AC564" s="287">
        <v>1</v>
      </c>
      <c r="AD564" s="287">
        <v>1</v>
      </c>
      <c r="AE564" s="268"/>
      <c r="AF564" s="268"/>
      <c r="AG564" s="290"/>
    </row>
    <row r="565" spans="1:33" s="145" customFormat="1" x14ac:dyDescent="0.15">
      <c r="A565" s="267">
        <v>95301054</v>
      </c>
      <c r="B565" s="268" t="s">
        <v>5331</v>
      </c>
      <c r="C565" s="268" t="s">
        <v>5307</v>
      </c>
      <c r="D565" s="268">
        <v>6901</v>
      </c>
      <c r="E565" s="268" t="s">
        <v>4876</v>
      </c>
      <c r="F565" s="268" t="s">
        <v>4877</v>
      </c>
      <c r="G565" s="269">
        <v>4</v>
      </c>
      <c r="H565" s="269">
        <v>0</v>
      </c>
      <c r="I565" s="267">
        <v>34</v>
      </c>
      <c r="J565" s="282" t="s">
        <v>5332</v>
      </c>
      <c r="K565" s="279" t="s">
        <v>5333</v>
      </c>
      <c r="L565" s="279"/>
      <c r="M565" s="268">
        <v>1</v>
      </c>
      <c r="N565" s="268" t="b">
        <v>1</v>
      </c>
      <c r="O565" s="268">
        <v>10</v>
      </c>
      <c r="P565" s="281">
        <v>150</v>
      </c>
      <c r="Q565" s="281">
        <v>200</v>
      </c>
      <c r="R565" s="268" t="s">
        <v>3383</v>
      </c>
      <c r="S565" s="268"/>
      <c r="T565" s="268">
        <v>1</v>
      </c>
      <c r="U565" s="268" t="s">
        <v>4880</v>
      </c>
      <c r="V565" s="269">
        <v>4</v>
      </c>
      <c r="W565" s="269"/>
      <c r="X565" s="268" t="s">
        <v>4881</v>
      </c>
      <c r="Y565" s="331" t="s">
        <v>5334</v>
      </c>
      <c r="Z565" s="332" t="s">
        <v>5335</v>
      </c>
      <c r="AA565" s="268" t="s">
        <v>4884</v>
      </c>
      <c r="AB565" s="268"/>
      <c r="AC565" s="287">
        <v>1</v>
      </c>
      <c r="AD565" s="287">
        <v>1</v>
      </c>
      <c r="AE565" s="268"/>
      <c r="AF565" s="268"/>
      <c r="AG565" s="290"/>
    </row>
    <row r="566" spans="1:33" s="145" customFormat="1" x14ac:dyDescent="0.15">
      <c r="A566" s="267">
        <v>95301055</v>
      </c>
      <c r="B566" s="268" t="s">
        <v>5331</v>
      </c>
      <c r="C566" s="268" t="s">
        <v>5307</v>
      </c>
      <c r="D566" s="268">
        <v>6901</v>
      </c>
      <c r="E566" s="268" t="s">
        <v>4876</v>
      </c>
      <c r="F566" s="268" t="s">
        <v>4877</v>
      </c>
      <c r="G566" s="269">
        <v>5</v>
      </c>
      <c r="H566" s="269">
        <v>0</v>
      </c>
      <c r="I566" s="267">
        <v>34</v>
      </c>
      <c r="J566" s="282" t="s">
        <v>5332</v>
      </c>
      <c r="K566" s="279" t="s">
        <v>5333</v>
      </c>
      <c r="L566" s="279"/>
      <c r="M566" s="268">
        <v>1</v>
      </c>
      <c r="N566" s="268" t="b">
        <v>1</v>
      </c>
      <c r="O566" s="268">
        <v>12</v>
      </c>
      <c r="P566" s="281">
        <v>180</v>
      </c>
      <c r="Q566" s="281">
        <v>240</v>
      </c>
      <c r="R566" s="268" t="s">
        <v>3383</v>
      </c>
      <c r="S566" s="268"/>
      <c r="T566" s="268">
        <v>1</v>
      </c>
      <c r="U566" s="268" t="s">
        <v>4880</v>
      </c>
      <c r="V566" s="269">
        <v>5</v>
      </c>
      <c r="W566" s="269"/>
      <c r="X566" s="268" t="s">
        <v>4881</v>
      </c>
      <c r="Y566" s="331" t="s">
        <v>5334</v>
      </c>
      <c r="Z566" s="332" t="s">
        <v>5335</v>
      </c>
      <c r="AA566" s="268" t="s">
        <v>4884</v>
      </c>
      <c r="AB566" s="268"/>
      <c r="AC566" s="287">
        <v>1</v>
      </c>
      <c r="AD566" s="287">
        <v>1</v>
      </c>
      <c r="AE566" s="268"/>
      <c r="AF566" s="268"/>
      <c r="AG566" s="290"/>
    </row>
    <row r="567" spans="1:33" s="145" customFormat="1" x14ac:dyDescent="0.15">
      <c r="A567" s="270">
        <v>95301056</v>
      </c>
      <c r="B567" s="268" t="s">
        <v>5331</v>
      </c>
      <c r="C567" s="268" t="s">
        <v>5307</v>
      </c>
      <c r="D567" s="268">
        <v>6901</v>
      </c>
      <c r="E567" s="268" t="s">
        <v>4876</v>
      </c>
      <c r="F567" s="268" t="s">
        <v>4877</v>
      </c>
      <c r="G567" s="269">
        <v>6</v>
      </c>
      <c r="H567" s="269">
        <v>0</v>
      </c>
      <c r="I567" s="267">
        <v>34</v>
      </c>
      <c r="J567" s="282" t="s">
        <v>5332</v>
      </c>
      <c r="K567" s="279" t="s">
        <v>5333</v>
      </c>
      <c r="L567" s="279"/>
      <c r="M567" s="268">
        <v>1</v>
      </c>
      <c r="N567" s="268" t="b">
        <v>1</v>
      </c>
      <c r="O567" s="268">
        <v>25</v>
      </c>
      <c r="P567" s="281">
        <v>375</v>
      </c>
      <c r="Q567" s="281">
        <v>500</v>
      </c>
      <c r="R567" s="268" t="s">
        <v>3383</v>
      </c>
      <c r="S567" s="268"/>
      <c r="T567" s="268">
        <v>1</v>
      </c>
      <c r="U567" s="268" t="s">
        <v>4880</v>
      </c>
      <c r="V567" s="269">
        <v>6</v>
      </c>
      <c r="W567" s="269"/>
      <c r="X567" s="268" t="s">
        <v>4881</v>
      </c>
      <c r="Y567" s="331" t="s">
        <v>5334</v>
      </c>
      <c r="Z567" s="332" t="s">
        <v>5335</v>
      </c>
      <c r="AA567" s="268" t="s">
        <v>4884</v>
      </c>
      <c r="AB567" s="268"/>
      <c r="AC567" s="287">
        <v>1</v>
      </c>
      <c r="AD567" s="287">
        <v>1</v>
      </c>
      <c r="AE567" s="268"/>
      <c r="AF567" s="268"/>
      <c r="AG567" s="290"/>
    </row>
    <row r="568" spans="1:33" s="145" customFormat="1" x14ac:dyDescent="0.15">
      <c r="A568" s="270">
        <v>95301057</v>
      </c>
      <c r="B568" s="268" t="s">
        <v>5331</v>
      </c>
      <c r="C568" s="268" t="s">
        <v>5307</v>
      </c>
      <c r="D568" s="268">
        <v>6901</v>
      </c>
      <c r="E568" s="268" t="s">
        <v>4876</v>
      </c>
      <c r="F568" s="268" t="s">
        <v>4877</v>
      </c>
      <c r="G568" s="269">
        <v>7</v>
      </c>
      <c r="H568" s="269">
        <v>0</v>
      </c>
      <c r="I568" s="267">
        <v>34</v>
      </c>
      <c r="J568" s="282" t="s">
        <v>5332</v>
      </c>
      <c r="K568" s="279" t="s">
        <v>5333</v>
      </c>
      <c r="L568" s="279"/>
      <c r="M568" s="268">
        <v>1</v>
      </c>
      <c r="N568" s="268" t="b">
        <v>1</v>
      </c>
      <c r="O568" s="268">
        <v>38</v>
      </c>
      <c r="P568" s="281">
        <v>570</v>
      </c>
      <c r="Q568" s="281">
        <v>760</v>
      </c>
      <c r="R568" s="268" t="s">
        <v>3383</v>
      </c>
      <c r="S568" s="268"/>
      <c r="T568" s="268">
        <v>1</v>
      </c>
      <c r="U568" s="268" t="s">
        <v>4880</v>
      </c>
      <c r="V568" s="269">
        <v>7</v>
      </c>
      <c r="W568" s="269"/>
      <c r="X568" s="268" t="s">
        <v>4881</v>
      </c>
      <c r="Y568" s="331" t="s">
        <v>5334</v>
      </c>
      <c r="Z568" s="332" t="s">
        <v>5335</v>
      </c>
      <c r="AA568" s="268" t="s">
        <v>4884</v>
      </c>
      <c r="AB568" s="268"/>
      <c r="AC568" s="287">
        <v>1</v>
      </c>
      <c r="AD568" s="287">
        <v>1</v>
      </c>
      <c r="AE568" s="268"/>
      <c r="AF568" s="268"/>
      <c r="AG568" s="290"/>
    </row>
    <row r="569" spans="1:33" s="258" customFormat="1" x14ac:dyDescent="0.15">
      <c r="A569" s="271">
        <v>95301058</v>
      </c>
      <c r="B569" s="272" t="s">
        <v>5336</v>
      </c>
      <c r="C569" s="272" t="s">
        <v>5307</v>
      </c>
      <c r="D569" s="272">
        <v>5081</v>
      </c>
      <c r="E569" s="272" t="s">
        <v>4876</v>
      </c>
      <c r="F569" s="272" t="s">
        <v>4877</v>
      </c>
      <c r="G569" s="269">
        <v>6</v>
      </c>
      <c r="H569" s="273">
        <v>1</v>
      </c>
      <c r="I569" s="283">
        <v>34</v>
      </c>
      <c r="J569" s="284" t="s">
        <v>5332</v>
      </c>
      <c r="K569" s="285" t="s">
        <v>5333</v>
      </c>
      <c r="L569" s="272" t="s">
        <v>44</v>
      </c>
      <c r="M569" s="272">
        <v>1</v>
      </c>
      <c r="N569" s="272" t="b">
        <v>1</v>
      </c>
      <c r="O569" s="272">
        <v>51</v>
      </c>
      <c r="P569" s="281">
        <v>765</v>
      </c>
      <c r="Q569" s="281">
        <v>1020</v>
      </c>
      <c r="R569" s="272" t="s">
        <v>3383</v>
      </c>
      <c r="S569" s="272"/>
      <c r="T569" s="272">
        <v>1</v>
      </c>
      <c r="U569" s="272" t="s">
        <v>4880</v>
      </c>
      <c r="V569" s="273">
        <v>10</v>
      </c>
      <c r="W569" s="273"/>
      <c r="X569" s="272" t="s">
        <v>4881</v>
      </c>
      <c r="Y569" s="333" t="s">
        <v>5334</v>
      </c>
      <c r="Z569" s="334" t="s">
        <v>5335</v>
      </c>
      <c r="AA569" s="272" t="s">
        <v>4884</v>
      </c>
      <c r="AB569" s="272"/>
      <c r="AC569" s="289">
        <v>1</v>
      </c>
      <c r="AD569" s="289">
        <v>1</v>
      </c>
      <c r="AE569" s="289"/>
      <c r="AF569" s="272"/>
      <c r="AG569" s="272"/>
    </row>
    <row r="570" spans="1:33" s="258" customFormat="1" x14ac:dyDescent="0.15">
      <c r="A570" s="271">
        <v>95301059</v>
      </c>
      <c r="B570" s="272" t="s">
        <v>5337</v>
      </c>
      <c r="C570" s="272" t="s">
        <v>5307</v>
      </c>
      <c r="D570" s="272">
        <v>5081</v>
      </c>
      <c r="E570" s="272" t="s">
        <v>4876</v>
      </c>
      <c r="F570" s="272" t="s">
        <v>4877</v>
      </c>
      <c r="G570" s="269">
        <v>6</v>
      </c>
      <c r="H570" s="273">
        <v>1</v>
      </c>
      <c r="I570" s="283">
        <v>34</v>
      </c>
      <c r="J570" s="284" t="s">
        <v>5332</v>
      </c>
      <c r="K570" s="285" t="s">
        <v>5333</v>
      </c>
      <c r="L570" s="272" t="s">
        <v>4887</v>
      </c>
      <c r="M570" s="272">
        <v>1</v>
      </c>
      <c r="N570" s="272" t="b">
        <v>1</v>
      </c>
      <c r="O570" s="272">
        <v>64</v>
      </c>
      <c r="P570" s="281">
        <v>960</v>
      </c>
      <c r="Q570" s="281">
        <v>1280</v>
      </c>
      <c r="R570" s="272" t="s">
        <v>3383</v>
      </c>
      <c r="S570" s="272"/>
      <c r="T570" s="272">
        <v>1</v>
      </c>
      <c r="U570" s="272" t="s">
        <v>4880</v>
      </c>
      <c r="V570" s="273">
        <v>10</v>
      </c>
      <c r="W570" s="273"/>
      <c r="X570" s="272" t="s">
        <v>4881</v>
      </c>
      <c r="Y570" s="333" t="s">
        <v>5334</v>
      </c>
      <c r="Z570" s="334" t="s">
        <v>5335</v>
      </c>
      <c r="AA570" s="272" t="s">
        <v>4884</v>
      </c>
      <c r="AB570" s="272"/>
      <c r="AC570" s="289">
        <v>1</v>
      </c>
      <c r="AD570" s="289">
        <v>1</v>
      </c>
      <c r="AE570" s="289"/>
      <c r="AF570" s="272"/>
      <c r="AG570" s="272"/>
    </row>
    <row r="571" spans="1:33" s="258" customFormat="1" x14ac:dyDescent="0.15">
      <c r="A571" s="271">
        <v>95301060</v>
      </c>
      <c r="B571" s="272" t="s">
        <v>5338</v>
      </c>
      <c r="C571" s="272" t="s">
        <v>5307</v>
      </c>
      <c r="D571" s="272">
        <v>5081</v>
      </c>
      <c r="E571" s="272" t="s">
        <v>4876</v>
      </c>
      <c r="F571" s="272" t="s">
        <v>4877</v>
      </c>
      <c r="G571" s="269">
        <v>7</v>
      </c>
      <c r="H571" s="273">
        <v>0</v>
      </c>
      <c r="I571" s="283">
        <v>34</v>
      </c>
      <c r="J571" s="284" t="s">
        <v>5332</v>
      </c>
      <c r="K571" s="285" t="s">
        <v>5333</v>
      </c>
      <c r="L571" s="272" t="s">
        <v>4889</v>
      </c>
      <c r="M571" s="272">
        <v>1</v>
      </c>
      <c r="N571" s="272" t="b">
        <v>1</v>
      </c>
      <c r="O571" s="272">
        <v>77</v>
      </c>
      <c r="P571" s="281">
        <v>1155</v>
      </c>
      <c r="Q571" s="281">
        <v>1540</v>
      </c>
      <c r="R571" s="272" t="s">
        <v>3383</v>
      </c>
      <c r="S571" s="272"/>
      <c r="T571" s="272">
        <v>1</v>
      </c>
      <c r="U571" s="272" t="s">
        <v>4880</v>
      </c>
      <c r="V571" s="273">
        <v>10</v>
      </c>
      <c r="W571" s="273"/>
      <c r="X571" s="272" t="s">
        <v>4881</v>
      </c>
      <c r="Y571" s="333" t="s">
        <v>5334</v>
      </c>
      <c r="Z571" s="334" t="s">
        <v>5335</v>
      </c>
      <c r="AA571" s="272" t="s">
        <v>4884</v>
      </c>
      <c r="AB571" s="272"/>
      <c r="AC571" s="289">
        <v>1</v>
      </c>
      <c r="AD571" s="289">
        <v>1</v>
      </c>
      <c r="AE571" s="289"/>
      <c r="AF571" s="272"/>
      <c r="AG571" s="272"/>
    </row>
    <row r="572" spans="1:33" s="145" customFormat="1" x14ac:dyDescent="0.15">
      <c r="A572" s="267">
        <v>95301061</v>
      </c>
      <c r="B572" s="268" t="s">
        <v>5339</v>
      </c>
      <c r="C572" s="268" t="s">
        <v>5307</v>
      </c>
      <c r="D572" s="268">
        <v>6906</v>
      </c>
      <c r="E572" s="268" t="s">
        <v>4876</v>
      </c>
      <c r="F572" s="268" t="s">
        <v>4877</v>
      </c>
      <c r="G572" s="269">
        <v>1</v>
      </c>
      <c r="H572" s="269">
        <v>0</v>
      </c>
      <c r="I572" s="267">
        <v>34</v>
      </c>
      <c r="J572" s="282" t="s">
        <v>5340</v>
      </c>
      <c r="K572" s="279" t="s">
        <v>5341</v>
      </c>
      <c r="L572" s="279"/>
      <c r="M572" s="268">
        <v>1</v>
      </c>
      <c r="N572" s="268" t="b">
        <v>1</v>
      </c>
      <c r="O572" s="268">
        <v>2</v>
      </c>
      <c r="P572" s="281">
        <v>30</v>
      </c>
      <c r="Q572" s="281">
        <v>40</v>
      </c>
      <c r="R572" s="268" t="s">
        <v>3383</v>
      </c>
      <c r="S572" s="268"/>
      <c r="T572" s="268">
        <v>1</v>
      </c>
      <c r="U572" s="268" t="s">
        <v>4880</v>
      </c>
      <c r="V572" s="269">
        <v>1</v>
      </c>
      <c r="W572" s="269"/>
      <c r="X572" s="268" t="s">
        <v>4881</v>
      </c>
      <c r="Y572" s="331" t="s">
        <v>5342</v>
      </c>
      <c r="Z572" s="332" t="s">
        <v>5343</v>
      </c>
      <c r="AA572" s="268" t="s">
        <v>4884</v>
      </c>
      <c r="AB572" s="268"/>
      <c r="AC572" s="287">
        <v>1</v>
      </c>
      <c r="AD572" s="287">
        <v>1</v>
      </c>
      <c r="AE572" s="268"/>
      <c r="AF572" s="268"/>
      <c r="AG572" s="290"/>
    </row>
    <row r="573" spans="1:33" s="145" customFormat="1" x14ac:dyDescent="0.15">
      <c r="A573" s="267">
        <v>95301062</v>
      </c>
      <c r="B573" s="268" t="s">
        <v>5339</v>
      </c>
      <c r="C573" s="268" t="s">
        <v>5307</v>
      </c>
      <c r="D573" s="268">
        <v>6906</v>
      </c>
      <c r="E573" s="268" t="s">
        <v>4876</v>
      </c>
      <c r="F573" s="268" t="s">
        <v>4877</v>
      </c>
      <c r="G573" s="269">
        <v>2</v>
      </c>
      <c r="H573" s="269">
        <v>0</v>
      </c>
      <c r="I573" s="267">
        <v>34</v>
      </c>
      <c r="J573" s="282" t="s">
        <v>5340</v>
      </c>
      <c r="K573" s="279" t="s">
        <v>5341</v>
      </c>
      <c r="L573" s="279"/>
      <c r="M573" s="268">
        <v>1</v>
      </c>
      <c r="N573" s="268" t="b">
        <v>1</v>
      </c>
      <c r="O573" s="268">
        <v>5</v>
      </c>
      <c r="P573" s="281">
        <v>75</v>
      </c>
      <c r="Q573" s="281">
        <v>100</v>
      </c>
      <c r="R573" s="268" t="s">
        <v>3383</v>
      </c>
      <c r="S573" s="268"/>
      <c r="T573" s="268">
        <v>1</v>
      </c>
      <c r="U573" s="268" t="s">
        <v>4880</v>
      </c>
      <c r="V573" s="269">
        <v>2</v>
      </c>
      <c r="W573" s="269"/>
      <c r="X573" s="268" t="s">
        <v>4881</v>
      </c>
      <c r="Y573" s="331" t="s">
        <v>5342</v>
      </c>
      <c r="Z573" s="332" t="s">
        <v>5343</v>
      </c>
      <c r="AA573" s="268" t="s">
        <v>4884</v>
      </c>
      <c r="AB573" s="268"/>
      <c r="AC573" s="287">
        <v>1</v>
      </c>
      <c r="AD573" s="287">
        <v>1</v>
      </c>
      <c r="AE573" s="268"/>
      <c r="AF573" s="268"/>
      <c r="AG573" s="290"/>
    </row>
    <row r="574" spans="1:33" s="145" customFormat="1" x14ac:dyDescent="0.15">
      <c r="A574" s="267">
        <v>95301063</v>
      </c>
      <c r="B574" s="268" t="s">
        <v>5339</v>
      </c>
      <c r="C574" s="268" t="s">
        <v>5307</v>
      </c>
      <c r="D574" s="268">
        <v>6906</v>
      </c>
      <c r="E574" s="268" t="s">
        <v>4876</v>
      </c>
      <c r="F574" s="268" t="s">
        <v>4877</v>
      </c>
      <c r="G574" s="269">
        <v>3</v>
      </c>
      <c r="H574" s="269">
        <v>0</v>
      </c>
      <c r="I574" s="267">
        <v>34</v>
      </c>
      <c r="J574" s="282" t="s">
        <v>5340</v>
      </c>
      <c r="K574" s="279" t="s">
        <v>5341</v>
      </c>
      <c r="L574" s="279"/>
      <c r="M574" s="268">
        <v>1</v>
      </c>
      <c r="N574" s="268" t="b">
        <v>1</v>
      </c>
      <c r="O574" s="268">
        <v>7</v>
      </c>
      <c r="P574" s="281">
        <v>105</v>
      </c>
      <c r="Q574" s="281">
        <v>140</v>
      </c>
      <c r="R574" s="268" t="s">
        <v>3383</v>
      </c>
      <c r="S574" s="268"/>
      <c r="T574" s="268">
        <v>1</v>
      </c>
      <c r="U574" s="268" t="s">
        <v>4880</v>
      </c>
      <c r="V574" s="269">
        <v>3</v>
      </c>
      <c r="W574" s="269"/>
      <c r="X574" s="268" t="s">
        <v>4881</v>
      </c>
      <c r="Y574" s="331" t="s">
        <v>5342</v>
      </c>
      <c r="Z574" s="332" t="s">
        <v>5343</v>
      </c>
      <c r="AA574" s="268" t="s">
        <v>4884</v>
      </c>
      <c r="AB574" s="268"/>
      <c r="AC574" s="287">
        <v>1</v>
      </c>
      <c r="AD574" s="287">
        <v>1</v>
      </c>
      <c r="AE574" s="268"/>
      <c r="AF574" s="268"/>
      <c r="AG574" s="290"/>
    </row>
    <row r="575" spans="1:33" s="145" customFormat="1" x14ac:dyDescent="0.15">
      <c r="A575" s="267">
        <v>95301064</v>
      </c>
      <c r="B575" s="268" t="s">
        <v>5339</v>
      </c>
      <c r="C575" s="268" t="s">
        <v>5307</v>
      </c>
      <c r="D575" s="268">
        <v>6906</v>
      </c>
      <c r="E575" s="268" t="s">
        <v>4876</v>
      </c>
      <c r="F575" s="268" t="s">
        <v>4877</v>
      </c>
      <c r="G575" s="269">
        <v>4</v>
      </c>
      <c r="H575" s="269">
        <v>0</v>
      </c>
      <c r="I575" s="267">
        <v>34</v>
      </c>
      <c r="J575" s="282" t="s">
        <v>5340</v>
      </c>
      <c r="K575" s="279" t="s">
        <v>5341</v>
      </c>
      <c r="L575" s="279"/>
      <c r="M575" s="268">
        <v>1</v>
      </c>
      <c r="N575" s="268" t="b">
        <v>1</v>
      </c>
      <c r="O575" s="268">
        <v>10</v>
      </c>
      <c r="P575" s="281">
        <v>150</v>
      </c>
      <c r="Q575" s="281">
        <v>200</v>
      </c>
      <c r="R575" s="268" t="s">
        <v>3383</v>
      </c>
      <c r="S575" s="268"/>
      <c r="T575" s="268">
        <v>1</v>
      </c>
      <c r="U575" s="268" t="s">
        <v>4880</v>
      </c>
      <c r="V575" s="269">
        <v>4</v>
      </c>
      <c r="W575" s="269"/>
      <c r="X575" s="268" t="s">
        <v>4881</v>
      </c>
      <c r="Y575" s="331" t="s">
        <v>5342</v>
      </c>
      <c r="Z575" s="332" t="s">
        <v>5343</v>
      </c>
      <c r="AA575" s="268" t="s">
        <v>4884</v>
      </c>
      <c r="AB575" s="268"/>
      <c r="AC575" s="287">
        <v>1</v>
      </c>
      <c r="AD575" s="287">
        <v>1</v>
      </c>
      <c r="AE575" s="268"/>
      <c r="AF575" s="268"/>
      <c r="AG575" s="290"/>
    </row>
    <row r="576" spans="1:33" s="145" customFormat="1" x14ac:dyDescent="0.15">
      <c r="A576" s="267">
        <v>95301065</v>
      </c>
      <c r="B576" s="268" t="s">
        <v>5339</v>
      </c>
      <c r="C576" s="268" t="s">
        <v>5307</v>
      </c>
      <c r="D576" s="268">
        <v>6906</v>
      </c>
      <c r="E576" s="268" t="s">
        <v>4876</v>
      </c>
      <c r="F576" s="268" t="s">
        <v>4877</v>
      </c>
      <c r="G576" s="269">
        <v>5</v>
      </c>
      <c r="H576" s="269">
        <v>0</v>
      </c>
      <c r="I576" s="267">
        <v>34</v>
      </c>
      <c r="J576" s="282" t="s">
        <v>5340</v>
      </c>
      <c r="K576" s="279" t="s">
        <v>5341</v>
      </c>
      <c r="L576" s="279"/>
      <c r="M576" s="268">
        <v>1</v>
      </c>
      <c r="N576" s="268" t="b">
        <v>1</v>
      </c>
      <c r="O576" s="268">
        <v>12</v>
      </c>
      <c r="P576" s="281">
        <v>180</v>
      </c>
      <c r="Q576" s="281">
        <v>240</v>
      </c>
      <c r="R576" s="268" t="s">
        <v>3383</v>
      </c>
      <c r="S576" s="268"/>
      <c r="T576" s="268">
        <v>1</v>
      </c>
      <c r="U576" s="268" t="s">
        <v>4880</v>
      </c>
      <c r="V576" s="269">
        <v>5</v>
      </c>
      <c r="W576" s="269"/>
      <c r="X576" s="268" t="s">
        <v>4881</v>
      </c>
      <c r="Y576" s="331" t="s">
        <v>5342</v>
      </c>
      <c r="Z576" s="332" t="s">
        <v>5343</v>
      </c>
      <c r="AA576" s="268" t="s">
        <v>4884</v>
      </c>
      <c r="AB576" s="268"/>
      <c r="AC576" s="287">
        <v>1</v>
      </c>
      <c r="AD576" s="287">
        <v>1</v>
      </c>
      <c r="AE576" s="268"/>
      <c r="AF576" s="268"/>
      <c r="AG576" s="290"/>
    </row>
    <row r="577" spans="1:33" s="145" customFormat="1" x14ac:dyDescent="0.15">
      <c r="A577" s="270">
        <v>95301066</v>
      </c>
      <c r="B577" s="268" t="s">
        <v>5339</v>
      </c>
      <c r="C577" s="268" t="s">
        <v>5307</v>
      </c>
      <c r="D577" s="268">
        <v>6906</v>
      </c>
      <c r="E577" s="268" t="s">
        <v>4876</v>
      </c>
      <c r="F577" s="268" t="s">
        <v>4877</v>
      </c>
      <c r="G577" s="269">
        <v>6</v>
      </c>
      <c r="H577" s="269">
        <v>0</v>
      </c>
      <c r="I577" s="267">
        <v>34</v>
      </c>
      <c r="J577" s="282" t="s">
        <v>5340</v>
      </c>
      <c r="K577" s="279" t="s">
        <v>5341</v>
      </c>
      <c r="L577" s="279"/>
      <c r="M577" s="268">
        <v>1</v>
      </c>
      <c r="N577" s="268" t="b">
        <v>1</v>
      </c>
      <c r="O577" s="268">
        <v>25</v>
      </c>
      <c r="P577" s="281">
        <v>375</v>
      </c>
      <c r="Q577" s="281">
        <v>500</v>
      </c>
      <c r="R577" s="268" t="s">
        <v>3383</v>
      </c>
      <c r="S577" s="268"/>
      <c r="T577" s="268">
        <v>1</v>
      </c>
      <c r="U577" s="268" t="s">
        <v>4880</v>
      </c>
      <c r="V577" s="269">
        <v>6</v>
      </c>
      <c r="W577" s="269"/>
      <c r="X577" s="268" t="s">
        <v>4881</v>
      </c>
      <c r="Y577" s="331" t="s">
        <v>5342</v>
      </c>
      <c r="Z577" s="332" t="s">
        <v>5343</v>
      </c>
      <c r="AA577" s="268" t="s">
        <v>4884</v>
      </c>
      <c r="AB577" s="268"/>
      <c r="AC577" s="287">
        <v>1</v>
      </c>
      <c r="AD577" s="287">
        <v>1</v>
      </c>
      <c r="AE577" s="268"/>
      <c r="AF577" s="268"/>
      <c r="AG577" s="290"/>
    </row>
    <row r="578" spans="1:33" s="145" customFormat="1" x14ac:dyDescent="0.15">
      <c r="A578" s="270">
        <v>95301067</v>
      </c>
      <c r="B578" s="268" t="s">
        <v>5339</v>
      </c>
      <c r="C578" s="268" t="s">
        <v>5307</v>
      </c>
      <c r="D578" s="268">
        <v>6906</v>
      </c>
      <c r="E578" s="268" t="s">
        <v>4876</v>
      </c>
      <c r="F578" s="268" t="s">
        <v>4877</v>
      </c>
      <c r="G578" s="269">
        <v>7</v>
      </c>
      <c r="H578" s="269">
        <v>0</v>
      </c>
      <c r="I578" s="267">
        <v>34</v>
      </c>
      <c r="J578" s="282" t="s">
        <v>5340</v>
      </c>
      <c r="K578" s="279" t="s">
        <v>5341</v>
      </c>
      <c r="L578" s="279"/>
      <c r="M578" s="268">
        <v>1</v>
      </c>
      <c r="N578" s="268" t="b">
        <v>1</v>
      </c>
      <c r="O578" s="268">
        <v>38</v>
      </c>
      <c r="P578" s="281">
        <v>570</v>
      </c>
      <c r="Q578" s="281">
        <v>760</v>
      </c>
      <c r="R578" s="268" t="s">
        <v>3383</v>
      </c>
      <c r="S578" s="268"/>
      <c r="T578" s="268">
        <v>1</v>
      </c>
      <c r="U578" s="268" t="s">
        <v>4880</v>
      </c>
      <c r="V578" s="269">
        <v>7</v>
      </c>
      <c r="W578" s="269"/>
      <c r="X578" s="268" t="s">
        <v>4881</v>
      </c>
      <c r="Y578" s="331" t="s">
        <v>5342</v>
      </c>
      <c r="Z578" s="332" t="s">
        <v>5343</v>
      </c>
      <c r="AA578" s="268" t="s">
        <v>4884</v>
      </c>
      <c r="AB578" s="268"/>
      <c r="AC578" s="287">
        <v>1</v>
      </c>
      <c r="AD578" s="287">
        <v>1</v>
      </c>
      <c r="AE578" s="268"/>
      <c r="AF578" s="268"/>
      <c r="AG578" s="290"/>
    </row>
    <row r="579" spans="1:33" s="145" customFormat="1" x14ac:dyDescent="0.15">
      <c r="A579" s="271">
        <v>95301068</v>
      </c>
      <c r="B579" s="272" t="s">
        <v>5344</v>
      </c>
      <c r="C579" s="272" t="s">
        <v>5307</v>
      </c>
      <c r="D579" s="272">
        <v>5081</v>
      </c>
      <c r="E579" s="272" t="s">
        <v>4876</v>
      </c>
      <c r="F579" s="272" t="s">
        <v>4877</v>
      </c>
      <c r="G579" s="269">
        <v>6</v>
      </c>
      <c r="H579" s="273">
        <v>1</v>
      </c>
      <c r="I579" s="283">
        <v>34</v>
      </c>
      <c r="J579" s="284" t="s">
        <v>5340</v>
      </c>
      <c r="K579" s="285" t="s">
        <v>5341</v>
      </c>
      <c r="L579" s="272" t="s">
        <v>44</v>
      </c>
      <c r="M579" s="272">
        <v>1</v>
      </c>
      <c r="N579" s="272" t="b">
        <v>1</v>
      </c>
      <c r="O579" s="272">
        <v>51</v>
      </c>
      <c r="P579" s="281">
        <v>765</v>
      </c>
      <c r="Q579" s="281">
        <v>1020</v>
      </c>
      <c r="R579" s="272" t="s">
        <v>3383</v>
      </c>
      <c r="S579" s="272"/>
      <c r="T579" s="272">
        <v>1</v>
      </c>
      <c r="U579" s="272" t="s">
        <v>4880</v>
      </c>
      <c r="V579" s="273">
        <v>10</v>
      </c>
      <c r="W579" s="273"/>
      <c r="X579" s="272" t="s">
        <v>4881</v>
      </c>
      <c r="Y579" s="333" t="s">
        <v>5342</v>
      </c>
      <c r="Z579" s="334" t="s">
        <v>5343</v>
      </c>
      <c r="AA579" s="272" t="s">
        <v>4884</v>
      </c>
      <c r="AB579" s="272"/>
      <c r="AC579" s="289">
        <v>1</v>
      </c>
      <c r="AD579" s="289">
        <v>1</v>
      </c>
      <c r="AE579" s="289"/>
      <c r="AF579" s="272"/>
      <c r="AG579" s="272"/>
    </row>
    <row r="580" spans="1:33" s="145" customFormat="1" x14ac:dyDescent="0.15">
      <c r="A580" s="271">
        <v>95301069</v>
      </c>
      <c r="B580" s="272" t="s">
        <v>5345</v>
      </c>
      <c r="C580" s="272" t="s">
        <v>5307</v>
      </c>
      <c r="D580" s="272">
        <v>5081</v>
      </c>
      <c r="E580" s="272" t="s">
        <v>4876</v>
      </c>
      <c r="F580" s="272" t="s">
        <v>4877</v>
      </c>
      <c r="G580" s="269">
        <v>6</v>
      </c>
      <c r="H580" s="273">
        <v>1</v>
      </c>
      <c r="I580" s="283">
        <v>34</v>
      </c>
      <c r="J580" s="284" t="s">
        <v>5340</v>
      </c>
      <c r="K580" s="285" t="s">
        <v>5341</v>
      </c>
      <c r="L580" s="272" t="s">
        <v>4887</v>
      </c>
      <c r="M580" s="272">
        <v>1</v>
      </c>
      <c r="N580" s="272" t="b">
        <v>1</v>
      </c>
      <c r="O580" s="272">
        <v>64</v>
      </c>
      <c r="P580" s="281">
        <v>960</v>
      </c>
      <c r="Q580" s="281">
        <v>1280</v>
      </c>
      <c r="R580" s="272" t="s">
        <v>3383</v>
      </c>
      <c r="S580" s="272"/>
      <c r="T580" s="272">
        <v>1</v>
      </c>
      <c r="U580" s="272" t="s">
        <v>4880</v>
      </c>
      <c r="V580" s="273">
        <v>10</v>
      </c>
      <c r="W580" s="273"/>
      <c r="X580" s="272" t="s">
        <v>4881</v>
      </c>
      <c r="Y580" s="333" t="s">
        <v>5342</v>
      </c>
      <c r="Z580" s="334" t="s">
        <v>5343</v>
      </c>
      <c r="AA580" s="272" t="s">
        <v>4884</v>
      </c>
      <c r="AB580" s="272"/>
      <c r="AC580" s="289">
        <v>1</v>
      </c>
      <c r="AD580" s="289">
        <v>1</v>
      </c>
      <c r="AE580" s="289"/>
      <c r="AF580" s="272"/>
      <c r="AG580" s="272"/>
    </row>
    <row r="581" spans="1:33" s="145" customFormat="1" x14ac:dyDescent="0.15">
      <c r="A581" s="271">
        <v>95301070</v>
      </c>
      <c r="B581" s="272" t="s">
        <v>5346</v>
      </c>
      <c r="C581" s="272" t="s">
        <v>5307</v>
      </c>
      <c r="D581" s="272">
        <v>5081</v>
      </c>
      <c r="E581" s="272" t="s">
        <v>4876</v>
      </c>
      <c r="F581" s="272" t="s">
        <v>4877</v>
      </c>
      <c r="G581" s="269">
        <v>7</v>
      </c>
      <c r="H581" s="273">
        <v>0</v>
      </c>
      <c r="I581" s="283">
        <v>34</v>
      </c>
      <c r="J581" s="284" t="s">
        <v>5340</v>
      </c>
      <c r="K581" s="285" t="s">
        <v>5341</v>
      </c>
      <c r="L581" s="272" t="s">
        <v>4889</v>
      </c>
      <c r="M581" s="272">
        <v>1</v>
      </c>
      <c r="N581" s="272" t="b">
        <v>1</v>
      </c>
      <c r="O581" s="272">
        <v>77</v>
      </c>
      <c r="P581" s="281">
        <v>1155</v>
      </c>
      <c r="Q581" s="281">
        <v>1540</v>
      </c>
      <c r="R581" s="272" t="s">
        <v>3383</v>
      </c>
      <c r="S581" s="272"/>
      <c r="T581" s="272">
        <v>1</v>
      </c>
      <c r="U581" s="272" t="s">
        <v>4880</v>
      </c>
      <c r="V581" s="273">
        <v>10</v>
      </c>
      <c r="W581" s="273"/>
      <c r="X581" s="272" t="s">
        <v>4881</v>
      </c>
      <c r="Y581" s="333" t="s">
        <v>5342</v>
      </c>
      <c r="Z581" s="334" t="s">
        <v>5343</v>
      </c>
      <c r="AA581" s="272" t="s">
        <v>4884</v>
      </c>
      <c r="AB581" s="272"/>
      <c r="AC581" s="289">
        <v>1</v>
      </c>
      <c r="AD581" s="289">
        <v>1</v>
      </c>
      <c r="AE581" s="289"/>
      <c r="AF581" s="272"/>
      <c r="AG581" s="272"/>
    </row>
    <row r="582" spans="1:33" s="145" customFormat="1" ht="15" customHeight="1" x14ac:dyDescent="0.15">
      <c r="A582" s="267">
        <v>95301071</v>
      </c>
      <c r="B582" s="268" t="s">
        <v>5347</v>
      </c>
      <c r="C582" s="268" t="s">
        <v>5307</v>
      </c>
      <c r="D582" s="268">
        <v>6901</v>
      </c>
      <c r="E582" s="268" t="s">
        <v>4876</v>
      </c>
      <c r="F582" s="268" t="s">
        <v>4877</v>
      </c>
      <c r="G582" s="269">
        <v>1</v>
      </c>
      <c r="H582" s="269">
        <v>0</v>
      </c>
      <c r="I582" s="267">
        <v>34</v>
      </c>
      <c r="J582" s="282" t="s">
        <v>5348</v>
      </c>
      <c r="K582" s="279" t="s">
        <v>5349</v>
      </c>
      <c r="L582" s="279"/>
      <c r="M582" s="268">
        <v>1</v>
      </c>
      <c r="N582" s="268" t="b">
        <v>1</v>
      </c>
      <c r="O582" s="268">
        <v>2</v>
      </c>
      <c r="P582" s="281">
        <v>30</v>
      </c>
      <c r="Q582" s="281">
        <v>40</v>
      </c>
      <c r="R582" s="268" t="s">
        <v>3383</v>
      </c>
      <c r="S582" s="268"/>
      <c r="T582" s="268">
        <v>1</v>
      </c>
      <c r="U582" s="268" t="s">
        <v>4880</v>
      </c>
      <c r="V582" s="269">
        <v>1</v>
      </c>
      <c r="W582" s="269"/>
      <c r="X582" s="268" t="s">
        <v>4881</v>
      </c>
      <c r="Y582" s="331" t="s">
        <v>5350</v>
      </c>
      <c r="Z582" s="332" t="s">
        <v>5351</v>
      </c>
      <c r="AA582" s="268" t="s">
        <v>4884</v>
      </c>
      <c r="AB582" s="268"/>
      <c r="AC582" s="287">
        <v>1</v>
      </c>
      <c r="AD582" s="287">
        <v>1</v>
      </c>
      <c r="AE582" s="268"/>
      <c r="AF582" s="268"/>
      <c r="AG582" s="290"/>
    </row>
    <row r="583" spans="1:33" s="145" customFormat="1" ht="15" customHeight="1" x14ac:dyDescent="0.15">
      <c r="A583" s="267">
        <v>95301072</v>
      </c>
      <c r="B583" s="268" t="s">
        <v>5347</v>
      </c>
      <c r="C583" s="268" t="s">
        <v>5307</v>
      </c>
      <c r="D583" s="268">
        <v>6901</v>
      </c>
      <c r="E583" s="268" t="s">
        <v>4876</v>
      </c>
      <c r="F583" s="268" t="s">
        <v>4877</v>
      </c>
      <c r="G583" s="269">
        <v>2</v>
      </c>
      <c r="H583" s="269">
        <v>0</v>
      </c>
      <c r="I583" s="267">
        <v>34</v>
      </c>
      <c r="J583" s="282" t="s">
        <v>5348</v>
      </c>
      <c r="K583" s="279" t="s">
        <v>5349</v>
      </c>
      <c r="L583" s="279"/>
      <c r="M583" s="268">
        <v>1</v>
      </c>
      <c r="N583" s="268" t="b">
        <v>1</v>
      </c>
      <c r="O583" s="268">
        <v>5</v>
      </c>
      <c r="P583" s="281">
        <v>75</v>
      </c>
      <c r="Q583" s="281">
        <v>100</v>
      </c>
      <c r="R583" s="268" t="s">
        <v>3383</v>
      </c>
      <c r="S583" s="268"/>
      <c r="T583" s="268">
        <v>1</v>
      </c>
      <c r="U583" s="268" t="s">
        <v>4880</v>
      </c>
      <c r="V583" s="269">
        <v>2</v>
      </c>
      <c r="W583" s="269"/>
      <c r="X583" s="268" t="s">
        <v>4881</v>
      </c>
      <c r="Y583" s="331" t="s">
        <v>5350</v>
      </c>
      <c r="Z583" s="332" t="s">
        <v>5351</v>
      </c>
      <c r="AA583" s="268" t="s">
        <v>4884</v>
      </c>
      <c r="AB583" s="268"/>
      <c r="AC583" s="287">
        <v>1</v>
      </c>
      <c r="AD583" s="287">
        <v>1</v>
      </c>
      <c r="AE583" s="268"/>
      <c r="AF583" s="268"/>
      <c r="AG583" s="290"/>
    </row>
    <row r="584" spans="1:33" s="145" customFormat="1" ht="15" customHeight="1" x14ac:dyDescent="0.15">
      <c r="A584" s="267">
        <v>95301073</v>
      </c>
      <c r="B584" s="268" t="s">
        <v>5347</v>
      </c>
      <c r="C584" s="268" t="s">
        <v>5307</v>
      </c>
      <c r="D584" s="268">
        <v>6901</v>
      </c>
      <c r="E584" s="268" t="s">
        <v>4876</v>
      </c>
      <c r="F584" s="268" t="s">
        <v>4877</v>
      </c>
      <c r="G584" s="269">
        <v>3</v>
      </c>
      <c r="H584" s="269">
        <v>0</v>
      </c>
      <c r="I584" s="267">
        <v>34</v>
      </c>
      <c r="J584" s="282" t="s">
        <v>5348</v>
      </c>
      <c r="K584" s="279" t="s">
        <v>5349</v>
      </c>
      <c r="L584" s="279"/>
      <c r="M584" s="268">
        <v>1</v>
      </c>
      <c r="N584" s="268" t="b">
        <v>1</v>
      </c>
      <c r="O584" s="268">
        <v>7</v>
      </c>
      <c r="P584" s="281">
        <v>105</v>
      </c>
      <c r="Q584" s="281">
        <v>140</v>
      </c>
      <c r="R584" s="268" t="s">
        <v>3383</v>
      </c>
      <c r="S584" s="268"/>
      <c r="T584" s="268">
        <v>1</v>
      </c>
      <c r="U584" s="268" t="s">
        <v>4880</v>
      </c>
      <c r="V584" s="269">
        <v>3</v>
      </c>
      <c r="W584" s="269"/>
      <c r="X584" s="268" t="s">
        <v>4881</v>
      </c>
      <c r="Y584" s="331" t="s">
        <v>5350</v>
      </c>
      <c r="Z584" s="332" t="s">
        <v>5351</v>
      </c>
      <c r="AA584" s="268" t="s">
        <v>4884</v>
      </c>
      <c r="AB584" s="268"/>
      <c r="AC584" s="287">
        <v>1</v>
      </c>
      <c r="AD584" s="287">
        <v>1</v>
      </c>
      <c r="AE584" s="268"/>
      <c r="AF584" s="268"/>
      <c r="AG584" s="290"/>
    </row>
    <row r="585" spans="1:33" s="145" customFormat="1" ht="15" customHeight="1" x14ac:dyDescent="0.15">
      <c r="A585" s="267">
        <v>95301074</v>
      </c>
      <c r="B585" s="268" t="s">
        <v>5347</v>
      </c>
      <c r="C585" s="268" t="s">
        <v>5307</v>
      </c>
      <c r="D585" s="268">
        <v>6901</v>
      </c>
      <c r="E585" s="268" t="s">
        <v>4876</v>
      </c>
      <c r="F585" s="268" t="s">
        <v>4877</v>
      </c>
      <c r="G585" s="269">
        <v>4</v>
      </c>
      <c r="H585" s="269">
        <v>0</v>
      </c>
      <c r="I585" s="267">
        <v>34</v>
      </c>
      <c r="J585" s="282" t="s">
        <v>5348</v>
      </c>
      <c r="K585" s="279" t="s">
        <v>5349</v>
      </c>
      <c r="L585" s="279"/>
      <c r="M585" s="268">
        <v>1</v>
      </c>
      <c r="N585" s="268" t="b">
        <v>1</v>
      </c>
      <c r="O585" s="268">
        <v>10</v>
      </c>
      <c r="P585" s="281">
        <v>150</v>
      </c>
      <c r="Q585" s="281">
        <v>200</v>
      </c>
      <c r="R585" s="268" t="s">
        <v>3383</v>
      </c>
      <c r="S585" s="268"/>
      <c r="T585" s="268">
        <v>1</v>
      </c>
      <c r="U585" s="268" t="s">
        <v>4880</v>
      </c>
      <c r="V585" s="269">
        <v>4</v>
      </c>
      <c r="W585" s="269"/>
      <c r="X585" s="268" t="s">
        <v>4881</v>
      </c>
      <c r="Y585" s="331" t="s">
        <v>5350</v>
      </c>
      <c r="Z585" s="332" t="s">
        <v>5351</v>
      </c>
      <c r="AA585" s="268" t="s">
        <v>4884</v>
      </c>
      <c r="AB585" s="268"/>
      <c r="AC585" s="287">
        <v>1</v>
      </c>
      <c r="AD585" s="287">
        <v>1</v>
      </c>
      <c r="AE585" s="268"/>
      <c r="AF585" s="268"/>
      <c r="AG585" s="290"/>
    </row>
    <row r="586" spans="1:33" s="145" customFormat="1" ht="15" customHeight="1" x14ac:dyDescent="0.15">
      <c r="A586" s="267">
        <v>95301075</v>
      </c>
      <c r="B586" s="268" t="s">
        <v>5347</v>
      </c>
      <c r="C586" s="268" t="s">
        <v>5307</v>
      </c>
      <c r="D586" s="268">
        <v>6901</v>
      </c>
      <c r="E586" s="268" t="s">
        <v>4876</v>
      </c>
      <c r="F586" s="268" t="s">
        <v>4877</v>
      </c>
      <c r="G586" s="269">
        <v>5</v>
      </c>
      <c r="H586" s="269">
        <v>0</v>
      </c>
      <c r="I586" s="267">
        <v>34</v>
      </c>
      <c r="J586" s="282" t="s">
        <v>5348</v>
      </c>
      <c r="K586" s="279" t="s">
        <v>5349</v>
      </c>
      <c r="L586" s="279"/>
      <c r="M586" s="268">
        <v>1</v>
      </c>
      <c r="N586" s="268" t="b">
        <v>1</v>
      </c>
      <c r="O586" s="268">
        <v>12</v>
      </c>
      <c r="P586" s="281">
        <v>180</v>
      </c>
      <c r="Q586" s="281">
        <v>240</v>
      </c>
      <c r="R586" s="268" t="s">
        <v>3383</v>
      </c>
      <c r="S586" s="268"/>
      <c r="T586" s="268">
        <v>1</v>
      </c>
      <c r="U586" s="268" t="s">
        <v>4880</v>
      </c>
      <c r="V586" s="269">
        <v>5</v>
      </c>
      <c r="W586" s="269"/>
      <c r="X586" s="268" t="s">
        <v>4881</v>
      </c>
      <c r="Y586" s="331" t="s">
        <v>5350</v>
      </c>
      <c r="Z586" s="332" t="s">
        <v>5351</v>
      </c>
      <c r="AA586" s="268" t="s">
        <v>4884</v>
      </c>
      <c r="AB586" s="268"/>
      <c r="AC586" s="287">
        <v>1</v>
      </c>
      <c r="AD586" s="287">
        <v>1</v>
      </c>
      <c r="AE586" s="268"/>
      <c r="AF586" s="268"/>
      <c r="AG586" s="290"/>
    </row>
    <row r="587" spans="1:33" s="145" customFormat="1" ht="15" customHeight="1" x14ac:dyDescent="0.15">
      <c r="A587" s="270">
        <v>95301076</v>
      </c>
      <c r="B587" s="268" t="s">
        <v>5347</v>
      </c>
      <c r="C587" s="268" t="s">
        <v>5307</v>
      </c>
      <c r="D587" s="268">
        <v>6901</v>
      </c>
      <c r="E587" s="268" t="s">
        <v>4876</v>
      </c>
      <c r="F587" s="268" t="s">
        <v>4877</v>
      </c>
      <c r="G587" s="269">
        <v>6</v>
      </c>
      <c r="H587" s="269">
        <v>0</v>
      </c>
      <c r="I587" s="267">
        <v>34</v>
      </c>
      <c r="J587" s="282" t="s">
        <v>5348</v>
      </c>
      <c r="K587" s="279" t="s">
        <v>5349</v>
      </c>
      <c r="L587" s="279"/>
      <c r="M587" s="268">
        <v>1</v>
      </c>
      <c r="N587" s="268" t="b">
        <v>1</v>
      </c>
      <c r="O587" s="268">
        <v>25</v>
      </c>
      <c r="P587" s="281">
        <v>375</v>
      </c>
      <c r="Q587" s="281">
        <v>500</v>
      </c>
      <c r="R587" s="268" t="s">
        <v>3383</v>
      </c>
      <c r="S587" s="268"/>
      <c r="T587" s="268">
        <v>1</v>
      </c>
      <c r="U587" s="268" t="s">
        <v>4880</v>
      </c>
      <c r="V587" s="269">
        <v>6</v>
      </c>
      <c r="W587" s="269"/>
      <c r="X587" s="268" t="s">
        <v>4881</v>
      </c>
      <c r="Y587" s="331" t="s">
        <v>5350</v>
      </c>
      <c r="Z587" s="332" t="s">
        <v>5351</v>
      </c>
      <c r="AA587" s="268" t="s">
        <v>4884</v>
      </c>
      <c r="AB587" s="268"/>
      <c r="AC587" s="287">
        <v>1</v>
      </c>
      <c r="AD587" s="287">
        <v>1</v>
      </c>
      <c r="AE587" s="268"/>
      <c r="AF587" s="268"/>
      <c r="AG587" s="290"/>
    </row>
    <row r="588" spans="1:33" s="145" customFormat="1" ht="15" customHeight="1" x14ac:dyDescent="0.15">
      <c r="A588" s="270">
        <v>95301077</v>
      </c>
      <c r="B588" s="268" t="s">
        <v>5347</v>
      </c>
      <c r="C588" s="268" t="s">
        <v>5307</v>
      </c>
      <c r="D588" s="268">
        <v>6901</v>
      </c>
      <c r="E588" s="268" t="s">
        <v>4876</v>
      </c>
      <c r="F588" s="268" t="s">
        <v>4877</v>
      </c>
      <c r="G588" s="269">
        <v>7</v>
      </c>
      <c r="H588" s="269">
        <v>0</v>
      </c>
      <c r="I588" s="267">
        <v>34</v>
      </c>
      <c r="J588" s="282" t="s">
        <v>5348</v>
      </c>
      <c r="K588" s="279" t="s">
        <v>5349</v>
      </c>
      <c r="L588" s="279"/>
      <c r="M588" s="268">
        <v>1</v>
      </c>
      <c r="N588" s="268" t="b">
        <v>1</v>
      </c>
      <c r="O588" s="268">
        <v>38</v>
      </c>
      <c r="P588" s="281">
        <v>570</v>
      </c>
      <c r="Q588" s="281">
        <v>760</v>
      </c>
      <c r="R588" s="268" t="s">
        <v>3383</v>
      </c>
      <c r="S588" s="268"/>
      <c r="T588" s="268">
        <v>1</v>
      </c>
      <c r="U588" s="268" t="s">
        <v>4880</v>
      </c>
      <c r="V588" s="269">
        <v>7</v>
      </c>
      <c r="W588" s="269"/>
      <c r="X588" s="268" t="s">
        <v>4881</v>
      </c>
      <c r="Y588" s="331" t="s">
        <v>5350</v>
      </c>
      <c r="Z588" s="332" t="s">
        <v>5351</v>
      </c>
      <c r="AA588" s="268" t="s">
        <v>4884</v>
      </c>
      <c r="AB588" s="268"/>
      <c r="AC588" s="287">
        <v>1</v>
      </c>
      <c r="AD588" s="287">
        <v>1</v>
      </c>
      <c r="AE588" s="268"/>
      <c r="AF588" s="268"/>
      <c r="AG588" s="290"/>
    </row>
    <row r="589" spans="1:33" s="145" customFormat="1" ht="15" customHeight="1" x14ac:dyDescent="0.15">
      <c r="A589" s="271">
        <v>95301078</v>
      </c>
      <c r="B589" s="272" t="s">
        <v>5352</v>
      </c>
      <c r="C589" s="272" t="s">
        <v>5307</v>
      </c>
      <c r="D589" s="272">
        <v>5081</v>
      </c>
      <c r="E589" s="272" t="s">
        <v>4876</v>
      </c>
      <c r="F589" s="272" t="s">
        <v>4877</v>
      </c>
      <c r="G589" s="269">
        <v>6</v>
      </c>
      <c r="H589" s="273">
        <v>0</v>
      </c>
      <c r="I589" s="283">
        <v>34</v>
      </c>
      <c r="J589" s="284" t="s">
        <v>5348</v>
      </c>
      <c r="K589" s="285" t="s">
        <v>5349</v>
      </c>
      <c r="L589" s="272" t="s">
        <v>44</v>
      </c>
      <c r="M589" s="272">
        <v>1</v>
      </c>
      <c r="N589" s="272" t="b">
        <v>1</v>
      </c>
      <c r="O589" s="272">
        <v>51</v>
      </c>
      <c r="P589" s="281">
        <v>765</v>
      </c>
      <c r="Q589" s="281">
        <v>1020</v>
      </c>
      <c r="R589" s="272" t="s">
        <v>3383</v>
      </c>
      <c r="S589" s="272"/>
      <c r="T589" s="272">
        <v>1</v>
      </c>
      <c r="U589" s="272" t="s">
        <v>4880</v>
      </c>
      <c r="V589" s="273">
        <v>10</v>
      </c>
      <c r="W589" s="273"/>
      <c r="X589" s="272" t="s">
        <v>4881</v>
      </c>
      <c r="Y589" s="333" t="s">
        <v>5350</v>
      </c>
      <c r="Z589" s="334" t="s">
        <v>5351</v>
      </c>
      <c r="AA589" s="272" t="s">
        <v>4884</v>
      </c>
      <c r="AB589" s="272"/>
      <c r="AC589" s="289">
        <v>1</v>
      </c>
      <c r="AD589" s="289">
        <v>1</v>
      </c>
      <c r="AE589" s="289"/>
      <c r="AF589" s="272"/>
      <c r="AG589" s="272"/>
    </row>
    <row r="590" spans="1:33" s="145" customFormat="1" ht="15" customHeight="1" x14ac:dyDescent="0.15">
      <c r="A590" s="271">
        <v>95301079</v>
      </c>
      <c r="B590" s="272" t="s">
        <v>5353</v>
      </c>
      <c r="C590" s="272" t="s">
        <v>5307</v>
      </c>
      <c r="D590" s="272">
        <v>5081</v>
      </c>
      <c r="E590" s="272" t="s">
        <v>4876</v>
      </c>
      <c r="F590" s="272" t="s">
        <v>4877</v>
      </c>
      <c r="G590" s="269">
        <v>6</v>
      </c>
      <c r="H590" s="273">
        <v>0</v>
      </c>
      <c r="I590" s="283">
        <v>34</v>
      </c>
      <c r="J590" s="284" t="s">
        <v>5348</v>
      </c>
      <c r="K590" s="285" t="s">
        <v>5349</v>
      </c>
      <c r="L590" s="272" t="s">
        <v>4887</v>
      </c>
      <c r="M590" s="272">
        <v>1</v>
      </c>
      <c r="N590" s="272" t="b">
        <v>1</v>
      </c>
      <c r="O590" s="272">
        <v>64</v>
      </c>
      <c r="P590" s="281">
        <v>960</v>
      </c>
      <c r="Q590" s="281">
        <v>1280</v>
      </c>
      <c r="R590" s="272" t="s">
        <v>3383</v>
      </c>
      <c r="S590" s="272"/>
      <c r="T590" s="272">
        <v>1</v>
      </c>
      <c r="U590" s="272" t="s">
        <v>4880</v>
      </c>
      <c r="V590" s="273">
        <v>10</v>
      </c>
      <c r="W590" s="273"/>
      <c r="X590" s="272" t="s">
        <v>4881</v>
      </c>
      <c r="Y590" s="333" t="s">
        <v>5350</v>
      </c>
      <c r="Z590" s="334" t="s">
        <v>5351</v>
      </c>
      <c r="AA590" s="272" t="s">
        <v>4884</v>
      </c>
      <c r="AB590" s="272"/>
      <c r="AC590" s="289">
        <v>1</v>
      </c>
      <c r="AD590" s="289">
        <v>1</v>
      </c>
      <c r="AE590" s="289"/>
      <c r="AF590" s="272"/>
      <c r="AG590" s="272"/>
    </row>
    <row r="591" spans="1:33" s="145" customFormat="1" ht="15" customHeight="1" x14ac:dyDescent="0.15">
      <c r="A591" s="271">
        <v>95301080</v>
      </c>
      <c r="B591" s="272" t="s">
        <v>5354</v>
      </c>
      <c r="C591" s="272" t="s">
        <v>5307</v>
      </c>
      <c r="D591" s="272">
        <v>5081</v>
      </c>
      <c r="E591" s="272" t="s">
        <v>4876</v>
      </c>
      <c r="F591" s="272" t="s">
        <v>4877</v>
      </c>
      <c r="G591" s="269">
        <v>7</v>
      </c>
      <c r="H591" s="273">
        <v>0</v>
      </c>
      <c r="I591" s="283">
        <v>34</v>
      </c>
      <c r="J591" s="284" t="s">
        <v>5348</v>
      </c>
      <c r="K591" s="285" t="s">
        <v>5349</v>
      </c>
      <c r="L591" s="272" t="s">
        <v>4889</v>
      </c>
      <c r="M591" s="272">
        <v>1</v>
      </c>
      <c r="N591" s="272" t="b">
        <v>1</v>
      </c>
      <c r="O591" s="272">
        <v>77</v>
      </c>
      <c r="P591" s="281">
        <v>1155</v>
      </c>
      <c r="Q591" s="281">
        <v>1540</v>
      </c>
      <c r="R591" s="272" t="s">
        <v>3383</v>
      </c>
      <c r="S591" s="272"/>
      <c r="T591" s="272">
        <v>1</v>
      </c>
      <c r="U591" s="272" t="s">
        <v>4880</v>
      </c>
      <c r="V591" s="273">
        <v>10</v>
      </c>
      <c r="W591" s="273"/>
      <c r="X591" s="272" t="s">
        <v>4881</v>
      </c>
      <c r="Y591" s="333" t="s">
        <v>5350</v>
      </c>
      <c r="Z591" s="334" t="s">
        <v>5351</v>
      </c>
      <c r="AA591" s="272" t="s">
        <v>4884</v>
      </c>
      <c r="AB591" s="272"/>
      <c r="AC591" s="289">
        <v>1</v>
      </c>
      <c r="AD591" s="289">
        <v>1</v>
      </c>
      <c r="AE591" s="289"/>
      <c r="AF591" s="272"/>
      <c r="AG591" s="272"/>
    </row>
    <row r="592" spans="1:33" s="145" customFormat="1" ht="15" customHeight="1" x14ac:dyDescent="0.15">
      <c r="A592" s="267">
        <v>95301081</v>
      </c>
      <c r="B592" s="268" t="s">
        <v>5355</v>
      </c>
      <c r="C592" s="268" t="s">
        <v>5307</v>
      </c>
      <c r="D592" s="268">
        <v>6901</v>
      </c>
      <c r="E592" s="268" t="s">
        <v>4876</v>
      </c>
      <c r="F592" s="268" t="s">
        <v>4877</v>
      </c>
      <c r="G592" s="269">
        <v>1</v>
      </c>
      <c r="H592" s="269">
        <v>0</v>
      </c>
      <c r="I592" s="267">
        <v>34</v>
      </c>
      <c r="J592" s="282" t="s">
        <v>5356</v>
      </c>
      <c r="K592" s="279" t="s">
        <v>5357</v>
      </c>
      <c r="L592" s="279"/>
      <c r="M592" s="268">
        <v>1</v>
      </c>
      <c r="N592" s="268" t="b">
        <v>1</v>
      </c>
      <c r="O592" s="268">
        <v>2</v>
      </c>
      <c r="P592" s="281">
        <v>30</v>
      </c>
      <c r="Q592" s="281">
        <v>40</v>
      </c>
      <c r="R592" s="268" t="s">
        <v>3383</v>
      </c>
      <c r="S592" s="268"/>
      <c r="T592" s="268">
        <v>1</v>
      </c>
      <c r="U592" s="268" t="s">
        <v>4880</v>
      </c>
      <c r="V592" s="269">
        <v>1</v>
      </c>
      <c r="W592" s="269"/>
      <c r="X592" s="268" t="s">
        <v>4881</v>
      </c>
      <c r="Y592" s="331" t="s">
        <v>5358</v>
      </c>
      <c r="Z592" s="332" t="s">
        <v>5359</v>
      </c>
      <c r="AA592" s="268" t="s">
        <v>4884</v>
      </c>
      <c r="AB592" s="268"/>
      <c r="AC592" s="287">
        <v>1</v>
      </c>
      <c r="AD592" s="287">
        <v>1</v>
      </c>
      <c r="AE592" s="268"/>
      <c r="AF592" s="268"/>
      <c r="AG592" s="290"/>
    </row>
    <row r="593" spans="1:33" s="145" customFormat="1" ht="15" customHeight="1" x14ac:dyDescent="0.15">
      <c r="A593" s="267">
        <v>95301082</v>
      </c>
      <c r="B593" s="268" t="s">
        <v>5355</v>
      </c>
      <c r="C593" s="268" t="s">
        <v>5307</v>
      </c>
      <c r="D593" s="268">
        <v>6901</v>
      </c>
      <c r="E593" s="268" t="s">
        <v>4876</v>
      </c>
      <c r="F593" s="268" t="s">
        <v>4877</v>
      </c>
      <c r="G593" s="269">
        <v>2</v>
      </c>
      <c r="H593" s="269">
        <v>0</v>
      </c>
      <c r="I593" s="267">
        <v>34</v>
      </c>
      <c r="J593" s="282" t="s">
        <v>5356</v>
      </c>
      <c r="K593" s="279" t="s">
        <v>5357</v>
      </c>
      <c r="L593" s="279"/>
      <c r="M593" s="268">
        <v>1</v>
      </c>
      <c r="N593" s="268" t="b">
        <v>1</v>
      </c>
      <c r="O593" s="268">
        <v>5</v>
      </c>
      <c r="P593" s="281">
        <v>75</v>
      </c>
      <c r="Q593" s="281">
        <v>100</v>
      </c>
      <c r="R593" s="268" t="s">
        <v>3383</v>
      </c>
      <c r="S593" s="268"/>
      <c r="T593" s="268">
        <v>1</v>
      </c>
      <c r="U593" s="268" t="s">
        <v>4880</v>
      </c>
      <c r="V593" s="269">
        <v>2</v>
      </c>
      <c r="W593" s="269"/>
      <c r="X593" s="268" t="s">
        <v>4881</v>
      </c>
      <c r="Y593" s="331" t="s">
        <v>5358</v>
      </c>
      <c r="Z593" s="332" t="s">
        <v>5359</v>
      </c>
      <c r="AA593" s="268" t="s">
        <v>4884</v>
      </c>
      <c r="AB593" s="268"/>
      <c r="AC593" s="287">
        <v>1</v>
      </c>
      <c r="AD593" s="287">
        <v>1</v>
      </c>
      <c r="AE593" s="268"/>
      <c r="AF593" s="268"/>
      <c r="AG593" s="290"/>
    </row>
    <row r="594" spans="1:33" s="259" customFormat="1" ht="15" customHeight="1" x14ac:dyDescent="0.15">
      <c r="A594" s="267">
        <v>95301083</v>
      </c>
      <c r="B594" s="268" t="s">
        <v>5355</v>
      </c>
      <c r="C594" s="268" t="s">
        <v>5307</v>
      </c>
      <c r="D594" s="268">
        <v>6901</v>
      </c>
      <c r="E594" s="268" t="s">
        <v>4876</v>
      </c>
      <c r="F594" s="268" t="s">
        <v>4877</v>
      </c>
      <c r="G594" s="269">
        <v>3</v>
      </c>
      <c r="H594" s="269">
        <v>0</v>
      </c>
      <c r="I594" s="267">
        <v>34</v>
      </c>
      <c r="J594" s="282" t="s">
        <v>5356</v>
      </c>
      <c r="K594" s="279" t="s">
        <v>5357</v>
      </c>
      <c r="L594" s="279"/>
      <c r="M594" s="268">
        <v>1</v>
      </c>
      <c r="N594" s="268" t="b">
        <v>1</v>
      </c>
      <c r="O594" s="268">
        <v>7</v>
      </c>
      <c r="P594" s="281">
        <v>105</v>
      </c>
      <c r="Q594" s="281">
        <v>140</v>
      </c>
      <c r="R594" s="268" t="s">
        <v>3383</v>
      </c>
      <c r="S594" s="268"/>
      <c r="T594" s="268">
        <v>1</v>
      </c>
      <c r="U594" s="268" t="s">
        <v>4880</v>
      </c>
      <c r="V594" s="269">
        <v>3</v>
      </c>
      <c r="W594" s="269"/>
      <c r="X594" s="268" t="s">
        <v>4881</v>
      </c>
      <c r="Y594" s="331" t="s">
        <v>5358</v>
      </c>
      <c r="Z594" s="332" t="s">
        <v>5359</v>
      </c>
      <c r="AA594" s="268" t="s">
        <v>4884</v>
      </c>
      <c r="AB594" s="268"/>
      <c r="AC594" s="287">
        <v>1</v>
      </c>
      <c r="AD594" s="287">
        <v>1</v>
      </c>
      <c r="AE594" s="268"/>
      <c r="AF594" s="268"/>
      <c r="AG594" s="290"/>
    </row>
    <row r="595" spans="1:33" s="259" customFormat="1" ht="15" customHeight="1" x14ac:dyDescent="0.15">
      <c r="A595" s="267">
        <v>95301084</v>
      </c>
      <c r="B595" s="268" t="s">
        <v>5355</v>
      </c>
      <c r="C595" s="268" t="s">
        <v>5307</v>
      </c>
      <c r="D595" s="268">
        <v>6901</v>
      </c>
      <c r="E595" s="268" t="s">
        <v>4876</v>
      </c>
      <c r="F595" s="268" t="s">
        <v>4877</v>
      </c>
      <c r="G595" s="269">
        <v>4</v>
      </c>
      <c r="H595" s="269">
        <v>0</v>
      </c>
      <c r="I595" s="267">
        <v>34</v>
      </c>
      <c r="J595" s="282" t="s">
        <v>5356</v>
      </c>
      <c r="K595" s="279" t="s">
        <v>5357</v>
      </c>
      <c r="L595" s="279"/>
      <c r="M595" s="268">
        <v>1</v>
      </c>
      <c r="N595" s="268" t="b">
        <v>1</v>
      </c>
      <c r="O595" s="268">
        <v>10</v>
      </c>
      <c r="P595" s="281">
        <v>150</v>
      </c>
      <c r="Q595" s="281">
        <v>200</v>
      </c>
      <c r="R595" s="268" t="s">
        <v>3383</v>
      </c>
      <c r="S595" s="268"/>
      <c r="T595" s="268">
        <v>1</v>
      </c>
      <c r="U595" s="268" t="s">
        <v>4880</v>
      </c>
      <c r="V595" s="269">
        <v>4</v>
      </c>
      <c r="W595" s="269"/>
      <c r="X595" s="268" t="s">
        <v>4881</v>
      </c>
      <c r="Y595" s="331" t="s">
        <v>5358</v>
      </c>
      <c r="Z595" s="332" t="s">
        <v>5359</v>
      </c>
      <c r="AA595" s="268" t="s">
        <v>4884</v>
      </c>
      <c r="AB595" s="268"/>
      <c r="AC595" s="287">
        <v>1</v>
      </c>
      <c r="AD595" s="287">
        <v>1</v>
      </c>
      <c r="AE595" s="268"/>
      <c r="AF595" s="268"/>
      <c r="AG595" s="290"/>
    </row>
    <row r="596" spans="1:33" s="259" customFormat="1" ht="15" customHeight="1" x14ac:dyDescent="0.15">
      <c r="A596" s="267">
        <v>95301085</v>
      </c>
      <c r="B596" s="268" t="s">
        <v>5355</v>
      </c>
      <c r="C596" s="268" t="s">
        <v>5307</v>
      </c>
      <c r="D596" s="268">
        <v>6901</v>
      </c>
      <c r="E596" s="268" t="s">
        <v>4876</v>
      </c>
      <c r="F596" s="268" t="s">
        <v>4877</v>
      </c>
      <c r="G596" s="269">
        <v>5</v>
      </c>
      <c r="H596" s="269">
        <v>0</v>
      </c>
      <c r="I596" s="267">
        <v>34</v>
      </c>
      <c r="J596" s="282" t="s">
        <v>5356</v>
      </c>
      <c r="K596" s="279" t="s">
        <v>5357</v>
      </c>
      <c r="L596" s="279"/>
      <c r="M596" s="268">
        <v>1</v>
      </c>
      <c r="N596" s="268" t="b">
        <v>1</v>
      </c>
      <c r="O596" s="268">
        <v>12</v>
      </c>
      <c r="P596" s="281">
        <v>180</v>
      </c>
      <c r="Q596" s="281">
        <v>240</v>
      </c>
      <c r="R596" s="268" t="s">
        <v>3383</v>
      </c>
      <c r="S596" s="268"/>
      <c r="T596" s="268">
        <v>1</v>
      </c>
      <c r="U596" s="268" t="s">
        <v>4880</v>
      </c>
      <c r="V596" s="269">
        <v>5</v>
      </c>
      <c r="W596" s="269"/>
      <c r="X596" s="268" t="s">
        <v>4881</v>
      </c>
      <c r="Y596" s="331" t="s">
        <v>5358</v>
      </c>
      <c r="Z596" s="332" t="s">
        <v>5359</v>
      </c>
      <c r="AA596" s="268" t="s">
        <v>4884</v>
      </c>
      <c r="AB596" s="268"/>
      <c r="AC596" s="287">
        <v>1</v>
      </c>
      <c r="AD596" s="287">
        <v>1</v>
      </c>
      <c r="AE596" s="268"/>
      <c r="AF596" s="268"/>
      <c r="AG596" s="290"/>
    </row>
    <row r="597" spans="1:33" s="259" customFormat="1" ht="15" customHeight="1" x14ac:dyDescent="0.15">
      <c r="A597" s="271">
        <v>95301086</v>
      </c>
      <c r="B597" s="272" t="s">
        <v>5355</v>
      </c>
      <c r="C597" s="272" t="s">
        <v>5307</v>
      </c>
      <c r="D597" s="272">
        <v>6901</v>
      </c>
      <c r="E597" s="272" t="s">
        <v>4876</v>
      </c>
      <c r="F597" s="272" t="s">
        <v>4877</v>
      </c>
      <c r="G597" s="294">
        <v>6</v>
      </c>
      <c r="H597" s="273">
        <v>0</v>
      </c>
      <c r="I597" s="283">
        <v>34</v>
      </c>
      <c r="J597" s="284" t="s">
        <v>5356</v>
      </c>
      <c r="K597" s="285" t="s">
        <v>5357</v>
      </c>
      <c r="L597" s="285"/>
      <c r="M597" s="272">
        <v>1</v>
      </c>
      <c r="N597" s="272" t="b">
        <v>1</v>
      </c>
      <c r="O597" s="272">
        <v>25</v>
      </c>
      <c r="P597" s="281">
        <v>375</v>
      </c>
      <c r="Q597" s="281">
        <v>500</v>
      </c>
      <c r="R597" s="272" t="s">
        <v>3383</v>
      </c>
      <c r="S597" s="272"/>
      <c r="T597" s="272">
        <v>1</v>
      </c>
      <c r="U597" s="272" t="s">
        <v>4880</v>
      </c>
      <c r="V597" s="273">
        <v>6</v>
      </c>
      <c r="W597" s="273"/>
      <c r="X597" s="272" t="s">
        <v>4881</v>
      </c>
      <c r="Y597" s="333" t="s">
        <v>5358</v>
      </c>
      <c r="Z597" s="334" t="s">
        <v>5359</v>
      </c>
      <c r="AA597" s="272" t="s">
        <v>4884</v>
      </c>
      <c r="AB597" s="272"/>
      <c r="AC597" s="289">
        <v>1</v>
      </c>
      <c r="AD597" s="289">
        <v>1</v>
      </c>
      <c r="AE597" s="272"/>
      <c r="AF597" s="272"/>
      <c r="AG597" s="296"/>
    </row>
    <row r="598" spans="1:33" s="259" customFormat="1" ht="15" customHeight="1" x14ac:dyDescent="0.15">
      <c r="A598" s="270">
        <v>95301087</v>
      </c>
      <c r="B598" s="268" t="s">
        <v>5355</v>
      </c>
      <c r="C598" s="268" t="s">
        <v>5307</v>
      </c>
      <c r="D598" s="268">
        <v>6901</v>
      </c>
      <c r="E598" s="268" t="s">
        <v>4876</v>
      </c>
      <c r="F598" s="268" t="s">
        <v>4877</v>
      </c>
      <c r="G598" s="269">
        <v>7</v>
      </c>
      <c r="H598" s="269">
        <v>0</v>
      </c>
      <c r="I598" s="267">
        <v>34</v>
      </c>
      <c r="J598" s="282" t="s">
        <v>5356</v>
      </c>
      <c r="K598" s="279" t="s">
        <v>5357</v>
      </c>
      <c r="L598" s="279"/>
      <c r="M598" s="268">
        <v>1</v>
      </c>
      <c r="N598" s="268" t="b">
        <v>1</v>
      </c>
      <c r="O598" s="268">
        <v>38</v>
      </c>
      <c r="P598" s="281">
        <v>570</v>
      </c>
      <c r="Q598" s="281">
        <v>760</v>
      </c>
      <c r="R598" s="268" t="s">
        <v>3383</v>
      </c>
      <c r="S598" s="268"/>
      <c r="T598" s="268">
        <v>1</v>
      </c>
      <c r="U598" s="268" t="s">
        <v>4880</v>
      </c>
      <c r="V598" s="269">
        <v>7</v>
      </c>
      <c r="W598" s="269"/>
      <c r="X598" s="268" t="s">
        <v>4881</v>
      </c>
      <c r="Y598" s="331" t="s">
        <v>5358</v>
      </c>
      <c r="Z598" s="332" t="s">
        <v>5359</v>
      </c>
      <c r="AA598" s="268" t="s">
        <v>4884</v>
      </c>
      <c r="AB598" s="268"/>
      <c r="AC598" s="287">
        <v>1</v>
      </c>
      <c r="AD598" s="287">
        <v>1</v>
      </c>
      <c r="AE598" s="268"/>
      <c r="AF598" s="268"/>
      <c r="AG598" s="290"/>
    </row>
    <row r="599" spans="1:33" s="259" customFormat="1" ht="15" customHeight="1" x14ac:dyDescent="0.15">
      <c r="A599" s="271">
        <v>95301088</v>
      </c>
      <c r="B599" s="272" t="s">
        <v>5360</v>
      </c>
      <c r="C599" s="272" t="s">
        <v>5307</v>
      </c>
      <c r="D599" s="272">
        <v>5081</v>
      </c>
      <c r="E599" s="272" t="s">
        <v>4876</v>
      </c>
      <c r="F599" s="272" t="s">
        <v>4877</v>
      </c>
      <c r="G599" s="269">
        <v>6</v>
      </c>
      <c r="H599" s="273">
        <v>0</v>
      </c>
      <c r="I599" s="283">
        <v>34</v>
      </c>
      <c r="J599" s="284" t="s">
        <v>5356</v>
      </c>
      <c r="K599" s="285" t="s">
        <v>5357</v>
      </c>
      <c r="L599" s="272" t="s">
        <v>44</v>
      </c>
      <c r="M599" s="272">
        <v>1</v>
      </c>
      <c r="N599" s="272" t="b">
        <v>1</v>
      </c>
      <c r="O599" s="272">
        <v>51</v>
      </c>
      <c r="P599" s="281">
        <v>765</v>
      </c>
      <c r="Q599" s="281">
        <v>1020</v>
      </c>
      <c r="R599" s="272" t="s">
        <v>3383</v>
      </c>
      <c r="S599" s="272"/>
      <c r="T599" s="272">
        <v>1</v>
      </c>
      <c r="U599" s="272" t="s">
        <v>4880</v>
      </c>
      <c r="V599" s="273">
        <v>10</v>
      </c>
      <c r="W599" s="273"/>
      <c r="X599" s="272" t="s">
        <v>4881</v>
      </c>
      <c r="Y599" s="333" t="s">
        <v>5358</v>
      </c>
      <c r="Z599" s="334" t="s">
        <v>5359</v>
      </c>
      <c r="AA599" s="272" t="s">
        <v>4884</v>
      </c>
      <c r="AB599" s="272"/>
      <c r="AC599" s="289">
        <v>1</v>
      </c>
      <c r="AD599" s="289">
        <v>1</v>
      </c>
      <c r="AE599" s="289"/>
      <c r="AF599" s="272"/>
      <c r="AG599" s="272"/>
    </row>
    <row r="600" spans="1:33" s="259" customFormat="1" ht="15" customHeight="1" x14ac:dyDescent="0.15">
      <c r="A600" s="271">
        <v>95301089</v>
      </c>
      <c r="B600" s="272" t="s">
        <v>5361</v>
      </c>
      <c r="C600" s="272" t="s">
        <v>5307</v>
      </c>
      <c r="D600" s="272">
        <v>5081</v>
      </c>
      <c r="E600" s="272" t="s">
        <v>4876</v>
      </c>
      <c r="F600" s="272" t="s">
        <v>4877</v>
      </c>
      <c r="G600" s="269">
        <v>6</v>
      </c>
      <c r="H600" s="273">
        <v>0</v>
      </c>
      <c r="I600" s="283">
        <v>34</v>
      </c>
      <c r="J600" s="284" t="s">
        <v>5356</v>
      </c>
      <c r="K600" s="285" t="s">
        <v>5357</v>
      </c>
      <c r="L600" s="272" t="s">
        <v>4887</v>
      </c>
      <c r="M600" s="272">
        <v>1</v>
      </c>
      <c r="N600" s="272" t="b">
        <v>1</v>
      </c>
      <c r="O600" s="272">
        <v>64</v>
      </c>
      <c r="P600" s="281">
        <v>960</v>
      </c>
      <c r="Q600" s="281">
        <v>1280</v>
      </c>
      <c r="R600" s="272" t="s">
        <v>3383</v>
      </c>
      <c r="S600" s="272"/>
      <c r="T600" s="272">
        <v>1</v>
      </c>
      <c r="U600" s="272" t="s">
        <v>4880</v>
      </c>
      <c r="V600" s="273">
        <v>10</v>
      </c>
      <c r="W600" s="273"/>
      <c r="X600" s="272" t="s">
        <v>4881</v>
      </c>
      <c r="Y600" s="333" t="s">
        <v>5358</v>
      </c>
      <c r="Z600" s="334" t="s">
        <v>5359</v>
      </c>
      <c r="AA600" s="272" t="s">
        <v>4884</v>
      </c>
      <c r="AB600" s="272"/>
      <c r="AC600" s="289">
        <v>1</v>
      </c>
      <c r="AD600" s="289">
        <v>1</v>
      </c>
      <c r="AE600" s="289"/>
      <c r="AF600" s="272"/>
      <c r="AG600" s="272"/>
    </row>
    <row r="601" spans="1:33" s="259" customFormat="1" ht="15" customHeight="1" x14ac:dyDescent="0.15">
      <c r="A601" s="271">
        <v>95301090</v>
      </c>
      <c r="B601" s="272" t="s">
        <v>5362</v>
      </c>
      <c r="C601" s="272" t="s">
        <v>5307</v>
      </c>
      <c r="D601" s="272">
        <v>5081</v>
      </c>
      <c r="E601" s="272" t="s">
        <v>4876</v>
      </c>
      <c r="F601" s="272" t="s">
        <v>4877</v>
      </c>
      <c r="G601" s="269">
        <v>7</v>
      </c>
      <c r="H601" s="273">
        <v>0</v>
      </c>
      <c r="I601" s="283">
        <v>34</v>
      </c>
      <c r="J601" s="284" t="s">
        <v>5356</v>
      </c>
      <c r="K601" s="285" t="s">
        <v>5357</v>
      </c>
      <c r="L601" s="272" t="s">
        <v>4889</v>
      </c>
      <c r="M601" s="272">
        <v>1</v>
      </c>
      <c r="N601" s="272" t="b">
        <v>1</v>
      </c>
      <c r="O601" s="272">
        <v>77</v>
      </c>
      <c r="P601" s="281">
        <v>1155</v>
      </c>
      <c r="Q601" s="281">
        <v>1540</v>
      </c>
      <c r="R601" s="272" t="s">
        <v>3383</v>
      </c>
      <c r="S601" s="272"/>
      <c r="T601" s="272">
        <v>1</v>
      </c>
      <c r="U601" s="272" t="s">
        <v>4880</v>
      </c>
      <c r="V601" s="273">
        <v>10</v>
      </c>
      <c r="W601" s="273"/>
      <c r="X601" s="272" t="s">
        <v>4881</v>
      </c>
      <c r="Y601" s="333" t="s">
        <v>5358</v>
      </c>
      <c r="Z601" s="334" t="s">
        <v>5359</v>
      </c>
      <c r="AA601" s="272" t="s">
        <v>4884</v>
      </c>
      <c r="AB601" s="272"/>
      <c r="AC601" s="289">
        <v>1</v>
      </c>
      <c r="AD601" s="289">
        <v>1</v>
      </c>
      <c r="AE601" s="289"/>
      <c r="AF601" s="272"/>
      <c r="AG601" s="272"/>
    </row>
    <row r="602" spans="1:33" ht="15" customHeight="1" x14ac:dyDescent="0.15">
      <c r="A602" s="267">
        <v>95301091</v>
      </c>
      <c r="B602" s="268" t="s">
        <v>5363</v>
      </c>
      <c r="C602" s="268" t="s">
        <v>5307</v>
      </c>
      <c r="D602" s="268">
        <v>6901</v>
      </c>
      <c r="E602" s="268" t="s">
        <v>4876</v>
      </c>
      <c r="F602" s="268" t="s">
        <v>4877</v>
      </c>
      <c r="G602" s="269">
        <v>1</v>
      </c>
      <c r="H602" s="269">
        <v>0</v>
      </c>
      <c r="I602" s="267">
        <v>34</v>
      </c>
      <c r="J602" s="282" t="s">
        <v>5364</v>
      </c>
      <c r="K602" s="279" t="s">
        <v>5365</v>
      </c>
      <c r="L602" s="279"/>
      <c r="M602" s="268">
        <v>1</v>
      </c>
      <c r="N602" s="268" t="b">
        <v>1</v>
      </c>
      <c r="O602" s="268">
        <v>2</v>
      </c>
      <c r="P602" s="281">
        <v>30</v>
      </c>
      <c r="Q602" s="281">
        <v>40</v>
      </c>
      <c r="R602" s="268" t="s">
        <v>3383</v>
      </c>
      <c r="S602" s="268"/>
      <c r="T602" s="268">
        <v>1</v>
      </c>
      <c r="U602" s="268" t="s">
        <v>4880</v>
      </c>
      <c r="V602" s="269">
        <v>1</v>
      </c>
      <c r="W602" s="269"/>
      <c r="X602" s="268" t="s">
        <v>4881</v>
      </c>
      <c r="Y602" s="331" t="s">
        <v>5366</v>
      </c>
      <c r="Z602" s="332" t="s">
        <v>5367</v>
      </c>
      <c r="AA602" s="268" t="s">
        <v>4884</v>
      </c>
      <c r="AB602" s="268"/>
      <c r="AC602" s="287">
        <v>1</v>
      </c>
      <c r="AD602" s="287">
        <v>1</v>
      </c>
      <c r="AE602" s="268"/>
      <c r="AF602" s="268"/>
      <c r="AG602" s="290"/>
    </row>
    <row r="603" spans="1:33" s="259" customFormat="1" ht="15" customHeight="1" x14ac:dyDescent="0.15">
      <c r="A603" s="267">
        <v>95301092</v>
      </c>
      <c r="B603" s="268" t="s">
        <v>5363</v>
      </c>
      <c r="C603" s="268" t="s">
        <v>5307</v>
      </c>
      <c r="D603" s="268">
        <v>6901</v>
      </c>
      <c r="E603" s="268" t="s">
        <v>4876</v>
      </c>
      <c r="F603" s="268" t="s">
        <v>4877</v>
      </c>
      <c r="G603" s="269">
        <v>2</v>
      </c>
      <c r="H603" s="269">
        <v>0</v>
      </c>
      <c r="I603" s="267">
        <v>34</v>
      </c>
      <c r="J603" s="282" t="s">
        <v>5364</v>
      </c>
      <c r="K603" s="279" t="s">
        <v>5365</v>
      </c>
      <c r="L603" s="279"/>
      <c r="M603" s="268">
        <v>1</v>
      </c>
      <c r="N603" s="268" t="b">
        <v>1</v>
      </c>
      <c r="O603" s="268">
        <v>5</v>
      </c>
      <c r="P603" s="281">
        <v>75</v>
      </c>
      <c r="Q603" s="281">
        <v>100</v>
      </c>
      <c r="R603" s="268" t="s">
        <v>3383</v>
      </c>
      <c r="S603" s="268"/>
      <c r="T603" s="268">
        <v>1</v>
      </c>
      <c r="U603" s="268" t="s">
        <v>4880</v>
      </c>
      <c r="V603" s="269">
        <v>2</v>
      </c>
      <c r="W603" s="269"/>
      <c r="X603" s="268" t="s">
        <v>4881</v>
      </c>
      <c r="Y603" s="331" t="s">
        <v>5366</v>
      </c>
      <c r="Z603" s="332" t="s">
        <v>5367</v>
      </c>
      <c r="AA603" s="268" t="s">
        <v>4884</v>
      </c>
      <c r="AB603" s="268"/>
      <c r="AC603" s="287">
        <v>1</v>
      </c>
      <c r="AD603" s="287">
        <v>1</v>
      </c>
      <c r="AE603" s="268"/>
      <c r="AF603" s="268"/>
      <c r="AG603" s="290"/>
    </row>
    <row r="604" spans="1:33" s="259" customFormat="1" ht="15" customHeight="1" x14ac:dyDescent="0.15">
      <c r="A604" s="267">
        <v>95301093</v>
      </c>
      <c r="B604" s="268" t="s">
        <v>5363</v>
      </c>
      <c r="C604" s="268" t="s">
        <v>5307</v>
      </c>
      <c r="D604" s="268">
        <v>6901</v>
      </c>
      <c r="E604" s="268" t="s">
        <v>4876</v>
      </c>
      <c r="F604" s="268" t="s">
        <v>4877</v>
      </c>
      <c r="G604" s="269">
        <v>3</v>
      </c>
      <c r="H604" s="269">
        <v>0</v>
      </c>
      <c r="I604" s="267">
        <v>34</v>
      </c>
      <c r="J604" s="282" t="s">
        <v>5364</v>
      </c>
      <c r="K604" s="279" t="s">
        <v>5365</v>
      </c>
      <c r="L604" s="279"/>
      <c r="M604" s="268">
        <v>1</v>
      </c>
      <c r="N604" s="268" t="b">
        <v>1</v>
      </c>
      <c r="O604" s="268">
        <v>7</v>
      </c>
      <c r="P604" s="281">
        <v>105</v>
      </c>
      <c r="Q604" s="281">
        <v>140</v>
      </c>
      <c r="R604" s="268" t="s">
        <v>3383</v>
      </c>
      <c r="S604" s="268"/>
      <c r="T604" s="268">
        <v>1</v>
      </c>
      <c r="U604" s="268" t="s">
        <v>4880</v>
      </c>
      <c r="V604" s="269">
        <v>3</v>
      </c>
      <c r="W604" s="269"/>
      <c r="X604" s="268" t="s">
        <v>4881</v>
      </c>
      <c r="Y604" s="331" t="s">
        <v>5366</v>
      </c>
      <c r="Z604" s="332" t="s">
        <v>5367</v>
      </c>
      <c r="AA604" s="268" t="s">
        <v>4884</v>
      </c>
      <c r="AB604" s="268"/>
      <c r="AC604" s="287">
        <v>1</v>
      </c>
      <c r="AD604" s="287">
        <v>1</v>
      </c>
      <c r="AE604" s="268"/>
      <c r="AF604" s="268"/>
      <c r="AG604" s="290"/>
    </row>
    <row r="605" spans="1:33" s="259" customFormat="1" ht="15" customHeight="1" x14ac:dyDescent="0.15">
      <c r="A605" s="267">
        <v>95301094</v>
      </c>
      <c r="B605" s="268" t="s">
        <v>5363</v>
      </c>
      <c r="C605" s="268" t="s">
        <v>5307</v>
      </c>
      <c r="D605" s="268">
        <v>6901</v>
      </c>
      <c r="E605" s="268" t="s">
        <v>4876</v>
      </c>
      <c r="F605" s="268" t="s">
        <v>4877</v>
      </c>
      <c r="G605" s="269">
        <v>4</v>
      </c>
      <c r="H605" s="269">
        <v>0</v>
      </c>
      <c r="I605" s="267">
        <v>34</v>
      </c>
      <c r="J605" s="282" t="s">
        <v>5364</v>
      </c>
      <c r="K605" s="279" t="s">
        <v>5365</v>
      </c>
      <c r="L605" s="279"/>
      <c r="M605" s="268">
        <v>1</v>
      </c>
      <c r="N605" s="268" t="b">
        <v>1</v>
      </c>
      <c r="O605" s="268">
        <v>10</v>
      </c>
      <c r="P605" s="281">
        <v>150</v>
      </c>
      <c r="Q605" s="281">
        <v>200</v>
      </c>
      <c r="R605" s="268" t="s">
        <v>3383</v>
      </c>
      <c r="S605" s="268"/>
      <c r="T605" s="268">
        <v>1</v>
      </c>
      <c r="U605" s="268" t="s">
        <v>4880</v>
      </c>
      <c r="V605" s="269">
        <v>4</v>
      </c>
      <c r="W605" s="269"/>
      <c r="X605" s="268" t="s">
        <v>4881</v>
      </c>
      <c r="Y605" s="331" t="s">
        <v>5366</v>
      </c>
      <c r="Z605" s="332" t="s">
        <v>5367</v>
      </c>
      <c r="AA605" s="268" t="s">
        <v>4884</v>
      </c>
      <c r="AB605" s="268"/>
      <c r="AC605" s="287">
        <v>1</v>
      </c>
      <c r="AD605" s="287">
        <v>1</v>
      </c>
      <c r="AE605" s="268"/>
      <c r="AF605" s="268"/>
      <c r="AG605" s="290"/>
    </row>
    <row r="606" spans="1:33" s="259" customFormat="1" ht="15" customHeight="1" x14ac:dyDescent="0.15">
      <c r="A606" s="267">
        <v>95301095</v>
      </c>
      <c r="B606" s="268" t="s">
        <v>5363</v>
      </c>
      <c r="C606" s="268" t="s">
        <v>5307</v>
      </c>
      <c r="D606" s="268">
        <v>6901</v>
      </c>
      <c r="E606" s="268" t="s">
        <v>4876</v>
      </c>
      <c r="F606" s="268" t="s">
        <v>4877</v>
      </c>
      <c r="G606" s="269">
        <v>5</v>
      </c>
      <c r="H606" s="269">
        <v>0</v>
      </c>
      <c r="I606" s="267">
        <v>34</v>
      </c>
      <c r="J606" s="282" t="s">
        <v>5364</v>
      </c>
      <c r="K606" s="279" t="s">
        <v>5365</v>
      </c>
      <c r="L606" s="279"/>
      <c r="M606" s="268">
        <v>1</v>
      </c>
      <c r="N606" s="268" t="b">
        <v>1</v>
      </c>
      <c r="O606" s="268">
        <v>12</v>
      </c>
      <c r="P606" s="281">
        <v>180</v>
      </c>
      <c r="Q606" s="281">
        <v>240</v>
      </c>
      <c r="R606" s="268" t="s">
        <v>3383</v>
      </c>
      <c r="S606" s="268"/>
      <c r="T606" s="268">
        <v>1</v>
      </c>
      <c r="U606" s="268" t="s">
        <v>4880</v>
      </c>
      <c r="V606" s="269">
        <v>5</v>
      </c>
      <c r="W606" s="269"/>
      <c r="X606" s="268" t="s">
        <v>4881</v>
      </c>
      <c r="Y606" s="331" t="s">
        <v>5366</v>
      </c>
      <c r="Z606" s="332" t="s">
        <v>5367</v>
      </c>
      <c r="AA606" s="268" t="s">
        <v>4884</v>
      </c>
      <c r="AB606" s="268"/>
      <c r="AC606" s="287">
        <v>1</v>
      </c>
      <c r="AD606" s="287">
        <v>1</v>
      </c>
      <c r="AE606" s="268"/>
      <c r="AF606" s="268"/>
      <c r="AG606" s="290"/>
    </row>
    <row r="607" spans="1:33" s="259" customFormat="1" ht="15" customHeight="1" x14ac:dyDescent="0.15">
      <c r="A607" s="270">
        <v>95301096</v>
      </c>
      <c r="B607" s="268" t="s">
        <v>5363</v>
      </c>
      <c r="C607" s="268" t="s">
        <v>5307</v>
      </c>
      <c r="D607" s="268">
        <v>6901</v>
      </c>
      <c r="E607" s="268" t="s">
        <v>4876</v>
      </c>
      <c r="F607" s="268" t="s">
        <v>4877</v>
      </c>
      <c r="G607" s="269">
        <v>6</v>
      </c>
      <c r="H607" s="269">
        <v>0</v>
      </c>
      <c r="I607" s="267">
        <v>34</v>
      </c>
      <c r="J607" s="282" t="s">
        <v>5364</v>
      </c>
      <c r="K607" s="279" t="s">
        <v>5365</v>
      </c>
      <c r="L607" s="279"/>
      <c r="M607" s="268">
        <v>1</v>
      </c>
      <c r="N607" s="268" t="b">
        <v>1</v>
      </c>
      <c r="O607" s="268">
        <v>25</v>
      </c>
      <c r="P607" s="281">
        <v>375</v>
      </c>
      <c r="Q607" s="281">
        <v>500</v>
      </c>
      <c r="R607" s="268" t="s">
        <v>3383</v>
      </c>
      <c r="S607" s="268"/>
      <c r="T607" s="268">
        <v>1</v>
      </c>
      <c r="U607" s="268" t="s">
        <v>4880</v>
      </c>
      <c r="V607" s="269">
        <v>6</v>
      </c>
      <c r="W607" s="269"/>
      <c r="X607" s="268" t="s">
        <v>4881</v>
      </c>
      <c r="Y607" s="331" t="s">
        <v>5366</v>
      </c>
      <c r="Z607" s="332" t="s">
        <v>5367</v>
      </c>
      <c r="AA607" s="268" t="s">
        <v>4884</v>
      </c>
      <c r="AB607" s="268"/>
      <c r="AC607" s="287">
        <v>1</v>
      </c>
      <c r="AD607" s="287">
        <v>1</v>
      </c>
      <c r="AE607" s="268"/>
      <c r="AF607" s="268"/>
      <c r="AG607" s="290"/>
    </row>
    <row r="608" spans="1:33" s="259" customFormat="1" ht="15" customHeight="1" x14ac:dyDescent="0.15">
      <c r="A608" s="270">
        <v>95301097</v>
      </c>
      <c r="B608" s="268" t="s">
        <v>5363</v>
      </c>
      <c r="C608" s="268" t="s">
        <v>5307</v>
      </c>
      <c r="D608" s="268">
        <v>6901</v>
      </c>
      <c r="E608" s="268" t="s">
        <v>4876</v>
      </c>
      <c r="F608" s="268" t="s">
        <v>4877</v>
      </c>
      <c r="G608" s="269">
        <v>7</v>
      </c>
      <c r="H608" s="269">
        <v>0</v>
      </c>
      <c r="I608" s="267">
        <v>34</v>
      </c>
      <c r="J608" s="282" t="s">
        <v>5364</v>
      </c>
      <c r="K608" s="279" t="s">
        <v>5365</v>
      </c>
      <c r="L608" s="279"/>
      <c r="M608" s="268">
        <v>1</v>
      </c>
      <c r="N608" s="268" t="b">
        <v>1</v>
      </c>
      <c r="O608" s="268">
        <v>38</v>
      </c>
      <c r="P608" s="281">
        <v>570</v>
      </c>
      <c r="Q608" s="281">
        <v>760</v>
      </c>
      <c r="R608" s="268" t="s">
        <v>3383</v>
      </c>
      <c r="S608" s="268"/>
      <c r="T608" s="268">
        <v>1</v>
      </c>
      <c r="U608" s="268" t="s">
        <v>4880</v>
      </c>
      <c r="V608" s="269">
        <v>7</v>
      </c>
      <c r="W608" s="269"/>
      <c r="X608" s="268" t="s">
        <v>4881</v>
      </c>
      <c r="Y608" s="331" t="s">
        <v>5366</v>
      </c>
      <c r="Z608" s="332" t="s">
        <v>5367</v>
      </c>
      <c r="AA608" s="268" t="s">
        <v>4884</v>
      </c>
      <c r="AB608" s="268"/>
      <c r="AC608" s="287">
        <v>1</v>
      </c>
      <c r="AD608" s="287">
        <v>1</v>
      </c>
      <c r="AE608" s="268"/>
      <c r="AF608" s="268"/>
      <c r="AG608" s="290"/>
    </row>
    <row r="609" spans="1:33" s="259" customFormat="1" ht="15" customHeight="1" x14ac:dyDescent="0.15">
      <c r="A609" s="271">
        <v>95301098</v>
      </c>
      <c r="B609" s="272" t="s">
        <v>5368</v>
      </c>
      <c r="C609" s="272" t="s">
        <v>5307</v>
      </c>
      <c r="D609" s="272">
        <v>5081</v>
      </c>
      <c r="E609" s="272" t="s">
        <v>4876</v>
      </c>
      <c r="F609" s="272" t="s">
        <v>4877</v>
      </c>
      <c r="G609" s="269">
        <v>6</v>
      </c>
      <c r="H609" s="273">
        <v>1</v>
      </c>
      <c r="I609" s="283">
        <v>34</v>
      </c>
      <c r="J609" s="284" t="s">
        <v>5364</v>
      </c>
      <c r="K609" s="285" t="s">
        <v>5365</v>
      </c>
      <c r="L609" s="272" t="s">
        <v>44</v>
      </c>
      <c r="M609" s="272">
        <v>1</v>
      </c>
      <c r="N609" s="272" t="b">
        <v>1</v>
      </c>
      <c r="O609" s="272">
        <v>51</v>
      </c>
      <c r="P609" s="281">
        <v>765</v>
      </c>
      <c r="Q609" s="281">
        <v>1020</v>
      </c>
      <c r="R609" s="272" t="s">
        <v>3383</v>
      </c>
      <c r="S609" s="272"/>
      <c r="T609" s="272">
        <v>1</v>
      </c>
      <c r="U609" s="272" t="s">
        <v>4880</v>
      </c>
      <c r="V609" s="273">
        <v>10</v>
      </c>
      <c r="W609" s="273"/>
      <c r="X609" s="272" t="s">
        <v>4881</v>
      </c>
      <c r="Y609" s="333" t="s">
        <v>5366</v>
      </c>
      <c r="Z609" s="334" t="s">
        <v>5367</v>
      </c>
      <c r="AA609" s="272" t="s">
        <v>4884</v>
      </c>
      <c r="AB609" s="272"/>
      <c r="AC609" s="289">
        <v>1</v>
      </c>
      <c r="AD609" s="289">
        <v>1</v>
      </c>
      <c r="AE609" s="289"/>
      <c r="AF609" s="272"/>
      <c r="AG609" s="272"/>
    </row>
    <row r="610" spans="1:33" s="259" customFormat="1" ht="15" customHeight="1" x14ac:dyDescent="0.15">
      <c r="A610" s="271">
        <v>95301099</v>
      </c>
      <c r="B610" s="272" t="s">
        <v>5369</v>
      </c>
      <c r="C610" s="272" t="s">
        <v>5307</v>
      </c>
      <c r="D610" s="272">
        <v>5081</v>
      </c>
      <c r="E610" s="272" t="s">
        <v>4876</v>
      </c>
      <c r="F610" s="272" t="s">
        <v>4877</v>
      </c>
      <c r="G610" s="269">
        <v>6</v>
      </c>
      <c r="H610" s="273">
        <v>1</v>
      </c>
      <c r="I610" s="283">
        <v>34</v>
      </c>
      <c r="J610" s="284" t="s">
        <v>5364</v>
      </c>
      <c r="K610" s="285" t="s">
        <v>5365</v>
      </c>
      <c r="L610" s="272" t="s">
        <v>4887</v>
      </c>
      <c r="M610" s="272">
        <v>1</v>
      </c>
      <c r="N610" s="272" t="b">
        <v>1</v>
      </c>
      <c r="O610" s="272">
        <v>64</v>
      </c>
      <c r="P610" s="281">
        <v>960</v>
      </c>
      <c r="Q610" s="281">
        <v>1280</v>
      </c>
      <c r="R610" s="272" t="s">
        <v>3383</v>
      </c>
      <c r="S610" s="272"/>
      <c r="T610" s="272">
        <v>1</v>
      </c>
      <c r="U610" s="272" t="s">
        <v>4880</v>
      </c>
      <c r="V610" s="273">
        <v>10</v>
      </c>
      <c r="W610" s="273"/>
      <c r="X610" s="272" t="s">
        <v>4881</v>
      </c>
      <c r="Y610" s="333" t="s">
        <v>5366</v>
      </c>
      <c r="Z610" s="334" t="s">
        <v>5367</v>
      </c>
      <c r="AA610" s="272" t="s">
        <v>4884</v>
      </c>
      <c r="AB610" s="272"/>
      <c r="AC610" s="289">
        <v>1</v>
      </c>
      <c r="AD610" s="289">
        <v>1</v>
      </c>
      <c r="AE610" s="289"/>
      <c r="AF610" s="272"/>
      <c r="AG610" s="272"/>
    </row>
    <row r="611" spans="1:33" s="259" customFormat="1" ht="15" customHeight="1" x14ac:dyDescent="0.15">
      <c r="A611" s="271">
        <v>95301100</v>
      </c>
      <c r="B611" s="272" t="s">
        <v>5370</v>
      </c>
      <c r="C611" s="272" t="s">
        <v>5307</v>
      </c>
      <c r="D611" s="272">
        <v>5081</v>
      </c>
      <c r="E611" s="272" t="s">
        <v>4876</v>
      </c>
      <c r="F611" s="272" t="s">
        <v>4877</v>
      </c>
      <c r="G611" s="269">
        <v>7</v>
      </c>
      <c r="H611" s="273">
        <v>0</v>
      </c>
      <c r="I611" s="283">
        <v>34</v>
      </c>
      <c r="J611" s="284" t="s">
        <v>5364</v>
      </c>
      <c r="K611" s="285" t="s">
        <v>5365</v>
      </c>
      <c r="L611" s="272" t="s">
        <v>4889</v>
      </c>
      <c r="M611" s="272">
        <v>1</v>
      </c>
      <c r="N611" s="272" t="b">
        <v>1</v>
      </c>
      <c r="O611" s="272">
        <v>77</v>
      </c>
      <c r="P611" s="281">
        <v>1155</v>
      </c>
      <c r="Q611" s="281">
        <v>1540</v>
      </c>
      <c r="R611" s="272" t="s">
        <v>3383</v>
      </c>
      <c r="S611" s="272"/>
      <c r="T611" s="272">
        <v>1</v>
      </c>
      <c r="U611" s="272" t="s">
        <v>4880</v>
      </c>
      <c r="V611" s="273">
        <v>10</v>
      </c>
      <c r="W611" s="273"/>
      <c r="X611" s="272" t="s">
        <v>4881</v>
      </c>
      <c r="Y611" s="333" t="s">
        <v>5366</v>
      </c>
      <c r="Z611" s="334" t="s">
        <v>5367</v>
      </c>
      <c r="AA611" s="272" t="s">
        <v>4884</v>
      </c>
      <c r="AB611" s="272"/>
      <c r="AC611" s="289">
        <v>1</v>
      </c>
      <c r="AD611" s="289">
        <v>1</v>
      </c>
      <c r="AE611" s="289"/>
      <c r="AF611" s="272"/>
      <c r="AG611" s="272"/>
    </row>
    <row r="612" spans="1:33" s="259" customFormat="1" ht="15" customHeight="1" x14ac:dyDescent="0.15">
      <c r="A612" s="267">
        <v>95301101</v>
      </c>
      <c r="B612" s="268" t="s">
        <v>5371</v>
      </c>
      <c r="C612" s="268" t="s">
        <v>5307</v>
      </c>
      <c r="D612" s="268">
        <v>6901</v>
      </c>
      <c r="E612" s="268" t="s">
        <v>4876</v>
      </c>
      <c r="F612" s="268" t="s">
        <v>4877</v>
      </c>
      <c r="G612" s="269">
        <v>1</v>
      </c>
      <c r="H612" s="269">
        <v>0</v>
      </c>
      <c r="I612" s="267">
        <v>34</v>
      </c>
      <c r="J612" s="282" t="s">
        <v>5372</v>
      </c>
      <c r="K612" s="279" t="s">
        <v>5373</v>
      </c>
      <c r="L612" s="279"/>
      <c r="M612" s="268">
        <v>1</v>
      </c>
      <c r="N612" s="268" t="b">
        <v>1</v>
      </c>
      <c r="O612" s="268">
        <v>2</v>
      </c>
      <c r="P612" s="281">
        <v>30</v>
      </c>
      <c r="Q612" s="281">
        <v>40</v>
      </c>
      <c r="R612" s="268" t="s">
        <v>3383</v>
      </c>
      <c r="S612" s="268"/>
      <c r="T612" s="268">
        <v>1</v>
      </c>
      <c r="U612" s="268" t="s">
        <v>4880</v>
      </c>
      <c r="V612" s="269">
        <v>1</v>
      </c>
      <c r="W612" s="269"/>
      <c r="X612" s="268" t="s">
        <v>4881</v>
      </c>
      <c r="Y612" s="331" t="s">
        <v>5374</v>
      </c>
      <c r="Z612" s="332" t="s">
        <v>5375</v>
      </c>
      <c r="AA612" s="268" t="s">
        <v>4884</v>
      </c>
      <c r="AB612" s="268"/>
      <c r="AC612" s="287">
        <v>1</v>
      </c>
      <c r="AD612" s="287">
        <v>1</v>
      </c>
      <c r="AE612" s="268"/>
      <c r="AF612" s="268"/>
      <c r="AG612" s="290"/>
    </row>
    <row r="613" spans="1:33" s="259" customFormat="1" ht="15" customHeight="1" x14ac:dyDescent="0.15">
      <c r="A613" s="267">
        <v>95301102</v>
      </c>
      <c r="B613" s="268" t="s">
        <v>5371</v>
      </c>
      <c r="C613" s="268" t="s">
        <v>5307</v>
      </c>
      <c r="D613" s="268">
        <v>6901</v>
      </c>
      <c r="E613" s="268" t="s">
        <v>4876</v>
      </c>
      <c r="F613" s="268" t="s">
        <v>4877</v>
      </c>
      <c r="G613" s="269">
        <v>2</v>
      </c>
      <c r="H613" s="269">
        <v>0</v>
      </c>
      <c r="I613" s="267">
        <v>34</v>
      </c>
      <c r="J613" s="282" t="s">
        <v>5372</v>
      </c>
      <c r="K613" s="279" t="s">
        <v>5373</v>
      </c>
      <c r="L613" s="279"/>
      <c r="M613" s="268">
        <v>1</v>
      </c>
      <c r="N613" s="268" t="b">
        <v>1</v>
      </c>
      <c r="O613" s="268">
        <v>5</v>
      </c>
      <c r="P613" s="281">
        <v>75</v>
      </c>
      <c r="Q613" s="281">
        <v>100</v>
      </c>
      <c r="R613" s="268" t="s">
        <v>3383</v>
      </c>
      <c r="S613" s="268"/>
      <c r="T613" s="268">
        <v>1</v>
      </c>
      <c r="U613" s="268" t="s">
        <v>4880</v>
      </c>
      <c r="V613" s="269">
        <v>2</v>
      </c>
      <c r="W613" s="269"/>
      <c r="X613" s="268" t="s">
        <v>4881</v>
      </c>
      <c r="Y613" s="331" t="s">
        <v>5374</v>
      </c>
      <c r="Z613" s="332" t="s">
        <v>5375</v>
      </c>
      <c r="AA613" s="268" t="s">
        <v>4884</v>
      </c>
      <c r="AB613" s="268"/>
      <c r="AC613" s="287">
        <v>1</v>
      </c>
      <c r="AD613" s="287">
        <v>1</v>
      </c>
      <c r="AE613" s="268"/>
      <c r="AF613" s="268"/>
      <c r="AG613" s="290"/>
    </row>
    <row r="614" spans="1:33" s="259" customFormat="1" ht="15" customHeight="1" x14ac:dyDescent="0.15">
      <c r="A614" s="267">
        <v>95301103</v>
      </c>
      <c r="B614" s="268" t="s">
        <v>5371</v>
      </c>
      <c r="C614" s="268" t="s">
        <v>5307</v>
      </c>
      <c r="D614" s="268">
        <v>6901</v>
      </c>
      <c r="E614" s="268" t="s">
        <v>4876</v>
      </c>
      <c r="F614" s="268" t="s">
        <v>4877</v>
      </c>
      <c r="G614" s="269">
        <v>3</v>
      </c>
      <c r="H614" s="269">
        <v>0</v>
      </c>
      <c r="I614" s="267">
        <v>34</v>
      </c>
      <c r="J614" s="282" t="s">
        <v>5372</v>
      </c>
      <c r="K614" s="279" t="s">
        <v>5373</v>
      </c>
      <c r="L614" s="279"/>
      <c r="M614" s="268">
        <v>1</v>
      </c>
      <c r="N614" s="268" t="b">
        <v>1</v>
      </c>
      <c r="O614" s="268">
        <v>7</v>
      </c>
      <c r="P614" s="281">
        <v>105</v>
      </c>
      <c r="Q614" s="281">
        <v>140</v>
      </c>
      <c r="R614" s="268" t="s">
        <v>3383</v>
      </c>
      <c r="S614" s="268"/>
      <c r="T614" s="268">
        <v>1</v>
      </c>
      <c r="U614" s="268" t="s">
        <v>4880</v>
      </c>
      <c r="V614" s="269">
        <v>3</v>
      </c>
      <c r="W614" s="269"/>
      <c r="X614" s="268" t="s">
        <v>4881</v>
      </c>
      <c r="Y614" s="331" t="s">
        <v>5374</v>
      </c>
      <c r="Z614" s="332" t="s">
        <v>5375</v>
      </c>
      <c r="AA614" s="268" t="s">
        <v>4884</v>
      </c>
      <c r="AB614" s="268"/>
      <c r="AC614" s="287">
        <v>1</v>
      </c>
      <c r="AD614" s="287">
        <v>1</v>
      </c>
      <c r="AE614" s="268"/>
      <c r="AF614" s="268"/>
      <c r="AG614" s="290"/>
    </row>
    <row r="615" spans="1:33" s="259" customFormat="1" ht="15" customHeight="1" x14ac:dyDescent="0.15">
      <c r="A615" s="267">
        <v>95301104</v>
      </c>
      <c r="B615" s="268" t="s">
        <v>5371</v>
      </c>
      <c r="C615" s="268" t="s">
        <v>5307</v>
      </c>
      <c r="D615" s="268">
        <v>6901</v>
      </c>
      <c r="E615" s="268" t="s">
        <v>4876</v>
      </c>
      <c r="F615" s="268" t="s">
        <v>4877</v>
      </c>
      <c r="G615" s="269">
        <v>4</v>
      </c>
      <c r="H615" s="269">
        <v>0</v>
      </c>
      <c r="I615" s="267">
        <v>34</v>
      </c>
      <c r="J615" s="282" t="s">
        <v>5372</v>
      </c>
      <c r="K615" s="279" t="s">
        <v>5373</v>
      </c>
      <c r="L615" s="279"/>
      <c r="M615" s="268">
        <v>1</v>
      </c>
      <c r="N615" s="268" t="b">
        <v>1</v>
      </c>
      <c r="O615" s="268">
        <v>10</v>
      </c>
      <c r="P615" s="281">
        <v>150</v>
      </c>
      <c r="Q615" s="281">
        <v>200</v>
      </c>
      <c r="R615" s="268" t="s">
        <v>3383</v>
      </c>
      <c r="S615" s="268"/>
      <c r="T615" s="268">
        <v>1</v>
      </c>
      <c r="U615" s="268" t="s">
        <v>4880</v>
      </c>
      <c r="V615" s="269">
        <v>4</v>
      </c>
      <c r="W615" s="269"/>
      <c r="X615" s="268" t="s">
        <v>4881</v>
      </c>
      <c r="Y615" s="331" t="s">
        <v>5374</v>
      </c>
      <c r="Z615" s="332" t="s">
        <v>5375</v>
      </c>
      <c r="AA615" s="268" t="s">
        <v>4884</v>
      </c>
      <c r="AB615" s="268"/>
      <c r="AC615" s="287">
        <v>1</v>
      </c>
      <c r="AD615" s="287">
        <v>1</v>
      </c>
      <c r="AE615" s="268"/>
      <c r="AF615" s="268"/>
      <c r="AG615" s="290"/>
    </row>
    <row r="616" spans="1:33" s="259" customFormat="1" ht="15" customHeight="1" x14ac:dyDescent="0.15">
      <c r="A616" s="267">
        <v>95301105</v>
      </c>
      <c r="B616" s="268" t="s">
        <v>5371</v>
      </c>
      <c r="C616" s="268" t="s">
        <v>5307</v>
      </c>
      <c r="D616" s="268">
        <v>6901</v>
      </c>
      <c r="E616" s="268" t="s">
        <v>4876</v>
      </c>
      <c r="F616" s="268" t="s">
        <v>4877</v>
      </c>
      <c r="G616" s="269">
        <v>5</v>
      </c>
      <c r="H616" s="269">
        <v>0</v>
      </c>
      <c r="I616" s="267">
        <v>34</v>
      </c>
      <c r="J616" s="282" t="s">
        <v>5372</v>
      </c>
      <c r="K616" s="279" t="s">
        <v>5373</v>
      </c>
      <c r="L616" s="279"/>
      <c r="M616" s="268">
        <v>1</v>
      </c>
      <c r="N616" s="268" t="b">
        <v>1</v>
      </c>
      <c r="O616" s="268">
        <v>12</v>
      </c>
      <c r="P616" s="281">
        <v>180</v>
      </c>
      <c r="Q616" s="281">
        <v>240</v>
      </c>
      <c r="R616" s="268" t="s">
        <v>3383</v>
      </c>
      <c r="S616" s="268"/>
      <c r="T616" s="268">
        <v>1</v>
      </c>
      <c r="U616" s="268" t="s">
        <v>4880</v>
      </c>
      <c r="V616" s="269">
        <v>5</v>
      </c>
      <c r="W616" s="269"/>
      <c r="X616" s="268" t="s">
        <v>4881</v>
      </c>
      <c r="Y616" s="331" t="s">
        <v>5374</v>
      </c>
      <c r="Z616" s="332" t="s">
        <v>5375</v>
      </c>
      <c r="AA616" s="268" t="s">
        <v>4884</v>
      </c>
      <c r="AB616" s="268"/>
      <c r="AC616" s="287">
        <v>1</v>
      </c>
      <c r="AD616" s="287">
        <v>1</v>
      </c>
      <c r="AE616" s="268"/>
      <c r="AF616" s="268"/>
      <c r="AG616" s="290"/>
    </row>
    <row r="617" spans="1:33" s="259" customFormat="1" ht="15" customHeight="1" x14ac:dyDescent="0.15">
      <c r="A617" s="270">
        <v>95301106</v>
      </c>
      <c r="B617" s="268" t="s">
        <v>5371</v>
      </c>
      <c r="C617" s="268" t="s">
        <v>5307</v>
      </c>
      <c r="D617" s="268">
        <v>6901</v>
      </c>
      <c r="E617" s="268" t="s">
        <v>4876</v>
      </c>
      <c r="F617" s="268" t="s">
        <v>4877</v>
      </c>
      <c r="G617" s="269">
        <v>6</v>
      </c>
      <c r="H617" s="269">
        <v>0</v>
      </c>
      <c r="I617" s="267">
        <v>34</v>
      </c>
      <c r="J617" s="282" t="s">
        <v>5372</v>
      </c>
      <c r="K617" s="279" t="s">
        <v>5373</v>
      </c>
      <c r="L617" s="279"/>
      <c r="M617" s="268">
        <v>1</v>
      </c>
      <c r="N617" s="268" t="b">
        <v>1</v>
      </c>
      <c r="O617" s="268">
        <v>25</v>
      </c>
      <c r="P617" s="281">
        <v>375</v>
      </c>
      <c r="Q617" s="281">
        <v>500</v>
      </c>
      <c r="R617" s="268" t="s">
        <v>3383</v>
      </c>
      <c r="S617" s="268"/>
      <c r="T617" s="268">
        <v>1</v>
      </c>
      <c r="U617" s="268" t="s">
        <v>4880</v>
      </c>
      <c r="V617" s="269">
        <v>6</v>
      </c>
      <c r="W617" s="269"/>
      <c r="X617" s="268" t="s">
        <v>4881</v>
      </c>
      <c r="Y617" s="331" t="s">
        <v>5374</v>
      </c>
      <c r="Z617" s="332" t="s">
        <v>5375</v>
      </c>
      <c r="AA617" s="268" t="s">
        <v>4884</v>
      </c>
      <c r="AB617" s="268"/>
      <c r="AC617" s="287">
        <v>1</v>
      </c>
      <c r="AD617" s="287">
        <v>1</v>
      </c>
      <c r="AE617" s="268"/>
      <c r="AF617" s="268"/>
      <c r="AG617" s="290"/>
    </row>
    <row r="618" spans="1:33" s="259" customFormat="1" ht="15" customHeight="1" x14ac:dyDescent="0.15">
      <c r="A618" s="270">
        <v>95301107</v>
      </c>
      <c r="B618" s="268" t="s">
        <v>5371</v>
      </c>
      <c r="C618" s="268" t="s">
        <v>5307</v>
      </c>
      <c r="D618" s="268">
        <v>6901</v>
      </c>
      <c r="E618" s="268" t="s">
        <v>4876</v>
      </c>
      <c r="F618" s="268" t="s">
        <v>4877</v>
      </c>
      <c r="G618" s="269">
        <v>7</v>
      </c>
      <c r="H618" s="269">
        <v>0</v>
      </c>
      <c r="I618" s="267">
        <v>34</v>
      </c>
      <c r="J618" s="282" t="s">
        <v>5372</v>
      </c>
      <c r="K618" s="279" t="s">
        <v>5373</v>
      </c>
      <c r="L618" s="279"/>
      <c r="M618" s="268">
        <v>1</v>
      </c>
      <c r="N618" s="268" t="b">
        <v>1</v>
      </c>
      <c r="O618" s="268">
        <v>38</v>
      </c>
      <c r="P618" s="281">
        <v>570</v>
      </c>
      <c r="Q618" s="281">
        <v>760</v>
      </c>
      <c r="R618" s="268" t="s">
        <v>3383</v>
      </c>
      <c r="S618" s="268"/>
      <c r="T618" s="268">
        <v>1</v>
      </c>
      <c r="U618" s="268" t="s">
        <v>4880</v>
      </c>
      <c r="V618" s="269">
        <v>7</v>
      </c>
      <c r="W618" s="269"/>
      <c r="X618" s="268" t="s">
        <v>4881</v>
      </c>
      <c r="Y618" s="331" t="s">
        <v>5374</v>
      </c>
      <c r="Z618" s="332" t="s">
        <v>5375</v>
      </c>
      <c r="AA618" s="268" t="s">
        <v>4884</v>
      </c>
      <c r="AB618" s="268"/>
      <c r="AC618" s="287">
        <v>1</v>
      </c>
      <c r="AD618" s="287">
        <v>1</v>
      </c>
      <c r="AE618" s="268"/>
      <c r="AF618" s="268"/>
      <c r="AG618" s="290"/>
    </row>
    <row r="619" spans="1:33" s="259" customFormat="1" ht="15" customHeight="1" x14ac:dyDescent="0.15">
      <c r="A619" s="271">
        <v>95301108</v>
      </c>
      <c r="B619" s="272" t="s">
        <v>5376</v>
      </c>
      <c r="C619" s="272" t="s">
        <v>5307</v>
      </c>
      <c r="D619" s="272">
        <v>5081</v>
      </c>
      <c r="E619" s="272" t="s">
        <v>4876</v>
      </c>
      <c r="F619" s="272" t="s">
        <v>4877</v>
      </c>
      <c r="G619" s="269">
        <v>6</v>
      </c>
      <c r="H619" s="273">
        <v>0</v>
      </c>
      <c r="I619" s="283">
        <v>34</v>
      </c>
      <c r="J619" s="284" t="s">
        <v>5372</v>
      </c>
      <c r="K619" s="285" t="s">
        <v>5373</v>
      </c>
      <c r="L619" s="272" t="s">
        <v>44</v>
      </c>
      <c r="M619" s="272">
        <v>1</v>
      </c>
      <c r="N619" s="272" t="b">
        <v>1</v>
      </c>
      <c r="O619" s="272">
        <v>51</v>
      </c>
      <c r="P619" s="281">
        <v>765</v>
      </c>
      <c r="Q619" s="281">
        <v>1020</v>
      </c>
      <c r="R619" s="272" t="s">
        <v>3383</v>
      </c>
      <c r="S619" s="272"/>
      <c r="T619" s="272">
        <v>1</v>
      </c>
      <c r="U619" s="272" t="s">
        <v>4880</v>
      </c>
      <c r="V619" s="273">
        <v>10</v>
      </c>
      <c r="W619" s="273"/>
      <c r="X619" s="272" t="s">
        <v>4881</v>
      </c>
      <c r="Y619" s="333" t="s">
        <v>5374</v>
      </c>
      <c r="Z619" s="334" t="s">
        <v>5375</v>
      </c>
      <c r="AA619" s="272" t="s">
        <v>4884</v>
      </c>
      <c r="AB619" s="272"/>
      <c r="AC619" s="289">
        <v>1</v>
      </c>
      <c r="AD619" s="289">
        <v>1</v>
      </c>
      <c r="AE619" s="289"/>
      <c r="AF619" s="272"/>
      <c r="AG619" s="272"/>
    </row>
    <row r="620" spans="1:33" s="259" customFormat="1" ht="15" customHeight="1" x14ac:dyDescent="0.15">
      <c r="A620" s="271">
        <v>95301109</v>
      </c>
      <c r="B620" s="272" t="s">
        <v>5377</v>
      </c>
      <c r="C620" s="272" t="s">
        <v>5307</v>
      </c>
      <c r="D620" s="272">
        <v>5081</v>
      </c>
      <c r="E620" s="272" t="s">
        <v>4876</v>
      </c>
      <c r="F620" s="272" t="s">
        <v>4877</v>
      </c>
      <c r="G620" s="269">
        <v>6</v>
      </c>
      <c r="H620" s="273">
        <v>0</v>
      </c>
      <c r="I620" s="283">
        <v>34</v>
      </c>
      <c r="J620" s="284" t="s">
        <v>5372</v>
      </c>
      <c r="K620" s="285" t="s">
        <v>5373</v>
      </c>
      <c r="L620" s="272" t="s">
        <v>4887</v>
      </c>
      <c r="M620" s="272">
        <v>1</v>
      </c>
      <c r="N620" s="272" t="b">
        <v>1</v>
      </c>
      <c r="O620" s="272">
        <v>64</v>
      </c>
      <c r="P620" s="281">
        <v>960</v>
      </c>
      <c r="Q620" s="281">
        <v>1280</v>
      </c>
      <c r="R620" s="272" t="s">
        <v>3383</v>
      </c>
      <c r="S620" s="272"/>
      <c r="T620" s="272">
        <v>1</v>
      </c>
      <c r="U620" s="272" t="s">
        <v>4880</v>
      </c>
      <c r="V620" s="273">
        <v>10</v>
      </c>
      <c r="W620" s="273"/>
      <c r="X620" s="272" t="s">
        <v>4881</v>
      </c>
      <c r="Y620" s="333" t="s">
        <v>5374</v>
      </c>
      <c r="Z620" s="334" t="s">
        <v>5375</v>
      </c>
      <c r="AA620" s="272" t="s">
        <v>4884</v>
      </c>
      <c r="AB620" s="272"/>
      <c r="AC620" s="289">
        <v>1</v>
      </c>
      <c r="AD620" s="289">
        <v>1</v>
      </c>
      <c r="AE620" s="289"/>
      <c r="AF620" s="272"/>
      <c r="AG620" s="272"/>
    </row>
    <row r="621" spans="1:33" s="259" customFormat="1" ht="15" customHeight="1" x14ac:dyDescent="0.15">
      <c r="A621" s="271">
        <v>95301110</v>
      </c>
      <c r="B621" s="272" t="s">
        <v>5378</v>
      </c>
      <c r="C621" s="272" t="s">
        <v>5307</v>
      </c>
      <c r="D621" s="272">
        <v>5081</v>
      </c>
      <c r="E621" s="272" t="s">
        <v>4876</v>
      </c>
      <c r="F621" s="272" t="s">
        <v>4877</v>
      </c>
      <c r="G621" s="269">
        <v>7</v>
      </c>
      <c r="H621" s="273">
        <v>0</v>
      </c>
      <c r="I621" s="283">
        <v>34</v>
      </c>
      <c r="J621" s="284" t="s">
        <v>5372</v>
      </c>
      <c r="K621" s="285" t="s">
        <v>5373</v>
      </c>
      <c r="L621" s="272" t="s">
        <v>4889</v>
      </c>
      <c r="M621" s="272">
        <v>1</v>
      </c>
      <c r="N621" s="272" t="b">
        <v>1</v>
      </c>
      <c r="O621" s="272">
        <v>77</v>
      </c>
      <c r="P621" s="281">
        <v>1155</v>
      </c>
      <c r="Q621" s="281">
        <v>1540</v>
      </c>
      <c r="R621" s="272" t="s">
        <v>3383</v>
      </c>
      <c r="S621" s="272"/>
      <c r="T621" s="272">
        <v>1</v>
      </c>
      <c r="U621" s="272" t="s">
        <v>4880</v>
      </c>
      <c r="V621" s="273">
        <v>10</v>
      </c>
      <c r="W621" s="273"/>
      <c r="X621" s="272" t="s">
        <v>4881</v>
      </c>
      <c r="Y621" s="333" t="s">
        <v>5374</v>
      </c>
      <c r="Z621" s="334" t="s">
        <v>5375</v>
      </c>
      <c r="AA621" s="272" t="s">
        <v>4884</v>
      </c>
      <c r="AB621" s="272"/>
      <c r="AC621" s="289">
        <v>1</v>
      </c>
      <c r="AD621" s="289">
        <v>1</v>
      </c>
      <c r="AE621" s="289"/>
      <c r="AF621" s="272"/>
      <c r="AG621" s="272"/>
    </row>
    <row r="622" spans="1:33" s="259" customFormat="1" ht="15" customHeight="1" x14ac:dyDescent="0.15">
      <c r="A622" s="267">
        <v>95301111</v>
      </c>
      <c r="B622" s="268" t="s">
        <v>5379</v>
      </c>
      <c r="C622" s="268" t="s">
        <v>5307</v>
      </c>
      <c r="D622" s="268">
        <v>6901</v>
      </c>
      <c r="E622" s="268" t="s">
        <v>4876</v>
      </c>
      <c r="F622" s="268" t="s">
        <v>4877</v>
      </c>
      <c r="G622" s="269">
        <v>1</v>
      </c>
      <c r="H622" s="269">
        <v>0</v>
      </c>
      <c r="I622" s="267">
        <v>34</v>
      </c>
      <c r="J622" s="282" t="s">
        <v>5380</v>
      </c>
      <c r="K622" s="279" t="s">
        <v>5381</v>
      </c>
      <c r="L622" s="279"/>
      <c r="M622" s="268">
        <v>1</v>
      </c>
      <c r="N622" s="268" t="b">
        <v>1</v>
      </c>
      <c r="O622" s="268">
        <v>200</v>
      </c>
      <c r="P622" s="281">
        <v>3000</v>
      </c>
      <c r="Q622" s="281">
        <v>4000</v>
      </c>
      <c r="R622" s="268" t="s">
        <v>3383</v>
      </c>
      <c r="S622" s="268"/>
      <c r="T622" s="268">
        <v>1</v>
      </c>
      <c r="U622" s="268" t="s">
        <v>4880</v>
      </c>
      <c r="V622" s="269">
        <v>1</v>
      </c>
      <c r="W622" s="269"/>
      <c r="X622" s="268" t="s">
        <v>4881</v>
      </c>
      <c r="Y622" s="331" t="s">
        <v>5382</v>
      </c>
      <c r="Z622" s="332" t="s">
        <v>5383</v>
      </c>
      <c r="AA622" s="268" t="s">
        <v>4884</v>
      </c>
      <c r="AB622" s="268"/>
      <c r="AC622" s="287">
        <v>1</v>
      </c>
      <c r="AD622" s="287">
        <v>1</v>
      </c>
      <c r="AE622" s="268"/>
      <c r="AF622" s="268"/>
      <c r="AG622" s="290"/>
    </row>
    <row r="623" spans="1:33" s="259" customFormat="1" ht="15" customHeight="1" x14ac:dyDescent="0.15">
      <c r="A623" s="267">
        <v>95301112</v>
      </c>
      <c r="B623" s="268" t="s">
        <v>5379</v>
      </c>
      <c r="C623" s="268" t="s">
        <v>5307</v>
      </c>
      <c r="D623" s="268">
        <v>6901</v>
      </c>
      <c r="E623" s="268" t="s">
        <v>4876</v>
      </c>
      <c r="F623" s="268" t="s">
        <v>4877</v>
      </c>
      <c r="G623" s="269">
        <v>2</v>
      </c>
      <c r="H623" s="269">
        <v>0</v>
      </c>
      <c r="I623" s="267">
        <v>34</v>
      </c>
      <c r="J623" s="282" t="s">
        <v>5380</v>
      </c>
      <c r="K623" s="279" t="s">
        <v>5381</v>
      </c>
      <c r="L623" s="279"/>
      <c r="M623" s="268">
        <v>1</v>
      </c>
      <c r="N623" s="268" t="b">
        <v>1</v>
      </c>
      <c r="O623" s="268">
        <v>500</v>
      </c>
      <c r="P623" s="281">
        <v>7500</v>
      </c>
      <c r="Q623" s="281">
        <v>10000</v>
      </c>
      <c r="R623" s="268" t="s">
        <v>3383</v>
      </c>
      <c r="S623" s="268"/>
      <c r="T623" s="268">
        <v>1</v>
      </c>
      <c r="U623" s="268" t="s">
        <v>4880</v>
      </c>
      <c r="V623" s="269">
        <v>2</v>
      </c>
      <c r="W623" s="269"/>
      <c r="X623" s="268" t="s">
        <v>4881</v>
      </c>
      <c r="Y623" s="331" t="s">
        <v>5382</v>
      </c>
      <c r="Z623" s="332" t="s">
        <v>5383</v>
      </c>
      <c r="AA623" s="268" t="s">
        <v>4884</v>
      </c>
      <c r="AB623" s="268"/>
      <c r="AC623" s="287">
        <v>1</v>
      </c>
      <c r="AD623" s="287">
        <v>1</v>
      </c>
      <c r="AE623" s="268"/>
      <c r="AF623" s="268"/>
      <c r="AG623" s="290"/>
    </row>
    <row r="624" spans="1:33" s="259" customFormat="1" ht="15" customHeight="1" x14ac:dyDescent="0.15">
      <c r="A624" s="267">
        <v>95301113</v>
      </c>
      <c r="B624" s="268" t="s">
        <v>5379</v>
      </c>
      <c r="C624" s="268" t="s">
        <v>5307</v>
      </c>
      <c r="D624" s="268">
        <v>6901</v>
      </c>
      <c r="E624" s="268" t="s">
        <v>4876</v>
      </c>
      <c r="F624" s="268" t="s">
        <v>4877</v>
      </c>
      <c r="G624" s="269">
        <v>3</v>
      </c>
      <c r="H624" s="269">
        <v>0</v>
      </c>
      <c r="I624" s="267">
        <v>34</v>
      </c>
      <c r="J624" s="282" t="s">
        <v>5380</v>
      </c>
      <c r="K624" s="279" t="s">
        <v>5381</v>
      </c>
      <c r="L624" s="279"/>
      <c r="M624" s="268">
        <v>1</v>
      </c>
      <c r="N624" s="268" t="b">
        <v>1</v>
      </c>
      <c r="O624" s="268">
        <v>700</v>
      </c>
      <c r="P624" s="281">
        <v>10500</v>
      </c>
      <c r="Q624" s="281">
        <v>14000</v>
      </c>
      <c r="R624" s="268" t="s">
        <v>3383</v>
      </c>
      <c r="S624" s="268"/>
      <c r="T624" s="268">
        <v>1</v>
      </c>
      <c r="U624" s="268" t="s">
        <v>4880</v>
      </c>
      <c r="V624" s="269">
        <v>3</v>
      </c>
      <c r="W624" s="269"/>
      <c r="X624" s="268" t="s">
        <v>4881</v>
      </c>
      <c r="Y624" s="331" t="s">
        <v>5382</v>
      </c>
      <c r="Z624" s="332" t="s">
        <v>5383</v>
      </c>
      <c r="AA624" s="268" t="s">
        <v>4884</v>
      </c>
      <c r="AB624" s="268"/>
      <c r="AC624" s="287">
        <v>1</v>
      </c>
      <c r="AD624" s="287">
        <v>1</v>
      </c>
      <c r="AE624" s="268"/>
      <c r="AF624" s="268"/>
      <c r="AG624" s="290"/>
    </row>
    <row r="625" spans="1:33" s="259" customFormat="1" ht="15" customHeight="1" x14ac:dyDescent="0.15">
      <c r="A625" s="267">
        <v>95301114</v>
      </c>
      <c r="B625" s="268" t="s">
        <v>5379</v>
      </c>
      <c r="C625" s="268" t="s">
        <v>5307</v>
      </c>
      <c r="D625" s="268">
        <v>6901</v>
      </c>
      <c r="E625" s="268" t="s">
        <v>4876</v>
      </c>
      <c r="F625" s="268" t="s">
        <v>4877</v>
      </c>
      <c r="G625" s="269">
        <v>4</v>
      </c>
      <c r="H625" s="269">
        <v>0</v>
      </c>
      <c r="I625" s="267">
        <v>34</v>
      </c>
      <c r="J625" s="282" t="s">
        <v>5380</v>
      </c>
      <c r="K625" s="279" t="s">
        <v>5381</v>
      </c>
      <c r="L625" s="279"/>
      <c r="M625" s="268">
        <v>1</v>
      </c>
      <c r="N625" s="268" t="b">
        <v>1</v>
      </c>
      <c r="O625" s="268">
        <v>1000</v>
      </c>
      <c r="P625" s="281">
        <v>15000</v>
      </c>
      <c r="Q625" s="281">
        <v>20000</v>
      </c>
      <c r="R625" s="268" t="s">
        <v>3383</v>
      </c>
      <c r="S625" s="268"/>
      <c r="T625" s="268">
        <v>1</v>
      </c>
      <c r="U625" s="268" t="s">
        <v>4880</v>
      </c>
      <c r="V625" s="269">
        <v>4</v>
      </c>
      <c r="W625" s="269"/>
      <c r="X625" s="268" t="s">
        <v>4881</v>
      </c>
      <c r="Y625" s="331" t="s">
        <v>5382</v>
      </c>
      <c r="Z625" s="332" t="s">
        <v>5383</v>
      </c>
      <c r="AA625" s="268" t="s">
        <v>4884</v>
      </c>
      <c r="AB625" s="268"/>
      <c r="AC625" s="287">
        <v>1</v>
      </c>
      <c r="AD625" s="287">
        <v>1</v>
      </c>
      <c r="AE625" s="268"/>
      <c r="AF625" s="268"/>
      <c r="AG625" s="290"/>
    </row>
    <row r="626" spans="1:33" s="259" customFormat="1" ht="15" customHeight="1" x14ac:dyDescent="0.15">
      <c r="A626" s="267">
        <v>95301115</v>
      </c>
      <c r="B626" s="268" t="s">
        <v>5379</v>
      </c>
      <c r="C626" s="268" t="s">
        <v>5307</v>
      </c>
      <c r="D626" s="268">
        <v>6901</v>
      </c>
      <c r="E626" s="268" t="s">
        <v>4876</v>
      </c>
      <c r="F626" s="268" t="s">
        <v>4877</v>
      </c>
      <c r="G626" s="269">
        <v>5</v>
      </c>
      <c r="H626" s="269">
        <v>0</v>
      </c>
      <c r="I626" s="267">
        <v>34</v>
      </c>
      <c r="J626" s="282" t="s">
        <v>5380</v>
      </c>
      <c r="K626" s="279" t="s">
        <v>5381</v>
      </c>
      <c r="L626" s="279"/>
      <c r="M626" s="268">
        <v>1</v>
      </c>
      <c r="N626" s="268" t="b">
        <v>1</v>
      </c>
      <c r="O626" s="268">
        <v>1200</v>
      </c>
      <c r="P626" s="281">
        <v>18000</v>
      </c>
      <c r="Q626" s="281">
        <v>24000</v>
      </c>
      <c r="R626" s="268" t="s">
        <v>3383</v>
      </c>
      <c r="S626" s="268"/>
      <c r="T626" s="268">
        <v>1</v>
      </c>
      <c r="U626" s="268" t="s">
        <v>4880</v>
      </c>
      <c r="V626" s="269">
        <v>5</v>
      </c>
      <c r="W626" s="269"/>
      <c r="X626" s="268" t="s">
        <v>4881</v>
      </c>
      <c r="Y626" s="331" t="s">
        <v>5382</v>
      </c>
      <c r="Z626" s="332" t="s">
        <v>5383</v>
      </c>
      <c r="AA626" s="268" t="s">
        <v>4884</v>
      </c>
      <c r="AB626" s="268"/>
      <c r="AC626" s="287">
        <v>1</v>
      </c>
      <c r="AD626" s="287">
        <v>1</v>
      </c>
      <c r="AE626" s="268"/>
      <c r="AF626" s="268"/>
      <c r="AG626" s="290"/>
    </row>
    <row r="627" spans="1:33" s="259" customFormat="1" ht="15" customHeight="1" x14ac:dyDescent="0.15">
      <c r="A627" s="270">
        <v>95301116</v>
      </c>
      <c r="B627" s="268" t="s">
        <v>5379</v>
      </c>
      <c r="C627" s="268" t="s">
        <v>5307</v>
      </c>
      <c r="D627" s="268">
        <v>6901</v>
      </c>
      <c r="E627" s="268" t="s">
        <v>4876</v>
      </c>
      <c r="F627" s="268" t="s">
        <v>4877</v>
      </c>
      <c r="G627" s="269">
        <v>7</v>
      </c>
      <c r="H627" s="269">
        <v>0</v>
      </c>
      <c r="I627" s="267">
        <v>34</v>
      </c>
      <c r="J627" s="282" t="s">
        <v>5380</v>
      </c>
      <c r="K627" s="279" t="s">
        <v>5381</v>
      </c>
      <c r="L627" s="279"/>
      <c r="M627" s="268">
        <v>1</v>
      </c>
      <c r="N627" s="268" t="b">
        <v>1</v>
      </c>
      <c r="O627" s="268">
        <v>2500</v>
      </c>
      <c r="P627" s="281">
        <v>37500</v>
      </c>
      <c r="Q627" s="281">
        <v>50000</v>
      </c>
      <c r="R627" s="268" t="s">
        <v>3383</v>
      </c>
      <c r="S627" s="268"/>
      <c r="T627" s="268">
        <v>1</v>
      </c>
      <c r="U627" s="268" t="s">
        <v>4880</v>
      </c>
      <c r="V627" s="269">
        <v>7</v>
      </c>
      <c r="W627" s="269"/>
      <c r="X627" s="268" t="s">
        <v>4881</v>
      </c>
      <c r="Y627" s="331" t="s">
        <v>5382</v>
      </c>
      <c r="Z627" s="332" t="s">
        <v>5383</v>
      </c>
      <c r="AA627" s="268" t="s">
        <v>4884</v>
      </c>
      <c r="AB627" s="268"/>
      <c r="AC627" s="287">
        <v>1</v>
      </c>
      <c r="AD627" s="287">
        <v>1</v>
      </c>
      <c r="AE627" s="268"/>
      <c r="AF627" s="268"/>
      <c r="AG627" s="290"/>
    </row>
    <row r="628" spans="1:33" s="259" customFormat="1" ht="15" customHeight="1" x14ac:dyDescent="0.15">
      <c r="A628" s="270">
        <v>95301117</v>
      </c>
      <c r="B628" s="268" t="s">
        <v>5379</v>
      </c>
      <c r="C628" s="268" t="s">
        <v>5307</v>
      </c>
      <c r="D628" s="268">
        <v>6901</v>
      </c>
      <c r="E628" s="268" t="s">
        <v>4876</v>
      </c>
      <c r="F628" s="268" t="s">
        <v>4877</v>
      </c>
      <c r="G628" s="269">
        <v>6</v>
      </c>
      <c r="H628" s="269">
        <v>0</v>
      </c>
      <c r="I628" s="267">
        <v>34</v>
      </c>
      <c r="J628" s="282" t="s">
        <v>5380</v>
      </c>
      <c r="K628" s="279" t="s">
        <v>5381</v>
      </c>
      <c r="L628" s="279"/>
      <c r="M628" s="268">
        <v>1</v>
      </c>
      <c r="N628" s="268" t="b">
        <v>1</v>
      </c>
      <c r="O628" s="268">
        <v>3800</v>
      </c>
      <c r="P628" s="281">
        <v>57000</v>
      </c>
      <c r="Q628" s="281">
        <v>76000</v>
      </c>
      <c r="R628" s="268" t="s">
        <v>3383</v>
      </c>
      <c r="S628" s="268"/>
      <c r="T628" s="268">
        <v>1</v>
      </c>
      <c r="U628" s="268" t="s">
        <v>4880</v>
      </c>
      <c r="V628" s="269">
        <v>6</v>
      </c>
      <c r="W628" s="269"/>
      <c r="X628" s="268" t="s">
        <v>4881</v>
      </c>
      <c r="Y628" s="331" t="s">
        <v>5382</v>
      </c>
      <c r="Z628" s="332" t="s">
        <v>5383</v>
      </c>
      <c r="AA628" s="268" t="s">
        <v>4884</v>
      </c>
      <c r="AB628" s="268"/>
      <c r="AC628" s="287">
        <v>1</v>
      </c>
      <c r="AD628" s="287">
        <v>1</v>
      </c>
      <c r="AE628" s="268"/>
      <c r="AF628" s="268"/>
      <c r="AG628" s="290"/>
    </row>
    <row r="629" spans="1:33" s="259" customFormat="1" ht="15" customHeight="1" x14ac:dyDescent="0.15">
      <c r="A629" s="271">
        <v>95301118</v>
      </c>
      <c r="B629" s="272" t="s">
        <v>5384</v>
      </c>
      <c r="C629" s="272" t="s">
        <v>5307</v>
      </c>
      <c r="D629" s="272">
        <v>5081</v>
      </c>
      <c r="E629" s="272" t="s">
        <v>4876</v>
      </c>
      <c r="F629" s="272" t="s">
        <v>4877</v>
      </c>
      <c r="G629" s="269">
        <v>6</v>
      </c>
      <c r="H629" s="273">
        <v>0</v>
      </c>
      <c r="I629" s="283">
        <v>34</v>
      </c>
      <c r="J629" s="284" t="s">
        <v>5380</v>
      </c>
      <c r="K629" s="285" t="s">
        <v>5381</v>
      </c>
      <c r="L629" s="272" t="s">
        <v>44</v>
      </c>
      <c r="M629" s="272">
        <v>1</v>
      </c>
      <c r="N629" s="272" t="b">
        <v>1</v>
      </c>
      <c r="O629" s="272">
        <v>51</v>
      </c>
      <c r="P629" s="281">
        <v>765</v>
      </c>
      <c r="Q629" s="281">
        <v>1020</v>
      </c>
      <c r="R629" s="272" t="s">
        <v>3383</v>
      </c>
      <c r="S629" s="272"/>
      <c r="T629" s="272">
        <v>1</v>
      </c>
      <c r="U629" s="272" t="s">
        <v>4880</v>
      </c>
      <c r="V629" s="273">
        <v>10</v>
      </c>
      <c r="W629" s="273"/>
      <c r="X629" s="272" t="s">
        <v>4881</v>
      </c>
      <c r="Y629" s="333" t="s">
        <v>5382</v>
      </c>
      <c r="Z629" s="334" t="s">
        <v>5383</v>
      </c>
      <c r="AA629" s="272" t="s">
        <v>4884</v>
      </c>
      <c r="AB629" s="272"/>
      <c r="AC629" s="289">
        <v>1</v>
      </c>
      <c r="AD629" s="289">
        <v>1</v>
      </c>
      <c r="AE629" s="289"/>
      <c r="AF629" s="272"/>
      <c r="AG629" s="272"/>
    </row>
    <row r="630" spans="1:33" s="259" customFormat="1" ht="15" customHeight="1" x14ac:dyDescent="0.15">
      <c r="A630" s="271">
        <v>95301119</v>
      </c>
      <c r="B630" s="272" t="s">
        <v>5385</v>
      </c>
      <c r="C630" s="272" t="s">
        <v>5307</v>
      </c>
      <c r="D630" s="272">
        <v>5081</v>
      </c>
      <c r="E630" s="272" t="s">
        <v>4876</v>
      </c>
      <c r="F630" s="272" t="s">
        <v>4877</v>
      </c>
      <c r="G630" s="269">
        <v>6</v>
      </c>
      <c r="H630" s="273">
        <v>0</v>
      </c>
      <c r="I630" s="283">
        <v>34</v>
      </c>
      <c r="J630" s="284" t="s">
        <v>5380</v>
      </c>
      <c r="K630" s="285" t="s">
        <v>5381</v>
      </c>
      <c r="L630" s="272" t="s">
        <v>4887</v>
      </c>
      <c r="M630" s="272">
        <v>1</v>
      </c>
      <c r="N630" s="272" t="b">
        <v>1</v>
      </c>
      <c r="O630" s="272">
        <v>64</v>
      </c>
      <c r="P630" s="281">
        <v>960</v>
      </c>
      <c r="Q630" s="281">
        <v>1280</v>
      </c>
      <c r="R630" s="272" t="s">
        <v>3383</v>
      </c>
      <c r="S630" s="272"/>
      <c r="T630" s="272">
        <v>1</v>
      </c>
      <c r="U630" s="272" t="s">
        <v>4880</v>
      </c>
      <c r="V630" s="273">
        <v>10</v>
      </c>
      <c r="W630" s="273"/>
      <c r="X630" s="272" t="s">
        <v>4881</v>
      </c>
      <c r="Y630" s="333" t="s">
        <v>5382</v>
      </c>
      <c r="Z630" s="334" t="s">
        <v>5383</v>
      </c>
      <c r="AA630" s="272" t="s">
        <v>4884</v>
      </c>
      <c r="AB630" s="272"/>
      <c r="AC630" s="289">
        <v>1</v>
      </c>
      <c r="AD630" s="289">
        <v>1</v>
      </c>
      <c r="AE630" s="289"/>
      <c r="AF630" s="272"/>
      <c r="AG630" s="272"/>
    </row>
    <row r="631" spans="1:33" s="259" customFormat="1" ht="15" customHeight="1" x14ac:dyDescent="0.15">
      <c r="A631" s="271">
        <v>95301120</v>
      </c>
      <c r="B631" s="272" t="s">
        <v>5386</v>
      </c>
      <c r="C631" s="272" t="s">
        <v>5307</v>
      </c>
      <c r="D631" s="272">
        <v>5081</v>
      </c>
      <c r="E631" s="272" t="s">
        <v>4876</v>
      </c>
      <c r="F631" s="272" t="s">
        <v>4877</v>
      </c>
      <c r="G631" s="269">
        <v>7</v>
      </c>
      <c r="H631" s="273">
        <v>0</v>
      </c>
      <c r="I631" s="283">
        <v>34</v>
      </c>
      <c r="J631" s="284" t="s">
        <v>5380</v>
      </c>
      <c r="K631" s="285" t="s">
        <v>5381</v>
      </c>
      <c r="L631" s="272" t="s">
        <v>4889</v>
      </c>
      <c r="M631" s="272">
        <v>1</v>
      </c>
      <c r="N631" s="272" t="b">
        <v>1</v>
      </c>
      <c r="O631" s="272">
        <v>77</v>
      </c>
      <c r="P631" s="281">
        <v>1155</v>
      </c>
      <c r="Q631" s="281">
        <v>1540</v>
      </c>
      <c r="R631" s="272" t="s">
        <v>3383</v>
      </c>
      <c r="S631" s="272"/>
      <c r="T631" s="272">
        <v>1</v>
      </c>
      <c r="U631" s="272" t="s">
        <v>4880</v>
      </c>
      <c r="V631" s="273">
        <v>10</v>
      </c>
      <c r="W631" s="273"/>
      <c r="X631" s="272" t="s">
        <v>4881</v>
      </c>
      <c r="Y631" s="333" t="s">
        <v>5382</v>
      </c>
      <c r="Z631" s="334" t="s">
        <v>5383</v>
      </c>
      <c r="AA631" s="272" t="s">
        <v>4884</v>
      </c>
      <c r="AB631" s="272"/>
      <c r="AC631" s="289">
        <v>1</v>
      </c>
      <c r="AD631" s="289">
        <v>1</v>
      </c>
      <c r="AE631" s="289"/>
      <c r="AF631" s="272"/>
      <c r="AG631" s="272"/>
    </row>
    <row r="632" spans="1:33" s="259" customFormat="1" ht="15" customHeight="1" x14ac:dyDescent="0.15">
      <c r="A632" s="267">
        <v>95301121</v>
      </c>
      <c r="B632" s="268" t="s">
        <v>5387</v>
      </c>
      <c r="C632" s="268" t="s">
        <v>5307</v>
      </c>
      <c r="D632" s="268">
        <v>6901</v>
      </c>
      <c r="E632" s="268" t="s">
        <v>4876</v>
      </c>
      <c r="F632" s="268" t="s">
        <v>4877</v>
      </c>
      <c r="G632" s="269">
        <v>1</v>
      </c>
      <c r="H632" s="269">
        <v>0</v>
      </c>
      <c r="I632" s="267">
        <v>34</v>
      </c>
      <c r="J632" s="282" t="s">
        <v>5388</v>
      </c>
      <c r="K632" s="279" t="s">
        <v>5389</v>
      </c>
      <c r="L632" s="279"/>
      <c r="M632" s="268">
        <v>1</v>
      </c>
      <c r="N632" s="268" t="b">
        <v>1</v>
      </c>
      <c r="O632" s="268">
        <v>2</v>
      </c>
      <c r="P632" s="281">
        <v>30</v>
      </c>
      <c r="Q632" s="281">
        <v>40</v>
      </c>
      <c r="R632" s="268" t="s">
        <v>3383</v>
      </c>
      <c r="S632" s="268"/>
      <c r="T632" s="268">
        <v>1</v>
      </c>
      <c r="U632" s="268" t="s">
        <v>4880</v>
      </c>
      <c r="V632" s="269">
        <v>1</v>
      </c>
      <c r="W632" s="269"/>
      <c r="X632" s="268" t="s">
        <v>4881</v>
      </c>
      <c r="Y632" s="331" t="s">
        <v>5390</v>
      </c>
      <c r="Z632" s="332" t="s">
        <v>5391</v>
      </c>
      <c r="AA632" s="268" t="s">
        <v>4884</v>
      </c>
      <c r="AB632" s="268"/>
      <c r="AC632" s="287">
        <v>1</v>
      </c>
      <c r="AD632" s="287">
        <v>1</v>
      </c>
      <c r="AE632" s="268"/>
      <c r="AF632" s="268"/>
      <c r="AG632" s="290"/>
    </row>
    <row r="633" spans="1:33" s="259" customFormat="1" ht="15" customHeight="1" x14ac:dyDescent="0.15">
      <c r="A633" s="267">
        <v>95301122</v>
      </c>
      <c r="B633" s="268" t="s">
        <v>5387</v>
      </c>
      <c r="C633" s="268" t="s">
        <v>5307</v>
      </c>
      <c r="D633" s="268">
        <v>6901</v>
      </c>
      <c r="E633" s="268" t="s">
        <v>4876</v>
      </c>
      <c r="F633" s="268" t="s">
        <v>4877</v>
      </c>
      <c r="G633" s="269">
        <v>2</v>
      </c>
      <c r="H633" s="269">
        <v>0</v>
      </c>
      <c r="I633" s="267">
        <v>34</v>
      </c>
      <c r="J633" s="282" t="s">
        <v>5388</v>
      </c>
      <c r="K633" s="279" t="s">
        <v>5389</v>
      </c>
      <c r="L633" s="279"/>
      <c r="M633" s="268">
        <v>1</v>
      </c>
      <c r="N633" s="268" t="b">
        <v>1</v>
      </c>
      <c r="O633" s="268">
        <v>5</v>
      </c>
      <c r="P633" s="281">
        <v>75</v>
      </c>
      <c r="Q633" s="281">
        <v>100</v>
      </c>
      <c r="R633" s="268" t="s">
        <v>3383</v>
      </c>
      <c r="S633" s="268"/>
      <c r="T633" s="268">
        <v>1</v>
      </c>
      <c r="U633" s="268" t="s">
        <v>4880</v>
      </c>
      <c r="V633" s="269">
        <v>2</v>
      </c>
      <c r="W633" s="269"/>
      <c r="X633" s="268" t="s">
        <v>4881</v>
      </c>
      <c r="Y633" s="331" t="s">
        <v>5390</v>
      </c>
      <c r="Z633" s="332" t="s">
        <v>5391</v>
      </c>
      <c r="AA633" s="268" t="s">
        <v>4884</v>
      </c>
      <c r="AB633" s="268"/>
      <c r="AC633" s="287">
        <v>1</v>
      </c>
      <c r="AD633" s="287">
        <v>1</v>
      </c>
      <c r="AE633" s="268"/>
      <c r="AF633" s="268"/>
      <c r="AG633" s="290"/>
    </row>
    <row r="634" spans="1:33" s="259" customFormat="1" ht="15" customHeight="1" x14ac:dyDescent="0.15">
      <c r="A634" s="267">
        <v>95301123</v>
      </c>
      <c r="B634" s="268" t="s">
        <v>5387</v>
      </c>
      <c r="C634" s="268" t="s">
        <v>5307</v>
      </c>
      <c r="D634" s="268">
        <v>6901</v>
      </c>
      <c r="E634" s="268" t="s">
        <v>4876</v>
      </c>
      <c r="F634" s="268" t="s">
        <v>4877</v>
      </c>
      <c r="G634" s="269">
        <v>3</v>
      </c>
      <c r="H634" s="269">
        <v>0</v>
      </c>
      <c r="I634" s="267">
        <v>34</v>
      </c>
      <c r="J634" s="282" t="s">
        <v>5388</v>
      </c>
      <c r="K634" s="279" t="s">
        <v>5389</v>
      </c>
      <c r="L634" s="279"/>
      <c r="M634" s="268">
        <v>1</v>
      </c>
      <c r="N634" s="268" t="b">
        <v>1</v>
      </c>
      <c r="O634" s="268">
        <v>7</v>
      </c>
      <c r="P634" s="281">
        <v>105</v>
      </c>
      <c r="Q634" s="281">
        <v>140</v>
      </c>
      <c r="R634" s="268" t="s">
        <v>3383</v>
      </c>
      <c r="S634" s="268"/>
      <c r="T634" s="268">
        <v>1</v>
      </c>
      <c r="U634" s="268" t="s">
        <v>4880</v>
      </c>
      <c r="V634" s="269">
        <v>3</v>
      </c>
      <c r="W634" s="269"/>
      <c r="X634" s="268" t="s">
        <v>4881</v>
      </c>
      <c r="Y634" s="331" t="s">
        <v>5390</v>
      </c>
      <c r="Z634" s="332" t="s">
        <v>5391</v>
      </c>
      <c r="AA634" s="268" t="s">
        <v>4884</v>
      </c>
      <c r="AB634" s="268"/>
      <c r="AC634" s="287">
        <v>1</v>
      </c>
      <c r="AD634" s="287">
        <v>1</v>
      </c>
      <c r="AE634" s="268"/>
      <c r="AF634" s="268"/>
      <c r="AG634" s="290"/>
    </row>
    <row r="635" spans="1:33" s="259" customFormat="1" ht="15" customHeight="1" x14ac:dyDescent="0.15">
      <c r="A635" s="267">
        <v>95301124</v>
      </c>
      <c r="B635" s="268" t="s">
        <v>5387</v>
      </c>
      <c r="C635" s="268" t="s">
        <v>5307</v>
      </c>
      <c r="D635" s="268">
        <v>6901</v>
      </c>
      <c r="E635" s="268" t="s">
        <v>4876</v>
      </c>
      <c r="F635" s="268" t="s">
        <v>4877</v>
      </c>
      <c r="G635" s="269">
        <v>4</v>
      </c>
      <c r="H635" s="269">
        <v>0</v>
      </c>
      <c r="I635" s="267">
        <v>34</v>
      </c>
      <c r="J635" s="282" t="s">
        <v>5388</v>
      </c>
      <c r="K635" s="279" t="s">
        <v>5389</v>
      </c>
      <c r="L635" s="279"/>
      <c r="M635" s="268">
        <v>1</v>
      </c>
      <c r="N635" s="268" t="b">
        <v>1</v>
      </c>
      <c r="O635" s="268">
        <v>10</v>
      </c>
      <c r="P635" s="281">
        <v>150</v>
      </c>
      <c r="Q635" s="281">
        <v>200</v>
      </c>
      <c r="R635" s="268" t="s">
        <v>3383</v>
      </c>
      <c r="S635" s="268"/>
      <c r="T635" s="268">
        <v>1</v>
      </c>
      <c r="U635" s="268" t="s">
        <v>4880</v>
      </c>
      <c r="V635" s="269">
        <v>4</v>
      </c>
      <c r="W635" s="269"/>
      <c r="X635" s="268" t="s">
        <v>4881</v>
      </c>
      <c r="Y635" s="331" t="s">
        <v>5390</v>
      </c>
      <c r="Z635" s="332" t="s">
        <v>5391</v>
      </c>
      <c r="AA635" s="268" t="s">
        <v>4884</v>
      </c>
      <c r="AB635" s="268"/>
      <c r="AC635" s="287">
        <v>1</v>
      </c>
      <c r="AD635" s="287">
        <v>1</v>
      </c>
      <c r="AE635" s="268"/>
      <c r="AF635" s="268"/>
      <c r="AG635" s="290"/>
    </row>
    <row r="636" spans="1:33" s="259" customFormat="1" ht="15" customHeight="1" x14ac:dyDescent="0.15">
      <c r="A636" s="267">
        <v>95301125</v>
      </c>
      <c r="B636" s="268" t="s">
        <v>5387</v>
      </c>
      <c r="C636" s="268" t="s">
        <v>5307</v>
      </c>
      <c r="D636" s="268">
        <v>6901</v>
      </c>
      <c r="E636" s="268" t="s">
        <v>4876</v>
      </c>
      <c r="F636" s="268" t="s">
        <v>4877</v>
      </c>
      <c r="G636" s="269">
        <v>5</v>
      </c>
      <c r="H636" s="269">
        <v>0</v>
      </c>
      <c r="I636" s="267">
        <v>34</v>
      </c>
      <c r="J636" s="282" t="s">
        <v>5388</v>
      </c>
      <c r="K636" s="279" t="s">
        <v>5389</v>
      </c>
      <c r="L636" s="279"/>
      <c r="M636" s="268">
        <v>1</v>
      </c>
      <c r="N636" s="268" t="b">
        <v>1</v>
      </c>
      <c r="O636" s="268">
        <v>12</v>
      </c>
      <c r="P636" s="281">
        <v>180</v>
      </c>
      <c r="Q636" s="281">
        <v>240</v>
      </c>
      <c r="R636" s="268" t="s">
        <v>3383</v>
      </c>
      <c r="S636" s="268"/>
      <c r="T636" s="268">
        <v>1</v>
      </c>
      <c r="U636" s="268" t="s">
        <v>4880</v>
      </c>
      <c r="V636" s="269">
        <v>5</v>
      </c>
      <c r="W636" s="269"/>
      <c r="X636" s="268" t="s">
        <v>4881</v>
      </c>
      <c r="Y636" s="331" t="s">
        <v>5390</v>
      </c>
      <c r="Z636" s="332" t="s">
        <v>5391</v>
      </c>
      <c r="AA636" s="268" t="s">
        <v>4884</v>
      </c>
      <c r="AB636" s="268"/>
      <c r="AC636" s="287">
        <v>1</v>
      </c>
      <c r="AD636" s="287">
        <v>1</v>
      </c>
      <c r="AE636" s="268"/>
      <c r="AF636" s="268"/>
      <c r="AG636" s="290"/>
    </row>
    <row r="637" spans="1:33" s="259" customFormat="1" ht="15" customHeight="1" x14ac:dyDescent="0.15">
      <c r="A637" s="270">
        <v>95301126</v>
      </c>
      <c r="B637" s="268" t="s">
        <v>5387</v>
      </c>
      <c r="C637" s="268" t="s">
        <v>5307</v>
      </c>
      <c r="D637" s="268">
        <v>6901</v>
      </c>
      <c r="E637" s="268" t="s">
        <v>4876</v>
      </c>
      <c r="F637" s="268" t="s">
        <v>4877</v>
      </c>
      <c r="G637" s="269">
        <v>6</v>
      </c>
      <c r="H637" s="269">
        <v>0</v>
      </c>
      <c r="I637" s="267">
        <v>34</v>
      </c>
      <c r="J637" s="282" t="s">
        <v>5388</v>
      </c>
      <c r="K637" s="279" t="s">
        <v>5389</v>
      </c>
      <c r="L637" s="279"/>
      <c r="M637" s="268">
        <v>1</v>
      </c>
      <c r="N637" s="268" t="b">
        <v>1</v>
      </c>
      <c r="O637" s="268">
        <v>25</v>
      </c>
      <c r="P637" s="281">
        <v>375</v>
      </c>
      <c r="Q637" s="281">
        <v>500</v>
      </c>
      <c r="R637" s="268" t="s">
        <v>3383</v>
      </c>
      <c r="S637" s="268"/>
      <c r="T637" s="268">
        <v>1</v>
      </c>
      <c r="U637" s="268" t="s">
        <v>4880</v>
      </c>
      <c r="V637" s="269">
        <v>6</v>
      </c>
      <c r="W637" s="269"/>
      <c r="X637" s="268" t="s">
        <v>4881</v>
      </c>
      <c r="Y637" s="331" t="s">
        <v>5390</v>
      </c>
      <c r="Z637" s="332" t="s">
        <v>5391</v>
      </c>
      <c r="AA637" s="268" t="s">
        <v>4884</v>
      </c>
      <c r="AB637" s="268"/>
      <c r="AC637" s="287">
        <v>1</v>
      </c>
      <c r="AD637" s="287">
        <v>1</v>
      </c>
      <c r="AE637" s="268"/>
      <c r="AF637" s="268"/>
      <c r="AG637" s="290"/>
    </row>
    <row r="638" spans="1:33" s="259" customFormat="1" ht="15" customHeight="1" x14ac:dyDescent="0.15">
      <c r="A638" s="270">
        <v>95301127</v>
      </c>
      <c r="B638" s="268" t="s">
        <v>5387</v>
      </c>
      <c r="C638" s="268" t="s">
        <v>5307</v>
      </c>
      <c r="D638" s="268">
        <v>6901</v>
      </c>
      <c r="E638" s="268" t="s">
        <v>4876</v>
      </c>
      <c r="F638" s="268" t="s">
        <v>4877</v>
      </c>
      <c r="G638" s="269">
        <v>7</v>
      </c>
      <c r="H638" s="269">
        <v>0</v>
      </c>
      <c r="I638" s="267">
        <v>34</v>
      </c>
      <c r="J638" s="282" t="s">
        <v>5388</v>
      </c>
      <c r="K638" s="279" t="s">
        <v>5389</v>
      </c>
      <c r="L638" s="279"/>
      <c r="M638" s="268">
        <v>1</v>
      </c>
      <c r="N638" s="268" t="b">
        <v>1</v>
      </c>
      <c r="O638" s="268">
        <v>38</v>
      </c>
      <c r="P638" s="281">
        <v>570</v>
      </c>
      <c r="Q638" s="281">
        <v>760</v>
      </c>
      <c r="R638" s="268" t="s">
        <v>3383</v>
      </c>
      <c r="S638" s="268"/>
      <c r="T638" s="268">
        <v>1</v>
      </c>
      <c r="U638" s="268" t="s">
        <v>4880</v>
      </c>
      <c r="V638" s="269">
        <v>7</v>
      </c>
      <c r="W638" s="269"/>
      <c r="X638" s="268" t="s">
        <v>4881</v>
      </c>
      <c r="Y638" s="331" t="s">
        <v>5390</v>
      </c>
      <c r="Z638" s="332" t="s">
        <v>5391</v>
      </c>
      <c r="AA638" s="268" t="s">
        <v>4884</v>
      </c>
      <c r="AB638" s="268"/>
      <c r="AC638" s="287">
        <v>1</v>
      </c>
      <c r="AD638" s="287">
        <v>1</v>
      </c>
      <c r="AE638" s="268"/>
      <c r="AF638" s="268"/>
      <c r="AG638" s="290"/>
    </row>
    <row r="639" spans="1:33" s="259" customFormat="1" ht="15" customHeight="1" x14ac:dyDescent="0.15">
      <c r="A639" s="271">
        <v>95301128</v>
      </c>
      <c r="B639" s="272" t="s">
        <v>5392</v>
      </c>
      <c r="C639" s="272" t="s">
        <v>5307</v>
      </c>
      <c r="D639" s="272">
        <v>5081</v>
      </c>
      <c r="E639" s="272" t="s">
        <v>4876</v>
      </c>
      <c r="F639" s="272" t="s">
        <v>4877</v>
      </c>
      <c r="G639" s="269">
        <v>6</v>
      </c>
      <c r="H639" s="273">
        <v>0</v>
      </c>
      <c r="I639" s="283">
        <v>34</v>
      </c>
      <c r="J639" s="284" t="s">
        <v>5388</v>
      </c>
      <c r="K639" s="285" t="s">
        <v>5389</v>
      </c>
      <c r="L639" s="272" t="s">
        <v>44</v>
      </c>
      <c r="M639" s="272">
        <v>1</v>
      </c>
      <c r="N639" s="272" t="b">
        <v>1</v>
      </c>
      <c r="O639" s="272">
        <v>51</v>
      </c>
      <c r="P639" s="281">
        <v>765</v>
      </c>
      <c r="Q639" s="281">
        <v>1020</v>
      </c>
      <c r="R639" s="272" t="s">
        <v>3383</v>
      </c>
      <c r="S639" s="272"/>
      <c r="T639" s="272">
        <v>1</v>
      </c>
      <c r="U639" s="272" t="s">
        <v>4880</v>
      </c>
      <c r="V639" s="273">
        <v>10</v>
      </c>
      <c r="W639" s="273"/>
      <c r="X639" s="272" t="s">
        <v>4881</v>
      </c>
      <c r="Y639" s="333" t="s">
        <v>5390</v>
      </c>
      <c r="Z639" s="334" t="s">
        <v>5391</v>
      </c>
      <c r="AA639" s="272" t="s">
        <v>4884</v>
      </c>
      <c r="AB639" s="272"/>
      <c r="AC639" s="289">
        <v>1</v>
      </c>
      <c r="AD639" s="289">
        <v>1</v>
      </c>
      <c r="AE639" s="289"/>
      <c r="AF639" s="272"/>
      <c r="AG639" s="272"/>
    </row>
    <row r="640" spans="1:33" s="259" customFormat="1" ht="15" customHeight="1" x14ac:dyDescent="0.15">
      <c r="A640" s="271">
        <v>95301129</v>
      </c>
      <c r="B640" s="272" t="s">
        <v>5393</v>
      </c>
      <c r="C640" s="272" t="s">
        <v>5307</v>
      </c>
      <c r="D640" s="272">
        <v>5081</v>
      </c>
      <c r="E640" s="272" t="s">
        <v>4876</v>
      </c>
      <c r="F640" s="272" t="s">
        <v>4877</v>
      </c>
      <c r="G640" s="269">
        <v>6</v>
      </c>
      <c r="H640" s="273">
        <v>0</v>
      </c>
      <c r="I640" s="283">
        <v>34</v>
      </c>
      <c r="J640" s="284" t="s">
        <v>5388</v>
      </c>
      <c r="K640" s="285" t="s">
        <v>5389</v>
      </c>
      <c r="L640" s="272" t="s">
        <v>4887</v>
      </c>
      <c r="M640" s="272">
        <v>1</v>
      </c>
      <c r="N640" s="272" t="b">
        <v>1</v>
      </c>
      <c r="O640" s="272">
        <v>64</v>
      </c>
      <c r="P640" s="281">
        <v>960</v>
      </c>
      <c r="Q640" s="281">
        <v>1280</v>
      </c>
      <c r="R640" s="272" t="s">
        <v>3383</v>
      </c>
      <c r="S640" s="272"/>
      <c r="T640" s="272">
        <v>1</v>
      </c>
      <c r="U640" s="272" t="s">
        <v>4880</v>
      </c>
      <c r="V640" s="273">
        <v>10</v>
      </c>
      <c r="W640" s="273"/>
      <c r="X640" s="272" t="s">
        <v>4881</v>
      </c>
      <c r="Y640" s="333" t="s">
        <v>5390</v>
      </c>
      <c r="Z640" s="334" t="s">
        <v>5391</v>
      </c>
      <c r="AA640" s="272" t="s">
        <v>4884</v>
      </c>
      <c r="AB640" s="272"/>
      <c r="AC640" s="289">
        <v>1</v>
      </c>
      <c r="AD640" s="289">
        <v>1</v>
      </c>
      <c r="AE640" s="289"/>
      <c r="AF640" s="272"/>
      <c r="AG640" s="272"/>
    </row>
    <row r="641" spans="1:33" s="260" customFormat="1" ht="15" customHeight="1" x14ac:dyDescent="0.15">
      <c r="A641" s="271">
        <v>95301130</v>
      </c>
      <c r="B641" s="272" t="s">
        <v>5394</v>
      </c>
      <c r="C641" s="272" t="s">
        <v>5307</v>
      </c>
      <c r="D641" s="272">
        <v>5081</v>
      </c>
      <c r="E641" s="272" t="s">
        <v>4876</v>
      </c>
      <c r="F641" s="272" t="s">
        <v>4877</v>
      </c>
      <c r="G641" s="269">
        <v>7</v>
      </c>
      <c r="H641" s="273">
        <v>0</v>
      </c>
      <c r="I641" s="283">
        <v>34</v>
      </c>
      <c r="J641" s="284" t="s">
        <v>5388</v>
      </c>
      <c r="K641" s="285" t="s">
        <v>5389</v>
      </c>
      <c r="L641" s="272" t="s">
        <v>4889</v>
      </c>
      <c r="M641" s="272">
        <v>1</v>
      </c>
      <c r="N641" s="272" t="b">
        <v>1</v>
      </c>
      <c r="O641" s="272">
        <v>77</v>
      </c>
      <c r="P641" s="281">
        <v>1155</v>
      </c>
      <c r="Q641" s="281">
        <v>1540</v>
      </c>
      <c r="R641" s="272" t="s">
        <v>3383</v>
      </c>
      <c r="S641" s="272"/>
      <c r="T641" s="272">
        <v>1</v>
      </c>
      <c r="U641" s="272" t="s">
        <v>4880</v>
      </c>
      <c r="V641" s="273">
        <v>10</v>
      </c>
      <c r="W641" s="273"/>
      <c r="X641" s="272" t="s">
        <v>4881</v>
      </c>
      <c r="Y641" s="333" t="s">
        <v>5390</v>
      </c>
      <c r="Z641" s="334" t="s">
        <v>5391</v>
      </c>
      <c r="AA641" s="272" t="s">
        <v>4884</v>
      </c>
      <c r="AB641" s="272"/>
      <c r="AC641" s="289">
        <v>1</v>
      </c>
      <c r="AD641" s="289">
        <v>1</v>
      </c>
      <c r="AE641" s="289"/>
      <c r="AF641" s="272"/>
      <c r="AG641" s="272"/>
    </row>
    <row r="642" spans="1:33" s="260" customFormat="1" ht="15" customHeight="1" x14ac:dyDescent="0.15">
      <c r="A642" s="267">
        <v>95301131</v>
      </c>
      <c r="B642" s="280" t="s">
        <v>5395</v>
      </c>
      <c r="C642" s="280" t="s">
        <v>5307</v>
      </c>
      <c r="D642" s="280">
        <v>6901</v>
      </c>
      <c r="E642" s="268" t="s">
        <v>4876</v>
      </c>
      <c r="F642" s="268" t="s">
        <v>4877</v>
      </c>
      <c r="G642" s="269">
        <v>1</v>
      </c>
      <c r="H642" s="269">
        <v>0</v>
      </c>
      <c r="I642" s="267">
        <v>34</v>
      </c>
      <c r="J642" s="282" t="s">
        <v>5396</v>
      </c>
      <c r="K642" s="279" t="s">
        <v>5397</v>
      </c>
      <c r="L642" s="279"/>
      <c r="M642" s="268">
        <v>1</v>
      </c>
      <c r="N642" s="268" t="b">
        <v>1</v>
      </c>
      <c r="O642" s="268">
        <v>2</v>
      </c>
      <c r="P642" s="281">
        <v>30</v>
      </c>
      <c r="Q642" s="281">
        <v>40</v>
      </c>
      <c r="R642" s="268" t="s">
        <v>3383</v>
      </c>
      <c r="S642" s="268"/>
      <c r="T642" s="268">
        <v>1</v>
      </c>
      <c r="U642" s="268" t="s">
        <v>4880</v>
      </c>
      <c r="V642" s="269">
        <v>1</v>
      </c>
      <c r="W642" s="269"/>
      <c r="X642" s="268" t="s">
        <v>4881</v>
      </c>
      <c r="Y642" s="268" t="s">
        <v>5398</v>
      </c>
      <c r="Z642" s="268" t="s">
        <v>5399</v>
      </c>
      <c r="AA642" s="268" t="s">
        <v>4884</v>
      </c>
      <c r="AB642" s="268"/>
      <c r="AC642" s="287">
        <v>1</v>
      </c>
      <c r="AD642" s="287">
        <v>1</v>
      </c>
      <c r="AE642" s="268"/>
      <c r="AF642" s="268"/>
      <c r="AG642" s="290"/>
    </row>
    <row r="643" spans="1:33" s="259" customFormat="1" ht="15" customHeight="1" x14ac:dyDescent="0.15">
      <c r="A643" s="267">
        <v>95301132</v>
      </c>
      <c r="B643" s="280" t="s">
        <v>5395</v>
      </c>
      <c r="C643" s="280" t="s">
        <v>5307</v>
      </c>
      <c r="D643" s="280">
        <v>6901</v>
      </c>
      <c r="E643" s="268" t="s">
        <v>4876</v>
      </c>
      <c r="F643" s="268" t="s">
        <v>4877</v>
      </c>
      <c r="G643" s="269">
        <v>2</v>
      </c>
      <c r="H643" s="269">
        <v>0</v>
      </c>
      <c r="I643" s="267">
        <v>34</v>
      </c>
      <c r="J643" s="282" t="s">
        <v>5396</v>
      </c>
      <c r="K643" s="279" t="s">
        <v>5397</v>
      </c>
      <c r="L643" s="279"/>
      <c r="M643" s="268">
        <v>1</v>
      </c>
      <c r="N643" s="268" t="b">
        <v>1</v>
      </c>
      <c r="O643" s="268">
        <v>5</v>
      </c>
      <c r="P643" s="281">
        <v>75</v>
      </c>
      <c r="Q643" s="281">
        <v>100</v>
      </c>
      <c r="R643" s="268" t="s">
        <v>3383</v>
      </c>
      <c r="S643" s="268"/>
      <c r="T643" s="268">
        <v>1</v>
      </c>
      <c r="U643" s="268" t="s">
        <v>4880</v>
      </c>
      <c r="V643" s="269">
        <v>2</v>
      </c>
      <c r="W643" s="269"/>
      <c r="X643" s="268" t="s">
        <v>4881</v>
      </c>
      <c r="Y643" s="268" t="s">
        <v>5398</v>
      </c>
      <c r="Z643" s="268" t="s">
        <v>5399</v>
      </c>
      <c r="AA643" s="268" t="s">
        <v>4884</v>
      </c>
      <c r="AB643" s="268"/>
      <c r="AC643" s="287">
        <v>1</v>
      </c>
      <c r="AD643" s="287">
        <v>1</v>
      </c>
      <c r="AE643" s="268"/>
      <c r="AF643" s="268"/>
      <c r="AG643" s="290"/>
    </row>
    <row r="644" spans="1:33" s="259" customFormat="1" ht="15" customHeight="1" x14ac:dyDescent="0.15">
      <c r="A644" s="267">
        <v>95301133</v>
      </c>
      <c r="B644" s="280" t="s">
        <v>5395</v>
      </c>
      <c r="C644" s="280" t="s">
        <v>5307</v>
      </c>
      <c r="D644" s="280">
        <v>6901</v>
      </c>
      <c r="E644" s="268" t="s">
        <v>4876</v>
      </c>
      <c r="F644" s="268" t="s">
        <v>4877</v>
      </c>
      <c r="G644" s="269">
        <v>3</v>
      </c>
      <c r="H644" s="269">
        <v>0</v>
      </c>
      <c r="I644" s="267">
        <v>34</v>
      </c>
      <c r="J644" s="282" t="s">
        <v>5396</v>
      </c>
      <c r="K644" s="279" t="s">
        <v>5397</v>
      </c>
      <c r="L644" s="279"/>
      <c r="M644" s="268">
        <v>1</v>
      </c>
      <c r="N644" s="268" t="b">
        <v>1</v>
      </c>
      <c r="O644" s="268">
        <v>7</v>
      </c>
      <c r="P644" s="281">
        <v>105</v>
      </c>
      <c r="Q644" s="281">
        <v>140</v>
      </c>
      <c r="R644" s="268" t="s">
        <v>3383</v>
      </c>
      <c r="S644" s="268"/>
      <c r="T644" s="268">
        <v>1</v>
      </c>
      <c r="U644" s="268" t="s">
        <v>4880</v>
      </c>
      <c r="V644" s="269">
        <v>3</v>
      </c>
      <c r="W644" s="269"/>
      <c r="X644" s="268" t="s">
        <v>4881</v>
      </c>
      <c r="Y644" s="268" t="s">
        <v>5398</v>
      </c>
      <c r="Z644" s="268" t="s">
        <v>5399</v>
      </c>
      <c r="AA644" s="268" t="s">
        <v>4884</v>
      </c>
      <c r="AB644" s="268"/>
      <c r="AC644" s="287">
        <v>1</v>
      </c>
      <c r="AD644" s="287">
        <v>1</v>
      </c>
      <c r="AE644" s="268"/>
      <c r="AF644" s="268"/>
      <c r="AG644" s="290"/>
    </row>
    <row r="645" spans="1:33" s="259" customFormat="1" ht="15" customHeight="1" x14ac:dyDescent="0.15">
      <c r="A645" s="267">
        <v>95301134</v>
      </c>
      <c r="B645" s="280" t="s">
        <v>5395</v>
      </c>
      <c r="C645" s="280" t="s">
        <v>5307</v>
      </c>
      <c r="D645" s="280">
        <v>6901</v>
      </c>
      <c r="E645" s="268" t="s">
        <v>4876</v>
      </c>
      <c r="F645" s="268" t="s">
        <v>4877</v>
      </c>
      <c r="G645" s="269">
        <v>4</v>
      </c>
      <c r="H645" s="269">
        <v>0</v>
      </c>
      <c r="I645" s="267">
        <v>34</v>
      </c>
      <c r="J645" s="282" t="s">
        <v>5396</v>
      </c>
      <c r="K645" s="279" t="s">
        <v>5397</v>
      </c>
      <c r="L645" s="279"/>
      <c r="M645" s="268">
        <v>1</v>
      </c>
      <c r="N645" s="268" t="b">
        <v>1</v>
      </c>
      <c r="O645" s="268">
        <v>10</v>
      </c>
      <c r="P645" s="281">
        <v>150</v>
      </c>
      <c r="Q645" s="281">
        <v>200</v>
      </c>
      <c r="R645" s="268" t="s">
        <v>3383</v>
      </c>
      <c r="S645" s="268"/>
      <c r="T645" s="268">
        <v>1</v>
      </c>
      <c r="U645" s="268" t="s">
        <v>4880</v>
      </c>
      <c r="V645" s="305">
        <v>4</v>
      </c>
      <c r="W645" s="305"/>
      <c r="X645" s="268" t="s">
        <v>4881</v>
      </c>
      <c r="Y645" s="268" t="s">
        <v>5398</v>
      </c>
      <c r="Z645" s="268" t="s">
        <v>5399</v>
      </c>
      <c r="AA645" s="268" t="s">
        <v>4884</v>
      </c>
      <c r="AB645" s="268"/>
      <c r="AC645" s="287">
        <v>1</v>
      </c>
      <c r="AD645" s="287">
        <v>1</v>
      </c>
      <c r="AE645" s="268"/>
      <c r="AF645" s="268"/>
      <c r="AG645" s="290"/>
    </row>
    <row r="646" spans="1:33" s="259" customFormat="1" ht="15" customHeight="1" x14ac:dyDescent="0.15">
      <c r="A646" s="267">
        <v>95301135</v>
      </c>
      <c r="B646" s="268" t="s">
        <v>5395</v>
      </c>
      <c r="C646" s="268" t="s">
        <v>5307</v>
      </c>
      <c r="D646" s="268">
        <v>6901</v>
      </c>
      <c r="E646" s="268" t="s">
        <v>4876</v>
      </c>
      <c r="F646" s="268" t="s">
        <v>4877</v>
      </c>
      <c r="G646" s="269">
        <v>5</v>
      </c>
      <c r="H646" s="269">
        <v>0</v>
      </c>
      <c r="I646" s="267">
        <v>34</v>
      </c>
      <c r="J646" s="282" t="s">
        <v>5396</v>
      </c>
      <c r="K646" s="279" t="s">
        <v>5397</v>
      </c>
      <c r="L646" s="279"/>
      <c r="M646" s="268">
        <v>1</v>
      </c>
      <c r="N646" s="268" t="b">
        <v>1</v>
      </c>
      <c r="O646" s="268">
        <v>12</v>
      </c>
      <c r="P646" s="281">
        <v>180</v>
      </c>
      <c r="Q646" s="281">
        <v>240</v>
      </c>
      <c r="R646" s="268" t="s">
        <v>3383</v>
      </c>
      <c r="S646" s="268"/>
      <c r="T646" s="268">
        <v>1</v>
      </c>
      <c r="U646" s="268" t="s">
        <v>4880</v>
      </c>
      <c r="V646" s="305">
        <v>5</v>
      </c>
      <c r="W646" s="305"/>
      <c r="X646" s="268" t="s">
        <v>4881</v>
      </c>
      <c r="Y646" s="268" t="s">
        <v>5398</v>
      </c>
      <c r="Z646" s="268" t="s">
        <v>5399</v>
      </c>
      <c r="AA646" s="268" t="s">
        <v>4884</v>
      </c>
      <c r="AB646" s="268"/>
      <c r="AC646" s="287">
        <v>1</v>
      </c>
      <c r="AD646" s="287">
        <v>1</v>
      </c>
      <c r="AE646" s="268"/>
      <c r="AF646" s="268"/>
      <c r="AG646" s="290"/>
    </row>
    <row r="647" spans="1:33" s="259" customFormat="1" ht="15" customHeight="1" x14ac:dyDescent="0.15">
      <c r="A647" s="267">
        <v>95301136</v>
      </c>
      <c r="B647" s="280" t="s">
        <v>5395</v>
      </c>
      <c r="C647" s="268" t="s">
        <v>5307</v>
      </c>
      <c r="D647" s="268">
        <v>6901</v>
      </c>
      <c r="E647" s="268" t="s">
        <v>4876</v>
      </c>
      <c r="F647" s="268" t="s">
        <v>4877</v>
      </c>
      <c r="G647" s="269">
        <v>6</v>
      </c>
      <c r="H647" s="269">
        <v>0</v>
      </c>
      <c r="I647" s="267">
        <v>34</v>
      </c>
      <c r="J647" s="282" t="s">
        <v>5396</v>
      </c>
      <c r="K647" s="279" t="s">
        <v>5397</v>
      </c>
      <c r="L647" s="279"/>
      <c r="M647" s="268">
        <v>1</v>
      </c>
      <c r="N647" s="268" t="b">
        <v>1</v>
      </c>
      <c r="O647" s="268">
        <v>25</v>
      </c>
      <c r="P647" s="281">
        <v>375</v>
      </c>
      <c r="Q647" s="281">
        <v>500</v>
      </c>
      <c r="R647" s="268" t="s">
        <v>3383</v>
      </c>
      <c r="S647" s="268"/>
      <c r="T647" s="268">
        <v>1</v>
      </c>
      <c r="U647" s="268" t="s">
        <v>4880</v>
      </c>
      <c r="V647" s="305">
        <v>6</v>
      </c>
      <c r="W647" s="305"/>
      <c r="X647" s="268" t="s">
        <v>4881</v>
      </c>
      <c r="Y647" s="268" t="s">
        <v>5398</v>
      </c>
      <c r="Z647" s="268" t="s">
        <v>5399</v>
      </c>
      <c r="AA647" s="268" t="s">
        <v>4884</v>
      </c>
      <c r="AB647" s="268"/>
      <c r="AC647" s="287">
        <v>1</v>
      </c>
      <c r="AD647" s="287">
        <v>1</v>
      </c>
      <c r="AE647" s="268"/>
      <c r="AF647" s="268"/>
      <c r="AG647" s="290"/>
    </row>
    <row r="648" spans="1:33" s="259" customFormat="1" ht="15" customHeight="1" x14ac:dyDescent="0.15">
      <c r="A648" s="267">
        <v>95301137</v>
      </c>
      <c r="B648" s="280" t="s">
        <v>5395</v>
      </c>
      <c r="C648" s="280" t="s">
        <v>5307</v>
      </c>
      <c r="D648" s="280">
        <v>6901</v>
      </c>
      <c r="E648" s="268" t="s">
        <v>4876</v>
      </c>
      <c r="F648" s="268" t="s">
        <v>4877</v>
      </c>
      <c r="G648" s="269">
        <v>7</v>
      </c>
      <c r="H648" s="269">
        <v>0</v>
      </c>
      <c r="I648" s="267">
        <v>34</v>
      </c>
      <c r="J648" s="282" t="s">
        <v>5396</v>
      </c>
      <c r="K648" s="279" t="s">
        <v>5397</v>
      </c>
      <c r="L648" s="279"/>
      <c r="M648" s="268">
        <v>1</v>
      </c>
      <c r="N648" s="268" t="b">
        <v>1</v>
      </c>
      <c r="O648" s="268">
        <v>38</v>
      </c>
      <c r="P648" s="281">
        <v>570</v>
      </c>
      <c r="Q648" s="281">
        <v>760</v>
      </c>
      <c r="R648" s="268" t="s">
        <v>3383</v>
      </c>
      <c r="S648" s="268"/>
      <c r="T648" s="268">
        <v>1</v>
      </c>
      <c r="U648" s="268" t="s">
        <v>4880</v>
      </c>
      <c r="V648" s="268">
        <v>7</v>
      </c>
      <c r="W648" s="268"/>
      <c r="X648" s="268" t="s">
        <v>4881</v>
      </c>
      <c r="Y648" s="268" t="s">
        <v>5398</v>
      </c>
      <c r="Z648" s="268" t="s">
        <v>5399</v>
      </c>
      <c r="AA648" s="268" t="s">
        <v>4884</v>
      </c>
      <c r="AB648" s="268"/>
      <c r="AC648" s="287">
        <v>1</v>
      </c>
      <c r="AD648" s="287">
        <v>1</v>
      </c>
      <c r="AE648" s="268"/>
      <c r="AF648" s="268"/>
      <c r="AG648" s="290"/>
    </row>
    <row r="649" spans="1:33" s="259" customFormat="1" ht="15" customHeight="1" x14ac:dyDescent="0.15">
      <c r="A649" s="267">
        <v>95301138</v>
      </c>
      <c r="B649" s="280" t="s">
        <v>5400</v>
      </c>
      <c r="C649" s="280" t="s">
        <v>5307</v>
      </c>
      <c r="D649" s="280">
        <v>5081</v>
      </c>
      <c r="E649" s="268" t="s">
        <v>4876</v>
      </c>
      <c r="F649" s="268" t="s">
        <v>4877</v>
      </c>
      <c r="G649" s="269">
        <v>6</v>
      </c>
      <c r="H649" s="269">
        <v>1</v>
      </c>
      <c r="I649" s="267">
        <v>34</v>
      </c>
      <c r="J649" s="282" t="s">
        <v>5396</v>
      </c>
      <c r="K649" s="279" t="s">
        <v>5397</v>
      </c>
      <c r="L649" s="279" t="s">
        <v>44</v>
      </c>
      <c r="M649" s="268">
        <v>1</v>
      </c>
      <c r="N649" s="268" t="b">
        <v>1</v>
      </c>
      <c r="O649" s="268">
        <v>51</v>
      </c>
      <c r="P649" s="281">
        <v>765</v>
      </c>
      <c r="Q649" s="281">
        <v>1020</v>
      </c>
      <c r="R649" s="268" t="s">
        <v>3383</v>
      </c>
      <c r="S649" s="268"/>
      <c r="T649" s="268">
        <v>1</v>
      </c>
      <c r="U649" s="268" t="s">
        <v>4880</v>
      </c>
      <c r="V649" s="268">
        <v>10</v>
      </c>
      <c r="W649" s="268"/>
      <c r="X649" s="268" t="s">
        <v>4881</v>
      </c>
      <c r="Y649" s="268" t="s">
        <v>5398</v>
      </c>
      <c r="Z649" s="268" t="s">
        <v>5399</v>
      </c>
      <c r="AA649" s="268" t="s">
        <v>4884</v>
      </c>
      <c r="AB649" s="268"/>
      <c r="AC649" s="287">
        <v>1</v>
      </c>
      <c r="AD649" s="287">
        <v>1</v>
      </c>
      <c r="AE649" s="268"/>
      <c r="AF649" s="268"/>
      <c r="AG649" s="290"/>
    </row>
    <row r="650" spans="1:33" s="259" customFormat="1" ht="15" customHeight="1" x14ac:dyDescent="0.15">
      <c r="A650" s="267">
        <v>95301139</v>
      </c>
      <c r="B650" s="280" t="s">
        <v>5401</v>
      </c>
      <c r="C650" s="280" t="s">
        <v>5307</v>
      </c>
      <c r="D650" s="280">
        <v>5081</v>
      </c>
      <c r="E650" s="268" t="s">
        <v>4876</v>
      </c>
      <c r="F650" s="268" t="s">
        <v>4877</v>
      </c>
      <c r="G650" s="269">
        <v>6</v>
      </c>
      <c r="H650" s="269">
        <v>1</v>
      </c>
      <c r="I650" s="267">
        <v>34</v>
      </c>
      <c r="J650" s="282" t="s">
        <v>5396</v>
      </c>
      <c r="K650" s="279" t="s">
        <v>5397</v>
      </c>
      <c r="L650" s="279" t="s">
        <v>4887</v>
      </c>
      <c r="M650" s="268">
        <v>1</v>
      </c>
      <c r="N650" s="268" t="b">
        <v>1</v>
      </c>
      <c r="O650" s="268">
        <v>64</v>
      </c>
      <c r="P650" s="281">
        <v>960</v>
      </c>
      <c r="Q650" s="281">
        <v>1280</v>
      </c>
      <c r="R650" s="268" t="s">
        <v>3383</v>
      </c>
      <c r="S650" s="268"/>
      <c r="T650" s="268">
        <v>1</v>
      </c>
      <c r="U650" s="268" t="s">
        <v>4880</v>
      </c>
      <c r="V650" s="268">
        <v>10</v>
      </c>
      <c r="W650" s="268"/>
      <c r="X650" s="268" t="s">
        <v>4881</v>
      </c>
      <c r="Y650" s="268" t="s">
        <v>5398</v>
      </c>
      <c r="Z650" s="268" t="s">
        <v>5399</v>
      </c>
      <c r="AA650" s="268" t="s">
        <v>4884</v>
      </c>
      <c r="AB650" s="268"/>
      <c r="AC650" s="287">
        <v>1</v>
      </c>
      <c r="AD650" s="287">
        <v>1</v>
      </c>
      <c r="AE650" s="268"/>
      <c r="AF650" s="268"/>
      <c r="AG650" s="290"/>
    </row>
    <row r="651" spans="1:33" s="259" customFormat="1" ht="15" customHeight="1" x14ac:dyDescent="0.15">
      <c r="A651" s="267">
        <v>95301140</v>
      </c>
      <c r="B651" s="280" t="s">
        <v>5402</v>
      </c>
      <c r="C651" s="280" t="s">
        <v>5307</v>
      </c>
      <c r="D651" s="280">
        <v>5081</v>
      </c>
      <c r="E651" s="268" t="s">
        <v>4876</v>
      </c>
      <c r="F651" s="268" t="s">
        <v>4877</v>
      </c>
      <c r="G651" s="269">
        <v>7</v>
      </c>
      <c r="H651" s="269">
        <v>0</v>
      </c>
      <c r="I651" s="267">
        <v>34</v>
      </c>
      <c r="J651" s="282" t="s">
        <v>5396</v>
      </c>
      <c r="K651" s="279" t="s">
        <v>5397</v>
      </c>
      <c r="L651" s="279" t="s">
        <v>4889</v>
      </c>
      <c r="M651" s="268">
        <v>1</v>
      </c>
      <c r="N651" s="268" t="b">
        <v>1</v>
      </c>
      <c r="O651" s="268">
        <v>77</v>
      </c>
      <c r="P651" s="281">
        <v>1155</v>
      </c>
      <c r="Q651" s="281">
        <v>1540</v>
      </c>
      <c r="R651" s="268" t="s">
        <v>3383</v>
      </c>
      <c r="S651" s="268"/>
      <c r="T651" s="268">
        <v>1</v>
      </c>
      <c r="U651" s="268" t="s">
        <v>4880</v>
      </c>
      <c r="V651" s="268">
        <v>10</v>
      </c>
      <c r="W651" s="268"/>
      <c r="X651" s="268" t="s">
        <v>4881</v>
      </c>
      <c r="Y651" s="268" t="s">
        <v>5398</v>
      </c>
      <c r="Z651" s="268" t="s">
        <v>5399</v>
      </c>
      <c r="AA651" s="268" t="s">
        <v>4884</v>
      </c>
      <c r="AB651" s="268"/>
      <c r="AC651" s="287">
        <v>1</v>
      </c>
      <c r="AD651" s="287">
        <v>1</v>
      </c>
      <c r="AE651" s="268"/>
      <c r="AF651" s="268"/>
      <c r="AG651" s="290"/>
    </row>
    <row r="652" spans="1:33" s="259" customFormat="1" ht="15" customHeight="1" x14ac:dyDescent="0.15">
      <c r="A652" s="267">
        <v>95301141</v>
      </c>
      <c r="B652" s="280" t="s">
        <v>5403</v>
      </c>
      <c r="C652" s="268" t="s">
        <v>5307</v>
      </c>
      <c r="D652" s="268">
        <v>6901</v>
      </c>
      <c r="E652" s="268" t="s">
        <v>4876</v>
      </c>
      <c r="F652" s="268" t="s">
        <v>4877</v>
      </c>
      <c r="G652" s="269">
        <v>1</v>
      </c>
      <c r="H652" s="269">
        <v>0</v>
      </c>
      <c r="I652" s="267">
        <v>34</v>
      </c>
      <c r="J652" s="282" t="s">
        <v>5404</v>
      </c>
      <c r="K652" s="279" t="s">
        <v>5405</v>
      </c>
      <c r="L652" s="279"/>
      <c r="M652" s="268">
        <v>1</v>
      </c>
      <c r="N652" s="268" t="b">
        <v>1</v>
      </c>
      <c r="O652" s="268">
        <v>2</v>
      </c>
      <c r="P652" s="281">
        <v>30</v>
      </c>
      <c r="Q652" s="281">
        <v>40</v>
      </c>
      <c r="R652" s="268" t="s">
        <v>3383</v>
      </c>
      <c r="S652" s="268"/>
      <c r="T652" s="268">
        <v>1</v>
      </c>
      <c r="U652" s="268" t="s">
        <v>4880</v>
      </c>
      <c r="V652" s="268">
        <v>1</v>
      </c>
      <c r="W652" s="268"/>
      <c r="X652" s="268" t="s">
        <v>4881</v>
      </c>
      <c r="Y652" s="268" t="s">
        <v>5406</v>
      </c>
      <c r="Z652" s="268" t="s">
        <v>5407</v>
      </c>
      <c r="AA652" s="268" t="s">
        <v>4884</v>
      </c>
      <c r="AB652" s="268"/>
      <c r="AC652" s="287">
        <v>1</v>
      </c>
      <c r="AD652" s="287">
        <v>1</v>
      </c>
      <c r="AE652" s="268"/>
      <c r="AF652" s="268"/>
      <c r="AG652" s="290"/>
    </row>
    <row r="653" spans="1:33" s="259" customFormat="1" ht="15" customHeight="1" x14ac:dyDescent="0.15">
      <c r="A653" s="267">
        <v>95301142</v>
      </c>
      <c r="B653" s="280" t="s">
        <v>5403</v>
      </c>
      <c r="C653" s="268" t="s">
        <v>5307</v>
      </c>
      <c r="D653" s="268">
        <v>6901</v>
      </c>
      <c r="E653" s="268" t="s">
        <v>4876</v>
      </c>
      <c r="F653" s="268" t="s">
        <v>4877</v>
      </c>
      <c r="G653" s="269">
        <v>2</v>
      </c>
      <c r="H653" s="269">
        <v>0</v>
      </c>
      <c r="I653" s="267">
        <v>34</v>
      </c>
      <c r="J653" s="282" t="s">
        <v>5404</v>
      </c>
      <c r="K653" s="279" t="s">
        <v>5405</v>
      </c>
      <c r="L653" s="279"/>
      <c r="M653" s="268">
        <v>1</v>
      </c>
      <c r="N653" s="268" t="b">
        <v>1</v>
      </c>
      <c r="O653" s="268">
        <v>5</v>
      </c>
      <c r="P653" s="281">
        <v>75</v>
      </c>
      <c r="Q653" s="281">
        <v>100</v>
      </c>
      <c r="R653" s="268" t="s">
        <v>3383</v>
      </c>
      <c r="S653" s="268"/>
      <c r="T653" s="268">
        <v>1</v>
      </c>
      <c r="U653" s="268" t="s">
        <v>4880</v>
      </c>
      <c r="V653" s="268">
        <v>2</v>
      </c>
      <c r="W653" s="268"/>
      <c r="X653" s="268" t="s">
        <v>4881</v>
      </c>
      <c r="Y653" s="268" t="s">
        <v>5406</v>
      </c>
      <c r="Z653" s="268" t="s">
        <v>5407</v>
      </c>
      <c r="AA653" s="268" t="s">
        <v>4884</v>
      </c>
      <c r="AB653" s="268"/>
      <c r="AC653" s="287">
        <v>1</v>
      </c>
      <c r="AD653" s="287">
        <v>1</v>
      </c>
      <c r="AE653" s="268"/>
      <c r="AF653" s="268"/>
      <c r="AG653" s="290"/>
    </row>
    <row r="654" spans="1:33" s="259" customFormat="1" ht="15" customHeight="1" x14ac:dyDescent="0.15">
      <c r="A654" s="267">
        <v>95301143</v>
      </c>
      <c r="B654" s="280" t="s">
        <v>5403</v>
      </c>
      <c r="C654" s="268" t="s">
        <v>5307</v>
      </c>
      <c r="D654" s="268">
        <v>6901</v>
      </c>
      <c r="E654" s="268" t="s">
        <v>4876</v>
      </c>
      <c r="F654" s="268" t="s">
        <v>4877</v>
      </c>
      <c r="G654" s="269">
        <v>3</v>
      </c>
      <c r="H654" s="269">
        <v>0</v>
      </c>
      <c r="I654" s="267">
        <v>34</v>
      </c>
      <c r="J654" s="282" t="s">
        <v>5404</v>
      </c>
      <c r="K654" s="279" t="s">
        <v>5405</v>
      </c>
      <c r="L654" s="279"/>
      <c r="M654" s="268">
        <v>1</v>
      </c>
      <c r="N654" s="268" t="b">
        <v>1</v>
      </c>
      <c r="O654" s="268">
        <v>7</v>
      </c>
      <c r="P654" s="281">
        <v>105</v>
      </c>
      <c r="Q654" s="281">
        <v>140</v>
      </c>
      <c r="R654" s="268" t="s">
        <v>3383</v>
      </c>
      <c r="S654" s="268"/>
      <c r="T654" s="268">
        <v>1</v>
      </c>
      <c r="U654" s="268" t="s">
        <v>4880</v>
      </c>
      <c r="V654" s="268">
        <v>3</v>
      </c>
      <c r="W654" s="268"/>
      <c r="X654" s="268" t="s">
        <v>4881</v>
      </c>
      <c r="Y654" s="268" t="s">
        <v>5406</v>
      </c>
      <c r="Z654" s="268" t="s">
        <v>5407</v>
      </c>
      <c r="AA654" s="268" t="s">
        <v>4884</v>
      </c>
      <c r="AB654" s="268"/>
      <c r="AC654" s="287">
        <v>1</v>
      </c>
      <c r="AD654" s="287">
        <v>1</v>
      </c>
      <c r="AE654" s="268"/>
      <c r="AF654" s="268"/>
      <c r="AG654" s="290"/>
    </row>
    <row r="655" spans="1:33" s="259" customFormat="1" ht="15" customHeight="1" x14ac:dyDescent="0.15">
      <c r="A655" s="267">
        <v>95301144</v>
      </c>
      <c r="B655" s="280" t="s">
        <v>5403</v>
      </c>
      <c r="C655" s="268" t="s">
        <v>5307</v>
      </c>
      <c r="D655" s="268">
        <v>6901</v>
      </c>
      <c r="E655" s="268" t="s">
        <v>4876</v>
      </c>
      <c r="F655" s="268" t="s">
        <v>4877</v>
      </c>
      <c r="G655" s="269">
        <v>4</v>
      </c>
      <c r="H655" s="269">
        <v>0</v>
      </c>
      <c r="I655" s="267">
        <v>34</v>
      </c>
      <c r="J655" s="282" t="s">
        <v>5404</v>
      </c>
      <c r="K655" s="279" t="s">
        <v>5405</v>
      </c>
      <c r="L655" s="279"/>
      <c r="M655" s="268">
        <v>1</v>
      </c>
      <c r="N655" s="268" t="b">
        <v>1</v>
      </c>
      <c r="O655" s="268">
        <v>10</v>
      </c>
      <c r="P655" s="281">
        <v>150</v>
      </c>
      <c r="Q655" s="281">
        <v>200</v>
      </c>
      <c r="R655" s="268" t="s">
        <v>3383</v>
      </c>
      <c r="S655" s="268"/>
      <c r="T655" s="268">
        <v>1</v>
      </c>
      <c r="U655" s="268" t="s">
        <v>4880</v>
      </c>
      <c r="V655" s="268">
        <v>4</v>
      </c>
      <c r="W655" s="268"/>
      <c r="X655" s="268" t="s">
        <v>4881</v>
      </c>
      <c r="Y655" s="268" t="s">
        <v>5406</v>
      </c>
      <c r="Z655" s="268" t="s">
        <v>5407</v>
      </c>
      <c r="AA655" s="268" t="s">
        <v>4884</v>
      </c>
      <c r="AB655" s="268"/>
      <c r="AC655" s="287">
        <v>1</v>
      </c>
      <c r="AD655" s="287">
        <v>1</v>
      </c>
      <c r="AE655" s="268"/>
      <c r="AF655" s="268"/>
      <c r="AG655" s="290"/>
    </row>
    <row r="656" spans="1:33" s="260" customFormat="1" ht="15" customHeight="1" x14ac:dyDescent="0.15">
      <c r="A656" s="267">
        <v>95301145</v>
      </c>
      <c r="B656" s="280" t="s">
        <v>5403</v>
      </c>
      <c r="C656" s="290" t="s">
        <v>5307</v>
      </c>
      <c r="D656" s="290">
        <v>6901</v>
      </c>
      <c r="E656" s="268" t="s">
        <v>4876</v>
      </c>
      <c r="F656" s="268" t="s">
        <v>4877</v>
      </c>
      <c r="G656" s="269">
        <v>5</v>
      </c>
      <c r="H656" s="269">
        <v>0</v>
      </c>
      <c r="I656" s="267">
        <v>34</v>
      </c>
      <c r="J656" s="282" t="s">
        <v>5404</v>
      </c>
      <c r="K656" s="279" t="s">
        <v>5405</v>
      </c>
      <c r="L656" s="279"/>
      <c r="M656" s="268">
        <v>1</v>
      </c>
      <c r="N656" s="268" t="b">
        <v>1</v>
      </c>
      <c r="O656" s="268">
        <v>12</v>
      </c>
      <c r="P656" s="281">
        <v>180</v>
      </c>
      <c r="Q656" s="281">
        <v>240</v>
      </c>
      <c r="R656" s="268" t="s">
        <v>3383</v>
      </c>
      <c r="S656" s="268"/>
      <c r="T656" s="268">
        <v>1</v>
      </c>
      <c r="U656" s="268" t="s">
        <v>4880</v>
      </c>
      <c r="V656" s="268">
        <v>5</v>
      </c>
      <c r="W656" s="268"/>
      <c r="X656" s="268" t="s">
        <v>4881</v>
      </c>
      <c r="Y656" s="268" t="s">
        <v>5406</v>
      </c>
      <c r="Z656" s="268" t="s">
        <v>5407</v>
      </c>
      <c r="AA656" s="268" t="s">
        <v>4884</v>
      </c>
      <c r="AB656" s="268"/>
      <c r="AC656" s="287">
        <v>1</v>
      </c>
      <c r="AD656" s="287">
        <v>1</v>
      </c>
      <c r="AE656" s="268"/>
      <c r="AF656" s="268"/>
      <c r="AG656" s="290"/>
    </row>
    <row r="657" spans="1:33" s="259" customFormat="1" ht="15" customHeight="1" x14ac:dyDescent="0.15">
      <c r="A657" s="267">
        <v>95301146</v>
      </c>
      <c r="B657" s="280" t="s">
        <v>5403</v>
      </c>
      <c r="C657" s="290" t="s">
        <v>5307</v>
      </c>
      <c r="D657" s="290">
        <v>6901</v>
      </c>
      <c r="E657" s="268" t="s">
        <v>4876</v>
      </c>
      <c r="F657" s="268" t="s">
        <v>4877</v>
      </c>
      <c r="G657" s="269">
        <v>6</v>
      </c>
      <c r="H657" s="269">
        <v>0</v>
      </c>
      <c r="I657" s="267">
        <v>34</v>
      </c>
      <c r="J657" s="282" t="s">
        <v>5404</v>
      </c>
      <c r="K657" s="279" t="s">
        <v>5405</v>
      </c>
      <c r="L657" s="279"/>
      <c r="M657" s="268">
        <v>1</v>
      </c>
      <c r="N657" s="268" t="b">
        <v>1</v>
      </c>
      <c r="O657" s="268">
        <v>25</v>
      </c>
      <c r="P657" s="281">
        <v>375</v>
      </c>
      <c r="Q657" s="281">
        <v>500</v>
      </c>
      <c r="R657" s="268" t="s">
        <v>3383</v>
      </c>
      <c r="S657" s="268"/>
      <c r="T657" s="268">
        <v>1</v>
      </c>
      <c r="U657" s="268" t="s">
        <v>4880</v>
      </c>
      <c r="V657" s="268">
        <v>6</v>
      </c>
      <c r="W657" s="268"/>
      <c r="X657" s="268" t="s">
        <v>4881</v>
      </c>
      <c r="Y657" s="268" t="s">
        <v>5406</v>
      </c>
      <c r="Z657" s="268" t="s">
        <v>5407</v>
      </c>
      <c r="AA657" s="268" t="s">
        <v>4884</v>
      </c>
      <c r="AB657" s="268"/>
      <c r="AC657" s="287">
        <v>1</v>
      </c>
      <c r="AD657" s="287">
        <v>1</v>
      </c>
      <c r="AE657" s="268"/>
      <c r="AF657" s="268"/>
      <c r="AG657" s="290"/>
    </row>
    <row r="658" spans="1:33" s="260" customFormat="1" ht="15" customHeight="1" x14ac:dyDescent="0.15">
      <c r="A658" s="267">
        <v>95301147</v>
      </c>
      <c r="B658" s="280" t="s">
        <v>5403</v>
      </c>
      <c r="C658" s="268" t="s">
        <v>5307</v>
      </c>
      <c r="D658" s="268">
        <v>6901</v>
      </c>
      <c r="E658" s="268" t="s">
        <v>4876</v>
      </c>
      <c r="F658" s="268" t="s">
        <v>4877</v>
      </c>
      <c r="G658" s="269">
        <v>7</v>
      </c>
      <c r="H658" s="269">
        <v>0</v>
      </c>
      <c r="I658" s="267">
        <v>34</v>
      </c>
      <c r="J658" s="282" t="s">
        <v>5404</v>
      </c>
      <c r="K658" s="279" t="s">
        <v>5405</v>
      </c>
      <c r="L658" s="279"/>
      <c r="M658" s="268">
        <v>1</v>
      </c>
      <c r="N658" s="268" t="b">
        <v>1</v>
      </c>
      <c r="O658" s="268">
        <v>38</v>
      </c>
      <c r="P658" s="281">
        <v>570</v>
      </c>
      <c r="Q658" s="281">
        <v>760</v>
      </c>
      <c r="R658" s="268" t="s">
        <v>3383</v>
      </c>
      <c r="S658" s="268"/>
      <c r="T658" s="268">
        <v>1</v>
      </c>
      <c r="U658" s="268" t="s">
        <v>4880</v>
      </c>
      <c r="V658" s="268">
        <v>7</v>
      </c>
      <c r="W658" s="268"/>
      <c r="X658" s="268" t="s">
        <v>4881</v>
      </c>
      <c r="Y658" s="268" t="s">
        <v>5406</v>
      </c>
      <c r="Z658" s="268" t="s">
        <v>5407</v>
      </c>
      <c r="AA658" s="268" t="s">
        <v>4884</v>
      </c>
      <c r="AB658" s="268"/>
      <c r="AC658" s="287">
        <v>1</v>
      </c>
      <c r="AD658" s="287">
        <v>1</v>
      </c>
      <c r="AE658" s="268"/>
      <c r="AF658" s="268"/>
      <c r="AG658" s="290"/>
    </row>
    <row r="659" spans="1:33" s="259" customFormat="1" ht="15" customHeight="1" x14ac:dyDescent="0.15">
      <c r="A659" s="267">
        <v>95301148</v>
      </c>
      <c r="B659" s="280" t="s">
        <v>5408</v>
      </c>
      <c r="C659" s="290" t="s">
        <v>5307</v>
      </c>
      <c r="D659" s="290">
        <v>5081</v>
      </c>
      <c r="E659" s="268" t="s">
        <v>4876</v>
      </c>
      <c r="F659" s="268" t="s">
        <v>4877</v>
      </c>
      <c r="G659" s="269">
        <v>6</v>
      </c>
      <c r="H659" s="269">
        <v>1</v>
      </c>
      <c r="I659" s="267">
        <v>34</v>
      </c>
      <c r="J659" s="282" t="s">
        <v>5404</v>
      </c>
      <c r="K659" s="279" t="s">
        <v>5405</v>
      </c>
      <c r="L659" s="279" t="s">
        <v>44</v>
      </c>
      <c r="M659" s="268">
        <v>1</v>
      </c>
      <c r="N659" s="268" t="b">
        <v>1</v>
      </c>
      <c r="O659" s="268">
        <v>51</v>
      </c>
      <c r="P659" s="281">
        <v>765</v>
      </c>
      <c r="Q659" s="281">
        <v>1020</v>
      </c>
      <c r="R659" s="268" t="s">
        <v>3383</v>
      </c>
      <c r="S659" s="268"/>
      <c r="T659" s="268">
        <v>1</v>
      </c>
      <c r="U659" s="268" t="s">
        <v>4880</v>
      </c>
      <c r="V659" s="268">
        <v>10</v>
      </c>
      <c r="W659" s="268"/>
      <c r="X659" s="268" t="s">
        <v>4881</v>
      </c>
      <c r="Y659" s="268" t="s">
        <v>5406</v>
      </c>
      <c r="Z659" s="268" t="s">
        <v>5407</v>
      </c>
      <c r="AA659" s="268" t="s">
        <v>4884</v>
      </c>
      <c r="AB659" s="268"/>
      <c r="AC659" s="287">
        <v>1</v>
      </c>
      <c r="AD659" s="287">
        <v>1</v>
      </c>
      <c r="AE659" s="268"/>
      <c r="AF659" s="268"/>
      <c r="AG659" s="290"/>
    </row>
    <row r="660" spans="1:33" s="259" customFormat="1" ht="15" customHeight="1" x14ac:dyDescent="0.15">
      <c r="A660" s="267">
        <v>95301149</v>
      </c>
      <c r="B660" s="280" t="s">
        <v>5409</v>
      </c>
      <c r="C660" s="290" t="s">
        <v>5307</v>
      </c>
      <c r="D660" s="290">
        <v>5081</v>
      </c>
      <c r="E660" s="268" t="s">
        <v>4876</v>
      </c>
      <c r="F660" s="268" t="s">
        <v>4877</v>
      </c>
      <c r="G660" s="269">
        <v>6</v>
      </c>
      <c r="H660" s="269">
        <v>1</v>
      </c>
      <c r="I660" s="267">
        <v>34</v>
      </c>
      <c r="J660" s="282" t="s">
        <v>5404</v>
      </c>
      <c r="K660" s="279" t="s">
        <v>5405</v>
      </c>
      <c r="L660" s="279" t="s">
        <v>4887</v>
      </c>
      <c r="M660" s="268">
        <v>1</v>
      </c>
      <c r="N660" s="268" t="b">
        <v>1</v>
      </c>
      <c r="O660" s="268">
        <v>64</v>
      </c>
      <c r="P660" s="281">
        <v>960</v>
      </c>
      <c r="Q660" s="281">
        <v>1280</v>
      </c>
      <c r="R660" s="268" t="s">
        <v>3383</v>
      </c>
      <c r="S660" s="268"/>
      <c r="T660" s="268">
        <v>1</v>
      </c>
      <c r="U660" s="268" t="s">
        <v>4880</v>
      </c>
      <c r="V660" s="268">
        <v>10</v>
      </c>
      <c r="W660" s="268"/>
      <c r="X660" s="268" t="s">
        <v>4881</v>
      </c>
      <c r="Y660" s="268" t="s">
        <v>5406</v>
      </c>
      <c r="Z660" s="268" t="s">
        <v>5407</v>
      </c>
      <c r="AA660" s="268" t="s">
        <v>4884</v>
      </c>
      <c r="AB660" s="268"/>
      <c r="AC660" s="287">
        <v>1</v>
      </c>
      <c r="AD660" s="287">
        <v>1</v>
      </c>
      <c r="AE660" s="268"/>
      <c r="AF660" s="268"/>
      <c r="AG660" s="290"/>
    </row>
    <row r="661" spans="1:33" s="259" customFormat="1" ht="15" customHeight="1" x14ac:dyDescent="0.15">
      <c r="A661" s="267">
        <v>95301150</v>
      </c>
      <c r="B661" s="280" t="s">
        <v>5410</v>
      </c>
      <c r="C661" s="268" t="s">
        <v>5307</v>
      </c>
      <c r="D661" s="268">
        <v>5081</v>
      </c>
      <c r="E661" s="268" t="s">
        <v>4876</v>
      </c>
      <c r="F661" s="268" t="s">
        <v>4877</v>
      </c>
      <c r="G661" s="269">
        <v>7</v>
      </c>
      <c r="H661" s="269">
        <v>0</v>
      </c>
      <c r="I661" s="267">
        <v>34</v>
      </c>
      <c r="J661" s="282" t="s">
        <v>5404</v>
      </c>
      <c r="K661" s="279" t="s">
        <v>5405</v>
      </c>
      <c r="L661" s="279" t="s">
        <v>4889</v>
      </c>
      <c r="M661" s="268">
        <v>1</v>
      </c>
      <c r="N661" s="268" t="b">
        <v>1</v>
      </c>
      <c r="O661" s="268">
        <v>77</v>
      </c>
      <c r="P661" s="281">
        <v>1155</v>
      </c>
      <c r="Q661" s="281">
        <v>1540</v>
      </c>
      <c r="R661" s="268" t="s">
        <v>3383</v>
      </c>
      <c r="S661" s="268"/>
      <c r="T661" s="268">
        <v>1</v>
      </c>
      <c r="U661" s="268" t="s">
        <v>4880</v>
      </c>
      <c r="V661" s="268">
        <v>10</v>
      </c>
      <c r="W661" s="268"/>
      <c r="X661" s="268" t="s">
        <v>4881</v>
      </c>
      <c r="Y661" s="268" t="s">
        <v>5406</v>
      </c>
      <c r="Z661" s="268" t="s">
        <v>5407</v>
      </c>
      <c r="AA661" s="268" t="s">
        <v>4884</v>
      </c>
      <c r="AB661" s="268"/>
      <c r="AC661" s="287">
        <v>1</v>
      </c>
      <c r="AD661" s="287">
        <v>1</v>
      </c>
      <c r="AE661" s="268"/>
      <c r="AF661" s="268"/>
      <c r="AG661" s="290"/>
    </row>
    <row r="662" spans="1:33" s="259" customFormat="1" ht="15" customHeight="1" x14ac:dyDescent="0.15">
      <c r="A662" s="267">
        <v>95301151</v>
      </c>
      <c r="B662" s="280" t="s">
        <v>5411</v>
      </c>
      <c r="C662" s="268" t="s">
        <v>5307</v>
      </c>
      <c r="D662" s="290">
        <v>6901</v>
      </c>
      <c r="E662" s="268" t="s">
        <v>4876</v>
      </c>
      <c r="F662" s="268" t="s">
        <v>4877</v>
      </c>
      <c r="G662" s="269">
        <v>1</v>
      </c>
      <c r="H662" s="269">
        <v>0</v>
      </c>
      <c r="I662" s="267">
        <v>34</v>
      </c>
      <c r="J662" s="282" t="s">
        <v>5412</v>
      </c>
      <c r="K662" s="279" t="s">
        <v>5413</v>
      </c>
      <c r="L662" s="279"/>
      <c r="M662" s="268">
        <v>1</v>
      </c>
      <c r="N662" s="268" t="b">
        <v>1</v>
      </c>
      <c r="O662" s="268">
        <v>2</v>
      </c>
      <c r="P662" s="281">
        <v>30</v>
      </c>
      <c r="Q662" s="281">
        <v>40</v>
      </c>
      <c r="R662" s="268" t="s">
        <v>3383</v>
      </c>
      <c r="S662" s="268"/>
      <c r="T662" s="268">
        <v>1</v>
      </c>
      <c r="U662" s="268" t="s">
        <v>4880</v>
      </c>
      <c r="V662" s="268">
        <v>1</v>
      </c>
      <c r="W662" s="268"/>
      <c r="X662" s="268" t="s">
        <v>4881</v>
      </c>
      <c r="Y662" s="268" t="s">
        <v>5414</v>
      </c>
      <c r="Z662" s="268" t="s">
        <v>5415</v>
      </c>
      <c r="AA662" s="268" t="s">
        <v>4884</v>
      </c>
      <c r="AB662" s="268"/>
      <c r="AC662" s="287">
        <v>1</v>
      </c>
      <c r="AD662" s="287">
        <v>1</v>
      </c>
      <c r="AE662" s="268"/>
      <c r="AF662" s="268"/>
      <c r="AG662" s="290"/>
    </row>
    <row r="663" spans="1:33" s="259" customFormat="1" ht="15" customHeight="1" x14ac:dyDescent="0.15">
      <c r="A663" s="267">
        <v>95301152</v>
      </c>
      <c r="B663" s="280" t="s">
        <v>5411</v>
      </c>
      <c r="C663" s="268" t="s">
        <v>5307</v>
      </c>
      <c r="D663" s="297">
        <v>6901</v>
      </c>
      <c r="E663" s="268" t="s">
        <v>4876</v>
      </c>
      <c r="F663" s="268" t="s">
        <v>4877</v>
      </c>
      <c r="G663" s="269">
        <v>2</v>
      </c>
      <c r="H663" s="269">
        <v>0</v>
      </c>
      <c r="I663" s="267">
        <v>34</v>
      </c>
      <c r="J663" s="282" t="s">
        <v>5412</v>
      </c>
      <c r="K663" s="279" t="s">
        <v>5413</v>
      </c>
      <c r="L663" s="279"/>
      <c r="M663" s="268">
        <v>1</v>
      </c>
      <c r="N663" s="268" t="b">
        <v>1</v>
      </c>
      <c r="O663" s="268">
        <v>5</v>
      </c>
      <c r="P663" s="281">
        <v>75</v>
      </c>
      <c r="Q663" s="281">
        <v>100</v>
      </c>
      <c r="R663" s="268" t="s">
        <v>3383</v>
      </c>
      <c r="S663" s="268"/>
      <c r="T663" s="268">
        <v>1</v>
      </c>
      <c r="U663" s="268" t="s">
        <v>4880</v>
      </c>
      <c r="V663" s="268">
        <v>2</v>
      </c>
      <c r="W663" s="268"/>
      <c r="X663" s="268" t="s">
        <v>4881</v>
      </c>
      <c r="Y663" s="268" t="s">
        <v>5414</v>
      </c>
      <c r="Z663" s="268" t="s">
        <v>5415</v>
      </c>
      <c r="AA663" s="268" t="s">
        <v>4884</v>
      </c>
      <c r="AB663" s="268"/>
      <c r="AC663" s="287">
        <v>1</v>
      </c>
      <c r="AD663" s="287">
        <v>1</v>
      </c>
      <c r="AE663" s="268"/>
      <c r="AF663" s="268"/>
      <c r="AG663" s="290"/>
    </row>
    <row r="664" spans="1:33" s="259" customFormat="1" ht="15" customHeight="1" x14ac:dyDescent="0.15">
      <c r="A664" s="267">
        <v>95301153</v>
      </c>
      <c r="B664" s="280" t="s">
        <v>5411</v>
      </c>
      <c r="C664" s="290" t="s">
        <v>5307</v>
      </c>
      <c r="D664" s="290">
        <v>6901</v>
      </c>
      <c r="E664" s="268" t="s">
        <v>4876</v>
      </c>
      <c r="F664" s="268" t="s">
        <v>4877</v>
      </c>
      <c r="G664" s="269">
        <v>3</v>
      </c>
      <c r="H664" s="269">
        <v>0</v>
      </c>
      <c r="I664" s="267">
        <v>34</v>
      </c>
      <c r="J664" s="282" t="s">
        <v>5412</v>
      </c>
      <c r="K664" s="279" t="s">
        <v>5413</v>
      </c>
      <c r="L664" s="279"/>
      <c r="M664" s="268">
        <v>1</v>
      </c>
      <c r="N664" s="268" t="b">
        <v>1</v>
      </c>
      <c r="O664" s="268">
        <v>7</v>
      </c>
      <c r="P664" s="281">
        <v>105</v>
      </c>
      <c r="Q664" s="281">
        <v>140</v>
      </c>
      <c r="R664" s="268" t="s">
        <v>3383</v>
      </c>
      <c r="S664" s="268"/>
      <c r="T664" s="268">
        <v>1</v>
      </c>
      <c r="U664" s="268" t="s">
        <v>4880</v>
      </c>
      <c r="V664" s="268">
        <v>3</v>
      </c>
      <c r="W664" s="268"/>
      <c r="X664" s="268" t="s">
        <v>4881</v>
      </c>
      <c r="Y664" s="268" t="s">
        <v>5414</v>
      </c>
      <c r="Z664" s="268" t="s">
        <v>5415</v>
      </c>
      <c r="AA664" s="268" t="s">
        <v>4884</v>
      </c>
      <c r="AB664" s="268"/>
      <c r="AC664" s="287">
        <v>1</v>
      </c>
      <c r="AD664" s="287">
        <v>1</v>
      </c>
      <c r="AE664" s="268"/>
      <c r="AF664" s="268"/>
      <c r="AG664" s="290"/>
    </row>
    <row r="665" spans="1:33" s="259" customFormat="1" ht="15" customHeight="1" x14ac:dyDescent="0.15">
      <c r="A665" s="267">
        <v>95301154</v>
      </c>
      <c r="B665" s="280" t="s">
        <v>5411</v>
      </c>
      <c r="C665" s="290" t="s">
        <v>5307</v>
      </c>
      <c r="D665" s="290">
        <v>6901</v>
      </c>
      <c r="E665" s="268" t="s">
        <v>4876</v>
      </c>
      <c r="F665" s="268" t="s">
        <v>4877</v>
      </c>
      <c r="G665" s="269">
        <v>4</v>
      </c>
      <c r="H665" s="269">
        <v>0</v>
      </c>
      <c r="I665" s="267">
        <v>34</v>
      </c>
      <c r="J665" s="282" t="s">
        <v>5412</v>
      </c>
      <c r="K665" s="279" t="s">
        <v>5413</v>
      </c>
      <c r="L665" s="279"/>
      <c r="M665" s="268">
        <v>1</v>
      </c>
      <c r="N665" s="268" t="b">
        <v>1</v>
      </c>
      <c r="O665" s="268">
        <v>10</v>
      </c>
      <c r="P665" s="281">
        <v>150</v>
      </c>
      <c r="Q665" s="281">
        <v>200</v>
      </c>
      <c r="R665" s="268" t="s">
        <v>3383</v>
      </c>
      <c r="S665" s="268"/>
      <c r="T665" s="268">
        <v>1</v>
      </c>
      <c r="U665" s="268" t="s">
        <v>4880</v>
      </c>
      <c r="V665" s="268">
        <v>4</v>
      </c>
      <c r="W665" s="268"/>
      <c r="X665" s="268" t="s">
        <v>4881</v>
      </c>
      <c r="Y665" s="268" t="s">
        <v>5414</v>
      </c>
      <c r="Z665" s="268" t="s">
        <v>5415</v>
      </c>
      <c r="AA665" s="268" t="s">
        <v>4884</v>
      </c>
      <c r="AB665" s="268"/>
      <c r="AC665" s="287">
        <v>1</v>
      </c>
      <c r="AD665" s="287">
        <v>1</v>
      </c>
      <c r="AE665" s="268"/>
      <c r="AF665" s="268"/>
      <c r="AG665" s="290"/>
    </row>
    <row r="666" spans="1:33" s="259" customFormat="1" ht="15" customHeight="1" x14ac:dyDescent="0.15">
      <c r="A666" s="267">
        <v>95301155</v>
      </c>
      <c r="B666" s="280" t="s">
        <v>5411</v>
      </c>
      <c r="C666" s="268" t="s">
        <v>5307</v>
      </c>
      <c r="D666" s="268">
        <v>6901</v>
      </c>
      <c r="E666" s="268" t="s">
        <v>4876</v>
      </c>
      <c r="F666" s="268" t="s">
        <v>4877</v>
      </c>
      <c r="G666" s="269">
        <v>5</v>
      </c>
      <c r="H666" s="269">
        <v>0</v>
      </c>
      <c r="I666" s="267">
        <v>34</v>
      </c>
      <c r="J666" s="282" t="s">
        <v>5412</v>
      </c>
      <c r="K666" s="279" t="s">
        <v>5413</v>
      </c>
      <c r="L666" s="279"/>
      <c r="M666" s="268">
        <v>1</v>
      </c>
      <c r="N666" s="268" t="b">
        <v>1</v>
      </c>
      <c r="O666" s="268">
        <v>12</v>
      </c>
      <c r="P666" s="281">
        <v>180</v>
      </c>
      <c r="Q666" s="281">
        <v>240</v>
      </c>
      <c r="R666" s="268" t="s">
        <v>3383</v>
      </c>
      <c r="S666" s="268"/>
      <c r="T666" s="268">
        <v>1</v>
      </c>
      <c r="U666" s="268" t="s">
        <v>4880</v>
      </c>
      <c r="V666" s="268">
        <v>5</v>
      </c>
      <c r="W666" s="268"/>
      <c r="X666" s="268" t="s">
        <v>4881</v>
      </c>
      <c r="Y666" s="268" t="s">
        <v>5414</v>
      </c>
      <c r="Z666" s="268" t="s">
        <v>5415</v>
      </c>
      <c r="AA666" s="268" t="s">
        <v>4884</v>
      </c>
      <c r="AB666" s="268"/>
      <c r="AC666" s="287">
        <v>1</v>
      </c>
      <c r="AD666" s="287">
        <v>1</v>
      </c>
      <c r="AE666" s="268"/>
      <c r="AF666" s="268"/>
      <c r="AG666" s="290"/>
    </row>
    <row r="667" spans="1:33" s="259" customFormat="1" ht="15" customHeight="1" x14ac:dyDescent="0.15">
      <c r="A667" s="267">
        <v>95301156</v>
      </c>
      <c r="B667" s="280" t="s">
        <v>5411</v>
      </c>
      <c r="C667" s="290" t="s">
        <v>5307</v>
      </c>
      <c r="D667" s="290">
        <v>6901</v>
      </c>
      <c r="E667" s="268" t="s">
        <v>4876</v>
      </c>
      <c r="F667" s="268" t="s">
        <v>4877</v>
      </c>
      <c r="G667" s="269">
        <v>6</v>
      </c>
      <c r="H667" s="269">
        <v>0</v>
      </c>
      <c r="I667" s="267">
        <v>34</v>
      </c>
      <c r="J667" s="282" t="s">
        <v>5412</v>
      </c>
      <c r="K667" s="279" t="s">
        <v>5413</v>
      </c>
      <c r="L667" s="279"/>
      <c r="M667" s="268">
        <v>1</v>
      </c>
      <c r="N667" s="268" t="b">
        <v>1</v>
      </c>
      <c r="O667" s="268">
        <v>25</v>
      </c>
      <c r="P667" s="281">
        <v>375</v>
      </c>
      <c r="Q667" s="281">
        <v>500</v>
      </c>
      <c r="R667" s="268" t="s">
        <v>3383</v>
      </c>
      <c r="S667" s="268"/>
      <c r="T667" s="268">
        <v>1</v>
      </c>
      <c r="U667" s="268" t="s">
        <v>4880</v>
      </c>
      <c r="V667" s="268">
        <v>6</v>
      </c>
      <c r="W667" s="268"/>
      <c r="X667" s="268" t="s">
        <v>4881</v>
      </c>
      <c r="Y667" s="268" t="s">
        <v>5414</v>
      </c>
      <c r="Z667" s="268" t="s">
        <v>5415</v>
      </c>
      <c r="AA667" s="268" t="s">
        <v>4884</v>
      </c>
      <c r="AB667" s="268"/>
      <c r="AC667" s="287">
        <v>1</v>
      </c>
      <c r="AD667" s="287">
        <v>1</v>
      </c>
      <c r="AE667" s="268"/>
      <c r="AF667" s="268"/>
      <c r="AG667" s="290"/>
    </row>
    <row r="668" spans="1:33" s="259" customFormat="1" ht="15" customHeight="1" x14ac:dyDescent="0.15">
      <c r="A668" s="267">
        <v>95301157</v>
      </c>
      <c r="B668" s="280" t="s">
        <v>5411</v>
      </c>
      <c r="C668" s="290" t="s">
        <v>5307</v>
      </c>
      <c r="D668" s="290">
        <v>6901</v>
      </c>
      <c r="E668" s="268" t="s">
        <v>4876</v>
      </c>
      <c r="F668" s="268" t="s">
        <v>4877</v>
      </c>
      <c r="G668" s="269">
        <v>7</v>
      </c>
      <c r="H668" s="269">
        <v>0</v>
      </c>
      <c r="I668" s="267">
        <v>34</v>
      </c>
      <c r="J668" s="282" t="s">
        <v>5412</v>
      </c>
      <c r="K668" s="279" t="s">
        <v>5413</v>
      </c>
      <c r="L668" s="279"/>
      <c r="M668" s="268">
        <v>1</v>
      </c>
      <c r="N668" s="268" t="b">
        <v>1</v>
      </c>
      <c r="O668" s="268">
        <v>38</v>
      </c>
      <c r="P668" s="281">
        <v>570</v>
      </c>
      <c r="Q668" s="281">
        <v>760</v>
      </c>
      <c r="R668" s="268" t="s">
        <v>3383</v>
      </c>
      <c r="S668" s="268"/>
      <c r="T668" s="268">
        <v>1</v>
      </c>
      <c r="U668" s="268" t="s">
        <v>4880</v>
      </c>
      <c r="V668" s="268">
        <v>7</v>
      </c>
      <c r="W668" s="268"/>
      <c r="X668" s="268" t="s">
        <v>4881</v>
      </c>
      <c r="Y668" s="268" t="s">
        <v>5414</v>
      </c>
      <c r="Z668" s="268" t="s">
        <v>5415</v>
      </c>
      <c r="AA668" s="268" t="s">
        <v>4884</v>
      </c>
      <c r="AB668" s="268"/>
      <c r="AC668" s="287">
        <v>1</v>
      </c>
      <c r="AD668" s="287">
        <v>1</v>
      </c>
      <c r="AE668" s="268"/>
      <c r="AF668" s="268"/>
      <c r="AG668" s="290"/>
    </row>
    <row r="669" spans="1:33" s="260" customFormat="1" ht="15" customHeight="1" x14ac:dyDescent="0.15">
      <c r="A669" s="267">
        <v>95301158</v>
      </c>
      <c r="B669" s="293" t="s">
        <v>5416</v>
      </c>
      <c r="C669" s="268" t="s">
        <v>5307</v>
      </c>
      <c r="D669" s="268">
        <v>5081</v>
      </c>
      <c r="E669" s="268" t="s">
        <v>4876</v>
      </c>
      <c r="F669" s="268" t="s">
        <v>4877</v>
      </c>
      <c r="G669" s="269">
        <v>6</v>
      </c>
      <c r="H669" s="269">
        <v>1</v>
      </c>
      <c r="I669" s="267">
        <v>34</v>
      </c>
      <c r="J669" s="301" t="s">
        <v>5412</v>
      </c>
      <c r="K669" s="279" t="s">
        <v>5413</v>
      </c>
      <c r="L669" s="279" t="s">
        <v>44</v>
      </c>
      <c r="M669" s="268">
        <v>1</v>
      </c>
      <c r="N669" s="268" t="b">
        <v>1</v>
      </c>
      <c r="O669" s="268">
        <v>51</v>
      </c>
      <c r="P669" s="281">
        <v>765</v>
      </c>
      <c r="Q669" s="281">
        <v>1020</v>
      </c>
      <c r="R669" s="268" t="s">
        <v>3383</v>
      </c>
      <c r="S669" s="268"/>
      <c r="T669" s="268">
        <v>1</v>
      </c>
      <c r="U669" s="268" t="s">
        <v>4880</v>
      </c>
      <c r="V669" s="268">
        <v>10</v>
      </c>
      <c r="W669" s="268"/>
      <c r="X669" s="268" t="s">
        <v>4881</v>
      </c>
      <c r="Y669" s="268" t="s">
        <v>5414</v>
      </c>
      <c r="Z669" s="268" t="s">
        <v>5415</v>
      </c>
      <c r="AA669" s="268" t="s">
        <v>4884</v>
      </c>
      <c r="AB669" s="268"/>
      <c r="AC669" s="287">
        <v>1</v>
      </c>
      <c r="AD669" s="287">
        <v>1</v>
      </c>
      <c r="AE669" s="268"/>
      <c r="AF669" s="268"/>
      <c r="AG669" s="290"/>
    </row>
    <row r="670" spans="1:33" s="261" customFormat="1" ht="15" customHeight="1" x14ac:dyDescent="0.15">
      <c r="A670" s="267">
        <v>95301159</v>
      </c>
      <c r="B670" s="293" t="s">
        <v>5417</v>
      </c>
      <c r="C670" s="268" t="s">
        <v>5307</v>
      </c>
      <c r="D670" s="268">
        <v>5081</v>
      </c>
      <c r="E670" s="268" t="s">
        <v>4876</v>
      </c>
      <c r="F670" s="268" t="s">
        <v>4877</v>
      </c>
      <c r="G670" s="269">
        <v>6</v>
      </c>
      <c r="H670" s="269">
        <v>1</v>
      </c>
      <c r="I670" s="267">
        <v>34</v>
      </c>
      <c r="J670" s="301" t="s">
        <v>5412</v>
      </c>
      <c r="K670" s="279" t="s">
        <v>5413</v>
      </c>
      <c r="L670" s="279" t="s">
        <v>4887</v>
      </c>
      <c r="M670" s="268">
        <v>1</v>
      </c>
      <c r="N670" s="268" t="b">
        <v>1</v>
      </c>
      <c r="O670" s="268">
        <v>64</v>
      </c>
      <c r="P670" s="281">
        <v>960</v>
      </c>
      <c r="Q670" s="281">
        <v>1280</v>
      </c>
      <c r="R670" s="268" t="s">
        <v>3383</v>
      </c>
      <c r="S670" s="268"/>
      <c r="T670" s="268">
        <v>1</v>
      </c>
      <c r="U670" s="268" t="s">
        <v>4880</v>
      </c>
      <c r="V670" s="268">
        <v>10</v>
      </c>
      <c r="W670" s="268"/>
      <c r="X670" s="268" t="s">
        <v>4881</v>
      </c>
      <c r="Y670" s="332" t="s">
        <v>5414</v>
      </c>
      <c r="Z670" s="332" t="s">
        <v>5415</v>
      </c>
      <c r="AA670" s="268" t="s">
        <v>4884</v>
      </c>
      <c r="AB670" s="268"/>
      <c r="AC670" s="287">
        <v>1</v>
      </c>
      <c r="AD670" s="287">
        <v>1</v>
      </c>
      <c r="AE670" s="268"/>
      <c r="AF670" s="268"/>
      <c r="AG670" s="290"/>
    </row>
    <row r="671" spans="1:33" s="261" customFormat="1" ht="15" customHeight="1" x14ac:dyDescent="0.15">
      <c r="A671" s="267">
        <v>95301160</v>
      </c>
      <c r="B671" s="335" t="s">
        <v>5418</v>
      </c>
      <c r="C671" s="268" t="s">
        <v>5307</v>
      </c>
      <c r="D671" s="268">
        <v>5081</v>
      </c>
      <c r="E671" s="268" t="s">
        <v>4876</v>
      </c>
      <c r="F671" s="268" t="s">
        <v>4877</v>
      </c>
      <c r="G671" s="269">
        <v>7</v>
      </c>
      <c r="H671" s="269">
        <v>0</v>
      </c>
      <c r="I671" s="267">
        <v>34</v>
      </c>
      <c r="J671" s="301" t="s">
        <v>5412</v>
      </c>
      <c r="K671" s="279" t="s">
        <v>5413</v>
      </c>
      <c r="L671" s="279" t="s">
        <v>4889</v>
      </c>
      <c r="M671" s="268">
        <v>1</v>
      </c>
      <c r="N671" s="268" t="b">
        <v>1</v>
      </c>
      <c r="O671" s="268">
        <v>77</v>
      </c>
      <c r="P671" s="281">
        <v>1155</v>
      </c>
      <c r="Q671" s="281">
        <v>1540</v>
      </c>
      <c r="R671" s="268" t="s">
        <v>3383</v>
      </c>
      <c r="S671" s="268"/>
      <c r="T671" s="268">
        <v>1</v>
      </c>
      <c r="U671" s="268" t="s">
        <v>4880</v>
      </c>
      <c r="V671" s="268">
        <v>10</v>
      </c>
      <c r="W671" s="268"/>
      <c r="X671" s="268" t="s">
        <v>4881</v>
      </c>
      <c r="Y671" s="332" t="s">
        <v>5414</v>
      </c>
      <c r="Z671" s="332" t="s">
        <v>5415</v>
      </c>
      <c r="AA671" s="268" t="s">
        <v>4884</v>
      </c>
      <c r="AB671" s="268"/>
      <c r="AC671" s="287">
        <v>1</v>
      </c>
      <c r="AD671" s="287">
        <v>1</v>
      </c>
      <c r="AE671" s="268"/>
      <c r="AF671" s="268"/>
      <c r="AG671" s="290"/>
    </row>
    <row r="672" spans="1:33" s="261" customFormat="1" ht="15" customHeight="1" x14ac:dyDescent="0.15">
      <c r="A672" s="267">
        <v>95301161</v>
      </c>
      <c r="B672" s="335" t="s">
        <v>5419</v>
      </c>
      <c r="C672" s="268" t="s">
        <v>5307</v>
      </c>
      <c r="D672" s="268">
        <v>6901</v>
      </c>
      <c r="E672" s="268" t="s">
        <v>4876</v>
      </c>
      <c r="F672" s="268" t="s">
        <v>4877</v>
      </c>
      <c r="G672" s="269">
        <v>1</v>
      </c>
      <c r="H672" s="269">
        <v>0</v>
      </c>
      <c r="I672" s="267">
        <v>34</v>
      </c>
      <c r="J672" s="301" t="s">
        <v>5420</v>
      </c>
      <c r="K672" s="279" t="s">
        <v>5421</v>
      </c>
      <c r="L672" s="279"/>
      <c r="M672" s="268">
        <v>1</v>
      </c>
      <c r="N672" s="268" t="b">
        <v>1</v>
      </c>
      <c r="O672" s="268">
        <v>2</v>
      </c>
      <c r="P672" s="281">
        <v>30</v>
      </c>
      <c r="Q672" s="281">
        <v>40</v>
      </c>
      <c r="R672" s="268" t="s">
        <v>3383</v>
      </c>
      <c r="S672" s="268"/>
      <c r="T672" s="268">
        <v>1</v>
      </c>
      <c r="U672" s="268" t="s">
        <v>4880</v>
      </c>
      <c r="V672" s="268">
        <v>1</v>
      </c>
      <c r="W672" s="268"/>
      <c r="X672" s="268" t="s">
        <v>4881</v>
      </c>
      <c r="Y672" s="332" t="s">
        <v>5414</v>
      </c>
      <c r="Z672" s="332" t="s">
        <v>5415</v>
      </c>
      <c r="AA672" s="268" t="s">
        <v>4884</v>
      </c>
      <c r="AB672" s="268"/>
      <c r="AC672" s="287">
        <v>1</v>
      </c>
      <c r="AD672" s="287">
        <v>1</v>
      </c>
      <c r="AE672" s="268"/>
      <c r="AF672" s="268"/>
      <c r="AG672" s="290"/>
    </row>
    <row r="673" spans="1:33" s="261" customFormat="1" ht="15" customHeight="1" x14ac:dyDescent="0.15">
      <c r="A673" s="267">
        <v>95301162</v>
      </c>
      <c r="B673" s="293" t="s">
        <v>5419</v>
      </c>
      <c r="C673" s="268" t="s">
        <v>5307</v>
      </c>
      <c r="D673" s="268">
        <v>6901</v>
      </c>
      <c r="E673" s="268" t="s">
        <v>4876</v>
      </c>
      <c r="F673" s="268" t="s">
        <v>4877</v>
      </c>
      <c r="G673" s="269">
        <v>2</v>
      </c>
      <c r="H673" s="269">
        <v>0</v>
      </c>
      <c r="I673" s="267">
        <v>34</v>
      </c>
      <c r="J673" s="301" t="s">
        <v>5420</v>
      </c>
      <c r="K673" s="279" t="s">
        <v>5421</v>
      </c>
      <c r="L673" s="279"/>
      <c r="M673" s="268">
        <v>1</v>
      </c>
      <c r="N673" s="268" t="b">
        <v>1</v>
      </c>
      <c r="O673" s="268">
        <v>5</v>
      </c>
      <c r="P673" s="281">
        <v>75</v>
      </c>
      <c r="Q673" s="281">
        <v>100</v>
      </c>
      <c r="R673" s="268" t="s">
        <v>3383</v>
      </c>
      <c r="S673" s="268"/>
      <c r="T673" s="268">
        <v>1</v>
      </c>
      <c r="U673" s="268" t="s">
        <v>4880</v>
      </c>
      <c r="V673" s="268">
        <v>2</v>
      </c>
      <c r="W673" s="268"/>
      <c r="X673" s="268" t="s">
        <v>4881</v>
      </c>
      <c r="Y673" s="268" t="s">
        <v>5414</v>
      </c>
      <c r="Z673" s="268" t="s">
        <v>5415</v>
      </c>
      <c r="AA673" s="268" t="s">
        <v>4884</v>
      </c>
      <c r="AB673" s="268"/>
      <c r="AC673" s="287">
        <v>1</v>
      </c>
      <c r="AD673" s="287">
        <v>1</v>
      </c>
      <c r="AE673" s="268"/>
      <c r="AF673" s="268"/>
      <c r="AG673" s="290"/>
    </row>
    <row r="674" spans="1:33" s="261" customFormat="1" ht="15" customHeight="1" x14ac:dyDescent="0.15">
      <c r="A674" s="267">
        <v>95301163</v>
      </c>
      <c r="B674" s="293" t="s">
        <v>5419</v>
      </c>
      <c r="C674" s="268" t="s">
        <v>5307</v>
      </c>
      <c r="D674" s="268">
        <v>6901</v>
      </c>
      <c r="E674" s="268" t="s">
        <v>4876</v>
      </c>
      <c r="F674" s="268" t="s">
        <v>4877</v>
      </c>
      <c r="G674" s="269">
        <v>3</v>
      </c>
      <c r="H674" s="269">
        <v>0</v>
      </c>
      <c r="I674" s="267">
        <v>34</v>
      </c>
      <c r="J674" s="301" t="s">
        <v>5420</v>
      </c>
      <c r="K674" s="279" t="s">
        <v>5421</v>
      </c>
      <c r="L674" s="279"/>
      <c r="M674" s="268">
        <v>1</v>
      </c>
      <c r="N674" s="268" t="b">
        <v>1</v>
      </c>
      <c r="O674" s="268">
        <v>7</v>
      </c>
      <c r="P674" s="281">
        <v>105</v>
      </c>
      <c r="Q674" s="281">
        <v>140</v>
      </c>
      <c r="R674" s="268" t="s">
        <v>3383</v>
      </c>
      <c r="S674" s="268"/>
      <c r="T674" s="268">
        <v>1</v>
      </c>
      <c r="U674" s="268" t="s">
        <v>4880</v>
      </c>
      <c r="V674" s="268">
        <v>3</v>
      </c>
      <c r="W674" s="268"/>
      <c r="X674" s="268" t="s">
        <v>4881</v>
      </c>
      <c r="Y674" s="268" t="s">
        <v>5414</v>
      </c>
      <c r="Z674" s="268" t="s">
        <v>5415</v>
      </c>
      <c r="AA674" s="268" t="s">
        <v>4884</v>
      </c>
      <c r="AB674" s="268"/>
      <c r="AC674" s="287">
        <v>1</v>
      </c>
      <c r="AD674" s="287">
        <v>1</v>
      </c>
      <c r="AE674" s="268"/>
      <c r="AF674" s="268"/>
      <c r="AG674" s="290"/>
    </row>
    <row r="675" spans="1:33" s="261" customFormat="1" ht="15" customHeight="1" x14ac:dyDescent="0.15">
      <c r="A675" s="267">
        <v>95301164</v>
      </c>
      <c r="B675" s="293" t="s">
        <v>5419</v>
      </c>
      <c r="C675" s="268" t="s">
        <v>5307</v>
      </c>
      <c r="D675" s="268">
        <v>6901</v>
      </c>
      <c r="E675" s="268" t="s">
        <v>4876</v>
      </c>
      <c r="F675" s="268" t="s">
        <v>4877</v>
      </c>
      <c r="G675" s="269">
        <v>4</v>
      </c>
      <c r="H675" s="269">
        <v>0</v>
      </c>
      <c r="I675" s="267">
        <v>34</v>
      </c>
      <c r="J675" s="301" t="s">
        <v>5420</v>
      </c>
      <c r="K675" s="279" t="s">
        <v>5421</v>
      </c>
      <c r="L675" s="279"/>
      <c r="M675" s="268">
        <v>1</v>
      </c>
      <c r="N675" s="268" t="b">
        <v>1</v>
      </c>
      <c r="O675" s="268">
        <v>10</v>
      </c>
      <c r="P675" s="281">
        <v>150</v>
      </c>
      <c r="Q675" s="281">
        <v>200</v>
      </c>
      <c r="R675" s="268" t="s">
        <v>3383</v>
      </c>
      <c r="S675" s="268"/>
      <c r="T675" s="268">
        <v>1</v>
      </c>
      <c r="U675" s="268" t="s">
        <v>4880</v>
      </c>
      <c r="V675" s="268">
        <v>4</v>
      </c>
      <c r="W675" s="268"/>
      <c r="X675" s="268" t="s">
        <v>4881</v>
      </c>
      <c r="Y675" s="268" t="s">
        <v>5414</v>
      </c>
      <c r="Z675" s="268" t="s">
        <v>5415</v>
      </c>
      <c r="AA675" s="268" t="s">
        <v>4884</v>
      </c>
      <c r="AB675" s="268"/>
      <c r="AC675" s="287">
        <v>1</v>
      </c>
      <c r="AD675" s="287">
        <v>1</v>
      </c>
      <c r="AE675" s="268"/>
      <c r="AF675" s="268"/>
      <c r="AG675" s="290"/>
    </row>
    <row r="676" spans="1:33" s="261" customFormat="1" ht="15" customHeight="1" x14ac:dyDescent="0.15">
      <c r="A676" s="267">
        <v>95301165</v>
      </c>
      <c r="B676" s="293" t="s">
        <v>5419</v>
      </c>
      <c r="C676" s="268" t="s">
        <v>5307</v>
      </c>
      <c r="D676" s="268">
        <v>6901</v>
      </c>
      <c r="E676" s="268" t="s">
        <v>4876</v>
      </c>
      <c r="F676" s="268" t="s">
        <v>4877</v>
      </c>
      <c r="G676" s="269">
        <v>5</v>
      </c>
      <c r="H676" s="269">
        <v>0</v>
      </c>
      <c r="I676" s="267">
        <v>34</v>
      </c>
      <c r="J676" s="301" t="s">
        <v>5420</v>
      </c>
      <c r="K676" s="279" t="s">
        <v>5421</v>
      </c>
      <c r="L676" s="279"/>
      <c r="M676" s="268">
        <v>1</v>
      </c>
      <c r="N676" s="268" t="b">
        <v>1</v>
      </c>
      <c r="O676" s="268">
        <v>12</v>
      </c>
      <c r="P676" s="281">
        <v>180</v>
      </c>
      <c r="Q676" s="281">
        <v>240</v>
      </c>
      <c r="R676" s="268" t="s">
        <v>3383</v>
      </c>
      <c r="S676" s="268"/>
      <c r="T676" s="268">
        <v>1</v>
      </c>
      <c r="U676" s="268" t="s">
        <v>4880</v>
      </c>
      <c r="V676" s="268">
        <v>5</v>
      </c>
      <c r="W676" s="268"/>
      <c r="X676" s="268" t="s">
        <v>4881</v>
      </c>
      <c r="Y676" s="268" t="s">
        <v>5414</v>
      </c>
      <c r="Z676" s="268" t="s">
        <v>5415</v>
      </c>
      <c r="AA676" s="268" t="s">
        <v>4884</v>
      </c>
      <c r="AB676" s="268"/>
      <c r="AC676" s="287">
        <v>1</v>
      </c>
      <c r="AD676" s="287">
        <v>1</v>
      </c>
      <c r="AE676" s="268"/>
      <c r="AF676" s="268"/>
      <c r="AG676" s="290"/>
    </row>
    <row r="677" spans="1:33" s="261" customFormat="1" ht="15" customHeight="1" x14ac:dyDescent="0.15">
      <c r="A677" s="267">
        <v>95301166</v>
      </c>
      <c r="B677" s="268" t="s">
        <v>5419</v>
      </c>
      <c r="C677" s="268" t="s">
        <v>5307</v>
      </c>
      <c r="D677" s="268">
        <v>6901</v>
      </c>
      <c r="E677" s="268" t="s">
        <v>4876</v>
      </c>
      <c r="F677" s="268" t="s">
        <v>4877</v>
      </c>
      <c r="G677" s="269">
        <v>6</v>
      </c>
      <c r="H677" s="269">
        <v>0</v>
      </c>
      <c r="I677" s="267">
        <v>34</v>
      </c>
      <c r="J677" s="301" t="s">
        <v>5420</v>
      </c>
      <c r="K677" s="279" t="s">
        <v>5421</v>
      </c>
      <c r="L677" s="279"/>
      <c r="M677" s="268">
        <v>1</v>
      </c>
      <c r="N677" s="268" t="b">
        <v>1</v>
      </c>
      <c r="O677" s="268">
        <v>25</v>
      </c>
      <c r="P677" s="281">
        <v>375</v>
      </c>
      <c r="Q677" s="281">
        <v>500</v>
      </c>
      <c r="R677" s="268" t="s">
        <v>3383</v>
      </c>
      <c r="S677" s="268"/>
      <c r="T677" s="268">
        <v>1</v>
      </c>
      <c r="U677" s="268" t="s">
        <v>4880</v>
      </c>
      <c r="V677" s="268">
        <v>6</v>
      </c>
      <c r="W677" s="268"/>
      <c r="X677" s="268" t="s">
        <v>4881</v>
      </c>
      <c r="Y677" s="278" t="s">
        <v>5414</v>
      </c>
      <c r="Z677" s="268" t="s">
        <v>5415</v>
      </c>
      <c r="AA677" s="268" t="s">
        <v>4884</v>
      </c>
      <c r="AB677" s="268"/>
      <c r="AC677" s="287">
        <v>1</v>
      </c>
      <c r="AD677" s="287">
        <v>1</v>
      </c>
      <c r="AE677" s="268"/>
      <c r="AF677" s="268"/>
      <c r="AG677" s="290"/>
    </row>
    <row r="678" spans="1:33" s="261" customFormat="1" ht="15" customHeight="1" x14ac:dyDescent="0.15">
      <c r="A678" s="267">
        <v>95301167</v>
      </c>
      <c r="B678" s="268" t="s">
        <v>5419</v>
      </c>
      <c r="C678" s="268" t="s">
        <v>5307</v>
      </c>
      <c r="D678" s="268">
        <v>6901</v>
      </c>
      <c r="E678" s="269" t="s">
        <v>4876</v>
      </c>
      <c r="F678" s="268" t="s">
        <v>4877</v>
      </c>
      <c r="G678" s="269">
        <v>7</v>
      </c>
      <c r="H678" s="269">
        <v>0</v>
      </c>
      <c r="I678" s="279" t="s">
        <v>5422</v>
      </c>
      <c r="J678" s="268" t="s">
        <v>5420</v>
      </c>
      <c r="K678" s="268">
        <v>3011601</v>
      </c>
      <c r="L678" s="268"/>
      <c r="M678" s="268">
        <v>1</v>
      </c>
      <c r="N678" s="268" t="b">
        <v>1</v>
      </c>
      <c r="O678" s="268">
        <v>38</v>
      </c>
      <c r="P678" s="281">
        <v>570</v>
      </c>
      <c r="Q678" s="281">
        <v>760</v>
      </c>
      <c r="R678" s="268" t="s">
        <v>3383</v>
      </c>
      <c r="S678" s="268"/>
      <c r="T678" s="268">
        <v>1</v>
      </c>
      <c r="U678" s="268" t="s">
        <v>4880</v>
      </c>
      <c r="V678" s="278">
        <v>7</v>
      </c>
      <c r="W678" s="278"/>
      <c r="X678" s="268" t="s">
        <v>4881</v>
      </c>
      <c r="Y678" s="268" t="s">
        <v>5414</v>
      </c>
      <c r="Z678" s="268" t="s">
        <v>5415</v>
      </c>
      <c r="AA678" s="268" t="s">
        <v>4884</v>
      </c>
      <c r="AB678" s="290"/>
      <c r="AC678" s="287">
        <v>1</v>
      </c>
      <c r="AD678" s="287">
        <v>1</v>
      </c>
      <c r="AE678" s="268"/>
      <c r="AF678" s="268"/>
      <c r="AG678" s="290"/>
    </row>
    <row r="679" spans="1:33" s="261" customFormat="1" ht="15" customHeight="1" x14ac:dyDescent="0.15">
      <c r="A679" s="267">
        <v>95301168</v>
      </c>
      <c r="B679" s="268" t="s">
        <v>5423</v>
      </c>
      <c r="C679" s="268" t="s">
        <v>5307</v>
      </c>
      <c r="D679" s="268">
        <v>5081</v>
      </c>
      <c r="E679" s="269" t="s">
        <v>4876</v>
      </c>
      <c r="F679" s="268" t="s">
        <v>4877</v>
      </c>
      <c r="G679" s="269">
        <v>6</v>
      </c>
      <c r="H679" s="269">
        <v>0</v>
      </c>
      <c r="I679" s="279" t="s">
        <v>5422</v>
      </c>
      <c r="J679" s="268" t="s">
        <v>5420</v>
      </c>
      <c r="K679" s="268">
        <v>3011601</v>
      </c>
      <c r="L679" s="268" t="s">
        <v>44</v>
      </c>
      <c r="M679" s="268">
        <v>1</v>
      </c>
      <c r="N679" s="268" t="b">
        <v>1</v>
      </c>
      <c r="O679" s="268">
        <v>51</v>
      </c>
      <c r="P679" s="281">
        <v>765</v>
      </c>
      <c r="Q679" s="281">
        <v>1020</v>
      </c>
      <c r="R679" s="268" t="s">
        <v>3383</v>
      </c>
      <c r="S679" s="268"/>
      <c r="T679" s="268">
        <v>1</v>
      </c>
      <c r="U679" s="268" t="s">
        <v>4880</v>
      </c>
      <c r="V679" s="278">
        <v>10</v>
      </c>
      <c r="W679" s="278"/>
      <c r="X679" s="268" t="s">
        <v>4881</v>
      </c>
      <c r="Y679" s="268" t="s">
        <v>5414</v>
      </c>
      <c r="Z679" s="268" t="s">
        <v>5415</v>
      </c>
      <c r="AA679" s="268" t="s">
        <v>4884</v>
      </c>
      <c r="AB679" s="290"/>
      <c r="AC679" s="287">
        <v>1</v>
      </c>
      <c r="AD679" s="287">
        <v>1</v>
      </c>
      <c r="AE679" s="268"/>
      <c r="AF679" s="268"/>
      <c r="AG679" s="290"/>
    </row>
    <row r="680" spans="1:33" s="261" customFormat="1" ht="15" customHeight="1" x14ac:dyDescent="0.15">
      <c r="A680" s="267">
        <v>95301169</v>
      </c>
      <c r="B680" s="268" t="s">
        <v>5424</v>
      </c>
      <c r="C680" s="268" t="s">
        <v>5307</v>
      </c>
      <c r="D680" s="268">
        <v>5081</v>
      </c>
      <c r="E680" s="268" t="s">
        <v>4876</v>
      </c>
      <c r="F680" s="268" t="s">
        <v>4877</v>
      </c>
      <c r="G680" s="269">
        <v>6</v>
      </c>
      <c r="H680" s="269">
        <v>0</v>
      </c>
      <c r="I680" s="267">
        <v>34</v>
      </c>
      <c r="J680" s="301" t="s">
        <v>5420</v>
      </c>
      <c r="K680" s="279" t="s">
        <v>5421</v>
      </c>
      <c r="L680" s="279" t="s">
        <v>4887</v>
      </c>
      <c r="M680" s="268">
        <v>1</v>
      </c>
      <c r="N680" s="268" t="b">
        <v>1</v>
      </c>
      <c r="O680" s="268">
        <v>64</v>
      </c>
      <c r="P680" s="281">
        <v>960</v>
      </c>
      <c r="Q680" s="281">
        <v>1280</v>
      </c>
      <c r="R680" s="268" t="s">
        <v>3383</v>
      </c>
      <c r="S680" s="268"/>
      <c r="T680" s="268">
        <v>1</v>
      </c>
      <c r="U680" s="268" t="s">
        <v>4880</v>
      </c>
      <c r="V680" s="268">
        <v>10</v>
      </c>
      <c r="W680" s="268"/>
      <c r="X680" s="268" t="s">
        <v>4881</v>
      </c>
      <c r="Y680" s="278" t="s">
        <v>5414</v>
      </c>
      <c r="Z680" s="268" t="s">
        <v>5415</v>
      </c>
      <c r="AA680" s="268" t="s">
        <v>4884</v>
      </c>
      <c r="AB680" s="268"/>
      <c r="AC680" s="287">
        <v>1</v>
      </c>
      <c r="AD680" s="287">
        <v>1</v>
      </c>
      <c r="AE680" s="268"/>
      <c r="AF680" s="268"/>
      <c r="AG680" s="290"/>
    </row>
    <row r="681" spans="1:33" s="261" customFormat="1" ht="15" customHeight="1" x14ac:dyDescent="0.15">
      <c r="A681" s="267">
        <v>95301170</v>
      </c>
      <c r="B681" s="268" t="s">
        <v>5425</v>
      </c>
      <c r="C681" s="268" t="s">
        <v>5307</v>
      </c>
      <c r="D681" s="268">
        <v>5081</v>
      </c>
      <c r="E681" s="268" t="s">
        <v>4876</v>
      </c>
      <c r="F681" s="268" t="s">
        <v>4877</v>
      </c>
      <c r="G681" s="269">
        <v>7</v>
      </c>
      <c r="H681" s="269">
        <v>0</v>
      </c>
      <c r="I681" s="267">
        <v>34</v>
      </c>
      <c r="J681" s="301" t="s">
        <v>5420</v>
      </c>
      <c r="K681" s="279" t="s">
        <v>5421</v>
      </c>
      <c r="L681" s="279" t="s">
        <v>4889</v>
      </c>
      <c r="M681" s="268">
        <v>1</v>
      </c>
      <c r="N681" s="268" t="b">
        <v>1</v>
      </c>
      <c r="O681" s="268">
        <v>77</v>
      </c>
      <c r="P681" s="281">
        <v>1155</v>
      </c>
      <c r="Q681" s="281">
        <v>1540</v>
      </c>
      <c r="R681" s="268" t="s">
        <v>3383</v>
      </c>
      <c r="S681" s="268"/>
      <c r="T681" s="268">
        <v>1</v>
      </c>
      <c r="U681" s="268" t="s">
        <v>4880</v>
      </c>
      <c r="V681" s="268">
        <v>10</v>
      </c>
      <c r="W681" s="268"/>
      <c r="X681" s="268" t="s">
        <v>4881</v>
      </c>
      <c r="Y681" s="278" t="s">
        <v>5414</v>
      </c>
      <c r="Z681" s="268" t="s">
        <v>5415</v>
      </c>
      <c r="AA681" s="268" t="s">
        <v>4884</v>
      </c>
      <c r="AB681" s="268"/>
      <c r="AC681" s="287">
        <v>1</v>
      </c>
      <c r="AD681" s="287">
        <v>1</v>
      </c>
      <c r="AE681" s="268"/>
      <c r="AF681" s="268"/>
      <c r="AG681" s="290"/>
    </row>
    <row r="682" spans="1:33" s="261" customFormat="1" ht="15" customHeight="1" x14ac:dyDescent="0.15">
      <c r="A682" s="267">
        <v>95301171</v>
      </c>
      <c r="B682" s="335" t="s">
        <v>5426</v>
      </c>
      <c r="C682" s="268" t="s">
        <v>5307</v>
      </c>
      <c r="D682" s="268">
        <v>6901</v>
      </c>
      <c r="E682" s="268" t="s">
        <v>4876</v>
      </c>
      <c r="F682" s="268" t="s">
        <v>4877</v>
      </c>
      <c r="G682" s="269">
        <v>1</v>
      </c>
      <c r="H682" s="269">
        <v>0</v>
      </c>
      <c r="I682" s="267">
        <v>34</v>
      </c>
      <c r="J682" s="301" t="s">
        <v>5427</v>
      </c>
      <c r="K682" s="279" t="s">
        <v>5428</v>
      </c>
      <c r="L682" s="279"/>
      <c r="M682" s="268">
        <v>1</v>
      </c>
      <c r="N682" s="268" t="b">
        <v>1</v>
      </c>
      <c r="O682" s="268">
        <v>2</v>
      </c>
      <c r="P682" s="281">
        <v>30</v>
      </c>
      <c r="Q682" s="281">
        <v>40</v>
      </c>
      <c r="R682" s="268" t="s">
        <v>3383</v>
      </c>
      <c r="S682" s="268"/>
      <c r="T682" s="268">
        <v>1</v>
      </c>
      <c r="U682" s="268" t="s">
        <v>4880</v>
      </c>
      <c r="V682" s="268">
        <v>1</v>
      </c>
      <c r="W682" s="268"/>
      <c r="X682" s="268" t="s">
        <v>4881</v>
      </c>
      <c r="Y682" s="332" t="s">
        <v>5429</v>
      </c>
      <c r="Z682" s="332" t="s">
        <v>5430</v>
      </c>
      <c r="AA682" s="268" t="s">
        <v>4884</v>
      </c>
      <c r="AB682" s="268"/>
      <c r="AC682" s="287">
        <v>1</v>
      </c>
      <c r="AD682" s="287">
        <v>1</v>
      </c>
      <c r="AE682" s="268"/>
      <c r="AF682" s="268"/>
      <c r="AG682" s="290"/>
    </row>
    <row r="683" spans="1:33" s="261" customFormat="1" ht="15" customHeight="1" x14ac:dyDescent="0.15">
      <c r="A683" s="267">
        <v>95301172</v>
      </c>
      <c r="B683" s="335" t="s">
        <v>5426</v>
      </c>
      <c r="C683" s="268" t="s">
        <v>5307</v>
      </c>
      <c r="D683" s="268">
        <v>6901</v>
      </c>
      <c r="E683" s="268" t="s">
        <v>4876</v>
      </c>
      <c r="F683" s="268" t="s">
        <v>4877</v>
      </c>
      <c r="G683" s="269">
        <v>2</v>
      </c>
      <c r="H683" s="269">
        <v>0</v>
      </c>
      <c r="I683" s="267">
        <v>34</v>
      </c>
      <c r="J683" s="301" t="s">
        <v>5427</v>
      </c>
      <c r="K683" s="279" t="s">
        <v>5428</v>
      </c>
      <c r="L683" s="279"/>
      <c r="M683" s="268">
        <v>1</v>
      </c>
      <c r="N683" s="268" t="b">
        <v>1</v>
      </c>
      <c r="O683" s="268">
        <v>5</v>
      </c>
      <c r="P683" s="281">
        <v>75</v>
      </c>
      <c r="Q683" s="281">
        <v>100</v>
      </c>
      <c r="R683" s="268" t="s">
        <v>3383</v>
      </c>
      <c r="S683" s="268"/>
      <c r="T683" s="268">
        <v>1</v>
      </c>
      <c r="U683" s="268" t="s">
        <v>4880</v>
      </c>
      <c r="V683" s="268">
        <v>2</v>
      </c>
      <c r="W683" s="268"/>
      <c r="X683" s="268" t="s">
        <v>4881</v>
      </c>
      <c r="Y683" s="332" t="s">
        <v>5429</v>
      </c>
      <c r="Z683" s="332" t="s">
        <v>5430</v>
      </c>
      <c r="AA683" s="268" t="s">
        <v>4884</v>
      </c>
      <c r="AB683" s="268"/>
      <c r="AC683" s="287">
        <v>1</v>
      </c>
      <c r="AD683" s="287">
        <v>1</v>
      </c>
      <c r="AE683" s="268"/>
      <c r="AF683" s="268"/>
      <c r="AG683" s="290"/>
    </row>
    <row r="684" spans="1:33" s="261" customFormat="1" ht="15" customHeight="1" x14ac:dyDescent="0.15">
      <c r="A684" s="267">
        <v>95301173</v>
      </c>
      <c r="B684" s="335" t="s">
        <v>5426</v>
      </c>
      <c r="C684" s="268" t="s">
        <v>5307</v>
      </c>
      <c r="D684" s="268">
        <v>6901</v>
      </c>
      <c r="E684" s="268" t="s">
        <v>4876</v>
      </c>
      <c r="F684" s="268" t="s">
        <v>4877</v>
      </c>
      <c r="G684" s="269">
        <v>3</v>
      </c>
      <c r="H684" s="269">
        <v>0</v>
      </c>
      <c r="I684" s="267">
        <v>34</v>
      </c>
      <c r="J684" s="301" t="s">
        <v>5427</v>
      </c>
      <c r="K684" s="279" t="s">
        <v>5428</v>
      </c>
      <c r="L684" s="279"/>
      <c r="M684" s="268">
        <v>1</v>
      </c>
      <c r="N684" s="268" t="b">
        <v>1</v>
      </c>
      <c r="O684" s="268">
        <v>7</v>
      </c>
      <c r="P684" s="281">
        <v>105</v>
      </c>
      <c r="Q684" s="281">
        <v>140</v>
      </c>
      <c r="R684" s="268" t="s">
        <v>3383</v>
      </c>
      <c r="S684" s="268"/>
      <c r="T684" s="268">
        <v>1</v>
      </c>
      <c r="U684" s="268" t="s">
        <v>4880</v>
      </c>
      <c r="V684" s="268">
        <v>3</v>
      </c>
      <c r="W684" s="268"/>
      <c r="X684" s="268" t="s">
        <v>4881</v>
      </c>
      <c r="Y684" s="332" t="s">
        <v>5429</v>
      </c>
      <c r="Z684" s="332" t="s">
        <v>5430</v>
      </c>
      <c r="AA684" s="268" t="s">
        <v>4884</v>
      </c>
      <c r="AB684" s="268"/>
      <c r="AC684" s="287">
        <v>1</v>
      </c>
      <c r="AD684" s="287">
        <v>1</v>
      </c>
      <c r="AE684" s="268"/>
      <c r="AF684" s="268"/>
      <c r="AG684" s="290"/>
    </row>
    <row r="685" spans="1:33" s="261" customFormat="1" ht="15" customHeight="1" x14ac:dyDescent="0.15">
      <c r="A685" s="267">
        <v>95301174</v>
      </c>
      <c r="B685" s="335" t="s">
        <v>5426</v>
      </c>
      <c r="C685" s="268" t="s">
        <v>5307</v>
      </c>
      <c r="D685" s="268">
        <v>6901</v>
      </c>
      <c r="E685" s="268" t="s">
        <v>4876</v>
      </c>
      <c r="F685" s="268" t="s">
        <v>4877</v>
      </c>
      <c r="G685" s="269">
        <v>4</v>
      </c>
      <c r="H685" s="269">
        <v>0</v>
      </c>
      <c r="I685" s="267">
        <v>34</v>
      </c>
      <c r="J685" s="301" t="s">
        <v>5427</v>
      </c>
      <c r="K685" s="279" t="s">
        <v>5428</v>
      </c>
      <c r="L685" s="279"/>
      <c r="M685" s="268">
        <v>1</v>
      </c>
      <c r="N685" s="268" t="b">
        <v>1</v>
      </c>
      <c r="O685" s="268">
        <v>10</v>
      </c>
      <c r="P685" s="281">
        <v>150</v>
      </c>
      <c r="Q685" s="281">
        <v>200</v>
      </c>
      <c r="R685" s="268" t="s">
        <v>3383</v>
      </c>
      <c r="S685" s="268"/>
      <c r="T685" s="268">
        <v>1</v>
      </c>
      <c r="U685" s="268" t="s">
        <v>4880</v>
      </c>
      <c r="V685" s="268">
        <v>4</v>
      </c>
      <c r="W685" s="268"/>
      <c r="X685" s="268" t="s">
        <v>4881</v>
      </c>
      <c r="Y685" s="332" t="s">
        <v>5429</v>
      </c>
      <c r="Z685" s="332" t="s">
        <v>5430</v>
      </c>
      <c r="AA685" s="268" t="s">
        <v>4884</v>
      </c>
      <c r="AB685" s="268"/>
      <c r="AC685" s="287">
        <v>1</v>
      </c>
      <c r="AD685" s="287">
        <v>1</v>
      </c>
      <c r="AE685" s="268"/>
      <c r="AF685" s="268"/>
      <c r="AG685" s="290"/>
    </row>
    <row r="686" spans="1:33" s="261" customFormat="1" ht="15" customHeight="1" x14ac:dyDescent="0.15">
      <c r="A686" s="267">
        <v>95301175</v>
      </c>
      <c r="B686" s="335" t="s">
        <v>5426</v>
      </c>
      <c r="C686" s="268" t="s">
        <v>5307</v>
      </c>
      <c r="D686" s="268">
        <v>6901</v>
      </c>
      <c r="E686" s="268" t="s">
        <v>4876</v>
      </c>
      <c r="F686" s="268" t="s">
        <v>4877</v>
      </c>
      <c r="G686" s="269">
        <v>5</v>
      </c>
      <c r="H686" s="269">
        <v>0</v>
      </c>
      <c r="I686" s="267">
        <v>34</v>
      </c>
      <c r="J686" s="301" t="s">
        <v>5427</v>
      </c>
      <c r="K686" s="279" t="s">
        <v>5428</v>
      </c>
      <c r="L686" s="279"/>
      <c r="M686" s="268">
        <v>1</v>
      </c>
      <c r="N686" s="268" t="b">
        <v>1</v>
      </c>
      <c r="O686" s="268">
        <v>12</v>
      </c>
      <c r="P686" s="281">
        <v>180</v>
      </c>
      <c r="Q686" s="281">
        <v>240</v>
      </c>
      <c r="R686" s="268" t="s">
        <v>3383</v>
      </c>
      <c r="S686" s="268"/>
      <c r="T686" s="268">
        <v>1</v>
      </c>
      <c r="U686" s="268" t="s">
        <v>4880</v>
      </c>
      <c r="V686" s="268">
        <v>5</v>
      </c>
      <c r="W686" s="268"/>
      <c r="X686" s="268" t="s">
        <v>4881</v>
      </c>
      <c r="Y686" s="332" t="s">
        <v>5429</v>
      </c>
      <c r="Z686" s="332" t="s">
        <v>5430</v>
      </c>
      <c r="AA686" s="268" t="s">
        <v>4884</v>
      </c>
      <c r="AB686" s="268"/>
      <c r="AC686" s="287">
        <v>1</v>
      </c>
      <c r="AD686" s="287">
        <v>1</v>
      </c>
      <c r="AE686" s="268"/>
      <c r="AF686" s="268"/>
      <c r="AG686" s="290"/>
    </row>
    <row r="687" spans="1:33" s="261" customFormat="1" ht="15" customHeight="1" x14ac:dyDescent="0.15">
      <c r="A687" s="267">
        <v>95301176</v>
      </c>
      <c r="B687" s="335" t="s">
        <v>5426</v>
      </c>
      <c r="C687" s="268" t="s">
        <v>5307</v>
      </c>
      <c r="D687" s="268">
        <v>6901</v>
      </c>
      <c r="E687" s="268" t="s">
        <v>4876</v>
      </c>
      <c r="F687" s="268" t="s">
        <v>4877</v>
      </c>
      <c r="G687" s="269">
        <v>6</v>
      </c>
      <c r="H687" s="269">
        <v>0</v>
      </c>
      <c r="I687" s="267">
        <v>34</v>
      </c>
      <c r="J687" s="301" t="s">
        <v>5427</v>
      </c>
      <c r="K687" s="279" t="s">
        <v>5428</v>
      </c>
      <c r="L687" s="279"/>
      <c r="M687" s="268">
        <v>1</v>
      </c>
      <c r="N687" s="268" t="b">
        <v>1</v>
      </c>
      <c r="O687" s="268">
        <v>25</v>
      </c>
      <c r="P687" s="281">
        <v>375</v>
      </c>
      <c r="Q687" s="281">
        <v>500</v>
      </c>
      <c r="R687" s="268" t="s">
        <v>3383</v>
      </c>
      <c r="S687" s="268"/>
      <c r="T687" s="268">
        <v>1</v>
      </c>
      <c r="U687" s="268" t="s">
        <v>4880</v>
      </c>
      <c r="V687" s="268">
        <v>6</v>
      </c>
      <c r="W687" s="268"/>
      <c r="X687" s="268" t="s">
        <v>4881</v>
      </c>
      <c r="Y687" s="332" t="s">
        <v>5429</v>
      </c>
      <c r="Z687" s="332" t="s">
        <v>5430</v>
      </c>
      <c r="AA687" s="268" t="s">
        <v>4884</v>
      </c>
      <c r="AB687" s="268"/>
      <c r="AC687" s="287">
        <v>1</v>
      </c>
      <c r="AD687" s="287">
        <v>1</v>
      </c>
      <c r="AE687" s="268"/>
      <c r="AF687" s="268"/>
      <c r="AG687" s="290"/>
    </row>
    <row r="688" spans="1:33" s="261" customFormat="1" ht="15" customHeight="1" x14ac:dyDescent="0.15">
      <c r="A688" s="267">
        <v>95301177</v>
      </c>
      <c r="B688" s="335" t="s">
        <v>5426</v>
      </c>
      <c r="C688" s="268" t="s">
        <v>5307</v>
      </c>
      <c r="D688" s="268">
        <v>6901</v>
      </c>
      <c r="E688" s="269" t="s">
        <v>4876</v>
      </c>
      <c r="F688" s="268" t="s">
        <v>4877</v>
      </c>
      <c r="G688" s="269">
        <v>7</v>
      </c>
      <c r="H688" s="269">
        <v>0</v>
      </c>
      <c r="I688" s="279" t="s">
        <v>5422</v>
      </c>
      <c r="J688" s="301" t="s">
        <v>5427</v>
      </c>
      <c r="K688" s="279" t="s">
        <v>5428</v>
      </c>
      <c r="L688" s="268"/>
      <c r="M688" s="268">
        <v>1</v>
      </c>
      <c r="N688" s="268" t="b">
        <v>1</v>
      </c>
      <c r="O688" s="268">
        <v>38</v>
      </c>
      <c r="P688" s="281">
        <v>570</v>
      </c>
      <c r="Q688" s="281">
        <v>760</v>
      </c>
      <c r="R688" s="268" t="s">
        <v>3383</v>
      </c>
      <c r="S688" s="268"/>
      <c r="T688" s="268">
        <v>1</v>
      </c>
      <c r="U688" s="268" t="s">
        <v>4880</v>
      </c>
      <c r="V688" s="278">
        <v>7</v>
      </c>
      <c r="W688" s="278"/>
      <c r="X688" s="268" t="s">
        <v>4881</v>
      </c>
      <c r="Y688" s="332" t="s">
        <v>5429</v>
      </c>
      <c r="Z688" s="332" t="s">
        <v>5430</v>
      </c>
      <c r="AA688" s="268" t="s">
        <v>4884</v>
      </c>
      <c r="AB688" s="290"/>
      <c r="AC688" s="287">
        <v>1</v>
      </c>
      <c r="AD688" s="287">
        <v>1</v>
      </c>
      <c r="AE688" s="268"/>
      <c r="AF688" s="268"/>
      <c r="AG688" s="290"/>
    </row>
    <row r="689" spans="1:33" s="261" customFormat="1" ht="15" customHeight="1" x14ac:dyDescent="0.15">
      <c r="A689" s="267">
        <v>95301178</v>
      </c>
      <c r="B689" s="268" t="s">
        <v>5431</v>
      </c>
      <c r="C689" s="268" t="s">
        <v>5307</v>
      </c>
      <c r="D689" s="268">
        <v>5081</v>
      </c>
      <c r="E689" s="269" t="s">
        <v>4876</v>
      </c>
      <c r="F689" s="268" t="s">
        <v>4877</v>
      </c>
      <c r="G689" s="269">
        <v>6</v>
      </c>
      <c r="H689" s="269">
        <v>0</v>
      </c>
      <c r="I689" s="279" t="s">
        <v>5422</v>
      </c>
      <c r="J689" s="301" t="s">
        <v>5427</v>
      </c>
      <c r="K689" s="279" t="s">
        <v>5428</v>
      </c>
      <c r="L689" s="268" t="s">
        <v>44</v>
      </c>
      <c r="M689" s="268">
        <v>1</v>
      </c>
      <c r="N689" s="268" t="b">
        <v>1</v>
      </c>
      <c r="O689" s="268">
        <v>51</v>
      </c>
      <c r="P689" s="281">
        <v>765</v>
      </c>
      <c r="Q689" s="281">
        <v>1020</v>
      </c>
      <c r="R689" s="268" t="s">
        <v>3383</v>
      </c>
      <c r="S689" s="268"/>
      <c r="T689" s="268">
        <v>1</v>
      </c>
      <c r="U689" s="268" t="s">
        <v>4880</v>
      </c>
      <c r="V689" s="278">
        <v>10</v>
      </c>
      <c r="W689" s="278"/>
      <c r="X689" s="268" t="s">
        <v>4881</v>
      </c>
      <c r="Y689" s="332" t="s">
        <v>5429</v>
      </c>
      <c r="Z689" s="332" t="s">
        <v>5430</v>
      </c>
      <c r="AA689" s="268" t="s">
        <v>4884</v>
      </c>
      <c r="AB689" s="290"/>
      <c r="AC689" s="287">
        <v>1</v>
      </c>
      <c r="AD689" s="287">
        <v>1</v>
      </c>
      <c r="AE689" s="268"/>
      <c r="AF689" s="268"/>
      <c r="AG689" s="290"/>
    </row>
    <row r="690" spans="1:33" s="261" customFormat="1" ht="15" customHeight="1" x14ac:dyDescent="0.15">
      <c r="A690" s="267">
        <v>95301179</v>
      </c>
      <c r="B690" s="268" t="s">
        <v>5432</v>
      </c>
      <c r="C690" s="268" t="s">
        <v>5307</v>
      </c>
      <c r="D690" s="268">
        <v>5081</v>
      </c>
      <c r="E690" s="268" t="s">
        <v>4876</v>
      </c>
      <c r="F690" s="268" t="s">
        <v>4877</v>
      </c>
      <c r="G690" s="269">
        <v>6</v>
      </c>
      <c r="H690" s="269">
        <v>0</v>
      </c>
      <c r="I690" s="267">
        <v>34</v>
      </c>
      <c r="J690" s="301" t="s">
        <v>5427</v>
      </c>
      <c r="K690" s="279" t="s">
        <v>5428</v>
      </c>
      <c r="L690" s="279" t="s">
        <v>4887</v>
      </c>
      <c r="M690" s="268">
        <v>1</v>
      </c>
      <c r="N690" s="268" t="b">
        <v>1</v>
      </c>
      <c r="O690" s="268">
        <v>64</v>
      </c>
      <c r="P690" s="281">
        <v>960</v>
      </c>
      <c r="Q690" s="281">
        <v>1280</v>
      </c>
      <c r="R690" s="268" t="s">
        <v>3383</v>
      </c>
      <c r="S690" s="268"/>
      <c r="T690" s="268">
        <v>1</v>
      </c>
      <c r="U690" s="268" t="s">
        <v>4880</v>
      </c>
      <c r="V690" s="268">
        <v>10</v>
      </c>
      <c r="W690" s="268"/>
      <c r="X690" s="268" t="s">
        <v>4881</v>
      </c>
      <c r="Y690" s="332" t="s">
        <v>5429</v>
      </c>
      <c r="Z690" s="332" t="s">
        <v>5430</v>
      </c>
      <c r="AA690" s="268" t="s">
        <v>4884</v>
      </c>
      <c r="AB690" s="268"/>
      <c r="AC690" s="287">
        <v>1</v>
      </c>
      <c r="AD690" s="287">
        <v>1</v>
      </c>
      <c r="AE690" s="268"/>
      <c r="AF690" s="268"/>
      <c r="AG690" s="290"/>
    </row>
    <row r="691" spans="1:33" s="260" customFormat="1" ht="15" customHeight="1" x14ac:dyDescent="0.15">
      <c r="A691" s="267">
        <v>95301180</v>
      </c>
      <c r="B691" s="268" t="s">
        <v>5433</v>
      </c>
      <c r="C691" s="268" t="s">
        <v>5307</v>
      </c>
      <c r="D691" s="268">
        <v>5081</v>
      </c>
      <c r="E691" s="268" t="s">
        <v>4876</v>
      </c>
      <c r="F691" s="268" t="s">
        <v>4877</v>
      </c>
      <c r="G691" s="269">
        <v>7</v>
      </c>
      <c r="H691" s="269">
        <v>0</v>
      </c>
      <c r="I691" s="267">
        <v>34</v>
      </c>
      <c r="J691" s="301" t="s">
        <v>5427</v>
      </c>
      <c r="K691" s="279" t="s">
        <v>5428</v>
      </c>
      <c r="L691" s="279" t="s">
        <v>4889</v>
      </c>
      <c r="M691" s="268">
        <v>1</v>
      </c>
      <c r="N691" s="268" t="b">
        <v>1</v>
      </c>
      <c r="O691" s="268">
        <v>77</v>
      </c>
      <c r="P691" s="281">
        <v>1155</v>
      </c>
      <c r="Q691" s="281">
        <v>1540</v>
      </c>
      <c r="R691" s="268" t="s">
        <v>3383</v>
      </c>
      <c r="S691" s="268"/>
      <c r="T691" s="268">
        <v>1</v>
      </c>
      <c r="U691" s="268" t="s">
        <v>4880</v>
      </c>
      <c r="V691" s="268">
        <v>10</v>
      </c>
      <c r="W691" s="268"/>
      <c r="X691" s="268" t="s">
        <v>4881</v>
      </c>
      <c r="Y691" s="332" t="s">
        <v>5429</v>
      </c>
      <c r="Z691" s="332" t="s">
        <v>5430</v>
      </c>
      <c r="AA691" s="268" t="s">
        <v>4884</v>
      </c>
      <c r="AB691" s="268"/>
      <c r="AC691" s="287">
        <v>1</v>
      </c>
      <c r="AD691" s="287">
        <v>1</v>
      </c>
      <c r="AE691" s="268"/>
      <c r="AF691" s="268"/>
      <c r="AG691" s="290"/>
    </row>
    <row r="692" spans="1:33" s="261" customFormat="1" ht="15" customHeight="1" x14ac:dyDescent="0.15">
      <c r="A692" s="267">
        <v>95501002</v>
      </c>
      <c r="B692" s="268" t="s">
        <v>5434</v>
      </c>
      <c r="C692" s="268" t="s">
        <v>4875</v>
      </c>
      <c r="D692" s="268">
        <v>3082</v>
      </c>
      <c r="E692" s="268" t="s">
        <v>4876</v>
      </c>
      <c r="F692" s="268" t="s">
        <v>5435</v>
      </c>
      <c r="G692" s="269">
        <v>2</v>
      </c>
      <c r="H692" s="269">
        <v>1</v>
      </c>
      <c r="I692" s="267">
        <v>34</v>
      </c>
      <c r="J692" s="301" t="s">
        <v>5436</v>
      </c>
      <c r="K692" s="279" t="s">
        <v>5437</v>
      </c>
      <c r="L692" s="279"/>
      <c r="M692" s="268">
        <v>99</v>
      </c>
      <c r="N692" s="268" t="b">
        <v>1</v>
      </c>
      <c r="O692" s="268">
        <v>2</v>
      </c>
      <c r="P692" s="281">
        <v>30</v>
      </c>
      <c r="Q692" s="281">
        <v>40</v>
      </c>
      <c r="R692" s="268" t="s">
        <v>3383</v>
      </c>
      <c r="S692" s="268"/>
      <c r="T692" s="268">
        <v>1</v>
      </c>
      <c r="U692" s="268" t="s">
        <v>4880</v>
      </c>
      <c r="V692" s="268">
        <v>0</v>
      </c>
      <c r="W692" s="268"/>
      <c r="X692" s="268" t="s">
        <v>4881</v>
      </c>
      <c r="Y692" s="278" t="s">
        <v>5438</v>
      </c>
      <c r="Z692" s="268" t="s">
        <v>5439</v>
      </c>
      <c r="AA692" s="268" t="s">
        <v>5440</v>
      </c>
      <c r="AB692" s="268"/>
      <c r="AC692" s="287">
        <v>1</v>
      </c>
      <c r="AD692" s="287">
        <v>1</v>
      </c>
      <c r="AE692" s="268"/>
      <c r="AF692" s="268"/>
      <c r="AG692" s="290"/>
    </row>
    <row r="693" spans="1:33" s="261" customFormat="1" ht="15" customHeight="1" x14ac:dyDescent="0.15">
      <c r="A693" s="267">
        <v>95501011</v>
      </c>
      <c r="B693" s="267" t="s">
        <v>5441</v>
      </c>
      <c r="C693" s="268" t="s">
        <v>4875</v>
      </c>
      <c r="D693" s="268">
        <v>3081</v>
      </c>
      <c r="E693" s="268" t="s">
        <v>4876</v>
      </c>
      <c r="F693" s="268" t="s">
        <v>5435</v>
      </c>
      <c r="G693" s="269">
        <v>2</v>
      </c>
      <c r="H693" s="269">
        <v>1</v>
      </c>
      <c r="I693" s="267">
        <v>34</v>
      </c>
      <c r="J693" s="302" t="s">
        <v>5442</v>
      </c>
      <c r="K693" s="279" t="s">
        <v>5443</v>
      </c>
      <c r="L693" s="279"/>
      <c r="M693" s="268">
        <v>99</v>
      </c>
      <c r="N693" s="268" t="b">
        <v>1</v>
      </c>
      <c r="O693" s="268">
        <v>2</v>
      </c>
      <c r="P693" s="281">
        <v>30</v>
      </c>
      <c r="Q693" s="281">
        <v>40</v>
      </c>
      <c r="R693" s="268" t="s">
        <v>3383</v>
      </c>
      <c r="S693" s="268"/>
      <c r="T693" s="268">
        <v>1</v>
      </c>
      <c r="U693" s="268" t="s">
        <v>4880</v>
      </c>
      <c r="V693" s="268">
        <v>0</v>
      </c>
      <c r="W693" s="268"/>
      <c r="X693" s="268" t="s">
        <v>4881</v>
      </c>
      <c r="Y693" s="278" t="s">
        <v>5444</v>
      </c>
      <c r="Z693" s="268" t="s">
        <v>5445</v>
      </c>
      <c r="AA693" s="268" t="s">
        <v>5440</v>
      </c>
      <c r="AB693" s="268"/>
      <c r="AC693" s="287">
        <v>1</v>
      </c>
      <c r="AD693" s="287">
        <v>1</v>
      </c>
      <c r="AE693" s="268"/>
      <c r="AF693" s="268"/>
      <c r="AG693" s="290"/>
    </row>
    <row r="694" spans="1:33" s="261" customFormat="1" ht="15" customHeight="1" x14ac:dyDescent="0.15">
      <c r="A694" s="267">
        <v>95502002</v>
      </c>
      <c r="B694" s="268" t="s">
        <v>5446</v>
      </c>
      <c r="C694" s="268" t="s">
        <v>134</v>
      </c>
      <c r="D694" s="268">
        <v>3072</v>
      </c>
      <c r="E694" s="268" t="s">
        <v>4876</v>
      </c>
      <c r="F694" s="268" t="s">
        <v>5435</v>
      </c>
      <c r="G694" s="269">
        <v>2</v>
      </c>
      <c r="H694" s="269">
        <v>1</v>
      </c>
      <c r="I694" s="267">
        <v>34</v>
      </c>
      <c r="J694" s="301" t="s">
        <v>5447</v>
      </c>
      <c r="K694" s="279" t="s">
        <v>5448</v>
      </c>
      <c r="L694" s="279"/>
      <c r="M694" s="268">
        <v>99</v>
      </c>
      <c r="N694" s="268" t="b">
        <v>1</v>
      </c>
      <c r="O694" s="268">
        <v>2</v>
      </c>
      <c r="P694" s="281">
        <v>30</v>
      </c>
      <c r="Q694" s="281">
        <v>40</v>
      </c>
      <c r="R694" s="268" t="s">
        <v>3383</v>
      </c>
      <c r="S694" s="268"/>
      <c r="T694" s="268">
        <v>1</v>
      </c>
      <c r="U694" s="268" t="s">
        <v>4880</v>
      </c>
      <c r="V694" s="268">
        <v>0</v>
      </c>
      <c r="W694" s="268"/>
      <c r="X694" s="268" t="s">
        <v>4881</v>
      </c>
      <c r="Y694" s="278" t="s">
        <v>5449</v>
      </c>
      <c r="Z694" s="268" t="s">
        <v>5450</v>
      </c>
      <c r="AA694" s="268" t="s">
        <v>5440</v>
      </c>
      <c r="AB694" s="268"/>
      <c r="AC694" s="287">
        <v>1</v>
      </c>
      <c r="AD694" s="287">
        <v>1</v>
      </c>
      <c r="AE694" s="268"/>
      <c r="AF694" s="268"/>
      <c r="AG694" s="290"/>
    </row>
    <row r="695" spans="1:33" s="261" customFormat="1" ht="15" customHeight="1" x14ac:dyDescent="0.15">
      <c r="A695" s="267">
        <v>95502011</v>
      </c>
      <c r="B695" s="267" t="s">
        <v>5451</v>
      </c>
      <c r="C695" s="268" t="s">
        <v>134</v>
      </c>
      <c r="D695" s="268">
        <v>3071</v>
      </c>
      <c r="E695" s="268" t="s">
        <v>4876</v>
      </c>
      <c r="F695" s="268" t="s">
        <v>5435</v>
      </c>
      <c r="G695" s="269">
        <v>2</v>
      </c>
      <c r="H695" s="269">
        <v>1</v>
      </c>
      <c r="I695" s="267">
        <v>34</v>
      </c>
      <c r="J695" s="302" t="s">
        <v>5452</v>
      </c>
      <c r="K695" s="279" t="s">
        <v>5453</v>
      </c>
      <c r="L695" s="279"/>
      <c r="M695" s="268">
        <v>99</v>
      </c>
      <c r="N695" s="268" t="b">
        <v>1</v>
      </c>
      <c r="O695" s="268">
        <v>2</v>
      </c>
      <c r="P695" s="281">
        <v>30</v>
      </c>
      <c r="Q695" s="281">
        <v>40</v>
      </c>
      <c r="R695" s="268" t="s">
        <v>3383</v>
      </c>
      <c r="S695" s="268"/>
      <c r="T695" s="268">
        <v>1</v>
      </c>
      <c r="U695" s="268" t="s">
        <v>4880</v>
      </c>
      <c r="V695" s="268">
        <v>0</v>
      </c>
      <c r="W695" s="268"/>
      <c r="X695" s="268" t="s">
        <v>4881</v>
      </c>
      <c r="Y695" s="278" t="s">
        <v>5454</v>
      </c>
      <c r="Z695" s="268" t="s">
        <v>5455</v>
      </c>
      <c r="AA695" s="268" t="s">
        <v>5440</v>
      </c>
      <c r="AB695" s="268"/>
      <c r="AC695" s="287">
        <v>1</v>
      </c>
      <c r="AD695" s="287">
        <v>1</v>
      </c>
      <c r="AE695" s="268"/>
      <c r="AF695" s="268"/>
      <c r="AG695" s="290"/>
    </row>
    <row r="696" spans="1:33" s="261" customFormat="1" ht="15" customHeight="1" x14ac:dyDescent="0.15">
      <c r="A696" s="267">
        <v>95503002</v>
      </c>
      <c r="B696" s="268" t="s">
        <v>5456</v>
      </c>
      <c r="C696" s="268" t="s">
        <v>363</v>
      </c>
      <c r="D696" s="268">
        <v>3062</v>
      </c>
      <c r="E696" s="268" t="s">
        <v>4876</v>
      </c>
      <c r="F696" s="268" t="s">
        <v>5435</v>
      </c>
      <c r="G696" s="269">
        <v>2</v>
      </c>
      <c r="H696" s="269">
        <v>1</v>
      </c>
      <c r="I696" s="267">
        <v>34</v>
      </c>
      <c r="J696" s="301" t="s">
        <v>5457</v>
      </c>
      <c r="K696" s="279"/>
      <c r="L696" s="279"/>
      <c r="M696" s="268">
        <v>99</v>
      </c>
      <c r="N696" s="268" t="b">
        <v>1</v>
      </c>
      <c r="O696" s="268">
        <v>2</v>
      </c>
      <c r="P696" s="281">
        <v>30</v>
      </c>
      <c r="Q696" s="281">
        <v>40</v>
      </c>
      <c r="R696" s="268" t="s">
        <v>3383</v>
      </c>
      <c r="S696" s="268"/>
      <c r="T696" s="268">
        <v>1</v>
      </c>
      <c r="U696" s="268" t="s">
        <v>4880</v>
      </c>
      <c r="V696" s="268">
        <v>0</v>
      </c>
      <c r="W696" s="268"/>
      <c r="X696" s="268" t="s">
        <v>4881</v>
      </c>
      <c r="Y696" s="278" t="s">
        <v>5458</v>
      </c>
      <c r="Z696" s="268" t="s">
        <v>5459</v>
      </c>
      <c r="AA696" s="268" t="s">
        <v>5440</v>
      </c>
      <c r="AB696" s="268"/>
      <c r="AC696" s="287">
        <v>1</v>
      </c>
      <c r="AD696" s="287">
        <v>1</v>
      </c>
      <c r="AE696" s="268"/>
      <c r="AF696" s="268"/>
      <c r="AG696" s="290"/>
    </row>
    <row r="697" spans="1:33" s="262" customFormat="1" ht="15" customHeight="1" x14ac:dyDescent="0.15">
      <c r="A697" s="267">
        <v>95503011</v>
      </c>
      <c r="B697" s="267" t="s">
        <v>5460</v>
      </c>
      <c r="C697" s="268" t="s">
        <v>363</v>
      </c>
      <c r="D697" s="268">
        <v>3061</v>
      </c>
      <c r="E697" s="268" t="s">
        <v>4876</v>
      </c>
      <c r="F697" s="268" t="s">
        <v>5435</v>
      </c>
      <c r="G697" s="269">
        <v>2</v>
      </c>
      <c r="H697" s="269">
        <v>1</v>
      </c>
      <c r="I697" s="267">
        <v>34</v>
      </c>
      <c r="J697" s="302" t="s">
        <v>5461</v>
      </c>
      <c r="K697" s="279" t="s">
        <v>5462</v>
      </c>
      <c r="L697" s="279"/>
      <c r="M697" s="268">
        <v>99</v>
      </c>
      <c r="N697" s="268" t="b">
        <v>1</v>
      </c>
      <c r="O697" s="268">
        <v>2</v>
      </c>
      <c r="P697" s="281">
        <v>30</v>
      </c>
      <c r="Q697" s="281">
        <v>40</v>
      </c>
      <c r="R697" s="268" t="s">
        <v>3383</v>
      </c>
      <c r="S697" s="268"/>
      <c r="T697" s="268">
        <v>1</v>
      </c>
      <c r="U697" s="268" t="s">
        <v>4880</v>
      </c>
      <c r="V697" s="268">
        <v>0</v>
      </c>
      <c r="W697" s="268"/>
      <c r="X697" s="268" t="s">
        <v>4881</v>
      </c>
      <c r="Y697" s="278" t="s">
        <v>5463</v>
      </c>
      <c r="Z697" s="268" t="s">
        <v>5464</v>
      </c>
      <c r="AA697" s="268" t="s">
        <v>5440</v>
      </c>
      <c r="AB697" s="268"/>
      <c r="AC697" s="287">
        <v>1</v>
      </c>
      <c r="AD697" s="287">
        <v>1</v>
      </c>
      <c r="AE697" s="268"/>
      <c r="AF697" s="268"/>
      <c r="AG697" s="290"/>
    </row>
    <row r="698" spans="1:33" s="262" customFormat="1" ht="15" customHeight="1" x14ac:dyDescent="0.15">
      <c r="A698" s="267">
        <v>95504002</v>
      </c>
      <c r="B698" s="268" t="s">
        <v>5465</v>
      </c>
      <c r="C698" s="268" t="s">
        <v>447</v>
      </c>
      <c r="D698" s="268">
        <v>3052</v>
      </c>
      <c r="E698" s="268" t="s">
        <v>4876</v>
      </c>
      <c r="F698" s="268" t="s">
        <v>5435</v>
      </c>
      <c r="G698" s="269">
        <v>2</v>
      </c>
      <c r="H698" s="269">
        <v>1</v>
      </c>
      <c r="I698" s="267">
        <v>34</v>
      </c>
      <c r="J698" s="301" t="s">
        <v>5466</v>
      </c>
      <c r="K698" s="279" t="s">
        <v>5467</v>
      </c>
      <c r="L698" s="279"/>
      <c r="M698" s="268">
        <v>99</v>
      </c>
      <c r="N698" s="268" t="b">
        <v>1</v>
      </c>
      <c r="O698" s="268">
        <v>2</v>
      </c>
      <c r="P698" s="281">
        <v>30</v>
      </c>
      <c r="Q698" s="281">
        <v>40</v>
      </c>
      <c r="R698" s="268" t="s">
        <v>3383</v>
      </c>
      <c r="S698" s="268"/>
      <c r="T698" s="268">
        <v>1</v>
      </c>
      <c r="U698" s="268" t="s">
        <v>4880</v>
      </c>
      <c r="V698" s="268">
        <v>0</v>
      </c>
      <c r="W698" s="268"/>
      <c r="X698" s="268" t="s">
        <v>4881</v>
      </c>
      <c r="Y698" s="278" t="s">
        <v>5468</v>
      </c>
      <c r="Z698" s="268" t="s">
        <v>5469</v>
      </c>
      <c r="AA698" s="268" t="s">
        <v>5440</v>
      </c>
      <c r="AB698" s="268"/>
      <c r="AC698" s="287">
        <v>1</v>
      </c>
      <c r="AD698" s="287">
        <v>1</v>
      </c>
      <c r="AE698" s="268"/>
      <c r="AF698" s="268"/>
      <c r="AG698" s="290"/>
    </row>
    <row r="699" spans="1:33" s="262" customFormat="1" ht="15" customHeight="1" x14ac:dyDescent="0.15">
      <c r="A699" s="267">
        <v>95504011</v>
      </c>
      <c r="B699" s="267" t="s">
        <v>5470</v>
      </c>
      <c r="C699" s="268" t="s">
        <v>447</v>
      </c>
      <c r="D699" s="268">
        <v>3051</v>
      </c>
      <c r="E699" s="268" t="s">
        <v>4876</v>
      </c>
      <c r="F699" s="268" t="s">
        <v>5435</v>
      </c>
      <c r="G699" s="269">
        <v>2</v>
      </c>
      <c r="H699" s="269">
        <v>1</v>
      </c>
      <c r="I699" s="267">
        <v>34</v>
      </c>
      <c r="J699" s="302" t="s">
        <v>5471</v>
      </c>
      <c r="K699" s="279" t="s">
        <v>5472</v>
      </c>
      <c r="L699" s="279"/>
      <c r="M699" s="268">
        <v>99</v>
      </c>
      <c r="N699" s="268" t="b">
        <v>1</v>
      </c>
      <c r="O699" s="268">
        <v>2</v>
      </c>
      <c r="P699" s="281">
        <v>30</v>
      </c>
      <c r="Q699" s="281">
        <v>40</v>
      </c>
      <c r="R699" s="268" t="s">
        <v>3383</v>
      </c>
      <c r="S699" s="268"/>
      <c r="T699" s="268">
        <v>1</v>
      </c>
      <c r="U699" s="268" t="s">
        <v>4880</v>
      </c>
      <c r="V699" s="268">
        <v>0</v>
      </c>
      <c r="W699" s="268"/>
      <c r="X699" s="268" t="s">
        <v>4881</v>
      </c>
      <c r="Y699" s="278" t="s">
        <v>5473</v>
      </c>
      <c r="Z699" s="268" t="s">
        <v>5474</v>
      </c>
      <c r="AA699" s="268" t="s">
        <v>5440</v>
      </c>
      <c r="AB699" s="268"/>
      <c r="AC699" s="287">
        <v>1</v>
      </c>
      <c r="AD699" s="287">
        <v>1</v>
      </c>
      <c r="AE699" s="268"/>
      <c r="AF699" s="268"/>
      <c r="AG699" s="290"/>
    </row>
    <row r="700" spans="1:33" s="262" customFormat="1" ht="15" customHeight="1" x14ac:dyDescent="0.15">
      <c r="A700" s="267">
        <v>95505002</v>
      </c>
      <c r="B700" s="268" t="s">
        <v>5475</v>
      </c>
      <c r="C700" s="268" t="s">
        <v>5011</v>
      </c>
      <c r="D700" s="268">
        <v>3042</v>
      </c>
      <c r="E700" s="268" t="s">
        <v>4876</v>
      </c>
      <c r="F700" s="268" t="s">
        <v>5435</v>
      </c>
      <c r="G700" s="269">
        <v>2</v>
      </c>
      <c r="H700" s="269">
        <v>1</v>
      </c>
      <c r="I700" s="267">
        <v>34</v>
      </c>
      <c r="J700" s="301" t="s">
        <v>5476</v>
      </c>
      <c r="K700" s="279" t="s">
        <v>5477</v>
      </c>
      <c r="L700" s="279"/>
      <c r="M700" s="268">
        <v>99</v>
      </c>
      <c r="N700" s="268" t="b">
        <v>1</v>
      </c>
      <c r="O700" s="268">
        <v>2</v>
      </c>
      <c r="P700" s="281">
        <v>30</v>
      </c>
      <c r="Q700" s="281">
        <v>40</v>
      </c>
      <c r="R700" s="268" t="s">
        <v>3383</v>
      </c>
      <c r="S700" s="268"/>
      <c r="T700" s="268">
        <v>1</v>
      </c>
      <c r="U700" s="268" t="s">
        <v>4880</v>
      </c>
      <c r="V700" s="268">
        <v>0</v>
      </c>
      <c r="W700" s="268"/>
      <c r="X700" s="268" t="s">
        <v>4881</v>
      </c>
      <c r="Y700" s="278" t="s">
        <v>5478</v>
      </c>
      <c r="Z700" s="268" t="s">
        <v>5479</v>
      </c>
      <c r="AA700" s="268" t="s">
        <v>5440</v>
      </c>
      <c r="AB700" s="268"/>
      <c r="AC700" s="287">
        <v>1</v>
      </c>
      <c r="AD700" s="287">
        <v>1</v>
      </c>
      <c r="AE700" s="268"/>
      <c r="AF700" s="268"/>
      <c r="AG700" s="290"/>
    </row>
    <row r="701" spans="1:33" s="262" customFormat="1" ht="15" customHeight="1" x14ac:dyDescent="0.15">
      <c r="A701" s="267">
        <v>95505011</v>
      </c>
      <c r="B701" s="267" t="s">
        <v>5480</v>
      </c>
      <c r="C701" s="268" t="s">
        <v>5011</v>
      </c>
      <c r="D701" s="268">
        <v>3041</v>
      </c>
      <c r="E701" s="268" t="s">
        <v>4876</v>
      </c>
      <c r="F701" s="268" t="s">
        <v>5435</v>
      </c>
      <c r="G701" s="269">
        <v>2</v>
      </c>
      <c r="H701" s="269">
        <v>1</v>
      </c>
      <c r="I701" s="267">
        <v>34</v>
      </c>
      <c r="J701" s="302" t="s">
        <v>5481</v>
      </c>
      <c r="K701" s="279" t="s">
        <v>5482</v>
      </c>
      <c r="L701" s="279"/>
      <c r="M701" s="268">
        <v>99</v>
      </c>
      <c r="N701" s="268" t="b">
        <v>1</v>
      </c>
      <c r="O701" s="268">
        <v>2</v>
      </c>
      <c r="P701" s="281">
        <v>30</v>
      </c>
      <c r="Q701" s="281">
        <v>40</v>
      </c>
      <c r="R701" s="268" t="s">
        <v>3383</v>
      </c>
      <c r="S701" s="268"/>
      <c r="T701" s="268">
        <v>1</v>
      </c>
      <c r="U701" s="268" t="s">
        <v>4880</v>
      </c>
      <c r="V701" s="268">
        <v>0</v>
      </c>
      <c r="W701" s="268"/>
      <c r="X701" s="268" t="s">
        <v>4881</v>
      </c>
      <c r="Y701" s="278" t="s">
        <v>5483</v>
      </c>
      <c r="Z701" s="268" t="s">
        <v>5484</v>
      </c>
      <c r="AA701" s="268" t="s">
        <v>5440</v>
      </c>
      <c r="AB701" s="268"/>
      <c r="AC701" s="287">
        <v>1</v>
      </c>
      <c r="AD701" s="287">
        <v>1</v>
      </c>
      <c r="AE701" s="268"/>
      <c r="AF701" s="268"/>
      <c r="AG701" s="290"/>
    </row>
    <row r="702" spans="1:33" s="262" customFormat="1" ht="15" customHeight="1" x14ac:dyDescent="0.15">
      <c r="A702" s="267">
        <v>95506002</v>
      </c>
      <c r="B702" s="268" t="s">
        <v>5485</v>
      </c>
      <c r="C702" s="268" t="s">
        <v>727</v>
      </c>
      <c r="D702" s="268">
        <v>3032</v>
      </c>
      <c r="E702" s="268" t="s">
        <v>4876</v>
      </c>
      <c r="F702" s="268" t="s">
        <v>5435</v>
      </c>
      <c r="G702" s="269">
        <v>2</v>
      </c>
      <c r="H702" s="269">
        <v>1</v>
      </c>
      <c r="I702" s="267">
        <v>34</v>
      </c>
      <c r="J702" s="301" t="s">
        <v>5486</v>
      </c>
      <c r="K702" s="279" t="s">
        <v>5487</v>
      </c>
      <c r="L702" s="279"/>
      <c r="M702" s="268">
        <v>99</v>
      </c>
      <c r="N702" s="268" t="b">
        <v>1</v>
      </c>
      <c r="O702" s="268">
        <v>2</v>
      </c>
      <c r="P702" s="281">
        <v>30</v>
      </c>
      <c r="Q702" s="281">
        <v>40</v>
      </c>
      <c r="R702" s="268" t="s">
        <v>3383</v>
      </c>
      <c r="S702" s="268"/>
      <c r="T702" s="268">
        <v>1</v>
      </c>
      <c r="U702" s="268" t="s">
        <v>4880</v>
      </c>
      <c r="V702" s="268">
        <v>0</v>
      </c>
      <c r="W702" s="268"/>
      <c r="X702" s="268" t="s">
        <v>4881</v>
      </c>
      <c r="Y702" s="278" t="s">
        <v>5488</v>
      </c>
      <c r="Z702" s="268" t="s">
        <v>5489</v>
      </c>
      <c r="AA702" s="268" t="s">
        <v>5440</v>
      </c>
      <c r="AB702" s="268"/>
      <c r="AC702" s="287">
        <v>1</v>
      </c>
      <c r="AD702" s="287">
        <v>1</v>
      </c>
      <c r="AE702" s="268"/>
      <c r="AF702" s="268"/>
      <c r="AG702" s="290"/>
    </row>
    <row r="703" spans="1:33" s="261" customFormat="1" ht="15" customHeight="1" x14ac:dyDescent="0.15">
      <c r="A703" s="267">
        <v>95506011</v>
      </c>
      <c r="B703" s="267" t="s">
        <v>5490</v>
      </c>
      <c r="C703" s="268" t="s">
        <v>727</v>
      </c>
      <c r="D703" s="268">
        <v>3031</v>
      </c>
      <c r="E703" s="268" t="s">
        <v>4876</v>
      </c>
      <c r="F703" s="268" t="s">
        <v>5435</v>
      </c>
      <c r="G703" s="269">
        <v>2</v>
      </c>
      <c r="H703" s="269">
        <v>1</v>
      </c>
      <c r="I703" s="267">
        <v>34</v>
      </c>
      <c r="J703" s="302" t="s">
        <v>5491</v>
      </c>
      <c r="K703" s="279" t="s">
        <v>5492</v>
      </c>
      <c r="L703" s="279"/>
      <c r="M703" s="268">
        <v>99</v>
      </c>
      <c r="N703" s="268" t="b">
        <v>1</v>
      </c>
      <c r="O703" s="268">
        <v>2</v>
      </c>
      <c r="P703" s="281">
        <v>30</v>
      </c>
      <c r="Q703" s="281">
        <v>40</v>
      </c>
      <c r="R703" s="268" t="s">
        <v>3383</v>
      </c>
      <c r="S703" s="268"/>
      <c r="T703" s="268">
        <v>1</v>
      </c>
      <c r="U703" s="268" t="s">
        <v>4880</v>
      </c>
      <c r="V703" s="268">
        <v>0</v>
      </c>
      <c r="W703" s="268"/>
      <c r="X703" s="268" t="s">
        <v>4881</v>
      </c>
      <c r="Y703" s="278" t="s">
        <v>5493</v>
      </c>
      <c r="Z703" s="268" t="s">
        <v>5494</v>
      </c>
      <c r="AA703" s="268" t="s">
        <v>5440</v>
      </c>
      <c r="AB703" s="268"/>
      <c r="AC703" s="287">
        <v>1</v>
      </c>
      <c r="AD703" s="287">
        <v>1</v>
      </c>
      <c r="AE703" s="268"/>
      <c r="AF703" s="268"/>
      <c r="AG703" s="290"/>
    </row>
    <row r="704" spans="1:33" s="261" customFormat="1" ht="15" customHeight="1" x14ac:dyDescent="0.15">
      <c r="A704" s="298">
        <v>95509002</v>
      </c>
      <c r="B704" s="299" t="s">
        <v>5495</v>
      </c>
      <c r="C704" s="299" t="s">
        <v>5044</v>
      </c>
      <c r="D704" s="299">
        <v>3022</v>
      </c>
      <c r="E704" s="299" t="s">
        <v>4876</v>
      </c>
      <c r="F704" s="299" t="s">
        <v>5435</v>
      </c>
      <c r="G704" s="300">
        <v>2</v>
      </c>
      <c r="H704" s="300">
        <v>1</v>
      </c>
      <c r="I704" s="298">
        <v>34</v>
      </c>
      <c r="J704" s="303" t="s">
        <v>5496</v>
      </c>
      <c r="K704" s="304" t="s">
        <v>5497</v>
      </c>
      <c r="L704" s="304"/>
      <c r="M704" s="299">
        <v>99</v>
      </c>
      <c r="N704" s="299" t="b">
        <v>1</v>
      </c>
      <c r="O704" s="299">
        <v>2</v>
      </c>
      <c r="P704" s="281">
        <v>30</v>
      </c>
      <c r="Q704" s="281">
        <v>40</v>
      </c>
      <c r="R704" s="299" t="s">
        <v>3383</v>
      </c>
      <c r="S704" s="299"/>
      <c r="T704" s="299">
        <v>1</v>
      </c>
      <c r="U704" s="299" t="s">
        <v>4880</v>
      </c>
      <c r="V704" s="299">
        <v>0</v>
      </c>
      <c r="W704" s="299"/>
      <c r="X704" s="299" t="s">
        <v>4881</v>
      </c>
      <c r="Y704" s="338" t="s">
        <v>5498</v>
      </c>
      <c r="Z704" s="299" t="s">
        <v>5499</v>
      </c>
      <c r="AA704" s="299" t="s">
        <v>5440</v>
      </c>
      <c r="AB704" s="299"/>
      <c r="AC704" s="306">
        <v>1</v>
      </c>
      <c r="AD704" s="306">
        <v>1</v>
      </c>
      <c r="AE704" s="299"/>
      <c r="AF704" s="299"/>
      <c r="AG704" s="307"/>
    </row>
    <row r="705" spans="1:33" s="261" customFormat="1" ht="15" customHeight="1" x14ac:dyDescent="0.15">
      <c r="A705" s="298">
        <v>95509011</v>
      </c>
      <c r="B705" s="308" t="s">
        <v>5500</v>
      </c>
      <c r="C705" s="308" t="s">
        <v>5044</v>
      </c>
      <c r="D705" s="308">
        <v>3021</v>
      </c>
      <c r="E705" s="299" t="s">
        <v>4876</v>
      </c>
      <c r="F705" s="299" t="s">
        <v>5435</v>
      </c>
      <c r="G705" s="300">
        <v>2</v>
      </c>
      <c r="H705" s="300">
        <v>1</v>
      </c>
      <c r="I705" s="298">
        <v>34</v>
      </c>
      <c r="J705" s="303" t="s">
        <v>5501</v>
      </c>
      <c r="K705" s="315" t="s">
        <v>5502</v>
      </c>
      <c r="L705" s="315"/>
      <c r="M705" s="299">
        <v>99</v>
      </c>
      <c r="N705" s="299" t="b">
        <v>1</v>
      </c>
      <c r="O705" s="299">
        <v>2</v>
      </c>
      <c r="P705" s="281">
        <v>30</v>
      </c>
      <c r="Q705" s="281">
        <v>40</v>
      </c>
      <c r="R705" s="299" t="s">
        <v>3383</v>
      </c>
      <c r="S705" s="299"/>
      <c r="T705" s="299">
        <v>1</v>
      </c>
      <c r="U705" s="299" t="s">
        <v>4880</v>
      </c>
      <c r="V705" s="299">
        <v>0</v>
      </c>
      <c r="W705" s="299"/>
      <c r="X705" s="299" t="s">
        <v>4881</v>
      </c>
      <c r="Y705" s="339" t="s">
        <v>5503</v>
      </c>
      <c r="Z705" s="299" t="s">
        <v>5504</v>
      </c>
      <c r="AA705" s="299" t="s">
        <v>5440</v>
      </c>
      <c r="AB705" s="299"/>
      <c r="AC705" s="306">
        <v>1</v>
      </c>
      <c r="AD705" s="306">
        <v>1</v>
      </c>
      <c r="AE705" s="299"/>
      <c r="AF705" s="299"/>
      <c r="AG705" s="307"/>
    </row>
    <row r="706" spans="1:33" s="261" customFormat="1" ht="15" customHeight="1" x14ac:dyDescent="0.15">
      <c r="A706" s="298">
        <v>95510002</v>
      </c>
      <c r="B706" s="339" t="s">
        <v>5505</v>
      </c>
      <c r="C706" s="308" t="s">
        <v>887</v>
      </c>
      <c r="D706" s="308">
        <v>3012</v>
      </c>
      <c r="E706" s="299" t="s">
        <v>4876</v>
      </c>
      <c r="F706" s="299" t="s">
        <v>5435</v>
      </c>
      <c r="G706" s="300">
        <v>2</v>
      </c>
      <c r="H706" s="300">
        <v>1</v>
      </c>
      <c r="I706" s="298">
        <v>34</v>
      </c>
      <c r="J706" s="303" t="s">
        <v>5506</v>
      </c>
      <c r="K706" s="315" t="s">
        <v>5507</v>
      </c>
      <c r="L706" s="315"/>
      <c r="M706" s="299">
        <v>99</v>
      </c>
      <c r="N706" s="299" t="b">
        <v>1</v>
      </c>
      <c r="O706" s="299">
        <v>2</v>
      </c>
      <c r="P706" s="281">
        <v>30</v>
      </c>
      <c r="Q706" s="281">
        <v>40</v>
      </c>
      <c r="R706" s="299" t="s">
        <v>3383</v>
      </c>
      <c r="S706" s="299"/>
      <c r="T706" s="299">
        <v>1</v>
      </c>
      <c r="U706" s="299" t="s">
        <v>4880</v>
      </c>
      <c r="V706" s="299">
        <v>0</v>
      </c>
      <c r="W706" s="299"/>
      <c r="X706" s="299" t="s">
        <v>4881</v>
      </c>
      <c r="Y706" s="339" t="s">
        <v>5508</v>
      </c>
      <c r="Z706" s="299" t="s">
        <v>5509</v>
      </c>
      <c r="AA706" s="299" t="s">
        <v>5440</v>
      </c>
      <c r="AB706" s="299"/>
      <c r="AC706" s="306">
        <v>1</v>
      </c>
      <c r="AD706" s="306">
        <v>1</v>
      </c>
      <c r="AE706" s="299"/>
      <c r="AF706" s="299"/>
      <c r="AG706" s="307"/>
    </row>
    <row r="707" spans="1:33" x14ac:dyDescent="0.15">
      <c r="A707" s="298">
        <v>95510011</v>
      </c>
      <c r="B707" s="339" t="s">
        <v>5510</v>
      </c>
      <c r="C707" s="308" t="s">
        <v>887</v>
      </c>
      <c r="D707" s="308">
        <v>3011</v>
      </c>
      <c r="E707" s="299" t="s">
        <v>4876</v>
      </c>
      <c r="F707" s="299" t="s">
        <v>5435</v>
      </c>
      <c r="G707" s="300">
        <v>2</v>
      </c>
      <c r="H707" s="300">
        <v>1</v>
      </c>
      <c r="I707" s="298">
        <v>34</v>
      </c>
      <c r="J707" s="303" t="s">
        <v>5511</v>
      </c>
      <c r="K707" s="315" t="s">
        <v>5512</v>
      </c>
      <c r="L707" s="315"/>
      <c r="M707" s="299">
        <v>99</v>
      </c>
      <c r="N707" s="299" t="b">
        <v>1</v>
      </c>
      <c r="O707" s="299">
        <v>2</v>
      </c>
      <c r="P707" s="281">
        <v>30</v>
      </c>
      <c r="Q707" s="281">
        <v>40</v>
      </c>
      <c r="R707" s="299" t="s">
        <v>3383</v>
      </c>
      <c r="S707" s="299"/>
      <c r="T707" s="299">
        <v>1</v>
      </c>
      <c r="U707" s="299" t="s">
        <v>4880</v>
      </c>
      <c r="V707" s="299">
        <v>0</v>
      </c>
      <c r="W707" s="299"/>
      <c r="X707" s="299" t="s">
        <v>4881</v>
      </c>
      <c r="Y707" s="339" t="s">
        <v>5513</v>
      </c>
      <c r="Z707" s="299" t="s">
        <v>5514</v>
      </c>
      <c r="AA707" s="299" t="s">
        <v>5440</v>
      </c>
      <c r="AB707" s="299"/>
      <c r="AC707" s="306">
        <v>1</v>
      </c>
      <c r="AD707" s="306">
        <v>1</v>
      </c>
      <c r="AE707" s="299"/>
      <c r="AF707" s="299"/>
      <c r="AG707" s="307"/>
    </row>
    <row r="708" spans="1:33" x14ac:dyDescent="0.15">
      <c r="A708" s="298">
        <v>95511002</v>
      </c>
      <c r="B708" s="339" t="s">
        <v>5515</v>
      </c>
      <c r="C708" s="308" t="s">
        <v>971</v>
      </c>
      <c r="D708" s="308">
        <v>3012</v>
      </c>
      <c r="E708" s="299" t="s">
        <v>4876</v>
      </c>
      <c r="F708" s="299" t="s">
        <v>5435</v>
      </c>
      <c r="G708" s="300">
        <v>2</v>
      </c>
      <c r="H708" s="300">
        <v>1</v>
      </c>
      <c r="I708" s="298">
        <v>34</v>
      </c>
      <c r="J708" s="303" t="s">
        <v>5516</v>
      </c>
      <c r="K708" s="315" t="s">
        <v>5517</v>
      </c>
      <c r="L708" s="315"/>
      <c r="M708" s="299">
        <v>99</v>
      </c>
      <c r="N708" s="299" t="b">
        <v>1</v>
      </c>
      <c r="O708" s="299">
        <v>2</v>
      </c>
      <c r="P708" s="281">
        <v>30</v>
      </c>
      <c r="Q708" s="281">
        <v>40</v>
      </c>
      <c r="R708" s="299" t="s">
        <v>3383</v>
      </c>
      <c r="S708" s="299"/>
      <c r="T708" s="299">
        <v>1</v>
      </c>
      <c r="U708" s="299" t="s">
        <v>4880</v>
      </c>
      <c r="V708" s="299">
        <v>0</v>
      </c>
      <c r="W708" s="299"/>
      <c r="X708" s="299" t="s">
        <v>4881</v>
      </c>
      <c r="Y708" s="339" t="s">
        <v>5518</v>
      </c>
      <c r="Z708" s="299" t="s">
        <v>5519</v>
      </c>
      <c r="AA708" s="299" t="s">
        <v>5440</v>
      </c>
      <c r="AB708" s="299"/>
      <c r="AC708" s="306">
        <v>1</v>
      </c>
      <c r="AD708" s="306">
        <v>1</v>
      </c>
      <c r="AE708" s="299"/>
      <c r="AF708" s="299"/>
      <c r="AG708" s="307"/>
    </row>
    <row r="709" spans="1:33" x14ac:dyDescent="0.15">
      <c r="A709" s="298">
        <v>95511011</v>
      </c>
      <c r="B709" s="339" t="s">
        <v>5520</v>
      </c>
      <c r="C709" s="308" t="s">
        <v>971</v>
      </c>
      <c r="D709" s="308">
        <v>3011</v>
      </c>
      <c r="E709" s="299" t="s">
        <v>4876</v>
      </c>
      <c r="F709" s="299" t="s">
        <v>5435</v>
      </c>
      <c r="G709" s="300">
        <v>2</v>
      </c>
      <c r="H709" s="300">
        <v>1</v>
      </c>
      <c r="I709" s="298">
        <v>34</v>
      </c>
      <c r="J709" s="303" t="s">
        <v>5521</v>
      </c>
      <c r="K709" s="315" t="s">
        <v>5522</v>
      </c>
      <c r="L709" s="315"/>
      <c r="M709" s="299">
        <v>99</v>
      </c>
      <c r="N709" s="299" t="b">
        <v>1</v>
      </c>
      <c r="O709" s="299">
        <v>2</v>
      </c>
      <c r="P709" s="281">
        <v>30</v>
      </c>
      <c r="Q709" s="281">
        <v>40</v>
      </c>
      <c r="R709" s="299" t="s">
        <v>3383</v>
      </c>
      <c r="S709" s="299"/>
      <c r="T709" s="299">
        <v>1</v>
      </c>
      <c r="U709" s="299" t="s">
        <v>4880</v>
      </c>
      <c r="V709" s="299">
        <v>0</v>
      </c>
      <c r="W709" s="299"/>
      <c r="X709" s="299" t="s">
        <v>4881</v>
      </c>
      <c r="Y709" s="339" t="s">
        <v>5523</v>
      </c>
      <c r="Z709" s="299" t="s">
        <v>5524</v>
      </c>
      <c r="AA709" s="299" t="s">
        <v>5440</v>
      </c>
      <c r="AB709" s="299"/>
      <c r="AC709" s="306">
        <v>1</v>
      </c>
      <c r="AD709" s="306">
        <v>1</v>
      </c>
      <c r="AE709" s="299"/>
      <c r="AF709" s="299"/>
      <c r="AG709" s="307"/>
    </row>
    <row r="710" spans="1:33" x14ac:dyDescent="0.15">
      <c r="A710" s="298">
        <v>95512002</v>
      </c>
      <c r="B710" s="339" t="s">
        <v>5525</v>
      </c>
      <c r="C710" s="308" t="s">
        <v>1063</v>
      </c>
      <c r="D710" s="308">
        <v>3012</v>
      </c>
      <c r="E710" s="299" t="s">
        <v>4876</v>
      </c>
      <c r="F710" s="299" t="s">
        <v>5435</v>
      </c>
      <c r="G710" s="300">
        <v>2</v>
      </c>
      <c r="H710" s="300">
        <v>1</v>
      </c>
      <c r="I710" s="298">
        <v>34</v>
      </c>
      <c r="J710" s="303" t="s">
        <v>5526</v>
      </c>
      <c r="K710" s="315" t="s">
        <v>5527</v>
      </c>
      <c r="L710" s="315"/>
      <c r="M710" s="299">
        <v>99</v>
      </c>
      <c r="N710" s="299" t="b">
        <v>1</v>
      </c>
      <c r="O710" s="299">
        <v>2</v>
      </c>
      <c r="P710" s="281">
        <v>30</v>
      </c>
      <c r="Q710" s="281">
        <v>40</v>
      </c>
      <c r="R710" s="299" t="s">
        <v>3383</v>
      </c>
      <c r="S710" s="299"/>
      <c r="T710" s="299">
        <v>1</v>
      </c>
      <c r="U710" s="299" t="s">
        <v>4880</v>
      </c>
      <c r="V710" s="299">
        <v>0</v>
      </c>
      <c r="W710" s="299"/>
      <c r="X710" s="299" t="s">
        <v>4881</v>
      </c>
      <c r="Y710" s="339" t="s">
        <v>5528</v>
      </c>
      <c r="Z710" s="299" t="s">
        <v>5529</v>
      </c>
      <c r="AA710" s="299" t="s">
        <v>5440</v>
      </c>
      <c r="AB710" s="299"/>
      <c r="AC710" s="306">
        <v>1</v>
      </c>
      <c r="AD710" s="306">
        <v>1</v>
      </c>
      <c r="AE710" s="299"/>
      <c r="AF710" s="299"/>
      <c r="AG710" s="307"/>
    </row>
    <row r="711" spans="1:33" x14ac:dyDescent="0.15">
      <c r="A711" s="298">
        <v>95512011</v>
      </c>
      <c r="B711" s="339" t="s">
        <v>5530</v>
      </c>
      <c r="C711" s="308" t="s">
        <v>1063</v>
      </c>
      <c r="D711" s="308">
        <v>3011</v>
      </c>
      <c r="E711" s="299" t="s">
        <v>4876</v>
      </c>
      <c r="F711" s="299" t="s">
        <v>5435</v>
      </c>
      <c r="G711" s="300">
        <v>2</v>
      </c>
      <c r="H711" s="300">
        <v>1</v>
      </c>
      <c r="I711" s="298">
        <v>34</v>
      </c>
      <c r="J711" s="303" t="s">
        <v>5531</v>
      </c>
      <c r="K711" s="315" t="s">
        <v>5532</v>
      </c>
      <c r="L711" s="315"/>
      <c r="M711" s="299">
        <v>99</v>
      </c>
      <c r="N711" s="299" t="b">
        <v>1</v>
      </c>
      <c r="O711" s="299">
        <v>2</v>
      </c>
      <c r="P711" s="281">
        <v>30</v>
      </c>
      <c r="Q711" s="281">
        <v>40</v>
      </c>
      <c r="R711" s="299" t="s">
        <v>3383</v>
      </c>
      <c r="S711" s="299"/>
      <c r="T711" s="299">
        <v>1</v>
      </c>
      <c r="U711" s="299" t="s">
        <v>4880</v>
      </c>
      <c r="V711" s="299">
        <v>0</v>
      </c>
      <c r="W711" s="299"/>
      <c r="X711" s="299" t="s">
        <v>4881</v>
      </c>
      <c r="Y711" s="339" t="s">
        <v>5533</v>
      </c>
      <c r="Z711" s="299" t="s">
        <v>5534</v>
      </c>
      <c r="AA711" s="299" t="s">
        <v>5440</v>
      </c>
      <c r="AB711" s="299"/>
      <c r="AC711" s="306">
        <v>1</v>
      </c>
      <c r="AD711" s="306">
        <v>1</v>
      </c>
      <c r="AE711" s="299"/>
      <c r="AF711" s="299"/>
      <c r="AG711" s="307"/>
    </row>
    <row r="712" spans="1:33" x14ac:dyDescent="0.15">
      <c r="A712" s="298">
        <v>95513002</v>
      </c>
      <c r="B712" s="281" t="s">
        <v>5535</v>
      </c>
      <c r="C712" s="281" t="s">
        <v>1136</v>
      </c>
      <c r="D712" s="281">
        <v>3012</v>
      </c>
      <c r="E712" s="281" t="s">
        <v>4876</v>
      </c>
      <c r="F712" s="281" t="s">
        <v>5435</v>
      </c>
      <c r="G712" s="300">
        <v>2</v>
      </c>
      <c r="H712" s="309">
        <v>1</v>
      </c>
      <c r="I712" s="316">
        <v>34</v>
      </c>
      <c r="J712" s="303" t="s">
        <v>5536</v>
      </c>
      <c r="K712" s="317" t="s">
        <v>5537</v>
      </c>
      <c r="L712" s="317"/>
      <c r="M712" s="281">
        <v>99</v>
      </c>
      <c r="N712" s="281" t="b">
        <v>1</v>
      </c>
      <c r="O712" s="281">
        <v>2</v>
      </c>
      <c r="P712" s="281">
        <v>30</v>
      </c>
      <c r="Q712" s="281">
        <v>40</v>
      </c>
      <c r="R712" s="281" t="s">
        <v>3383</v>
      </c>
      <c r="S712" s="281"/>
      <c r="T712" s="281">
        <v>1</v>
      </c>
      <c r="U712" s="281" t="s">
        <v>4880</v>
      </c>
      <c r="V712" s="281">
        <v>0</v>
      </c>
      <c r="W712" s="281"/>
      <c r="X712" s="281" t="s">
        <v>4881</v>
      </c>
      <c r="Y712" s="343" t="s">
        <v>5538</v>
      </c>
      <c r="Z712" s="299" t="s">
        <v>5539</v>
      </c>
      <c r="AA712" s="281" t="s">
        <v>5440</v>
      </c>
      <c r="AB712" s="281"/>
      <c r="AC712" s="320">
        <v>1</v>
      </c>
      <c r="AD712" s="320">
        <v>1</v>
      </c>
      <c r="AE712" s="281"/>
      <c r="AF712" s="281"/>
      <c r="AG712" s="288"/>
    </row>
    <row r="713" spans="1:33" x14ac:dyDescent="0.15">
      <c r="A713" s="298">
        <v>95513011</v>
      </c>
      <c r="B713" s="308" t="s">
        <v>5540</v>
      </c>
      <c r="C713" s="308" t="s">
        <v>1136</v>
      </c>
      <c r="D713" s="308">
        <v>3011</v>
      </c>
      <c r="E713" s="299" t="s">
        <v>4876</v>
      </c>
      <c r="F713" s="299" t="s">
        <v>5435</v>
      </c>
      <c r="G713" s="300">
        <v>2</v>
      </c>
      <c r="H713" s="300">
        <v>1</v>
      </c>
      <c r="I713" s="298">
        <v>34</v>
      </c>
      <c r="J713" s="303" t="s">
        <v>5541</v>
      </c>
      <c r="K713" s="315" t="s">
        <v>5542</v>
      </c>
      <c r="L713" s="315"/>
      <c r="M713" s="299">
        <v>99</v>
      </c>
      <c r="N713" s="299" t="b">
        <v>1</v>
      </c>
      <c r="O713" s="299">
        <v>2</v>
      </c>
      <c r="P713" s="281">
        <v>30</v>
      </c>
      <c r="Q713" s="281">
        <v>40</v>
      </c>
      <c r="R713" s="299" t="s">
        <v>3383</v>
      </c>
      <c r="S713" s="299"/>
      <c r="T713" s="299">
        <v>1</v>
      </c>
      <c r="U713" s="299" t="s">
        <v>4880</v>
      </c>
      <c r="V713" s="299">
        <v>0</v>
      </c>
      <c r="W713" s="299"/>
      <c r="X713" s="299" t="s">
        <v>4881</v>
      </c>
      <c r="Y713" s="339" t="s">
        <v>5543</v>
      </c>
      <c r="Z713" s="299" t="s">
        <v>5544</v>
      </c>
      <c r="AA713" s="299" t="s">
        <v>5440</v>
      </c>
      <c r="AB713" s="299"/>
      <c r="AC713" s="306">
        <v>1</v>
      </c>
      <c r="AD713" s="306">
        <v>1</v>
      </c>
      <c r="AE713" s="299"/>
      <c r="AF713" s="299"/>
      <c r="AG713" s="307"/>
    </row>
    <row r="714" spans="1:33" x14ac:dyDescent="0.15">
      <c r="A714" s="298">
        <v>95514002</v>
      </c>
      <c r="B714" s="339" t="s">
        <v>5545</v>
      </c>
      <c r="C714" s="308" t="s">
        <v>1220</v>
      </c>
      <c r="D714" s="308">
        <v>3012</v>
      </c>
      <c r="E714" s="299" t="s">
        <v>4876</v>
      </c>
      <c r="F714" s="299" t="s">
        <v>5435</v>
      </c>
      <c r="G714" s="300">
        <v>2</v>
      </c>
      <c r="H714" s="300">
        <v>1</v>
      </c>
      <c r="I714" s="298">
        <v>34</v>
      </c>
      <c r="J714" s="303" t="s">
        <v>5546</v>
      </c>
      <c r="K714" s="315" t="s">
        <v>5547</v>
      </c>
      <c r="L714" s="315"/>
      <c r="M714" s="299">
        <v>99</v>
      </c>
      <c r="N714" s="299" t="b">
        <v>1</v>
      </c>
      <c r="O714" s="299">
        <v>2</v>
      </c>
      <c r="P714" s="281">
        <v>30</v>
      </c>
      <c r="Q714" s="281">
        <v>40</v>
      </c>
      <c r="R714" s="299" t="s">
        <v>3383</v>
      </c>
      <c r="S714" s="299"/>
      <c r="T714" s="299">
        <v>1</v>
      </c>
      <c r="U714" s="299" t="s">
        <v>4880</v>
      </c>
      <c r="V714" s="299">
        <v>0</v>
      </c>
      <c r="W714" s="299"/>
      <c r="X714" s="299" t="s">
        <v>4881</v>
      </c>
      <c r="Y714" s="339" t="s">
        <v>5548</v>
      </c>
      <c r="Z714" s="299" t="s">
        <v>5549</v>
      </c>
      <c r="AA714" s="299" t="s">
        <v>5440</v>
      </c>
      <c r="AB714" s="299"/>
      <c r="AC714" s="306">
        <v>1</v>
      </c>
      <c r="AD714" s="306">
        <v>1</v>
      </c>
      <c r="AE714" s="299"/>
      <c r="AF714" s="299"/>
      <c r="AG714" s="307"/>
    </row>
    <row r="715" spans="1:33" x14ac:dyDescent="0.15">
      <c r="A715" s="298">
        <v>95514011</v>
      </c>
      <c r="B715" s="339" t="s">
        <v>5550</v>
      </c>
      <c r="C715" s="308" t="s">
        <v>1220</v>
      </c>
      <c r="D715" s="308">
        <v>3011</v>
      </c>
      <c r="E715" s="299" t="s">
        <v>4876</v>
      </c>
      <c r="F715" s="299" t="s">
        <v>5435</v>
      </c>
      <c r="G715" s="300">
        <v>2</v>
      </c>
      <c r="H715" s="300">
        <v>1</v>
      </c>
      <c r="I715" s="298">
        <v>34</v>
      </c>
      <c r="J715" s="303" t="s">
        <v>5551</v>
      </c>
      <c r="K715" s="315" t="s">
        <v>5552</v>
      </c>
      <c r="L715" s="315"/>
      <c r="M715" s="299">
        <v>99</v>
      </c>
      <c r="N715" s="299" t="b">
        <v>1</v>
      </c>
      <c r="O715" s="299">
        <v>2</v>
      </c>
      <c r="P715" s="281">
        <v>30</v>
      </c>
      <c r="Q715" s="281">
        <v>40</v>
      </c>
      <c r="R715" s="299" t="s">
        <v>3383</v>
      </c>
      <c r="S715" s="299"/>
      <c r="T715" s="299">
        <v>1</v>
      </c>
      <c r="U715" s="299" t="s">
        <v>4880</v>
      </c>
      <c r="V715" s="299">
        <v>0</v>
      </c>
      <c r="W715" s="299"/>
      <c r="X715" s="299" t="s">
        <v>4881</v>
      </c>
      <c r="Y715" s="339" t="s">
        <v>5553</v>
      </c>
      <c r="Z715" s="299" t="s">
        <v>5554</v>
      </c>
      <c r="AA715" s="299" t="s">
        <v>5440</v>
      </c>
      <c r="AB715" s="299"/>
      <c r="AC715" s="306">
        <v>1</v>
      </c>
      <c r="AD715" s="306">
        <v>1</v>
      </c>
      <c r="AE715" s="299"/>
      <c r="AF715" s="299"/>
      <c r="AG715" s="307"/>
    </row>
    <row r="716" spans="1:33" x14ac:dyDescent="0.15">
      <c r="A716" s="298">
        <v>95515002</v>
      </c>
      <c r="B716" s="339" t="s">
        <v>5555</v>
      </c>
      <c r="C716" s="308" t="s">
        <v>1316</v>
      </c>
      <c r="D716" s="308">
        <v>3012</v>
      </c>
      <c r="E716" s="299" t="s">
        <v>4876</v>
      </c>
      <c r="F716" s="299" t="s">
        <v>5435</v>
      </c>
      <c r="G716" s="300">
        <v>2</v>
      </c>
      <c r="H716" s="300">
        <v>1</v>
      </c>
      <c r="I716" s="298">
        <v>34</v>
      </c>
      <c r="J716" s="303" t="s">
        <v>5556</v>
      </c>
      <c r="K716" s="315" t="s">
        <v>5557</v>
      </c>
      <c r="L716" s="315"/>
      <c r="M716" s="299">
        <v>99</v>
      </c>
      <c r="N716" s="299" t="b">
        <v>1</v>
      </c>
      <c r="O716" s="299">
        <v>2</v>
      </c>
      <c r="P716" s="281">
        <v>30</v>
      </c>
      <c r="Q716" s="281">
        <v>40</v>
      </c>
      <c r="R716" s="299" t="s">
        <v>3383</v>
      </c>
      <c r="S716" s="299"/>
      <c r="T716" s="299">
        <v>1</v>
      </c>
      <c r="U716" s="299" t="s">
        <v>4880</v>
      </c>
      <c r="V716" s="299">
        <v>0</v>
      </c>
      <c r="W716" s="299"/>
      <c r="X716" s="299" t="s">
        <v>4881</v>
      </c>
      <c r="Y716" s="339" t="s">
        <v>5558</v>
      </c>
      <c r="Z716" s="299" t="s">
        <v>5559</v>
      </c>
      <c r="AA716" s="299" t="s">
        <v>5440</v>
      </c>
      <c r="AB716" s="299"/>
      <c r="AC716" s="306">
        <v>1</v>
      </c>
      <c r="AD716" s="306">
        <v>1</v>
      </c>
      <c r="AE716" s="299"/>
      <c r="AF716" s="299"/>
      <c r="AG716" s="307"/>
    </row>
    <row r="717" spans="1:33" x14ac:dyDescent="0.15">
      <c r="A717" s="298">
        <v>95515011</v>
      </c>
      <c r="B717" s="339" t="s">
        <v>5560</v>
      </c>
      <c r="C717" s="308" t="s">
        <v>1316</v>
      </c>
      <c r="D717" s="308">
        <v>3011</v>
      </c>
      <c r="E717" s="299" t="s">
        <v>4876</v>
      </c>
      <c r="F717" s="299" t="s">
        <v>5435</v>
      </c>
      <c r="G717" s="300">
        <v>2</v>
      </c>
      <c r="H717" s="300">
        <v>1</v>
      </c>
      <c r="I717" s="298">
        <v>34</v>
      </c>
      <c r="J717" s="303" t="s">
        <v>5561</v>
      </c>
      <c r="K717" s="315" t="s">
        <v>5562</v>
      </c>
      <c r="L717" s="315"/>
      <c r="M717" s="299">
        <v>99</v>
      </c>
      <c r="N717" s="299" t="b">
        <v>1</v>
      </c>
      <c r="O717" s="299">
        <v>2</v>
      </c>
      <c r="P717" s="281">
        <v>30</v>
      </c>
      <c r="Q717" s="281">
        <v>40</v>
      </c>
      <c r="R717" s="299" t="s">
        <v>3383</v>
      </c>
      <c r="S717" s="299"/>
      <c r="T717" s="299">
        <v>1</v>
      </c>
      <c r="U717" s="299" t="s">
        <v>4880</v>
      </c>
      <c r="V717" s="299">
        <v>0</v>
      </c>
      <c r="W717" s="299"/>
      <c r="X717" s="299" t="s">
        <v>4881</v>
      </c>
      <c r="Y717" s="339" t="s">
        <v>5563</v>
      </c>
      <c r="Z717" s="299" t="s">
        <v>5564</v>
      </c>
      <c r="AA717" s="299" t="s">
        <v>5440</v>
      </c>
      <c r="AB717" s="299"/>
      <c r="AC717" s="306">
        <v>1</v>
      </c>
      <c r="AD717" s="306">
        <v>1</v>
      </c>
      <c r="AE717" s="299"/>
      <c r="AF717" s="299"/>
      <c r="AG717" s="307"/>
    </row>
    <row r="718" spans="1:33" x14ac:dyDescent="0.15">
      <c r="A718" s="298">
        <v>95901001</v>
      </c>
      <c r="B718" s="339" t="s">
        <v>5565</v>
      </c>
      <c r="C718" s="308" t="s">
        <v>4875</v>
      </c>
      <c r="D718" s="308">
        <v>4007</v>
      </c>
      <c r="E718" s="299" t="s">
        <v>4876</v>
      </c>
      <c r="F718" s="299" t="s">
        <v>5566</v>
      </c>
      <c r="G718" s="300">
        <v>2</v>
      </c>
      <c r="H718" s="300">
        <v>1</v>
      </c>
      <c r="I718" s="298">
        <v>34</v>
      </c>
      <c r="J718" s="303" t="s">
        <v>5567</v>
      </c>
      <c r="K718" s="315"/>
      <c r="L718" s="315"/>
      <c r="M718" s="299">
        <v>99</v>
      </c>
      <c r="N718" s="299" t="b">
        <v>1</v>
      </c>
      <c r="O718" s="299">
        <v>5</v>
      </c>
      <c r="P718" s="281">
        <v>75</v>
      </c>
      <c r="Q718" s="281">
        <v>100</v>
      </c>
      <c r="R718" s="299" t="s">
        <v>3383</v>
      </c>
      <c r="S718" s="299"/>
      <c r="T718" s="299">
        <v>1</v>
      </c>
      <c r="U718" s="299" t="s">
        <v>4880</v>
      </c>
      <c r="V718" s="299">
        <v>0</v>
      </c>
      <c r="W718" s="299"/>
      <c r="X718" s="299" t="s">
        <v>4881</v>
      </c>
      <c r="Y718" s="339" t="s">
        <v>5568</v>
      </c>
      <c r="Z718" s="299" t="s">
        <v>5569</v>
      </c>
      <c r="AA718" s="299" t="s">
        <v>5570</v>
      </c>
      <c r="AB718" s="299"/>
      <c r="AC718" s="306">
        <v>1</v>
      </c>
      <c r="AD718" s="306">
        <v>1</v>
      </c>
      <c r="AE718" s="299"/>
      <c r="AF718" s="299"/>
      <c r="AG718" s="307"/>
    </row>
    <row r="719" spans="1:33" x14ac:dyDescent="0.15">
      <c r="A719" s="298">
        <v>95901002</v>
      </c>
      <c r="B719" s="339" t="s">
        <v>5571</v>
      </c>
      <c r="C719" s="308" t="s">
        <v>4875</v>
      </c>
      <c r="D719" s="308">
        <v>4007</v>
      </c>
      <c r="E719" s="299" t="s">
        <v>4876</v>
      </c>
      <c r="F719" s="299" t="s">
        <v>5566</v>
      </c>
      <c r="G719" s="300">
        <v>2</v>
      </c>
      <c r="H719" s="300">
        <v>1</v>
      </c>
      <c r="I719" s="298">
        <v>34</v>
      </c>
      <c r="J719" s="303" t="s">
        <v>5572</v>
      </c>
      <c r="K719" s="315"/>
      <c r="L719" s="315"/>
      <c r="M719" s="299">
        <v>99</v>
      </c>
      <c r="N719" s="299" t="b">
        <v>1</v>
      </c>
      <c r="O719" s="299">
        <v>5</v>
      </c>
      <c r="P719" s="281">
        <v>75</v>
      </c>
      <c r="Q719" s="281">
        <v>100</v>
      </c>
      <c r="R719" s="299" t="s">
        <v>3383</v>
      </c>
      <c r="S719" s="299"/>
      <c r="T719" s="299">
        <v>1</v>
      </c>
      <c r="U719" s="299" t="s">
        <v>4880</v>
      </c>
      <c r="V719" s="299">
        <v>0</v>
      </c>
      <c r="W719" s="299"/>
      <c r="X719" s="299" t="s">
        <v>4881</v>
      </c>
      <c r="Y719" s="180" t="s">
        <v>5573</v>
      </c>
      <c r="Z719" s="299" t="s">
        <v>5574</v>
      </c>
      <c r="AA719" s="299" t="s">
        <v>5570</v>
      </c>
      <c r="AB719" s="299"/>
      <c r="AC719" s="306">
        <v>1</v>
      </c>
      <c r="AD719" s="306">
        <v>1</v>
      </c>
      <c r="AE719" s="299"/>
      <c r="AF719" s="299"/>
      <c r="AG719" s="307"/>
    </row>
    <row r="720" spans="1:33" x14ac:dyDescent="0.15">
      <c r="A720" s="298">
        <v>95902001</v>
      </c>
      <c r="B720" s="299" t="s">
        <v>5575</v>
      </c>
      <c r="C720" s="299" t="s">
        <v>134</v>
      </c>
      <c r="D720" s="299">
        <v>4006</v>
      </c>
      <c r="E720" s="299" t="s">
        <v>4876</v>
      </c>
      <c r="F720" s="299" t="s">
        <v>5566</v>
      </c>
      <c r="G720" s="300">
        <v>2</v>
      </c>
      <c r="H720" s="300">
        <v>1</v>
      </c>
      <c r="I720" s="298">
        <v>34</v>
      </c>
      <c r="J720" s="303" t="s">
        <v>5576</v>
      </c>
      <c r="K720" s="304"/>
      <c r="L720" s="304"/>
      <c r="M720" s="299">
        <v>99</v>
      </c>
      <c r="N720" s="299" t="b">
        <v>1</v>
      </c>
      <c r="O720" s="299">
        <v>5</v>
      </c>
      <c r="P720" s="281">
        <v>75</v>
      </c>
      <c r="Q720" s="281">
        <v>100</v>
      </c>
      <c r="R720" s="299" t="s">
        <v>3383</v>
      </c>
      <c r="S720" s="299"/>
      <c r="T720" s="299">
        <v>1</v>
      </c>
      <c r="U720" s="299" t="s">
        <v>4880</v>
      </c>
      <c r="V720" s="299">
        <v>0</v>
      </c>
      <c r="W720" s="299"/>
      <c r="X720" s="299" t="s">
        <v>4881</v>
      </c>
      <c r="Y720" s="338" t="s">
        <v>5577</v>
      </c>
      <c r="Z720" s="299" t="s">
        <v>5578</v>
      </c>
      <c r="AA720" s="299" t="s">
        <v>5570</v>
      </c>
      <c r="AB720" s="299"/>
      <c r="AC720" s="306">
        <v>1</v>
      </c>
      <c r="AD720" s="306">
        <v>1</v>
      </c>
      <c r="AE720" s="299"/>
      <c r="AF720" s="299"/>
      <c r="AG720" s="307"/>
    </row>
    <row r="721" spans="1:33" x14ac:dyDescent="0.15">
      <c r="A721" s="310">
        <v>95902002</v>
      </c>
      <c r="B721" s="311" t="s">
        <v>5579</v>
      </c>
      <c r="C721" s="311" t="s">
        <v>134</v>
      </c>
      <c r="D721" s="311">
        <v>4006</v>
      </c>
      <c r="E721" s="312" t="s">
        <v>4876</v>
      </c>
      <c r="F721" s="312" t="s">
        <v>5566</v>
      </c>
      <c r="G721" s="313">
        <v>2</v>
      </c>
      <c r="H721" s="313">
        <v>1</v>
      </c>
      <c r="I721" s="310">
        <v>34</v>
      </c>
      <c r="J721" s="318" t="s">
        <v>5580</v>
      </c>
      <c r="K721" s="319"/>
      <c r="L721" s="319"/>
      <c r="M721" s="312">
        <v>99</v>
      </c>
      <c r="N721" s="312" t="b">
        <v>1</v>
      </c>
      <c r="O721" s="312">
        <v>5</v>
      </c>
      <c r="P721" s="281">
        <v>75</v>
      </c>
      <c r="Q721" s="281">
        <v>100</v>
      </c>
      <c r="R721" s="312" t="s">
        <v>3383</v>
      </c>
      <c r="S721" s="312"/>
      <c r="T721" s="312">
        <v>1</v>
      </c>
      <c r="U721" s="312" t="s">
        <v>4880</v>
      </c>
      <c r="V721" s="312">
        <v>0</v>
      </c>
      <c r="W721" s="312"/>
      <c r="X721" s="312" t="s">
        <v>4881</v>
      </c>
      <c r="Y721" s="340" t="s">
        <v>5581</v>
      </c>
      <c r="Z721" s="312" t="s">
        <v>5582</v>
      </c>
      <c r="AA721" s="312" t="s">
        <v>5570</v>
      </c>
      <c r="AB721" s="312"/>
      <c r="AC721" s="321">
        <v>1</v>
      </c>
      <c r="AD721" s="321">
        <v>1</v>
      </c>
      <c r="AE721" s="312"/>
      <c r="AF721" s="312"/>
      <c r="AG721" s="322"/>
    </row>
    <row r="722" spans="1:33" x14ac:dyDescent="0.15">
      <c r="A722" s="310">
        <v>95903001</v>
      </c>
      <c r="B722" s="340" t="s">
        <v>5583</v>
      </c>
      <c r="C722" s="311" t="s">
        <v>363</v>
      </c>
      <c r="D722" s="311">
        <v>4005</v>
      </c>
      <c r="E722" s="312" t="s">
        <v>4876</v>
      </c>
      <c r="F722" s="312" t="s">
        <v>5566</v>
      </c>
      <c r="G722" s="313">
        <v>2</v>
      </c>
      <c r="H722" s="313">
        <v>1</v>
      </c>
      <c r="I722" s="310">
        <v>34</v>
      </c>
      <c r="J722" s="318" t="s">
        <v>5584</v>
      </c>
      <c r="K722" s="319"/>
      <c r="L722" s="319"/>
      <c r="M722" s="312">
        <v>99</v>
      </c>
      <c r="N722" s="312" t="b">
        <v>1</v>
      </c>
      <c r="O722" s="312">
        <v>5</v>
      </c>
      <c r="P722" s="281">
        <v>75</v>
      </c>
      <c r="Q722" s="281">
        <v>100</v>
      </c>
      <c r="R722" s="312" t="s">
        <v>3383</v>
      </c>
      <c r="S722" s="312"/>
      <c r="T722" s="312">
        <v>1</v>
      </c>
      <c r="U722" s="312" t="s">
        <v>4880</v>
      </c>
      <c r="V722" s="312">
        <v>0</v>
      </c>
      <c r="W722" s="312"/>
      <c r="X722" s="312" t="s">
        <v>4881</v>
      </c>
      <c r="Y722" s="344" t="s">
        <v>5585</v>
      </c>
      <c r="Z722" s="312" t="s">
        <v>5586</v>
      </c>
      <c r="AA722" s="312" t="s">
        <v>5570</v>
      </c>
      <c r="AB722" s="312"/>
      <c r="AC722" s="321">
        <v>1</v>
      </c>
      <c r="AD722" s="321">
        <v>1</v>
      </c>
      <c r="AE722" s="312"/>
      <c r="AF722" s="312"/>
      <c r="AG722" s="322"/>
    </row>
    <row r="723" spans="1:33" x14ac:dyDescent="0.15">
      <c r="A723" s="298">
        <v>95903002</v>
      </c>
      <c r="B723" s="339" t="s">
        <v>5587</v>
      </c>
      <c r="C723" s="308" t="s">
        <v>363</v>
      </c>
      <c r="D723" s="308">
        <v>4005</v>
      </c>
      <c r="E723" s="299" t="s">
        <v>4876</v>
      </c>
      <c r="F723" s="299" t="s">
        <v>5566</v>
      </c>
      <c r="G723" s="300">
        <v>2</v>
      </c>
      <c r="H723" s="300">
        <v>1</v>
      </c>
      <c r="I723" s="298">
        <v>34</v>
      </c>
      <c r="J723" s="303" t="s">
        <v>5588</v>
      </c>
      <c r="K723" s="315"/>
      <c r="L723" s="315"/>
      <c r="M723" s="299">
        <v>99</v>
      </c>
      <c r="N723" s="299" t="b">
        <v>1</v>
      </c>
      <c r="O723" s="299">
        <v>5</v>
      </c>
      <c r="P723" s="281">
        <v>75</v>
      </c>
      <c r="Q723" s="281">
        <v>100</v>
      </c>
      <c r="R723" s="299" t="s">
        <v>3383</v>
      </c>
      <c r="S723" s="299"/>
      <c r="T723" s="299">
        <v>1</v>
      </c>
      <c r="U723" s="299" t="s">
        <v>4880</v>
      </c>
      <c r="V723" s="299">
        <v>0</v>
      </c>
      <c r="W723" s="299"/>
      <c r="X723" s="299" t="s">
        <v>4881</v>
      </c>
      <c r="Y723" s="339" t="s">
        <v>5589</v>
      </c>
      <c r="Z723" s="299" t="s">
        <v>5590</v>
      </c>
      <c r="AA723" s="299" t="s">
        <v>5570</v>
      </c>
      <c r="AB723" s="299"/>
      <c r="AC723" s="306">
        <v>1</v>
      </c>
      <c r="AD723" s="306">
        <v>1</v>
      </c>
      <c r="AE723" s="299"/>
      <c r="AF723" s="299"/>
      <c r="AG723" s="307"/>
    </row>
    <row r="724" spans="1:33" x14ac:dyDescent="0.15">
      <c r="A724" s="298">
        <v>95904002</v>
      </c>
      <c r="B724" s="339" t="s">
        <v>5591</v>
      </c>
      <c r="C724" s="308" t="s">
        <v>447</v>
      </c>
      <c r="D724" s="308">
        <v>4004</v>
      </c>
      <c r="E724" s="299" t="s">
        <v>4876</v>
      </c>
      <c r="F724" s="299" t="s">
        <v>5566</v>
      </c>
      <c r="G724" s="300">
        <v>2</v>
      </c>
      <c r="H724" s="300">
        <v>1</v>
      </c>
      <c r="I724" s="298">
        <v>34</v>
      </c>
      <c r="J724" s="303" t="s">
        <v>5592</v>
      </c>
      <c r="K724" s="315"/>
      <c r="L724" s="315"/>
      <c r="M724" s="299">
        <v>99</v>
      </c>
      <c r="N724" s="299" t="b">
        <v>1</v>
      </c>
      <c r="O724" s="299">
        <v>5</v>
      </c>
      <c r="P724" s="281">
        <v>75</v>
      </c>
      <c r="Q724" s="281">
        <v>100</v>
      </c>
      <c r="R724" s="299" t="s">
        <v>3383</v>
      </c>
      <c r="S724" s="299"/>
      <c r="T724" s="299">
        <v>1</v>
      </c>
      <c r="U724" s="299" t="s">
        <v>4880</v>
      </c>
      <c r="V724" s="299">
        <v>0</v>
      </c>
      <c r="W724" s="299"/>
      <c r="X724" s="299" t="s">
        <v>4881</v>
      </c>
      <c r="Y724" s="339" t="s">
        <v>5593</v>
      </c>
      <c r="Z724" s="299" t="s">
        <v>5594</v>
      </c>
      <c r="AA724" s="299" t="s">
        <v>5570</v>
      </c>
      <c r="AB724" s="299"/>
      <c r="AC724" s="306">
        <v>1</v>
      </c>
      <c r="AD724" s="306">
        <v>1</v>
      </c>
      <c r="AE724" s="299"/>
      <c r="AF724" s="299"/>
      <c r="AG724" s="307"/>
    </row>
    <row r="725" spans="1:33" x14ac:dyDescent="0.15">
      <c r="A725" s="298">
        <v>95904001</v>
      </c>
      <c r="B725" s="339" t="s">
        <v>5595</v>
      </c>
      <c r="C725" s="308" t="s">
        <v>447</v>
      </c>
      <c r="D725" s="308">
        <v>4004</v>
      </c>
      <c r="E725" s="299" t="s">
        <v>4876</v>
      </c>
      <c r="F725" s="299" t="s">
        <v>5566</v>
      </c>
      <c r="G725" s="300">
        <v>2</v>
      </c>
      <c r="H725" s="300">
        <v>1</v>
      </c>
      <c r="I725" s="298">
        <v>34</v>
      </c>
      <c r="J725" s="303" t="s">
        <v>5596</v>
      </c>
      <c r="K725" s="315"/>
      <c r="L725" s="315"/>
      <c r="M725" s="299">
        <v>99</v>
      </c>
      <c r="N725" s="299" t="b">
        <v>1</v>
      </c>
      <c r="O725" s="299">
        <v>5</v>
      </c>
      <c r="P725" s="281">
        <v>75</v>
      </c>
      <c r="Q725" s="281">
        <v>100</v>
      </c>
      <c r="R725" s="299" t="s">
        <v>3383</v>
      </c>
      <c r="S725" s="299"/>
      <c r="T725" s="299">
        <v>1</v>
      </c>
      <c r="U725" s="299" t="s">
        <v>4880</v>
      </c>
      <c r="V725" s="299">
        <v>0</v>
      </c>
      <c r="W725" s="299"/>
      <c r="X725" s="299" t="s">
        <v>4881</v>
      </c>
      <c r="Y725" s="339" t="s">
        <v>5597</v>
      </c>
      <c r="Z725" s="299" t="s">
        <v>5598</v>
      </c>
      <c r="AA725" s="299" t="s">
        <v>5570</v>
      </c>
      <c r="AB725" s="299"/>
      <c r="AC725" s="306">
        <v>1</v>
      </c>
      <c r="AD725" s="306">
        <v>1</v>
      </c>
      <c r="AE725" s="299"/>
      <c r="AF725" s="299"/>
      <c r="AG725" s="307"/>
    </row>
    <row r="726" spans="1:33" x14ac:dyDescent="0.15">
      <c r="A726" s="298">
        <v>95905002</v>
      </c>
      <c r="B726" s="339" t="s">
        <v>5599</v>
      </c>
      <c r="C726" s="308" t="s">
        <v>5011</v>
      </c>
      <c r="D726" s="308">
        <v>4003</v>
      </c>
      <c r="E726" s="299" t="s">
        <v>4876</v>
      </c>
      <c r="F726" s="299" t="s">
        <v>5566</v>
      </c>
      <c r="G726" s="300">
        <v>2</v>
      </c>
      <c r="H726" s="300">
        <v>1</v>
      </c>
      <c r="I726" s="298">
        <v>34</v>
      </c>
      <c r="J726" s="303" t="s">
        <v>5600</v>
      </c>
      <c r="K726" s="315"/>
      <c r="L726" s="315"/>
      <c r="M726" s="299">
        <v>99</v>
      </c>
      <c r="N726" s="299" t="b">
        <v>1</v>
      </c>
      <c r="O726" s="299">
        <v>5</v>
      </c>
      <c r="P726" s="281">
        <v>75</v>
      </c>
      <c r="Q726" s="281">
        <v>100</v>
      </c>
      <c r="R726" s="299" t="s">
        <v>3383</v>
      </c>
      <c r="S726" s="299"/>
      <c r="T726" s="299">
        <v>1</v>
      </c>
      <c r="U726" s="299" t="s">
        <v>4880</v>
      </c>
      <c r="V726" s="299">
        <v>0</v>
      </c>
      <c r="W726" s="299"/>
      <c r="X726" s="299" t="s">
        <v>4881</v>
      </c>
      <c r="Y726" s="339" t="s">
        <v>5601</v>
      </c>
      <c r="Z726" s="299" t="s">
        <v>5602</v>
      </c>
      <c r="AA726" s="299" t="s">
        <v>5570</v>
      </c>
      <c r="AB726" s="299"/>
      <c r="AC726" s="306">
        <v>1</v>
      </c>
      <c r="AD726" s="306">
        <v>1</v>
      </c>
      <c r="AE726" s="299"/>
      <c r="AF726" s="299"/>
      <c r="AG726" s="307"/>
    </row>
    <row r="727" spans="1:33" x14ac:dyDescent="0.15">
      <c r="A727" s="298">
        <v>95905001</v>
      </c>
      <c r="B727" s="339" t="s">
        <v>5603</v>
      </c>
      <c r="C727" s="308" t="s">
        <v>5011</v>
      </c>
      <c r="D727" s="308">
        <v>4003</v>
      </c>
      <c r="E727" s="299" t="s">
        <v>4876</v>
      </c>
      <c r="F727" s="299" t="s">
        <v>5566</v>
      </c>
      <c r="G727" s="300">
        <v>2</v>
      </c>
      <c r="H727" s="300">
        <v>1</v>
      </c>
      <c r="I727" s="298">
        <v>34</v>
      </c>
      <c r="J727" s="303" t="s">
        <v>5604</v>
      </c>
      <c r="K727" s="315"/>
      <c r="L727" s="315"/>
      <c r="M727" s="299">
        <v>99</v>
      </c>
      <c r="N727" s="299" t="b">
        <v>1</v>
      </c>
      <c r="O727" s="299">
        <v>5</v>
      </c>
      <c r="P727" s="281">
        <v>75</v>
      </c>
      <c r="Q727" s="281">
        <v>100</v>
      </c>
      <c r="R727" s="299" t="s">
        <v>3383</v>
      </c>
      <c r="S727" s="299"/>
      <c r="T727" s="299">
        <v>1</v>
      </c>
      <c r="U727" s="299" t="s">
        <v>4880</v>
      </c>
      <c r="V727" s="299">
        <v>0</v>
      </c>
      <c r="W727" s="299"/>
      <c r="X727" s="299" t="s">
        <v>4881</v>
      </c>
      <c r="Y727" s="339" t="s">
        <v>5605</v>
      </c>
      <c r="Z727" s="299" t="s">
        <v>5606</v>
      </c>
      <c r="AA727" s="299" t="s">
        <v>5570</v>
      </c>
      <c r="AB727" s="299"/>
      <c r="AC727" s="306">
        <v>1</v>
      </c>
      <c r="AD727" s="306">
        <v>1</v>
      </c>
      <c r="AE727" s="299"/>
      <c r="AF727" s="299"/>
      <c r="AG727" s="307"/>
    </row>
    <row r="728" spans="1:33" x14ac:dyDescent="0.15">
      <c r="A728" s="298">
        <v>95906001</v>
      </c>
      <c r="B728" s="299" t="s">
        <v>5607</v>
      </c>
      <c r="C728" s="299" t="s">
        <v>727</v>
      </c>
      <c r="D728" s="299">
        <v>4003</v>
      </c>
      <c r="E728" s="299" t="s">
        <v>4876</v>
      </c>
      <c r="F728" s="299" t="s">
        <v>5566</v>
      </c>
      <c r="G728" s="300">
        <v>2</v>
      </c>
      <c r="H728" s="300">
        <v>1</v>
      </c>
      <c r="I728" s="298">
        <v>34</v>
      </c>
      <c r="J728" s="303" t="s">
        <v>5608</v>
      </c>
      <c r="K728" s="304"/>
      <c r="L728" s="304"/>
      <c r="M728" s="299">
        <v>99</v>
      </c>
      <c r="N728" s="299" t="b">
        <v>1</v>
      </c>
      <c r="O728" s="299">
        <v>5</v>
      </c>
      <c r="P728" s="281">
        <v>75</v>
      </c>
      <c r="Q728" s="281">
        <v>100</v>
      </c>
      <c r="R728" s="299" t="s">
        <v>3383</v>
      </c>
      <c r="S728" s="299"/>
      <c r="T728" s="299">
        <v>1</v>
      </c>
      <c r="U728" s="299" t="s">
        <v>4880</v>
      </c>
      <c r="V728" s="299">
        <v>0</v>
      </c>
      <c r="W728" s="299"/>
      <c r="X728" s="299" t="s">
        <v>4881</v>
      </c>
      <c r="Y728" s="338" t="s">
        <v>5609</v>
      </c>
      <c r="Z728" s="299" t="s">
        <v>5610</v>
      </c>
      <c r="AA728" s="299" t="s">
        <v>5570</v>
      </c>
      <c r="AB728" s="299"/>
      <c r="AC728" s="306">
        <v>1</v>
      </c>
      <c r="AD728" s="306">
        <v>1</v>
      </c>
      <c r="AE728" s="299"/>
      <c r="AF728" s="299"/>
      <c r="AG728" s="307"/>
    </row>
    <row r="729" spans="1:33" x14ac:dyDescent="0.15">
      <c r="A729" s="298">
        <v>95906002</v>
      </c>
      <c r="B729" s="308" t="s">
        <v>5611</v>
      </c>
      <c r="C729" s="308" t="s">
        <v>727</v>
      </c>
      <c r="D729" s="308">
        <v>4003</v>
      </c>
      <c r="E729" s="299" t="s">
        <v>4876</v>
      </c>
      <c r="F729" s="299" t="s">
        <v>5566</v>
      </c>
      <c r="G729" s="300">
        <v>2</v>
      </c>
      <c r="H729" s="300">
        <v>1</v>
      </c>
      <c r="I729" s="298">
        <v>34</v>
      </c>
      <c r="J729" s="303" t="s">
        <v>5612</v>
      </c>
      <c r="K729" s="315"/>
      <c r="L729" s="315"/>
      <c r="M729" s="299">
        <v>99</v>
      </c>
      <c r="N729" s="299" t="b">
        <v>1</v>
      </c>
      <c r="O729" s="299">
        <v>5</v>
      </c>
      <c r="P729" s="281">
        <v>75</v>
      </c>
      <c r="Q729" s="281">
        <v>100</v>
      </c>
      <c r="R729" s="299" t="s">
        <v>3383</v>
      </c>
      <c r="S729" s="299"/>
      <c r="T729" s="299">
        <v>1</v>
      </c>
      <c r="U729" s="299" t="s">
        <v>4880</v>
      </c>
      <c r="V729" s="299">
        <v>0</v>
      </c>
      <c r="W729" s="299"/>
      <c r="X729" s="299" t="s">
        <v>4881</v>
      </c>
      <c r="Y729" s="339" t="s">
        <v>5613</v>
      </c>
      <c r="Z729" s="299" t="s">
        <v>5614</v>
      </c>
      <c r="AA729" s="299" t="s">
        <v>5570</v>
      </c>
      <c r="AB729" s="299"/>
      <c r="AC729" s="306">
        <v>1</v>
      </c>
      <c r="AD729" s="306">
        <v>1</v>
      </c>
      <c r="AE729" s="299"/>
      <c r="AF729" s="299"/>
      <c r="AG729" s="307"/>
    </row>
    <row r="730" spans="1:33" x14ac:dyDescent="0.15">
      <c r="A730" s="298">
        <v>95909001</v>
      </c>
      <c r="B730" s="339" t="s">
        <v>5615</v>
      </c>
      <c r="C730" s="308" t="s">
        <v>5044</v>
      </c>
      <c r="D730" s="308">
        <v>4002</v>
      </c>
      <c r="E730" s="299" t="s">
        <v>4876</v>
      </c>
      <c r="F730" s="299" t="s">
        <v>5566</v>
      </c>
      <c r="G730" s="300">
        <v>2</v>
      </c>
      <c r="H730" s="300">
        <v>1</v>
      </c>
      <c r="I730" s="298">
        <v>34</v>
      </c>
      <c r="J730" s="303" t="s">
        <v>5616</v>
      </c>
      <c r="K730" s="315"/>
      <c r="L730" s="315"/>
      <c r="M730" s="299">
        <v>99</v>
      </c>
      <c r="N730" s="299" t="b">
        <v>1</v>
      </c>
      <c r="O730" s="299">
        <v>5</v>
      </c>
      <c r="P730" s="281">
        <v>75</v>
      </c>
      <c r="Q730" s="281">
        <v>100</v>
      </c>
      <c r="R730" s="299" t="s">
        <v>3383</v>
      </c>
      <c r="S730" s="299"/>
      <c r="T730" s="299">
        <v>1</v>
      </c>
      <c r="U730" s="299" t="s">
        <v>4880</v>
      </c>
      <c r="V730" s="299">
        <v>0</v>
      </c>
      <c r="W730" s="299"/>
      <c r="X730" s="299" t="s">
        <v>4881</v>
      </c>
      <c r="Y730" s="339" t="s">
        <v>5617</v>
      </c>
      <c r="Z730" s="299" t="s">
        <v>5618</v>
      </c>
      <c r="AA730" s="299" t="s">
        <v>5570</v>
      </c>
      <c r="AB730" s="299"/>
      <c r="AC730" s="306">
        <v>1</v>
      </c>
      <c r="AD730" s="306">
        <v>1</v>
      </c>
      <c r="AE730" s="299"/>
      <c r="AF730" s="299"/>
      <c r="AG730" s="307"/>
    </row>
    <row r="731" spans="1:33" x14ac:dyDescent="0.15">
      <c r="A731" s="298">
        <v>95909002</v>
      </c>
      <c r="B731" s="339" t="s">
        <v>5619</v>
      </c>
      <c r="C731" s="308" t="s">
        <v>5044</v>
      </c>
      <c r="D731" s="308">
        <v>4002</v>
      </c>
      <c r="E731" s="299" t="s">
        <v>4876</v>
      </c>
      <c r="F731" s="299" t="s">
        <v>5566</v>
      </c>
      <c r="G731" s="300">
        <v>2</v>
      </c>
      <c r="H731" s="300">
        <v>1</v>
      </c>
      <c r="I731" s="298">
        <v>34</v>
      </c>
      <c r="J731" s="303" t="s">
        <v>5620</v>
      </c>
      <c r="K731" s="315"/>
      <c r="L731" s="315"/>
      <c r="M731" s="299">
        <v>99</v>
      </c>
      <c r="N731" s="299" t="b">
        <v>1</v>
      </c>
      <c r="O731" s="299">
        <v>5</v>
      </c>
      <c r="P731" s="281">
        <v>75</v>
      </c>
      <c r="Q731" s="281">
        <v>100</v>
      </c>
      <c r="R731" s="299" t="s">
        <v>3383</v>
      </c>
      <c r="S731" s="299"/>
      <c r="T731" s="299">
        <v>1</v>
      </c>
      <c r="U731" s="299" t="s">
        <v>4880</v>
      </c>
      <c r="V731" s="299">
        <v>0</v>
      </c>
      <c r="W731" s="299"/>
      <c r="X731" s="299" t="s">
        <v>4881</v>
      </c>
      <c r="Y731" s="339" t="s">
        <v>5621</v>
      </c>
      <c r="Z731" s="299" t="s">
        <v>5622</v>
      </c>
      <c r="AA731" s="299" t="s">
        <v>5570</v>
      </c>
      <c r="AB731" s="299"/>
      <c r="AC731" s="306">
        <v>1</v>
      </c>
      <c r="AD731" s="306">
        <v>1</v>
      </c>
      <c r="AE731" s="299"/>
      <c r="AF731" s="299"/>
      <c r="AG731" s="307"/>
    </row>
    <row r="732" spans="1:33" x14ac:dyDescent="0.15">
      <c r="A732" s="298">
        <v>95910001</v>
      </c>
      <c r="B732" s="339" t="s">
        <v>5623</v>
      </c>
      <c r="C732" s="308" t="s">
        <v>887</v>
      </c>
      <c r="D732" s="308">
        <v>4001</v>
      </c>
      <c r="E732" s="299" t="s">
        <v>4876</v>
      </c>
      <c r="F732" s="299" t="s">
        <v>5566</v>
      </c>
      <c r="G732" s="300">
        <v>2</v>
      </c>
      <c r="H732" s="300">
        <v>1</v>
      </c>
      <c r="I732" s="298">
        <v>34</v>
      </c>
      <c r="J732" s="303" t="s">
        <v>5624</v>
      </c>
      <c r="K732" s="315"/>
      <c r="L732" s="315"/>
      <c r="M732" s="299">
        <v>99</v>
      </c>
      <c r="N732" s="299" t="b">
        <v>1</v>
      </c>
      <c r="O732" s="299">
        <v>5</v>
      </c>
      <c r="P732" s="281">
        <v>75</v>
      </c>
      <c r="Q732" s="281">
        <v>100</v>
      </c>
      <c r="R732" s="299" t="s">
        <v>3383</v>
      </c>
      <c r="S732" s="299"/>
      <c r="T732" s="299">
        <v>1</v>
      </c>
      <c r="U732" s="299" t="s">
        <v>4880</v>
      </c>
      <c r="V732" s="299">
        <v>0</v>
      </c>
      <c r="W732" s="299"/>
      <c r="X732" s="299" t="s">
        <v>4881</v>
      </c>
      <c r="Y732" s="339" t="s">
        <v>5625</v>
      </c>
      <c r="Z732" s="299" t="s">
        <v>5626</v>
      </c>
      <c r="AA732" s="299" t="s">
        <v>5570</v>
      </c>
      <c r="AB732" s="299"/>
      <c r="AC732" s="306">
        <v>1</v>
      </c>
      <c r="AD732" s="306">
        <v>1</v>
      </c>
      <c r="AE732" s="299"/>
      <c r="AF732" s="299"/>
      <c r="AG732" s="307"/>
    </row>
    <row r="733" spans="1:33" x14ac:dyDescent="0.15">
      <c r="A733" s="298">
        <v>95910002</v>
      </c>
      <c r="B733" s="339" t="s">
        <v>5627</v>
      </c>
      <c r="C733" s="308" t="s">
        <v>887</v>
      </c>
      <c r="D733" s="308">
        <v>4001</v>
      </c>
      <c r="E733" s="299" t="s">
        <v>4876</v>
      </c>
      <c r="F733" s="299" t="s">
        <v>5566</v>
      </c>
      <c r="G733" s="300">
        <v>2</v>
      </c>
      <c r="H733" s="300">
        <v>1</v>
      </c>
      <c r="I733" s="298">
        <v>34</v>
      </c>
      <c r="J733" s="303" t="s">
        <v>5628</v>
      </c>
      <c r="K733" s="315"/>
      <c r="L733" s="315"/>
      <c r="M733" s="299">
        <v>99</v>
      </c>
      <c r="N733" s="299" t="b">
        <v>1</v>
      </c>
      <c r="O733" s="299">
        <v>5</v>
      </c>
      <c r="P733" s="281">
        <v>75</v>
      </c>
      <c r="Q733" s="281">
        <v>100</v>
      </c>
      <c r="R733" s="299" t="s">
        <v>3383</v>
      </c>
      <c r="S733" s="299"/>
      <c r="T733" s="299">
        <v>1</v>
      </c>
      <c r="U733" s="299" t="s">
        <v>4880</v>
      </c>
      <c r="V733" s="299">
        <v>0</v>
      </c>
      <c r="W733" s="299"/>
      <c r="X733" s="299" t="s">
        <v>4881</v>
      </c>
      <c r="Y733" s="339" t="s">
        <v>5629</v>
      </c>
      <c r="Z733" s="299" t="s">
        <v>5630</v>
      </c>
      <c r="AA733" s="299" t="s">
        <v>5570</v>
      </c>
      <c r="AB733" s="299"/>
      <c r="AC733" s="306">
        <v>1</v>
      </c>
      <c r="AD733" s="306">
        <v>1</v>
      </c>
      <c r="AE733" s="299"/>
      <c r="AF733" s="299"/>
      <c r="AG733" s="307"/>
    </row>
    <row r="734" spans="1:33" x14ac:dyDescent="0.15">
      <c r="A734" s="298">
        <v>95911001</v>
      </c>
      <c r="B734" s="339" t="s">
        <v>5631</v>
      </c>
      <c r="C734" s="308" t="s">
        <v>971</v>
      </c>
      <c r="D734" s="308">
        <v>4001</v>
      </c>
      <c r="E734" s="299" t="s">
        <v>4876</v>
      </c>
      <c r="F734" s="299" t="s">
        <v>5566</v>
      </c>
      <c r="G734" s="300">
        <v>2</v>
      </c>
      <c r="H734" s="300">
        <v>1</v>
      </c>
      <c r="I734" s="298">
        <v>34</v>
      </c>
      <c r="J734" s="303" t="s">
        <v>5632</v>
      </c>
      <c r="K734" s="315"/>
      <c r="L734" s="315"/>
      <c r="M734" s="299">
        <v>99</v>
      </c>
      <c r="N734" s="299" t="b">
        <v>1</v>
      </c>
      <c r="O734" s="299">
        <v>5</v>
      </c>
      <c r="P734" s="281">
        <v>75</v>
      </c>
      <c r="Q734" s="281">
        <v>100</v>
      </c>
      <c r="R734" s="299" t="s">
        <v>3383</v>
      </c>
      <c r="S734" s="299"/>
      <c r="T734" s="299">
        <v>1</v>
      </c>
      <c r="U734" s="299" t="s">
        <v>4880</v>
      </c>
      <c r="V734" s="299">
        <v>0</v>
      </c>
      <c r="W734" s="299"/>
      <c r="X734" s="299" t="s">
        <v>4881</v>
      </c>
      <c r="Y734" s="339" t="s">
        <v>5633</v>
      </c>
      <c r="Z734" s="299" t="s">
        <v>5634</v>
      </c>
      <c r="AA734" s="299" t="s">
        <v>5570</v>
      </c>
      <c r="AB734" s="299"/>
      <c r="AC734" s="306">
        <v>1</v>
      </c>
      <c r="AD734" s="306">
        <v>1</v>
      </c>
      <c r="AE734" s="299"/>
      <c r="AF734" s="299"/>
      <c r="AG734" s="307"/>
    </row>
    <row r="735" spans="1:33" x14ac:dyDescent="0.15">
      <c r="A735" s="298">
        <v>95911002</v>
      </c>
      <c r="B735" s="339" t="s">
        <v>5635</v>
      </c>
      <c r="C735" s="308" t="s">
        <v>971</v>
      </c>
      <c r="D735" s="308">
        <v>4001</v>
      </c>
      <c r="E735" s="299" t="s">
        <v>4876</v>
      </c>
      <c r="F735" s="299" t="s">
        <v>5566</v>
      </c>
      <c r="G735" s="300">
        <v>2</v>
      </c>
      <c r="H735" s="300">
        <v>1</v>
      </c>
      <c r="I735" s="298">
        <v>34</v>
      </c>
      <c r="J735" s="303" t="s">
        <v>5636</v>
      </c>
      <c r="K735" s="315"/>
      <c r="L735" s="315"/>
      <c r="M735" s="299">
        <v>99</v>
      </c>
      <c r="N735" s="299" t="b">
        <v>1</v>
      </c>
      <c r="O735" s="299">
        <v>5</v>
      </c>
      <c r="P735" s="281">
        <v>75</v>
      </c>
      <c r="Q735" s="281">
        <v>100</v>
      </c>
      <c r="R735" s="299" t="s">
        <v>3383</v>
      </c>
      <c r="S735" s="299"/>
      <c r="T735" s="299">
        <v>1</v>
      </c>
      <c r="U735" s="299" t="s">
        <v>4880</v>
      </c>
      <c r="V735" s="299">
        <v>0</v>
      </c>
      <c r="W735" s="299"/>
      <c r="X735" s="299" t="s">
        <v>4881</v>
      </c>
      <c r="Y735" s="339" t="s">
        <v>5637</v>
      </c>
      <c r="Z735" s="299" t="s">
        <v>5638</v>
      </c>
      <c r="AA735" s="299" t="s">
        <v>5570</v>
      </c>
      <c r="AB735" s="299"/>
      <c r="AC735" s="306">
        <v>1</v>
      </c>
      <c r="AD735" s="306">
        <v>1</v>
      </c>
      <c r="AE735" s="299"/>
      <c r="AF735" s="299"/>
      <c r="AG735" s="307"/>
    </row>
    <row r="736" spans="1:33" x14ac:dyDescent="0.15">
      <c r="A736" s="310">
        <v>95912001</v>
      </c>
      <c r="B736" s="311" t="s">
        <v>5639</v>
      </c>
      <c r="C736" s="311" t="s">
        <v>1063</v>
      </c>
      <c r="D736" s="311">
        <v>4008</v>
      </c>
      <c r="E736" s="312" t="s">
        <v>4876</v>
      </c>
      <c r="F736" s="312" t="s">
        <v>5566</v>
      </c>
      <c r="G736" s="313">
        <v>2</v>
      </c>
      <c r="H736" s="313">
        <v>1</v>
      </c>
      <c r="I736" s="310">
        <v>34</v>
      </c>
      <c r="J736" s="318" t="s">
        <v>5640</v>
      </c>
      <c r="K736" s="319"/>
      <c r="L736" s="319"/>
      <c r="M736" s="312">
        <v>99</v>
      </c>
      <c r="N736" s="312" t="b">
        <v>1</v>
      </c>
      <c r="O736" s="312">
        <v>5</v>
      </c>
      <c r="P736" s="281">
        <v>75</v>
      </c>
      <c r="Q736" s="281">
        <v>100</v>
      </c>
      <c r="R736" s="312" t="s">
        <v>3383</v>
      </c>
      <c r="S736" s="312"/>
      <c r="T736" s="312">
        <v>1</v>
      </c>
      <c r="U736" s="312" t="s">
        <v>4880</v>
      </c>
      <c r="V736" s="312">
        <v>0</v>
      </c>
      <c r="W736" s="312"/>
      <c r="X736" s="312" t="s">
        <v>4881</v>
      </c>
      <c r="Y736" s="340" t="s">
        <v>5641</v>
      </c>
      <c r="Z736" s="312" t="s">
        <v>5642</v>
      </c>
      <c r="AA736" s="312" t="s">
        <v>5570</v>
      </c>
      <c r="AB736" s="312"/>
      <c r="AC736" s="321">
        <v>1</v>
      </c>
      <c r="AD736" s="321">
        <v>1</v>
      </c>
      <c r="AE736" s="312"/>
      <c r="AF736" s="312"/>
      <c r="AG736" s="322"/>
    </row>
    <row r="737" spans="1:33" x14ac:dyDescent="0.15">
      <c r="A737" s="298">
        <v>95912002</v>
      </c>
      <c r="B737" s="339" t="s">
        <v>5643</v>
      </c>
      <c r="C737" s="308" t="s">
        <v>1063</v>
      </c>
      <c r="D737" s="308">
        <v>4008</v>
      </c>
      <c r="E737" s="299" t="s">
        <v>4876</v>
      </c>
      <c r="F737" s="299" t="s">
        <v>5566</v>
      </c>
      <c r="G737" s="300">
        <v>2</v>
      </c>
      <c r="H737" s="300">
        <v>1</v>
      </c>
      <c r="I737" s="298">
        <v>34</v>
      </c>
      <c r="J737" s="303" t="s">
        <v>5644</v>
      </c>
      <c r="K737" s="315"/>
      <c r="L737" s="315"/>
      <c r="M737" s="299">
        <v>99</v>
      </c>
      <c r="N737" s="299" t="b">
        <v>1</v>
      </c>
      <c r="O737" s="299">
        <v>5</v>
      </c>
      <c r="P737" s="281">
        <v>75</v>
      </c>
      <c r="Q737" s="281">
        <v>100</v>
      </c>
      <c r="R737" s="299" t="s">
        <v>3383</v>
      </c>
      <c r="S737" s="299"/>
      <c r="T737" s="299">
        <v>1</v>
      </c>
      <c r="U737" s="299" t="s">
        <v>4880</v>
      </c>
      <c r="V737" s="299">
        <v>0</v>
      </c>
      <c r="W737" s="299"/>
      <c r="X737" s="299" t="s">
        <v>4881</v>
      </c>
      <c r="Y737" s="339" t="s">
        <v>5645</v>
      </c>
      <c r="Z737" s="299" t="s">
        <v>5646</v>
      </c>
      <c r="AA737" s="299" t="s">
        <v>5570</v>
      </c>
      <c r="AB737" s="299"/>
      <c r="AC737" s="306">
        <v>1</v>
      </c>
      <c r="AD737" s="306">
        <v>1</v>
      </c>
      <c r="AE737" s="299"/>
      <c r="AF737" s="299"/>
      <c r="AG737" s="307"/>
    </row>
    <row r="738" spans="1:33" x14ac:dyDescent="0.15">
      <c r="A738" s="310">
        <v>95913001</v>
      </c>
      <c r="B738" s="340" t="s">
        <v>5647</v>
      </c>
      <c r="C738" s="311" t="s">
        <v>1136</v>
      </c>
      <c r="D738" s="311">
        <v>4008</v>
      </c>
      <c r="E738" s="312" t="s">
        <v>4876</v>
      </c>
      <c r="F738" s="312" t="s">
        <v>5566</v>
      </c>
      <c r="G738" s="313">
        <v>2</v>
      </c>
      <c r="H738" s="313">
        <v>1</v>
      </c>
      <c r="I738" s="310">
        <v>34</v>
      </c>
      <c r="J738" s="318" t="s">
        <v>5648</v>
      </c>
      <c r="K738" s="319"/>
      <c r="L738" s="319"/>
      <c r="M738" s="312">
        <v>99</v>
      </c>
      <c r="N738" s="312" t="b">
        <v>1</v>
      </c>
      <c r="O738" s="312">
        <v>5</v>
      </c>
      <c r="P738" s="281">
        <v>75</v>
      </c>
      <c r="Q738" s="281">
        <v>100</v>
      </c>
      <c r="R738" s="312" t="s">
        <v>3383</v>
      </c>
      <c r="S738" s="312"/>
      <c r="T738" s="312">
        <v>1</v>
      </c>
      <c r="U738" s="312" t="s">
        <v>4880</v>
      </c>
      <c r="V738" s="312">
        <v>0</v>
      </c>
      <c r="W738" s="312"/>
      <c r="X738" s="312" t="s">
        <v>4881</v>
      </c>
      <c r="Y738" s="340" t="s">
        <v>5649</v>
      </c>
      <c r="Z738" s="312" t="s">
        <v>5650</v>
      </c>
      <c r="AA738" s="312" t="s">
        <v>5570</v>
      </c>
      <c r="AB738" s="312"/>
      <c r="AC738" s="321">
        <v>1</v>
      </c>
      <c r="AD738" s="321">
        <v>1</v>
      </c>
      <c r="AE738" s="312"/>
      <c r="AF738" s="312"/>
      <c r="AG738" s="322"/>
    </row>
    <row r="739" spans="1:33" x14ac:dyDescent="0.15">
      <c r="A739" s="298">
        <v>95913002</v>
      </c>
      <c r="B739" s="339" t="s">
        <v>5651</v>
      </c>
      <c r="C739" s="308" t="s">
        <v>1136</v>
      </c>
      <c r="D739" s="308">
        <v>4008</v>
      </c>
      <c r="E739" s="299" t="s">
        <v>4876</v>
      </c>
      <c r="F739" s="299" t="s">
        <v>5566</v>
      </c>
      <c r="G739" s="300">
        <v>2</v>
      </c>
      <c r="H739" s="300">
        <v>1</v>
      </c>
      <c r="I739" s="298">
        <v>34</v>
      </c>
      <c r="J739" s="303" t="s">
        <v>5652</v>
      </c>
      <c r="K739" s="315"/>
      <c r="L739" s="315"/>
      <c r="M739" s="299">
        <v>99</v>
      </c>
      <c r="N739" s="299" t="b">
        <v>1</v>
      </c>
      <c r="O739" s="299">
        <v>5</v>
      </c>
      <c r="P739" s="281">
        <v>75</v>
      </c>
      <c r="Q739" s="281">
        <v>100</v>
      </c>
      <c r="R739" s="299" t="s">
        <v>3383</v>
      </c>
      <c r="S739" s="299"/>
      <c r="T739" s="299">
        <v>1</v>
      </c>
      <c r="U739" s="299" t="s">
        <v>4880</v>
      </c>
      <c r="V739" s="299">
        <v>0</v>
      </c>
      <c r="W739" s="299"/>
      <c r="X739" s="299" t="s">
        <v>4881</v>
      </c>
      <c r="Y739" s="339" t="s">
        <v>5653</v>
      </c>
      <c r="Z739" s="299" t="s">
        <v>5654</v>
      </c>
      <c r="AA739" s="299" t="s">
        <v>5570</v>
      </c>
      <c r="AB739" s="299"/>
      <c r="AC739" s="306">
        <v>1</v>
      </c>
      <c r="AD739" s="306">
        <v>1</v>
      </c>
      <c r="AE739" s="299"/>
      <c r="AF739" s="299"/>
      <c r="AG739" s="307"/>
    </row>
    <row r="740" spans="1:33" x14ac:dyDescent="0.15">
      <c r="A740" s="298">
        <v>95914001</v>
      </c>
      <c r="B740" s="339" t="s">
        <v>5655</v>
      </c>
      <c r="C740" s="308" t="s">
        <v>1220</v>
      </c>
      <c r="D740" s="308">
        <v>3011</v>
      </c>
      <c r="E740" s="299" t="s">
        <v>4876</v>
      </c>
      <c r="F740" s="299" t="s">
        <v>5566</v>
      </c>
      <c r="G740" s="300">
        <v>2</v>
      </c>
      <c r="H740" s="300">
        <v>1</v>
      </c>
      <c r="I740" s="298">
        <v>34</v>
      </c>
      <c r="J740" s="303" t="s">
        <v>5656</v>
      </c>
      <c r="K740" s="315"/>
      <c r="L740" s="315"/>
      <c r="M740" s="299">
        <v>99</v>
      </c>
      <c r="N740" s="299" t="b">
        <v>1</v>
      </c>
      <c r="O740" s="299">
        <v>5</v>
      </c>
      <c r="P740" s="281">
        <v>75</v>
      </c>
      <c r="Q740" s="281">
        <v>100</v>
      </c>
      <c r="R740" s="299" t="s">
        <v>3383</v>
      </c>
      <c r="S740" s="299"/>
      <c r="T740" s="299">
        <v>1</v>
      </c>
      <c r="U740" s="299" t="s">
        <v>4880</v>
      </c>
      <c r="V740" s="299">
        <v>0</v>
      </c>
      <c r="W740" s="299"/>
      <c r="X740" s="299" t="s">
        <v>4881</v>
      </c>
      <c r="Y740" s="339" t="s">
        <v>5657</v>
      </c>
      <c r="Z740" s="299" t="s">
        <v>5658</v>
      </c>
      <c r="AA740" s="299" t="s">
        <v>5570</v>
      </c>
      <c r="AB740" s="299"/>
      <c r="AC740" s="306">
        <v>1</v>
      </c>
      <c r="AD740" s="306">
        <v>1</v>
      </c>
      <c r="AE740" s="299"/>
      <c r="AF740" s="299"/>
      <c r="AG740" s="307"/>
    </row>
    <row r="741" spans="1:33" x14ac:dyDescent="0.15">
      <c r="A741" s="298">
        <v>95914002</v>
      </c>
      <c r="B741" s="339" t="s">
        <v>5659</v>
      </c>
      <c r="C741" s="308" t="s">
        <v>1220</v>
      </c>
      <c r="D741" s="308">
        <v>3012</v>
      </c>
      <c r="E741" s="299" t="s">
        <v>4876</v>
      </c>
      <c r="F741" s="299" t="s">
        <v>5566</v>
      </c>
      <c r="G741" s="300">
        <v>2</v>
      </c>
      <c r="H741" s="300">
        <v>1</v>
      </c>
      <c r="I741" s="298">
        <v>34</v>
      </c>
      <c r="J741" s="303" t="s">
        <v>5660</v>
      </c>
      <c r="K741" s="315"/>
      <c r="L741" s="315"/>
      <c r="M741" s="299">
        <v>99</v>
      </c>
      <c r="N741" s="299" t="b">
        <v>1</v>
      </c>
      <c r="O741" s="299">
        <v>5</v>
      </c>
      <c r="P741" s="281">
        <v>75</v>
      </c>
      <c r="Q741" s="281">
        <v>100</v>
      </c>
      <c r="R741" s="299" t="s">
        <v>3383</v>
      </c>
      <c r="S741" s="299"/>
      <c r="T741" s="299">
        <v>1</v>
      </c>
      <c r="U741" s="299" t="s">
        <v>4880</v>
      </c>
      <c r="V741" s="299">
        <v>0</v>
      </c>
      <c r="W741" s="299"/>
      <c r="X741" s="299" t="s">
        <v>4881</v>
      </c>
      <c r="Y741" s="339" t="s">
        <v>5661</v>
      </c>
      <c r="Z741" s="299" t="s">
        <v>5662</v>
      </c>
      <c r="AA741" s="299" t="s">
        <v>5570</v>
      </c>
      <c r="AB741" s="299"/>
      <c r="AC741" s="306">
        <v>1</v>
      </c>
      <c r="AD741" s="306">
        <v>1</v>
      </c>
      <c r="AE741" s="299"/>
      <c r="AF741" s="299"/>
      <c r="AG741" s="307"/>
    </row>
    <row r="742" spans="1:33" x14ac:dyDescent="0.15">
      <c r="A742" s="298">
        <v>95915001</v>
      </c>
      <c r="B742" s="339" t="s">
        <v>5663</v>
      </c>
      <c r="C742" s="308" t="s">
        <v>1316</v>
      </c>
      <c r="D742" s="308">
        <v>3011</v>
      </c>
      <c r="E742" s="299" t="s">
        <v>4876</v>
      </c>
      <c r="F742" s="299" t="s">
        <v>5566</v>
      </c>
      <c r="G742" s="300">
        <v>2</v>
      </c>
      <c r="H742" s="300">
        <v>1</v>
      </c>
      <c r="I742" s="298">
        <v>34</v>
      </c>
      <c r="J742" s="303" t="s">
        <v>5664</v>
      </c>
      <c r="K742" s="315"/>
      <c r="L742" s="315"/>
      <c r="M742" s="299">
        <v>99</v>
      </c>
      <c r="N742" s="299" t="b">
        <v>1</v>
      </c>
      <c r="O742" s="299">
        <v>5</v>
      </c>
      <c r="P742" s="281">
        <v>75</v>
      </c>
      <c r="Q742" s="281">
        <v>100</v>
      </c>
      <c r="R742" s="299" t="s">
        <v>3383</v>
      </c>
      <c r="S742" s="299"/>
      <c r="T742" s="299">
        <v>1</v>
      </c>
      <c r="U742" s="299" t="s">
        <v>4880</v>
      </c>
      <c r="V742" s="299">
        <v>0</v>
      </c>
      <c r="W742" s="299"/>
      <c r="X742" s="299" t="s">
        <v>4881</v>
      </c>
      <c r="Y742" s="339" t="s">
        <v>5665</v>
      </c>
      <c r="Z742" s="299" t="s">
        <v>5666</v>
      </c>
      <c r="AA742" s="299" t="s">
        <v>5570</v>
      </c>
      <c r="AB742" s="299"/>
      <c r="AC742" s="306">
        <v>1</v>
      </c>
      <c r="AD742" s="306">
        <v>1</v>
      </c>
      <c r="AE742" s="299"/>
      <c r="AF742" s="299"/>
      <c r="AG742" s="307"/>
    </row>
    <row r="743" spans="1:33" x14ac:dyDescent="0.15">
      <c r="A743" s="298">
        <v>95915002</v>
      </c>
      <c r="B743" s="299" t="s">
        <v>5667</v>
      </c>
      <c r="C743" s="299" t="s">
        <v>1316</v>
      </c>
      <c r="D743" s="299">
        <v>3012</v>
      </c>
      <c r="E743" s="299" t="s">
        <v>4876</v>
      </c>
      <c r="F743" s="299" t="s">
        <v>5566</v>
      </c>
      <c r="G743" s="300">
        <v>2</v>
      </c>
      <c r="H743" s="300">
        <v>1</v>
      </c>
      <c r="I743" s="298">
        <v>34</v>
      </c>
      <c r="J743" s="303" t="s">
        <v>5668</v>
      </c>
      <c r="K743" s="304"/>
      <c r="L743" s="304"/>
      <c r="M743" s="299">
        <v>99</v>
      </c>
      <c r="N743" s="299" t="b">
        <v>1</v>
      </c>
      <c r="O743" s="299">
        <v>5</v>
      </c>
      <c r="P743" s="281">
        <v>75</v>
      </c>
      <c r="Q743" s="281">
        <v>100</v>
      </c>
      <c r="R743" s="299" t="s">
        <v>3383</v>
      </c>
      <c r="S743" s="299"/>
      <c r="T743" s="299">
        <v>1</v>
      </c>
      <c r="U743" s="299" t="s">
        <v>4880</v>
      </c>
      <c r="V743" s="299">
        <v>0</v>
      </c>
      <c r="W743" s="299"/>
      <c r="X743" s="299" t="s">
        <v>4881</v>
      </c>
      <c r="Y743" s="338" t="s">
        <v>5669</v>
      </c>
      <c r="Z743" s="299" t="s">
        <v>5670</v>
      </c>
      <c r="AA743" s="299" t="s">
        <v>5570</v>
      </c>
      <c r="AB743" s="299"/>
      <c r="AC743" s="306">
        <v>1</v>
      </c>
      <c r="AD743" s="306">
        <v>1</v>
      </c>
      <c r="AE743" s="299"/>
      <c r="AF743" s="299"/>
      <c r="AG743" s="307"/>
    </row>
    <row r="744" spans="1:33" x14ac:dyDescent="0.15">
      <c r="A744" s="298">
        <v>98020201</v>
      </c>
      <c r="B744" s="308" t="s">
        <v>5671</v>
      </c>
      <c r="C744" s="308" t="s">
        <v>4914</v>
      </c>
      <c r="D744" s="308">
        <v>8201</v>
      </c>
      <c r="E744" s="299" t="s">
        <v>4876</v>
      </c>
      <c r="F744" s="299" t="s">
        <v>5672</v>
      </c>
      <c r="G744" s="300">
        <v>6</v>
      </c>
      <c r="H744" s="300">
        <v>0</v>
      </c>
      <c r="I744" s="298">
        <v>34</v>
      </c>
      <c r="J744" s="303" t="s">
        <v>5673</v>
      </c>
      <c r="K744" s="315"/>
      <c r="L744" s="315"/>
      <c r="M744" s="299">
        <v>99</v>
      </c>
      <c r="N744" s="299" t="b">
        <v>1</v>
      </c>
      <c r="O744" s="299">
        <v>7</v>
      </c>
      <c r="P744" s="281">
        <v>105</v>
      </c>
      <c r="Q744" s="281">
        <v>140</v>
      </c>
      <c r="R744" s="299" t="s">
        <v>3383</v>
      </c>
      <c r="S744" s="299"/>
      <c r="T744" s="299">
        <v>1</v>
      </c>
      <c r="U744" s="299" t="s">
        <v>4880</v>
      </c>
      <c r="V744" s="299">
        <v>0</v>
      </c>
      <c r="W744" s="299"/>
      <c r="X744" s="299" t="s">
        <v>4881</v>
      </c>
      <c r="Y744" s="339" t="s">
        <v>5674</v>
      </c>
      <c r="Z744" s="299" t="s">
        <v>5675</v>
      </c>
      <c r="AA744" s="299" t="s">
        <v>3993</v>
      </c>
      <c r="AB744" s="299"/>
      <c r="AC744" s="306">
        <v>1</v>
      </c>
      <c r="AD744" s="306">
        <v>1</v>
      </c>
      <c r="AE744" s="299"/>
      <c r="AF744" s="299"/>
      <c r="AG744" s="307">
        <v>8020201</v>
      </c>
    </row>
    <row r="745" spans="1:33" x14ac:dyDescent="0.15">
      <c r="A745" s="298">
        <v>98020202</v>
      </c>
      <c r="B745" s="339" t="s">
        <v>5676</v>
      </c>
      <c r="C745" s="308" t="s">
        <v>4914</v>
      </c>
      <c r="D745" s="308">
        <v>8201</v>
      </c>
      <c r="E745" s="299" t="s">
        <v>4876</v>
      </c>
      <c r="F745" s="299" t="s">
        <v>5672</v>
      </c>
      <c r="G745" s="300">
        <v>6</v>
      </c>
      <c r="H745" s="300">
        <v>0</v>
      </c>
      <c r="I745" s="298">
        <v>34</v>
      </c>
      <c r="J745" s="303" t="s">
        <v>5677</v>
      </c>
      <c r="K745" s="315"/>
      <c r="L745" s="315"/>
      <c r="M745" s="299">
        <v>99</v>
      </c>
      <c r="N745" s="299" t="b">
        <v>1</v>
      </c>
      <c r="O745" s="299">
        <v>7</v>
      </c>
      <c r="P745" s="281">
        <v>105</v>
      </c>
      <c r="Q745" s="281">
        <v>140</v>
      </c>
      <c r="R745" s="299" t="s">
        <v>3383</v>
      </c>
      <c r="S745" s="299"/>
      <c r="T745" s="299">
        <v>1</v>
      </c>
      <c r="U745" s="299" t="s">
        <v>4880</v>
      </c>
      <c r="V745" s="299">
        <v>0</v>
      </c>
      <c r="W745" s="299"/>
      <c r="X745" s="299" t="s">
        <v>4881</v>
      </c>
      <c r="Y745" s="339" t="s">
        <v>5678</v>
      </c>
      <c r="Z745" s="299" t="s">
        <v>5679</v>
      </c>
      <c r="AA745" s="299" t="s">
        <v>3993</v>
      </c>
      <c r="AB745" s="299"/>
      <c r="AC745" s="306">
        <v>1</v>
      </c>
      <c r="AD745" s="306">
        <v>1</v>
      </c>
      <c r="AE745" s="299"/>
      <c r="AF745" s="299"/>
      <c r="AG745" s="307">
        <v>8020202</v>
      </c>
    </row>
    <row r="746" spans="1:33" x14ac:dyDescent="0.15">
      <c r="A746" s="298">
        <v>98020203</v>
      </c>
      <c r="B746" s="339" t="s">
        <v>5680</v>
      </c>
      <c r="C746" s="308" t="s">
        <v>4914</v>
      </c>
      <c r="D746" s="308">
        <v>8201</v>
      </c>
      <c r="E746" s="299" t="s">
        <v>4876</v>
      </c>
      <c r="F746" s="299" t="s">
        <v>5672</v>
      </c>
      <c r="G746" s="300">
        <v>6</v>
      </c>
      <c r="H746" s="300">
        <v>0</v>
      </c>
      <c r="I746" s="298">
        <v>34</v>
      </c>
      <c r="J746" s="303" t="s">
        <v>5681</v>
      </c>
      <c r="K746" s="315"/>
      <c r="L746" s="315"/>
      <c r="M746" s="299">
        <v>99</v>
      </c>
      <c r="N746" s="299" t="b">
        <v>1</v>
      </c>
      <c r="O746" s="299">
        <v>7</v>
      </c>
      <c r="P746" s="281">
        <v>105</v>
      </c>
      <c r="Q746" s="281">
        <v>140</v>
      </c>
      <c r="R746" s="299" t="s">
        <v>3383</v>
      </c>
      <c r="S746" s="299"/>
      <c r="T746" s="299">
        <v>1</v>
      </c>
      <c r="U746" s="299" t="s">
        <v>4880</v>
      </c>
      <c r="V746" s="299">
        <v>0</v>
      </c>
      <c r="W746" s="299"/>
      <c r="X746" s="299" t="s">
        <v>4881</v>
      </c>
      <c r="Y746" s="339" t="s">
        <v>5682</v>
      </c>
      <c r="Z746" s="299" t="s">
        <v>5683</v>
      </c>
      <c r="AA746" s="299" t="s">
        <v>3993</v>
      </c>
      <c r="AB746" s="299"/>
      <c r="AC746" s="306">
        <v>1</v>
      </c>
      <c r="AD746" s="306">
        <v>1</v>
      </c>
      <c r="AE746" s="299"/>
      <c r="AF746" s="299"/>
      <c r="AG746" s="307">
        <v>8020203</v>
      </c>
    </row>
    <row r="747" spans="1:33" x14ac:dyDescent="0.15">
      <c r="A747" s="298">
        <v>98020204</v>
      </c>
      <c r="B747" s="339" t="s">
        <v>5684</v>
      </c>
      <c r="C747" s="308" t="s">
        <v>4914</v>
      </c>
      <c r="D747" s="308">
        <v>8201</v>
      </c>
      <c r="E747" s="299" t="s">
        <v>4876</v>
      </c>
      <c r="F747" s="299" t="s">
        <v>5672</v>
      </c>
      <c r="G747" s="300">
        <v>6</v>
      </c>
      <c r="H747" s="300">
        <v>0</v>
      </c>
      <c r="I747" s="298">
        <v>34</v>
      </c>
      <c r="J747" s="303" t="s">
        <v>5685</v>
      </c>
      <c r="K747" s="315"/>
      <c r="L747" s="315"/>
      <c r="M747" s="299">
        <v>99</v>
      </c>
      <c r="N747" s="299" t="b">
        <v>1</v>
      </c>
      <c r="O747" s="299">
        <v>7</v>
      </c>
      <c r="P747" s="281">
        <v>105</v>
      </c>
      <c r="Q747" s="281">
        <v>140</v>
      </c>
      <c r="R747" s="299" t="s">
        <v>3383</v>
      </c>
      <c r="S747" s="299"/>
      <c r="T747" s="299">
        <v>1</v>
      </c>
      <c r="U747" s="299" t="s">
        <v>4880</v>
      </c>
      <c r="V747" s="299">
        <v>0</v>
      </c>
      <c r="W747" s="299"/>
      <c r="X747" s="299" t="s">
        <v>4881</v>
      </c>
      <c r="Y747" s="339" t="s">
        <v>5686</v>
      </c>
      <c r="Z747" s="299" t="s">
        <v>5687</v>
      </c>
      <c r="AA747" s="299" t="s">
        <v>3993</v>
      </c>
      <c r="AB747" s="299"/>
      <c r="AC747" s="306">
        <v>1</v>
      </c>
      <c r="AD747" s="306">
        <v>1</v>
      </c>
      <c r="AE747" s="299"/>
      <c r="AF747" s="299"/>
      <c r="AG747" s="307">
        <v>8020204</v>
      </c>
    </row>
    <row r="748" spans="1:33" x14ac:dyDescent="0.15">
      <c r="A748" s="298">
        <v>98020301</v>
      </c>
      <c r="B748" s="339" t="s">
        <v>5688</v>
      </c>
      <c r="C748" s="308" t="s">
        <v>4922</v>
      </c>
      <c r="D748" s="308">
        <v>8202</v>
      </c>
      <c r="E748" s="299" t="s">
        <v>4876</v>
      </c>
      <c r="F748" s="299" t="s">
        <v>5672</v>
      </c>
      <c r="G748" s="300">
        <v>6</v>
      </c>
      <c r="H748" s="300">
        <v>0</v>
      </c>
      <c r="I748" s="298">
        <v>34</v>
      </c>
      <c r="J748" s="303" t="s">
        <v>5689</v>
      </c>
      <c r="K748" s="315"/>
      <c r="L748" s="315"/>
      <c r="M748" s="299">
        <v>99</v>
      </c>
      <c r="N748" s="299" t="b">
        <v>1</v>
      </c>
      <c r="O748" s="299">
        <v>7</v>
      </c>
      <c r="P748" s="281">
        <v>105</v>
      </c>
      <c r="Q748" s="281">
        <v>140</v>
      </c>
      <c r="R748" s="299" t="s">
        <v>3383</v>
      </c>
      <c r="S748" s="299"/>
      <c r="T748" s="299">
        <v>1</v>
      </c>
      <c r="U748" s="299" t="s">
        <v>4880</v>
      </c>
      <c r="V748" s="299">
        <v>0</v>
      </c>
      <c r="W748" s="299"/>
      <c r="X748" s="299" t="s">
        <v>4881</v>
      </c>
      <c r="Y748" s="339" t="s">
        <v>5690</v>
      </c>
      <c r="Z748" s="299" t="s">
        <v>5691</v>
      </c>
      <c r="AA748" s="299" t="s">
        <v>3993</v>
      </c>
      <c r="AB748" s="299"/>
      <c r="AC748" s="306">
        <v>1</v>
      </c>
      <c r="AD748" s="306">
        <v>1</v>
      </c>
      <c r="AE748" s="299"/>
      <c r="AF748" s="299"/>
      <c r="AG748" s="307">
        <v>8020301</v>
      </c>
    </row>
    <row r="749" spans="1:33" x14ac:dyDescent="0.15">
      <c r="A749" s="310">
        <v>98020302</v>
      </c>
      <c r="B749" s="340" t="s">
        <v>5692</v>
      </c>
      <c r="C749" s="311" t="s">
        <v>4922</v>
      </c>
      <c r="D749" s="311">
        <v>8202</v>
      </c>
      <c r="E749" s="312" t="s">
        <v>4876</v>
      </c>
      <c r="F749" s="312" t="s">
        <v>5672</v>
      </c>
      <c r="G749" s="313">
        <v>6</v>
      </c>
      <c r="H749" s="313">
        <v>0</v>
      </c>
      <c r="I749" s="310">
        <v>34</v>
      </c>
      <c r="J749" s="318" t="s">
        <v>5693</v>
      </c>
      <c r="K749" s="319"/>
      <c r="L749" s="319"/>
      <c r="M749" s="312">
        <v>99</v>
      </c>
      <c r="N749" s="312" t="b">
        <v>1</v>
      </c>
      <c r="O749" s="312">
        <v>7</v>
      </c>
      <c r="P749" s="281">
        <v>105</v>
      </c>
      <c r="Q749" s="281">
        <v>140</v>
      </c>
      <c r="R749" s="312" t="s">
        <v>3383</v>
      </c>
      <c r="S749" s="312"/>
      <c r="T749" s="312">
        <v>1</v>
      </c>
      <c r="U749" s="312" t="s">
        <v>4880</v>
      </c>
      <c r="V749" s="312">
        <v>0</v>
      </c>
      <c r="W749" s="312"/>
      <c r="X749" s="312" t="s">
        <v>4881</v>
      </c>
      <c r="Y749" s="340" t="s">
        <v>5694</v>
      </c>
      <c r="Z749" s="312" t="s">
        <v>5695</v>
      </c>
      <c r="AA749" s="312" t="s">
        <v>3993</v>
      </c>
      <c r="AB749" s="312"/>
      <c r="AC749" s="321">
        <v>1</v>
      </c>
      <c r="AD749" s="321">
        <v>1</v>
      </c>
      <c r="AE749" s="312"/>
      <c r="AF749" s="312"/>
      <c r="AG749" s="322">
        <v>8020302</v>
      </c>
    </row>
    <row r="750" spans="1:33" x14ac:dyDescent="0.15">
      <c r="A750" s="298">
        <v>98020303</v>
      </c>
      <c r="B750" s="339" t="s">
        <v>5696</v>
      </c>
      <c r="C750" s="308" t="s">
        <v>4922</v>
      </c>
      <c r="D750" s="308">
        <v>8202</v>
      </c>
      <c r="E750" s="299" t="s">
        <v>4876</v>
      </c>
      <c r="F750" s="299" t="s">
        <v>5672</v>
      </c>
      <c r="G750" s="300">
        <v>6</v>
      </c>
      <c r="H750" s="300">
        <v>0</v>
      </c>
      <c r="I750" s="298">
        <v>34</v>
      </c>
      <c r="J750" s="303" t="s">
        <v>5697</v>
      </c>
      <c r="K750" s="315"/>
      <c r="L750" s="315"/>
      <c r="M750" s="299">
        <v>99</v>
      </c>
      <c r="N750" s="299" t="b">
        <v>1</v>
      </c>
      <c r="O750" s="299">
        <v>7</v>
      </c>
      <c r="P750" s="281">
        <v>105</v>
      </c>
      <c r="Q750" s="281">
        <v>140</v>
      </c>
      <c r="R750" s="299" t="s">
        <v>3383</v>
      </c>
      <c r="S750" s="299"/>
      <c r="T750" s="299">
        <v>1</v>
      </c>
      <c r="U750" s="299" t="s">
        <v>4880</v>
      </c>
      <c r="V750" s="299">
        <v>0</v>
      </c>
      <c r="W750" s="299"/>
      <c r="X750" s="299" t="s">
        <v>4881</v>
      </c>
      <c r="Y750" s="339" t="s">
        <v>5698</v>
      </c>
      <c r="Z750" s="299" t="s">
        <v>5699</v>
      </c>
      <c r="AA750" s="299" t="s">
        <v>3993</v>
      </c>
      <c r="AB750" s="299"/>
      <c r="AC750" s="306">
        <v>1</v>
      </c>
      <c r="AD750" s="306">
        <v>1</v>
      </c>
      <c r="AE750" s="299"/>
      <c r="AF750" s="299"/>
      <c r="AG750" s="307">
        <v>8020303</v>
      </c>
    </row>
    <row r="751" spans="1:33" x14ac:dyDescent="0.15">
      <c r="A751" s="298">
        <v>98020304</v>
      </c>
      <c r="B751" s="299" t="s">
        <v>5700</v>
      </c>
      <c r="C751" s="299" t="s">
        <v>4922</v>
      </c>
      <c r="D751" s="299">
        <v>8202</v>
      </c>
      <c r="E751" s="299" t="s">
        <v>4876</v>
      </c>
      <c r="F751" s="299" t="s">
        <v>5672</v>
      </c>
      <c r="G751" s="300">
        <v>6</v>
      </c>
      <c r="H751" s="300">
        <v>0</v>
      </c>
      <c r="I751" s="298">
        <v>34</v>
      </c>
      <c r="J751" s="303" t="s">
        <v>5701</v>
      </c>
      <c r="K751" s="304"/>
      <c r="L751" s="304"/>
      <c r="M751" s="299">
        <v>99</v>
      </c>
      <c r="N751" s="299" t="b">
        <v>1</v>
      </c>
      <c r="O751" s="299">
        <v>7</v>
      </c>
      <c r="P751" s="281">
        <v>105</v>
      </c>
      <c r="Q751" s="281">
        <v>140</v>
      </c>
      <c r="R751" s="299" t="s">
        <v>3383</v>
      </c>
      <c r="S751" s="299"/>
      <c r="T751" s="299">
        <v>1</v>
      </c>
      <c r="U751" s="299" t="s">
        <v>4880</v>
      </c>
      <c r="V751" s="299">
        <v>0</v>
      </c>
      <c r="W751" s="299"/>
      <c r="X751" s="299" t="s">
        <v>4881</v>
      </c>
      <c r="Y751" s="338" t="s">
        <v>5702</v>
      </c>
      <c r="Z751" s="299" t="s">
        <v>5703</v>
      </c>
      <c r="AA751" s="299" t="s">
        <v>3993</v>
      </c>
      <c r="AB751" s="299"/>
      <c r="AC751" s="306">
        <v>1</v>
      </c>
      <c r="AD751" s="306">
        <v>1</v>
      </c>
      <c r="AE751" s="299"/>
      <c r="AF751" s="299"/>
      <c r="AG751" s="307">
        <v>8020304</v>
      </c>
    </row>
    <row r="752" spans="1:33" x14ac:dyDescent="0.15">
      <c r="A752" s="298">
        <v>98020401</v>
      </c>
      <c r="B752" s="308" t="s">
        <v>2276</v>
      </c>
      <c r="C752" s="308" t="s">
        <v>4930</v>
      </c>
      <c r="D752" s="308">
        <v>8201</v>
      </c>
      <c r="E752" s="299" t="s">
        <v>4876</v>
      </c>
      <c r="F752" s="299" t="s">
        <v>5672</v>
      </c>
      <c r="G752" s="300">
        <v>6</v>
      </c>
      <c r="H752" s="300">
        <v>0</v>
      </c>
      <c r="I752" s="298">
        <v>34</v>
      </c>
      <c r="J752" s="303" t="s">
        <v>5704</v>
      </c>
      <c r="K752" s="315"/>
      <c r="L752" s="315"/>
      <c r="M752" s="299">
        <v>99</v>
      </c>
      <c r="N752" s="299" t="b">
        <v>1</v>
      </c>
      <c r="O752" s="299">
        <v>7</v>
      </c>
      <c r="P752" s="281">
        <v>105</v>
      </c>
      <c r="Q752" s="281">
        <v>140</v>
      </c>
      <c r="R752" s="299" t="s">
        <v>3383</v>
      </c>
      <c r="S752" s="299"/>
      <c r="T752" s="299">
        <v>1</v>
      </c>
      <c r="U752" s="299" t="s">
        <v>4880</v>
      </c>
      <c r="V752" s="299">
        <v>0</v>
      </c>
      <c r="W752" s="299"/>
      <c r="X752" s="299" t="s">
        <v>4881</v>
      </c>
      <c r="Y752" s="339" t="s">
        <v>5705</v>
      </c>
      <c r="Z752" s="299" t="s">
        <v>5706</v>
      </c>
      <c r="AA752" s="299" t="s">
        <v>3993</v>
      </c>
      <c r="AB752" s="299"/>
      <c r="AC752" s="306">
        <v>1</v>
      </c>
      <c r="AD752" s="306">
        <v>1</v>
      </c>
      <c r="AE752" s="299"/>
      <c r="AF752" s="299"/>
      <c r="AG752" s="307">
        <v>8020401</v>
      </c>
    </row>
    <row r="753" spans="1:33" x14ac:dyDescent="0.15">
      <c r="A753" s="298">
        <v>98020402</v>
      </c>
      <c r="B753" s="339" t="s">
        <v>5707</v>
      </c>
      <c r="C753" s="308" t="s">
        <v>4930</v>
      </c>
      <c r="D753" s="308">
        <v>8201</v>
      </c>
      <c r="E753" s="299" t="s">
        <v>4876</v>
      </c>
      <c r="F753" s="299" t="s">
        <v>5672</v>
      </c>
      <c r="G753" s="300">
        <v>6</v>
      </c>
      <c r="H753" s="300">
        <v>0</v>
      </c>
      <c r="I753" s="298">
        <v>34</v>
      </c>
      <c r="J753" s="303" t="s">
        <v>5708</v>
      </c>
      <c r="K753" s="315"/>
      <c r="L753" s="315"/>
      <c r="M753" s="299">
        <v>99</v>
      </c>
      <c r="N753" s="299" t="b">
        <v>1</v>
      </c>
      <c r="O753" s="299">
        <v>7</v>
      </c>
      <c r="P753" s="281">
        <v>105</v>
      </c>
      <c r="Q753" s="281">
        <v>140</v>
      </c>
      <c r="R753" s="299" t="s">
        <v>3383</v>
      </c>
      <c r="S753" s="299"/>
      <c r="T753" s="299">
        <v>1</v>
      </c>
      <c r="U753" s="299" t="s">
        <v>4880</v>
      </c>
      <c r="V753" s="299">
        <v>0</v>
      </c>
      <c r="W753" s="299"/>
      <c r="X753" s="299" t="s">
        <v>4881</v>
      </c>
      <c r="Y753" s="339" t="s">
        <v>5709</v>
      </c>
      <c r="Z753" s="299" t="s">
        <v>5710</v>
      </c>
      <c r="AA753" s="299" t="s">
        <v>3993</v>
      </c>
      <c r="AB753" s="299"/>
      <c r="AC753" s="306">
        <v>1</v>
      </c>
      <c r="AD753" s="306">
        <v>1</v>
      </c>
      <c r="AE753" s="299"/>
      <c r="AF753" s="299"/>
      <c r="AG753" s="307">
        <v>8020402</v>
      </c>
    </row>
    <row r="754" spans="1:33" x14ac:dyDescent="0.15">
      <c r="A754" s="298">
        <v>98020403</v>
      </c>
      <c r="B754" s="339" t="s">
        <v>5711</v>
      </c>
      <c r="C754" s="308" t="s">
        <v>4930</v>
      </c>
      <c r="D754" s="308">
        <v>8201</v>
      </c>
      <c r="E754" s="299" t="s">
        <v>4876</v>
      </c>
      <c r="F754" s="299" t="s">
        <v>5672</v>
      </c>
      <c r="G754" s="300">
        <v>6</v>
      </c>
      <c r="H754" s="300">
        <v>0</v>
      </c>
      <c r="I754" s="298">
        <v>34</v>
      </c>
      <c r="J754" s="303" t="s">
        <v>5712</v>
      </c>
      <c r="K754" s="315"/>
      <c r="L754" s="315"/>
      <c r="M754" s="299">
        <v>99</v>
      </c>
      <c r="N754" s="299" t="b">
        <v>1</v>
      </c>
      <c r="O754" s="299">
        <v>7</v>
      </c>
      <c r="P754" s="281">
        <v>105</v>
      </c>
      <c r="Q754" s="281">
        <v>140</v>
      </c>
      <c r="R754" s="299" t="s">
        <v>3383</v>
      </c>
      <c r="S754" s="299"/>
      <c r="T754" s="299">
        <v>1</v>
      </c>
      <c r="U754" s="299" t="s">
        <v>4880</v>
      </c>
      <c r="V754" s="299">
        <v>0</v>
      </c>
      <c r="W754" s="299"/>
      <c r="X754" s="299" t="s">
        <v>4881</v>
      </c>
      <c r="Y754" s="339" t="s">
        <v>5713</v>
      </c>
      <c r="Z754" s="299" t="s">
        <v>5714</v>
      </c>
      <c r="AA754" s="299" t="s">
        <v>3993</v>
      </c>
      <c r="AB754" s="299"/>
      <c r="AC754" s="306">
        <v>1</v>
      </c>
      <c r="AD754" s="306">
        <v>1</v>
      </c>
      <c r="AE754" s="299"/>
      <c r="AF754" s="299"/>
      <c r="AG754" s="307">
        <v>8020403</v>
      </c>
    </row>
    <row r="755" spans="1:33" x14ac:dyDescent="0.15">
      <c r="A755" s="298">
        <v>98020404</v>
      </c>
      <c r="B755" s="339" t="s">
        <v>5715</v>
      </c>
      <c r="C755" s="308" t="s">
        <v>4930</v>
      </c>
      <c r="D755" s="308">
        <v>8201</v>
      </c>
      <c r="E755" s="299" t="s">
        <v>4876</v>
      </c>
      <c r="F755" s="299" t="s">
        <v>5672</v>
      </c>
      <c r="G755" s="300">
        <v>6</v>
      </c>
      <c r="H755" s="300">
        <v>0</v>
      </c>
      <c r="I755" s="298">
        <v>34</v>
      </c>
      <c r="J755" s="303" t="s">
        <v>5716</v>
      </c>
      <c r="K755" s="315"/>
      <c r="L755" s="315"/>
      <c r="M755" s="299">
        <v>99</v>
      </c>
      <c r="N755" s="299" t="b">
        <v>1</v>
      </c>
      <c r="O755" s="299">
        <v>7</v>
      </c>
      <c r="P755" s="281">
        <v>105</v>
      </c>
      <c r="Q755" s="281">
        <v>140</v>
      </c>
      <c r="R755" s="299" t="s">
        <v>3383</v>
      </c>
      <c r="S755" s="299"/>
      <c r="T755" s="299">
        <v>1</v>
      </c>
      <c r="U755" s="299" t="s">
        <v>4880</v>
      </c>
      <c r="V755" s="299">
        <v>0</v>
      </c>
      <c r="W755" s="299"/>
      <c r="X755" s="299" t="s">
        <v>4881</v>
      </c>
      <c r="Y755" s="339" t="s">
        <v>5717</v>
      </c>
      <c r="Z755" s="299" t="s">
        <v>5718</v>
      </c>
      <c r="AA755" s="299" t="s">
        <v>3993</v>
      </c>
      <c r="AB755" s="299"/>
      <c r="AC755" s="306">
        <v>1</v>
      </c>
      <c r="AD755" s="306">
        <v>1</v>
      </c>
      <c r="AE755" s="299"/>
      <c r="AF755" s="299"/>
      <c r="AG755" s="307">
        <v>8020404</v>
      </c>
    </row>
    <row r="756" spans="1:33" x14ac:dyDescent="0.15">
      <c r="A756" s="314">
        <v>98020701</v>
      </c>
      <c r="B756" s="341" t="s">
        <v>5719</v>
      </c>
      <c r="C756" s="342" t="s">
        <v>4956</v>
      </c>
      <c r="D756" s="147">
        <v>8202</v>
      </c>
      <c r="E756" s="147" t="s">
        <v>4876</v>
      </c>
      <c r="F756" s="147" t="s">
        <v>5672</v>
      </c>
      <c r="G756" s="147">
        <v>6</v>
      </c>
      <c r="H756" s="147">
        <v>0</v>
      </c>
      <c r="I756" s="147">
        <v>34</v>
      </c>
      <c r="J756" s="147" t="str">
        <f>"2;"&amp;AG756</f>
        <v>2;8020701</v>
      </c>
      <c r="M756" s="147">
        <v>99</v>
      </c>
      <c r="N756" s="147" t="b">
        <v>1</v>
      </c>
      <c r="O756" s="147">
        <v>7</v>
      </c>
      <c r="P756" s="281">
        <v>105</v>
      </c>
      <c r="Q756" s="281">
        <v>140</v>
      </c>
      <c r="R756" s="147" t="s">
        <v>3383</v>
      </c>
      <c r="T756" s="147">
        <v>1</v>
      </c>
      <c r="U756" s="147" t="s">
        <v>4880</v>
      </c>
      <c r="V756" s="147">
        <v>0</v>
      </c>
      <c r="X756" s="147" t="s">
        <v>4881</v>
      </c>
      <c r="Y756" s="147" t="s">
        <v>5720</v>
      </c>
      <c r="Z756" s="147" t="str">
        <f>"习得"&amp;C756&amp;F756&amp;"·"&amp;B756</f>
        <v>习得槎枒寻梅心诀·敛英</v>
      </c>
      <c r="AA756" s="147" t="s">
        <v>3993</v>
      </c>
      <c r="AC756" s="147">
        <v>1</v>
      </c>
      <c r="AD756" s="147">
        <v>1</v>
      </c>
      <c r="AG756" s="147">
        <v>8020701</v>
      </c>
    </row>
    <row r="757" spans="1:33" x14ac:dyDescent="0.15">
      <c r="A757" s="314">
        <v>98020702</v>
      </c>
      <c r="B757" s="341" t="s">
        <v>5721</v>
      </c>
      <c r="C757" s="342" t="s">
        <v>4956</v>
      </c>
      <c r="D757" s="147">
        <v>8201</v>
      </c>
      <c r="E757" s="147" t="s">
        <v>4876</v>
      </c>
      <c r="F757" s="147" t="s">
        <v>5672</v>
      </c>
      <c r="G757" s="147">
        <v>6</v>
      </c>
      <c r="H757" s="147">
        <v>0</v>
      </c>
      <c r="I757" s="147">
        <v>34</v>
      </c>
      <c r="J757" s="147" t="str">
        <f>"2;"&amp;AG757</f>
        <v>2;8020702</v>
      </c>
      <c r="M757" s="147">
        <v>99</v>
      </c>
      <c r="N757" s="147" t="b">
        <v>1</v>
      </c>
      <c r="O757" s="147">
        <v>7</v>
      </c>
      <c r="P757" s="281">
        <v>105</v>
      </c>
      <c r="Q757" s="281">
        <v>140</v>
      </c>
      <c r="R757" s="147" t="s">
        <v>3383</v>
      </c>
      <c r="T757" s="147">
        <v>1</v>
      </c>
      <c r="U757" s="147" t="s">
        <v>4880</v>
      </c>
      <c r="V757" s="147">
        <v>0</v>
      </c>
      <c r="X757" s="147" t="s">
        <v>4881</v>
      </c>
      <c r="Y757" s="147" t="s">
        <v>5722</v>
      </c>
      <c r="Z757" s="147" t="str">
        <f>"习得"&amp;C757&amp;F757&amp;"·"&amp;B757</f>
        <v>习得槎枒寻梅心诀·銮客</v>
      </c>
      <c r="AA757" s="147" t="s">
        <v>3993</v>
      </c>
      <c r="AC757" s="147">
        <v>1</v>
      </c>
      <c r="AD757" s="147">
        <v>1</v>
      </c>
      <c r="AG757" s="147">
        <v>8020702</v>
      </c>
    </row>
    <row r="758" spans="1:33" x14ac:dyDescent="0.15">
      <c r="A758" s="298">
        <v>98050101</v>
      </c>
      <c r="B758" s="339" t="s">
        <v>5723</v>
      </c>
      <c r="C758" s="308" t="s">
        <v>5010</v>
      </c>
      <c r="D758" s="308">
        <v>8202</v>
      </c>
      <c r="E758" s="299" t="s">
        <v>4876</v>
      </c>
      <c r="F758" s="299" t="s">
        <v>5672</v>
      </c>
      <c r="G758" s="300">
        <v>6</v>
      </c>
      <c r="H758" s="300">
        <v>0</v>
      </c>
      <c r="I758" s="298">
        <v>34</v>
      </c>
      <c r="J758" s="303" t="s">
        <v>5724</v>
      </c>
      <c r="K758" s="315"/>
      <c r="L758" s="315"/>
      <c r="M758" s="299">
        <v>99</v>
      </c>
      <c r="N758" s="299" t="b">
        <v>1</v>
      </c>
      <c r="O758" s="299">
        <v>7</v>
      </c>
      <c r="P758" s="281">
        <v>105</v>
      </c>
      <c r="Q758" s="281">
        <v>140</v>
      </c>
      <c r="R758" s="299" t="s">
        <v>3383</v>
      </c>
      <c r="S758" s="299"/>
      <c r="T758" s="299">
        <v>1</v>
      </c>
      <c r="U758" s="299" t="s">
        <v>4880</v>
      </c>
      <c r="V758" s="299">
        <v>0</v>
      </c>
      <c r="W758" s="299"/>
      <c r="X758" s="299" t="s">
        <v>4881</v>
      </c>
      <c r="Y758" s="339" t="s">
        <v>5725</v>
      </c>
      <c r="Z758" s="299" t="s">
        <v>5726</v>
      </c>
      <c r="AA758" s="299" t="s">
        <v>3993</v>
      </c>
      <c r="AB758" s="299"/>
      <c r="AC758" s="306">
        <v>1</v>
      </c>
      <c r="AD758" s="306">
        <v>1</v>
      </c>
      <c r="AE758" s="299"/>
      <c r="AF758" s="299"/>
      <c r="AG758" s="307">
        <v>8050101</v>
      </c>
    </row>
    <row r="759" spans="1:33" ht="28.5" x14ac:dyDescent="0.15">
      <c r="A759" s="298">
        <v>98050102</v>
      </c>
      <c r="B759" s="339" t="s">
        <v>5727</v>
      </c>
      <c r="C759" s="308" t="s">
        <v>5010</v>
      </c>
      <c r="D759" s="308">
        <v>8202</v>
      </c>
      <c r="E759" s="299" t="s">
        <v>4876</v>
      </c>
      <c r="F759" s="299" t="s">
        <v>5672</v>
      </c>
      <c r="G759" s="300">
        <v>6</v>
      </c>
      <c r="H759" s="300">
        <v>0</v>
      </c>
      <c r="I759" s="298">
        <v>34</v>
      </c>
      <c r="J759" s="303" t="s">
        <v>5728</v>
      </c>
      <c r="K759" s="315"/>
      <c r="L759" s="315"/>
      <c r="M759" s="299">
        <v>99</v>
      </c>
      <c r="N759" s="299" t="b">
        <v>1</v>
      </c>
      <c r="O759" s="299">
        <v>7</v>
      </c>
      <c r="P759" s="281">
        <v>105</v>
      </c>
      <c r="Q759" s="281">
        <v>140</v>
      </c>
      <c r="R759" s="299" t="s">
        <v>3383</v>
      </c>
      <c r="S759" s="299"/>
      <c r="T759" s="299">
        <v>1</v>
      </c>
      <c r="U759" s="299" t="s">
        <v>4880</v>
      </c>
      <c r="V759" s="299">
        <v>0</v>
      </c>
      <c r="W759" s="299"/>
      <c r="X759" s="299" t="s">
        <v>4881</v>
      </c>
      <c r="Y759" s="345" t="s">
        <v>5729</v>
      </c>
      <c r="Z759" s="299" t="s">
        <v>5730</v>
      </c>
      <c r="AA759" s="299" t="s">
        <v>3993</v>
      </c>
      <c r="AB759" s="299"/>
      <c r="AC759" s="306">
        <v>1</v>
      </c>
      <c r="AD759" s="306">
        <v>1</v>
      </c>
      <c r="AE759" s="299"/>
      <c r="AF759" s="299"/>
      <c r="AG759" s="307">
        <v>8050102</v>
      </c>
    </row>
    <row r="760" spans="1:33" x14ac:dyDescent="0.15">
      <c r="A760" s="298">
        <v>98050103</v>
      </c>
      <c r="B760" s="339" t="s">
        <v>5731</v>
      </c>
      <c r="C760" s="308" t="s">
        <v>5010</v>
      </c>
      <c r="D760" s="308">
        <v>8202</v>
      </c>
      <c r="E760" s="299" t="s">
        <v>4876</v>
      </c>
      <c r="F760" s="299" t="s">
        <v>5672</v>
      </c>
      <c r="G760" s="300">
        <v>6</v>
      </c>
      <c r="H760" s="300">
        <v>0</v>
      </c>
      <c r="I760" s="298">
        <v>34</v>
      </c>
      <c r="J760" s="303" t="s">
        <v>5732</v>
      </c>
      <c r="K760" s="315"/>
      <c r="L760" s="315"/>
      <c r="M760" s="299">
        <v>99</v>
      </c>
      <c r="N760" s="299" t="b">
        <v>1</v>
      </c>
      <c r="O760" s="299">
        <v>7</v>
      </c>
      <c r="P760" s="281">
        <v>105</v>
      </c>
      <c r="Q760" s="281">
        <v>140</v>
      </c>
      <c r="R760" s="299" t="s">
        <v>3383</v>
      </c>
      <c r="S760" s="299"/>
      <c r="T760" s="299">
        <v>1</v>
      </c>
      <c r="U760" s="299" t="s">
        <v>4880</v>
      </c>
      <c r="V760" s="299">
        <v>0</v>
      </c>
      <c r="W760" s="299"/>
      <c r="X760" s="299" t="s">
        <v>4881</v>
      </c>
      <c r="Y760" s="339" t="s">
        <v>5733</v>
      </c>
      <c r="Z760" s="299" t="s">
        <v>5734</v>
      </c>
      <c r="AA760" s="299" t="s">
        <v>3993</v>
      </c>
      <c r="AB760" s="299"/>
      <c r="AC760" s="306">
        <v>1</v>
      </c>
      <c r="AD760" s="306">
        <v>1</v>
      </c>
      <c r="AE760" s="299"/>
      <c r="AF760" s="299"/>
      <c r="AG760" s="307">
        <v>8050103</v>
      </c>
    </row>
    <row r="761" spans="1:33" x14ac:dyDescent="0.15">
      <c r="A761" s="298">
        <v>98050104</v>
      </c>
      <c r="B761" s="308" t="s">
        <v>5735</v>
      </c>
      <c r="C761" s="308" t="s">
        <v>5010</v>
      </c>
      <c r="D761" s="308">
        <v>8202</v>
      </c>
      <c r="E761" s="299" t="s">
        <v>4876</v>
      </c>
      <c r="F761" s="299" t="s">
        <v>5672</v>
      </c>
      <c r="G761" s="300">
        <v>6</v>
      </c>
      <c r="H761" s="300">
        <v>0</v>
      </c>
      <c r="I761" s="298">
        <v>34</v>
      </c>
      <c r="J761" s="303" t="s">
        <v>5736</v>
      </c>
      <c r="K761" s="315"/>
      <c r="L761" s="315"/>
      <c r="M761" s="299">
        <v>99</v>
      </c>
      <c r="N761" s="299" t="b">
        <v>1</v>
      </c>
      <c r="O761" s="299">
        <v>7</v>
      </c>
      <c r="P761" s="281">
        <v>105</v>
      </c>
      <c r="Q761" s="281">
        <v>140</v>
      </c>
      <c r="R761" s="299" t="s">
        <v>3383</v>
      </c>
      <c r="S761" s="299"/>
      <c r="T761" s="299">
        <v>1</v>
      </c>
      <c r="U761" s="299" t="s">
        <v>4880</v>
      </c>
      <c r="V761" s="299">
        <v>0</v>
      </c>
      <c r="W761" s="299"/>
      <c r="X761" s="299" t="s">
        <v>4881</v>
      </c>
      <c r="Y761" s="339" t="s">
        <v>5737</v>
      </c>
      <c r="Z761" s="299" t="s">
        <v>5738</v>
      </c>
      <c r="AA761" s="299" t="s">
        <v>3993</v>
      </c>
      <c r="AB761" s="299"/>
      <c r="AC761" s="306">
        <v>1</v>
      </c>
      <c r="AD761" s="306">
        <v>1</v>
      </c>
      <c r="AE761" s="299"/>
      <c r="AF761" s="299"/>
      <c r="AG761" s="307">
        <v>8050104</v>
      </c>
    </row>
    <row r="762" spans="1:33" x14ac:dyDescent="0.15">
      <c r="A762" s="298">
        <v>98050105</v>
      </c>
      <c r="B762" s="339" t="s">
        <v>5739</v>
      </c>
      <c r="C762" s="308" t="s">
        <v>5010</v>
      </c>
      <c r="D762" s="308">
        <v>8201</v>
      </c>
      <c r="E762" s="299" t="s">
        <v>4876</v>
      </c>
      <c r="F762" s="299" t="s">
        <v>5672</v>
      </c>
      <c r="G762" s="300">
        <v>6</v>
      </c>
      <c r="H762" s="300">
        <v>0</v>
      </c>
      <c r="I762" s="298">
        <v>34</v>
      </c>
      <c r="J762" s="303" t="s">
        <v>5740</v>
      </c>
      <c r="K762" s="315"/>
      <c r="L762" s="315"/>
      <c r="M762" s="299">
        <v>99</v>
      </c>
      <c r="N762" s="299" t="b">
        <v>1</v>
      </c>
      <c r="O762" s="299">
        <v>7</v>
      </c>
      <c r="P762" s="281">
        <v>105</v>
      </c>
      <c r="Q762" s="281">
        <v>140</v>
      </c>
      <c r="R762" s="299" t="s">
        <v>3383</v>
      </c>
      <c r="S762" s="299"/>
      <c r="T762" s="299">
        <v>1</v>
      </c>
      <c r="U762" s="299" t="s">
        <v>4880</v>
      </c>
      <c r="V762" s="299">
        <v>0</v>
      </c>
      <c r="W762" s="299"/>
      <c r="X762" s="299" t="s">
        <v>4881</v>
      </c>
      <c r="Y762" s="339" t="s">
        <v>5741</v>
      </c>
      <c r="Z762" s="299" t="s">
        <v>5742</v>
      </c>
      <c r="AA762" s="299" t="s">
        <v>3993</v>
      </c>
      <c r="AB762" s="299"/>
      <c r="AC762" s="306">
        <v>1</v>
      </c>
      <c r="AD762" s="306">
        <v>1</v>
      </c>
      <c r="AE762" s="299"/>
      <c r="AF762" s="299"/>
      <c r="AG762" s="307">
        <v>8050105</v>
      </c>
    </row>
    <row r="763" spans="1:33" x14ac:dyDescent="0.15">
      <c r="A763" s="298">
        <v>98040101</v>
      </c>
      <c r="B763" s="339" t="s">
        <v>2316</v>
      </c>
      <c r="C763" s="308" t="s">
        <v>4978</v>
      </c>
      <c r="D763" s="308">
        <v>8201</v>
      </c>
      <c r="E763" s="299" t="s">
        <v>4876</v>
      </c>
      <c r="F763" s="299" t="s">
        <v>5672</v>
      </c>
      <c r="G763" s="300">
        <v>6</v>
      </c>
      <c r="H763" s="300">
        <v>0</v>
      </c>
      <c r="I763" s="298">
        <v>34</v>
      </c>
      <c r="J763" s="303" t="s">
        <v>5743</v>
      </c>
      <c r="K763" s="315"/>
      <c r="L763" s="315"/>
      <c r="M763" s="299">
        <v>99</v>
      </c>
      <c r="N763" s="299" t="b">
        <v>1</v>
      </c>
      <c r="O763" s="299">
        <v>7</v>
      </c>
      <c r="P763" s="281">
        <v>105</v>
      </c>
      <c r="Q763" s="281">
        <v>140</v>
      </c>
      <c r="R763" s="299" t="s">
        <v>3383</v>
      </c>
      <c r="S763" s="299"/>
      <c r="T763" s="299">
        <v>1</v>
      </c>
      <c r="U763" s="299" t="s">
        <v>4880</v>
      </c>
      <c r="V763" s="299">
        <v>0</v>
      </c>
      <c r="W763" s="299"/>
      <c r="X763" s="299" t="s">
        <v>4881</v>
      </c>
      <c r="Y763" s="339" t="s">
        <v>5744</v>
      </c>
      <c r="Z763" s="299" t="s">
        <v>5745</v>
      </c>
      <c r="AA763" s="299" t="s">
        <v>3993</v>
      </c>
      <c r="AB763" s="299"/>
      <c r="AC763" s="306">
        <v>1</v>
      </c>
      <c r="AD763" s="306">
        <v>1</v>
      </c>
      <c r="AE763" s="299"/>
      <c r="AF763" s="299"/>
      <c r="AG763" s="307">
        <v>8040101</v>
      </c>
    </row>
    <row r="764" spans="1:33" x14ac:dyDescent="0.15">
      <c r="A764" s="298">
        <v>98040102</v>
      </c>
      <c r="B764" s="339" t="s">
        <v>5746</v>
      </c>
      <c r="C764" s="308" t="s">
        <v>4978</v>
      </c>
      <c r="D764" s="308">
        <v>8202</v>
      </c>
      <c r="E764" s="299" t="s">
        <v>4876</v>
      </c>
      <c r="F764" s="299" t="s">
        <v>5672</v>
      </c>
      <c r="G764" s="300">
        <v>6</v>
      </c>
      <c r="H764" s="300">
        <v>0</v>
      </c>
      <c r="I764" s="298">
        <v>34</v>
      </c>
      <c r="J764" s="303" t="s">
        <v>5747</v>
      </c>
      <c r="K764" s="315"/>
      <c r="L764" s="315"/>
      <c r="M764" s="299">
        <v>99</v>
      </c>
      <c r="N764" s="299" t="b">
        <v>1</v>
      </c>
      <c r="O764" s="299">
        <v>7</v>
      </c>
      <c r="P764" s="281">
        <v>105</v>
      </c>
      <c r="Q764" s="281">
        <v>140</v>
      </c>
      <c r="R764" s="299" t="s">
        <v>3383</v>
      </c>
      <c r="S764" s="299"/>
      <c r="T764" s="299">
        <v>1</v>
      </c>
      <c r="U764" s="299" t="s">
        <v>4880</v>
      </c>
      <c r="V764" s="299">
        <v>0</v>
      </c>
      <c r="W764" s="299"/>
      <c r="X764" s="299" t="s">
        <v>4881</v>
      </c>
      <c r="Y764" s="339" t="s">
        <v>5748</v>
      </c>
      <c r="Z764" s="299" t="s">
        <v>5749</v>
      </c>
      <c r="AA764" s="299" t="s">
        <v>3993</v>
      </c>
      <c r="AB764" s="299"/>
      <c r="AC764" s="306">
        <v>1</v>
      </c>
      <c r="AD764" s="306">
        <v>1</v>
      </c>
      <c r="AE764" s="299"/>
      <c r="AF764" s="299"/>
      <c r="AG764" s="307">
        <v>8040102</v>
      </c>
    </row>
    <row r="765" spans="1:33" x14ac:dyDescent="0.15">
      <c r="A765" s="298">
        <v>98040103</v>
      </c>
      <c r="B765" s="339" t="s">
        <v>5750</v>
      </c>
      <c r="C765" s="308" t="s">
        <v>4978</v>
      </c>
      <c r="D765" s="308">
        <v>8202</v>
      </c>
      <c r="E765" s="299" t="s">
        <v>4876</v>
      </c>
      <c r="F765" s="299" t="s">
        <v>5672</v>
      </c>
      <c r="G765" s="300">
        <v>6</v>
      </c>
      <c r="H765" s="300">
        <v>0</v>
      </c>
      <c r="I765" s="298">
        <v>34</v>
      </c>
      <c r="J765" s="303" t="s">
        <v>5751</v>
      </c>
      <c r="K765" s="315"/>
      <c r="L765" s="315"/>
      <c r="M765" s="299">
        <v>99</v>
      </c>
      <c r="N765" s="299" t="b">
        <v>1</v>
      </c>
      <c r="O765" s="299">
        <v>7</v>
      </c>
      <c r="P765" s="281">
        <v>105</v>
      </c>
      <c r="Q765" s="281">
        <v>140</v>
      </c>
      <c r="R765" s="299" t="s">
        <v>3383</v>
      </c>
      <c r="S765" s="299"/>
      <c r="T765" s="299">
        <v>1</v>
      </c>
      <c r="U765" s="299" t="s">
        <v>4880</v>
      </c>
      <c r="V765" s="299">
        <v>0</v>
      </c>
      <c r="W765" s="299"/>
      <c r="X765" s="299" t="s">
        <v>4881</v>
      </c>
      <c r="Y765" s="339" t="s">
        <v>5752</v>
      </c>
      <c r="Z765" s="299" t="s">
        <v>5753</v>
      </c>
      <c r="AA765" s="299" t="s">
        <v>3993</v>
      </c>
      <c r="AB765" s="299"/>
      <c r="AC765" s="306">
        <v>1</v>
      </c>
      <c r="AD765" s="306">
        <v>1</v>
      </c>
      <c r="AE765" s="299"/>
      <c r="AF765" s="299"/>
      <c r="AG765" s="307">
        <v>8040103</v>
      </c>
    </row>
    <row r="766" spans="1:33" x14ac:dyDescent="0.15">
      <c r="A766" s="298">
        <v>98040104</v>
      </c>
      <c r="B766" s="339" t="s">
        <v>5754</v>
      </c>
      <c r="C766" s="308" t="s">
        <v>4978</v>
      </c>
      <c r="D766" s="308">
        <v>8202</v>
      </c>
      <c r="E766" s="299" t="s">
        <v>4876</v>
      </c>
      <c r="F766" s="299" t="s">
        <v>5672</v>
      </c>
      <c r="G766" s="300">
        <v>6</v>
      </c>
      <c r="H766" s="300">
        <v>0</v>
      </c>
      <c r="I766" s="298">
        <v>34</v>
      </c>
      <c r="J766" s="303" t="s">
        <v>5755</v>
      </c>
      <c r="K766" s="315"/>
      <c r="L766" s="315"/>
      <c r="M766" s="299">
        <v>99</v>
      </c>
      <c r="N766" s="299" t="b">
        <v>1</v>
      </c>
      <c r="O766" s="299">
        <v>7</v>
      </c>
      <c r="P766" s="281">
        <v>105</v>
      </c>
      <c r="Q766" s="281">
        <v>140</v>
      </c>
      <c r="R766" s="299" t="s">
        <v>3383</v>
      </c>
      <c r="S766" s="299"/>
      <c r="T766" s="299">
        <v>1</v>
      </c>
      <c r="U766" s="299" t="s">
        <v>4880</v>
      </c>
      <c r="V766" s="299">
        <v>0</v>
      </c>
      <c r="W766" s="299"/>
      <c r="X766" s="299" t="s">
        <v>4881</v>
      </c>
      <c r="Y766" s="339" t="s">
        <v>5756</v>
      </c>
      <c r="Z766" s="299" t="s">
        <v>5757</v>
      </c>
      <c r="AA766" s="299" t="s">
        <v>3993</v>
      </c>
      <c r="AB766" s="299"/>
      <c r="AC766" s="306">
        <v>1</v>
      </c>
      <c r="AD766" s="306">
        <v>1</v>
      </c>
      <c r="AE766" s="299"/>
      <c r="AF766" s="299"/>
      <c r="AG766" s="307">
        <v>8040104</v>
      </c>
    </row>
    <row r="767" spans="1:33" x14ac:dyDescent="0.15">
      <c r="A767" s="298">
        <v>98060101</v>
      </c>
      <c r="B767" s="339" t="s">
        <v>5758</v>
      </c>
      <c r="C767" s="308" t="s">
        <v>5027</v>
      </c>
      <c r="D767" s="308">
        <v>8202</v>
      </c>
      <c r="E767" s="299" t="s">
        <v>4876</v>
      </c>
      <c r="F767" s="299" t="s">
        <v>5672</v>
      </c>
      <c r="G767" s="300">
        <v>6</v>
      </c>
      <c r="H767" s="300">
        <v>0</v>
      </c>
      <c r="I767" s="298">
        <v>34</v>
      </c>
      <c r="J767" s="303" t="s">
        <v>5759</v>
      </c>
      <c r="K767" s="315"/>
      <c r="L767" s="315"/>
      <c r="M767" s="299">
        <v>99</v>
      </c>
      <c r="N767" s="299" t="b">
        <v>1</v>
      </c>
      <c r="O767" s="299">
        <v>7</v>
      </c>
      <c r="P767" s="281">
        <v>105</v>
      </c>
      <c r="Q767" s="281">
        <v>140</v>
      </c>
      <c r="R767" s="299" t="s">
        <v>3383</v>
      </c>
      <c r="S767" s="299"/>
      <c r="T767" s="299">
        <v>1</v>
      </c>
      <c r="U767" s="299" t="s">
        <v>4880</v>
      </c>
      <c r="V767" s="299">
        <v>0</v>
      </c>
      <c r="W767" s="299"/>
      <c r="X767" s="299" t="s">
        <v>4881</v>
      </c>
      <c r="Y767" s="339" t="s">
        <v>5760</v>
      </c>
      <c r="Z767" s="299" t="s">
        <v>5761</v>
      </c>
      <c r="AA767" s="299" t="s">
        <v>3993</v>
      </c>
      <c r="AB767" s="299"/>
      <c r="AC767" s="306">
        <v>1</v>
      </c>
      <c r="AD767" s="306">
        <v>1</v>
      </c>
      <c r="AE767" s="299"/>
      <c r="AF767" s="299"/>
      <c r="AG767" s="307">
        <v>8060101</v>
      </c>
    </row>
    <row r="768" spans="1:33" x14ac:dyDescent="0.15">
      <c r="A768" s="298">
        <v>98060102</v>
      </c>
      <c r="B768" s="299" t="s">
        <v>5762</v>
      </c>
      <c r="C768" s="299" t="s">
        <v>5027</v>
      </c>
      <c r="D768" s="299">
        <v>8201</v>
      </c>
      <c r="E768" s="299" t="s">
        <v>4876</v>
      </c>
      <c r="F768" s="299" t="s">
        <v>5672</v>
      </c>
      <c r="G768" s="300">
        <v>6</v>
      </c>
      <c r="H768" s="300">
        <v>0</v>
      </c>
      <c r="I768" s="298">
        <v>34</v>
      </c>
      <c r="J768" s="303" t="s">
        <v>5763</v>
      </c>
      <c r="K768" s="304"/>
      <c r="L768" s="304"/>
      <c r="M768" s="299">
        <v>99</v>
      </c>
      <c r="N768" s="299" t="b">
        <v>1</v>
      </c>
      <c r="O768" s="299">
        <v>7</v>
      </c>
      <c r="P768" s="281">
        <v>105</v>
      </c>
      <c r="Q768" s="281">
        <v>140</v>
      </c>
      <c r="R768" s="299" t="s">
        <v>3383</v>
      </c>
      <c r="S768" s="299"/>
      <c r="T768" s="299">
        <v>1</v>
      </c>
      <c r="U768" s="299" t="s">
        <v>4880</v>
      </c>
      <c r="V768" s="299">
        <v>0</v>
      </c>
      <c r="W768" s="299"/>
      <c r="X768" s="299" t="s">
        <v>4881</v>
      </c>
      <c r="Y768" s="338" t="s">
        <v>5764</v>
      </c>
      <c r="Z768" s="299" t="s">
        <v>5765</v>
      </c>
      <c r="AA768" s="299" t="s">
        <v>3993</v>
      </c>
      <c r="AB768" s="299"/>
      <c r="AC768" s="306">
        <v>1</v>
      </c>
      <c r="AD768" s="306">
        <v>1</v>
      </c>
      <c r="AE768" s="299"/>
      <c r="AF768" s="299"/>
      <c r="AG768" s="307">
        <v>8060102</v>
      </c>
    </row>
    <row r="769" spans="1:33" x14ac:dyDescent="0.15">
      <c r="A769" s="298">
        <v>98060103</v>
      </c>
      <c r="B769" s="308" t="s">
        <v>5766</v>
      </c>
      <c r="C769" s="308" t="s">
        <v>5027</v>
      </c>
      <c r="D769" s="308">
        <v>8201</v>
      </c>
      <c r="E769" s="299" t="s">
        <v>4876</v>
      </c>
      <c r="F769" s="299" t="s">
        <v>5672</v>
      </c>
      <c r="G769" s="300">
        <v>6</v>
      </c>
      <c r="H769" s="300">
        <v>0</v>
      </c>
      <c r="I769" s="298">
        <v>34</v>
      </c>
      <c r="J769" s="303" t="s">
        <v>5767</v>
      </c>
      <c r="K769" s="315"/>
      <c r="L769" s="315"/>
      <c r="M769" s="299">
        <v>99</v>
      </c>
      <c r="N769" s="299" t="b">
        <v>1</v>
      </c>
      <c r="O769" s="299">
        <v>7</v>
      </c>
      <c r="P769" s="281">
        <v>105</v>
      </c>
      <c r="Q769" s="281">
        <v>140</v>
      </c>
      <c r="R769" s="299" t="s">
        <v>3383</v>
      </c>
      <c r="S769" s="299"/>
      <c r="T769" s="299">
        <v>1</v>
      </c>
      <c r="U769" s="299" t="s">
        <v>4880</v>
      </c>
      <c r="V769" s="299">
        <v>0</v>
      </c>
      <c r="W769" s="299"/>
      <c r="X769" s="299" t="s">
        <v>4881</v>
      </c>
      <c r="Y769" s="339" t="s">
        <v>5768</v>
      </c>
      <c r="Z769" s="299" t="s">
        <v>5769</v>
      </c>
      <c r="AA769" s="299" t="s">
        <v>3993</v>
      </c>
      <c r="AB769" s="299"/>
      <c r="AC769" s="306">
        <v>1</v>
      </c>
      <c r="AD769" s="306">
        <v>1</v>
      </c>
      <c r="AE769" s="299"/>
      <c r="AF769" s="299"/>
      <c r="AG769" s="307">
        <v>8060103</v>
      </c>
    </row>
    <row r="770" spans="1:33" x14ac:dyDescent="0.15">
      <c r="A770" s="298">
        <v>98060104</v>
      </c>
      <c r="B770" s="339" t="s">
        <v>5770</v>
      </c>
      <c r="C770" s="308" t="s">
        <v>5027</v>
      </c>
      <c r="D770" s="308">
        <v>8201</v>
      </c>
      <c r="E770" s="299" t="s">
        <v>4876</v>
      </c>
      <c r="F770" s="299" t="s">
        <v>5672</v>
      </c>
      <c r="G770" s="300">
        <v>6</v>
      </c>
      <c r="H770" s="300">
        <v>0</v>
      </c>
      <c r="I770" s="298">
        <v>34</v>
      </c>
      <c r="J770" s="303" t="s">
        <v>5771</v>
      </c>
      <c r="K770" s="315"/>
      <c r="L770" s="315"/>
      <c r="M770" s="299">
        <v>99</v>
      </c>
      <c r="N770" s="299" t="b">
        <v>1</v>
      </c>
      <c r="O770" s="299">
        <v>7</v>
      </c>
      <c r="P770" s="281">
        <v>105</v>
      </c>
      <c r="Q770" s="281">
        <v>140</v>
      </c>
      <c r="R770" s="299" t="s">
        <v>3383</v>
      </c>
      <c r="S770" s="299"/>
      <c r="T770" s="299">
        <v>1</v>
      </c>
      <c r="U770" s="299" t="s">
        <v>4880</v>
      </c>
      <c r="V770" s="299">
        <v>0</v>
      </c>
      <c r="W770" s="299"/>
      <c r="X770" s="299" t="s">
        <v>4881</v>
      </c>
      <c r="Y770" s="339" t="s">
        <v>5772</v>
      </c>
      <c r="Z770" s="299" t="s">
        <v>5773</v>
      </c>
      <c r="AA770" s="299" t="s">
        <v>3993</v>
      </c>
      <c r="AB770" s="299"/>
      <c r="AC770" s="306">
        <v>1</v>
      </c>
      <c r="AD770" s="306">
        <v>1</v>
      </c>
      <c r="AE770" s="299"/>
      <c r="AF770" s="299"/>
      <c r="AG770" s="307">
        <v>8060104</v>
      </c>
    </row>
    <row r="771" spans="1:33" x14ac:dyDescent="0.15">
      <c r="A771" s="298">
        <v>98060105</v>
      </c>
      <c r="B771" s="339" t="s">
        <v>5774</v>
      </c>
      <c r="C771" s="308" t="s">
        <v>5027</v>
      </c>
      <c r="D771" s="308">
        <v>8201</v>
      </c>
      <c r="E771" s="299" t="s">
        <v>4876</v>
      </c>
      <c r="F771" s="299" t="s">
        <v>5672</v>
      </c>
      <c r="G771" s="300">
        <v>6</v>
      </c>
      <c r="H771" s="300">
        <v>0</v>
      </c>
      <c r="I771" s="298">
        <v>34</v>
      </c>
      <c r="J771" s="303" t="s">
        <v>5775</v>
      </c>
      <c r="K771" s="315"/>
      <c r="L771" s="315"/>
      <c r="M771" s="299">
        <v>99</v>
      </c>
      <c r="N771" s="299" t="b">
        <v>1</v>
      </c>
      <c r="O771" s="299">
        <v>7</v>
      </c>
      <c r="P771" s="281">
        <v>105</v>
      </c>
      <c r="Q771" s="281">
        <v>140</v>
      </c>
      <c r="R771" s="299" t="s">
        <v>3383</v>
      </c>
      <c r="S771" s="299"/>
      <c r="T771" s="299">
        <v>1</v>
      </c>
      <c r="U771" s="299" t="s">
        <v>4880</v>
      </c>
      <c r="V771" s="299">
        <v>0</v>
      </c>
      <c r="W771" s="299"/>
      <c r="X771" s="299" t="s">
        <v>4881</v>
      </c>
      <c r="Y771" s="339" t="s">
        <v>5776</v>
      </c>
      <c r="Z771" s="299" t="s">
        <v>5777</v>
      </c>
      <c r="AA771" s="299" t="s">
        <v>3993</v>
      </c>
      <c r="AB771" s="299"/>
      <c r="AC771" s="306">
        <v>1</v>
      </c>
      <c r="AD771" s="306">
        <v>1</v>
      </c>
      <c r="AE771" s="299"/>
      <c r="AF771" s="299"/>
      <c r="AG771" s="307">
        <v>8060105</v>
      </c>
    </row>
    <row r="772" spans="1:33" x14ac:dyDescent="0.15">
      <c r="A772" s="314">
        <v>98060201</v>
      </c>
      <c r="B772" s="314" t="s">
        <v>5778</v>
      </c>
      <c r="C772" s="346" t="s">
        <v>5035</v>
      </c>
      <c r="D772" s="147">
        <v>8201</v>
      </c>
      <c r="E772" s="147" t="s">
        <v>4876</v>
      </c>
      <c r="F772" s="147" t="s">
        <v>5672</v>
      </c>
      <c r="G772" s="147">
        <v>6</v>
      </c>
      <c r="H772" s="147">
        <v>0</v>
      </c>
      <c r="I772" s="147">
        <v>34</v>
      </c>
      <c r="J772" s="147" t="str">
        <f>"2;"&amp;AG772</f>
        <v>2;8060201</v>
      </c>
      <c r="M772" s="147">
        <v>99</v>
      </c>
      <c r="N772" s="147" t="b">
        <v>1</v>
      </c>
      <c r="O772" s="147">
        <v>7</v>
      </c>
      <c r="P772" s="281">
        <v>105</v>
      </c>
      <c r="Q772" s="281">
        <v>140</v>
      </c>
      <c r="R772" s="147" t="s">
        <v>3383</v>
      </c>
      <c r="T772" s="147">
        <v>1</v>
      </c>
      <c r="U772" s="147" t="s">
        <v>4880</v>
      </c>
      <c r="V772" s="147">
        <v>0</v>
      </c>
      <c r="X772" s="147" t="s">
        <v>4881</v>
      </c>
      <c r="Y772" s="147" t="s">
        <v>5779</v>
      </c>
      <c r="Z772" s="147" t="str">
        <f>"习得"&amp;C772&amp;F772&amp;"·"&amp;B772</f>
        <v>习得羁离谱心诀·炼血</v>
      </c>
      <c r="AA772" s="147" t="s">
        <v>3993</v>
      </c>
      <c r="AC772" s="147">
        <v>1</v>
      </c>
      <c r="AD772" s="147">
        <v>1</v>
      </c>
      <c r="AG772" s="147">
        <v>8060201</v>
      </c>
    </row>
    <row r="773" spans="1:33" x14ac:dyDescent="0.15">
      <c r="A773" s="314">
        <v>98060202</v>
      </c>
      <c r="B773" s="314" t="s">
        <v>5780</v>
      </c>
      <c r="C773" s="346" t="s">
        <v>5035</v>
      </c>
      <c r="D773" s="147">
        <v>8201</v>
      </c>
      <c r="E773" s="147" t="s">
        <v>4876</v>
      </c>
      <c r="F773" s="147" t="s">
        <v>5672</v>
      </c>
      <c r="G773" s="147">
        <v>6</v>
      </c>
      <c r="H773" s="147">
        <v>0</v>
      </c>
      <c r="I773" s="147">
        <v>34</v>
      </c>
      <c r="J773" s="147" t="str">
        <f>"2;"&amp;AG773</f>
        <v>2;8060202</v>
      </c>
      <c r="M773" s="147">
        <v>99</v>
      </c>
      <c r="N773" s="147" t="b">
        <v>1</v>
      </c>
      <c r="O773" s="147">
        <v>7</v>
      </c>
      <c r="P773" s="281">
        <v>105</v>
      </c>
      <c r="Q773" s="281">
        <v>140</v>
      </c>
      <c r="R773" s="147" t="s">
        <v>3383</v>
      </c>
      <c r="T773" s="147">
        <v>1</v>
      </c>
      <c r="U773" s="147" t="s">
        <v>4880</v>
      </c>
      <c r="V773" s="147">
        <v>0</v>
      </c>
      <c r="X773" s="147" t="s">
        <v>4881</v>
      </c>
      <c r="Y773" s="147" t="s">
        <v>5781</v>
      </c>
      <c r="Z773" s="147" t="str">
        <f>"习得"&amp;C773&amp;F773&amp;"·"&amp;B773</f>
        <v>习得羁离谱心诀·残筋</v>
      </c>
      <c r="AA773" s="147" t="s">
        <v>3993</v>
      </c>
      <c r="AC773" s="147">
        <v>1</v>
      </c>
      <c r="AD773" s="147">
        <v>1</v>
      </c>
      <c r="AG773" s="147">
        <v>8060202</v>
      </c>
    </row>
    <row r="774" spans="1:33" x14ac:dyDescent="0.15">
      <c r="A774" s="298">
        <v>98010301</v>
      </c>
      <c r="B774" s="339" t="s">
        <v>5782</v>
      </c>
      <c r="C774" s="308" t="s">
        <v>4898</v>
      </c>
      <c r="D774" s="308">
        <v>8202</v>
      </c>
      <c r="E774" s="299" t="s">
        <v>4876</v>
      </c>
      <c r="F774" s="299" t="s">
        <v>5672</v>
      </c>
      <c r="G774" s="300">
        <v>6</v>
      </c>
      <c r="H774" s="300">
        <v>0</v>
      </c>
      <c r="I774" s="298">
        <v>34</v>
      </c>
      <c r="J774" s="303" t="s">
        <v>5783</v>
      </c>
      <c r="K774" s="315"/>
      <c r="L774" s="315"/>
      <c r="M774" s="299">
        <v>99</v>
      </c>
      <c r="N774" s="299" t="b">
        <v>1</v>
      </c>
      <c r="O774" s="299">
        <v>7</v>
      </c>
      <c r="P774" s="281">
        <v>105</v>
      </c>
      <c r="Q774" s="281">
        <v>140</v>
      </c>
      <c r="R774" s="299" t="s">
        <v>3383</v>
      </c>
      <c r="S774" s="299"/>
      <c r="T774" s="299">
        <v>1</v>
      </c>
      <c r="U774" s="299" t="s">
        <v>4880</v>
      </c>
      <c r="V774" s="299">
        <v>0</v>
      </c>
      <c r="W774" s="299"/>
      <c r="X774" s="299" t="s">
        <v>4881</v>
      </c>
      <c r="Y774" s="339" t="s">
        <v>5784</v>
      </c>
      <c r="Z774" s="299" t="s">
        <v>5785</v>
      </c>
      <c r="AA774" s="299" t="s">
        <v>3993</v>
      </c>
      <c r="AB774" s="299"/>
      <c r="AC774" s="306">
        <v>1</v>
      </c>
      <c r="AD774" s="306">
        <v>1</v>
      </c>
      <c r="AE774" s="299"/>
      <c r="AF774" s="299"/>
      <c r="AG774" s="307">
        <v>8010301</v>
      </c>
    </row>
    <row r="775" spans="1:33" x14ac:dyDescent="0.15">
      <c r="A775" s="310">
        <v>98010302</v>
      </c>
      <c r="B775" s="340" t="s">
        <v>5786</v>
      </c>
      <c r="C775" s="311" t="s">
        <v>4898</v>
      </c>
      <c r="D775" s="311">
        <v>8202</v>
      </c>
      <c r="E775" s="312" t="s">
        <v>4876</v>
      </c>
      <c r="F775" s="312" t="s">
        <v>5672</v>
      </c>
      <c r="G775" s="313">
        <v>6</v>
      </c>
      <c r="H775" s="313">
        <v>0</v>
      </c>
      <c r="I775" s="310">
        <v>34</v>
      </c>
      <c r="J775" s="318" t="s">
        <v>5787</v>
      </c>
      <c r="K775" s="319"/>
      <c r="L775" s="319"/>
      <c r="M775" s="312">
        <v>99</v>
      </c>
      <c r="N775" s="312" t="b">
        <v>1</v>
      </c>
      <c r="O775" s="312">
        <v>7</v>
      </c>
      <c r="P775" s="281">
        <v>105</v>
      </c>
      <c r="Q775" s="281">
        <v>140</v>
      </c>
      <c r="R775" s="312" t="s">
        <v>3383</v>
      </c>
      <c r="S775" s="312"/>
      <c r="T775" s="312">
        <v>1</v>
      </c>
      <c r="U775" s="312" t="s">
        <v>4880</v>
      </c>
      <c r="V775" s="312">
        <v>0</v>
      </c>
      <c r="W775" s="312"/>
      <c r="X775" s="312" t="s">
        <v>4881</v>
      </c>
      <c r="Y775" s="340" t="s">
        <v>5788</v>
      </c>
      <c r="Z775" s="312" t="s">
        <v>5789</v>
      </c>
      <c r="AA775" s="312" t="s">
        <v>3993</v>
      </c>
      <c r="AB775" s="312"/>
      <c r="AC775" s="321">
        <v>1</v>
      </c>
      <c r="AD775" s="321">
        <v>1</v>
      </c>
      <c r="AE775" s="312"/>
      <c r="AF775" s="312"/>
      <c r="AG775" s="322">
        <v>8010302</v>
      </c>
    </row>
    <row r="776" spans="1:33" x14ac:dyDescent="0.15">
      <c r="A776" s="298">
        <v>98010303</v>
      </c>
      <c r="B776" s="339" t="s">
        <v>5790</v>
      </c>
      <c r="C776" s="308" t="s">
        <v>4898</v>
      </c>
      <c r="D776" s="308">
        <v>8202</v>
      </c>
      <c r="E776" s="299" t="s">
        <v>4876</v>
      </c>
      <c r="F776" s="299" t="s">
        <v>5672</v>
      </c>
      <c r="G776" s="300">
        <v>6</v>
      </c>
      <c r="H776" s="300">
        <v>0</v>
      </c>
      <c r="I776" s="298">
        <v>34</v>
      </c>
      <c r="J776" s="303" t="s">
        <v>5791</v>
      </c>
      <c r="K776" s="315"/>
      <c r="L776" s="315"/>
      <c r="M776" s="299">
        <v>99</v>
      </c>
      <c r="N776" s="299" t="b">
        <v>1</v>
      </c>
      <c r="O776" s="299">
        <v>7</v>
      </c>
      <c r="P776" s="281">
        <v>105</v>
      </c>
      <c r="Q776" s="281">
        <v>140</v>
      </c>
      <c r="R776" s="299" t="s">
        <v>3383</v>
      </c>
      <c r="S776" s="299"/>
      <c r="T776" s="299">
        <v>1</v>
      </c>
      <c r="U776" s="299" t="s">
        <v>4880</v>
      </c>
      <c r="V776" s="299">
        <v>0</v>
      </c>
      <c r="W776" s="299"/>
      <c r="X776" s="299" t="s">
        <v>4881</v>
      </c>
      <c r="Y776" s="339" t="s">
        <v>5792</v>
      </c>
      <c r="Z776" s="299" t="s">
        <v>5793</v>
      </c>
      <c r="AA776" s="299" t="s">
        <v>3993</v>
      </c>
      <c r="AB776" s="299"/>
      <c r="AC776" s="306">
        <v>1</v>
      </c>
      <c r="AD776" s="306">
        <v>1</v>
      </c>
      <c r="AE776" s="299"/>
      <c r="AF776" s="299"/>
      <c r="AG776" s="307">
        <v>8010303</v>
      </c>
    </row>
    <row r="777" spans="1:33" x14ac:dyDescent="0.15">
      <c r="A777" s="298">
        <v>98010304</v>
      </c>
      <c r="B777" s="339" t="s">
        <v>5794</v>
      </c>
      <c r="C777" s="308" t="s">
        <v>4898</v>
      </c>
      <c r="D777" s="308">
        <v>8202</v>
      </c>
      <c r="E777" s="299" t="s">
        <v>4876</v>
      </c>
      <c r="F777" s="299" t="s">
        <v>5672</v>
      </c>
      <c r="G777" s="300">
        <v>6</v>
      </c>
      <c r="H777" s="300">
        <v>0</v>
      </c>
      <c r="I777" s="298">
        <v>34</v>
      </c>
      <c r="J777" s="303" t="s">
        <v>5795</v>
      </c>
      <c r="K777" s="315"/>
      <c r="L777" s="315"/>
      <c r="M777" s="299">
        <v>99</v>
      </c>
      <c r="N777" s="299" t="b">
        <v>1</v>
      </c>
      <c r="O777" s="299">
        <v>7</v>
      </c>
      <c r="P777" s="281">
        <v>105</v>
      </c>
      <c r="Q777" s="281">
        <v>140</v>
      </c>
      <c r="R777" s="299" t="s">
        <v>3383</v>
      </c>
      <c r="S777" s="299"/>
      <c r="T777" s="299">
        <v>1</v>
      </c>
      <c r="U777" s="299" t="s">
        <v>4880</v>
      </c>
      <c r="V777" s="299">
        <v>0</v>
      </c>
      <c r="W777" s="299"/>
      <c r="X777" s="299" t="s">
        <v>4881</v>
      </c>
      <c r="Y777" s="339" t="s">
        <v>5796</v>
      </c>
      <c r="Z777" s="299" t="s">
        <v>5797</v>
      </c>
      <c r="AA777" s="299" t="s">
        <v>3993</v>
      </c>
      <c r="AB777" s="299"/>
      <c r="AC777" s="306">
        <v>1</v>
      </c>
      <c r="AD777" s="306">
        <v>1</v>
      </c>
      <c r="AE777" s="299"/>
      <c r="AF777" s="299"/>
      <c r="AG777" s="307">
        <v>8010304</v>
      </c>
    </row>
    <row r="778" spans="1:33" x14ac:dyDescent="0.15">
      <c r="A778" s="298">
        <v>98010306</v>
      </c>
      <c r="B778" s="299" t="s">
        <v>5798</v>
      </c>
      <c r="C778" s="299" t="s">
        <v>4898</v>
      </c>
      <c r="D778" s="299">
        <v>8201</v>
      </c>
      <c r="E778" s="299" t="s">
        <v>4876</v>
      </c>
      <c r="F778" s="299" t="s">
        <v>5672</v>
      </c>
      <c r="G778" s="300">
        <v>6</v>
      </c>
      <c r="H778" s="300">
        <v>0</v>
      </c>
      <c r="I778" s="298">
        <v>34</v>
      </c>
      <c r="J778" s="303" t="s">
        <v>5799</v>
      </c>
      <c r="K778" s="304"/>
      <c r="L778" s="304"/>
      <c r="M778" s="299">
        <v>99</v>
      </c>
      <c r="N778" s="299" t="b">
        <v>1</v>
      </c>
      <c r="O778" s="299">
        <v>7</v>
      </c>
      <c r="P778" s="281">
        <v>105</v>
      </c>
      <c r="Q778" s="281">
        <v>140</v>
      </c>
      <c r="R778" s="299" t="s">
        <v>3383</v>
      </c>
      <c r="S778" s="299"/>
      <c r="T778" s="299">
        <v>1</v>
      </c>
      <c r="U778" s="299" t="s">
        <v>4880</v>
      </c>
      <c r="V778" s="299">
        <v>0</v>
      </c>
      <c r="W778" s="299"/>
      <c r="X778" s="299" t="s">
        <v>4881</v>
      </c>
      <c r="Y778" s="338" t="s">
        <v>5800</v>
      </c>
      <c r="Z778" s="299" t="s">
        <v>5801</v>
      </c>
      <c r="AA778" s="299" t="s">
        <v>3993</v>
      </c>
      <c r="AB778" s="299"/>
      <c r="AC778" s="306">
        <v>1</v>
      </c>
      <c r="AD778" s="306">
        <v>1</v>
      </c>
      <c r="AE778" s="299"/>
      <c r="AF778" s="299"/>
      <c r="AG778" s="307">
        <v>8010306</v>
      </c>
    </row>
    <row r="779" spans="1:33" x14ac:dyDescent="0.15">
      <c r="A779" s="298">
        <v>98010201</v>
      </c>
      <c r="B779" s="308" t="s">
        <v>5802</v>
      </c>
      <c r="C779" s="308" t="s">
        <v>4890</v>
      </c>
      <c r="D779" s="308">
        <v>8202</v>
      </c>
      <c r="E779" s="299" t="s">
        <v>4876</v>
      </c>
      <c r="F779" s="299" t="s">
        <v>5672</v>
      </c>
      <c r="G779" s="300">
        <v>6</v>
      </c>
      <c r="H779" s="300">
        <v>0</v>
      </c>
      <c r="I779" s="298">
        <v>34</v>
      </c>
      <c r="J779" s="303" t="s">
        <v>5803</v>
      </c>
      <c r="K779" s="315"/>
      <c r="L779" s="315"/>
      <c r="M779" s="299">
        <v>99</v>
      </c>
      <c r="N779" s="299" t="b">
        <v>1</v>
      </c>
      <c r="O779" s="299">
        <v>7</v>
      </c>
      <c r="P779" s="281">
        <v>105</v>
      </c>
      <c r="Q779" s="281">
        <v>140</v>
      </c>
      <c r="R779" s="299" t="s">
        <v>3383</v>
      </c>
      <c r="S779" s="299"/>
      <c r="T779" s="299">
        <v>1</v>
      </c>
      <c r="U779" s="299" t="s">
        <v>4880</v>
      </c>
      <c r="V779" s="299">
        <v>0</v>
      </c>
      <c r="W779" s="299"/>
      <c r="X779" s="299" t="s">
        <v>4881</v>
      </c>
      <c r="Y779" s="339" t="s">
        <v>5804</v>
      </c>
      <c r="Z779" s="299" t="s">
        <v>5805</v>
      </c>
      <c r="AA779" s="299" t="s">
        <v>3993</v>
      </c>
      <c r="AB779" s="299"/>
      <c r="AC779" s="306">
        <v>1</v>
      </c>
      <c r="AD779" s="306">
        <v>1</v>
      </c>
      <c r="AE779" s="299"/>
      <c r="AF779" s="299"/>
      <c r="AG779" s="307">
        <v>8010201</v>
      </c>
    </row>
    <row r="780" spans="1:33" x14ac:dyDescent="0.15">
      <c r="A780" s="298">
        <v>98010202</v>
      </c>
      <c r="B780" s="339" t="s">
        <v>5806</v>
      </c>
      <c r="C780" s="308" t="s">
        <v>4890</v>
      </c>
      <c r="D780" s="308">
        <v>8202</v>
      </c>
      <c r="E780" s="299" t="s">
        <v>4876</v>
      </c>
      <c r="F780" s="299" t="s">
        <v>5672</v>
      </c>
      <c r="G780" s="300">
        <v>6</v>
      </c>
      <c r="H780" s="300">
        <v>0</v>
      </c>
      <c r="I780" s="298">
        <v>34</v>
      </c>
      <c r="J780" s="303" t="s">
        <v>5807</v>
      </c>
      <c r="K780" s="315"/>
      <c r="L780" s="315"/>
      <c r="M780" s="299">
        <v>99</v>
      </c>
      <c r="N780" s="299" t="b">
        <v>1</v>
      </c>
      <c r="O780" s="299">
        <v>7</v>
      </c>
      <c r="P780" s="281">
        <v>105</v>
      </c>
      <c r="Q780" s="281">
        <v>140</v>
      </c>
      <c r="R780" s="299" t="s">
        <v>3383</v>
      </c>
      <c r="S780" s="299"/>
      <c r="T780" s="299">
        <v>1</v>
      </c>
      <c r="U780" s="299" t="s">
        <v>4880</v>
      </c>
      <c r="V780" s="299">
        <v>0</v>
      </c>
      <c r="W780" s="299"/>
      <c r="X780" s="299" t="s">
        <v>4881</v>
      </c>
      <c r="Y780" s="339" t="s">
        <v>5808</v>
      </c>
      <c r="Z780" s="299" t="s">
        <v>5809</v>
      </c>
      <c r="AA780" s="299" t="s">
        <v>3993</v>
      </c>
      <c r="AB780" s="299"/>
      <c r="AC780" s="306">
        <v>1</v>
      </c>
      <c r="AD780" s="306">
        <v>1</v>
      </c>
      <c r="AE780" s="299"/>
      <c r="AF780" s="299"/>
      <c r="AG780" s="307">
        <v>8010202</v>
      </c>
    </row>
    <row r="781" spans="1:33" x14ac:dyDescent="0.15">
      <c r="A781" s="298">
        <v>98010203</v>
      </c>
      <c r="B781" s="339" t="s">
        <v>5810</v>
      </c>
      <c r="C781" s="308" t="s">
        <v>4890</v>
      </c>
      <c r="D781" s="308">
        <v>8202</v>
      </c>
      <c r="E781" s="299" t="s">
        <v>4876</v>
      </c>
      <c r="F781" s="299" t="s">
        <v>5672</v>
      </c>
      <c r="G781" s="300">
        <v>6</v>
      </c>
      <c r="H781" s="300">
        <v>0</v>
      </c>
      <c r="I781" s="298">
        <v>34</v>
      </c>
      <c r="J781" s="303" t="s">
        <v>5811</v>
      </c>
      <c r="K781" s="315"/>
      <c r="L781" s="315"/>
      <c r="M781" s="299">
        <v>99</v>
      </c>
      <c r="N781" s="299" t="b">
        <v>1</v>
      </c>
      <c r="O781" s="299">
        <v>7</v>
      </c>
      <c r="P781" s="281">
        <v>105</v>
      </c>
      <c r="Q781" s="281">
        <v>140</v>
      </c>
      <c r="R781" s="299" t="s">
        <v>3383</v>
      </c>
      <c r="S781" s="299"/>
      <c r="T781" s="299">
        <v>1</v>
      </c>
      <c r="U781" s="299" t="s">
        <v>4880</v>
      </c>
      <c r="V781" s="299">
        <v>0</v>
      </c>
      <c r="W781" s="299"/>
      <c r="X781" s="299" t="s">
        <v>4881</v>
      </c>
      <c r="Y781" s="339" t="s">
        <v>5812</v>
      </c>
      <c r="Z781" s="299" t="s">
        <v>5813</v>
      </c>
      <c r="AA781" s="299" t="s">
        <v>3993</v>
      </c>
      <c r="AB781" s="299"/>
      <c r="AC781" s="306">
        <v>1</v>
      </c>
      <c r="AD781" s="306">
        <v>1</v>
      </c>
      <c r="AE781" s="299"/>
      <c r="AF781" s="299"/>
      <c r="AG781" s="307">
        <v>8010203</v>
      </c>
    </row>
    <row r="782" spans="1:33" x14ac:dyDescent="0.15">
      <c r="A782" s="298">
        <v>98010204</v>
      </c>
      <c r="B782" s="339" t="s">
        <v>5814</v>
      </c>
      <c r="C782" s="308" t="s">
        <v>4890</v>
      </c>
      <c r="D782" s="308">
        <v>8202</v>
      </c>
      <c r="E782" s="299" t="s">
        <v>4876</v>
      </c>
      <c r="F782" s="299" t="s">
        <v>5672</v>
      </c>
      <c r="G782" s="300">
        <v>6</v>
      </c>
      <c r="H782" s="300">
        <v>0</v>
      </c>
      <c r="I782" s="298">
        <v>34</v>
      </c>
      <c r="J782" s="303" t="s">
        <v>5815</v>
      </c>
      <c r="K782" s="315"/>
      <c r="L782" s="315"/>
      <c r="M782" s="299">
        <v>99</v>
      </c>
      <c r="N782" s="299" t="b">
        <v>1</v>
      </c>
      <c r="O782" s="299">
        <v>7</v>
      </c>
      <c r="P782" s="281">
        <v>105</v>
      </c>
      <c r="Q782" s="281">
        <v>140</v>
      </c>
      <c r="R782" s="299" t="s">
        <v>3383</v>
      </c>
      <c r="S782" s="299"/>
      <c r="T782" s="299">
        <v>1</v>
      </c>
      <c r="U782" s="299" t="s">
        <v>4880</v>
      </c>
      <c r="V782" s="299">
        <v>0</v>
      </c>
      <c r="W782" s="299"/>
      <c r="X782" s="299" t="s">
        <v>4881</v>
      </c>
      <c r="Y782" s="339" t="s">
        <v>5816</v>
      </c>
      <c r="Z782" s="299" t="s">
        <v>5817</v>
      </c>
      <c r="AA782" s="299" t="s">
        <v>3993</v>
      </c>
      <c r="AB782" s="299"/>
      <c r="AC782" s="306">
        <v>1</v>
      </c>
      <c r="AD782" s="306">
        <v>1</v>
      </c>
      <c r="AE782" s="299"/>
      <c r="AF782" s="299"/>
      <c r="AG782" s="307">
        <v>8010204</v>
      </c>
    </row>
    <row r="783" spans="1:33" x14ac:dyDescent="0.15">
      <c r="A783" s="298">
        <v>98010205</v>
      </c>
      <c r="B783" s="299" t="s">
        <v>5818</v>
      </c>
      <c r="C783" s="299" t="s">
        <v>4890</v>
      </c>
      <c r="D783" s="299">
        <v>8201</v>
      </c>
      <c r="E783" s="299" t="s">
        <v>4876</v>
      </c>
      <c r="F783" s="299" t="s">
        <v>5672</v>
      </c>
      <c r="G783" s="300">
        <v>6</v>
      </c>
      <c r="H783" s="300">
        <v>0</v>
      </c>
      <c r="I783" s="298">
        <v>34</v>
      </c>
      <c r="J783" s="303" t="s">
        <v>5819</v>
      </c>
      <c r="K783" s="304"/>
      <c r="L783" s="304"/>
      <c r="M783" s="299">
        <v>99</v>
      </c>
      <c r="N783" s="299" t="b">
        <v>1</v>
      </c>
      <c r="O783" s="299">
        <v>7</v>
      </c>
      <c r="P783" s="281">
        <v>105</v>
      </c>
      <c r="Q783" s="281">
        <v>140</v>
      </c>
      <c r="R783" s="299" t="s">
        <v>3383</v>
      </c>
      <c r="S783" s="299"/>
      <c r="T783" s="299">
        <v>1</v>
      </c>
      <c r="U783" s="299" t="s">
        <v>4880</v>
      </c>
      <c r="V783" s="299">
        <v>0</v>
      </c>
      <c r="W783" s="299"/>
      <c r="X783" s="299" t="s">
        <v>4881</v>
      </c>
      <c r="Y783" s="338" t="s">
        <v>5820</v>
      </c>
      <c r="Z783" s="299" t="s">
        <v>5821</v>
      </c>
      <c r="AA783" s="299" t="s">
        <v>3993</v>
      </c>
      <c r="AB783" s="299"/>
      <c r="AC783" s="306">
        <v>1</v>
      </c>
      <c r="AD783" s="306">
        <v>1</v>
      </c>
      <c r="AE783" s="299"/>
      <c r="AF783" s="299"/>
      <c r="AG783" s="307">
        <v>8010205</v>
      </c>
    </row>
    <row r="784" spans="1:33" x14ac:dyDescent="0.15">
      <c r="A784" s="314">
        <v>98010401</v>
      </c>
      <c r="B784" s="347" t="s">
        <v>5822</v>
      </c>
      <c r="C784" s="346" t="s">
        <v>4906</v>
      </c>
      <c r="D784" s="147">
        <v>8202</v>
      </c>
      <c r="E784" s="147" t="s">
        <v>4876</v>
      </c>
      <c r="F784" s="147" t="s">
        <v>5672</v>
      </c>
      <c r="G784" s="147">
        <v>6</v>
      </c>
      <c r="H784" s="147">
        <v>0</v>
      </c>
      <c r="I784" s="147">
        <v>34</v>
      </c>
      <c r="J784" s="147" t="str">
        <f>"2;"&amp;AG784</f>
        <v>2;8010401</v>
      </c>
      <c r="M784" s="147">
        <v>99</v>
      </c>
      <c r="N784" s="147" t="b">
        <v>1</v>
      </c>
      <c r="O784" s="147">
        <v>7</v>
      </c>
      <c r="P784" s="281">
        <v>105</v>
      </c>
      <c r="Q784" s="281">
        <v>140</v>
      </c>
      <c r="R784" s="147" t="s">
        <v>3383</v>
      </c>
      <c r="T784" s="147">
        <v>1</v>
      </c>
      <c r="U784" s="147" t="s">
        <v>4880</v>
      </c>
      <c r="V784" s="147">
        <v>0</v>
      </c>
      <c r="X784" s="147" t="s">
        <v>4881</v>
      </c>
      <c r="Y784" s="147" t="s">
        <v>5823</v>
      </c>
      <c r="Z784" s="147" t="str">
        <f>"习得"&amp;C784&amp;F784&amp;"·"&amp;B784</f>
        <v>习得神通剑指心诀·束发</v>
      </c>
      <c r="AA784" s="147" t="s">
        <v>3993</v>
      </c>
      <c r="AC784" s="147">
        <v>1</v>
      </c>
      <c r="AD784" s="147">
        <v>1</v>
      </c>
      <c r="AG784" s="147">
        <v>8010401</v>
      </c>
    </row>
    <row r="785" spans="1:33" x14ac:dyDescent="0.15">
      <c r="A785" s="314">
        <v>98010402</v>
      </c>
      <c r="B785" s="347" t="s">
        <v>5824</v>
      </c>
      <c r="C785" s="346" t="s">
        <v>4906</v>
      </c>
      <c r="D785" s="147">
        <v>8202</v>
      </c>
      <c r="E785" s="147" t="s">
        <v>4876</v>
      </c>
      <c r="F785" s="147" t="s">
        <v>5672</v>
      </c>
      <c r="G785" s="147">
        <v>6</v>
      </c>
      <c r="H785" s="147">
        <v>0</v>
      </c>
      <c r="I785" s="147">
        <v>34</v>
      </c>
      <c r="J785" s="147" t="str">
        <f>"2;"&amp;AG785</f>
        <v>2;8010402</v>
      </c>
      <c r="M785" s="147">
        <v>99</v>
      </c>
      <c r="N785" s="147" t="b">
        <v>1</v>
      </c>
      <c r="O785" s="147">
        <v>7</v>
      </c>
      <c r="P785" s="281">
        <v>105</v>
      </c>
      <c r="Q785" s="281">
        <v>140</v>
      </c>
      <c r="R785" s="147" t="s">
        <v>3383</v>
      </c>
      <c r="T785" s="147">
        <v>1</v>
      </c>
      <c r="U785" s="147" t="s">
        <v>4880</v>
      </c>
      <c r="V785" s="147">
        <v>0</v>
      </c>
      <c r="X785" s="147" t="s">
        <v>4881</v>
      </c>
      <c r="Y785" s="147" t="s">
        <v>5825</v>
      </c>
      <c r="Z785" s="147" t="str">
        <f>"习得"&amp;C785&amp;F785&amp;"·"&amp;B785</f>
        <v>习得神通剑指心诀·寥落</v>
      </c>
      <c r="AA785" s="147" t="s">
        <v>3993</v>
      </c>
      <c r="AC785" s="147">
        <v>1</v>
      </c>
      <c r="AD785" s="147">
        <v>1</v>
      </c>
      <c r="AG785" s="147">
        <v>8010402</v>
      </c>
    </row>
    <row r="786" spans="1:33" x14ac:dyDescent="0.15">
      <c r="A786" s="298">
        <v>98020501</v>
      </c>
      <c r="B786" s="339" t="s">
        <v>5826</v>
      </c>
      <c r="C786" s="308" t="s">
        <v>4938</v>
      </c>
      <c r="D786" s="308">
        <v>8201</v>
      </c>
      <c r="E786" s="299" t="s">
        <v>4876</v>
      </c>
      <c r="F786" s="299" t="s">
        <v>5672</v>
      </c>
      <c r="G786" s="300">
        <v>6</v>
      </c>
      <c r="H786" s="300">
        <v>0</v>
      </c>
      <c r="I786" s="298">
        <v>34</v>
      </c>
      <c r="J786" s="303" t="s">
        <v>5827</v>
      </c>
      <c r="K786" s="315"/>
      <c r="L786" s="315"/>
      <c r="M786" s="299">
        <v>99</v>
      </c>
      <c r="N786" s="299" t="b">
        <v>1</v>
      </c>
      <c r="O786" s="299">
        <v>7</v>
      </c>
      <c r="P786" s="281">
        <v>105</v>
      </c>
      <c r="Q786" s="281">
        <v>140</v>
      </c>
      <c r="R786" s="299" t="s">
        <v>3383</v>
      </c>
      <c r="S786" s="299"/>
      <c r="T786" s="299">
        <v>1</v>
      </c>
      <c r="U786" s="299" t="s">
        <v>4880</v>
      </c>
      <c r="V786" s="299">
        <v>0</v>
      </c>
      <c r="W786" s="299"/>
      <c r="X786" s="299" t="s">
        <v>4881</v>
      </c>
      <c r="Y786" s="339" t="s">
        <v>5828</v>
      </c>
      <c r="Z786" s="299" t="s">
        <v>5829</v>
      </c>
      <c r="AA786" s="299" t="s">
        <v>3993</v>
      </c>
      <c r="AB786" s="299"/>
      <c r="AC786" s="306">
        <v>1</v>
      </c>
      <c r="AD786" s="306">
        <v>1</v>
      </c>
      <c r="AE786" s="299"/>
      <c r="AF786" s="299"/>
      <c r="AG786" s="307">
        <v>8020501</v>
      </c>
    </row>
    <row r="787" spans="1:33" x14ac:dyDescent="0.15">
      <c r="A787" s="298">
        <v>98020502</v>
      </c>
      <c r="B787" s="339" t="s">
        <v>5830</v>
      </c>
      <c r="C787" s="308" t="s">
        <v>4938</v>
      </c>
      <c r="D787" s="308">
        <v>8201</v>
      </c>
      <c r="E787" s="299" t="s">
        <v>4876</v>
      </c>
      <c r="F787" s="299" t="s">
        <v>5672</v>
      </c>
      <c r="G787" s="300">
        <v>6</v>
      </c>
      <c r="H787" s="300">
        <v>0</v>
      </c>
      <c r="I787" s="298">
        <v>34</v>
      </c>
      <c r="J787" s="303" t="s">
        <v>5831</v>
      </c>
      <c r="K787" s="315"/>
      <c r="L787" s="315"/>
      <c r="M787" s="299">
        <v>99</v>
      </c>
      <c r="N787" s="299" t="b">
        <v>1</v>
      </c>
      <c r="O787" s="299">
        <v>7</v>
      </c>
      <c r="P787" s="281">
        <v>105</v>
      </c>
      <c r="Q787" s="281">
        <v>140</v>
      </c>
      <c r="R787" s="299" t="s">
        <v>3383</v>
      </c>
      <c r="S787" s="299"/>
      <c r="T787" s="299">
        <v>1</v>
      </c>
      <c r="U787" s="299" t="s">
        <v>4880</v>
      </c>
      <c r="V787" s="299">
        <v>0</v>
      </c>
      <c r="W787" s="299"/>
      <c r="X787" s="299" t="s">
        <v>4881</v>
      </c>
      <c r="Y787" s="339" t="s">
        <v>5832</v>
      </c>
      <c r="Z787" s="299" t="s">
        <v>5833</v>
      </c>
      <c r="AA787" s="299" t="s">
        <v>3993</v>
      </c>
      <c r="AB787" s="299"/>
      <c r="AC787" s="306">
        <v>1</v>
      </c>
      <c r="AD787" s="306">
        <v>1</v>
      </c>
      <c r="AE787" s="299"/>
      <c r="AF787" s="299"/>
      <c r="AG787" s="307">
        <v>8020502</v>
      </c>
    </row>
    <row r="788" spans="1:33" x14ac:dyDescent="0.15">
      <c r="A788" s="298">
        <v>98020503</v>
      </c>
      <c r="B788" s="299" t="s">
        <v>5834</v>
      </c>
      <c r="C788" s="299" t="s">
        <v>4938</v>
      </c>
      <c r="D788" s="299">
        <v>8201</v>
      </c>
      <c r="E788" s="299" t="s">
        <v>4876</v>
      </c>
      <c r="F788" s="299" t="s">
        <v>5672</v>
      </c>
      <c r="G788" s="300">
        <v>6</v>
      </c>
      <c r="H788" s="300">
        <v>0</v>
      </c>
      <c r="I788" s="298">
        <v>34</v>
      </c>
      <c r="J788" s="303" t="s">
        <v>5835</v>
      </c>
      <c r="K788" s="304"/>
      <c r="L788" s="304"/>
      <c r="M788" s="299">
        <v>99</v>
      </c>
      <c r="N788" s="299" t="b">
        <v>1</v>
      </c>
      <c r="O788" s="299">
        <v>7</v>
      </c>
      <c r="P788" s="281">
        <v>105</v>
      </c>
      <c r="Q788" s="281">
        <v>140</v>
      </c>
      <c r="R788" s="299" t="s">
        <v>3383</v>
      </c>
      <c r="S788" s="299"/>
      <c r="T788" s="299">
        <v>1</v>
      </c>
      <c r="U788" s="299" t="s">
        <v>4880</v>
      </c>
      <c r="V788" s="299">
        <v>0</v>
      </c>
      <c r="W788" s="299"/>
      <c r="X788" s="299" t="s">
        <v>4881</v>
      </c>
      <c r="Y788" s="338" t="s">
        <v>5836</v>
      </c>
      <c r="Z788" s="299" t="s">
        <v>5837</v>
      </c>
      <c r="AA788" s="299" t="s">
        <v>3993</v>
      </c>
      <c r="AB788" s="299"/>
      <c r="AC788" s="306">
        <v>1</v>
      </c>
      <c r="AD788" s="306">
        <v>1</v>
      </c>
      <c r="AE788" s="299"/>
      <c r="AF788" s="299"/>
      <c r="AG788" s="307">
        <v>8020503</v>
      </c>
    </row>
    <row r="789" spans="1:33" x14ac:dyDescent="0.15">
      <c r="A789" s="323">
        <v>98020504</v>
      </c>
      <c r="B789" s="348" t="s">
        <v>5838</v>
      </c>
      <c r="C789" s="349" t="s">
        <v>4938</v>
      </c>
      <c r="D789" s="324">
        <v>8202</v>
      </c>
      <c r="E789" s="325" t="s">
        <v>4876</v>
      </c>
      <c r="F789" s="325" t="s">
        <v>5672</v>
      </c>
      <c r="G789" s="325">
        <v>6</v>
      </c>
      <c r="H789" s="325">
        <v>0</v>
      </c>
      <c r="I789" s="325">
        <v>34</v>
      </c>
      <c r="J789" s="327" t="s">
        <v>5839</v>
      </c>
      <c r="K789" s="328"/>
      <c r="L789" s="328"/>
      <c r="M789" s="325">
        <v>99</v>
      </c>
      <c r="N789" s="325" t="b">
        <v>1</v>
      </c>
      <c r="O789" s="265">
        <v>7</v>
      </c>
      <c r="P789" s="281">
        <v>105</v>
      </c>
      <c r="Q789" s="281">
        <v>140</v>
      </c>
      <c r="R789" s="325" t="s">
        <v>3383</v>
      </c>
      <c r="S789" s="325"/>
      <c r="T789" s="268">
        <v>1</v>
      </c>
      <c r="U789" s="325" t="s">
        <v>4880</v>
      </c>
      <c r="V789" s="325">
        <v>0</v>
      </c>
      <c r="W789" s="325"/>
      <c r="X789" s="325" t="s">
        <v>4881</v>
      </c>
      <c r="Y789" s="351" t="s">
        <v>5840</v>
      </c>
      <c r="Z789" s="325" t="s">
        <v>5841</v>
      </c>
      <c r="AA789" s="325" t="s">
        <v>3993</v>
      </c>
      <c r="AB789" s="325"/>
      <c r="AC789" s="287">
        <v>1</v>
      </c>
      <c r="AD789" s="287">
        <v>1</v>
      </c>
      <c r="AE789" s="325"/>
      <c r="AF789" s="325"/>
      <c r="AG789" s="262">
        <v>8020504</v>
      </c>
    </row>
    <row r="790" spans="1:33" x14ac:dyDescent="0.15">
      <c r="A790" s="326">
        <v>98020505</v>
      </c>
      <c r="B790" s="348" t="s">
        <v>5842</v>
      </c>
      <c r="C790" s="349" t="s">
        <v>4938</v>
      </c>
      <c r="D790" s="324">
        <v>8202</v>
      </c>
      <c r="E790" s="325" t="s">
        <v>4876</v>
      </c>
      <c r="F790" s="325" t="s">
        <v>5672</v>
      </c>
      <c r="G790" s="325">
        <v>6</v>
      </c>
      <c r="H790" s="325">
        <v>0</v>
      </c>
      <c r="I790" s="325">
        <v>34</v>
      </c>
      <c r="J790" s="327" t="s">
        <v>5843</v>
      </c>
      <c r="K790" s="328"/>
      <c r="L790" s="328"/>
      <c r="M790" s="325">
        <v>99</v>
      </c>
      <c r="N790" s="325" t="b">
        <v>1</v>
      </c>
      <c r="O790" s="265">
        <v>7</v>
      </c>
      <c r="P790" s="281">
        <v>105</v>
      </c>
      <c r="Q790" s="281">
        <v>140</v>
      </c>
      <c r="R790" s="325" t="s">
        <v>3383</v>
      </c>
      <c r="S790" s="325"/>
      <c r="T790" s="268">
        <v>1</v>
      </c>
      <c r="U790" s="325" t="s">
        <v>4880</v>
      </c>
      <c r="V790" s="325">
        <v>0</v>
      </c>
      <c r="W790" s="325"/>
      <c r="X790" s="325" t="s">
        <v>4881</v>
      </c>
      <c r="Y790" s="351" t="s">
        <v>5844</v>
      </c>
      <c r="Z790" s="325" t="s">
        <v>5845</v>
      </c>
      <c r="AA790" s="325" t="s">
        <v>3993</v>
      </c>
      <c r="AB790" s="325"/>
      <c r="AC790" s="287">
        <v>1</v>
      </c>
      <c r="AD790" s="287">
        <v>1</v>
      </c>
      <c r="AE790" s="325"/>
      <c r="AF790" s="325"/>
      <c r="AG790" s="262">
        <v>8020505</v>
      </c>
    </row>
    <row r="791" spans="1:33" x14ac:dyDescent="0.15">
      <c r="A791" s="323">
        <v>98020506</v>
      </c>
      <c r="B791" s="348" t="s">
        <v>5846</v>
      </c>
      <c r="C791" s="349" t="s">
        <v>4947</v>
      </c>
      <c r="D791" s="324">
        <v>8202</v>
      </c>
      <c r="E791" s="325" t="s">
        <v>4876</v>
      </c>
      <c r="F791" s="325" t="s">
        <v>5672</v>
      </c>
      <c r="G791" s="325">
        <v>6</v>
      </c>
      <c r="H791" s="325">
        <v>0</v>
      </c>
      <c r="I791" s="325">
        <v>34</v>
      </c>
      <c r="J791" s="327" t="s">
        <v>5847</v>
      </c>
      <c r="K791" s="328"/>
      <c r="L791" s="328"/>
      <c r="M791" s="325">
        <v>99</v>
      </c>
      <c r="N791" s="325" t="b">
        <v>1</v>
      </c>
      <c r="O791" s="265">
        <v>7</v>
      </c>
      <c r="P791" s="281">
        <v>105</v>
      </c>
      <c r="Q791" s="281">
        <v>140</v>
      </c>
      <c r="R791" s="325" t="s">
        <v>3383</v>
      </c>
      <c r="S791" s="325"/>
      <c r="T791" s="268">
        <v>1</v>
      </c>
      <c r="U791" s="325" t="s">
        <v>4880</v>
      </c>
      <c r="V791" s="325">
        <v>0</v>
      </c>
      <c r="W791" s="325"/>
      <c r="X791" s="325" t="s">
        <v>4881</v>
      </c>
      <c r="Y791" s="351" t="s">
        <v>5848</v>
      </c>
      <c r="Z791" s="325" t="s">
        <v>5849</v>
      </c>
      <c r="AA791" s="325" t="s">
        <v>3993</v>
      </c>
      <c r="AB791" s="325"/>
      <c r="AC791" s="287">
        <v>1</v>
      </c>
      <c r="AD791" s="287">
        <v>1</v>
      </c>
      <c r="AE791" s="325"/>
      <c r="AF791" s="325"/>
      <c r="AG791" s="262">
        <v>8020506</v>
      </c>
    </row>
    <row r="792" spans="1:33" x14ac:dyDescent="0.15">
      <c r="A792" s="326">
        <v>98010101</v>
      </c>
      <c r="B792" s="348" t="s">
        <v>5850</v>
      </c>
      <c r="C792" s="349" t="s">
        <v>4874</v>
      </c>
      <c r="D792" s="324">
        <v>8202</v>
      </c>
      <c r="E792" s="325" t="s">
        <v>4876</v>
      </c>
      <c r="F792" s="325" t="s">
        <v>5672</v>
      </c>
      <c r="G792" s="325">
        <v>6</v>
      </c>
      <c r="H792" s="325">
        <v>0</v>
      </c>
      <c r="I792" s="325">
        <v>34</v>
      </c>
      <c r="J792" s="327" t="s">
        <v>5851</v>
      </c>
      <c r="K792" s="328"/>
      <c r="L792" s="328"/>
      <c r="M792" s="325">
        <v>99</v>
      </c>
      <c r="N792" s="325" t="b">
        <v>1</v>
      </c>
      <c r="O792" s="265">
        <v>7</v>
      </c>
      <c r="P792" s="281">
        <v>105</v>
      </c>
      <c r="Q792" s="281">
        <v>140</v>
      </c>
      <c r="R792" s="325" t="s">
        <v>3383</v>
      </c>
      <c r="S792" s="325"/>
      <c r="T792" s="268">
        <v>1</v>
      </c>
      <c r="U792" s="325" t="s">
        <v>4880</v>
      </c>
      <c r="V792" s="325">
        <v>0</v>
      </c>
      <c r="W792" s="325"/>
      <c r="X792" s="325" t="s">
        <v>4881</v>
      </c>
      <c r="Y792" s="351" t="s">
        <v>5852</v>
      </c>
      <c r="Z792" s="325" t="s">
        <v>5853</v>
      </c>
      <c r="AA792" s="325" t="s">
        <v>3993</v>
      </c>
      <c r="AB792" s="325"/>
      <c r="AC792" s="287">
        <v>1</v>
      </c>
      <c r="AD792" s="287">
        <v>1</v>
      </c>
      <c r="AE792" s="325"/>
      <c r="AF792" s="325"/>
      <c r="AG792" s="262">
        <v>8010101</v>
      </c>
    </row>
    <row r="793" spans="1:33" x14ac:dyDescent="0.15">
      <c r="A793" s="323">
        <v>98010102</v>
      </c>
      <c r="B793" s="348" t="s">
        <v>5854</v>
      </c>
      <c r="C793" s="349" t="s">
        <v>4874</v>
      </c>
      <c r="D793" s="324">
        <v>8201</v>
      </c>
      <c r="E793" s="325" t="s">
        <v>4876</v>
      </c>
      <c r="F793" s="325" t="s">
        <v>5672</v>
      </c>
      <c r="G793" s="325">
        <v>6</v>
      </c>
      <c r="H793" s="325">
        <v>0</v>
      </c>
      <c r="I793" s="325">
        <v>34</v>
      </c>
      <c r="J793" s="327" t="s">
        <v>5855</v>
      </c>
      <c r="K793" s="328"/>
      <c r="L793" s="328"/>
      <c r="M793" s="325">
        <v>99</v>
      </c>
      <c r="N793" s="325" t="b">
        <v>1</v>
      </c>
      <c r="O793" s="265">
        <v>7</v>
      </c>
      <c r="P793" s="281">
        <v>105</v>
      </c>
      <c r="Q793" s="281">
        <v>140</v>
      </c>
      <c r="R793" s="325" t="s">
        <v>3383</v>
      </c>
      <c r="S793" s="325"/>
      <c r="T793" s="268">
        <v>1</v>
      </c>
      <c r="U793" s="325" t="s">
        <v>4880</v>
      </c>
      <c r="V793" s="325">
        <v>0</v>
      </c>
      <c r="W793" s="325"/>
      <c r="X793" s="325" t="s">
        <v>4881</v>
      </c>
      <c r="Y793" s="351" t="s">
        <v>5856</v>
      </c>
      <c r="Z793" s="325" t="s">
        <v>5857</v>
      </c>
      <c r="AA793" s="325" t="s">
        <v>3993</v>
      </c>
      <c r="AB793" s="325"/>
      <c r="AC793" s="287">
        <v>1</v>
      </c>
      <c r="AD793" s="287">
        <v>1</v>
      </c>
      <c r="AE793" s="325"/>
      <c r="AF793" s="325"/>
      <c r="AG793" s="262">
        <v>8010102</v>
      </c>
    </row>
    <row r="794" spans="1:33" x14ac:dyDescent="0.15">
      <c r="A794" s="326">
        <v>98010103</v>
      </c>
      <c r="B794" s="348" t="s">
        <v>5858</v>
      </c>
      <c r="C794" s="349" t="s">
        <v>4874</v>
      </c>
      <c r="D794" s="324">
        <v>8201</v>
      </c>
      <c r="E794" s="325" t="s">
        <v>4876</v>
      </c>
      <c r="F794" s="325" t="s">
        <v>5672</v>
      </c>
      <c r="G794" s="325">
        <v>6</v>
      </c>
      <c r="H794" s="325">
        <v>0</v>
      </c>
      <c r="I794" s="325">
        <v>34</v>
      </c>
      <c r="J794" s="327" t="s">
        <v>5859</v>
      </c>
      <c r="K794" s="328"/>
      <c r="L794" s="328"/>
      <c r="M794" s="325">
        <v>99</v>
      </c>
      <c r="N794" s="325" t="b">
        <v>1</v>
      </c>
      <c r="O794" s="265">
        <v>7</v>
      </c>
      <c r="P794" s="281">
        <v>105</v>
      </c>
      <c r="Q794" s="281">
        <v>140</v>
      </c>
      <c r="R794" s="325" t="s">
        <v>3383</v>
      </c>
      <c r="S794" s="325"/>
      <c r="T794" s="268">
        <v>1</v>
      </c>
      <c r="U794" s="325" t="s">
        <v>4880</v>
      </c>
      <c r="V794" s="325">
        <v>0</v>
      </c>
      <c r="W794" s="325"/>
      <c r="X794" s="325" t="s">
        <v>4881</v>
      </c>
      <c r="Y794" s="351" t="s">
        <v>5860</v>
      </c>
      <c r="Z794" s="325" t="s">
        <v>5861</v>
      </c>
      <c r="AA794" s="325" t="s">
        <v>3993</v>
      </c>
      <c r="AB794" s="325"/>
      <c r="AC794" s="287">
        <v>1</v>
      </c>
      <c r="AD794" s="287">
        <v>1</v>
      </c>
      <c r="AE794" s="325"/>
      <c r="AF794" s="325"/>
      <c r="AG794" s="262">
        <v>8010103</v>
      </c>
    </row>
    <row r="795" spans="1:33" x14ac:dyDescent="0.15">
      <c r="A795" s="323">
        <v>98100101</v>
      </c>
      <c r="B795" s="348" t="s">
        <v>5862</v>
      </c>
      <c r="C795" s="349" t="s">
        <v>5060</v>
      </c>
      <c r="D795" s="324">
        <v>8201</v>
      </c>
      <c r="E795" s="325" t="s">
        <v>4876</v>
      </c>
      <c r="F795" s="325" t="s">
        <v>5672</v>
      </c>
      <c r="G795" s="325">
        <v>6</v>
      </c>
      <c r="H795" s="325">
        <v>0</v>
      </c>
      <c r="I795" s="325">
        <v>34</v>
      </c>
      <c r="J795" s="327" t="s">
        <v>5863</v>
      </c>
      <c r="K795" s="328"/>
      <c r="L795" s="328"/>
      <c r="M795" s="325">
        <v>99</v>
      </c>
      <c r="N795" s="325" t="b">
        <v>1</v>
      </c>
      <c r="O795" s="265">
        <v>7</v>
      </c>
      <c r="P795" s="281">
        <v>105</v>
      </c>
      <c r="Q795" s="281">
        <v>140</v>
      </c>
      <c r="R795" s="325" t="s">
        <v>3383</v>
      </c>
      <c r="S795" s="325"/>
      <c r="T795" s="268">
        <v>1</v>
      </c>
      <c r="U795" s="325" t="s">
        <v>4880</v>
      </c>
      <c r="V795" s="325">
        <v>0</v>
      </c>
      <c r="W795" s="325"/>
      <c r="X795" s="325" t="s">
        <v>4881</v>
      </c>
      <c r="Y795" s="351" t="s">
        <v>5864</v>
      </c>
      <c r="Z795" s="325" t="s">
        <v>5865</v>
      </c>
      <c r="AA795" s="325" t="s">
        <v>3993</v>
      </c>
      <c r="AB795" s="325"/>
      <c r="AC795" s="287">
        <v>1</v>
      </c>
      <c r="AD795" s="287">
        <v>1</v>
      </c>
      <c r="AE795" s="325"/>
      <c r="AF795" s="325"/>
      <c r="AG795" s="262">
        <v>8100101</v>
      </c>
    </row>
    <row r="796" spans="1:33" x14ac:dyDescent="0.15">
      <c r="A796" s="326">
        <v>98100102</v>
      </c>
      <c r="B796" s="348" t="s">
        <v>5866</v>
      </c>
      <c r="C796" s="349" t="s">
        <v>5060</v>
      </c>
      <c r="D796" s="324">
        <v>8201</v>
      </c>
      <c r="E796" s="325" t="s">
        <v>4876</v>
      </c>
      <c r="F796" s="325" t="s">
        <v>5672</v>
      </c>
      <c r="G796" s="325">
        <v>6</v>
      </c>
      <c r="H796" s="325">
        <v>0</v>
      </c>
      <c r="I796" s="325">
        <v>34</v>
      </c>
      <c r="J796" s="327" t="s">
        <v>5867</v>
      </c>
      <c r="K796" s="328"/>
      <c r="L796" s="328"/>
      <c r="M796" s="325">
        <v>99</v>
      </c>
      <c r="N796" s="325" t="b">
        <v>1</v>
      </c>
      <c r="O796" s="265">
        <v>7</v>
      </c>
      <c r="P796" s="281">
        <v>105</v>
      </c>
      <c r="Q796" s="281">
        <v>140</v>
      </c>
      <c r="R796" s="325" t="s">
        <v>3383</v>
      </c>
      <c r="S796" s="325"/>
      <c r="T796" s="268">
        <v>1</v>
      </c>
      <c r="U796" s="325" t="s">
        <v>4880</v>
      </c>
      <c r="V796" s="325">
        <v>0</v>
      </c>
      <c r="W796" s="325"/>
      <c r="X796" s="325" t="s">
        <v>4881</v>
      </c>
      <c r="Y796" s="351" t="s">
        <v>5868</v>
      </c>
      <c r="Z796" s="325" t="s">
        <v>5869</v>
      </c>
      <c r="AA796" s="325" t="s">
        <v>3993</v>
      </c>
      <c r="AB796" s="325"/>
      <c r="AC796" s="287">
        <v>1</v>
      </c>
      <c r="AD796" s="287">
        <v>1</v>
      </c>
      <c r="AE796" s="325"/>
      <c r="AF796" s="325"/>
      <c r="AG796" s="262">
        <v>8100102</v>
      </c>
    </row>
    <row r="797" spans="1:33" x14ac:dyDescent="0.15">
      <c r="A797" s="323">
        <v>98100103</v>
      </c>
      <c r="B797" s="348" t="s">
        <v>5870</v>
      </c>
      <c r="C797" s="349" t="s">
        <v>5060</v>
      </c>
      <c r="D797" s="324">
        <v>8202</v>
      </c>
      <c r="E797" s="325" t="s">
        <v>4876</v>
      </c>
      <c r="F797" s="325" t="s">
        <v>5672</v>
      </c>
      <c r="G797" s="325">
        <v>6</v>
      </c>
      <c r="H797" s="325">
        <v>0</v>
      </c>
      <c r="I797" s="325">
        <v>34</v>
      </c>
      <c r="J797" s="327" t="s">
        <v>5871</v>
      </c>
      <c r="K797" s="328"/>
      <c r="L797" s="328"/>
      <c r="M797" s="325">
        <v>99</v>
      </c>
      <c r="N797" s="325" t="b">
        <v>1</v>
      </c>
      <c r="O797" s="265">
        <v>7</v>
      </c>
      <c r="P797" s="281">
        <v>105</v>
      </c>
      <c r="Q797" s="281">
        <v>140</v>
      </c>
      <c r="R797" s="325" t="s">
        <v>3383</v>
      </c>
      <c r="S797" s="325"/>
      <c r="T797" s="268">
        <v>1</v>
      </c>
      <c r="U797" s="325" t="s">
        <v>4880</v>
      </c>
      <c r="V797" s="325">
        <v>0</v>
      </c>
      <c r="W797" s="325"/>
      <c r="X797" s="325" t="s">
        <v>4881</v>
      </c>
      <c r="Y797" s="351" t="s">
        <v>5872</v>
      </c>
      <c r="Z797" s="325" t="s">
        <v>5873</v>
      </c>
      <c r="AA797" s="325" t="s">
        <v>3993</v>
      </c>
      <c r="AB797" s="325"/>
      <c r="AC797" s="287">
        <v>1</v>
      </c>
      <c r="AD797" s="287">
        <v>1</v>
      </c>
      <c r="AE797" s="325"/>
      <c r="AF797" s="325"/>
      <c r="AG797" s="262">
        <v>8100103</v>
      </c>
    </row>
    <row r="798" spans="1:33" x14ac:dyDescent="0.15">
      <c r="A798" s="326">
        <v>98100104</v>
      </c>
      <c r="B798" s="348" t="s">
        <v>5874</v>
      </c>
      <c r="C798" s="349" t="s">
        <v>5060</v>
      </c>
      <c r="D798" s="324">
        <v>8202</v>
      </c>
      <c r="E798" s="325" t="s">
        <v>4876</v>
      </c>
      <c r="F798" s="325" t="s">
        <v>5672</v>
      </c>
      <c r="G798" s="325">
        <v>6</v>
      </c>
      <c r="H798" s="325">
        <v>0</v>
      </c>
      <c r="I798" s="325">
        <v>34</v>
      </c>
      <c r="J798" s="327" t="s">
        <v>5875</v>
      </c>
      <c r="K798" s="328"/>
      <c r="L798" s="328"/>
      <c r="M798" s="325">
        <v>99</v>
      </c>
      <c r="N798" s="325" t="b">
        <v>1</v>
      </c>
      <c r="O798" s="265">
        <v>7</v>
      </c>
      <c r="P798" s="281">
        <v>105</v>
      </c>
      <c r="Q798" s="281">
        <v>140</v>
      </c>
      <c r="R798" s="325" t="s">
        <v>3383</v>
      </c>
      <c r="S798" s="325"/>
      <c r="T798" s="268">
        <v>1</v>
      </c>
      <c r="U798" s="325" t="s">
        <v>4880</v>
      </c>
      <c r="V798" s="325">
        <v>0</v>
      </c>
      <c r="W798" s="325"/>
      <c r="X798" s="325" t="s">
        <v>4881</v>
      </c>
      <c r="Y798" s="351" t="s">
        <v>5876</v>
      </c>
      <c r="Z798" s="325" t="s">
        <v>5877</v>
      </c>
      <c r="AA798" s="325" t="s">
        <v>3993</v>
      </c>
      <c r="AB798" s="325"/>
      <c r="AC798" s="287">
        <v>1</v>
      </c>
      <c r="AD798" s="287">
        <v>1</v>
      </c>
      <c r="AE798" s="325"/>
      <c r="AF798" s="325"/>
      <c r="AG798" s="262">
        <v>8100104</v>
      </c>
    </row>
    <row r="799" spans="1:33" x14ac:dyDescent="0.15">
      <c r="A799" s="323">
        <v>98040201</v>
      </c>
      <c r="B799" s="348" t="s">
        <v>5878</v>
      </c>
      <c r="C799" s="349" t="s">
        <v>4986</v>
      </c>
      <c r="D799" s="324">
        <v>8202</v>
      </c>
      <c r="E799" s="325" t="s">
        <v>4876</v>
      </c>
      <c r="F799" s="325" t="s">
        <v>5672</v>
      </c>
      <c r="G799" s="325">
        <v>6</v>
      </c>
      <c r="H799" s="325">
        <v>0</v>
      </c>
      <c r="I799" s="325">
        <v>34</v>
      </c>
      <c r="J799" s="327" t="s">
        <v>5879</v>
      </c>
      <c r="K799" s="328"/>
      <c r="L799" s="328"/>
      <c r="M799" s="325">
        <v>99</v>
      </c>
      <c r="N799" s="325" t="b">
        <v>1</v>
      </c>
      <c r="O799" s="265">
        <v>7</v>
      </c>
      <c r="P799" s="281">
        <v>105</v>
      </c>
      <c r="Q799" s="281">
        <v>140</v>
      </c>
      <c r="R799" s="325" t="s">
        <v>3383</v>
      </c>
      <c r="S799" s="325"/>
      <c r="T799" s="268">
        <v>1</v>
      </c>
      <c r="U799" s="325" t="s">
        <v>4880</v>
      </c>
      <c r="V799" s="325">
        <v>0</v>
      </c>
      <c r="W799" s="325"/>
      <c r="X799" s="325" t="s">
        <v>4881</v>
      </c>
      <c r="Y799" s="351" t="s">
        <v>5880</v>
      </c>
      <c r="Z799" s="325" t="s">
        <v>5881</v>
      </c>
      <c r="AA799" s="325" t="s">
        <v>3993</v>
      </c>
      <c r="AB799" s="325"/>
      <c r="AC799" s="287">
        <v>1</v>
      </c>
      <c r="AD799" s="287">
        <v>1</v>
      </c>
      <c r="AE799" s="325"/>
      <c r="AF799" s="325"/>
      <c r="AG799" s="262">
        <v>8040201</v>
      </c>
    </row>
    <row r="800" spans="1:33" x14ac:dyDescent="0.15">
      <c r="A800" s="326">
        <v>98040202</v>
      </c>
      <c r="B800" s="348" t="s">
        <v>5882</v>
      </c>
      <c r="C800" s="349" t="s">
        <v>4986</v>
      </c>
      <c r="D800" s="324">
        <v>8202</v>
      </c>
      <c r="E800" s="325" t="s">
        <v>4876</v>
      </c>
      <c r="F800" s="325" t="s">
        <v>5672</v>
      </c>
      <c r="G800" s="325">
        <v>6</v>
      </c>
      <c r="H800" s="325">
        <v>0</v>
      </c>
      <c r="I800" s="325">
        <v>34</v>
      </c>
      <c r="J800" s="327" t="s">
        <v>5883</v>
      </c>
      <c r="K800" s="328"/>
      <c r="L800" s="328"/>
      <c r="M800" s="325">
        <v>99</v>
      </c>
      <c r="N800" s="325" t="b">
        <v>1</v>
      </c>
      <c r="O800" s="265">
        <v>7</v>
      </c>
      <c r="P800" s="281">
        <v>105</v>
      </c>
      <c r="Q800" s="281">
        <v>140</v>
      </c>
      <c r="R800" s="325" t="s">
        <v>3383</v>
      </c>
      <c r="S800" s="325"/>
      <c r="T800" s="268">
        <v>1</v>
      </c>
      <c r="U800" s="325" t="s">
        <v>4880</v>
      </c>
      <c r="V800" s="325">
        <v>0</v>
      </c>
      <c r="W800" s="325"/>
      <c r="X800" s="325" t="s">
        <v>4881</v>
      </c>
      <c r="Y800" s="351" t="s">
        <v>5884</v>
      </c>
      <c r="Z800" s="325" t="s">
        <v>5885</v>
      </c>
      <c r="AA800" s="325" t="s">
        <v>3993</v>
      </c>
      <c r="AB800" s="325"/>
      <c r="AC800" s="287">
        <v>1</v>
      </c>
      <c r="AD800" s="287">
        <v>1</v>
      </c>
      <c r="AE800" s="325"/>
      <c r="AF800" s="325"/>
      <c r="AG800" s="262">
        <v>8040202</v>
      </c>
    </row>
    <row r="801" spans="1:33" x14ac:dyDescent="0.15">
      <c r="A801" s="323">
        <v>98040203</v>
      </c>
      <c r="B801" s="348" t="s">
        <v>5886</v>
      </c>
      <c r="C801" s="349" t="s">
        <v>4986</v>
      </c>
      <c r="D801" s="324">
        <v>8201</v>
      </c>
      <c r="E801" s="325" t="s">
        <v>4876</v>
      </c>
      <c r="F801" s="325" t="s">
        <v>5672</v>
      </c>
      <c r="G801" s="325">
        <v>6</v>
      </c>
      <c r="H801" s="325">
        <v>0</v>
      </c>
      <c r="I801" s="325">
        <v>34</v>
      </c>
      <c r="J801" s="327" t="s">
        <v>5887</v>
      </c>
      <c r="K801" s="328"/>
      <c r="L801" s="328"/>
      <c r="M801" s="325">
        <v>99</v>
      </c>
      <c r="N801" s="325" t="b">
        <v>1</v>
      </c>
      <c r="O801" s="265">
        <v>7</v>
      </c>
      <c r="P801" s="281">
        <v>105</v>
      </c>
      <c r="Q801" s="281">
        <v>140</v>
      </c>
      <c r="R801" s="325" t="s">
        <v>3383</v>
      </c>
      <c r="S801" s="325"/>
      <c r="T801" s="268">
        <v>1</v>
      </c>
      <c r="U801" s="325" t="s">
        <v>4880</v>
      </c>
      <c r="V801" s="325">
        <v>0</v>
      </c>
      <c r="W801" s="325"/>
      <c r="X801" s="325" t="s">
        <v>4881</v>
      </c>
      <c r="Y801" s="351" t="s">
        <v>5888</v>
      </c>
      <c r="Z801" s="325" t="s">
        <v>5889</v>
      </c>
      <c r="AA801" s="325" t="s">
        <v>3993</v>
      </c>
      <c r="AB801" s="325"/>
      <c r="AC801" s="287">
        <v>1</v>
      </c>
      <c r="AD801" s="287">
        <v>1</v>
      </c>
      <c r="AE801" s="325"/>
      <c r="AF801" s="325"/>
      <c r="AG801" s="262">
        <v>8040203</v>
      </c>
    </row>
    <row r="802" spans="1:33" x14ac:dyDescent="0.15">
      <c r="A802" s="326">
        <v>98040204</v>
      </c>
      <c r="B802" s="348" t="s">
        <v>5890</v>
      </c>
      <c r="C802" s="349" t="s">
        <v>4986</v>
      </c>
      <c r="D802" s="324">
        <v>8201</v>
      </c>
      <c r="E802" s="325" t="s">
        <v>4876</v>
      </c>
      <c r="F802" s="325" t="s">
        <v>5672</v>
      </c>
      <c r="G802" s="325">
        <v>6</v>
      </c>
      <c r="H802" s="325">
        <v>0</v>
      </c>
      <c r="I802" s="325">
        <v>34</v>
      </c>
      <c r="J802" s="327" t="s">
        <v>5891</v>
      </c>
      <c r="K802" s="328"/>
      <c r="L802" s="328"/>
      <c r="M802" s="325">
        <v>99</v>
      </c>
      <c r="N802" s="325" t="b">
        <v>1</v>
      </c>
      <c r="O802" s="265">
        <v>7</v>
      </c>
      <c r="P802" s="281">
        <v>105</v>
      </c>
      <c r="Q802" s="281">
        <v>140</v>
      </c>
      <c r="R802" s="325" t="s">
        <v>3383</v>
      </c>
      <c r="S802" s="325"/>
      <c r="T802" s="268">
        <v>1</v>
      </c>
      <c r="U802" s="325" t="s">
        <v>4880</v>
      </c>
      <c r="V802" s="325">
        <v>0</v>
      </c>
      <c r="W802" s="325"/>
      <c r="X802" s="325" t="s">
        <v>4881</v>
      </c>
      <c r="Y802" s="351" t="s">
        <v>5892</v>
      </c>
      <c r="Z802" s="325" t="s">
        <v>5893</v>
      </c>
      <c r="AA802" s="325" t="s">
        <v>3993</v>
      </c>
      <c r="AB802" s="325"/>
      <c r="AC802" s="287">
        <v>1</v>
      </c>
      <c r="AD802" s="287">
        <v>1</v>
      </c>
      <c r="AE802" s="325"/>
      <c r="AF802" s="325"/>
      <c r="AG802" s="262">
        <v>8040204</v>
      </c>
    </row>
    <row r="803" spans="1:33" x14ac:dyDescent="0.15">
      <c r="A803" s="323">
        <v>98030101</v>
      </c>
      <c r="B803" s="348" t="s">
        <v>5894</v>
      </c>
      <c r="C803" s="349" t="s">
        <v>4964</v>
      </c>
      <c r="D803" s="324">
        <v>8201</v>
      </c>
      <c r="E803" s="325" t="s">
        <v>4876</v>
      </c>
      <c r="F803" s="325" t="s">
        <v>5672</v>
      </c>
      <c r="G803" s="325">
        <v>6</v>
      </c>
      <c r="H803" s="325">
        <v>0</v>
      </c>
      <c r="I803" s="325">
        <v>34</v>
      </c>
      <c r="J803" s="327" t="s">
        <v>5895</v>
      </c>
      <c r="K803" s="328"/>
      <c r="L803" s="328"/>
      <c r="M803" s="325">
        <v>99</v>
      </c>
      <c r="N803" s="325" t="b">
        <v>1</v>
      </c>
      <c r="O803" s="265">
        <v>7</v>
      </c>
      <c r="P803" s="281">
        <v>105</v>
      </c>
      <c r="Q803" s="281">
        <v>140</v>
      </c>
      <c r="R803" s="325" t="s">
        <v>3383</v>
      </c>
      <c r="S803" s="325"/>
      <c r="T803" s="268">
        <v>1</v>
      </c>
      <c r="U803" s="325" t="s">
        <v>4880</v>
      </c>
      <c r="V803" s="325">
        <v>0</v>
      </c>
      <c r="W803" s="325"/>
      <c r="X803" s="325" t="s">
        <v>4881</v>
      </c>
      <c r="Y803" s="351" t="s">
        <v>5896</v>
      </c>
      <c r="Z803" s="325" t="s">
        <v>5897</v>
      </c>
      <c r="AA803" s="325" t="s">
        <v>3993</v>
      </c>
      <c r="AB803" s="325"/>
      <c r="AC803" s="287">
        <v>1</v>
      </c>
      <c r="AD803" s="287">
        <v>1</v>
      </c>
      <c r="AE803" s="325"/>
      <c r="AF803" s="325"/>
      <c r="AG803" s="262">
        <v>8030101</v>
      </c>
    </row>
    <row r="804" spans="1:33" x14ac:dyDescent="0.15">
      <c r="A804" s="326">
        <v>98030102</v>
      </c>
      <c r="B804" s="348" t="s">
        <v>5898</v>
      </c>
      <c r="C804" s="349" t="s">
        <v>4964</v>
      </c>
      <c r="D804" s="324">
        <v>8202</v>
      </c>
      <c r="E804" s="325" t="s">
        <v>4876</v>
      </c>
      <c r="F804" s="325" t="s">
        <v>5672</v>
      </c>
      <c r="G804" s="325">
        <v>6</v>
      </c>
      <c r="H804" s="325">
        <v>0</v>
      </c>
      <c r="I804" s="325">
        <v>34</v>
      </c>
      <c r="J804" s="327" t="s">
        <v>5899</v>
      </c>
      <c r="K804" s="328"/>
      <c r="L804" s="328"/>
      <c r="M804" s="325">
        <v>99</v>
      </c>
      <c r="N804" s="325" t="b">
        <v>1</v>
      </c>
      <c r="O804" s="265">
        <v>7</v>
      </c>
      <c r="P804" s="281">
        <v>105</v>
      </c>
      <c r="Q804" s="281">
        <v>140</v>
      </c>
      <c r="R804" s="325" t="s">
        <v>3383</v>
      </c>
      <c r="S804" s="325"/>
      <c r="T804" s="268">
        <v>1</v>
      </c>
      <c r="U804" s="325" t="s">
        <v>4880</v>
      </c>
      <c r="V804" s="325">
        <v>0</v>
      </c>
      <c r="W804" s="325"/>
      <c r="X804" s="325" t="s">
        <v>4881</v>
      </c>
      <c r="Y804" s="351" t="s">
        <v>5900</v>
      </c>
      <c r="Z804" s="325" t="s">
        <v>5901</v>
      </c>
      <c r="AA804" s="325" t="s">
        <v>3993</v>
      </c>
      <c r="AB804" s="325"/>
      <c r="AC804" s="287">
        <v>1</v>
      </c>
      <c r="AD804" s="287">
        <v>1</v>
      </c>
      <c r="AE804" s="325"/>
      <c r="AF804" s="325"/>
      <c r="AG804" s="262">
        <v>8030102</v>
      </c>
    </row>
    <row r="805" spans="1:33" x14ac:dyDescent="0.15">
      <c r="A805" s="323">
        <v>98030103</v>
      </c>
      <c r="B805" s="348" t="s">
        <v>5902</v>
      </c>
      <c r="C805" s="349" t="s">
        <v>4964</v>
      </c>
      <c r="D805" s="324">
        <v>8202</v>
      </c>
      <c r="E805" s="325" t="s">
        <v>4876</v>
      </c>
      <c r="F805" s="325" t="s">
        <v>5672</v>
      </c>
      <c r="G805" s="325">
        <v>6</v>
      </c>
      <c r="H805" s="325">
        <v>0</v>
      </c>
      <c r="I805" s="325">
        <v>34</v>
      </c>
      <c r="J805" s="327" t="s">
        <v>5903</v>
      </c>
      <c r="K805" s="328"/>
      <c r="L805" s="328"/>
      <c r="M805" s="325">
        <v>99</v>
      </c>
      <c r="N805" s="325" t="b">
        <v>1</v>
      </c>
      <c r="O805" s="265">
        <v>7</v>
      </c>
      <c r="P805" s="281">
        <v>105</v>
      </c>
      <c r="Q805" s="281">
        <v>140</v>
      </c>
      <c r="R805" s="325" t="s">
        <v>3383</v>
      </c>
      <c r="S805" s="325"/>
      <c r="T805" s="268">
        <v>1</v>
      </c>
      <c r="U805" s="325" t="s">
        <v>4880</v>
      </c>
      <c r="V805" s="325">
        <v>0</v>
      </c>
      <c r="W805" s="325"/>
      <c r="X805" s="325" t="s">
        <v>4881</v>
      </c>
      <c r="Y805" s="351" t="s">
        <v>5904</v>
      </c>
      <c r="Z805" s="325" t="s">
        <v>5905</v>
      </c>
      <c r="AA805" s="325" t="s">
        <v>3993</v>
      </c>
      <c r="AB805" s="325"/>
      <c r="AC805" s="287">
        <v>1</v>
      </c>
      <c r="AD805" s="287">
        <v>1</v>
      </c>
      <c r="AE805" s="325"/>
      <c r="AF805" s="325"/>
      <c r="AG805" s="262">
        <v>8030103</v>
      </c>
    </row>
    <row r="806" spans="1:33" x14ac:dyDescent="0.15">
      <c r="A806" s="326">
        <v>98030104</v>
      </c>
      <c r="B806" s="348" t="s">
        <v>5906</v>
      </c>
      <c r="C806" s="349" t="s">
        <v>4964</v>
      </c>
      <c r="D806" s="324">
        <v>8202</v>
      </c>
      <c r="E806" s="325" t="s">
        <v>4876</v>
      </c>
      <c r="F806" s="325" t="s">
        <v>5672</v>
      </c>
      <c r="G806" s="325">
        <v>6</v>
      </c>
      <c r="H806" s="325">
        <v>0</v>
      </c>
      <c r="I806" s="325">
        <v>34</v>
      </c>
      <c r="J806" s="327" t="s">
        <v>5907</v>
      </c>
      <c r="K806" s="328"/>
      <c r="L806" s="328"/>
      <c r="M806" s="325">
        <v>99</v>
      </c>
      <c r="N806" s="325" t="b">
        <v>1</v>
      </c>
      <c r="O806" s="265">
        <v>7</v>
      </c>
      <c r="P806" s="281">
        <v>105</v>
      </c>
      <c r="Q806" s="281">
        <v>140</v>
      </c>
      <c r="R806" s="325" t="s">
        <v>3383</v>
      </c>
      <c r="S806" s="325"/>
      <c r="T806" s="268">
        <v>1</v>
      </c>
      <c r="U806" s="325" t="s">
        <v>4880</v>
      </c>
      <c r="V806" s="325">
        <v>0</v>
      </c>
      <c r="W806" s="325"/>
      <c r="X806" s="325" t="s">
        <v>4881</v>
      </c>
      <c r="Y806" s="351" t="s">
        <v>5908</v>
      </c>
      <c r="Z806" s="325" t="s">
        <v>5909</v>
      </c>
      <c r="AA806" s="325" t="s">
        <v>3993</v>
      </c>
      <c r="AB806" s="325"/>
      <c r="AC806" s="287">
        <v>1</v>
      </c>
      <c r="AD806" s="287">
        <v>1</v>
      </c>
      <c r="AE806" s="325"/>
      <c r="AF806" s="325"/>
      <c r="AG806" s="262">
        <v>8030104</v>
      </c>
    </row>
    <row r="807" spans="1:33" x14ac:dyDescent="0.15">
      <c r="A807" s="323">
        <v>98030105</v>
      </c>
      <c r="B807" s="348" t="s">
        <v>5910</v>
      </c>
      <c r="C807" s="349" t="s">
        <v>4964</v>
      </c>
      <c r="D807" s="324">
        <v>8202</v>
      </c>
      <c r="E807" s="325" t="s">
        <v>4876</v>
      </c>
      <c r="F807" s="325" t="s">
        <v>5672</v>
      </c>
      <c r="G807" s="325">
        <v>6</v>
      </c>
      <c r="H807" s="325">
        <v>0</v>
      </c>
      <c r="I807" s="325">
        <v>34</v>
      </c>
      <c r="J807" s="327" t="s">
        <v>5911</v>
      </c>
      <c r="K807" s="328"/>
      <c r="L807" s="328"/>
      <c r="M807" s="325">
        <v>99</v>
      </c>
      <c r="N807" s="325" t="b">
        <v>1</v>
      </c>
      <c r="O807" s="265">
        <v>7</v>
      </c>
      <c r="P807" s="281">
        <v>105</v>
      </c>
      <c r="Q807" s="281">
        <v>140</v>
      </c>
      <c r="R807" s="325" t="s">
        <v>3383</v>
      </c>
      <c r="S807" s="325"/>
      <c r="T807" s="268">
        <v>1</v>
      </c>
      <c r="U807" s="325" t="s">
        <v>4880</v>
      </c>
      <c r="V807" s="325">
        <v>0</v>
      </c>
      <c r="W807" s="325"/>
      <c r="X807" s="325" t="s">
        <v>4881</v>
      </c>
      <c r="Y807" s="351" t="s">
        <v>5912</v>
      </c>
      <c r="Z807" s="325" t="s">
        <v>5913</v>
      </c>
      <c r="AA807" s="325" t="s">
        <v>3993</v>
      </c>
      <c r="AB807" s="325"/>
      <c r="AC807" s="287">
        <v>1</v>
      </c>
      <c r="AD807" s="287">
        <v>1</v>
      </c>
      <c r="AE807" s="325"/>
      <c r="AF807" s="325"/>
      <c r="AG807" s="262">
        <v>8030105</v>
      </c>
    </row>
    <row r="808" spans="1:33" x14ac:dyDescent="0.15">
      <c r="A808" s="326">
        <v>98040301</v>
      </c>
      <c r="B808" s="348" t="s">
        <v>5914</v>
      </c>
      <c r="C808" s="349" t="s">
        <v>4994</v>
      </c>
      <c r="D808" s="324">
        <v>8201</v>
      </c>
      <c r="E808" s="325" t="s">
        <v>4876</v>
      </c>
      <c r="F808" s="325" t="s">
        <v>5672</v>
      </c>
      <c r="G808" s="325">
        <v>6</v>
      </c>
      <c r="H808" s="325">
        <v>0</v>
      </c>
      <c r="I808" s="325">
        <v>34</v>
      </c>
      <c r="J808" s="327" t="s">
        <v>5915</v>
      </c>
      <c r="K808" s="328"/>
      <c r="L808" s="328"/>
      <c r="M808" s="325">
        <v>99</v>
      </c>
      <c r="N808" s="325" t="b">
        <v>1</v>
      </c>
      <c r="O808" s="265">
        <v>7</v>
      </c>
      <c r="P808" s="281">
        <v>105</v>
      </c>
      <c r="Q808" s="281">
        <v>140</v>
      </c>
      <c r="R808" s="325" t="s">
        <v>3383</v>
      </c>
      <c r="S808" s="325"/>
      <c r="T808" s="268">
        <v>1</v>
      </c>
      <c r="U808" s="325" t="s">
        <v>4880</v>
      </c>
      <c r="V808" s="325">
        <v>0</v>
      </c>
      <c r="W808" s="325"/>
      <c r="X808" s="325" t="s">
        <v>4881</v>
      </c>
      <c r="Y808" s="351" t="s">
        <v>5916</v>
      </c>
      <c r="Z808" s="325" t="s">
        <v>5917</v>
      </c>
      <c r="AA808" s="325" t="s">
        <v>3993</v>
      </c>
      <c r="AB808" s="325"/>
      <c r="AC808" s="287">
        <v>1</v>
      </c>
      <c r="AD808" s="287">
        <v>1</v>
      </c>
      <c r="AE808" s="325"/>
      <c r="AF808" s="325"/>
      <c r="AG808" s="262">
        <v>8040301</v>
      </c>
    </row>
    <row r="809" spans="1:33" x14ac:dyDescent="0.15">
      <c r="A809" s="323">
        <v>98040302</v>
      </c>
      <c r="B809" s="348" t="s">
        <v>5918</v>
      </c>
      <c r="C809" s="349" t="s">
        <v>4994</v>
      </c>
      <c r="D809" s="324">
        <v>8201</v>
      </c>
      <c r="E809" s="325" t="s">
        <v>4876</v>
      </c>
      <c r="F809" s="325" t="s">
        <v>5672</v>
      </c>
      <c r="G809" s="325">
        <v>6</v>
      </c>
      <c r="H809" s="325">
        <v>0</v>
      </c>
      <c r="I809" s="325">
        <v>34</v>
      </c>
      <c r="J809" s="327" t="s">
        <v>5919</v>
      </c>
      <c r="K809" s="328"/>
      <c r="L809" s="328"/>
      <c r="M809" s="325">
        <v>99</v>
      </c>
      <c r="N809" s="325" t="b">
        <v>1</v>
      </c>
      <c r="O809" s="265">
        <v>7</v>
      </c>
      <c r="P809" s="281">
        <v>105</v>
      </c>
      <c r="Q809" s="281">
        <v>140</v>
      </c>
      <c r="R809" s="325" t="s">
        <v>3383</v>
      </c>
      <c r="S809" s="325"/>
      <c r="T809" s="268">
        <v>1</v>
      </c>
      <c r="U809" s="325" t="s">
        <v>4880</v>
      </c>
      <c r="V809" s="325">
        <v>0</v>
      </c>
      <c r="W809" s="325"/>
      <c r="X809" s="325" t="s">
        <v>4881</v>
      </c>
      <c r="Y809" s="351" t="s">
        <v>5920</v>
      </c>
      <c r="Z809" s="325" t="s">
        <v>5921</v>
      </c>
      <c r="AA809" s="325" t="s">
        <v>3993</v>
      </c>
      <c r="AB809" s="325"/>
      <c r="AC809" s="287">
        <v>1</v>
      </c>
      <c r="AD809" s="287">
        <v>1</v>
      </c>
      <c r="AE809" s="325"/>
      <c r="AF809" s="325"/>
      <c r="AG809" s="262">
        <v>8040302</v>
      </c>
    </row>
    <row r="810" spans="1:33" x14ac:dyDescent="0.15">
      <c r="A810" s="326">
        <v>98040303</v>
      </c>
      <c r="B810" s="348" t="s">
        <v>5922</v>
      </c>
      <c r="C810" s="349" t="s">
        <v>4994</v>
      </c>
      <c r="D810" s="324">
        <v>8201</v>
      </c>
      <c r="E810" s="325" t="s">
        <v>4876</v>
      </c>
      <c r="F810" s="325" t="s">
        <v>5672</v>
      </c>
      <c r="G810" s="325">
        <v>6</v>
      </c>
      <c r="H810" s="325">
        <v>0</v>
      </c>
      <c r="I810" s="325">
        <v>34</v>
      </c>
      <c r="J810" s="327" t="s">
        <v>5923</v>
      </c>
      <c r="K810" s="328"/>
      <c r="L810" s="328"/>
      <c r="M810" s="325">
        <v>99</v>
      </c>
      <c r="N810" s="325" t="b">
        <v>1</v>
      </c>
      <c r="O810" s="265">
        <v>7</v>
      </c>
      <c r="P810" s="281">
        <v>105</v>
      </c>
      <c r="Q810" s="281">
        <v>140</v>
      </c>
      <c r="R810" s="325" t="s">
        <v>3383</v>
      </c>
      <c r="S810" s="325"/>
      <c r="T810" s="268">
        <v>1</v>
      </c>
      <c r="U810" s="325" t="s">
        <v>4880</v>
      </c>
      <c r="V810" s="325">
        <v>0</v>
      </c>
      <c r="W810" s="325"/>
      <c r="X810" s="325" t="s">
        <v>4881</v>
      </c>
      <c r="Y810" s="351" t="s">
        <v>5924</v>
      </c>
      <c r="Z810" s="325" t="s">
        <v>5925</v>
      </c>
      <c r="AA810" s="325" t="s">
        <v>3993</v>
      </c>
      <c r="AB810" s="325"/>
      <c r="AC810" s="287">
        <v>1</v>
      </c>
      <c r="AD810" s="287">
        <v>1</v>
      </c>
      <c r="AE810" s="325"/>
      <c r="AF810" s="325"/>
      <c r="AG810" s="262">
        <v>8040303</v>
      </c>
    </row>
    <row r="811" spans="1:33" x14ac:dyDescent="0.15">
      <c r="A811" s="323">
        <v>98040304</v>
      </c>
      <c r="B811" s="348" t="s">
        <v>5926</v>
      </c>
      <c r="C811" s="349" t="s">
        <v>4994</v>
      </c>
      <c r="D811" s="324">
        <v>8201</v>
      </c>
      <c r="E811" s="325" t="s">
        <v>4876</v>
      </c>
      <c r="F811" s="325" t="s">
        <v>5672</v>
      </c>
      <c r="G811" s="325">
        <v>6</v>
      </c>
      <c r="H811" s="325">
        <v>0</v>
      </c>
      <c r="I811" s="325">
        <v>34</v>
      </c>
      <c r="J811" s="327" t="s">
        <v>5927</v>
      </c>
      <c r="K811" s="328"/>
      <c r="L811" s="328"/>
      <c r="M811" s="325">
        <v>99</v>
      </c>
      <c r="N811" s="325" t="b">
        <v>1</v>
      </c>
      <c r="O811" s="265">
        <v>7</v>
      </c>
      <c r="P811" s="281">
        <v>105</v>
      </c>
      <c r="Q811" s="281">
        <v>140</v>
      </c>
      <c r="R811" s="325" t="s">
        <v>3383</v>
      </c>
      <c r="S811" s="325"/>
      <c r="T811" s="268">
        <v>1</v>
      </c>
      <c r="U811" s="325" t="s">
        <v>4880</v>
      </c>
      <c r="V811" s="325">
        <v>0</v>
      </c>
      <c r="W811" s="325"/>
      <c r="X811" s="325" t="s">
        <v>4881</v>
      </c>
      <c r="Y811" s="351" t="s">
        <v>5928</v>
      </c>
      <c r="Z811" s="325" t="s">
        <v>5929</v>
      </c>
      <c r="AA811" s="325" t="s">
        <v>3993</v>
      </c>
      <c r="AB811" s="325"/>
      <c r="AC811" s="287">
        <v>1</v>
      </c>
      <c r="AD811" s="287">
        <v>1</v>
      </c>
      <c r="AE811" s="325"/>
      <c r="AF811" s="325"/>
      <c r="AG811" s="262">
        <v>8040304</v>
      </c>
    </row>
    <row r="812" spans="1:33" x14ac:dyDescent="0.15">
      <c r="A812" s="326">
        <v>98040305</v>
      </c>
      <c r="B812" s="348" t="s">
        <v>5930</v>
      </c>
      <c r="C812" s="349" t="s">
        <v>4994</v>
      </c>
      <c r="D812" s="324">
        <v>8202</v>
      </c>
      <c r="E812" s="325" t="s">
        <v>4876</v>
      </c>
      <c r="F812" s="325" t="s">
        <v>5672</v>
      </c>
      <c r="G812" s="325">
        <v>6</v>
      </c>
      <c r="H812" s="325">
        <v>0</v>
      </c>
      <c r="I812" s="325">
        <v>34</v>
      </c>
      <c r="J812" s="327" t="s">
        <v>5931</v>
      </c>
      <c r="K812" s="328"/>
      <c r="L812" s="328"/>
      <c r="M812" s="325">
        <v>99</v>
      </c>
      <c r="N812" s="325" t="b">
        <v>1</v>
      </c>
      <c r="O812" s="265">
        <v>7</v>
      </c>
      <c r="P812" s="281">
        <v>105</v>
      </c>
      <c r="Q812" s="281">
        <v>140</v>
      </c>
      <c r="R812" s="325" t="s">
        <v>3383</v>
      </c>
      <c r="S812" s="325"/>
      <c r="T812" s="268">
        <v>1</v>
      </c>
      <c r="U812" s="325" t="s">
        <v>4880</v>
      </c>
      <c r="V812" s="325">
        <v>0</v>
      </c>
      <c r="W812" s="325"/>
      <c r="X812" s="325" t="s">
        <v>4881</v>
      </c>
      <c r="Y812" s="351" t="s">
        <v>5932</v>
      </c>
      <c r="Z812" s="325" t="s">
        <v>5933</v>
      </c>
      <c r="AA812" s="325" t="s">
        <v>3993</v>
      </c>
      <c r="AB812" s="325"/>
      <c r="AC812" s="287">
        <v>1</v>
      </c>
      <c r="AD812" s="287">
        <v>1</v>
      </c>
      <c r="AE812" s="325"/>
      <c r="AF812" s="325"/>
      <c r="AG812" s="262">
        <v>8040305</v>
      </c>
    </row>
    <row r="813" spans="1:33" x14ac:dyDescent="0.15">
      <c r="A813" s="323">
        <v>98040306</v>
      </c>
      <c r="B813" s="348" t="s">
        <v>5934</v>
      </c>
      <c r="C813" s="349" t="s">
        <v>5060</v>
      </c>
      <c r="D813" s="324">
        <v>8202</v>
      </c>
      <c r="E813" s="325" t="s">
        <v>4876</v>
      </c>
      <c r="F813" s="325" t="s">
        <v>5672</v>
      </c>
      <c r="G813" s="325">
        <v>6</v>
      </c>
      <c r="H813" s="325">
        <v>0</v>
      </c>
      <c r="I813" s="325">
        <v>34</v>
      </c>
      <c r="J813" s="327" t="s">
        <v>5935</v>
      </c>
      <c r="K813" s="328"/>
      <c r="L813" s="328"/>
      <c r="M813" s="325">
        <v>99</v>
      </c>
      <c r="N813" s="325" t="b">
        <v>1</v>
      </c>
      <c r="O813" s="265">
        <v>7</v>
      </c>
      <c r="P813" s="281">
        <v>105</v>
      </c>
      <c r="Q813" s="281">
        <v>140</v>
      </c>
      <c r="R813" s="325" t="s">
        <v>3383</v>
      </c>
      <c r="S813" s="325"/>
      <c r="T813" s="268">
        <v>1</v>
      </c>
      <c r="U813" s="325" t="s">
        <v>4880</v>
      </c>
      <c r="V813" s="325">
        <v>0</v>
      </c>
      <c r="W813" s="325"/>
      <c r="X813" s="325" t="s">
        <v>4881</v>
      </c>
      <c r="Y813" s="351" t="s">
        <v>5936</v>
      </c>
      <c r="Z813" s="325" t="s">
        <v>5937</v>
      </c>
      <c r="AA813" s="325" t="s">
        <v>3993</v>
      </c>
      <c r="AB813" s="325"/>
      <c r="AC813" s="287">
        <v>1</v>
      </c>
      <c r="AD813" s="287">
        <v>1</v>
      </c>
      <c r="AE813" s="325"/>
      <c r="AF813" s="325"/>
      <c r="AG813" s="262">
        <v>8040306</v>
      </c>
    </row>
    <row r="814" spans="1:33" x14ac:dyDescent="0.15">
      <c r="A814" s="326">
        <v>98090101</v>
      </c>
      <c r="B814" s="348" t="s">
        <v>5938</v>
      </c>
      <c r="C814" s="349" t="s">
        <v>5043</v>
      </c>
      <c r="D814" s="324">
        <v>8202</v>
      </c>
      <c r="E814" s="325" t="s">
        <v>4876</v>
      </c>
      <c r="F814" s="325" t="s">
        <v>5672</v>
      </c>
      <c r="G814" s="325">
        <v>6</v>
      </c>
      <c r="H814" s="325">
        <v>0</v>
      </c>
      <c r="I814" s="325">
        <v>34</v>
      </c>
      <c r="J814" s="327" t="s">
        <v>5939</v>
      </c>
      <c r="K814" s="328"/>
      <c r="L814" s="328"/>
      <c r="M814" s="325">
        <v>99</v>
      </c>
      <c r="N814" s="325" t="b">
        <v>1</v>
      </c>
      <c r="O814" s="265">
        <v>7</v>
      </c>
      <c r="P814" s="281">
        <v>105</v>
      </c>
      <c r="Q814" s="281">
        <v>140</v>
      </c>
      <c r="R814" s="325" t="s">
        <v>3383</v>
      </c>
      <c r="S814" s="325"/>
      <c r="T814" s="268">
        <v>1</v>
      </c>
      <c r="U814" s="325" t="s">
        <v>4880</v>
      </c>
      <c r="V814" s="325">
        <v>0</v>
      </c>
      <c r="W814" s="325"/>
      <c r="X814" s="325" t="s">
        <v>4881</v>
      </c>
      <c r="Y814" s="351" t="s">
        <v>5940</v>
      </c>
      <c r="Z814" s="325" t="s">
        <v>5941</v>
      </c>
      <c r="AA814" s="325" t="s">
        <v>3993</v>
      </c>
      <c r="AB814" s="325"/>
      <c r="AC814" s="287">
        <v>1</v>
      </c>
      <c r="AD814" s="287">
        <v>1</v>
      </c>
      <c r="AE814" s="325"/>
      <c r="AF814" s="325"/>
      <c r="AG814" s="262">
        <v>8090101</v>
      </c>
    </row>
    <row r="815" spans="1:33" x14ac:dyDescent="0.15">
      <c r="A815" s="323">
        <v>98090102</v>
      </c>
      <c r="B815" s="348" t="s">
        <v>5942</v>
      </c>
      <c r="C815" s="349" t="s">
        <v>5043</v>
      </c>
      <c r="D815" s="324">
        <v>8202</v>
      </c>
      <c r="E815" s="325" t="s">
        <v>4876</v>
      </c>
      <c r="F815" s="325" t="s">
        <v>5672</v>
      </c>
      <c r="G815" s="325">
        <v>6</v>
      </c>
      <c r="H815" s="325">
        <v>0</v>
      </c>
      <c r="I815" s="325">
        <v>34</v>
      </c>
      <c r="J815" s="327" t="s">
        <v>5943</v>
      </c>
      <c r="K815" s="328"/>
      <c r="L815" s="328"/>
      <c r="M815" s="325">
        <v>99</v>
      </c>
      <c r="N815" s="325" t="b">
        <v>1</v>
      </c>
      <c r="O815" s="265">
        <v>7</v>
      </c>
      <c r="P815" s="281">
        <v>105</v>
      </c>
      <c r="Q815" s="281">
        <v>140</v>
      </c>
      <c r="R815" s="325" t="s">
        <v>3383</v>
      </c>
      <c r="S815" s="325"/>
      <c r="T815" s="268">
        <v>1</v>
      </c>
      <c r="U815" s="325" t="s">
        <v>4880</v>
      </c>
      <c r="V815" s="325">
        <v>0</v>
      </c>
      <c r="W815" s="325"/>
      <c r="X815" s="325" t="s">
        <v>4881</v>
      </c>
      <c r="Y815" s="351" t="s">
        <v>5944</v>
      </c>
      <c r="Z815" s="325" t="s">
        <v>5945</v>
      </c>
      <c r="AA815" s="325" t="s">
        <v>3993</v>
      </c>
      <c r="AB815" s="325"/>
      <c r="AC815" s="287">
        <v>1</v>
      </c>
      <c r="AD815" s="287">
        <v>1</v>
      </c>
      <c r="AE815" s="325"/>
      <c r="AF815" s="325"/>
      <c r="AG815" s="262">
        <v>8090102</v>
      </c>
    </row>
    <row r="816" spans="1:33" x14ac:dyDescent="0.15">
      <c r="A816" s="326">
        <v>98090103</v>
      </c>
      <c r="B816" s="348" t="s">
        <v>5946</v>
      </c>
      <c r="C816" s="349" t="s">
        <v>5043</v>
      </c>
      <c r="D816" s="324">
        <v>8201</v>
      </c>
      <c r="E816" s="325" t="s">
        <v>4876</v>
      </c>
      <c r="F816" s="325" t="s">
        <v>5672</v>
      </c>
      <c r="G816" s="325">
        <v>6</v>
      </c>
      <c r="H816" s="325">
        <v>0</v>
      </c>
      <c r="I816" s="325">
        <v>34</v>
      </c>
      <c r="J816" s="327" t="s">
        <v>5947</v>
      </c>
      <c r="K816" s="328"/>
      <c r="L816" s="328"/>
      <c r="M816" s="325">
        <v>99</v>
      </c>
      <c r="N816" s="325" t="b">
        <v>1</v>
      </c>
      <c r="O816" s="265">
        <v>7</v>
      </c>
      <c r="P816" s="281">
        <v>105</v>
      </c>
      <c r="Q816" s="281">
        <v>140</v>
      </c>
      <c r="R816" s="325" t="s">
        <v>3383</v>
      </c>
      <c r="S816" s="325"/>
      <c r="T816" s="268">
        <v>1</v>
      </c>
      <c r="U816" s="325" t="s">
        <v>4880</v>
      </c>
      <c r="V816" s="325">
        <v>0</v>
      </c>
      <c r="W816" s="325"/>
      <c r="X816" s="325" t="s">
        <v>4881</v>
      </c>
      <c r="Y816" s="351" t="s">
        <v>5948</v>
      </c>
      <c r="Z816" s="325" t="s">
        <v>5949</v>
      </c>
      <c r="AA816" s="325" t="s">
        <v>3993</v>
      </c>
      <c r="AB816" s="325"/>
      <c r="AC816" s="287">
        <v>1</v>
      </c>
      <c r="AD816" s="287">
        <v>1</v>
      </c>
      <c r="AE816" s="325"/>
      <c r="AF816" s="325"/>
      <c r="AG816" s="262">
        <v>8090103</v>
      </c>
    </row>
    <row r="817" spans="1:33" x14ac:dyDescent="0.15">
      <c r="A817" s="323">
        <v>98090104</v>
      </c>
      <c r="B817" s="348" t="s">
        <v>5950</v>
      </c>
      <c r="C817" s="349" t="s">
        <v>5043</v>
      </c>
      <c r="D817" s="324">
        <v>8201</v>
      </c>
      <c r="E817" s="325" t="s">
        <v>4876</v>
      </c>
      <c r="F817" s="325" t="s">
        <v>5672</v>
      </c>
      <c r="G817" s="325">
        <v>6</v>
      </c>
      <c r="H817" s="325">
        <v>0</v>
      </c>
      <c r="I817" s="325">
        <v>34</v>
      </c>
      <c r="J817" s="327" t="s">
        <v>5951</v>
      </c>
      <c r="K817" s="328"/>
      <c r="L817" s="328"/>
      <c r="M817" s="325">
        <v>99</v>
      </c>
      <c r="N817" s="325" t="b">
        <v>1</v>
      </c>
      <c r="O817" s="265">
        <v>7</v>
      </c>
      <c r="P817" s="281">
        <v>105</v>
      </c>
      <c r="Q817" s="281">
        <v>140</v>
      </c>
      <c r="R817" s="325" t="s">
        <v>3383</v>
      </c>
      <c r="S817" s="325"/>
      <c r="T817" s="268">
        <v>1</v>
      </c>
      <c r="U817" s="325" t="s">
        <v>4880</v>
      </c>
      <c r="V817" s="325">
        <v>0</v>
      </c>
      <c r="W817" s="325"/>
      <c r="X817" s="325" t="s">
        <v>4881</v>
      </c>
      <c r="Y817" s="351" t="s">
        <v>5952</v>
      </c>
      <c r="Z817" s="325" t="s">
        <v>5953</v>
      </c>
      <c r="AA817" s="325" t="s">
        <v>3993</v>
      </c>
      <c r="AB817" s="325"/>
      <c r="AC817" s="287">
        <v>1</v>
      </c>
      <c r="AD817" s="287">
        <v>1</v>
      </c>
      <c r="AE817" s="325"/>
      <c r="AF817" s="325"/>
      <c r="AG817" s="262">
        <v>8090104</v>
      </c>
    </row>
    <row r="818" spans="1:33" x14ac:dyDescent="0.15">
      <c r="A818" s="326">
        <v>98090105</v>
      </c>
      <c r="B818" s="348" t="s">
        <v>5954</v>
      </c>
      <c r="C818" s="349" t="s">
        <v>5043</v>
      </c>
      <c r="D818" s="324">
        <v>8201</v>
      </c>
      <c r="E818" s="325" t="s">
        <v>4876</v>
      </c>
      <c r="F818" s="325" t="s">
        <v>5672</v>
      </c>
      <c r="G818" s="325">
        <v>6</v>
      </c>
      <c r="H818" s="325">
        <v>0</v>
      </c>
      <c r="I818" s="325">
        <v>34</v>
      </c>
      <c r="J818" s="327" t="s">
        <v>5955</v>
      </c>
      <c r="K818" s="328"/>
      <c r="L818" s="328"/>
      <c r="M818" s="325">
        <v>99</v>
      </c>
      <c r="N818" s="325" t="b">
        <v>1</v>
      </c>
      <c r="O818" s="265">
        <v>7</v>
      </c>
      <c r="P818" s="281">
        <v>105</v>
      </c>
      <c r="Q818" s="281">
        <v>140</v>
      </c>
      <c r="R818" s="325" t="s">
        <v>3383</v>
      </c>
      <c r="S818" s="325"/>
      <c r="T818" s="268">
        <v>1</v>
      </c>
      <c r="U818" s="325" t="s">
        <v>4880</v>
      </c>
      <c r="V818" s="325">
        <v>0</v>
      </c>
      <c r="W818" s="325"/>
      <c r="X818" s="325" t="s">
        <v>4881</v>
      </c>
      <c r="Y818" s="351" t="s">
        <v>5956</v>
      </c>
      <c r="Z818" s="325" t="s">
        <v>5957</v>
      </c>
      <c r="AA818" s="325" t="s">
        <v>3993</v>
      </c>
      <c r="AB818" s="325"/>
      <c r="AC818" s="287">
        <v>1</v>
      </c>
      <c r="AD818" s="287">
        <v>1</v>
      </c>
      <c r="AE818" s="325"/>
      <c r="AF818" s="325"/>
      <c r="AG818" s="262">
        <v>8090105</v>
      </c>
    </row>
    <row r="819" spans="1:33" x14ac:dyDescent="0.15">
      <c r="A819" s="323">
        <v>98130101</v>
      </c>
      <c r="B819" s="348" t="s">
        <v>5958</v>
      </c>
      <c r="C819" s="349" t="s">
        <v>5107</v>
      </c>
      <c r="D819" s="324">
        <v>8202</v>
      </c>
      <c r="E819" s="325" t="s">
        <v>4876</v>
      </c>
      <c r="F819" s="325" t="s">
        <v>5672</v>
      </c>
      <c r="G819" s="325">
        <v>6</v>
      </c>
      <c r="H819" s="325">
        <v>0</v>
      </c>
      <c r="I819" s="325">
        <v>34</v>
      </c>
      <c r="J819" s="327" t="s">
        <v>5959</v>
      </c>
      <c r="K819" s="328"/>
      <c r="L819" s="328"/>
      <c r="M819" s="325">
        <v>99</v>
      </c>
      <c r="N819" s="325" t="b">
        <v>1</v>
      </c>
      <c r="O819" s="265">
        <v>7</v>
      </c>
      <c r="P819" s="281">
        <v>105</v>
      </c>
      <c r="Q819" s="281">
        <v>140</v>
      </c>
      <c r="R819" s="325" t="s">
        <v>3383</v>
      </c>
      <c r="S819" s="325"/>
      <c r="T819" s="268">
        <v>1</v>
      </c>
      <c r="U819" s="325" t="s">
        <v>4880</v>
      </c>
      <c r="V819" s="325">
        <v>0</v>
      </c>
      <c r="W819" s="325"/>
      <c r="X819" s="325" t="s">
        <v>4881</v>
      </c>
      <c r="Y819" s="351" t="s">
        <v>5960</v>
      </c>
      <c r="Z819" s="325" t="s">
        <v>5961</v>
      </c>
      <c r="AA819" s="325" t="s">
        <v>3993</v>
      </c>
      <c r="AB819" s="325"/>
      <c r="AC819" s="287">
        <v>1</v>
      </c>
      <c r="AD819" s="287">
        <v>1</v>
      </c>
      <c r="AE819" s="325"/>
      <c r="AF819" s="325"/>
      <c r="AG819" s="262">
        <v>8090101</v>
      </c>
    </row>
    <row r="820" spans="1:33" x14ac:dyDescent="0.15">
      <c r="A820" s="326">
        <v>98130102</v>
      </c>
      <c r="B820" s="348" t="s">
        <v>5962</v>
      </c>
      <c r="C820" s="349" t="s">
        <v>5107</v>
      </c>
      <c r="D820" s="324">
        <v>8202</v>
      </c>
      <c r="E820" s="325" t="s">
        <v>4876</v>
      </c>
      <c r="F820" s="325" t="s">
        <v>5672</v>
      </c>
      <c r="G820" s="325">
        <v>6</v>
      </c>
      <c r="H820" s="325">
        <v>0</v>
      </c>
      <c r="I820" s="325">
        <v>34</v>
      </c>
      <c r="J820" s="327" t="s">
        <v>5963</v>
      </c>
      <c r="K820" s="328"/>
      <c r="L820" s="328"/>
      <c r="M820" s="325">
        <v>99</v>
      </c>
      <c r="N820" s="325" t="b">
        <v>1</v>
      </c>
      <c r="O820" s="265">
        <v>7</v>
      </c>
      <c r="P820" s="281">
        <v>105</v>
      </c>
      <c r="Q820" s="281">
        <v>140</v>
      </c>
      <c r="R820" s="325" t="s">
        <v>3383</v>
      </c>
      <c r="S820" s="325"/>
      <c r="T820" s="268">
        <v>1</v>
      </c>
      <c r="U820" s="325" t="s">
        <v>4880</v>
      </c>
      <c r="V820" s="325">
        <v>0</v>
      </c>
      <c r="W820" s="325"/>
      <c r="X820" s="325" t="s">
        <v>4881</v>
      </c>
      <c r="Y820" s="351" t="s">
        <v>5964</v>
      </c>
      <c r="Z820" s="325" t="s">
        <v>5965</v>
      </c>
      <c r="AA820" s="325" t="s">
        <v>3993</v>
      </c>
      <c r="AB820" s="325"/>
      <c r="AC820" s="287">
        <v>1</v>
      </c>
      <c r="AD820" s="287">
        <v>1</v>
      </c>
      <c r="AE820" s="325"/>
      <c r="AF820" s="325"/>
      <c r="AG820" s="262">
        <v>8090102</v>
      </c>
    </row>
    <row r="821" spans="1:33" x14ac:dyDescent="0.15">
      <c r="A821" s="323">
        <v>98130103</v>
      </c>
      <c r="B821" s="348" t="s">
        <v>5966</v>
      </c>
      <c r="C821" s="349" t="s">
        <v>5107</v>
      </c>
      <c r="D821" s="324">
        <v>8201</v>
      </c>
      <c r="E821" s="325" t="s">
        <v>4876</v>
      </c>
      <c r="F821" s="325" t="s">
        <v>5672</v>
      </c>
      <c r="G821" s="325">
        <v>6</v>
      </c>
      <c r="H821" s="325">
        <v>0</v>
      </c>
      <c r="I821" s="325">
        <v>34</v>
      </c>
      <c r="J821" s="327" t="s">
        <v>5967</v>
      </c>
      <c r="K821" s="328"/>
      <c r="L821" s="328"/>
      <c r="M821" s="325">
        <v>99</v>
      </c>
      <c r="N821" s="325" t="b">
        <v>1</v>
      </c>
      <c r="O821" s="265">
        <v>7</v>
      </c>
      <c r="P821" s="281">
        <v>105</v>
      </c>
      <c r="Q821" s="281">
        <v>140</v>
      </c>
      <c r="R821" s="325" t="s">
        <v>3383</v>
      </c>
      <c r="S821" s="325"/>
      <c r="T821" s="268">
        <v>1</v>
      </c>
      <c r="U821" s="325" t="s">
        <v>4880</v>
      </c>
      <c r="V821" s="325">
        <v>0</v>
      </c>
      <c r="W821" s="325"/>
      <c r="X821" s="325" t="s">
        <v>4881</v>
      </c>
      <c r="Y821" s="351" t="s">
        <v>5968</v>
      </c>
      <c r="Z821" s="325" t="s">
        <v>5969</v>
      </c>
      <c r="AA821" s="325" t="s">
        <v>3993</v>
      </c>
      <c r="AB821" s="325"/>
      <c r="AC821" s="287">
        <v>1</v>
      </c>
      <c r="AD821" s="287">
        <v>1</v>
      </c>
      <c r="AE821" s="281"/>
      <c r="AF821" s="281"/>
      <c r="AG821" s="288">
        <v>8090103</v>
      </c>
    </row>
    <row r="822" spans="1:33" x14ac:dyDescent="0.15">
      <c r="A822" s="326">
        <v>98130201</v>
      </c>
      <c r="B822" s="348" t="s">
        <v>5970</v>
      </c>
      <c r="C822" s="349" t="s">
        <v>5115</v>
      </c>
      <c r="D822" s="324">
        <v>8202</v>
      </c>
      <c r="E822" s="325" t="s">
        <v>4876</v>
      </c>
      <c r="F822" s="325" t="s">
        <v>5672</v>
      </c>
      <c r="G822" s="325">
        <v>6</v>
      </c>
      <c r="H822" s="325">
        <v>0</v>
      </c>
      <c r="I822" s="325">
        <v>34</v>
      </c>
      <c r="J822" s="327" t="s">
        <v>5971</v>
      </c>
      <c r="K822" s="328"/>
      <c r="L822" s="328"/>
      <c r="M822" s="325">
        <v>99</v>
      </c>
      <c r="N822" s="325" t="b">
        <v>1</v>
      </c>
      <c r="O822" s="265">
        <v>7</v>
      </c>
      <c r="P822" s="281">
        <v>105</v>
      </c>
      <c r="Q822" s="281">
        <v>140</v>
      </c>
      <c r="R822" s="325" t="s">
        <v>3383</v>
      </c>
      <c r="S822" s="325"/>
      <c r="T822" s="268">
        <v>1</v>
      </c>
      <c r="U822" s="325" t="s">
        <v>4880</v>
      </c>
      <c r="V822" s="325">
        <v>0</v>
      </c>
      <c r="W822" s="325"/>
      <c r="X822" s="325" t="s">
        <v>4881</v>
      </c>
      <c r="Y822" s="351" t="s">
        <v>5972</v>
      </c>
      <c r="Z822" s="147" t="str">
        <f>"习得"&amp;C822&amp;F822&amp;"·"&amp;B822</f>
        <v>习得掣骨金虹决心诀·渺渺然</v>
      </c>
      <c r="AA822" s="325" t="s">
        <v>3993</v>
      </c>
      <c r="AB822" s="325"/>
      <c r="AC822" s="287">
        <v>1</v>
      </c>
      <c r="AD822" s="287">
        <v>1</v>
      </c>
      <c r="AE822" s="325"/>
      <c r="AF822" s="325"/>
      <c r="AG822" s="262">
        <v>8090102</v>
      </c>
    </row>
    <row r="823" spans="1:33" x14ac:dyDescent="0.15">
      <c r="A823" s="323">
        <v>98130202</v>
      </c>
      <c r="B823" s="348" t="s">
        <v>5973</v>
      </c>
      <c r="C823" s="349" t="s">
        <v>5115</v>
      </c>
      <c r="D823" s="324">
        <v>8201</v>
      </c>
      <c r="E823" s="325" t="s">
        <v>4876</v>
      </c>
      <c r="F823" s="325" t="s">
        <v>5672</v>
      </c>
      <c r="G823" s="325">
        <v>6</v>
      </c>
      <c r="H823" s="325">
        <v>0</v>
      </c>
      <c r="I823" s="325">
        <v>34</v>
      </c>
      <c r="J823" s="327" t="s">
        <v>5974</v>
      </c>
      <c r="K823" s="328"/>
      <c r="L823" s="328"/>
      <c r="M823" s="325">
        <v>99</v>
      </c>
      <c r="N823" s="325" t="b">
        <v>1</v>
      </c>
      <c r="O823" s="265">
        <v>7</v>
      </c>
      <c r="P823" s="281">
        <v>105</v>
      </c>
      <c r="Q823" s="281">
        <v>140</v>
      </c>
      <c r="R823" s="325" t="s">
        <v>3383</v>
      </c>
      <c r="S823" s="325"/>
      <c r="T823" s="268">
        <v>1</v>
      </c>
      <c r="U823" s="325" t="s">
        <v>4880</v>
      </c>
      <c r="V823" s="325">
        <v>0</v>
      </c>
      <c r="W823" s="325"/>
      <c r="X823" s="325" t="s">
        <v>4881</v>
      </c>
      <c r="Y823" s="351" t="s">
        <v>5975</v>
      </c>
      <c r="Z823" s="147" t="str">
        <f>"习得"&amp;C823&amp;F823&amp;"·"&amp;B823</f>
        <v>习得掣骨金虹决心诀·归骨地</v>
      </c>
      <c r="AA823" s="325" t="s">
        <v>3993</v>
      </c>
      <c r="AB823" s="325"/>
      <c r="AC823" s="287">
        <v>1</v>
      </c>
      <c r="AD823" s="287">
        <v>1</v>
      </c>
      <c r="AE823" s="281"/>
      <c r="AF823" s="281"/>
      <c r="AG823" s="288">
        <v>8090103</v>
      </c>
    </row>
    <row r="824" spans="1:33" x14ac:dyDescent="0.15">
      <c r="A824" s="326">
        <v>98150101</v>
      </c>
      <c r="B824" s="348" t="s">
        <v>5976</v>
      </c>
      <c r="C824" s="350" t="s">
        <v>5131</v>
      </c>
      <c r="D824" s="324">
        <v>8202</v>
      </c>
      <c r="E824" s="325" t="s">
        <v>4876</v>
      </c>
      <c r="F824" s="325" t="s">
        <v>5672</v>
      </c>
      <c r="G824" s="325">
        <v>6</v>
      </c>
      <c r="H824" s="325">
        <v>0</v>
      </c>
      <c r="I824" s="325">
        <v>34</v>
      </c>
      <c r="J824" s="327" t="s">
        <v>5977</v>
      </c>
      <c r="K824" s="328"/>
      <c r="L824" s="328"/>
      <c r="M824" s="325">
        <v>99</v>
      </c>
      <c r="N824" s="325" t="b">
        <v>1</v>
      </c>
      <c r="O824" s="265">
        <v>7</v>
      </c>
      <c r="P824" s="281">
        <v>105</v>
      </c>
      <c r="Q824" s="281">
        <v>140</v>
      </c>
      <c r="R824" s="325" t="s">
        <v>3383</v>
      </c>
      <c r="S824" s="325"/>
      <c r="T824" s="268">
        <v>1</v>
      </c>
      <c r="U824" s="325" t="s">
        <v>4880</v>
      </c>
      <c r="V824" s="325">
        <v>0</v>
      </c>
      <c r="W824" s="325"/>
      <c r="X824" s="325" t="s">
        <v>4881</v>
      </c>
      <c r="Y824" s="351" t="s">
        <v>5978</v>
      </c>
      <c r="Z824" s="325" t="s">
        <v>5979</v>
      </c>
      <c r="AA824" s="325" t="s">
        <v>3993</v>
      </c>
      <c r="AB824" s="325"/>
      <c r="AC824" s="287">
        <v>1</v>
      </c>
      <c r="AD824" s="287">
        <v>1</v>
      </c>
      <c r="AE824" s="281"/>
      <c r="AF824" s="281"/>
      <c r="AG824" s="288">
        <v>8090101</v>
      </c>
    </row>
    <row r="825" spans="1:33" x14ac:dyDescent="0.15">
      <c r="A825" s="323">
        <v>98150102</v>
      </c>
      <c r="B825" s="348" t="s">
        <v>5980</v>
      </c>
      <c r="C825" s="350" t="s">
        <v>5131</v>
      </c>
      <c r="D825" s="324">
        <v>8202</v>
      </c>
      <c r="E825" s="325" t="s">
        <v>4876</v>
      </c>
      <c r="F825" s="325" t="s">
        <v>5672</v>
      </c>
      <c r="G825" s="325">
        <v>6</v>
      </c>
      <c r="H825" s="325">
        <v>0</v>
      </c>
      <c r="I825" s="325">
        <v>34</v>
      </c>
      <c r="J825" s="327" t="s">
        <v>5981</v>
      </c>
      <c r="K825" s="328"/>
      <c r="L825" s="328"/>
      <c r="M825" s="325">
        <v>99</v>
      </c>
      <c r="N825" s="325" t="b">
        <v>1</v>
      </c>
      <c r="O825" s="265">
        <v>7</v>
      </c>
      <c r="P825" s="281">
        <v>105</v>
      </c>
      <c r="Q825" s="281">
        <v>140</v>
      </c>
      <c r="R825" s="325" t="s">
        <v>3383</v>
      </c>
      <c r="S825" s="325"/>
      <c r="T825" s="268">
        <v>1</v>
      </c>
      <c r="U825" s="325" t="s">
        <v>4880</v>
      </c>
      <c r="V825" s="325">
        <v>0</v>
      </c>
      <c r="W825" s="325"/>
      <c r="X825" s="325" t="s">
        <v>4881</v>
      </c>
      <c r="Y825" s="351" t="s">
        <v>5982</v>
      </c>
      <c r="Z825" s="325" t="s">
        <v>5983</v>
      </c>
      <c r="AA825" s="325" t="s">
        <v>3993</v>
      </c>
      <c r="AB825" s="325"/>
      <c r="AC825" s="287">
        <v>1</v>
      </c>
      <c r="AD825" s="287">
        <v>1</v>
      </c>
      <c r="AE825" s="281"/>
      <c r="AF825" s="281"/>
      <c r="AG825" s="288">
        <v>8090102</v>
      </c>
    </row>
    <row r="826" spans="1:33" x14ac:dyDescent="0.15">
      <c r="A826" s="326">
        <v>98150103</v>
      </c>
      <c r="B826" s="348" t="s">
        <v>5984</v>
      </c>
      <c r="C826" s="350" t="s">
        <v>5131</v>
      </c>
      <c r="D826" s="324">
        <v>8201</v>
      </c>
      <c r="E826" s="325" t="s">
        <v>4876</v>
      </c>
      <c r="F826" s="325" t="s">
        <v>5672</v>
      </c>
      <c r="G826" s="325">
        <v>6</v>
      </c>
      <c r="H826" s="325">
        <v>0</v>
      </c>
      <c r="I826" s="325">
        <v>34</v>
      </c>
      <c r="J826" s="327" t="s">
        <v>5985</v>
      </c>
      <c r="K826" s="328"/>
      <c r="L826" s="328"/>
      <c r="M826" s="325">
        <v>99</v>
      </c>
      <c r="N826" s="325" t="b">
        <v>1</v>
      </c>
      <c r="O826" s="265">
        <v>7</v>
      </c>
      <c r="P826" s="281">
        <v>105</v>
      </c>
      <c r="Q826" s="281">
        <v>140</v>
      </c>
      <c r="R826" s="325" t="s">
        <v>3383</v>
      </c>
      <c r="S826" s="325"/>
      <c r="T826" s="268">
        <v>1</v>
      </c>
      <c r="U826" s="325" t="s">
        <v>4880</v>
      </c>
      <c r="V826" s="325">
        <v>0</v>
      </c>
      <c r="W826" s="325"/>
      <c r="X826" s="325" t="s">
        <v>4881</v>
      </c>
      <c r="Y826" s="351" t="s">
        <v>5986</v>
      </c>
      <c r="Z826" s="325" t="s">
        <v>5987</v>
      </c>
      <c r="AA826" s="325" t="s">
        <v>3993</v>
      </c>
      <c r="AB826" s="325"/>
      <c r="AC826" s="287">
        <v>1</v>
      </c>
      <c r="AD826" s="287">
        <v>1</v>
      </c>
      <c r="AE826" s="281"/>
      <c r="AF826" s="281"/>
      <c r="AG826" s="288">
        <v>8090103</v>
      </c>
    </row>
    <row r="827" spans="1:33" x14ac:dyDescent="0.15">
      <c r="A827" s="323">
        <v>98120101</v>
      </c>
      <c r="B827" s="348" t="s">
        <v>5988</v>
      </c>
      <c r="C827" s="350" t="s">
        <v>5099</v>
      </c>
      <c r="D827" s="324">
        <v>8202</v>
      </c>
      <c r="E827" s="325" t="s">
        <v>4876</v>
      </c>
      <c r="F827" s="325" t="s">
        <v>5672</v>
      </c>
      <c r="G827" s="325">
        <v>6</v>
      </c>
      <c r="H827" s="325">
        <v>0</v>
      </c>
      <c r="I827" s="325">
        <v>34</v>
      </c>
      <c r="J827" s="327" t="s">
        <v>5989</v>
      </c>
      <c r="K827" s="328"/>
      <c r="L827" s="328"/>
      <c r="M827" s="325">
        <v>99</v>
      </c>
      <c r="N827" s="325" t="b">
        <v>1</v>
      </c>
      <c r="O827" s="265">
        <v>7</v>
      </c>
      <c r="P827" s="281">
        <v>105</v>
      </c>
      <c r="Q827" s="281">
        <v>140</v>
      </c>
      <c r="R827" s="325" t="s">
        <v>3383</v>
      </c>
      <c r="S827" s="325"/>
      <c r="T827" s="268">
        <v>1</v>
      </c>
      <c r="U827" s="325" t="s">
        <v>4880</v>
      </c>
      <c r="V827" s="325">
        <v>0</v>
      </c>
      <c r="W827" s="325"/>
      <c r="X827" s="325" t="s">
        <v>4881</v>
      </c>
      <c r="Y827" s="351" t="s">
        <v>5990</v>
      </c>
      <c r="Z827" s="325" t="s">
        <v>5991</v>
      </c>
      <c r="AA827" s="325" t="s">
        <v>3993</v>
      </c>
      <c r="AB827" s="325"/>
      <c r="AC827" s="287">
        <v>1</v>
      </c>
      <c r="AD827" s="287">
        <v>1</v>
      </c>
      <c r="AE827" s="281"/>
      <c r="AF827" s="281"/>
      <c r="AG827" s="288">
        <v>8120101</v>
      </c>
    </row>
    <row r="828" spans="1:33" x14ac:dyDescent="0.15">
      <c r="A828" s="326">
        <v>98120102</v>
      </c>
      <c r="B828" s="348" t="s">
        <v>5992</v>
      </c>
      <c r="C828" s="350" t="s">
        <v>5099</v>
      </c>
      <c r="D828" s="324">
        <v>8202</v>
      </c>
      <c r="E828" s="325" t="s">
        <v>4876</v>
      </c>
      <c r="F828" s="325" t="s">
        <v>5672</v>
      </c>
      <c r="G828" s="325">
        <v>6</v>
      </c>
      <c r="H828" s="325">
        <v>0</v>
      </c>
      <c r="I828" s="325">
        <v>34</v>
      </c>
      <c r="J828" s="327" t="s">
        <v>5993</v>
      </c>
      <c r="K828" s="328"/>
      <c r="L828" s="328"/>
      <c r="M828" s="325">
        <v>99</v>
      </c>
      <c r="N828" s="325" t="b">
        <v>1</v>
      </c>
      <c r="O828" s="265">
        <v>7</v>
      </c>
      <c r="P828" s="281">
        <v>105</v>
      </c>
      <c r="Q828" s="281">
        <v>140</v>
      </c>
      <c r="R828" s="325" t="s">
        <v>3383</v>
      </c>
      <c r="S828" s="325"/>
      <c r="T828" s="268">
        <v>1</v>
      </c>
      <c r="U828" s="325" t="s">
        <v>4880</v>
      </c>
      <c r="V828" s="325">
        <v>0</v>
      </c>
      <c r="W828" s="325"/>
      <c r="X828" s="325" t="s">
        <v>4881</v>
      </c>
      <c r="Y828" s="351" t="s">
        <v>5994</v>
      </c>
      <c r="Z828" s="325" t="s">
        <v>5995</v>
      </c>
      <c r="AA828" s="325" t="s">
        <v>3993</v>
      </c>
      <c r="AB828" s="325"/>
      <c r="AC828" s="287">
        <v>1</v>
      </c>
      <c r="AD828" s="287">
        <v>1</v>
      </c>
      <c r="AE828" s="281"/>
      <c r="AF828" s="281"/>
      <c r="AG828" s="288">
        <v>8120102</v>
      </c>
    </row>
    <row r="829" spans="1:33" x14ac:dyDescent="0.15">
      <c r="A829" s="323">
        <v>98120103</v>
      </c>
      <c r="B829" s="348" t="s">
        <v>5996</v>
      </c>
      <c r="C829" s="350" t="s">
        <v>5099</v>
      </c>
      <c r="D829" s="324">
        <v>8202</v>
      </c>
      <c r="E829" s="325" t="s">
        <v>4876</v>
      </c>
      <c r="F829" s="325" t="s">
        <v>5672</v>
      </c>
      <c r="G829" s="325">
        <v>6</v>
      </c>
      <c r="H829" s="325">
        <v>0</v>
      </c>
      <c r="I829" s="325">
        <v>34</v>
      </c>
      <c r="J829" s="327" t="s">
        <v>5997</v>
      </c>
      <c r="K829" s="328"/>
      <c r="L829" s="328"/>
      <c r="M829" s="325">
        <v>99</v>
      </c>
      <c r="N829" s="325" t="b">
        <v>1</v>
      </c>
      <c r="O829" s="265">
        <v>7</v>
      </c>
      <c r="P829" s="281">
        <v>105</v>
      </c>
      <c r="Q829" s="281">
        <v>140</v>
      </c>
      <c r="R829" s="325" t="s">
        <v>3383</v>
      </c>
      <c r="S829" s="325"/>
      <c r="T829" s="268">
        <v>1</v>
      </c>
      <c r="U829" s="325" t="s">
        <v>4880</v>
      </c>
      <c r="V829" s="325">
        <v>0</v>
      </c>
      <c r="W829" s="325"/>
      <c r="X829" s="325" t="s">
        <v>4881</v>
      </c>
      <c r="Y829" s="351" t="s">
        <v>5998</v>
      </c>
      <c r="Z829" s="325" t="s">
        <v>5999</v>
      </c>
      <c r="AA829" s="325" t="s">
        <v>3993</v>
      </c>
      <c r="AB829" s="325"/>
      <c r="AC829" s="287">
        <v>1</v>
      </c>
      <c r="AD829" s="287">
        <v>1</v>
      </c>
      <c r="AE829" s="281"/>
      <c r="AF829" s="281"/>
      <c r="AG829" s="288">
        <v>8120103</v>
      </c>
    </row>
    <row r="830" spans="1:33" x14ac:dyDescent="0.15">
      <c r="A830" s="326">
        <v>98110101</v>
      </c>
      <c r="B830" s="348" t="s">
        <v>6000</v>
      </c>
      <c r="C830" s="350" t="s">
        <v>5091</v>
      </c>
      <c r="D830" s="324">
        <v>8201</v>
      </c>
      <c r="E830" s="325" t="s">
        <v>4876</v>
      </c>
      <c r="F830" s="325" t="s">
        <v>5672</v>
      </c>
      <c r="G830" s="325">
        <v>6</v>
      </c>
      <c r="H830" s="325">
        <v>0</v>
      </c>
      <c r="I830" s="325">
        <v>34</v>
      </c>
      <c r="J830" s="327" t="s">
        <v>6001</v>
      </c>
      <c r="K830" s="328"/>
      <c r="L830" s="328"/>
      <c r="M830" s="325">
        <v>99</v>
      </c>
      <c r="N830" s="325" t="b">
        <v>1</v>
      </c>
      <c r="O830" s="265">
        <v>7</v>
      </c>
      <c r="P830" s="281">
        <v>105</v>
      </c>
      <c r="Q830" s="281">
        <v>140</v>
      </c>
      <c r="R830" s="325" t="s">
        <v>3383</v>
      </c>
      <c r="S830" s="325"/>
      <c r="T830" s="268">
        <v>1</v>
      </c>
      <c r="U830" s="325" t="s">
        <v>4880</v>
      </c>
      <c r="V830" s="325">
        <v>0</v>
      </c>
      <c r="W830" s="325"/>
      <c r="X830" s="325" t="s">
        <v>4881</v>
      </c>
      <c r="Y830" s="351" t="s">
        <v>6002</v>
      </c>
      <c r="Z830" s="325" t="s">
        <v>6003</v>
      </c>
      <c r="AA830" s="325" t="s">
        <v>3993</v>
      </c>
      <c r="AB830" s="325"/>
      <c r="AC830" s="287">
        <v>1</v>
      </c>
      <c r="AD830" s="287">
        <v>1</v>
      </c>
      <c r="AE830" s="281"/>
      <c r="AF830" s="281"/>
      <c r="AG830" s="288">
        <v>8110101</v>
      </c>
    </row>
    <row r="831" spans="1:33" x14ac:dyDescent="0.15">
      <c r="A831" s="323">
        <v>98110102</v>
      </c>
      <c r="B831" s="348" t="s">
        <v>6004</v>
      </c>
      <c r="C831" s="350" t="s">
        <v>5091</v>
      </c>
      <c r="D831" s="324">
        <v>8201</v>
      </c>
      <c r="E831" s="325" t="s">
        <v>4876</v>
      </c>
      <c r="F831" s="325" t="s">
        <v>5672</v>
      </c>
      <c r="G831" s="325">
        <v>6</v>
      </c>
      <c r="H831" s="325">
        <v>0</v>
      </c>
      <c r="I831" s="325">
        <v>34</v>
      </c>
      <c r="J831" s="327" t="s">
        <v>6005</v>
      </c>
      <c r="K831" s="328"/>
      <c r="L831" s="328"/>
      <c r="M831" s="325">
        <v>99</v>
      </c>
      <c r="N831" s="325" t="b">
        <v>1</v>
      </c>
      <c r="O831" s="265">
        <v>7</v>
      </c>
      <c r="P831" s="281">
        <v>105</v>
      </c>
      <c r="Q831" s="281">
        <v>140</v>
      </c>
      <c r="R831" s="325" t="s">
        <v>3383</v>
      </c>
      <c r="S831" s="325"/>
      <c r="T831" s="268">
        <v>1</v>
      </c>
      <c r="U831" s="325" t="s">
        <v>4880</v>
      </c>
      <c r="V831" s="325">
        <v>0</v>
      </c>
      <c r="W831" s="325"/>
      <c r="X831" s="325" t="s">
        <v>4881</v>
      </c>
      <c r="Y831" s="351" t="s">
        <v>6006</v>
      </c>
      <c r="Z831" s="325" t="s">
        <v>6007</v>
      </c>
      <c r="AA831" s="325" t="s">
        <v>3993</v>
      </c>
      <c r="AB831" s="325"/>
      <c r="AC831" s="287">
        <v>1</v>
      </c>
      <c r="AD831" s="287">
        <v>1</v>
      </c>
      <c r="AE831" s="281"/>
      <c r="AF831" s="281"/>
      <c r="AG831" s="288">
        <v>8110102</v>
      </c>
    </row>
    <row r="832" spans="1:33" x14ac:dyDescent="0.15">
      <c r="A832" s="326">
        <v>98110103</v>
      </c>
      <c r="B832" s="348" t="s">
        <v>6008</v>
      </c>
      <c r="C832" s="350" t="s">
        <v>5091</v>
      </c>
      <c r="D832" s="324">
        <v>8201</v>
      </c>
      <c r="E832" s="325" t="s">
        <v>4876</v>
      </c>
      <c r="F832" s="325" t="s">
        <v>5672</v>
      </c>
      <c r="G832" s="325">
        <v>6</v>
      </c>
      <c r="H832" s="325">
        <v>0</v>
      </c>
      <c r="I832" s="325">
        <v>34</v>
      </c>
      <c r="J832" s="327" t="s">
        <v>6009</v>
      </c>
      <c r="K832" s="328"/>
      <c r="L832" s="328"/>
      <c r="M832" s="325">
        <v>99</v>
      </c>
      <c r="N832" s="325" t="b">
        <v>1</v>
      </c>
      <c r="O832" s="265">
        <v>7</v>
      </c>
      <c r="P832" s="281">
        <v>105</v>
      </c>
      <c r="Q832" s="281">
        <v>140</v>
      </c>
      <c r="R832" s="325" t="s">
        <v>3383</v>
      </c>
      <c r="S832" s="325"/>
      <c r="T832" s="268">
        <v>1</v>
      </c>
      <c r="U832" s="325" t="s">
        <v>4880</v>
      </c>
      <c r="V832" s="325">
        <v>0</v>
      </c>
      <c r="W832" s="325"/>
      <c r="X832" s="325" t="s">
        <v>4881</v>
      </c>
      <c r="Y832" s="351" t="s">
        <v>6010</v>
      </c>
      <c r="Z832" s="325" t="s">
        <v>6011</v>
      </c>
      <c r="AA832" s="325" t="s">
        <v>3993</v>
      </c>
      <c r="AB832" s="325"/>
      <c r="AC832" s="287">
        <v>1</v>
      </c>
      <c r="AD832" s="287">
        <v>1</v>
      </c>
      <c r="AE832" s="281"/>
      <c r="AF832" s="281"/>
      <c r="AG832" s="288">
        <v>8110103</v>
      </c>
    </row>
    <row r="833" spans="1:33" x14ac:dyDescent="0.15">
      <c r="A833" s="323">
        <v>98100201</v>
      </c>
      <c r="B833" s="348" t="s">
        <v>6012</v>
      </c>
      <c r="C833" s="350" t="s">
        <v>5068</v>
      </c>
      <c r="D833" s="324">
        <v>8202</v>
      </c>
      <c r="E833" s="325" t="s">
        <v>4876</v>
      </c>
      <c r="F833" s="325" t="s">
        <v>5672</v>
      </c>
      <c r="G833" s="325">
        <v>6</v>
      </c>
      <c r="H833" s="325">
        <v>0</v>
      </c>
      <c r="I833" s="325">
        <v>34</v>
      </c>
      <c r="J833" s="327" t="s">
        <v>6013</v>
      </c>
      <c r="K833" s="328"/>
      <c r="L833" s="328"/>
      <c r="M833" s="325">
        <v>99</v>
      </c>
      <c r="N833" s="325" t="b">
        <v>1</v>
      </c>
      <c r="O833" s="265">
        <v>7</v>
      </c>
      <c r="P833" s="281">
        <v>105</v>
      </c>
      <c r="Q833" s="281">
        <v>140</v>
      </c>
      <c r="R833" s="325" t="s">
        <v>3383</v>
      </c>
      <c r="S833" s="325"/>
      <c r="T833" s="268">
        <v>1</v>
      </c>
      <c r="U833" s="325" t="s">
        <v>4880</v>
      </c>
      <c r="V833" s="325">
        <v>0</v>
      </c>
      <c r="W833" s="325"/>
      <c r="X833" s="325" t="s">
        <v>4881</v>
      </c>
      <c r="Y833" s="351" t="s">
        <v>6014</v>
      </c>
      <c r="Z833" s="325" t="s">
        <v>6015</v>
      </c>
      <c r="AA833" s="325" t="s">
        <v>3993</v>
      </c>
      <c r="AB833" s="325"/>
      <c r="AC833" s="287">
        <v>1</v>
      </c>
      <c r="AD833" s="287">
        <v>1</v>
      </c>
      <c r="AE833" s="281"/>
      <c r="AF833" s="281"/>
      <c r="AG833" s="288">
        <v>8100201</v>
      </c>
    </row>
    <row r="834" spans="1:33" x14ac:dyDescent="0.15">
      <c r="A834" s="326">
        <v>98100202</v>
      </c>
      <c r="B834" s="348" t="s">
        <v>6016</v>
      </c>
      <c r="C834" s="350" t="s">
        <v>5068</v>
      </c>
      <c r="D834" s="324">
        <v>8202</v>
      </c>
      <c r="E834" s="325" t="s">
        <v>4876</v>
      </c>
      <c r="F834" s="325" t="s">
        <v>5672</v>
      </c>
      <c r="G834" s="325">
        <v>6</v>
      </c>
      <c r="H834" s="325">
        <v>0</v>
      </c>
      <c r="I834" s="325">
        <v>34</v>
      </c>
      <c r="J834" s="327" t="s">
        <v>6017</v>
      </c>
      <c r="K834" s="328"/>
      <c r="L834" s="328"/>
      <c r="M834" s="325">
        <v>99</v>
      </c>
      <c r="N834" s="325" t="b">
        <v>1</v>
      </c>
      <c r="O834" s="265">
        <v>7</v>
      </c>
      <c r="P834" s="281">
        <v>105</v>
      </c>
      <c r="Q834" s="281">
        <v>140</v>
      </c>
      <c r="R834" s="325" t="s">
        <v>3383</v>
      </c>
      <c r="S834" s="325"/>
      <c r="T834" s="268">
        <v>1</v>
      </c>
      <c r="U834" s="325" t="s">
        <v>4880</v>
      </c>
      <c r="V834" s="325">
        <v>0</v>
      </c>
      <c r="W834" s="325"/>
      <c r="X834" s="325" t="s">
        <v>4881</v>
      </c>
      <c r="Y834" s="351" t="s">
        <v>6018</v>
      </c>
      <c r="Z834" s="325" t="s">
        <v>6019</v>
      </c>
      <c r="AA834" s="325" t="s">
        <v>3993</v>
      </c>
      <c r="AB834" s="325"/>
      <c r="AC834" s="287">
        <v>1</v>
      </c>
      <c r="AD834" s="287">
        <v>1</v>
      </c>
      <c r="AE834" s="281"/>
      <c r="AF834" s="281"/>
      <c r="AG834" s="288">
        <v>8100202</v>
      </c>
    </row>
    <row r="835" spans="1:33" x14ac:dyDescent="0.15">
      <c r="A835" s="323">
        <v>98010305</v>
      </c>
      <c r="B835" s="348" t="s">
        <v>6020</v>
      </c>
      <c r="C835" s="350" t="s">
        <v>5068</v>
      </c>
      <c r="D835" s="324">
        <v>8202</v>
      </c>
      <c r="E835" s="325" t="s">
        <v>4876</v>
      </c>
      <c r="F835" s="325" t="s">
        <v>5672</v>
      </c>
      <c r="G835" s="325">
        <v>6</v>
      </c>
      <c r="H835" s="325">
        <v>0</v>
      </c>
      <c r="I835" s="325">
        <v>34</v>
      </c>
      <c r="J835" s="327" t="s">
        <v>6021</v>
      </c>
      <c r="K835" s="328"/>
      <c r="L835" s="328"/>
      <c r="M835" s="325">
        <v>99</v>
      </c>
      <c r="N835" s="325" t="b">
        <v>1</v>
      </c>
      <c r="O835" s="265">
        <v>7</v>
      </c>
      <c r="P835" s="281">
        <v>105</v>
      </c>
      <c r="Q835" s="281">
        <v>140</v>
      </c>
      <c r="R835" s="325" t="s">
        <v>3383</v>
      </c>
      <c r="S835" s="325"/>
      <c r="T835" s="268">
        <v>1</v>
      </c>
      <c r="U835" s="325" t="s">
        <v>4880</v>
      </c>
      <c r="V835" s="325">
        <v>0</v>
      </c>
      <c r="W835" s="325"/>
      <c r="X835" s="325" t="s">
        <v>4881</v>
      </c>
      <c r="Y835" s="351" t="s">
        <v>6022</v>
      </c>
      <c r="Z835" s="325" t="s">
        <v>6023</v>
      </c>
      <c r="AA835" s="325" t="s">
        <v>3993</v>
      </c>
      <c r="AB835" s="325"/>
      <c r="AC835" s="287">
        <v>1</v>
      </c>
      <c r="AD835" s="287">
        <v>1</v>
      </c>
      <c r="AE835" s="281"/>
      <c r="AF835" s="281"/>
      <c r="AG835" s="288">
        <v>8010305</v>
      </c>
    </row>
    <row r="836" spans="1:33" ht="15" x14ac:dyDescent="0.2">
      <c r="A836" s="329">
        <v>98100301</v>
      </c>
      <c r="B836" s="352" t="s">
        <v>6024</v>
      </c>
      <c r="C836" s="353" t="s">
        <v>6025</v>
      </c>
      <c r="D836" s="147">
        <v>8201</v>
      </c>
      <c r="E836" s="147" t="s">
        <v>4876</v>
      </c>
      <c r="F836" s="147" t="s">
        <v>5672</v>
      </c>
      <c r="G836" s="147">
        <v>6</v>
      </c>
      <c r="H836" s="147">
        <v>0</v>
      </c>
      <c r="I836" s="147">
        <v>34</v>
      </c>
      <c r="J836" s="147" t="str">
        <f t="shared" ref="J836:J839" si="0">"2;"&amp;AG836</f>
        <v>2;8100301</v>
      </c>
      <c r="M836" s="147">
        <v>99</v>
      </c>
      <c r="N836" s="147" t="b">
        <v>1</v>
      </c>
      <c r="O836" s="147">
        <v>7</v>
      </c>
      <c r="P836" s="281">
        <v>105</v>
      </c>
      <c r="Q836" s="281">
        <v>140</v>
      </c>
      <c r="R836" s="147" t="s">
        <v>3383</v>
      </c>
      <c r="T836" s="147">
        <v>1</v>
      </c>
      <c r="U836" s="147" t="s">
        <v>4880</v>
      </c>
      <c r="V836" s="147">
        <v>0</v>
      </c>
      <c r="X836" s="147" t="s">
        <v>4881</v>
      </c>
      <c r="Y836" s="147" t="s">
        <v>6026</v>
      </c>
      <c r="Z836" s="147" t="str">
        <f>"习得"&amp;C836&amp;F836&amp;"·"&amp;B836</f>
        <v>习得弑流··伐剑取心诀·断绳</v>
      </c>
      <c r="AA836" s="147" t="s">
        <v>3993</v>
      </c>
      <c r="AC836" s="147">
        <v>1</v>
      </c>
      <c r="AD836" s="147">
        <v>1</v>
      </c>
      <c r="AG836" s="147">
        <v>8100301</v>
      </c>
    </row>
    <row r="837" spans="1:33" x14ac:dyDescent="0.15">
      <c r="A837" s="330" t="s">
        <v>6027</v>
      </c>
      <c r="B837" s="354" t="s">
        <v>6028</v>
      </c>
      <c r="C837" s="355" t="s">
        <v>5076</v>
      </c>
      <c r="D837" s="147">
        <v>8202</v>
      </c>
      <c r="E837" s="147" t="s">
        <v>4876</v>
      </c>
      <c r="F837" s="147" t="s">
        <v>5672</v>
      </c>
      <c r="G837" s="147">
        <v>6</v>
      </c>
      <c r="H837" s="147">
        <v>0</v>
      </c>
      <c r="I837" s="147">
        <v>34</v>
      </c>
      <c r="J837" s="147" t="str">
        <f t="shared" si="0"/>
        <v>2;8100302</v>
      </c>
      <c r="M837" s="147">
        <v>99</v>
      </c>
      <c r="N837" s="147" t="b">
        <v>1</v>
      </c>
      <c r="O837" s="147">
        <v>7</v>
      </c>
      <c r="P837" s="281">
        <v>105</v>
      </c>
      <c r="Q837" s="281">
        <v>140</v>
      </c>
      <c r="R837" s="147" t="s">
        <v>3383</v>
      </c>
      <c r="T837" s="147">
        <v>1</v>
      </c>
      <c r="U837" s="147" t="s">
        <v>4880</v>
      </c>
      <c r="V837" s="147">
        <v>0</v>
      </c>
      <c r="X837" s="147" t="s">
        <v>4881</v>
      </c>
      <c r="Y837" s="147" t="s">
        <v>6029</v>
      </c>
      <c r="Z837" s="147" t="str">
        <f>"习得"&amp;C837&amp;F837&amp;"·"&amp;B837</f>
        <v>习得弑流·伐剑取心诀·刀取</v>
      </c>
      <c r="AA837" s="147" t="s">
        <v>3993</v>
      </c>
      <c r="AC837" s="147">
        <v>1</v>
      </c>
      <c r="AD837" s="147">
        <v>1</v>
      </c>
      <c r="AG837" s="147" t="s">
        <v>6030</v>
      </c>
    </row>
    <row r="838" spans="1:33" ht="15" x14ac:dyDescent="0.2">
      <c r="A838" s="329">
        <v>98100401</v>
      </c>
      <c r="B838" s="352" t="s">
        <v>6031</v>
      </c>
      <c r="C838" s="353" t="s">
        <v>5083</v>
      </c>
      <c r="D838" s="147">
        <v>8202</v>
      </c>
      <c r="E838" s="147" t="s">
        <v>4876</v>
      </c>
      <c r="F838" s="147" t="s">
        <v>5672</v>
      </c>
      <c r="G838" s="147">
        <v>6</v>
      </c>
      <c r="H838" s="147">
        <v>0</v>
      </c>
      <c r="I838" s="147">
        <v>34</v>
      </c>
      <c r="J838" s="147" t="str">
        <f t="shared" si="0"/>
        <v>2;8100401</v>
      </c>
      <c r="M838" s="147">
        <v>99</v>
      </c>
      <c r="N838" s="147" t="b">
        <v>1</v>
      </c>
      <c r="O838" s="147">
        <v>7</v>
      </c>
      <c r="P838" s="281">
        <v>105</v>
      </c>
      <c r="Q838" s="281">
        <v>140</v>
      </c>
      <c r="R838" s="147" t="s">
        <v>3383</v>
      </c>
      <c r="T838" s="147">
        <v>1</v>
      </c>
      <c r="U838" s="147" t="s">
        <v>4880</v>
      </c>
      <c r="V838" s="147">
        <v>0</v>
      </c>
      <c r="X838" s="147" t="s">
        <v>4881</v>
      </c>
      <c r="Y838" s="147" t="s">
        <v>6032</v>
      </c>
      <c r="Z838" s="147" t="str">
        <f>"习得"&amp;C838&amp;F838&amp;"·"&amp;B838</f>
        <v>习得天威军阵刀术心诀·守土</v>
      </c>
      <c r="AA838" s="147" t="s">
        <v>3993</v>
      </c>
      <c r="AC838" s="147">
        <v>1</v>
      </c>
      <c r="AD838" s="147">
        <v>1</v>
      </c>
      <c r="AG838" s="147">
        <v>8100401</v>
      </c>
    </row>
    <row r="839" spans="1:33" ht="15" x14ac:dyDescent="0.2">
      <c r="A839" s="330" t="s">
        <v>6033</v>
      </c>
      <c r="B839" s="354" t="s">
        <v>6034</v>
      </c>
      <c r="C839" s="353" t="s">
        <v>5083</v>
      </c>
      <c r="D839" s="147">
        <v>8201</v>
      </c>
      <c r="E839" s="147" t="s">
        <v>4876</v>
      </c>
      <c r="F839" s="147" t="s">
        <v>5672</v>
      </c>
      <c r="G839" s="147">
        <v>6</v>
      </c>
      <c r="H839" s="147">
        <v>0</v>
      </c>
      <c r="I839" s="147">
        <v>34</v>
      </c>
      <c r="J839" s="147" t="str">
        <f t="shared" si="0"/>
        <v>2;8100402</v>
      </c>
      <c r="M839" s="147">
        <v>99</v>
      </c>
      <c r="N839" s="147" t="b">
        <v>1</v>
      </c>
      <c r="O839" s="147">
        <v>7</v>
      </c>
      <c r="P839" s="281">
        <v>105</v>
      </c>
      <c r="Q839" s="281">
        <v>140</v>
      </c>
      <c r="R839" s="147" t="s">
        <v>3383</v>
      </c>
      <c r="T839" s="147">
        <v>1</v>
      </c>
      <c r="U839" s="147" t="s">
        <v>4880</v>
      </c>
      <c r="V839" s="147">
        <v>0</v>
      </c>
      <c r="X839" s="147" t="s">
        <v>4881</v>
      </c>
      <c r="Y839" s="147" t="s">
        <v>6035</v>
      </c>
      <c r="Z839" s="147" t="str">
        <f>"习得"&amp;C839&amp;F839&amp;"·"&amp;B839</f>
        <v>习得天威军阵刀术心诀·开疆</v>
      </c>
      <c r="AA839" s="147" t="s">
        <v>3993</v>
      </c>
      <c r="AC839" s="147">
        <v>1</v>
      </c>
      <c r="AD839" s="147">
        <v>1</v>
      </c>
      <c r="AG839" s="147" t="s">
        <v>6036</v>
      </c>
    </row>
    <row r="840" spans="1:33" x14ac:dyDescent="0.15">
      <c r="A840" s="326">
        <v>98140101</v>
      </c>
      <c r="B840" s="348" t="s">
        <v>6037</v>
      </c>
      <c r="C840" s="350" t="s">
        <v>5123</v>
      </c>
      <c r="D840" s="324">
        <v>8202</v>
      </c>
      <c r="E840" s="325" t="s">
        <v>4876</v>
      </c>
      <c r="F840" s="325" t="s">
        <v>5672</v>
      </c>
      <c r="G840" s="325">
        <v>6</v>
      </c>
      <c r="H840" s="325">
        <v>0</v>
      </c>
      <c r="I840" s="325">
        <v>34</v>
      </c>
      <c r="J840" s="327" t="s">
        <v>6038</v>
      </c>
      <c r="K840" s="328"/>
      <c r="L840" s="328"/>
      <c r="M840" s="325">
        <v>99</v>
      </c>
      <c r="N840" s="325" t="b">
        <v>1</v>
      </c>
      <c r="O840" s="265">
        <v>7</v>
      </c>
      <c r="P840" s="281">
        <v>105</v>
      </c>
      <c r="Q840" s="281">
        <v>140</v>
      </c>
      <c r="R840" s="325" t="s">
        <v>3383</v>
      </c>
      <c r="S840" s="325"/>
      <c r="T840" s="268">
        <v>1</v>
      </c>
      <c r="U840" s="325" t="s">
        <v>4880</v>
      </c>
      <c r="V840" s="325">
        <v>0</v>
      </c>
      <c r="W840" s="325"/>
      <c r="X840" s="325" t="s">
        <v>4881</v>
      </c>
      <c r="Y840" s="351" t="s">
        <v>6039</v>
      </c>
      <c r="Z840" s="325" t="s">
        <v>6040</v>
      </c>
      <c r="AA840" s="325" t="s">
        <v>3993</v>
      </c>
      <c r="AB840" s="325"/>
      <c r="AC840" s="287">
        <v>1</v>
      </c>
      <c r="AD840" s="287">
        <v>1</v>
      </c>
      <c r="AE840" s="281"/>
      <c r="AF840" s="281"/>
      <c r="AG840" s="288">
        <v>8140101</v>
      </c>
    </row>
    <row r="841" spans="1:33" x14ac:dyDescent="0.15">
      <c r="A841" s="323">
        <v>98140102</v>
      </c>
      <c r="B841" s="348" t="s">
        <v>6041</v>
      </c>
      <c r="C841" s="350" t="s">
        <v>5123</v>
      </c>
      <c r="D841" s="324">
        <v>8201</v>
      </c>
      <c r="E841" s="325" t="s">
        <v>4876</v>
      </c>
      <c r="F841" s="325" t="s">
        <v>5672</v>
      </c>
      <c r="G841" s="325">
        <v>6</v>
      </c>
      <c r="H841" s="325">
        <v>0</v>
      </c>
      <c r="I841" s="325">
        <v>34</v>
      </c>
      <c r="J841" s="327" t="s">
        <v>6042</v>
      </c>
      <c r="K841" s="328"/>
      <c r="L841" s="328"/>
      <c r="M841" s="325">
        <v>99</v>
      </c>
      <c r="N841" s="325" t="b">
        <v>1</v>
      </c>
      <c r="O841" s="265">
        <v>7</v>
      </c>
      <c r="P841" s="281">
        <v>105</v>
      </c>
      <c r="Q841" s="281">
        <v>140</v>
      </c>
      <c r="R841" s="325" t="s">
        <v>3383</v>
      </c>
      <c r="S841" s="325"/>
      <c r="T841" s="268">
        <v>1</v>
      </c>
      <c r="U841" s="325" t="s">
        <v>4880</v>
      </c>
      <c r="V841" s="325">
        <v>0</v>
      </c>
      <c r="W841" s="325"/>
      <c r="X841" s="325" t="s">
        <v>4881</v>
      </c>
      <c r="Y841" s="351" t="s">
        <v>6043</v>
      </c>
      <c r="Z841" s="325" t="s">
        <v>6044</v>
      </c>
      <c r="AA841" s="325" t="s">
        <v>3993</v>
      </c>
      <c r="AB841" s="325"/>
      <c r="AC841" s="287">
        <v>1</v>
      </c>
      <c r="AD841" s="287">
        <v>1</v>
      </c>
      <c r="AE841" s="281"/>
      <c r="AF841" s="281"/>
      <c r="AG841" s="288">
        <v>8140102</v>
      </c>
    </row>
    <row r="842" spans="1:33" x14ac:dyDescent="0.15">
      <c r="A842" s="326">
        <v>98140103</v>
      </c>
      <c r="B842" s="348" t="s">
        <v>6045</v>
      </c>
      <c r="C842" s="350" t="s">
        <v>5123</v>
      </c>
      <c r="D842" s="324">
        <v>8201</v>
      </c>
      <c r="E842" s="325" t="s">
        <v>4876</v>
      </c>
      <c r="F842" s="325" t="s">
        <v>5672</v>
      </c>
      <c r="G842" s="325">
        <v>6</v>
      </c>
      <c r="H842" s="325">
        <v>0</v>
      </c>
      <c r="I842" s="325">
        <v>34</v>
      </c>
      <c r="J842" s="327" t="s">
        <v>6046</v>
      </c>
      <c r="K842" s="328"/>
      <c r="L842" s="328"/>
      <c r="M842" s="325">
        <v>99</v>
      </c>
      <c r="N842" s="325" t="b">
        <v>1</v>
      </c>
      <c r="O842" s="265">
        <v>7</v>
      </c>
      <c r="P842" s="281">
        <v>105</v>
      </c>
      <c r="Q842" s="281">
        <v>140</v>
      </c>
      <c r="R842" s="325" t="s">
        <v>3383</v>
      </c>
      <c r="S842" s="325"/>
      <c r="T842" s="268">
        <v>1</v>
      </c>
      <c r="U842" s="325" t="s">
        <v>4880</v>
      </c>
      <c r="V842" s="325">
        <v>0</v>
      </c>
      <c r="W842" s="325"/>
      <c r="X842" s="325" t="s">
        <v>4881</v>
      </c>
      <c r="Y842" s="351" t="s">
        <v>6047</v>
      </c>
      <c r="Z842" s="325" t="s">
        <v>6048</v>
      </c>
      <c r="AA842" s="325" t="s">
        <v>3993</v>
      </c>
      <c r="AB842" s="325"/>
      <c r="AC842" s="287">
        <v>1</v>
      </c>
      <c r="AD842" s="287">
        <v>1</v>
      </c>
      <c r="AE842" s="281"/>
      <c r="AF842" s="281"/>
      <c r="AG842" s="288">
        <v>8140103</v>
      </c>
    </row>
    <row r="843" spans="1:33" x14ac:dyDescent="0.15">
      <c r="A843" s="323">
        <v>98050106</v>
      </c>
      <c r="B843" s="348" t="s">
        <v>6049</v>
      </c>
      <c r="C843" s="350" t="s">
        <v>5019</v>
      </c>
      <c r="D843" s="324">
        <v>8201</v>
      </c>
      <c r="E843" s="325" t="s">
        <v>4876</v>
      </c>
      <c r="F843" s="325" t="s">
        <v>5672</v>
      </c>
      <c r="G843" s="325">
        <v>6</v>
      </c>
      <c r="H843" s="325">
        <v>0</v>
      </c>
      <c r="I843" s="325">
        <v>34</v>
      </c>
      <c r="J843" s="327" t="s">
        <v>6050</v>
      </c>
      <c r="K843" s="328"/>
      <c r="L843" s="328"/>
      <c r="M843" s="325">
        <v>99</v>
      </c>
      <c r="N843" s="325" t="b">
        <v>1</v>
      </c>
      <c r="O843" s="265">
        <v>7</v>
      </c>
      <c r="P843" s="281">
        <v>105</v>
      </c>
      <c r="Q843" s="281">
        <v>140</v>
      </c>
      <c r="R843" s="325" t="s">
        <v>3383</v>
      </c>
      <c r="S843" s="325"/>
      <c r="T843" s="268">
        <v>1</v>
      </c>
      <c r="U843" s="325" t="s">
        <v>4880</v>
      </c>
      <c r="V843" s="325">
        <v>0</v>
      </c>
      <c r="W843" s="325"/>
      <c r="X843" s="325" t="s">
        <v>4881</v>
      </c>
      <c r="Y843" s="351" t="s">
        <v>6051</v>
      </c>
      <c r="Z843" s="325" t="s">
        <v>6052</v>
      </c>
      <c r="AA843" s="325" t="s">
        <v>3993</v>
      </c>
      <c r="AB843" s="325"/>
      <c r="AC843" s="287">
        <v>1</v>
      </c>
      <c r="AD843" s="287">
        <v>1</v>
      </c>
      <c r="AE843" s="281"/>
      <c r="AF843" s="281"/>
      <c r="AG843" s="288">
        <v>8050106</v>
      </c>
    </row>
    <row r="844" spans="1:33" x14ac:dyDescent="0.15">
      <c r="A844" s="326">
        <v>98050201</v>
      </c>
      <c r="B844" s="348" t="s">
        <v>5954</v>
      </c>
      <c r="C844" s="350" t="s">
        <v>5019</v>
      </c>
      <c r="D844" s="324">
        <v>8201</v>
      </c>
      <c r="E844" s="325" t="s">
        <v>4876</v>
      </c>
      <c r="F844" s="325" t="s">
        <v>5672</v>
      </c>
      <c r="G844" s="325">
        <v>6</v>
      </c>
      <c r="H844" s="325">
        <v>0</v>
      </c>
      <c r="I844" s="325">
        <v>34</v>
      </c>
      <c r="J844" s="327" t="s">
        <v>6053</v>
      </c>
      <c r="K844" s="328"/>
      <c r="L844" s="328"/>
      <c r="M844" s="325">
        <v>99</v>
      </c>
      <c r="N844" s="325" t="b">
        <v>1</v>
      </c>
      <c r="O844" s="265">
        <v>7</v>
      </c>
      <c r="P844" s="281">
        <v>105</v>
      </c>
      <c r="Q844" s="281">
        <v>140</v>
      </c>
      <c r="R844" s="325" t="s">
        <v>3383</v>
      </c>
      <c r="S844" s="325"/>
      <c r="T844" s="268">
        <v>1</v>
      </c>
      <c r="U844" s="325" t="s">
        <v>4880</v>
      </c>
      <c r="V844" s="325">
        <v>0</v>
      </c>
      <c r="W844" s="325"/>
      <c r="X844" s="325" t="s">
        <v>4881</v>
      </c>
      <c r="Y844" s="351" t="s">
        <v>6054</v>
      </c>
      <c r="Z844" s="325" t="s">
        <v>6055</v>
      </c>
      <c r="AA844" s="325" t="s">
        <v>3993</v>
      </c>
      <c r="AB844" s="325"/>
      <c r="AC844" s="287">
        <v>1</v>
      </c>
      <c r="AD844" s="287">
        <v>1</v>
      </c>
      <c r="AE844" s="281"/>
      <c r="AF844" s="281"/>
      <c r="AG844" s="288">
        <v>8050201</v>
      </c>
    </row>
    <row r="845" spans="1:33" x14ac:dyDescent="0.15">
      <c r="A845" s="263">
        <v>98050202</v>
      </c>
      <c r="B845" s="147" t="s">
        <v>6056</v>
      </c>
      <c r="C845" s="147" t="s">
        <v>5019</v>
      </c>
      <c r="D845" s="147">
        <v>8202</v>
      </c>
      <c r="E845" s="147" t="s">
        <v>4876</v>
      </c>
      <c r="F845" s="147" t="s">
        <v>5672</v>
      </c>
      <c r="G845" s="147">
        <v>6</v>
      </c>
      <c r="H845" s="147">
        <v>0</v>
      </c>
      <c r="I845" s="147">
        <v>34</v>
      </c>
      <c r="J845" s="147" t="s">
        <v>6057</v>
      </c>
      <c r="M845" s="147">
        <v>99</v>
      </c>
      <c r="N845" s="147" t="b">
        <v>1</v>
      </c>
      <c r="O845" s="147">
        <v>7</v>
      </c>
      <c r="P845" s="281">
        <v>105</v>
      </c>
      <c r="Q845" s="281">
        <v>140</v>
      </c>
      <c r="R845" s="147" t="s">
        <v>3383</v>
      </c>
      <c r="T845" s="147">
        <v>1</v>
      </c>
      <c r="U845" s="147" t="s">
        <v>4880</v>
      </c>
      <c r="V845" s="147">
        <v>0</v>
      </c>
      <c r="X845" s="147" t="s">
        <v>4881</v>
      </c>
      <c r="Y845" s="147" t="s">
        <v>6058</v>
      </c>
      <c r="Z845" s="147" t="s">
        <v>6059</v>
      </c>
      <c r="AA845" s="147" t="s">
        <v>3993</v>
      </c>
      <c r="AC845" s="147">
        <v>1</v>
      </c>
      <c r="AD845" s="147">
        <v>1</v>
      </c>
      <c r="AG845" s="147">
        <v>8050202</v>
      </c>
    </row>
    <row r="846" spans="1:33" x14ac:dyDescent="0.15">
      <c r="A846" s="263">
        <v>98010307</v>
      </c>
      <c r="B846" s="147" t="s">
        <v>6060</v>
      </c>
      <c r="C846" s="147" t="s">
        <v>5139</v>
      </c>
      <c r="D846" s="147">
        <v>8202</v>
      </c>
      <c r="E846" s="147" t="s">
        <v>4876</v>
      </c>
      <c r="F846" s="147" t="s">
        <v>5672</v>
      </c>
      <c r="G846" s="147">
        <v>6</v>
      </c>
      <c r="H846" s="147">
        <v>0</v>
      </c>
      <c r="I846" s="147">
        <v>34</v>
      </c>
      <c r="J846" s="147" t="s">
        <v>6061</v>
      </c>
      <c r="M846" s="147">
        <v>99</v>
      </c>
      <c r="N846" s="147" t="b">
        <v>1</v>
      </c>
      <c r="O846" s="147">
        <v>7</v>
      </c>
      <c r="P846" s="281">
        <v>105</v>
      </c>
      <c r="Q846" s="281">
        <v>140</v>
      </c>
      <c r="R846" s="147" t="s">
        <v>3383</v>
      </c>
      <c r="T846" s="147">
        <v>1</v>
      </c>
      <c r="U846" s="147" t="s">
        <v>4880</v>
      </c>
      <c r="V846" s="147">
        <v>0</v>
      </c>
      <c r="X846" s="147" t="s">
        <v>4881</v>
      </c>
      <c r="Y846" s="147" t="s">
        <v>6062</v>
      </c>
      <c r="Z846" s="147" t="s">
        <v>6063</v>
      </c>
      <c r="AA846" s="147" t="s">
        <v>3993</v>
      </c>
      <c r="AC846" s="147">
        <v>1</v>
      </c>
      <c r="AD846" s="147">
        <v>1</v>
      </c>
      <c r="AG846" s="147">
        <v>8010307</v>
      </c>
    </row>
    <row r="847" spans="1:33" x14ac:dyDescent="0.15">
      <c r="A847" s="263">
        <v>98150201</v>
      </c>
      <c r="B847" s="147" t="s">
        <v>6064</v>
      </c>
      <c r="C847" s="147" t="s">
        <v>5139</v>
      </c>
      <c r="D847" s="147">
        <v>8202</v>
      </c>
      <c r="E847" s="147" t="s">
        <v>4876</v>
      </c>
      <c r="F847" s="147" t="s">
        <v>5672</v>
      </c>
      <c r="G847" s="147">
        <v>6</v>
      </c>
      <c r="H847" s="147">
        <v>0</v>
      </c>
      <c r="I847" s="147">
        <v>34</v>
      </c>
      <c r="J847" s="147" t="s">
        <v>6065</v>
      </c>
      <c r="M847" s="147">
        <v>99</v>
      </c>
      <c r="N847" s="147" t="b">
        <v>1</v>
      </c>
      <c r="O847" s="147">
        <v>7</v>
      </c>
      <c r="P847" s="281">
        <v>105</v>
      </c>
      <c r="Q847" s="281">
        <v>140</v>
      </c>
      <c r="R847" s="147" t="s">
        <v>3383</v>
      </c>
      <c r="T847" s="147">
        <v>1</v>
      </c>
      <c r="U847" s="147" t="s">
        <v>4880</v>
      </c>
      <c r="V847" s="147">
        <v>0</v>
      </c>
      <c r="X847" s="147" t="s">
        <v>4881</v>
      </c>
      <c r="Y847" s="147" t="s">
        <v>6066</v>
      </c>
      <c r="Z847" s="147" t="s">
        <v>6067</v>
      </c>
      <c r="AA847" s="147" t="s">
        <v>3993</v>
      </c>
      <c r="AC847" s="147">
        <v>1</v>
      </c>
      <c r="AD847" s="147">
        <v>1</v>
      </c>
      <c r="AG847" s="147">
        <v>8150201</v>
      </c>
    </row>
    <row r="848" spans="1:33" x14ac:dyDescent="0.15">
      <c r="A848" s="263">
        <v>98150202</v>
      </c>
      <c r="B848" s="147" t="s">
        <v>6068</v>
      </c>
      <c r="C848" s="147" t="s">
        <v>5139</v>
      </c>
      <c r="D848" s="147">
        <v>8202</v>
      </c>
      <c r="E848" s="147" t="s">
        <v>4876</v>
      </c>
      <c r="F848" s="147" t="s">
        <v>5672</v>
      </c>
      <c r="G848" s="147">
        <v>6</v>
      </c>
      <c r="H848" s="147">
        <v>0</v>
      </c>
      <c r="I848" s="147">
        <v>34</v>
      </c>
      <c r="J848" s="147" t="s">
        <v>6069</v>
      </c>
      <c r="M848" s="147">
        <v>99</v>
      </c>
      <c r="N848" s="147" t="b">
        <v>1</v>
      </c>
      <c r="O848" s="147">
        <v>7</v>
      </c>
      <c r="P848" s="281">
        <v>105</v>
      </c>
      <c r="Q848" s="281">
        <v>140</v>
      </c>
      <c r="R848" s="147" t="s">
        <v>3383</v>
      </c>
      <c r="T848" s="147">
        <v>1</v>
      </c>
      <c r="U848" s="147" t="s">
        <v>4880</v>
      </c>
      <c r="V848" s="147">
        <v>0</v>
      </c>
      <c r="X848" s="147" t="s">
        <v>4881</v>
      </c>
      <c r="Y848" s="147" t="s">
        <v>6070</v>
      </c>
      <c r="Z848" s="147" t="s">
        <v>6071</v>
      </c>
      <c r="AA848" s="147" t="s">
        <v>3993</v>
      </c>
      <c r="AC848" s="147">
        <v>1</v>
      </c>
      <c r="AD848" s="147">
        <v>1</v>
      </c>
      <c r="AG848" s="147">
        <v>8150202</v>
      </c>
    </row>
    <row r="849" spans="1:33" x14ac:dyDescent="0.15">
      <c r="A849" s="263">
        <v>98040401</v>
      </c>
      <c r="B849" s="147" t="s">
        <v>6072</v>
      </c>
      <c r="C849" s="147" t="s">
        <v>5002</v>
      </c>
      <c r="D849" s="147">
        <v>8201</v>
      </c>
      <c r="E849" s="147" t="s">
        <v>4876</v>
      </c>
      <c r="F849" s="147" t="s">
        <v>5672</v>
      </c>
      <c r="G849" s="147">
        <v>6</v>
      </c>
      <c r="H849" s="147">
        <v>0</v>
      </c>
      <c r="I849" s="147">
        <v>34</v>
      </c>
      <c r="J849" s="147" t="s">
        <v>6073</v>
      </c>
      <c r="M849" s="147">
        <v>99</v>
      </c>
      <c r="N849" s="147" t="b">
        <v>1</v>
      </c>
      <c r="O849" s="147">
        <v>7</v>
      </c>
      <c r="P849" s="281">
        <v>105</v>
      </c>
      <c r="Q849" s="281">
        <v>140</v>
      </c>
      <c r="R849" s="147" t="s">
        <v>3383</v>
      </c>
      <c r="T849" s="147">
        <v>1</v>
      </c>
      <c r="U849" s="147" t="s">
        <v>4880</v>
      </c>
      <c r="V849" s="147">
        <v>0</v>
      </c>
      <c r="X849" s="147" t="s">
        <v>4881</v>
      </c>
      <c r="Y849" s="147" t="s">
        <v>6074</v>
      </c>
      <c r="Z849" s="147" t="s">
        <v>6075</v>
      </c>
      <c r="AA849" s="147" t="s">
        <v>3993</v>
      </c>
      <c r="AC849" s="147">
        <v>1</v>
      </c>
      <c r="AD849" s="147">
        <v>1</v>
      </c>
      <c r="AG849" s="147">
        <v>8040401</v>
      </c>
    </row>
    <row r="850" spans="1:33" x14ac:dyDescent="0.15">
      <c r="A850" s="263">
        <v>98040402</v>
      </c>
      <c r="B850" s="147" t="s">
        <v>6076</v>
      </c>
      <c r="C850" s="147" t="s">
        <v>5002</v>
      </c>
      <c r="D850" s="147">
        <v>8201</v>
      </c>
      <c r="E850" s="147" t="s">
        <v>4876</v>
      </c>
      <c r="F850" s="147" t="s">
        <v>5672</v>
      </c>
      <c r="G850" s="147">
        <v>6</v>
      </c>
      <c r="H850" s="147">
        <v>0</v>
      </c>
      <c r="I850" s="147">
        <v>34</v>
      </c>
      <c r="J850" s="147" t="s">
        <v>6077</v>
      </c>
      <c r="M850" s="147">
        <v>99</v>
      </c>
      <c r="N850" s="147" t="b">
        <v>1</v>
      </c>
      <c r="O850" s="147">
        <v>7</v>
      </c>
      <c r="P850" s="281">
        <v>105</v>
      </c>
      <c r="Q850" s="281">
        <v>140</v>
      </c>
      <c r="R850" s="147" t="s">
        <v>3383</v>
      </c>
      <c r="T850" s="147">
        <v>1</v>
      </c>
      <c r="U850" s="147" t="s">
        <v>4880</v>
      </c>
      <c r="V850" s="147">
        <v>0</v>
      </c>
      <c r="X850" s="147" t="s">
        <v>4881</v>
      </c>
      <c r="Y850" s="147" t="s">
        <v>6078</v>
      </c>
      <c r="Z850" s="147" t="s">
        <v>6079</v>
      </c>
      <c r="AA850" s="147" t="s">
        <v>3993</v>
      </c>
      <c r="AC850" s="147">
        <v>1</v>
      </c>
      <c r="AD850" s="147">
        <v>1</v>
      </c>
      <c r="AG850" s="147">
        <v>8040402</v>
      </c>
    </row>
    <row r="851" spans="1:33" x14ac:dyDescent="0.15">
      <c r="A851" s="263">
        <v>98040403</v>
      </c>
      <c r="B851" s="147" t="s">
        <v>6080</v>
      </c>
      <c r="C851" s="147" t="s">
        <v>5002</v>
      </c>
      <c r="D851" s="147">
        <v>8201</v>
      </c>
      <c r="E851" s="147" t="s">
        <v>4876</v>
      </c>
      <c r="F851" s="147" t="s">
        <v>5672</v>
      </c>
      <c r="G851" s="147">
        <v>6</v>
      </c>
      <c r="H851" s="147">
        <v>0</v>
      </c>
      <c r="I851" s="147">
        <v>34</v>
      </c>
      <c r="J851" s="147" t="s">
        <v>6081</v>
      </c>
      <c r="M851" s="147">
        <v>99</v>
      </c>
      <c r="N851" s="147" t="b">
        <v>1</v>
      </c>
      <c r="O851" s="147">
        <v>7</v>
      </c>
      <c r="P851" s="281">
        <v>105</v>
      </c>
      <c r="Q851" s="281">
        <v>140</v>
      </c>
      <c r="R851" s="147" t="s">
        <v>3383</v>
      </c>
      <c r="T851" s="147">
        <v>1</v>
      </c>
      <c r="U851" s="147" t="s">
        <v>4880</v>
      </c>
      <c r="V851" s="147">
        <v>0</v>
      </c>
      <c r="X851" s="147" t="s">
        <v>4881</v>
      </c>
      <c r="Y851" s="147" t="s">
        <v>6082</v>
      </c>
      <c r="Z851" s="147" t="s">
        <v>6083</v>
      </c>
      <c r="AA851" s="147" t="s">
        <v>3993</v>
      </c>
      <c r="AC851" s="147">
        <v>1</v>
      </c>
      <c r="AD851" s="147">
        <v>1</v>
      </c>
      <c r="AG851" s="147">
        <v>8040403</v>
      </c>
    </row>
    <row r="852" spans="1:33" x14ac:dyDescent="0.15">
      <c r="A852" s="263">
        <v>98050107</v>
      </c>
      <c r="B852" s="147" t="s">
        <v>6084</v>
      </c>
      <c r="C852" s="147" t="s">
        <v>5052</v>
      </c>
      <c r="D852" s="147">
        <v>8202</v>
      </c>
      <c r="E852" s="147" t="s">
        <v>4876</v>
      </c>
      <c r="F852" s="147" t="s">
        <v>5672</v>
      </c>
      <c r="G852" s="147">
        <v>6</v>
      </c>
      <c r="H852" s="147">
        <v>0</v>
      </c>
      <c r="I852" s="147">
        <v>34</v>
      </c>
      <c r="J852" s="147" t="s">
        <v>6085</v>
      </c>
      <c r="M852" s="147">
        <v>99</v>
      </c>
      <c r="N852" s="147" t="b">
        <v>1</v>
      </c>
      <c r="O852" s="147">
        <v>7</v>
      </c>
      <c r="P852" s="281">
        <v>105</v>
      </c>
      <c r="Q852" s="281">
        <v>140</v>
      </c>
      <c r="R852" s="147" t="s">
        <v>3383</v>
      </c>
      <c r="T852" s="147">
        <v>1</v>
      </c>
      <c r="U852" s="147" t="s">
        <v>4880</v>
      </c>
      <c r="V852" s="147">
        <v>0</v>
      </c>
      <c r="X852" s="147" t="s">
        <v>4881</v>
      </c>
      <c r="Y852" s="147" t="s">
        <v>6086</v>
      </c>
      <c r="Z852" s="147" t="s">
        <v>6087</v>
      </c>
      <c r="AA852" s="147" t="s">
        <v>3993</v>
      </c>
      <c r="AC852" s="147">
        <v>1</v>
      </c>
      <c r="AD852" s="147">
        <v>1</v>
      </c>
      <c r="AG852" s="147">
        <v>8050107</v>
      </c>
    </row>
    <row r="853" spans="1:33" x14ac:dyDescent="0.15">
      <c r="A853" s="263">
        <v>98090201</v>
      </c>
      <c r="B853" s="147" t="s">
        <v>6088</v>
      </c>
      <c r="C853" s="147" t="s">
        <v>5052</v>
      </c>
      <c r="D853" s="147">
        <v>8202</v>
      </c>
      <c r="E853" s="147" t="s">
        <v>4876</v>
      </c>
      <c r="F853" s="147" t="s">
        <v>5672</v>
      </c>
      <c r="G853" s="147">
        <v>6</v>
      </c>
      <c r="H853" s="147">
        <v>0</v>
      </c>
      <c r="I853" s="147">
        <v>34</v>
      </c>
      <c r="J853" s="147" t="s">
        <v>6089</v>
      </c>
      <c r="M853" s="147">
        <v>99</v>
      </c>
      <c r="N853" s="147" t="b">
        <v>1</v>
      </c>
      <c r="O853" s="147">
        <v>7</v>
      </c>
      <c r="P853" s="281">
        <v>105</v>
      </c>
      <c r="Q853" s="281">
        <v>140</v>
      </c>
      <c r="R853" s="147" t="s">
        <v>3383</v>
      </c>
      <c r="T853" s="147">
        <v>1</v>
      </c>
      <c r="U853" s="147" t="s">
        <v>4880</v>
      </c>
      <c r="V853" s="147">
        <v>0</v>
      </c>
      <c r="X853" s="147" t="s">
        <v>4881</v>
      </c>
      <c r="Y853" s="147" t="s">
        <v>6090</v>
      </c>
      <c r="Z853" s="147" t="s">
        <v>6091</v>
      </c>
      <c r="AA853" s="147" t="s">
        <v>3993</v>
      </c>
      <c r="AC853" s="147">
        <v>1</v>
      </c>
      <c r="AD853" s="147">
        <v>1</v>
      </c>
      <c r="AG853" s="147">
        <v>8090201</v>
      </c>
    </row>
    <row r="854" spans="1:33" x14ac:dyDescent="0.15">
      <c r="A854" s="263">
        <v>98090202</v>
      </c>
      <c r="B854" s="147" t="s">
        <v>6092</v>
      </c>
      <c r="C854" s="147" t="s">
        <v>5052</v>
      </c>
      <c r="D854" s="147">
        <v>8201</v>
      </c>
      <c r="E854" s="147" t="s">
        <v>4876</v>
      </c>
      <c r="F854" s="147" t="s">
        <v>5672</v>
      </c>
      <c r="G854" s="147">
        <v>6</v>
      </c>
      <c r="H854" s="147">
        <v>0</v>
      </c>
      <c r="I854" s="147">
        <v>34</v>
      </c>
      <c r="J854" s="147" t="s">
        <v>6093</v>
      </c>
      <c r="M854" s="147">
        <v>99</v>
      </c>
      <c r="N854" s="147" t="b">
        <v>1</v>
      </c>
      <c r="O854" s="147">
        <v>7</v>
      </c>
      <c r="P854" s="281">
        <v>105</v>
      </c>
      <c r="Q854" s="281">
        <v>140</v>
      </c>
      <c r="R854" s="147" t="s">
        <v>3383</v>
      </c>
      <c r="T854" s="147">
        <v>1</v>
      </c>
      <c r="U854" s="147" t="s">
        <v>4880</v>
      </c>
      <c r="V854" s="147">
        <v>0</v>
      </c>
      <c r="X854" s="147" t="s">
        <v>4881</v>
      </c>
      <c r="Y854" s="147" t="s">
        <v>6094</v>
      </c>
      <c r="Z854" s="147" t="s">
        <v>6095</v>
      </c>
      <c r="AA854" s="147" t="s">
        <v>3993</v>
      </c>
      <c r="AC854" s="147">
        <v>1</v>
      </c>
      <c r="AD854" s="147">
        <v>1</v>
      </c>
      <c r="AG854" s="147">
        <v>8090202</v>
      </c>
    </row>
    <row r="855" spans="1:33" x14ac:dyDescent="0.15">
      <c r="A855" s="263">
        <v>98030201</v>
      </c>
      <c r="B855" s="147" t="s">
        <v>6096</v>
      </c>
      <c r="C855" s="147" t="s">
        <v>4972</v>
      </c>
      <c r="D855" s="147">
        <v>8202</v>
      </c>
      <c r="E855" s="147" t="s">
        <v>4876</v>
      </c>
      <c r="F855" s="147" t="s">
        <v>5672</v>
      </c>
      <c r="G855" s="147">
        <v>6</v>
      </c>
      <c r="H855" s="147">
        <v>0</v>
      </c>
      <c r="I855" s="147">
        <v>34</v>
      </c>
      <c r="J855" s="147" t="s">
        <v>6097</v>
      </c>
      <c r="M855" s="147">
        <v>99</v>
      </c>
      <c r="N855" s="147" t="b">
        <v>1</v>
      </c>
      <c r="O855" s="147">
        <v>7</v>
      </c>
      <c r="P855" s="281">
        <v>105</v>
      </c>
      <c r="Q855" s="281">
        <v>140</v>
      </c>
      <c r="R855" s="147" t="s">
        <v>3383</v>
      </c>
      <c r="T855" s="147">
        <v>1</v>
      </c>
      <c r="U855" s="147" t="s">
        <v>4880</v>
      </c>
      <c r="V855" s="147">
        <v>0</v>
      </c>
      <c r="X855" s="147" t="s">
        <v>4881</v>
      </c>
      <c r="Y855" s="147" t="s">
        <v>6098</v>
      </c>
      <c r="Z855" s="147" t="s">
        <v>6099</v>
      </c>
      <c r="AA855" s="147" t="s">
        <v>3993</v>
      </c>
      <c r="AC855" s="147">
        <v>1</v>
      </c>
      <c r="AD855" s="147">
        <v>1</v>
      </c>
      <c r="AG855" s="147">
        <v>8030201</v>
      </c>
    </row>
    <row r="856" spans="1:33" x14ac:dyDescent="0.15">
      <c r="A856" s="263">
        <v>98030202</v>
      </c>
      <c r="B856" s="147" t="s">
        <v>6100</v>
      </c>
      <c r="C856" s="147" t="s">
        <v>4972</v>
      </c>
      <c r="D856" s="147">
        <v>8202</v>
      </c>
      <c r="E856" s="147" t="s">
        <v>4876</v>
      </c>
      <c r="F856" s="147" t="s">
        <v>5672</v>
      </c>
      <c r="G856" s="147">
        <v>6</v>
      </c>
      <c r="H856" s="147">
        <v>0</v>
      </c>
      <c r="I856" s="147">
        <v>34</v>
      </c>
      <c r="J856" s="147" t="s">
        <v>6101</v>
      </c>
      <c r="M856" s="147">
        <v>99</v>
      </c>
      <c r="N856" s="147" t="b">
        <v>1</v>
      </c>
      <c r="O856" s="147">
        <v>7</v>
      </c>
      <c r="P856" s="281">
        <v>105</v>
      </c>
      <c r="Q856" s="281">
        <v>140</v>
      </c>
      <c r="R856" s="147" t="s">
        <v>3383</v>
      </c>
      <c r="T856" s="147">
        <v>1</v>
      </c>
      <c r="U856" s="147" t="s">
        <v>4880</v>
      </c>
      <c r="V856" s="147">
        <v>0</v>
      </c>
      <c r="X856" s="147" t="s">
        <v>4881</v>
      </c>
      <c r="Y856" s="147" t="s">
        <v>6102</v>
      </c>
      <c r="Z856" s="147" t="s">
        <v>6103</v>
      </c>
      <c r="AA856" s="147" t="s">
        <v>3993</v>
      </c>
      <c r="AC856" s="147">
        <v>1</v>
      </c>
      <c r="AD856" s="147">
        <v>1</v>
      </c>
      <c r="AG856" s="147">
        <v>8030202</v>
      </c>
    </row>
    <row r="857" spans="1:33" x14ac:dyDescent="0.15">
      <c r="A857" s="263">
        <v>98030203</v>
      </c>
      <c r="B857" s="147" t="s">
        <v>6104</v>
      </c>
      <c r="C857" s="147" t="s">
        <v>4972</v>
      </c>
      <c r="D857" s="147">
        <v>8201</v>
      </c>
      <c r="E857" s="147" t="s">
        <v>4876</v>
      </c>
      <c r="F857" s="147" t="s">
        <v>5672</v>
      </c>
      <c r="G857" s="147">
        <v>6</v>
      </c>
      <c r="H857" s="147">
        <v>0</v>
      </c>
      <c r="I857" s="147">
        <v>34</v>
      </c>
      <c r="J857" s="147" t="s">
        <v>6105</v>
      </c>
      <c r="M857" s="147">
        <v>99</v>
      </c>
      <c r="N857" s="147" t="b">
        <v>1</v>
      </c>
      <c r="O857" s="147">
        <v>7</v>
      </c>
      <c r="P857" s="281">
        <v>105</v>
      </c>
      <c r="Q857" s="281">
        <v>140</v>
      </c>
      <c r="R857" s="147" t="s">
        <v>3383</v>
      </c>
      <c r="T857" s="147">
        <v>1</v>
      </c>
      <c r="V857" s="147">
        <v>0</v>
      </c>
      <c r="X857" s="147" t="s">
        <v>4881</v>
      </c>
      <c r="Y857" s="147" t="s">
        <v>6106</v>
      </c>
      <c r="Z857" s="147" t="s">
        <v>6107</v>
      </c>
      <c r="AA857" s="147" t="s">
        <v>3993</v>
      </c>
      <c r="AC857" s="147">
        <v>1</v>
      </c>
      <c r="AD857" s="147">
        <v>1</v>
      </c>
      <c r="AG857" s="147">
        <v>8030203</v>
      </c>
    </row>
    <row r="858" spans="1:33" x14ac:dyDescent="0.15">
      <c r="A858" s="263">
        <v>95410101</v>
      </c>
      <c r="B858" s="147" t="s">
        <v>6108</v>
      </c>
      <c r="C858" s="147" t="s">
        <v>6109</v>
      </c>
      <c r="D858" s="147">
        <v>9101</v>
      </c>
      <c r="E858" s="147" t="s">
        <v>4876</v>
      </c>
      <c r="F858" s="147" t="s">
        <v>6110</v>
      </c>
      <c r="G858" s="147">
        <v>7</v>
      </c>
      <c r="H858" s="147">
        <v>0</v>
      </c>
      <c r="I858" s="147">
        <v>34</v>
      </c>
      <c r="J858" s="147" t="s">
        <v>6111</v>
      </c>
      <c r="M858" s="147">
        <v>99</v>
      </c>
      <c r="N858" s="147" t="b">
        <v>1</v>
      </c>
      <c r="O858" s="147">
        <v>2</v>
      </c>
      <c r="P858" s="281">
        <v>30</v>
      </c>
      <c r="Q858" s="281">
        <v>40</v>
      </c>
      <c r="R858" s="147" t="s">
        <v>3383</v>
      </c>
      <c r="T858" s="147">
        <v>1</v>
      </c>
      <c r="U858" s="147" t="s">
        <v>4880</v>
      </c>
      <c r="V858" s="147">
        <v>0</v>
      </c>
      <c r="X858" s="147" t="s">
        <v>4881</v>
      </c>
      <c r="Y858" s="147" t="s">
        <v>6112</v>
      </c>
      <c r="Z858" s="147" t="s">
        <v>6113</v>
      </c>
      <c r="AA858" s="147" t="s">
        <v>6114</v>
      </c>
      <c r="AC858" s="147">
        <v>1</v>
      </c>
      <c r="AD858" s="147">
        <v>0</v>
      </c>
    </row>
    <row r="859" spans="1:33" x14ac:dyDescent="0.15">
      <c r="A859" s="263">
        <v>95410102</v>
      </c>
      <c r="B859" s="147" t="s">
        <v>6115</v>
      </c>
      <c r="C859" s="147" t="s">
        <v>6109</v>
      </c>
      <c r="D859" s="147">
        <v>9101</v>
      </c>
      <c r="E859" s="147" t="s">
        <v>4876</v>
      </c>
      <c r="F859" s="147" t="s">
        <v>6110</v>
      </c>
      <c r="G859" s="147">
        <v>7</v>
      </c>
      <c r="H859" s="147">
        <v>0</v>
      </c>
      <c r="I859" s="147">
        <v>34</v>
      </c>
      <c r="J859" s="147" t="s">
        <v>6116</v>
      </c>
      <c r="M859" s="147">
        <v>99</v>
      </c>
      <c r="N859" s="147" t="b">
        <v>1</v>
      </c>
      <c r="O859" s="147">
        <v>2</v>
      </c>
      <c r="P859" s="281">
        <v>30</v>
      </c>
      <c r="Q859" s="281">
        <v>40</v>
      </c>
      <c r="R859" s="147" t="s">
        <v>3383</v>
      </c>
      <c r="T859" s="147">
        <v>1</v>
      </c>
      <c r="U859" s="147" t="s">
        <v>4880</v>
      </c>
      <c r="V859" s="147">
        <v>0</v>
      </c>
      <c r="X859" s="147" t="s">
        <v>4881</v>
      </c>
      <c r="Y859" s="147" t="s">
        <v>6117</v>
      </c>
      <c r="Z859" s="147" t="s">
        <v>6118</v>
      </c>
      <c r="AA859" s="147" t="s">
        <v>6114</v>
      </c>
      <c r="AC859" s="147">
        <v>1</v>
      </c>
      <c r="AD859" s="147">
        <v>0</v>
      </c>
    </row>
    <row r="860" spans="1:33" x14ac:dyDescent="0.15">
      <c r="A860" s="263">
        <v>95410103</v>
      </c>
      <c r="B860" s="147" t="s">
        <v>6119</v>
      </c>
      <c r="C860" s="147" t="s">
        <v>6109</v>
      </c>
      <c r="D860" s="147">
        <v>9101</v>
      </c>
      <c r="E860" s="147" t="s">
        <v>4876</v>
      </c>
      <c r="F860" s="147" t="s">
        <v>6110</v>
      </c>
      <c r="G860" s="147">
        <v>7</v>
      </c>
      <c r="H860" s="147">
        <v>0</v>
      </c>
      <c r="I860" s="147">
        <v>34</v>
      </c>
      <c r="J860" s="147" t="s">
        <v>6120</v>
      </c>
      <c r="M860" s="147">
        <v>99</v>
      </c>
      <c r="N860" s="147" t="b">
        <v>1</v>
      </c>
      <c r="O860" s="147">
        <v>2</v>
      </c>
      <c r="P860" s="281">
        <v>30</v>
      </c>
      <c r="Q860" s="281">
        <v>40</v>
      </c>
      <c r="R860" s="147" t="s">
        <v>3383</v>
      </c>
      <c r="T860" s="147">
        <v>1</v>
      </c>
      <c r="U860" s="147" t="s">
        <v>4880</v>
      </c>
      <c r="V860" s="147">
        <v>0</v>
      </c>
      <c r="X860" s="147" t="s">
        <v>4881</v>
      </c>
      <c r="Y860" s="147" t="s">
        <v>6121</v>
      </c>
      <c r="Z860" s="147" t="s">
        <v>6122</v>
      </c>
      <c r="AA860" s="147" t="s">
        <v>6114</v>
      </c>
      <c r="AC860" s="147">
        <v>1</v>
      </c>
      <c r="AD860" s="147">
        <v>0</v>
      </c>
    </row>
    <row r="861" spans="1:33" x14ac:dyDescent="0.15">
      <c r="A861" s="263">
        <v>95410104</v>
      </c>
      <c r="B861" s="147" t="s">
        <v>6123</v>
      </c>
      <c r="C861" s="147" t="s">
        <v>6109</v>
      </c>
      <c r="D861" s="147">
        <v>9101</v>
      </c>
      <c r="E861" s="147" t="s">
        <v>4876</v>
      </c>
      <c r="F861" s="147" t="s">
        <v>6110</v>
      </c>
      <c r="G861" s="147">
        <v>7</v>
      </c>
      <c r="H861" s="147">
        <v>0</v>
      </c>
      <c r="I861" s="147">
        <v>34</v>
      </c>
      <c r="J861" s="147" t="s">
        <v>6124</v>
      </c>
      <c r="M861" s="147">
        <v>99</v>
      </c>
      <c r="N861" s="147" t="b">
        <v>1</v>
      </c>
      <c r="O861" s="147">
        <v>2</v>
      </c>
      <c r="P861" s="281">
        <v>30</v>
      </c>
      <c r="Q861" s="281">
        <v>40</v>
      </c>
      <c r="R861" s="147" t="s">
        <v>3383</v>
      </c>
      <c r="T861" s="147">
        <v>1</v>
      </c>
      <c r="U861" s="147" t="s">
        <v>4880</v>
      </c>
      <c r="V861" s="147">
        <v>0</v>
      </c>
      <c r="X861" s="147" t="s">
        <v>4881</v>
      </c>
      <c r="Y861" s="147" t="s">
        <v>6125</v>
      </c>
      <c r="Z861" s="147" t="s">
        <v>6126</v>
      </c>
      <c r="AA861" s="147" t="s">
        <v>6114</v>
      </c>
      <c r="AC861" s="147">
        <v>1</v>
      </c>
      <c r="AD861" s="147">
        <v>0</v>
      </c>
    </row>
    <row r="862" spans="1:33" x14ac:dyDescent="0.15">
      <c r="A862" s="263">
        <v>95410105</v>
      </c>
      <c r="B862" s="147" t="s">
        <v>6127</v>
      </c>
      <c r="C862" s="147" t="s">
        <v>6109</v>
      </c>
      <c r="D862" s="147">
        <v>9101</v>
      </c>
      <c r="E862" s="147" t="s">
        <v>4876</v>
      </c>
      <c r="F862" s="147" t="s">
        <v>6110</v>
      </c>
      <c r="G862" s="147">
        <v>7</v>
      </c>
      <c r="H862" s="147">
        <v>0</v>
      </c>
      <c r="I862" s="147">
        <v>34</v>
      </c>
      <c r="J862" s="147" t="s">
        <v>6128</v>
      </c>
      <c r="M862" s="147">
        <v>99</v>
      </c>
      <c r="N862" s="147" t="b">
        <v>1</v>
      </c>
      <c r="O862" s="147">
        <v>2</v>
      </c>
      <c r="P862" s="281">
        <v>30</v>
      </c>
      <c r="Q862" s="281">
        <v>40</v>
      </c>
      <c r="R862" s="147" t="s">
        <v>3383</v>
      </c>
      <c r="T862" s="147">
        <v>1</v>
      </c>
      <c r="U862" s="147" t="s">
        <v>4880</v>
      </c>
      <c r="V862" s="147">
        <v>0</v>
      </c>
      <c r="X862" s="147" t="s">
        <v>4881</v>
      </c>
      <c r="Y862" s="147" t="s">
        <v>6129</v>
      </c>
      <c r="Z862" s="147" t="s">
        <v>6130</v>
      </c>
      <c r="AA862" s="147" t="s">
        <v>6114</v>
      </c>
      <c r="AC862" s="147">
        <v>1</v>
      </c>
      <c r="AD862" s="147">
        <v>0</v>
      </c>
    </row>
    <row r="863" spans="1:33" x14ac:dyDescent="0.15">
      <c r="A863" s="263">
        <v>95410106</v>
      </c>
      <c r="B863" s="147" t="s">
        <v>6131</v>
      </c>
      <c r="C863" s="147" t="s">
        <v>6109</v>
      </c>
      <c r="D863" s="147">
        <v>9101</v>
      </c>
      <c r="E863" s="147" t="s">
        <v>4876</v>
      </c>
      <c r="F863" s="147" t="s">
        <v>6110</v>
      </c>
      <c r="G863" s="147">
        <v>7</v>
      </c>
      <c r="H863" s="147">
        <v>0</v>
      </c>
      <c r="I863" s="147">
        <v>34</v>
      </c>
      <c r="J863" s="147" t="s">
        <v>6132</v>
      </c>
      <c r="M863" s="147">
        <v>99</v>
      </c>
      <c r="N863" s="147" t="b">
        <v>1</v>
      </c>
      <c r="O863" s="147">
        <v>2</v>
      </c>
      <c r="P863" s="281">
        <v>30</v>
      </c>
      <c r="Q863" s="281">
        <v>40</v>
      </c>
      <c r="R863" s="147" t="s">
        <v>3383</v>
      </c>
      <c r="T863" s="147">
        <v>1</v>
      </c>
      <c r="U863" s="147" t="s">
        <v>4880</v>
      </c>
      <c r="V863" s="147">
        <v>0</v>
      </c>
      <c r="X863" s="147" t="s">
        <v>4881</v>
      </c>
      <c r="Y863" s="147" t="s">
        <v>6133</v>
      </c>
      <c r="Z863" s="147" t="s">
        <v>6134</v>
      </c>
      <c r="AA863" s="147" t="s">
        <v>6114</v>
      </c>
      <c r="AC863" s="147">
        <v>1</v>
      </c>
      <c r="AD863" s="147">
        <v>0</v>
      </c>
    </row>
    <row r="864" spans="1:33" x14ac:dyDescent="0.15">
      <c r="A864" s="263">
        <v>95410107</v>
      </c>
      <c r="B864" s="147" t="s">
        <v>6135</v>
      </c>
      <c r="C864" s="147" t="s">
        <v>6109</v>
      </c>
      <c r="D864" s="147">
        <v>9101</v>
      </c>
      <c r="E864" s="147" t="s">
        <v>4876</v>
      </c>
      <c r="F864" s="147" t="s">
        <v>6110</v>
      </c>
      <c r="G864" s="147">
        <v>7</v>
      </c>
      <c r="H864" s="147">
        <v>0</v>
      </c>
      <c r="I864" s="147">
        <v>34</v>
      </c>
      <c r="J864" s="147" t="s">
        <v>6136</v>
      </c>
      <c r="M864" s="147">
        <v>99</v>
      </c>
      <c r="N864" s="147" t="b">
        <v>1</v>
      </c>
      <c r="O864" s="147">
        <v>5</v>
      </c>
      <c r="P864" s="281">
        <v>75</v>
      </c>
      <c r="Q864" s="281">
        <v>100</v>
      </c>
      <c r="R864" s="147" t="s">
        <v>3383</v>
      </c>
      <c r="T864" s="147">
        <v>1</v>
      </c>
      <c r="U864" s="147" t="s">
        <v>4880</v>
      </c>
      <c r="V864" s="147">
        <v>0</v>
      </c>
      <c r="X864" s="147" t="s">
        <v>4881</v>
      </c>
      <c r="Y864" s="147" t="s">
        <v>6137</v>
      </c>
      <c r="Z864" s="147" t="s">
        <v>6138</v>
      </c>
      <c r="AA864" s="147" t="s">
        <v>6114</v>
      </c>
      <c r="AC864" s="147">
        <v>1</v>
      </c>
      <c r="AD864" s="147">
        <v>0</v>
      </c>
    </row>
    <row r="865" spans="1:30" x14ac:dyDescent="0.15">
      <c r="A865" s="263">
        <v>95410108</v>
      </c>
      <c r="B865" s="147" t="s">
        <v>6139</v>
      </c>
      <c r="C865" s="147" t="s">
        <v>6109</v>
      </c>
      <c r="D865" s="147">
        <v>9101</v>
      </c>
      <c r="E865" s="147" t="s">
        <v>4876</v>
      </c>
      <c r="F865" s="147" t="s">
        <v>6110</v>
      </c>
      <c r="G865" s="147">
        <v>7</v>
      </c>
      <c r="H865" s="147">
        <v>0</v>
      </c>
      <c r="I865" s="147">
        <v>34</v>
      </c>
      <c r="J865" s="147" t="s">
        <v>6140</v>
      </c>
      <c r="M865" s="147">
        <v>99</v>
      </c>
      <c r="N865" s="147" t="b">
        <v>1</v>
      </c>
      <c r="O865" s="147">
        <v>5</v>
      </c>
      <c r="P865" s="281">
        <v>75</v>
      </c>
      <c r="Q865" s="281">
        <v>100</v>
      </c>
      <c r="R865" s="147" t="s">
        <v>3383</v>
      </c>
      <c r="T865" s="147">
        <v>1</v>
      </c>
      <c r="U865" s="147" t="s">
        <v>4880</v>
      </c>
      <c r="V865" s="147">
        <v>0</v>
      </c>
      <c r="X865" s="147" t="s">
        <v>4881</v>
      </c>
      <c r="Y865" s="147" t="s">
        <v>6141</v>
      </c>
      <c r="Z865" s="147" t="s">
        <v>6142</v>
      </c>
      <c r="AA865" s="147" t="s">
        <v>6114</v>
      </c>
      <c r="AC865" s="147">
        <v>1</v>
      </c>
      <c r="AD865" s="147">
        <v>0</v>
      </c>
    </row>
    <row r="866" spans="1:30" x14ac:dyDescent="0.15">
      <c r="A866" s="263">
        <v>95410109</v>
      </c>
      <c r="B866" s="147" t="s">
        <v>6143</v>
      </c>
      <c r="C866" s="147" t="s">
        <v>6109</v>
      </c>
      <c r="D866" s="147">
        <v>9101</v>
      </c>
      <c r="E866" s="147" t="s">
        <v>4876</v>
      </c>
      <c r="F866" s="147" t="s">
        <v>6110</v>
      </c>
      <c r="G866" s="147">
        <v>7</v>
      </c>
      <c r="H866" s="147">
        <v>0</v>
      </c>
      <c r="I866" s="147">
        <v>34</v>
      </c>
      <c r="J866" s="147" t="s">
        <v>6144</v>
      </c>
      <c r="M866" s="147">
        <v>99</v>
      </c>
      <c r="N866" s="147" t="b">
        <v>1</v>
      </c>
      <c r="O866" s="147">
        <v>5</v>
      </c>
      <c r="P866" s="281">
        <v>75</v>
      </c>
      <c r="Q866" s="281">
        <v>100</v>
      </c>
      <c r="R866" s="147" t="s">
        <v>3383</v>
      </c>
      <c r="T866" s="147">
        <v>1</v>
      </c>
      <c r="U866" s="147" t="s">
        <v>4880</v>
      </c>
      <c r="V866" s="147">
        <v>0</v>
      </c>
      <c r="X866" s="147" t="s">
        <v>4881</v>
      </c>
      <c r="Y866" s="147" t="s">
        <v>6145</v>
      </c>
      <c r="Z866" s="147" t="s">
        <v>6146</v>
      </c>
      <c r="AA866" s="147" t="s">
        <v>6114</v>
      </c>
      <c r="AC866" s="147">
        <v>1</v>
      </c>
      <c r="AD866" s="147">
        <v>0</v>
      </c>
    </row>
    <row r="867" spans="1:30" x14ac:dyDescent="0.15">
      <c r="A867" s="263">
        <v>95410110</v>
      </c>
      <c r="B867" s="147" t="s">
        <v>6147</v>
      </c>
      <c r="C867" s="147" t="s">
        <v>6109</v>
      </c>
      <c r="D867" s="147">
        <v>9101</v>
      </c>
      <c r="E867" s="147" t="s">
        <v>4876</v>
      </c>
      <c r="F867" s="147" t="s">
        <v>6110</v>
      </c>
      <c r="G867" s="147">
        <v>7</v>
      </c>
      <c r="H867" s="147">
        <v>0</v>
      </c>
      <c r="I867" s="147">
        <v>34</v>
      </c>
      <c r="J867" s="147" t="s">
        <v>6148</v>
      </c>
      <c r="M867" s="147">
        <v>99</v>
      </c>
      <c r="N867" s="147" t="b">
        <v>1</v>
      </c>
      <c r="O867" s="147">
        <v>5</v>
      </c>
      <c r="P867" s="281">
        <v>75</v>
      </c>
      <c r="Q867" s="281">
        <v>100</v>
      </c>
      <c r="R867" s="147" t="s">
        <v>3383</v>
      </c>
      <c r="T867" s="147">
        <v>1</v>
      </c>
      <c r="U867" s="147" t="s">
        <v>4880</v>
      </c>
      <c r="V867" s="147">
        <v>0</v>
      </c>
      <c r="X867" s="147" t="s">
        <v>4881</v>
      </c>
      <c r="Y867" s="147" t="s">
        <v>6149</v>
      </c>
      <c r="Z867" s="147" t="s">
        <v>6150</v>
      </c>
      <c r="AA867" s="147" t="s">
        <v>6114</v>
      </c>
      <c r="AC867" s="147">
        <v>1</v>
      </c>
      <c r="AD867" s="147">
        <v>0</v>
      </c>
    </row>
    <row r="868" spans="1:30" x14ac:dyDescent="0.15">
      <c r="A868" s="263">
        <v>95410111</v>
      </c>
      <c r="B868" s="147" t="s">
        <v>6151</v>
      </c>
      <c r="C868" s="147" t="s">
        <v>6109</v>
      </c>
      <c r="D868" s="147">
        <v>9101</v>
      </c>
      <c r="E868" s="147" t="s">
        <v>4876</v>
      </c>
      <c r="F868" s="147" t="s">
        <v>6110</v>
      </c>
      <c r="G868" s="147">
        <v>7</v>
      </c>
      <c r="H868" s="147">
        <v>0</v>
      </c>
      <c r="I868" s="147">
        <v>34</v>
      </c>
      <c r="J868" s="147" t="s">
        <v>6152</v>
      </c>
      <c r="M868" s="147">
        <v>99</v>
      </c>
      <c r="N868" s="147" t="b">
        <v>1</v>
      </c>
      <c r="O868" s="147">
        <v>5</v>
      </c>
      <c r="P868" s="281">
        <v>75</v>
      </c>
      <c r="Q868" s="281">
        <v>100</v>
      </c>
      <c r="R868" s="147" t="s">
        <v>3383</v>
      </c>
      <c r="T868" s="147">
        <v>1</v>
      </c>
      <c r="U868" s="147" t="s">
        <v>4880</v>
      </c>
      <c r="V868" s="147">
        <v>0</v>
      </c>
      <c r="X868" s="147" t="s">
        <v>4881</v>
      </c>
      <c r="Y868" s="147" t="s">
        <v>6153</v>
      </c>
      <c r="Z868" s="147" t="s">
        <v>6154</v>
      </c>
      <c r="AA868" s="147" t="s">
        <v>6114</v>
      </c>
      <c r="AC868" s="147">
        <v>1</v>
      </c>
      <c r="AD868" s="147">
        <v>0</v>
      </c>
    </row>
    <row r="869" spans="1:30" x14ac:dyDescent="0.15">
      <c r="A869" s="263">
        <v>95410112</v>
      </c>
      <c r="B869" s="147" t="s">
        <v>6155</v>
      </c>
      <c r="C869" s="147" t="s">
        <v>6109</v>
      </c>
      <c r="D869" s="147">
        <v>9101</v>
      </c>
      <c r="E869" s="147" t="s">
        <v>4876</v>
      </c>
      <c r="F869" s="147" t="s">
        <v>6110</v>
      </c>
      <c r="G869" s="147">
        <v>7</v>
      </c>
      <c r="H869" s="147">
        <v>0</v>
      </c>
      <c r="I869" s="147">
        <v>34</v>
      </c>
      <c r="J869" s="147" t="s">
        <v>6156</v>
      </c>
      <c r="M869" s="147">
        <v>99</v>
      </c>
      <c r="N869" s="147" t="b">
        <v>1</v>
      </c>
      <c r="O869" s="147">
        <v>5</v>
      </c>
      <c r="P869" s="281">
        <v>75</v>
      </c>
      <c r="Q869" s="281">
        <v>100</v>
      </c>
      <c r="R869" s="147" t="s">
        <v>3383</v>
      </c>
      <c r="T869" s="147">
        <v>1</v>
      </c>
      <c r="U869" s="147" t="s">
        <v>4880</v>
      </c>
      <c r="V869" s="147">
        <v>0</v>
      </c>
      <c r="X869" s="147" t="s">
        <v>4881</v>
      </c>
      <c r="Y869" s="147" t="s">
        <v>6157</v>
      </c>
      <c r="Z869" s="147" t="s">
        <v>6158</v>
      </c>
      <c r="AA869" s="147" t="s">
        <v>6114</v>
      </c>
      <c r="AC869" s="147">
        <v>1</v>
      </c>
      <c r="AD869" s="147">
        <v>0</v>
      </c>
    </row>
    <row r="870" spans="1:30" x14ac:dyDescent="0.15">
      <c r="A870" s="263">
        <v>95410113</v>
      </c>
      <c r="B870" s="147" t="s">
        <v>6159</v>
      </c>
      <c r="C870" s="147" t="s">
        <v>6109</v>
      </c>
      <c r="D870" s="147">
        <v>9101</v>
      </c>
      <c r="E870" s="147" t="s">
        <v>4876</v>
      </c>
      <c r="F870" s="147" t="s">
        <v>6110</v>
      </c>
      <c r="G870" s="147">
        <v>7</v>
      </c>
      <c r="H870" s="147">
        <v>0</v>
      </c>
      <c r="I870" s="147">
        <v>34</v>
      </c>
      <c r="J870" s="147" t="s">
        <v>6160</v>
      </c>
      <c r="M870" s="147">
        <v>99</v>
      </c>
      <c r="N870" s="147" t="b">
        <v>1</v>
      </c>
      <c r="O870" s="147">
        <v>7</v>
      </c>
      <c r="P870" s="281">
        <v>105</v>
      </c>
      <c r="Q870" s="281">
        <v>140</v>
      </c>
      <c r="R870" s="147" t="s">
        <v>3383</v>
      </c>
      <c r="T870" s="147">
        <v>1</v>
      </c>
      <c r="U870" s="147" t="s">
        <v>4880</v>
      </c>
      <c r="V870" s="147">
        <v>0</v>
      </c>
      <c r="X870" s="147" t="s">
        <v>4881</v>
      </c>
      <c r="Y870" s="147" t="s">
        <v>6161</v>
      </c>
      <c r="Z870" s="147" t="s">
        <v>6162</v>
      </c>
      <c r="AA870" s="147" t="s">
        <v>6114</v>
      </c>
      <c r="AC870" s="147">
        <v>1</v>
      </c>
      <c r="AD870" s="147">
        <v>0</v>
      </c>
    </row>
    <row r="871" spans="1:30" x14ac:dyDescent="0.15">
      <c r="A871" s="263">
        <v>95410114</v>
      </c>
      <c r="B871" s="147" t="s">
        <v>6163</v>
      </c>
      <c r="C871" s="147" t="s">
        <v>6109</v>
      </c>
      <c r="D871" s="147">
        <v>9101</v>
      </c>
      <c r="E871" s="147" t="s">
        <v>4876</v>
      </c>
      <c r="F871" s="147" t="s">
        <v>6110</v>
      </c>
      <c r="G871" s="147">
        <v>7</v>
      </c>
      <c r="H871" s="147">
        <v>0</v>
      </c>
      <c r="I871" s="147">
        <v>34</v>
      </c>
      <c r="J871" s="147" t="s">
        <v>6164</v>
      </c>
      <c r="M871" s="147">
        <v>99</v>
      </c>
      <c r="N871" s="147" t="b">
        <v>1</v>
      </c>
      <c r="O871" s="147">
        <v>7</v>
      </c>
      <c r="P871" s="281">
        <v>105</v>
      </c>
      <c r="Q871" s="281">
        <v>140</v>
      </c>
      <c r="R871" s="147" t="s">
        <v>3383</v>
      </c>
      <c r="T871" s="147">
        <v>1</v>
      </c>
      <c r="U871" s="147" t="s">
        <v>4880</v>
      </c>
      <c r="V871" s="147">
        <v>0</v>
      </c>
      <c r="X871" s="147" t="s">
        <v>4881</v>
      </c>
      <c r="Y871" s="147" t="s">
        <v>6165</v>
      </c>
      <c r="Z871" s="147" t="s">
        <v>6166</v>
      </c>
      <c r="AA871" s="147" t="s">
        <v>6114</v>
      </c>
      <c r="AC871" s="147">
        <v>1</v>
      </c>
      <c r="AD871" s="147">
        <v>0</v>
      </c>
    </row>
    <row r="872" spans="1:30" x14ac:dyDescent="0.15">
      <c r="A872" s="263">
        <v>95410115</v>
      </c>
      <c r="B872" s="147" t="s">
        <v>6167</v>
      </c>
      <c r="C872" s="147" t="s">
        <v>6109</v>
      </c>
      <c r="D872" s="147">
        <v>9101</v>
      </c>
      <c r="E872" s="147" t="s">
        <v>4876</v>
      </c>
      <c r="F872" s="147" t="s">
        <v>6110</v>
      </c>
      <c r="G872" s="147">
        <v>7</v>
      </c>
      <c r="H872" s="147">
        <v>0</v>
      </c>
      <c r="I872" s="147">
        <v>34</v>
      </c>
      <c r="J872" s="147" t="s">
        <v>6168</v>
      </c>
      <c r="M872" s="147">
        <v>99</v>
      </c>
      <c r="N872" s="147" t="b">
        <v>1</v>
      </c>
      <c r="O872" s="147">
        <v>7</v>
      </c>
      <c r="P872" s="281">
        <v>105</v>
      </c>
      <c r="Q872" s="281">
        <v>140</v>
      </c>
      <c r="R872" s="147" t="s">
        <v>3383</v>
      </c>
      <c r="T872" s="147">
        <v>1</v>
      </c>
      <c r="U872" s="147" t="s">
        <v>4880</v>
      </c>
      <c r="V872" s="147">
        <v>0</v>
      </c>
      <c r="X872" s="147" t="s">
        <v>4881</v>
      </c>
      <c r="Y872" s="147" t="s">
        <v>6169</v>
      </c>
      <c r="Z872" s="147" t="s">
        <v>6170</v>
      </c>
      <c r="AA872" s="147" t="s">
        <v>6114</v>
      </c>
      <c r="AC872" s="147">
        <v>1</v>
      </c>
      <c r="AD872" s="147">
        <v>0</v>
      </c>
    </row>
    <row r="873" spans="1:30" x14ac:dyDescent="0.15">
      <c r="A873" s="263">
        <v>95410116</v>
      </c>
      <c r="B873" s="147" t="s">
        <v>6171</v>
      </c>
      <c r="C873" s="147" t="s">
        <v>6109</v>
      </c>
      <c r="D873" s="147">
        <v>9101</v>
      </c>
      <c r="E873" s="147" t="s">
        <v>4876</v>
      </c>
      <c r="F873" s="147" t="s">
        <v>6110</v>
      </c>
      <c r="G873" s="147">
        <v>7</v>
      </c>
      <c r="H873" s="147">
        <v>0</v>
      </c>
      <c r="I873" s="147">
        <v>34</v>
      </c>
      <c r="J873" s="147" t="s">
        <v>6172</v>
      </c>
      <c r="M873" s="147">
        <v>99</v>
      </c>
      <c r="N873" s="147" t="b">
        <v>1</v>
      </c>
      <c r="O873" s="147">
        <v>10</v>
      </c>
      <c r="P873" s="281">
        <v>150</v>
      </c>
      <c r="Q873" s="281">
        <v>200</v>
      </c>
      <c r="R873" s="147" t="s">
        <v>3383</v>
      </c>
      <c r="T873" s="147">
        <v>1</v>
      </c>
      <c r="U873" s="147" t="s">
        <v>4880</v>
      </c>
      <c r="V873" s="147">
        <v>0</v>
      </c>
      <c r="X873" s="147" t="s">
        <v>4881</v>
      </c>
      <c r="Y873" s="147" t="s">
        <v>6173</v>
      </c>
      <c r="Z873" s="147" t="s">
        <v>6174</v>
      </c>
      <c r="AA873" s="147" t="s">
        <v>6114</v>
      </c>
      <c r="AC873" s="147">
        <v>1</v>
      </c>
      <c r="AD873" s="147">
        <v>0</v>
      </c>
    </row>
    <row r="874" spans="1:30" x14ac:dyDescent="0.15">
      <c r="A874" s="263">
        <v>95410117</v>
      </c>
      <c r="B874" s="147" t="s">
        <v>6175</v>
      </c>
      <c r="C874" s="147" t="s">
        <v>6109</v>
      </c>
      <c r="D874" s="147">
        <v>9101</v>
      </c>
      <c r="E874" s="147" t="s">
        <v>4876</v>
      </c>
      <c r="F874" s="147" t="s">
        <v>6110</v>
      </c>
      <c r="G874" s="147">
        <v>7</v>
      </c>
      <c r="H874" s="147">
        <v>0</v>
      </c>
      <c r="I874" s="147">
        <v>34</v>
      </c>
      <c r="J874" s="147" t="s">
        <v>6176</v>
      </c>
      <c r="M874" s="147">
        <v>99</v>
      </c>
      <c r="N874" s="147" t="b">
        <v>1</v>
      </c>
      <c r="O874" s="147">
        <v>10</v>
      </c>
      <c r="P874" s="281">
        <v>150</v>
      </c>
      <c r="Q874" s="281">
        <v>200</v>
      </c>
      <c r="R874" s="147" t="s">
        <v>3383</v>
      </c>
      <c r="T874" s="147">
        <v>1</v>
      </c>
      <c r="U874" s="147" t="s">
        <v>4880</v>
      </c>
      <c r="V874" s="147">
        <v>0</v>
      </c>
      <c r="X874" s="147" t="s">
        <v>4881</v>
      </c>
      <c r="Y874" s="147" t="s">
        <v>6177</v>
      </c>
      <c r="Z874" s="147" t="s">
        <v>6178</v>
      </c>
      <c r="AA874" s="147" t="s">
        <v>6114</v>
      </c>
      <c r="AC874" s="147">
        <v>1</v>
      </c>
      <c r="AD874" s="147">
        <v>0</v>
      </c>
    </row>
    <row r="875" spans="1:30" x14ac:dyDescent="0.15">
      <c r="A875" s="263">
        <v>95410118</v>
      </c>
      <c r="B875" s="147" t="s">
        <v>6179</v>
      </c>
      <c r="C875" s="147" t="s">
        <v>6109</v>
      </c>
      <c r="D875" s="147">
        <v>9101</v>
      </c>
      <c r="E875" s="147" t="s">
        <v>4876</v>
      </c>
      <c r="F875" s="147" t="s">
        <v>6110</v>
      </c>
      <c r="G875" s="147">
        <v>7</v>
      </c>
      <c r="H875" s="147">
        <v>0</v>
      </c>
      <c r="I875" s="147">
        <v>34</v>
      </c>
      <c r="J875" s="147" t="s">
        <v>6180</v>
      </c>
      <c r="M875" s="147">
        <v>99</v>
      </c>
      <c r="N875" s="147" t="b">
        <v>1</v>
      </c>
      <c r="O875" s="147">
        <v>10</v>
      </c>
      <c r="P875" s="281">
        <v>150</v>
      </c>
      <c r="Q875" s="281">
        <v>200</v>
      </c>
      <c r="R875" s="147" t="s">
        <v>3383</v>
      </c>
      <c r="T875" s="147">
        <v>1</v>
      </c>
      <c r="U875" s="147" t="s">
        <v>4880</v>
      </c>
      <c r="V875" s="147">
        <v>0</v>
      </c>
      <c r="X875" s="147" t="s">
        <v>4881</v>
      </c>
      <c r="Y875" s="147" t="s">
        <v>6181</v>
      </c>
      <c r="Z875" s="147" t="s">
        <v>6182</v>
      </c>
      <c r="AA875" s="147" t="s">
        <v>6114</v>
      </c>
      <c r="AC875" s="147">
        <v>1</v>
      </c>
      <c r="AD875" s="147">
        <v>0</v>
      </c>
    </row>
    <row r="876" spans="1:30" x14ac:dyDescent="0.15">
      <c r="A876" s="263">
        <v>95410119</v>
      </c>
      <c r="B876" s="147" t="s">
        <v>6183</v>
      </c>
      <c r="C876" s="147" t="s">
        <v>6109</v>
      </c>
      <c r="D876" s="147">
        <v>9101</v>
      </c>
      <c r="E876" s="147" t="s">
        <v>4876</v>
      </c>
      <c r="F876" s="147" t="s">
        <v>6110</v>
      </c>
      <c r="G876" s="147">
        <v>7</v>
      </c>
      <c r="H876" s="147">
        <v>0</v>
      </c>
      <c r="I876" s="147">
        <v>34</v>
      </c>
      <c r="J876" s="147" t="s">
        <v>6184</v>
      </c>
      <c r="M876" s="147">
        <v>99</v>
      </c>
      <c r="N876" s="147" t="b">
        <v>1</v>
      </c>
      <c r="O876" s="147">
        <v>12</v>
      </c>
      <c r="P876" s="281">
        <v>180</v>
      </c>
      <c r="Q876" s="281">
        <v>240</v>
      </c>
      <c r="R876" s="147" t="s">
        <v>3383</v>
      </c>
      <c r="T876" s="147">
        <v>1</v>
      </c>
      <c r="U876" s="147" t="s">
        <v>4880</v>
      </c>
      <c r="V876" s="147">
        <v>0</v>
      </c>
      <c r="X876" s="147" t="s">
        <v>4881</v>
      </c>
      <c r="Y876" s="147" t="s">
        <v>6185</v>
      </c>
      <c r="Z876" s="147" t="s">
        <v>6186</v>
      </c>
      <c r="AA876" s="147" t="s">
        <v>6114</v>
      </c>
      <c r="AC876" s="147">
        <v>1</v>
      </c>
      <c r="AD876" s="147">
        <v>0</v>
      </c>
    </row>
    <row r="877" spans="1:30" x14ac:dyDescent="0.15">
      <c r="A877" s="263">
        <v>95410120</v>
      </c>
      <c r="B877" s="147" t="s">
        <v>6187</v>
      </c>
      <c r="C877" s="147" t="s">
        <v>6109</v>
      </c>
      <c r="D877" s="147">
        <v>9101</v>
      </c>
      <c r="E877" s="147" t="s">
        <v>4876</v>
      </c>
      <c r="F877" s="147" t="s">
        <v>6110</v>
      </c>
      <c r="G877" s="147">
        <v>7</v>
      </c>
      <c r="H877" s="147">
        <v>0</v>
      </c>
      <c r="I877" s="147">
        <v>34</v>
      </c>
      <c r="J877" s="147" t="s">
        <v>6188</v>
      </c>
      <c r="M877" s="147">
        <v>99</v>
      </c>
      <c r="N877" s="147" t="b">
        <v>1</v>
      </c>
      <c r="O877" s="147">
        <v>12</v>
      </c>
      <c r="P877" s="281">
        <v>180</v>
      </c>
      <c r="Q877" s="281">
        <v>240</v>
      </c>
      <c r="R877" s="147" t="s">
        <v>3383</v>
      </c>
      <c r="T877" s="147">
        <v>1</v>
      </c>
      <c r="U877" s="147" t="s">
        <v>4880</v>
      </c>
      <c r="V877" s="147">
        <v>0</v>
      </c>
      <c r="X877" s="147" t="s">
        <v>4881</v>
      </c>
      <c r="Y877" s="147" t="s">
        <v>6189</v>
      </c>
      <c r="Z877" s="147" t="s">
        <v>6190</v>
      </c>
      <c r="AA877" s="147" t="s">
        <v>6114</v>
      </c>
      <c r="AC877" s="147">
        <v>1</v>
      </c>
      <c r="AD877" s="147">
        <v>0</v>
      </c>
    </row>
    <row r="878" spans="1:30" x14ac:dyDescent="0.15">
      <c r="A878" s="263">
        <v>95410121</v>
      </c>
      <c r="B878" s="147" t="s">
        <v>6191</v>
      </c>
      <c r="C878" s="147" t="s">
        <v>6192</v>
      </c>
      <c r="D878" s="147">
        <v>9101</v>
      </c>
      <c r="E878" s="147" t="s">
        <v>4876</v>
      </c>
      <c r="F878" s="147" t="s">
        <v>6110</v>
      </c>
      <c r="G878" s="147">
        <v>7</v>
      </c>
      <c r="H878" s="147">
        <v>0</v>
      </c>
      <c r="I878" s="147">
        <v>34</v>
      </c>
      <c r="J878" s="147" t="s">
        <v>6193</v>
      </c>
      <c r="M878" s="147">
        <v>99</v>
      </c>
      <c r="N878" s="147" t="b">
        <v>1</v>
      </c>
      <c r="O878" s="147">
        <v>2</v>
      </c>
      <c r="P878" s="281">
        <v>30</v>
      </c>
      <c r="Q878" s="281">
        <v>40</v>
      </c>
      <c r="R878" s="147" t="s">
        <v>3383</v>
      </c>
      <c r="T878" s="147">
        <v>1</v>
      </c>
      <c r="U878" s="147" t="s">
        <v>4880</v>
      </c>
      <c r="V878" s="147">
        <v>0</v>
      </c>
      <c r="X878" s="147" t="s">
        <v>4881</v>
      </c>
      <c r="Y878" s="147" t="s">
        <v>6194</v>
      </c>
      <c r="Z878" s="147" t="s">
        <v>6195</v>
      </c>
      <c r="AA878" s="147" t="s">
        <v>6196</v>
      </c>
      <c r="AC878" s="147">
        <v>1</v>
      </c>
      <c r="AD878" s="147">
        <v>0</v>
      </c>
    </row>
    <row r="879" spans="1:30" x14ac:dyDescent="0.15">
      <c r="A879" s="263">
        <v>95410122</v>
      </c>
      <c r="B879" s="147" t="s">
        <v>6197</v>
      </c>
      <c r="C879" s="147" t="s">
        <v>6192</v>
      </c>
      <c r="D879" s="147">
        <v>9101</v>
      </c>
      <c r="E879" s="147" t="s">
        <v>4876</v>
      </c>
      <c r="F879" s="147" t="s">
        <v>6110</v>
      </c>
      <c r="G879" s="147">
        <v>7</v>
      </c>
      <c r="H879" s="147">
        <v>0</v>
      </c>
      <c r="I879" s="147">
        <v>34</v>
      </c>
      <c r="J879" s="147" t="s">
        <v>6198</v>
      </c>
      <c r="M879" s="147">
        <v>99</v>
      </c>
      <c r="N879" s="147" t="b">
        <v>1</v>
      </c>
      <c r="O879" s="147">
        <v>2</v>
      </c>
      <c r="P879" s="281">
        <v>30</v>
      </c>
      <c r="Q879" s="281">
        <v>40</v>
      </c>
      <c r="R879" s="147" t="s">
        <v>3383</v>
      </c>
      <c r="T879" s="147">
        <v>1</v>
      </c>
      <c r="U879" s="147" t="s">
        <v>4880</v>
      </c>
      <c r="V879" s="147">
        <v>0</v>
      </c>
      <c r="X879" s="147" t="s">
        <v>4881</v>
      </c>
      <c r="Y879" s="147" t="s">
        <v>6199</v>
      </c>
      <c r="Z879" s="147" t="s">
        <v>6200</v>
      </c>
      <c r="AA879" s="147" t="s">
        <v>6196</v>
      </c>
      <c r="AC879" s="147">
        <v>1</v>
      </c>
      <c r="AD879" s="147">
        <v>0</v>
      </c>
    </row>
    <row r="880" spans="1:30" x14ac:dyDescent="0.15">
      <c r="A880" s="263">
        <v>95410123</v>
      </c>
      <c r="B880" s="147" t="s">
        <v>6201</v>
      </c>
      <c r="C880" s="147" t="s">
        <v>6192</v>
      </c>
      <c r="D880" s="147">
        <v>9101</v>
      </c>
      <c r="E880" s="147" t="s">
        <v>4876</v>
      </c>
      <c r="F880" s="147" t="s">
        <v>6110</v>
      </c>
      <c r="G880" s="147">
        <v>7</v>
      </c>
      <c r="H880" s="147">
        <v>0</v>
      </c>
      <c r="I880" s="147">
        <v>34</v>
      </c>
      <c r="J880" s="147" t="s">
        <v>6202</v>
      </c>
      <c r="M880" s="147">
        <v>99</v>
      </c>
      <c r="N880" s="147" t="b">
        <v>1</v>
      </c>
      <c r="O880" s="147">
        <v>5</v>
      </c>
      <c r="P880" s="281">
        <v>75</v>
      </c>
      <c r="Q880" s="281">
        <v>100</v>
      </c>
      <c r="R880" s="147" t="s">
        <v>3383</v>
      </c>
      <c r="T880" s="147">
        <v>1</v>
      </c>
      <c r="U880" s="147" t="s">
        <v>4880</v>
      </c>
      <c r="V880" s="147">
        <v>0</v>
      </c>
      <c r="X880" s="147" t="s">
        <v>4881</v>
      </c>
      <c r="Y880" s="147" t="s">
        <v>6203</v>
      </c>
      <c r="Z880" s="147" t="s">
        <v>6204</v>
      </c>
      <c r="AA880" s="147" t="s">
        <v>6196</v>
      </c>
      <c r="AC880" s="147">
        <v>1</v>
      </c>
      <c r="AD880" s="147">
        <v>0</v>
      </c>
    </row>
    <row r="881" spans="1:30" x14ac:dyDescent="0.15">
      <c r="A881" s="263">
        <v>95410124</v>
      </c>
      <c r="B881" s="147" t="s">
        <v>6205</v>
      </c>
      <c r="C881" s="147" t="s">
        <v>6192</v>
      </c>
      <c r="D881" s="147">
        <v>9101</v>
      </c>
      <c r="E881" s="147" t="s">
        <v>4876</v>
      </c>
      <c r="F881" s="147" t="s">
        <v>6110</v>
      </c>
      <c r="G881" s="147">
        <v>7</v>
      </c>
      <c r="H881" s="147">
        <v>0</v>
      </c>
      <c r="I881" s="147">
        <v>34</v>
      </c>
      <c r="J881" s="147" t="s">
        <v>6206</v>
      </c>
      <c r="M881" s="147">
        <v>99</v>
      </c>
      <c r="N881" s="147" t="b">
        <v>1</v>
      </c>
      <c r="O881" s="147">
        <v>5</v>
      </c>
      <c r="P881" s="281">
        <v>75</v>
      </c>
      <c r="Q881" s="281">
        <v>100</v>
      </c>
      <c r="R881" s="147" t="s">
        <v>3383</v>
      </c>
      <c r="T881" s="147">
        <v>1</v>
      </c>
      <c r="U881" s="147" t="s">
        <v>4880</v>
      </c>
      <c r="V881" s="147">
        <v>0</v>
      </c>
      <c r="X881" s="147" t="s">
        <v>4881</v>
      </c>
      <c r="Y881" s="147" t="s">
        <v>6207</v>
      </c>
      <c r="Z881" s="147" t="s">
        <v>6208</v>
      </c>
      <c r="AA881" s="147" t="s">
        <v>6196</v>
      </c>
      <c r="AC881" s="147">
        <v>1</v>
      </c>
      <c r="AD881" s="147">
        <v>0</v>
      </c>
    </row>
    <row r="882" spans="1:30" x14ac:dyDescent="0.15">
      <c r="A882" s="263">
        <v>95410125</v>
      </c>
      <c r="B882" s="147" t="s">
        <v>6209</v>
      </c>
      <c r="C882" s="147" t="s">
        <v>6192</v>
      </c>
      <c r="D882" s="147">
        <v>9101</v>
      </c>
      <c r="E882" s="147" t="s">
        <v>4876</v>
      </c>
      <c r="F882" s="147" t="s">
        <v>6110</v>
      </c>
      <c r="G882" s="147">
        <v>7</v>
      </c>
      <c r="H882" s="147">
        <v>0</v>
      </c>
      <c r="I882" s="147">
        <v>34</v>
      </c>
      <c r="J882" s="147" t="s">
        <v>6210</v>
      </c>
      <c r="M882" s="147">
        <v>99</v>
      </c>
      <c r="N882" s="147" t="b">
        <v>1</v>
      </c>
      <c r="O882" s="147">
        <v>5</v>
      </c>
      <c r="P882" s="281">
        <v>75</v>
      </c>
      <c r="Q882" s="281">
        <v>100</v>
      </c>
      <c r="R882" s="147" t="s">
        <v>3383</v>
      </c>
      <c r="T882" s="147">
        <v>1</v>
      </c>
      <c r="U882" s="147" t="s">
        <v>4880</v>
      </c>
      <c r="V882" s="147">
        <v>0</v>
      </c>
      <c r="X882" s="147" t="s">
        <v>4881</v>
      </c>
      <c r="Y882" s="147" t="s">
        <v>6211</v>
      </c>
      <c r="Z882" s="147" t="s">
        <v>6212</v>
      </c>
      <c r="AA882" s="147" t="s">
        <v>6196</v>
      </c>
      <c r="AC882" s="147">
        <v>1</v>
      </c>
      <c r="AD882" s="147">
        <v>0</v>
      </c>
    </row>
    <row r="883" spans="1:30" x14ac:dyDescent="0.15">
      <c r="A883" s="263">
        <v>95410126</v>
      </c>
      <c r="B883" s="147" t="s">
        <v>6213</v>
      </c>
      <c r="C883" s="147" t="s">
        <v>6192</v>
      </c>
      <c r="D883" s="147">
        <v>9101</v>
      </c>
      <c r="E883" s="147" t="s">
        <v>4876</v>
      </c>
      <c r="F883" s="147" t="s">
        <v>6110</v>
      </c>
      <c r="G883" s="147">
        <v>7</v>
      </c>
      <c r="H883" s="147">
        <v>0</v>
      </c>
      <c r="I883" s="147">
        <v>34</v>
      </c>
      <c r="J883" s="147" t="s">
        <v>6214</v>
      </c>
      <c r="M883" s="147">
        <v>99</v>
      </c>
      <c r="N883" s="147" t="b">
        <v>1</v>
      </c>
      <c r="O883" s="147">
        <v>7</v>
      </c>
      <c r="P883" s="281">
        <v>105</v>
      </c>
      <c r="Q883" s="281">
        <v>140</v>
      </c>
      <c r="R883" s="147" t="s">
        <v>3383</v>
      </c>
      <c r="T883" s="147">
        <v>1</v>
      </c>
      <c r="U883" s="147" t="s">
        <v>4880</v>
      </c>
      <c r="V883" s="147">
        <v>0</v>
      </c>
      <c r="X883" s="147" t="s">
        <v>4881</v>
      </c>
      <c r="Y883" s="147" t="s">
        <v>6215</v>
      </c>
      <c r="Z883" s="147" t="s">
        <v>6216</v>
      </c>
      <c r="AA883" s="147" t="s">
        <v>6196</v>
      </c>
      <c r="AC883" s="147">
        <v>1</v>
      </c>
      <c r="AD883" s="147">
        <v>0</v>
      </c>
    </row>
    <row r="884" spans="1:30" x14ac:dyDescent="0.15">
      <c r="A884" s="263">
        <v>95410127</v>
      </c>
      <c r="B884" s="147" t="s">
        <v>6217</v>
      </c>
      <c r="C884" s="147" t="s">
        <v>6192</v>
      </c>
      <c r="D884" s="147">
        <v>9101</v>
      </c>
      <c r="E884" s="147" t="s">
        <v>4876</v>
      </c>
      <c r="F884" s="147" t="s">
        <v>6110</v>
      </c>
      <c r="G884" s="147">
        <v>7</v>
      </c>
      <c r="H884" s="147">
        <v>0</v>
      </c>
      <c r="I884" s="147">
        <v>34</v>
      </c>
      <c r="J884" s="147" t="s">
        <v>6218</v>
      </c>
      <c r="M884" s="147">
        <v>99</v>
      </c>
      <c r="N884" s="147" t="b">
        <v>1</v>
      </c>
      <c r="O884" s="147">
        <v>7</v>
      </c>
      <c r="P884" s="281">
        <v>105</v>
      </c>
      <c r="Q884" s="281">
        <v>140</v>
      </c>
      <c r="R884" s="147" t="s">
        <v>3383</v>
      </c>
      <c r="T884" s="147">
        <v>1</v>
      </c>
      <c r="U884" s="147" t="s">
        <v>4880</v>
      </c>
      <c r="V884" s="147">
        <v>0</v>
      </c>
      <c r="X884" s="147" t="s">
        <v>4881</v>
      </c>
      <c r="Y884" s="147" t="s">
        <v>6219</v>
      </c>
      <c r="Z884" s="147" t="s">
        <v>6220</v>
      </c>
      <c r="AA884" s="147" t="s">
        <v>6196</v>
      </c>
      <c r="AC884" s="147">
        <v>1</v>
      </c>
      <c r="AD884" s="147">
        <v>0</v>
      </c>
    </row>
    <row r="885" spans="1:30" x14ac:dyDescent="0.15">
      <c r="A885" s="263">
        <v>95410128</v>
      </c>
      <c r="B885" s="147" t="s">
        <v>6221</v>
      </c>
      <c r="C885" s="147" t="s">
        <v>6192</v>
      </c>
      <c r="D885" s="147">
        <v>9101</v>
      </c>
      <c r="E885" s="147" t="s">
        <v>4876</v>
      </c>
      <c r="F885" s="147" t="s">
        <v>6110</v>
      </c>
      <c r="G885" s="147">
        <v>7</v>
      </c>
      <c r="H885" s="147">
        <v>0</v>
      </c>
      <c r="I885" s="147">
        <v>34</v>
      </c>
      <c r="J885" s="147" t="s">
        <v>6222</v>
      </c>
      <c r="M885" s="147">
        <v>99</v>
      </c>
      <c r="N885" s="147" t="b">
        <v>1</v>
      </c>
      <c r="O885" s="147">
        <v>10</v>
      </c>
      <c r="P885" s="281">
        <v>150</v>
      </c>
      <c r="Q885" s="281">
        <v>200</v>
      </c>
      <c r="R885" s="147" t="s">
        <v>3383</v>
      </c>
      <c r="T885" s="147">
        <v>1</v>
      </c>
      <c r="U885" s="147" t="s">
        <v>4880</v>
      </c>
      <c r="V885" s="147">
        <v>0</v>
      </c>
      <c r="X885" s="147" t="s">
        <v>4881</v>
      </c>
      <c r="Y885" s="147" t="s">
        <v>6223</v>
      </c>
      <c r="Z885" s="147" t="s">
        <v>6224</v>
      </c>
      <c r="AA885" s="147" t="s">
        <v>6196</v>
      </c>
      <c r="AC885" s="147">
        <v>1</v>
      </c>
      <c r="AD885" s="147">
        <v>0</v>
      </c>
    </row>
    <row r="886" spans="1:30" x14ac:dyDescent="0.15">
      <c r="A886" s="263">
        <v>95410129</v>
      </c>
      <c r="B886" s="147" t="s">
        <v>6225</v>
      </c>
      <c r="C886" s="147" t="s">
        <v>6192</v>
      </c>
      <c r="D886" s="147">
        <v>9101</v>
      </c>
      <c r="E886" s="147" t="s">
        <v>4876</v>
      </c>
      <c r="F886" s="147" t="s">
        <v>6110</v>
      </c>
      <c r="G886" s="147">
        <v>7</v>
      </c>
      <c r="H886" s="147">
        <v>0</v>
      </c>
      <c r="I886" s="147">
        <v>34</v>
      </c>
      <c r="J886" s="147" t="s">
        <v>6226</v>
      </c>
      <c r="M886" s="147">
        <v>99</v>
      </c>
      <c r="N886" s="147" t="b">
        <v>1</v>
      </c>
      <c r="O886" s="147">
        <v>10</v>
      </c>
      <c r="P886" s="281">
        <v>150</v>
      </c>
      <c r="Q886" s="281">
        <v>200</v>
      </c>
      <c r="R886" s="147" t="s">
        <v>3383</v>
      </c>
      <c r="T886" s="147">
        <v>1</v>
      </c>
      <c r="U886" s="147" t="s">
        <v>4880</v>
      </c>
      <c r="V886" s="147">
        <v>0</v>
      </c>
      <c r="X886" s="147" t="s">
        <v>4881</v>
      </c>
      <c r="Y886" s="147" t="s">
        <v>6227</v>
      </c>
      <c r="Z886" s="147" t="s">
        <v>6228</v>
      </c>
      <c r="AA886" s="147" t="s">
        <v>6196</v>
      </c>
      <c r="AC886" s="147">
        <v>1</v>
      </c>
      <c r="AD886" s="147">
        <v>0</v>
      </c>
    </row>
    <row r="887" spans="1:30" x14ac:dyDescent="0.15">
      <c r="A887" s="263">
        <v>95410130</v>
      </c>
      <c r="B887" s="147" t="s">
        <v>6229</v>
      </c>
      <c r="C887" s="147" t="s">
        <v>6192</v>
      </c>
      <c r="D887" s="147">
        <v>9101</v>
      </c>
      <c r="E887" s="147" t="s">
        <v>4876</v>
      </c>
      <c r="F887" s="147" t="s">
        <v>6110</v>
      </c>
      <c r="G887" s="147">
        <v>7</v>
      </c>
      <c r="H887" s="147">
        <v>0</v>
      </c>
      <c r="I887" s="147">
        <v>34</v>
      </c>
      <c r="J887" s="147" t="s">
        <v>6230</v>
      </c>
      <c r="M887" s="147">
        <v>99</v>
      </c>
      <c r="N887" s="147" t="b">
        <v>1</v>
      </c>
      <c r="O887" s="147">
        <v>12</v>
      </c>
      <c r="P887" s="281">
        <v>180</v>
      </c>
      <c r="Q887" s="281">
        <v>240</v>
      </c>
      <c r="R887" s="147" t="s">
        <v>3383</v>
      </c>
      <c r="T887" s="147">
        <v>1</v>
      </c>
      <c r="U887" s="147" t="s">
        <v>4880</v>
      </c>
      <c r="V887" s="147">
        <v>0</v>
      </c>
      <c r="X887" s="147" t="s">
        <v>4881</v>
      </c>
      <c r="Y887" s="147" t="s">
        <v>6231</v>
      </c>
      <c r="Z887" s="147" t="s">
        <v>6232</v>
      </c>
      <c r="AA887" s="147" t="s">
        <v>6196</v>
      </c>
      <c r="AC887" s="147">
        <v>1</v>
      </c>
      <c r="AD887" s="147">
        <v>0</v>
      </c>
    </row>
    <row r="888" spans="1:30" x14ac:dyDescent="0.15">
      <c r="A888" s="263">
        <v>95410131</v>
      </c>
      <c r="B888" s="147" t="s">
        <v>6233</v>
      </c>
      <c r="C888" s="147" t="s">
        <v>6192</v>
      </c>
      <c r="D888" s="147">
        <v>9101</v>
      </c>
      <c r="E888" s="147" t="s">
        <v>4876</v>
      </c>
      <c r="F888" s="147" t="s">
        <v>6110</v>
      </c>
      <c r="G888" s="147">
        <v>7</v>
      </c>
      <c r="H888" s="147">
        <v>0</v>
      </c>
      <c r="I888" s="147">
        <v>34</v>
      </c>
      <c r="J888" s="147" t="s">
        <v>6234</v>
      </c>
      <c r="M888" s="147">
        <v>99</v>
      </c>
      <c r="N888" s="147" t="b">
        <v>1</v>
      </c>
      <c r="O888" s="147">
        <v>12</v>
      </c>
      <c r="P888" s="281">
        <v>180</v>
      </c>
      <c r="Q888" s="281">
        <v>240</v>
      </c>
      <c r="R888" s="147" t="s">
        <v>3383</v>
      </c>
      <c r="T888" s="147">
        <v>1</v>
      </c>
      <c r="U888" s="147" t="s">
        <v>4880</v>
      </c>
      <c r="V888" s="147">
        <v>0</v>
      </c>
      <c r="X888" s="147" t="s">
        <v>4881</v>
      </c>
      <c r="Y888" s="147" t="s">
        <v>6235</v>
      </c>
      <c r="Z888" s="147" t="s">
        <v>6236</v>
      </c>
      <c r="AA888" s="147" t="s">
        <v>6196</v>
      </c>
      <c r="AC888" s="147">
        <v>1</v>
      </c>
      <c r="AD888" s="147">
        <v>0</v>
      </c>
    </row>
    <row r="889" spans="1:30" x14ac:dyDescent="0.15">
      <c r="A889" s="263">
        <v>95410132</v>
      </c>
      <c r="B889" s="147" t="s">
        <v>6237</v>
      </c>
      <c r="C889" s="147" t="s">
        <v>6192</v>
      </c>
      <c r="D889" s="147">
        <v>9101</v>
      </c>
      <c r="E889" s="147" t="s">
        <v>4876</v>
      </c>
      <c r="F889" s="147" t="s">
        <v>6110</v>
      </c>
      <c r="G889" s="147">
        <v>7</v>
      </c>
      <c r="H889" s="147">
        <v>0</v>
      </c>
      <c r="I889" s="147">
        <v>34</v>
      </c>
      <c r="J889" s="147" t="s">
        <v>6238</v>
      </c>
      <c r="M889" s="147">
        <v>99</v>
      </c>
      <c r="N889" s="147" t="b">
        <v>1</v>
      </c>
      <c r="O889" s="147">
        <v>12</v>
      </c>
      <c r="P889" s="281">
        <v>180</v>
      </c>
      <c r="Q889" s="281">
        <v>240</v>
      </c>
      <c r="R889" s="147" t="s">
        <v>3383</v>
      </c>
      <c r="T889" s="147">
        <v>1</v>
      </c>
      <c r="U889" s="147" t="s">
        <v>4880</v>
      </c>
      <c r="V889" s="147">
        <v>0</v>
      </c>
      <c r="X889" s="147" t="s">
        <v>4881</v>
      </c>
      <c r="Y889" s="147" t="s">
        <v>6239</v>
      </c>
      <c r="Z889" s="147" t="s">
        <v>6240</v>
      </c>
      <c r="AA889" s="147" t="s">
        <v>6196</v>
      </c>
      <c r="AC889" s="147">
        <v>1</v>
      </c>
      <c r="AD889" s="147">
        <v>0</v>
      </c>
    </row>
    <row r="890" spans="1:30" x14ac:dyDescent="0.15">
      <c r="A890" s="263">
        <v>95410133</v>
      </c>
      <c r="B890" s="147" t="s">
        <v>6241</v>
      </c>
      <c r="C890" s="147" t="s">
        <v>6192</v>
      </c>
      <c r="D890" s="147">
        <v>9101</v>
      </c>
      <c r="E890" s="147" t="s">
        <v>4876</v>
      </c>
      <c r="F890" s="147" t="s">
        <v>6110</v>
      </c>
      <c r="G890" s="147">
        <v>7</v>
      </c>
      <c r="H890" s="147">
        <v>0</v>
      </c>
      <c r="I890" s="147">
        <v>34</v>
      </c>
      <c r="J890" s="147" t="s">
        <v>6242</v>
      </c>
      <c r="M890" s="147">
        <v>99</v>
      </c>
      <c r="N890" s="147" t="b">
        <v>1</v>
      </c>
      <c r="O890" s="147">
        <v>12</v>
      </c>
      <c r="P890" s="281">
        <v>180</v>
      </c>
      <c r="Q890" s="281">
        <v>240</v>
      </c>
      <c r="R890" s="147" t="s">
        <v>3383</v>
      </c>
      <c r="T890" s="147">
        <v>1</v>
      </c>
      <c r="U890" s="147" t="s">
        <v>4880</v>
      </c>
      <c r="V890" s="147">
        <v>0</v>
      </c>
      <c r="X890" s="147" t="s">
        <v>4881</v>
      </c>
      <c r="Y890" s="147" t="s">
        <v>6243</v>
      </c>
      <c r="Z890" s="147" t="s">
        <v>6244</v>
      </c>
      <c r="AA890" s="147" t="s">
        <v>6196</v>
      </c>
      <c r="AC890" s="147">
        <v>1</v>
      </c>
      <c r="AD890" s="147">
        <v>0</v>
      </c>
    </row>
    <row r="891" spans="1:30" x14ac:dyDescent="0.15">
      <c r="A891" s="263">
        <v>95410134</v>
      </c>
      <c r="B891" s="147" t="s">
        <v>6245</v>
      </c>
      <c r="C891" s="147" t="s">
        <v>6246</v>
      </c>
      <c r="D891" s="147">
        <v>9101</v>
      </c>
      <c r="E891" s="147" t="s">
        <v>4876</v>
      </c>
      <c r="F891" s="147" t="s">
        <v>6110</v>
      </c>
      <c r="G891" s="147">
        <v>7</v>
      </c>
      <c r="H891" s="147">
        <v>0</v>
      </c>
      <c r="I891" s="147">
        <v>34</v>
      </c>
      <c r="J891" s="147" t="s">
        <v>6247</v>
      </c>
      <c r="M891" s="147">
        <v>99</v>
      </c>
      <c r="N891" s="147" t="b">
        <v>1</v>
      </c>
      <c r="O891" s="147">
        <v>2</v>
      </c>
      <c r="P891" s="281">
        <v>30</v>
      </c>
      <c r="Q891" s="281">
        <v>40</v>
      </c>
      <c r="R891" s="147" t="s">
        <v>3383</v>
      </c>
      <c r="T891" s="147">
        <v>1</v>
      </c>
      <c r="U891" s="147" t="s">
        <v>4880</v>
      </c>
      <c r="V891" s="147">
        <v>0</v>
      </c>
      <c r="X891" s="147" t="s">
        <v>4881</v>
      </c>
      <c r="Y891" s="147" t="s">
        <v>6248</v>
      </c>
      <c r="Z891" s="147" t="s">
        <v>6249</v>
      </c>
      <c r="AA891" s="147" t="s">
        <v>6250</v>
      </c>
      <c r="AC891" s="147">
        <v>1</v>
      </c>
      <c r="AD891" s="147">
        <v>0</v>
      </c>
    </row>
    <row r="892" spans="1:30" x14ac:dyDescent="0.15">
      <c r="A892" s="263">
        <v>95410135</v>
      </c>
      <c r="B892" s="147" t="s">
        <v>6251</v>
      </c>
      <c r="C892" s="147" t="s">
        <v>6246</v>
      </c>
      <c r="D892" s="147">
        <v>9101</v>
      </c>
      <c r="E892" s="147" t="s">
        <v>4876</v>
      </c>
      <c r="F892" s="147" t="s">
        <v>6110</v>
      </c>
      <c r="G892" s="147">
        <v>7</v>
      </c>
      <c r="H892" s="147">
        <v>0</v>
      </c>
      <c r="I892" s="147">
        <v>34</v>
      </c>
      <c r="J892" s="147" t="s">
        <v>6252</v>
      </c>
      <c r="M892" s="147">
        <v>99</v>
      </c>
      <c r="N892" s="147" t="b">
        <v>1</v>
      </c>
      <c r="O892" s="147">
        <v>2</v>
      </c>
      <c r="P892" s="281">
        <v>30</v>
      </c>
      <c r="Q892" s="281">
        <v>40</v>
      </c>
      <c r="R892" s="147" t="s">
        <v>3383</v>
      </c>
      <c r="T892" s="147">
        <v>1</v>
      </c>
      <c r="U892" s="147" t="s">
        <v>4880</v>
      </c>
      <c r="V892" s="147">
        <v>0</v>
      </c>
      <c r="X892" s="147" t="s">
        <v>4881</v>
      </c>
      <c r="Y892" s="147" t="s">
        <v>6253</v>
      </c>
      <c r="Z892" s="147" t="s">
        <v>6254</v>
      </c>
      <c r="AA892" s="147" t="s">
        <v>6250</v>
      </c>
      <c r="AC892" s="147">
        <v>1</v>
      </c>
      <c r="AD892" s="147">
        <v>0</v>
      </c>
    </row>
    <row r="893" spans="1:30" x14ac:dyDescent="0.15">
      <c r="A893" s="263">
        <v>95410136</v>
      </c>
      <c r="B893" s="147" t="s">
        <v>6255</v>
      </c>
      <c r="C893" s="147" t="s">
        <v>6246</v>
      </c>
      <c r="D893" s="147">
        <v>9101</v>
      </c>
      <c r="E893" s="147" t="s">
        <v>4876</v>
      </c>
      <c r="F893" s="147" t="s">
        <v>6110</v>
      </c>
      <c r="G893" s="147">
        <v>7</v>
      </c>
      <c r="H893" s="147">
        <v>0</v>
      </c>
      <c r="I893" s="147">
        <v>34</v>
      </c>
      <c r="J893" s="147" t="s">
        <v>6256</v>
      </c>
      <c r="M893" s="147">
        <v>99</v>
      </c>
      <c r="N893" s="147" t="b">
        <v>1</v>
      </c>
      <c r="O893" s="147">
        <v>2</v>
      </c>
      <c r="P893" s="281">
        <v>30</v>
      </c>
      <c r="Q893" s="281">
        <v>40</v>
      </c>
      <c r="R893" s="147" t="s">
        <v>3383</v>
      </c>
      <c r="T893" s="147">
        <v>1</v>
      </c>
      <c r="U893" s="147" t="s">
        <v>4880</v>
      </c>
      <c r="V893" s="147">
        <v>0</v>
      </c>
      <c r="X893" s="147" t="s">
        <v>4881</v>
      </c>
      <c r="Y893" s="147" t="s">
        <v>6257</v>
      </c>
      <c r="Z893" s="147" t="s">
        <v>6258</v>
      </c>
      <c r="AA893" s="147" t="s">
        <v>6250</v>
      </c>
      <c r="AC893" s="147">
        <v>1</v>
      </c>
      <c r="AD893" s="147">
        <v>0</v>
      </c>
    </row>
    <row r="894" spans="1:30" x14ac:dyDescent="0.15">
      <c r="A894" s="263">
        <v>95410137</v>
      </c>
      <c r="B894" s="147" t="s">
        <v>6259</v>
      </c>
      <c r="C894" s="147" t="s">
        <v>6246</v>
      </c>
      <c r="D894" s="147">
        <v>9101</v>
      </c>
      <c r="E894" s="147" t="s">
        <v>4876</v>
      </c>
      <c r="F894" s="147" t="s">
        <v>6110</v>
      </c>
      <c r="G894" s="147">
        <v>7</v>
      </c>
      <c r="H894" s="147">
        <v>0</v>
      </c>
      <c r="I894" s="147">
        <v>34</v>
      </c>
      <c r="J894" s="147" t="s">
        <v>6260</v>
      </c>
      <c r="M894" s="147">
        <v>99</v>
      </c>
      <c r="N894" s="147" t="b">
        <v>1</v>
      </c>
      <c r="O894" s="147">
        <v>2</v>
      </c>
      <c r="P894" s="281">
        <v>30</v>
      </c>
      <c r="Q894" s="281">
        <v>40</v>
      </c>
      <c r="R894" s="147" t="s">
        <v>3383</v>
      </c>
      <c r="T894" s="147">
        <v>1</v>
      </c>
      <c r="U894" s="147" t="s">
        <v>4880</v>
      </c>
      <c r="V894" s="147">
        <v>0</v>
      </c>
      <c r="X894" s="147" t="s">
        <v>4881</v>
      </c>
      <c r="Y894" s="147" t="s">
        <v>6261</v>
      </c>
      <c r="Z894" s="147" t="s">
        <v>6262</v>
      </c>
      <c r="AA894" s="147" t="s">
        <v>6250</v>
      </c>
      <c r="AC894" s="147">
        <v>1</v>
      </c>
      <c r="AD894" s="147">
        <v>0</v>
      </c>
    </row>
    <row r="895" spans="1:30" x14ac:dyDescent="0.15">
      <c r="A895" s="263">
        <v>95410138</v>
      </c>
      <c r="B895" s="147" t="s">
        <v>6263</v>
      </c>
      <c r="C895" s="147" t="s">
        <v>6246</v>
      </c>
      <c r="D895" s="147">
        <v>9101</v>
      </c>
      <c r="E895" s="147" t="s">
        <v>4876</v>
      </c>
      <c r="F895" s="147" t="s">
        <v>6110</v>
      </c>
      <c r="G895" s="147">
        <v>7</v>
      </c>
      <c r="H895" s="147">
        <v>0</v>
      </c>
      <c r="I895" s="147">
        <v>34</v>
      </c>
      <c r="J895" s="147" t="s">
        <v>6264</v>
      </c>
      <c r="M895" s="147">
        <v>99</v>
      </c>
      <c r="N895" s="147" t="b">
        <v>1</v>
      </c>
      <c r="O895" s="147">
        <v>2</v>
      </c>
      <c r="P895" s="281">
        <v>30</v>
      </c>
      <c r="Q895" s="281">
        <v>40</v>
      </c>
      <c r="R895" s="147" t="s">
        <v>3383</v>
      </c>
      <c r="T895" s="147">
        <v>1</v>
      </c>
      <c r="U895" s="147" t="s">
        <v>4880</v>
      </c>
      <c r="V895" s="147">
        <v>0</v>
      </c>
      <c r="X895" s="147" t="s">
        <v>4881</v>
      </c>
      <c r="Y895" s="147" t="s">
        <v>6265</v>
      </c>
      <c r="Z895" s="147" t="s">
        <v>6266</v>
      </c>
      <c r="AA895" s="147" t="s">
        <v>6250</v>
      </c>
      <c r="AC895" s="147">
        <v>1</v>
      </c>
      <c r="AD895" s="147">
        <v>0</v>
      </c>
    </row>
    <row r="896" spans="1:30" x14ac:dyDescent="0.15">
      <c r="A896" s="263">
        <v>95410139</v>
      </c>
      <c r="B896" s="147" t="s">
        <v>6267</v>
      </c>
      <c r="C896" s="147" t="s">
        <v>6246</v>
      </c>
      <c r="D896" s="147">
        <v>9101</v>
      </c>
      <c r="E896" s="147" t="s">
        <v>4876</v>
      </c>
      <c r="F896" s="147" t="s">
        <v>6110</v>
      </c>
      <c r="G896" s="147">
        <v>7</v>
      </c>
      <c r="H896" s="147">
        <v>0</v>
      </c>
      <c r="I896" s="147">
        <v>34</v>
      </c>
      <c r="J896" s="147" t="s">
        <v>6268</v>
      </c>
      <c r="M896" s="147">
        <v>99</v>
      </c>
      <c r="N896" s="147" t="b">
        <v>1</v>
      </c>
      <c r="O896" s="147">
        <v>2</v>
      </c>
      <c r="P896" s="281">
        <v>30</v>
      </c>
      <c r="Q896" s="281">
        <v>40</v>
      </c>
      <c r="R896" s="147" t="s">
        <v>3383</v>
      </c>
      <c r="T896" s="147">
        <v>1</v>
      </c>
      <c r="U896" s="147" t="s">
        <v>4880</v>
      </c>
      <c r="V896" s="147">
        <v>0</v>
      </c>
      <c r="X896" s="147" t="s">
        <v>4881</v>
      </c>
      <c r="Y896" s="147" t="s">
        <v>6269</v>
      </c>
      <c r="Z896" s="147" t="s">
        <v>6270</v>
      </c>
      <c r="AA896" s="147" t="s">
        <v>6250</v>
      </c>
      <c r="AC896" s="147">
        <v>1</v>
      </c>
      <c r="AD896" s="147">
        <v>0</v>
      </c>
    </row>
    <row r="897" spans="1:30" x14ac:dyDescent="0.15">
      <c r="A897" s="263">
        <v>95410140</v>
      </c>
      <c r="B897" s="147" t="s">
        <v>6271</v>
      </c>
      <c r="C897" s="147" t="s">
        <v>6246</v>
      </c>
      <c r="D897" s="147">
        <v>9101</v>
      </c>
      <c r="E897" s="147" t="s">
        <v>4876</v>
      </c>
      <c r="F897" s="147" t="s">
        <v>6110</v>
      </c>
      <c r="G897" s="147">
        <v>7</v>
      </c>
      <c r="H897" s="147">
        <v>0</v>
      </c>
      <c r="I897" s="147">
        <v>34</v>
      </c>
      <c r="J897" s="147" t="s">
        <v>6272</v>
      </c>
      <c r="M897" s="147">
        <v>99</v>
      </c>
      <c r="N897" s="147" t="b">
        <v>1</v>
      </c>
      <c r="O897" s="147">
        <v>5</v>
      </c>
      <c r="P897" s="281">
        <v>75</v>
      </c>
      <c r="Q897" s="281">
        <v>100</v>
      </c>
      <c r="R897" s="147" t="s">
        <v>3383</v>
      </c>
      <c r="T897" s="147">
        <v>1</v>
      </c>
      <c r="U897" s="147" t="s">
        <v>4880</v>
      </c>
      <c r="V897" s="147">
        <v>0</v>
      </c>
      <c r="X897" s="147" t="s">
        <v>4881</v>
      </c>
      <c r="Y897" s="147" t="s">
        <v>6273</v>
      </c>
      <c r="Z897" s="147" t="s">
        <v>6274</v>
      </c>
      <c r="AA897" s="147" t="s">
        <v>6250</v>
      </c>
      <c r="AC897" s="147">
        <v>1</v>
      </c>
      <c r="AD897" s="147">
        <v>0</v>
      </c>
    </row>
    <row r="898" spans="1:30" x14ac:dyDescent="0.15">
      <c r="A898" s="263">
        <v>95410141</v>
      </c>
      <c r="B898" s="147" t="s">
        <v>6275</v>
      </c>
      <c r="C898" s="147" t="s">
        <v>6246</v>
      </c>
      <c r="D898" s="147">
        <v>9101</v>
      </c>
      <c r="E898" s="147" t="s">
        <v>4876</v>
      </c>
      <c r="F898" s="147" t="s">
        <v>6110</v>
      </c>
      <c r="G898" s="147">
        <v>7</v>
      </c>
      <c r="H898" s="147">
        <v>0</v>
      </c>
      <c r="I898" s="147">
        <v>34</v>
      </c>
      <c r="J898" s="147" t="s">
        <v>6276</v>
      </c>
      <c r="M898" s="147">
        <v>99</v>
      </c>
      <c r="N898" s="147" t="b">
        <v>1</v>
      </c>
      <c r="O898" s="147">
        <v>5</v>
      </c>
      <c r="P898" s="281">
        <v>75</v>
      </c>
      <c r="Q898" s="281">
        <v>100</v>
      </c>
      <c r="R898" s="147" t="s">
        <v>3383</v>
      </c>
      <c r="T898" s="147">
        <v>1</v>
      </c>
      <c r="U898" s="147" t="s">
        <v>4880</v>
      </c>
      <c r="V898" s="147">
        <v>0</v>
      </c>
      <c r="X898" s="147" t="s">
        <v>4881</v>
      </c>
      <c r="Y898" s="147" t="s">
        <v>6277</v>
      </c>
      <c r="Z898" s="147" t="s">
        <v>6278</v>
      </c>
      <c r="AA898" s="147" t="s">
        <v>6250</v>
      </c>
      <c r="AC898" s="147">
        <v>1</v>
      </c>
      <c r="AD898" s="147">
        <v>0</v>
      </c>
    </row>
    <row r="899" spans="1:30" x14ac:dyDescent="0.15">
      <c r="A899" s="263">
        <v>95410142</v>
      </c>
      <c r="B899" s="147" t="s">
        <v>6279</v>
      </c>
      <c r="C899" s="147" t="s">
        <v>6246</v>
      </c>
      <c r="D899" s="147">
        <v>9101</v>
      </c>
      <c r="E899" s="147" t="s">
        <v>4876</v>
      </c>
      <c r="F899" s="147" t="s">
        <v>6110</v>
      </c>
      <c r="G899" s="147">
        <v>7</v>
      </c>
      <c r="H899" s="147">
        <v>0</v>
      </c>
      <c r="I899" s="147">
        <v>34</v>
      </c>
      <c r="J899" s="147" t="s">
        <v>6280</v>
      </c>
      <c r="M899" s="147">
        <v>99</v>
      </c>
      <c r="N899" s="147" t="b">
        <v>1</v>
      </c>
      <c r="O899" s="147">
        <v>5</v>
      </c>
      <c r="P899" s="281">
        <v>75</v>
      </c>
      <c r="Q899" s="281">
        <v>100</v>
      </c>
      <c r="R899" s="147" t="s">
        <v>3383</v>
      </c>
      <c r="T899" s="147">
        <v>1</v>
      </c>
      <c r="U899" s="147" t="s">
        <v>4880</v>
      </c>
      <c r="V899" s="147">
        <v>0</v>
      </c>
      <c r="X899" s="147" t="s">
        <v>4881</v>
      </c>
      <c r="Y899" s="147" t="s">
        <v>6281</v>
      </c>
      <c r="Z899" s="147" t="s">
        <v>6282</v>
      </c>
      <c r="AA899" s="147" t="s">
        <v>6250</v>
      </c>
      <c r="AC899" s="147">
        <v>1</v>
      </c>
      <c r="AD899" s="147">
        <v>0</v>
      </c>
    </row>
    <row r="900" spans="1:30" x14ac:dyDescent="0.15">
      <c r="A900" s="263">
        <v>95410143</v>
      </c>
      <c r="B900" s="147" t="s">
        <v>6283</v>
      </c>
      <c r="C900" s="147" t="s">
        <v>6246</v>
      </c>
      <c r="D900" s="147">
        <v>9101</v>
      </c>
      <c r="E900" s="147" t="s">
        <v>4876</v>
      </c>
      <c r="F900" s="147" t="s">
        <v>6110</v>
      </c>
      <c r="G900" s="147">
        <v>7</v>
      </c>
      <c r="H900" s="147">
        <v>0</v>
      </c>
      <c r="I900" s="147">
        <v>34</v>
      </c>
      <c r="J900" s="147" t="s">
        <v>6284</v>
      </c>
      <c r="M900" s="147">
        <v>99</v>
      </c>
      <c r="N900" s="147" t="b">
        <v>1</v>
      </c>
      <c r="O900" s="147">
        <v>7</v>
      </c>
      <c r="P900" s="281">
        <v>105</v>
      </c>
      <c r="Q900" s="281">
        <v>140</v>
      </c>
      <c r="R900" s="147" t="s">
        <v>3383</v>
      </c>
      <c r="T900" s="147">
        <v>1</v>
      </c>
      <c r="U900" s="147" t="s">
        <v>4880</v>
      </c>
      <c r="V900" s="147">
        <v>0</v>
      </c>
      <c r="X900" s="147" t="s">
        <v>4881</v>
      </c>
      <c r="Y900" s="147" t="s">
        <v>6285</v>
      </c>
      <c r="Z900" s="147" t="s">
        <v>6286</v>
      </c>
      <c r="AA900" s="147" t="s">
        <v>6250</v>
      </c>
      <c r="AC900" s="147">
        <v>1</v>
      </c>
      <c r="AD900" s="147">
        <v>0</v>
      </c>
    </row>
    <row r="901" spans="1:30" x14ac:dyDescent="0.15">
      <c r="A901" s="263">
        <v>95410144</v>
      </c>
      <c r="B901" s="147" t="s">
        <v>6287</v>
      </c>
      <c r="C901" s="147" t="s">
        <v>6246</v>
      </c>
      <c r="D901" s="147">
        <v>9101</v>
      </c>
      <c r="E901" s="147" t="s">
        <v>4876</v>
      </c>
      <c r="F901" s="147" t="s">
        <v>6110</v>
      </c>
      <c r="G901" s="147">
        <v>7</v>
      </c>
      <c r="H901" s="147">
        <v>0</v>
      </c>
      <c r="I901" s="147">
        <v>34</v>
      </c>
      <c r="J901" s="147" t="s">
        <v>6288</v>
      </c>
      <c r="M901" s="147">
        <v>99</v>
      </c>
      <c r="N901" s="147" t="b">
        <v>1</v>
      </c>
      <c r="O901" s="147">
        <v>7</v>
      </c>
      <c r="P901" s="281">
        <v>105</v>
      </c>
      <c r="Q901" s="281">
        <v>140</v>
      </c>
      <c r="R901" s="147" t="s">
        <v>3383</v>
      </c>
      <c r="T901" s="147">
        <v>1</v>
      </c>
      <c r="U901" s="147" t="s">
        <v>4880</v>
      </c>
      <c r="V901" s="147">
        <v>0</v>
      </c>
      <c r="X901" s="147" t="s">
        <v>4881</v>
      </c>
      <c r="Y901" s="147" t="s">
        <v>6289</v>
      </c>
      <c r="Z901" s="147" t="s">
        <v>6290</v>
      </c>
      <c r="AA901" s="147" t="s">
        <v>6250</v>
      </c>
      <c r="AC901" s="147">
        <v>1</v>
      </c>
      <c r="AD901" s="147">
        <v>0</v>
      </c>
    </row>
    <row r="902" spans="1:30" x14ac:dyDescent="0.15">
      <c r="A902" s="263">
        <v>95410145</v>
      </c>
      <c r="B902" s="147" t="s">
        <v>6291</v>
      </c>
      <c r="C902" s="147" t="s">
        <v>6246</v>
      </c>
      <c r="D902" s="147">
        <v>9101</v>
      </c>
      <c r="E902" s="147" t="s">
        <v>4876</v>
      </c>
      <c r="F902" s="147" t="s">
        <v>6110</v>
      </c>
      <c r="G902" s="147">
        <v>7</v>
      </c>
      <c r="H902" s="147">
        <v>0</v>
      </c>
      <c r="I902" s="147">
        <v>34</v>
      </c>
      <c r="J902" s="147" t="s">
        <v>6292</v>
      </c>
      <c r="M902" s="147">
        <v>99</v>
      </c>
      <c r="N902" s="147" t="b">
        <v>1</v>
      </c>
      <c r="O902" s="147">
        <v>7</v>
      </c>
      <c r="P902" s="281">
        <v>105</v>
      </c>
      <c r="Q902" s="281">
        <v>140</v>
      </c>
      <c r="R902" s="147" t="s">
        <v>3383</v>
      </c>
      <c r="T902" s="147">
        <v>1</v>
      </c>
      <c r="U902" s="147" t="s">
        <v>4880</v>
      </c>
      <c r="V902" s="147">
        <v>0</v>
      </c>
      <c r="X902" s="147" t="s">
        <v>4881</v>
      </c>
      <c r="Y902" s="147" t="s">
        <v>6293</v>
      </c>
      <c r="Z902" s="147" t="s">
        <v>6294</v>
      </c>
      <c r="AA902" s="147" t="s">
        <v>6250</v>
      </c>
      <c r="AC902" s="147">
        <v>1</v>
      </c>
      <c r="AD902" s="147">
        <v>0</v>
      </c>
    </row>
    <row r="903" spans="1:30" x14ac:dyDescent="0.15">
      <c r="A903" s="263">
        <v>95410146</v>
      </c>
      <c r="B903" s="147" t="s">
        <v>6295</v>
      </c>
      <c r="C903" s="147" t="s">
        <v>6246</v>
      </c>
      <c r="D903" s="147">
        <v>9101</v>
      </c>
      <c r="E903" s="147" t="s">
        <v>4876</v>
      </c>
      <c r="F903" s="147" t="s">
        <v>6110</v>
      </c>
      <c r="G903" s="147">
        <v>7</v>
      </c>
      <c r="H903" s="147">
        <v>0</v>
      </c>
      <c r="I903" s="147">
        <v>34</v>
      </c>
      <c r="J903" s="147" t="s">
        <v>6296</v>
      </c>
      <c r="M903" s="147">
        <v>99</v>
      </c>
      <c r="N903" s="147" t="b">
        <v>1</v>
      </c>
      <c r="O903" s="147">
        <v>10</v>
      </c>
      <c r="P903" s="281">
        <v>150</v>
      </c>
      <c r="Q903" s="281">
        <v>200</v>
      </c>
      <c r="R903" s="147" t="s">
        <v>3383</v>
      </c>
      <c r="T903" s="147">
        <v>1</v>
      </c>
      <c r="U903" s="147" t="s">
        <v>4880</v>
      </c>
      <c r="V903" s="147">
        <v>0</v>
      </c>
      <c r="X903" s="147" t="s">
        <v>4881</v>
      </c>
      <c r="Y903" s="147" t="s">
        <v>6297</v>
      </c>
      <c r="Z903" s="147" t="s">
        <v>6298</v>
      </c>
      <c r="AA903" s="147" t="s">
        <v>6250</v>
      </c>
      <c r="AC903" s="147">
        <v>1</v>
      </c>
      <c r="AD903" s="147">
        <v>0</v>
      </c>
    </row>
    <row r="904" spans="1:30" x14ac:dyDescent="0.15">
      <c r="A904" s="263">
        <v>95410147</v>
      </c>
      <c r="B904" s="147" t="s">
        <v>6299</v>
      </c>
      <c r="C904" s="147" t="s">
        <v>6246</v>
      </c>
      <c r="D904" s="147">
        <v>9101</v>
      </c>
      <c r="E904" s="147" t="s">
        <v>4876</v>
      </c>
      <c r="F904" s="147" t="s">
        <v>6110</v>
      </c>
      <c r="G904" s="147">
        <v>7</v>
      </c>
      <c r="H904" s="147">
        <v>0</v>
      </c>
      <c r="I904" s="147">
        <v>34</v>
      </c>
      <c r="J904" s="147" t="s">
        <v>6300</v>
      </c>
      <c r="M904" s="147">
        <v>99</v>
      </c>
      <c r="N904" s="147" t="b">
        <v>1</v>
      </c>
      <c r="O904" s="147">
        <v>10</v>
      </c>
      <c r="P904" s="281">
        <v>150</v>
      </c>
      <c r="Q904" s="281">
        <v>200</v>
      </c>
      <c r="R904" s="147" t="s">
        <v>3383</v>
      </c>
      <c r="T904" s="147">
        <v>1</v>
      </c>
      <c r="U904" s="147" t="s">
        <v>4880</v>
      </c>
      <c r="V904" s="147">
        <v>0</v>
      </c>
      <c r="X904" s="147" t="s">
        <v>4881</v>
      </c>
      <c r="Y904" s="147" t="s">
        <v>6301</v>
      </c>
      <c r="Z904" s="147" t="s">
        <v>6302</v>
      </c>
      <c r="AA904" s="147" t="s">
        <v>6250</v>
      </c>
      <c r="AC904" s="147">
        <v>1</v>
      </c>
      <c r="AD904" s="147">
        <v>0</v>
      </c>
    </row>
    <row r="905" spans="1:30" x14ac:dyDescent="0.15">
      <c r="A905" s="263">
        <v>95410148</v>
      </c>
      <c r="B905" s="147" t="s">
        <v>6303</v>
      </c>
      <c r="C905" s="147" t="s">
        <v>6246</v>
      </c>
      <c r="D905" s="147">
        <v>9101</v>
      </c>
      <c r="E905" s="147" t="s">
        <v>4876</v>
      </c>
      <c r="F905" s="147" t="s">
        <v>6110</v>
      </c>
      <c r="G905" s="147">
        <v>7</v>
      </c>
      <c r="H905" s="147">
        <v>0</v>
      </c>
      <c r="I905" s="147">
        <v>34</v>
      </c>
      <c r="J905" s="147" t="s">
        <v>6304</v>
      </c>
      <c r="M905" s="147">
        <v>99</v>
      </c>
      <c r="N905" s="147" t="b">
        <v>1</v>
      </c>
      <c r="O905" s="147">
        <v>10</v>
      </c>
      <c r="P905" s="281">
        <v>150</v>
      </c>
      <c r="Q905" s="281">
        <v>200</v>
      </c>
      <c r="R905" s="147" t="s">
        <v>3383</v>
      </c>
      <c r="T905" s="147">
        <v>1</v>
      </c>
      <c r="U905" s="147" t="s">
        <v>4880</v>
      </c>
      <c r="V905" s="147">
        <v>0</v>
      </c>
      <c r="X905" s="147" t="s">
        <v>4881</v>
      </c>
      <c r="Y905" s="147" t="s">
        <v>6305</v>
      </c>
      <c r="Z905" s="147" t="s">
        <v>6306</v>
      </c>
      <c r="AA905" s="147" t="s">
        <v>6250</v>
      </c>
      <c r="AC905" s="147">
        <v>1</v>
      </c>
      <c r="AD905" s="147">
        <v>0</v>
      </c>
    </row>
    <row r="906" spans="1:30" x14ac:dyDescent="0.15">
      <c r="A906" s="263">
        <v>95410149</v>
      </c>
      <c r="B906" s="147" t="s">
        <v>6307</v>
      </c>
      <c r="C906" s="147" t="s">
        <v>6246</v>
      </c>
      <c r="D906" s="147">
        <v>9101</v>
      </c>
      <c r="E906" s="147" t="s">
        <v>4876</v>
      </c>
      <c r="F906" s="147" t="s">
        <v>6110</v>
      </c>
      <c r="G906" s="147">
        <v>7</v>
      </c>
      <c r="H906" s="147">
        <v>0</v>
      </c>
      <c r="I906" s="147">
        <v>34</v>
      </c>
      <c r="J906" s="147" t="s">
        <v>6308</v>
      </c>
      <c r="M906" s="147">
        <v>99</v>
      </c>
      <c r="N906" s="147" t="b">
        <v>1</v>
      </c>
      <c r="O906" s="147">
        <v>12</v>
      </c>
      <c r="P906" s="281">
        <v>180</v>
      </c>
      <c r="Q906" s="281">
        <v>240</v>
      </c>
      <c r="R906" s="147" t="s">
        <v>3383</v>
      </c>
      <c r="T906" s="147">
        <v>1</v>
      </c>
      <c r="U906" s="147" t="s">
        <v>4880</v>
      </c>
      <c r="V906" s="147">
        <v>0</v>
      </c>
      <c r="X906" s="147" t="s">
        <v>4881</v>
      </c>
      <c r="Y906" s="147" t="s">
        <v>6309</v>
      </c>
      <c r="Z906" s="147" t="s">
        <v>6310</v>
      </c>
      <c r="AA906" s="147" t="s">
        <v>6250</v>
      </c>
      <c r="AC906" s="147">
        <v>1</v>
      </c>
      <c r="AD906" s="147">
        <v>0</v>
      </c>
    </row>
    <row r="907" spans="1:30" x14ac:dyDescent="0.15">
      <c r="A907" s="263">
        <v>95410150</v>
      </c>
      <c r="B907" s="147" t="s">
        <v>6311</v>
      </c>
      <c r="C907" s="147" t="s">
        <v>6246</v>
      </c>
      <c r="D907" s="147">
        <v>9101</v>
      </c>
      <c r="E907" s="147" t="s">
        <v>4876</v>
      </c>
      <c r="F907" s="147" t="s">
        <v>6110</v>
      </c>
      <c r="G907" s="147">
        <v>7</v>
      </c>
      <c r="H907" s="147">
        <v>0</v>
      </c>
      <c r="I907" s="147">
        <v>34</v>
      </c>
      <c r="J907" s="147" t="s">
        <v>6312</v>
      </c>
      <c r="M907" s="147">
        <v>99</v>
      </c>
      <c r="N907" s="147" t="b">
        <v>1</v>
      </c>
      <c r="O907" s="147">
        <v>12</v>
      </c>
      <c r="P907" s="281">
        <v>180</v>
      </c>
      <c r="Q907" s="281">
        <v>240</v>
      </c>
      <c r="R907" s="147" t="s">
        <v>3383</v>
      </c>
      <c r="T907" s="147">
        <v>1</v>
      </c>
      <c r="U907" s="147" t="s">
        <v>4880</v>
      </c>
      <c r="V907" s="147">
        <v>0</v>
      </c>
      <c r="X907" s="147" t="s">
        <v>4881</v>
      </c>
      <c r="Y907" s="147" t="s">
        <v>6313</v>
      </c>
      <c r="Z907" s="147" t="s">
        <v>6314</v>
      </c>
      <c r="AA907" s="147" t="s">
        <v>6250</v>
      </c>
      <c r="AC907" s="147">
        <v>1</v>
      </c>
      <c r="AD907" s="147">
        <v>0</v>
      </c>
    </row>
  </sheetData>
  <autoFilter ref="A1:AG907" xr:uid="{00000000-0009-0000-0000-000008000000}"/>
  <sortState xmlns:xlrd2="http://schemas.microsoft.com/office/spreadsheetml/2017/richdata2" ref="A2:V233">
    <sortCondition ref="A1"/>
  </sortState>
  <phoneticPr fontId="45" type="noConversion"/>
  <conditionalFormatting sqref="A1:A907">
    <cfRule type="duplicateValues" dxfId="48" priority="1"/>
  </conditionalFormatting>
  <conditionalFormatting sqref="A756:A757">
    <cfRule type="duplicateValues" dxfId="47" priority="5"/>
  </conditionalFormatting>
  <conditionalFormatting sqref="A772:A773">
    <cfRule type="duplicateValues" dxfId="46" priority="4"/>
  </conditionalFormatting>
  <conditionalFormatting sqref="A784:A785">
    <cfRule type="duplicateValues" dxfId="45" priority="3"/>
  </conditionalFormatting>
  <conditionalFormatting sqref="A836:A839">
    <cfRule type="duplicateValues" dxfId="44" priority="2"/>
  </conditionalFormatting>
  <conditionalFormatting sqref="B836">
    <cfRule type="duplicateValues" dxfId="43" priority="7"/>
  </conditionalFormatting>
  <conditionalFormatting sqref="B838">
    <cfRule type="duplicateValues" dxfId="42" priority="6"/>
  </conditionalFormatting>
  <pageMargins left="0.7" right="0.7" top="0.75" bottom="0.75" header="0.3" footer="0.3"/>
  <pageSetup paperSize="9" orientation="portrait" horizontalDpi="360" verticalDpi="36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G907"/>
  <sheetViews>
    <sheetView topLeftCell="A850" zoomScale="85" zoomScaleNormal="85" workbookViewId="0">
      <pane xSplit="2" topLeftCell="C1" activePane="topRight" state="frozen"/>
      <selection pane="topRight" activeCell="J887" sqref="J887"/>
    </sheetView>
  </sheetViews>
  <sheetFormatPr defaultColWidth="9" defaultRowHeight="14.25" x14ac:dyDescent="0.15"/>
  <cols>
    <col min="1" max="1" width="16.75" style="263" customWidth="1"/>
    <col min="2" max="2" width="61.625" style="147" customWidth="1"/>
    <col min="3" max="3" width="22.625" style="147" customWidth="1"/>
    <col min="4" max="4" width="17" style="147" customWidth="1"/>
    <col min="5" max="5" width="6.25" style="147" customWidth="1"/>
    <col min="6" max="6" width="14.5" style="147" customWidth="1"/>
    <col min="7" max="8" width="9" style="147"/>
    <col min="9" max="9" width="9.875" style="147" customWidth="1"/>
    <col min="10" max="10" width="35" style="147" customWidth="1"/>
    <col min="11" max="12" width="32.5" style="148" customWidth="1"/>
    <col min="13" max="13" width="9" style="147"/>
    <col min="14" max="14" width="15.375" style="147" customWidth="1"/>
    <col min="15" max="15" width="10.625" style="147" customWidth="1"/>
    <col min="16" max="16" width="18.125" style="147" customWidth="1"/>
    <col min="17" max="17" width="20.375" style="147" customWidth="1"/>
    <col min="18" max="18" width="9.75" style="147" customWidth="1"/>
    <col min="19" max="20" width="10.625" style="147" customWidth="1"/>
    <col min="21" max="21" width="20.5" style="147" customWidth="1"/>
    <col min="22" max="23" width="17.25" style="147" customWidth="1"/>
    <col min="24" max="24" width="10.625" style="147" customWidth="1"/>
    <col min="25" max="25" width="69.5" style="147" customWidth="1"/>
    <col min="26" max="26" width="33.875" style="147" customWidth="1"/>
    <col min="27" max="27" width="24.5" style="147" customWidth="1"/>
    <col min="28" max="28" width="13.625" style="147" customWidth="1"/>
    <col min="29" max="16384" width="9" style="147"/>
  </cols>
  <sheetData>
    <row r="1" spans="1:33" ht="27" x14ac:dyDescent="0.15">
      <c r="A1" s="264" t="s">
        <v>0</v>
      </c>
      <c r="B1" s="265" t="s">
        <v>1</v>
      </c>
      <c r="C1" s="265" t="s">
        <v>4866</v>
      </c>
      <c r="D1" s="265" t="s">
        <v>3367</v>
      </c>
      <c r="E1" s="265" t="s">
        <v>3</v>
      </c>
      <c r="F1" s="265" t="s">
        <v>4867</v>
      </c>
      <c r="G1" s="266" t="s">
        <v>7</v>
      </c>
      <c r="H1" s="266" t="s">
        <v>9</v>
      </c>
      <c r="I1" s="266" t="s">
        <v>10</v>
      </c>
      <c r="J1" s="274" t="s">
        <v>3369</v>
      </c>
      <c r="K1" s="275" t="s">
        <v>4868</v>
      </c>
      <c r="L1" s="276" t="s">
        <v>4869</v>
      </c>
      <c r="M1" s="265" t="s">
        <v>16</v>
      </c>
      <c r="N1" s="265" t="s">
        <v>17</v>
      </c>
      <c r="O1" s="277" t="s">
        <v>18</v>
      </c>
      <c r="P1" s="195" t="s">
        <v>19</v>
      </c>
      <c r="Q1" s="195" t="s">
        <v>20</v>
      </c>
      <c r="R1" s="265" t="s">
        <v>3371</v>
      </c>
      <c r="S1" s="265" t="s">
        <v>3372</v>
      </c>
      <c r="T1" s="286" t="s">
        <v>22</v>
      </c>
      <c r="U1" s="265" t="s">
        <v>3585</v>
      </c>
      <c r="V1" s="265" t="s">
        <v>3375</v>
      </c>
      <c r="W1" s="265" t="s">
        <v>4870</v>
      </c>
      <c r="X1" s="265" t="s">
        <v>23</v>
      </c>
      <c r="Y1" s="265" t="s">
        <v>24</v>
      </c>
      <c r="Z1" s="265" t="s">
        <v>3376</v>
      </c>
      <c r="AA1" s="281" t="s">
        <v>26</v>
      </c>
      <c r="AB1" s="281" t="s">
        <v>27</v>
      </c>
      <c r="AC1" s="287" t="s">
        <v>28</v>
      </c>
      <c r="AD1" s="287" t="s">
        <v>29</v>
      </c>
      <c r="AE1" s="288" t="s">
        <v>4871</v>
      </c>
      <c r="AF1" s="288" t="s">
        <v>4872</v>
      </c>
      <c r="AG1" s="288" t="s">
        <v>4873</v>
      </c>
    </row>
    <row r="2" spans="1:33" s="145" customFormat="1" x14ac:dyDescent="0.15">
      <c r="A2" s="267">
        <v>95101011</v>
      </c>
      <c r="B2" t="s">
        <v>6315</v>
      </c>
      <c r="C2" s="268" t="s">
        <v>6316</v>
      </c>
      <c r="D2" s="268">
        <v>5081</v>
      </c>
      <c r="E2" s="268" t="s">
        <v>4876</v>
      </c>
      <c r="F2" s="268" t="s">
        <v>4877</v>
      </c>
      <c r="G2" s="269">
        <v>1</v>
      </c>
      <c r="H2" s="269">
        <v>0</v>
      </c>
      <c r="I2" s="267">
        <v>34</v>
      </c>
      <c r="J2" s="278" t="s">
        <v>4878</v>
      </c>
      <c r="K2" s="279" t="s">
        <v>4879</v>
      </c>
      <c r="L2" s="279"/>
      <c r="M2" s="268">
        <v>1</v>
      </c>
      <c r="N2" s="268" t="b">
        <v>1</v>
      </c>
      <c r="O2" s="280">
        <v>2</v>
      </c>
      <c r="P2" s="281">
        <v>30</v>
      </c>
      <c r="Q2" s="281">
        <v>40</v>
      </c>
      <c r="R2" s="268" t="s">
        <v>3383</v>
      </c>
      <c r="S2" s="268"/>
      <c r="T2" s="268">
        <v>1</v>
      </c>
      <c r="U2" s="268" t="s">
        <v>4880</v>
      </c>
      <c r="V2" s="269">
        <v>1</v>
      </c>
      <c r="W2" s="269"/>
      <c r="X2" s="268" t="s">
        <v>4881</v>
      </c>
      <c r="Y2" t="s">
        <v>6317</v>
      </c>
      <c r="Z2" t="s">
        <v>6318</v>
      </c>
      <c r="AA2" s="268" t="s">
        <v>4884</v>
      </c>
      <c r="AB2" s="268"/>
      <c r="AC2" s="287">
        <v>1</v>
      </c>
      <c r="AD2" s="287">
        <v>1</v>
      </c>
      <c r="AE2" s="268"/>
      <c r="AF2" s="268"/>
      <c r="AG2" s="290"/>
    </row>
    <row r="3" spans="1:33" s="145" customFormat="1" x14ac:dyDescent="0.15">
      <c r="A3" s="267">
        <v>95101012</v>
      </c>
      <c r="B3" t="s">
        <v>6315</v>
      </c>
      <c r="C3" s="268" t="s">
        <v>6316</v>
      </c>
      <c r="D3" s="268">
        <v>5081</v>
      </c>
      <c r="E3" s="268" t="s">
        <v>4876</v>
      </c>
      <c r="F3" s="268" t="s">
        <v>4877</v>
      </c>
      <c r="G3" s="269">
        <v>2</v>
      </c>
      <c r="H3" s="269">
        <v>0</v>
      </c>
      <c r="I3" s="267">
        <v>34</v>
      </c>
      <c r="J3" s="278" t="s">
        <v>4878</v>
      </c>
      <c r="K3" s="279" t="s">
        <v>4879</v>
      </c>
      <c r="L3" s="279"/>
      <c r="M3" s="268">
        <v>1</v>
      </c>
      <c r="N3" s="268" t="b">
        <v>1</v>
      </c>
      <c r="O3" s="268">
        <v>5</v>
      </c>
      <c r="P3" s="281">
        <v>75</v>
      </c>
      <c r="Q3" s="281">
        <v>100</v>
      </c>
      <c r="R3" s="268" t="s">
        <v>3383</v>
      </c>
      <c r="S3" s="268"/>
      <c r="T3" s="268">
        <v>1</v>
      </c>
      <c r="U3" s="268" t="s">
        <v>4880</v>
      </c>
      <c r="V3" s="269">
        <v>2</v>
      </c>
      <c r="W3" s="269"/>
      <c r="X3" s="268" t="s">
        <v>4881</v>
      </c>
      <c r="Y3" t="s">
        <v>6317</v>
      </c>
      <c r="Z3" t="s">
        <v>6318</v>
      </c>
      <c r="AA3" s="268" t="s">
        <v>4884</v>
      </c>
      <c r="AB3" s="268"/>
      <c r="AC3" s="287">
        <v>1</v>
      </c>
      <c r="AD3" s="287">
        <v>1</v>
      </c>
      <c r="AE3" s="268"/>
      <c r="AF3" s="268"/>
      <c r="AG3" s="290"/>
    </row>
    <row r="4" spans="1:33" s="145" customFormat="1" x14ac:dyDescent="0.15">
      <c r="A4" s="267">
        <v>95101013</v>
      </c>
      <c r="B4" t="s">
        <v>6315</v>
      </c>
      <c r="C4" s="268" t="s">
        <v>6316</v>
      </c>
      <c r="D4" s="268">
        <v>5081</v>
      </c>
      <c r="E4" s="268" t="s">
        <v>4876</v>
      </c>
      <c r="F4" s="268" t="s">
        <v>4877</v>
      </c>
      <c r="G4" s="269">
        <v>3</v>
      </c>
      <c r="H4" s="269">
        <v>0</v>
      </c>
      <c r="I4" s="267">
        <v>34</v>
      </c>
      <c r="J4" s="278" t="s">
        <v>4878</v>
      </c>
      <c r="K4" s="279" t="s">
        <v>4879</v>
      </c>
      <c r="L4" s="279"/>
      <c r="M4" s="268">
        <v>1</v>
      </c>
      <c r="N4" s="268" t="b">
        <v>1</v>
      </c>
      <c r="O4" s="268">
        <v>7</v>
      </c>
      <c r="P4" s="281">
        <v>105</v>
      </c>
      <c r="Q4" s="281">
        <v>140</v>
      </c>
      <c r="R4" s="268" t="s">
        <v>3383</v>
      </c>
      <c r="S4" s="268"/>
      <c r="T4" s="268">
        <v>1</v>
      </c>
      <c r="U4" s="268" t="s">
        <v>4880</v>
      </c>
      <c r="V4" s="269">
        <v>3</v>
      </c>
      <c r="W4" s="269"/>
      <c r="X4" s="268" t="s">
        <v>4881</v>
      </c>
      <c r="Y4" t="s">
        <v>6317</v>
      </c>
      <c r="Z4" t="s">
        <v>6318</v>
      </c>
      <c r="AA4" s="268" t="s">
        <v>4884</v>
      </c>
      <c r="AB4" s="268"/>
      <c r="AC4" s="287">
        <v>1</v>
      </c>
      <c r="AD4" s="287">
        <v>1</v>
      </c>
      <c r="AE4" s="268"/>
      <c r="AF4" s="268"/>
      <c r="AG4" s="290"/>
    </row>
    <row r="5" spans="1:33" s="145" customFormat="1" x14ac:dyDescent="0.15">
      <c r="A5" s="267">
        <v>95101014</v>
      </c>
      <c r="B5" t="s">
        <v>6315</v>
      </c>
      <c r="C5" s="268" t="s">
        <v>6316</v>
      </c>
      <c r="D5" s="268">
        <v>5081</v>
      </c>
      <c r="E5" s="268" t="s">
        <v>4876</v>
      </c>
      <c r="F5" s="268" t="s">
        <v>4877</v>
      </c>
      <c r="G5" s="269">
        <v>4</v>
      </c>
      <c r="H5" s="269">
        <v>0</v>
      </c>
      <c r="I5" s="267">
        <v>34</v>
      </c>
      <c r="J5" s="278" t="s">
        <v>4878</v>
      </c>
      <c r="K5" s="279" t="s">
        <v>4879</v>
      </c>
      <c r="L5" s="279"/>
      <c r="M5" s="268">
        <v>1</v>
      </c>
      <c r="N5" s="268" t="b">
        <v>1</v>
      </c>
      <c r="O5" s="268">
        <v>10</v>
      </c>
      <c r="P5" s="281">
        <v>150</v>
      </c>
      <c r="Q5" s="281">
        <v>200</v>
      </c>
      <c r="R5" s="268" t="s">
        <v>3383</v>
      </c>
      <c r="S5" s="268"/>
      <c r="T5" s="268">
        <v>1</v>
      </c>
      <c r="U5" s="268" t="s">
        <v>4880</v>
      </c>
      <c r="V5" s="269">
        <v>4</v>
      </c>
      <c r="W5" s="269"/>
      <c r="X5" s="268" t="s">
        <v>4881</v>
      </c>
      <c r="Y5" t="s">
        <v>6317</v>
      </c>
      <c r="Z5" t="s">
        <v>6318</v>
      </c>
      <c r="AA5" s="268" t="s">
        <v>4884</v>
      </c>
      <c r="AB5" s="268"/>
      <c r="AC5" s="287">
        <v>1</v>
      </c>
      <c r="AD5" s="287">
        <v>1</v>
      </c>
      <c r="AE5" s="268"/>
      <c r="AF5" s="268"/>
      <c r="AG5" s="290"/>
    </row>
    <row r="6" spans="1:33" s="145" customFormat="1" x14ac:dyDescent="0.15">
      <c r="A6" s="267">
        <v>95101015</v>
      </c>
      <c r="B6" t="s">
        <v>6315</v>
      </c>
      <c r="C6" s="268" t="s">
        <v>6316</v>
      </c>
      <c r="D6" s="268">
        <v>5081</v>
      </c>
      <c r="E6" s="268" t="s">
        <v>4876</v>
      </c>
      <c r="F6" s="268" t="s">
        <v>4877</v>
      </c>
      <c r="G6" s="269">
        <v>5</v>
      </c>
      <c r="H6" s="269">
        <v>0</v>
      </c>
      <c r="I6" s="267">
        <v>34</v>
      </c>
      <c r="J6" s="278" t="s">
        <v>4878</v>
      </c>
      <c r="K6" s="279" t="s">
        <v>4879</v>
      </c>
      <c r="L6" s="279"/>
      <c r="M6" s="268">
        <v>1</v>
      </c>
      <c r="N6" s="268" t="b">
        <v>1</v>
      </c>
      <c r="O6" s="268">
        <v>12</v>
      </c>
      <c r="P6" s="281">
        <v>180</v>
      </c>
      <c r="Q6" s="281">
        <v>240</v>
      </c>
      <c r="R6" s="268" t="s">
        <v>3383</v>
      </c>
      <c r="S6" s="268"/>
      <c r="T6" s="268">
        <v>1</v>
      </c>
      <c r="U6" s="268" t="s">
        <v>4880</v>
      </c>
      <c r="V6" s="269">
        <v>5</v>
      </c>
      <c r="W6" s="269"/>
      <c r="X6" s="268" t="s">
        <v>4881</v>
      </c>
      <c r="Y6" t="s">
        <v>6317</v>
      </c>
      <c r="Z6" t="s">
        <v>6318</v>
      </c>
      <c r="AA6" s="268" t="s">
        <v>4884</v>
      </c>
      <c r="AB6" s="268"/>
      <c r="AC6" s="287">
        <v>1</v>
      </c>
      <c r="AD6" s="287">
        <v>1</v>
      </c>
      <c r="AE6" s="268"/>
      <c r="AF6" s="268"/>
      <c r="AG6" s="290"/>
    </row>
    <row r="7" spans="1:33" s="145" customFormat="1" x14ac:dyDescent="0.15">
      <c r="A7" s="270">
        <v>95101016</v>
      </c>
      <c r="B7" t="s">
        <v>6315</v>
      </c>
      <c r="C7" s="268" t="s">
        <v>6316</v>
      </c>
      <c r="D7" s="268">
        <v>5081</v>
      </c>
      <c r="E7" s="268" t="s">
        <v>4876</v>
      </c>
      <c r="F7" s="268" t="s">
        <v>4877</v>
      </c>
      <c r="G7" s="269">
        <v>6</v>
      </c>
      <c r="H7" s="269">
        <v>0</v>
      </c>
      <c r="I7" s="267">
        <v>34</v>
      </c>
      <c r="J7" s="282" t="s">
        <v>4878</v>
      </c>
      <c r="K7" s="279" t="s">
        <v>4879</v>
      </c>
      <c r="L7" s="279"/>
      <c r="M7" s="268">
        <v>1</v>
      </c>
      <c r="N7" s="268" t="b">
        <v>1</v>
      </c>
      <c r="O7" s="268">
        <v>25</v>
      </c>
      <c r="P7" s="281">
        <v>375</v>
      </c>
      <c r="Q7" s="281">
        <v>500</v>
      </c>
      <c r="R7" s="268" t="s">
        <v>3383</v>
      </c>
      <c r="S7" s="268"/>
      <c r="T7" s="268">
        <v>1</v>
      </c>
      <c r="U7" s="268" t="s">
        <v>4880</v>
      </c>
      <c r="V7" s="269">
        <v>7</v>
      </c>
      <c r="W7" s="269"/>
      <c r="X7" s="268" t="s">
        <v>4881</v>
      </c>
      <c r="Y7" t="s">
        <v>6317</v>
      </c>
      <c r="Z7" t="s">
        <v>6318</v>
      </c>
      <c r="AA7" s="268" t="s">
        <v>4884</v>
      </c>
      <c r="AB7" s="268"/>
      <c r="AC7" s="287">
        <v>1</v>
      </c>
      <c r="AD7" s="287">
        <v>1</v>
      </c>
      <c r="AE7" s="268"/>
      <c r="AF7" s="268"/>
      <c r="AG7" s="290"/>
    </row>
    <row r="8" spans="1:33" s="145" customFormat="1" x14ac:dyDescent="0.15">
      <c r="A8" s="270">
        <v>95101017</v>
      </c>
      <c r="B8" t="s">
        <v>6315</v>
      </c>
      <c r="C8" s="268" t="s">
        <v>6316</v>
      </c>
      <c r="D8" s="268">
        <v>5081</v>
      </c>
      <c r="E8" s="268" t="s">
        <v>4876</v>
      </c>
      <c r="F8" s="268" t="s">
        <v>4877</v>
      </c>
      <c r="G8" s="269">
        <v>7</v>
      </c>
      <c r="H8" s="269">
        <v>0</v>
      </c>
      <c r="I8" s="267">
        <v>34</v>
      </c>
      <c r="J8" s="282" t="s">
        <v>4878</v>
      </c>
      <c r="K8" s="279" t="s">
        <v>4879</v>
      </c>
      <c r="L8" s="279"/>
      <c r="M8" s="268">
        <v>1</v>
      </c>
      <c r="N8" s="268" t="b">
        <v>1</v>
      </c>
      <c r="O8" s="268">
        <v>38</v>
      </c>
      <c r="P8" s="281">
        <v>570</v>
      </c>
      <c r="Q8" s="281">
        <v>760</v>
      </c>
      <c r="R8" s="268" t="s">
        <v>3383</v>
      </c>
      <c r="S8" s="268"/>
      <c r="T8" s="268">
        <v>1</v>
      </c>
      <c r="U8" s="268" t="s">
        <v>4880</v>
      </c>
      <c r="V8" s="269">
        <v>10</v>
      </c>
      <c r="W8" s="269"/>
      <c r="X8" s="268" t="s">
        <v>4881</v>
      </c>
      <c r="Y8" t="s">
        <v>6317</v>
      </c>
      <c r="Z8" t="s">
        <v>6318</v>
      </c>
      <c r="AA8" s="268" t="s">
        <v>4884</v>
      </c>
      <c r="AB8" s="268"/>
      <c r="AC8" s="287">
        <v>1</v>
      </c>
      <c r="AD8" s="287">
        <v>1</v>
      </c>
      <c r="AE8" s="268"/>
      <c r="AF8" s="268"/>
      <c r="AG8" s="290"/>
    </row>
    <row r="9" spans="1:33" s="258" customFormat="1" x14ac:dyDescent="0.15">
      <c r="A9" s="271">
        <v>95101018</v>
      </c>
      <c r="B9" t="s">
        <v>6319</v>
      </c>
      <c r="C9" s="268" t="s">
        <v>6316</v>
      </c>
      <c r="D9" s="272">
        <v>5081</v>
      </c>
      <c r="E9" s="272" t="s">
        <v>4876</v>
      </c>
      <c r="F9" s="272" t="s">
        <v>4877</v>
      </c>
      <c r="G9" s="269">
        <v>6</v>
      </c>
      <c r="H9" s="273">
        <v>1</v>
      </c>
      <c r="I9" s="283">
        <v>34</v>
      </c>
      <c r="J9" s="284" t="s">
        <v>4878</v>
      </c>
      <c r="K9" s="285" t="s">
        <v>4879</v>
      </c>
      <c r="L9" s="272" t="s">
        <v>44</v>
      </c>
      <c r="M9" s="272">
        <v>1</v>
      </c>
      <c r="N9" s="272" t="b">
        <v>1</v>
      </c>
      <c r="O9" s="272">
        <v>51</v>
      </c>
      <c r="P9" s="281">
        <v>765</v>
      </c>
      <c r="Q9" s="281">
        <v>1020</v>
      </c>
      <c r="R9" s="272" t="s">
        <v>3383</v>
      </c>
      <c r="S9" s="272"/>
      <c r="T9" s="272">
        <v>1</v>
      </c>
      <c r="U9" s="272" t="s">
        <v>4880</v>
      </c>
      <c r="V9" s="273">
        <v>10</v>
      </c>
      <c r="W9" s="273"/>
      <c r="X9" s="272" t="s">
        <v>4881</v>
      </c>
      <c r="Y9" t="s">
        <v>6317</v>
      </c>
      <c r="Z9" t="s">
        <v>6318</v>
      </c>
      <c r="AA9" s="272" t="s">
        <v>4884</v>
      </c>
      <c r="AB9" s="272"/>
      <c r="AC9" s="289">
        <v>1</v>
      </c>
      <c r="AD9" s="289">
        <v>1</v>
      </c>
      <c r="AE9" s="289"/>
      <c r="AF9" s="272"/>
      <c r="AG9" s="272"/>
    </row>
    <row r="10" spans="1:33" s="258" customFormat="1" x14ac:dyDescent="0.15">
      <c r="A10" s="271">
        <v>95101019</v>
      </c>
      <c r="B10" t="s">
        <v>6320</v>
      </c>
      <c r="C10" s="268" t="s">
        <v>6316</v>
      </c>
      <c r="D10" s="272">
        <v>5081</v>
      </c>
      <c r="E10" s="272" t="s">
        <v>4876</v>
      </c>
      <c r="F10" s="272" t="s">
        <v>4877</v>
      </c>
      <c r="G10" s="269">
        <v>6</v>
      </c>
      <c r="H10" s="273">
        <v>1</v>
      </c>
      <c r="I10" s="283">
        <v>34</v>
      </c>
      <c r="J10" s="284" t="s">
        <v>4878</v>
      </c>
      <c r="K10" s="285" t="s">
        <v>4879</v>
      </c>
      <c r="L10" s="272" t="s">
        <v>4887</v>
      </c>
      <c r="M10" s="272">
        <v>1</v>
      </c>
      <c r="N10" s="272" t="b">
        <v>1</v>
      </c>
      <c r="O10" s="272">
        <v>64</v>
      </c>
      <c r="P10" s="281">
        <v>960</v>
      </c>
      <c r="Q10" s="281">
        <v>1280</v>
      </c>
      <c r="R10" s="272" t="s">
        <v>3383</v>
      </c>
      <c r="S10" s="272"/>
      <c r="T10" s="272">
        <v>1</v>
      </c>
      <c r="U10" s="272" t="s">
        <v>4880</v>
      </c>
      <c r="V10" s="273">
        <v>10</v>
      </c>
      <c r="W10" s="273"/>
      <c r="X10" s="272" t="s">
        <v>4881</v>
      </c>
      <c r="Y10" t="s">
        <v>6317</v>
      </c>
      <c r="Z10" t="s">
        <v>6318</v>
      </c>
      <c r="AA10" s="272" t="s">
        <v>4884</v>
      </c>
      <c r="AB10" s="272"/>
      <c r="AC10" s="289">
        <v>1</v>
      </c>
      <c r="AD10" s="289">
        <v>1</v>
      </c>
      <c r="AE10" s="289"/>
      <c r="AF10" s="272"/>
      <c r="AG10" s="272"/>
    </row>
    <row r="11" spans="1:33" s="258" customFormat="1" x14ac:dyDescent="0.15">
      <c r="A11" s="271">
        <v>95101020</v>
      </c>
      <c r="B11" t="s">
        <v>6321</v>
      </c>
      <c r="C11" s="268" t="s">
        <v>6316</v>
      </c>
      <c r="D11" s="272">
        <v>5081</v>
      </c>
      <c r="E11" s="272" t="s">
        <v>4876</v>
      </c>
      <c r="F11" s="272" t="s">
        <v>4877</v>
      </c>
      <c r="G11" s="269">
        <v>7</v>
      </c>
      <c r="H11" s="273">
        <v>0</v>
      </c>
      <c r="I11" s="283">
        <v>34</v>
      </c>
      <c r="J11" s="284" t="s">
        <v>4878</v>
      </c>
      <c r="K11" s="285" t="s">
        <v>4879</v>
      </c>
      <c r="L11" s="272" t="s">
        <v>4889</v>
      </c>
      <c r="M11" s="272">
        <v>1</v>
      </c>
      <c r="N11" s="272" t="b">
        <v>1</v>
      </c>
      <c r="O11" s="272">
        <v>77</v>
      </c>
      <c r="P11" s="281">
        <v>1155</v>
      </c>
      <c r="Q11" s="281">
        <v>1540</v>
      </c>
      <c r="R11" s="272" t="s">
        <v>3383</v>
      </c>
      <c r="S11" s="272"/>
      <c r="T11" s="272">
        <v>1</v>
      </c>
      <c r="U11" s="272" t="s">
        <v>4880</v>
      </c>
      <c r="V11" s="273">
        <v>10</v>
      </c>
      <c r="W11" s="273"/>
      <c r="X11" s="272" t="s">
        <v>4881</v>
      </c>
      <c r="Y11" t="s">
        <v>6317</v>
      </c>
      <c r="Z11" t="s">
        <v>6318</v>
      </c>
      <c r="AA11" s="272" t="s">
        <v>4884</v>
      </c>
      <c r="AB11" s="272"/>
      <c r="AC11" s="289">
        <v>1</v>
      </c>
      <c r="AD11" s="289">
        <v>1</v>
      </c>
      <c r="AE11" s="289"/>
      <c r="AF11" s="272"/>
      <c r="AG11" s="272"/>
    </row>
    <row r="12" spans="1:33" s="145" customFormat="1" x14ac:dyDescent="0.15">
      <c r="A12" s="267">
        <v>95101021</v>
      </c>
      <c r="B12" t="s">
        <v>6322</v>
      </c>
      <c r="C12" s="268" t="s">
        <v>6316</v>
      </c>
      <c r="D12" s="268">
        <v>5081</v>
      </c>
      <c r="E12" s="268" t="s">
        <v>4876</v>
      </c>
      <c r="F12" s="268" t="s">
        <v>4877</v>
      </c>
      <c r="G12" s="269">
        <v>1</v>
      </c>
      <c r="H12" s="269">
        <v>0</v>
      </c>
      <c r="I12" s="267">
        <v>34</v>
      </c>
      <c r="J12" s="278" t="s">
        <v>4891</v>
      </c>
      <c r="K12" s="279" t="s">
        <v>4892</v>
      </c>
      <c r="L12" s="279"/>
      <c r="M12" s="268">
        <v>1</v>
      </c>
      <c r="N12" s="268" t="b">
        <v>1</v>
      </c>
      <c r="O12" s="280">
        <v>2</v>
      </c>
      <c r="P12" s="281">
        <v>30</v>
      </c>
      <c r="Q12" s="281">
        <v>40</v>
      </c>
      <c r="R12" s="268" t="s">
        <v>3383</v>
      </c>
      <c r="S12" s="268"/>
      <c r="T12" s="268">
        <v>1</v>
      </c>
      <c r="U12" s="268" t="s">
        <v>4880</v>
      </c>
      <c r="V12" s="269">
        <v>1</v>
      </c>
      <c r="W12" s="269"/>
      <c r="X12" s="268" t="s">
        <v>4881</v>
      </c>
      <c r="Y12" t="s">
        <v>6323</v>
      </c>
      <c r="Z12" t="s">
        <v>6324</v>
      </c>
      <c r="AA12" s="268" t="s">
        <v>4884</v>
      </c>
      <c r="AB12" s="268"/>
      <c r="AC12" s="287">
        <v>1</v>
      </c>
      <c r="AD12" s="287">
        <v>1</v>
      </c>
      <c r="AE12" s="268"/>
      <c r="AF12" s="268"/>
      <c r="AG12" s="290"/>
    </row>
    <row r="13" spans="1:33" s="145" customFormat="1" x14ac:dyDescent="0.15">
      <c r="A13" s="267">
        <v>95101022</v>
      </c>
      <c r="B13" t="s">
        <v>6322</v>
      </c>
      <c r="C13" s="268" t="s">
        <v>6316</v>
      </c>
      <c r="D13" s="268">
        <v>5081</v>
      </c>
      <c r="E13" s="268" t="s">
        <v>4876</v>
      </c>
      <c r="F13" s="268" t="s">
        <v>4877</v>
      </c>
      <c r="G13" s="269">
        <v>2</v>
      </c>
      <c r="H13" s="269">
        <v>0</v>
      </c>
      <c r="I13" s="267">
        <v>34</v>
      </c>
      <c r="J13" s="278" t="s">
        <v>4891</v>
      </c>
      <c r="K13" s="279" t="s">
        <v>4892</v>
      </c>
      <c r="L13" s="279"/>
      <c r="M13" s="268">
        <v>1</v>
      </c>
      <c r="N13" s="268" t="b">
        <v>1</v>
      </c>
      <c r="O13" s="268">
        <v>5</v>
      </c>
      <c r="P13" s="281">
        <v>75</v>
      </c>
      <c r="Q13" s="281">
        <v>100</v>
      </c>
      <c r="R13" s="268" t="s">
        <v>3383</v>
      </c>
      <c r="S13" s="268"/>
      <c r="T13" s="268">
        <v>1</v>
      </c>
      <c r="U13" s="268" t="s">
        <v>4880</v>
      </c>
      <c r="V13" s="269">
        <v>2</v>
      </c>
      <c r="W13" s="269"/>
      <c r="X13" s="268" t="s">
        <v>4881</v>
      </c>
      <c r="Y13" t="s">
        <v>6323</v>
      </c>
      <c r="Z13" t="s">
        <v>6324</v>
      </c>
      <c r="AA13" s="268" t="s">
        <v>4884</v>
      </c>
      <c r="AB13" s="268"/>
      <c r="AC13" s="287">
        <v>1</v>
      </c>
      <c r="AD13" s="287">
        <v>1</v>
      </c>
      <c r="AE13" s="268"/>
      <c r="AF13" s="268"/>
      <c r="AG13" s="290"/>
    </row>
    <row r="14" spans="1:33" s="145" customFormat="1" x14ac:dyDescent="0.15">
      <c r="A14" s="267">
        <v>95101023</v>
      </c>
      <c r="B14" t="s">
        <v>6322</v>
      </c>
      <c r="C14" s="268" t="s">
        <v>6316</v>
      </c>
      <c r="D14" s="268">
        <v>5081</v>
      </c>
      <c r="E14" s="268" t="s">
        <v>4876</v>
      </c>
      <c r="F14" s="268" t="s">
        <v>4877</v>
      </c>
      <c r="G14" s="269">
        <v>3</v>
      </c>
      <c r="H14" s="269">
        <v>0</v>
      </c>
      <c r="I14" s="267">
        <v>34</v>
      </c>
      <c r="J14" s="278" t="s">
        <v>4891</v>
      </c>
      <c r="K14" s="279" t="s">
        <v>4892</v>
      </c>
      <c r="L14" s="279"/>
      <c r="M14" s="268">
        <v>1</v>
      </c>
      <c r="N14" s="268" t="b">
        <v>1</v>
      </c>
      <c r="O14" s="268">
        <v>7</v>
      </c>
      <c r="P14" s="281">
        <v>105</v>
      </c>
      <c r="Q14" s="281">
        <v>140</v>
      </c>
      <c r="R14" s="268" t="s">
        <v>3383</v>
      </c>
      <c r="S14" s="268"/>
      <c r="T14" s="268">
        <v>1</v>
      </c>
      <c r="U14" s="268" t="s">
        <v>4880</v>
      </c>
      <c r="V14" s="269">
        <v>3</v>
      </c>
      <c r="W14" s="269"/>
      <c r="X14" s="268" t="s">
        <v>4881</v>
      </c>
      <c r="Y14" t="s">
        <v>6323</v>
      </c>
      <c r="Z14" t="s">
        <v>6324</v>
      </c>
      <c r="AA14" s="268" t="s">
        <v>4884</v>
      </c>
      <c r="AB14" s="268"/>
      <c r="AC14" s="287">
        <v>1</v>
      </c>
      <c r="AD14" s="287">
        <v>1</v>
      </c>
      <c r="AE14" s="268"/>
      <c r="AF14" s="268"/>
      <c r="AG14" s="290"/>
    </row>
    <row r="15" spans="1:33" s="145" customFormat="1" x14ac:dyDescent="0.15">
      <c r="A15" s="267">
        <v>95101024</v>
      </c>
      <c r="B15" t="s">
        <v>6322</v>
      </c>
      <c r="C15" s="268" t="s">
        <v>6316</v>
      </c>
      <c r="D15" s="268">
        <v>5081</v>
      </c>
      <c r="E15" s="268" t="s">
        <v>4876</v>
      </c>
      <c r="F15" s="268" t="s">
        <v>4877</v>
      </c>
      <c r="G15" s="269">
        <v>4</v>
      </c>
      <c r="H15" s="269">
        <v>0</v>
      </c>
      <c r="I15" s="267">
        <v>34</v>
      </c>
      <c r="J15" s="278" t="s">
        <v>4891</v>
      </c>
      <c r="K15" s="279" t="s">
        <v>4892</v>
      </c>
      <c r="L15" s="279"/>
      <c r="M15" s="268">
        <v>1</v>
      </c>
      <c r="N15" s="268" t="b">
        <v>1</v>
      </c>
      <c r="O15" s="268">
        <v>10</v>
      </c>
      <c r="P15" s="281">
        <v>150</v>
      </c>
      <c r="Q15" s="281">
        <v>200</v>
      </c>
      <c r="R15" s="268" t="s">
        <v>3383</v>
      </c>
      <c r="S15" s="268"/>
      <c r="T15" s="268">
        <v>1</v>
      </c>
      <c r="U15" s="268" t="s">
        <v>4880</v>
      </c>
      <c r="V15" s="269">
        <v>4</v>
      </c>
      <c r="W15" s="269"/>
      <c r="X15" s="268" t="s">
        <v>4881</v>
      </c>
      <c r="Y15" t="s">
        <v>6323</v>
      </c>
      <c r="Z15" t="s">
        <v>6324</v>
      </c>
      <c r="AA15" s="268" t="s">
        <v>4884</v>
      </c>
      <c r="AB15" s="268"/>
      <c r="AC15" s="287">
        <v>1</v>
      </c>
      <c r="AD15" s="287">
        <v>1</v>
      </c>
      <c r="AE15" s="268"/>
      <c r="AF15" s="268"/>
      <c r="AG15" s="290"/>
    </row>
    <row r="16" spans="1:33" s="145" customFormat="1" x14ac:dyDescent="0.15">
      <c r="A16" s="267">
        <v>95101025</v>
      </c>
      <c r="B16" t="s">
        <v>6322</v>
      </c>
      <c r="C16" s="268" t="s">
        <v>6316</v>
      </c>
      <c r="D16" s="268">
        <v>5081</v>
      </c>
      <c r="E16" s="268" t="s">
        <v>4876</v>
      </c>
      <c r="F16" s="268" t="s">
        <v>4877</v>
      </c>
      <c r="G16" s="269">
        <v>5</v>
      </c>
      <c r="H16" s="269">
        <v>0</v>
      </c>
      <c r="I16" s="267">
        <v>34</v>
      </c>
      <c r="J16" s="278" t="s">
        <v>4891</v>
      </c>
      <c r="K16" s="279" t="s">
        <v>4892</v>
      </c>
      <c r="L16" s="279"/>
      <c r="M16" s="268">
        <v>1</v>
      </c>
      <c r="N16" s="268" t="b">
        <v>1</v>
      </c>
      <c r="O16" s="268">
        <v>12</v>
      </c>
      <c r="P16" s="281">
        <v>180</v>
      </c>
      <c r="Q16" s="281">
        <v>240</v>
      </c>
      <c r="R16" s="268" t="s">
        <v>3383</v>
      </c>
      <c r="S16" s="268"/>
      <c r="T16" s="268">
        <v>1</v>
      </c>
      <c r="U16" s="268" t="s">
        <v>4880</v>
      </c>
      <c r="V16" s="269">
        <v>5</v>
      </c>
      <c r="W16" s="269"/>
      <c r="X16" s="268" t="s">
        <v>4881</v>
      </c>
      <c r="Y16" t="s">
        <v>6323</v>
      </c>
      <c r="Z16" t="s">
        <v>6324</v>
      </c>
      <c r="AA16" s="268" t="s">
        <v>4884</v>
      </c>
      <c r="AB16" s="268"/>
      <c r="AC16" s="287">
        <v>1</v>
      </c>
      <c r="AD16" s="287">
        <v>1</v>
      </c>
      <c r="AE16" s="268"/>
      <c r="AF16" s="268"/>
      <c r="AG16" s="290"/>
    </row>
    <row r="17" spans="1:33" s="145" customFormat="1" x14ac:dyDescent="0.15">
      <c r="A17" s="270">
        <v>95101026</v>
      </c>
      <c r="B17" t="s">
        <v>6322</v>
      </c>
      <c r="C17" s="268" t="s">
        <v>6316</v>
      </c>
      <c r="D17" s="268">
        <v>5081</v>
      </c>
      <c r="E17" s="268" t="s">
        <v>4876</v>
      </c>
      <c r="F17" s="268" t="s">
        <v>4877</v>
      </c>
      <c r="G17" s="269">
        <v>6</v>
      </c>
      <c r="H17" s="269">
        <v>0</v>
      </c>
      <c r="I17" s="267">
        <v>34</v>
      </c>
      <c r="J17" s="282" t="s">
        <v>4891</v>
      </c>
      <c r="K17" s="279" t="s">
        <v>4892</v>
      </c>
      <c r="L17" s="279"/>
      <c r="M17" s="268">
        <v>1</v>
      </c>
      <c r="N17" s="268" t="b">
        <v>1</v>
      </c>
      <c r="O17" s="268">
        <v>25</v>
      </c>
      <c r="P17" s="281">
        <v>375</v>
      </c>
      <c r="Q17" s="281">
        <v>500</v>
      </c>
      <c r="R17" s="268" t="s">
        <v>3383</v>
      </c>
      <c r="S17" s="268"/>
      <c r="T17" s="268">
        <v>1</v>
      </c>
      <c r="U17" s="268" t="s">
        <v>4880</v>
      </c>
      <c r="V17" s="269">
        <v>7</v>
      </c>
      <c r="W17" s="269"/>
      <c r="X17" s="268" t="s">
        <v>4881</v>
      </c>
      <c r="Y17" t="s">
        <v>6323</v>
      </c>
      <c r="Z17" t="s">
        <v>6324</v>
      </c>
      <c r="AA17" s="268" t="s">
        <v>4884</v>
      </c>
      <c r="AB17" s="268"/>
      <c r="AC17" s="287">
        <v>1</v>
      </c>
      <c r="AD17" s="287">
        <v>1</v>
      </c>
      <c r="AE17" s="268"/>
      <c r="AF17" s="268"/>
      <c r="AG17" s="290"/>
    </row>
    <row r="18" spans="1:33" s="145" customFormat="1" x14ac:dyDescent="0.15">
      <c r="A18" s="270">
        <v>95101027</v>
      </c>
      <c r="B18" t="s">
        <v>6322</v>
      </c>
      <c r="C18" s="268" t="s">
        <v>6316</v>
      </c>
      <c r="D18" s="268">
        <v>5081</v>
      </c>
      <c r="E18" s="268" t="s">
        <v>4876</v>
      </c>
      <c r="F18" s="268" t="s">
        <v>4877</v>
      </c>
      <c r="G18" s="269">
        <v>7</v>
      </c>
      <c r="H18" s="269">
        <v>0</v>
      </c>
      <c r="I18" s="267">
        <v>34</v>
      </c>
      <c r="J18" s="282" t="s">
        <v>4891</v>
      </c>
      <c r="K18" s="279" t="s">
        <v>4892</v>
      </c>
      <c r="L18" s="279"/>
      <c r="M18" s="268">
        <v>1</v>
      </c>
      <c r="N18" s="268" t="b">
        <v>1</v>
      </c>
      <c r="O18" s="268">
        <v>38</v>
      </c>
      <c r="P18" s="281">
        <v>570</v>
      </c>
      <c r="Q18" s="281">
        <v>760</v>
      </c>
      <c r="R18" s="268" t="s">
        <v>3383</v>
      </c>
      <c r="S18" s="268"/>
      <c r="T18" s="268">
        <v>1</v>
      </c>
      <c r="U18" s="268" t="s">
        <v>4880</v>
      </c>
      <c r="V18" s="269">
        <v>10</v>
      </c>
      <c r="W18" s="269"/>
      <c r="X18" s="268" t="s">
        <v>4881</v>
      </c>
      <c r="Y18" t="s">
        <v>6323</v>
      </c>
      <c r="Z18" t="s">
        <v>6324</v>
      </c>
      <c r="AA18" s="268" t="s">
        <v>4884</v>
      </c>
      <c r="AB18" s="268"/>
      <c r="AC18" s="287">
        <v>1</v>
      </c>
      <c r="AD18" s="287">
        <v>1</v>
      </c>
      <c r="AE18" s="268"/>
      <c r="AF18" s="268"/>
      <c r="AG18" s="290"/>
    </row>
    <row r="19" spans="1:33" s="258" customFormat="1" x14ac:dyDescent="0.15">
      <c r="A19" s="271">
        <v>95101028</v>
      </c>
      <c r="B19" t="s">
        <v>6325</v>
      </c>
      <c r="C19" s="268" t="s">
        <v>6316</v>
      </c>
      <c r="D19" s="272">
        <v>5081</v>
      </c>
      <c r="E19" s="272" t="s">
        <v>4876</v>
      </c>
      <c r="F19" s="272" t="s">
        <v>4877</v>
      </c>
      <c r="G19" s="269">
        <v>6</v>
      </c>
      <c r="H19" s="273">
        <v>1</v>
      </c>
      <c r="I19" s="283">
        <v>34</v>
      </c>
      <c r="J19" s="284" t="s">
        <v>4891</v>
      </c>
      <c r="K19" s="285" t="s">
        <v>4892</v>
      </c>
      <c r="L19" s="272" t="s">
        <v>44</v>
      </c>
      <c r="M19" s="272">
        <v>1</v>
      </c>
      <c r="N19" s="272" t="b">
        <v>1</v>
      </c>
      <c r="O19" s="272">
        <v>51</v>
      </c>
      <c r="P19" s="281">
        <v>765</v>
      </c>
      <c r="Q19" s="281">
        <v>1020</v>
      </c>
      <c r="R19" s="272" t="s">
        <v>3383</v>
      </c>
      <c r="S19" s="272"/>
      <c r="T19" s="272">
        <v>1</v>
      </c>
      <c r="U19" s="272" t="s">
        <v>4880</v>
      </c>
      <c r="V19" s="273">
        <v>10</v>
      </c>
      <c r="W19" s="273"/>
      <c r="X19" s="272" t="s">
        <v>4881</v>
      </c>
      <c r="Y19" t="s">
        <v>6323</v>
      </c>
      <c r="Z19" t="s">
        <v>6324</v>
      </c>
      <c r="AA19" s="272" t="s">
        <v>4884</v>
      </c>
      <c r="AB19" s="272"/>
      <c r="AC19" s="289">
        <v>1</v>
      </c>
      <c r="AD19" s="289">
        <v>1</v>
      </c>
      <c r="AE19" s="289"/>
      <c r="AF19" s="272"/>
      <c r="AG19" s="272"/>
    </row>
    <row r="20" spans="1:33" s="258" customFormat="1" x14ac:dyDescent="0.15">
      <c r="A20" s="271">
        <v>95101029</v>
      </c>
      <c r="B20" t="s">
        <v>6326</v>
      </c>
      <c r="C20" s="268" t="s">
        <v>6316</v>
      </c>
      <c r="D20" s="272">
        <v>5081</v>
      </c>
      <c r="E20" s="272" t="s">
        <v>4876</v>
      </c>
      <c r="F20" s="272" t="s">
        <v>4877</v>
      </c>
      <c r="G20" s="269">
        <v>6</v>
      </c>
      <c r="H20" s="273">
        <v>1</v>
      </c>
      <c r="I20" s="283">
        <v>34</v>
      </c>
      <c r="J20" s="284" t="s">
        <v>4891</v>
      </c>
      <c r="K20" s="285" t="s">
        <v>4892</v>
      </c>
      <c r="L20" s="272" t="s">
        <v>4887</v>
      </c>
      <c r="M20" s="272">
        <v>1</v>
      </c>
      <c r="N20" s="272" t="b">
        <v>1</v>
      </c>
      <c r="O20" s="272">
        <v>64</v>
      </c>
      <c r="P20" s="281">
        <v>960</v>
      </c>
      <c r="Q20" s="281">
        <v>1280</v>
      </c>
      <c r="R20" s="272" t="s">
        <v>3383</v>
      </c>
      <c r="S20" s="272"/>
      <c r="T20" s="272">
        <v>1</v>
      </c>
      <c r="U20" s="272" t="s">
        <v>4880</v>
      </c>
      <c r="V20" s="273">
        <v>10</v>
      </c>
      <c r="W20" s="273"/>
      <c r="X20" s="272" t="s">
        <v>4881</v>
      </c>
      <c r="Y20" t="s">
        <v>6323</v>
      </c>
      <c r="Z20" t="s">
        <v>6324</v>
      </c>
      <c r="AA20" s="272" t="s">
        <v>4884</v>
      </c>
      <c r="AB20" s="272"/>
      <c r="AC20" s="289">
        <v>1</v>
      </c>
      <c r="AD20" s="289">
        <v>1</v>
      </c>
      <c r="AE20" s="289"/>
      <c r="AF20" s="272"/>
      <c r="AG20" s="272"/>
    </row>
    <row r="21" spans="1:33" s="258" customFormat="1" x14ac:dyDescent="0.15">
      <c r="A21" s="271">
        <v>95101030</v>
      </c>
      <c r="B21" t="s">
        <v>6327</v>
      </c>
      <c r="C21" s="268" t="s">
        <v>6316</v>
      </c>
      <c r="D21" s="272">
        <v>5081</v>
      </c>
      <c r="E21" s="272" t="s">
        <v>4876</v>
      </c>
      <c r="F21" s="272" t="s">
        <v>4877</v>
      </c>
      <c r="G21" s="269">
        <v>7</v>
      </c>
      <c r="H21" s="273">
        <v>0</v>
      </c>
      <c r="I21" s="283">
        <v>34</v>
      </c>
      <c r="J21" s="284" t="s">
        <v>4891</v>
      </c>
      <c r="K21" s="285" t="s">
        <v>4892</v>
      </c>
      <c r="L21" s="272" t="s">
        <v>4889</v>
      </c>
      <c r="M21" s="272">
        <v>1</v>
      </c>
      <c r="N21" s="272" t="b">
        <v>1</v>
      </c>
      <c r="O21" s="272">
        <v>77</v>
      </c>
      <c r="P21" s="281">
        <v>1155</v>
      </c>
      <c r="Q21" s="281">
        <v>1540</v>
      </c>
      <c r="R21" s="272" t="s">
        <v>3383</v>
      </c>
      <c r="S21" s="272"/>
      <c r="T21" s="272">
        <v>1</v>
      </c>
      <c r="U21" s="272" t="s">
        <v>4880</v>
      </c>
      <c r="V21" s="273">
        <v>10</v>
      </c>
      <c r="W21" s="273"/>
      <c r="X21" s="272" t="s">
        <v>4881</v>
      </c>
      <c r="Y21" t="s">
        <v>6323</v>
      </c>
      <c r="Z21" t="s">
        <v>6324</v>
      </c>
      <c r="AA21" s="272" t="s">
        <v>4884</v>
      </c>
      <c r="AB21" s="272"/>
      <c r="AC21" s="289">
        <v>1</v>
      </c>
      <c r="AD21" s="289">
        <v>1</v>
      </c>
      <c r="AE21" s="289"/>
      <c r="AF21" s="272"/>
      <c r="AG21" s="272"/>
    </row>
    <row r="22" spans="1:33" s="145" customFormat="1" x14ac:dyDescent="0.15">
      <c r="A22" s="267">
        <v>95101031</v>
      </c>
      <c r="B22" t="s">
        <v>6328</v>
      </c>
      <c r="C22" s="268" t="s">
        <v>6316</v>
      </c>
      <c r="D22" s="268">
        <v>5081</v>
      </c>
      <c r="E22" s="268" t="s">
        <v>4876</v>
      </c>
      <c r="F22" s="268" t="s">
        <v>4877</v>
      </c>
      <c r="G22" s="269">
        <v>1</v>
      </c>
      <c r="H22" s="269">
        <v>0</v>
      </c>
      <c r="I22" s="267">
        <v>34</v>
      </c>
      <c r="J22" s="278" t="s">
        <v>4899</v>
      </c>
      <c r="K22" s="279" t="s">
        <v>4900</v>
      </c>
      <c r="L22" s="279"/>
      <c r="M22" s="268">
        <v>1</v>
      </c>
      <c r="N22" s="268" t="b">
        <v>1</v>
      </c>
      <c r="O22" s="280">
        <v>2</v>
      </c>
      <c r="P22" s="281">
        <v>30</v>
      </c>
      <c r="Q22" s="281">
        <v>40</v>
      </c>
      <c r="R22" s="268" t="s">
        <v>3383</v>
      </c>
      <c r="S22" s="268"/>
      <c r="T22" s="268">
        <v>1</v>
      </c>
      <c r="U22" s="268" t="s">
        <v>4880</v>
      </c>
      <c r="V22" s="269">
        <v>1</v>
      </c>
      <c r="W22" s="269"/>
      <c r="X22" s="268" t="s">
        <v>4881</v>
      </c>
      <c r="Y22" t="s">
        <v>6329</v>
      </c>
      <c r="Z22" t="s">
        <v>6330</v>
      </c>
      <c r="AA22" s="268" t="s">
        <v>4884</v>
      </c>
      <c r="AB22" s="268"/>
      <c r="AC22" s="287">
        <v>1</v>
      </c>
      <c r="AD22" s="287">
        <v>1</v>
      </c>
      <c r="AE22" s="268"/>
      <c r="AF22" s="268"/>
      <c r="AG22" s="290"/>
    </row>
    <row r="23" spans="1:33" s="145" customFormat="1" x14ac:dyDescent="0.15">
      <c r="A23" s="267">
        <v>95101032</v>
      </c>
      <c r="B23" t="s">
        <v>6328</v>
      </c>
      <c r="C23" s="268" t="s">
        <v>6316</v>
      </c>
      <c r="D23" s="268">
        <v>5081</v>
      </c>
      <c r="E23" s="268" t="s">
        <v>4876</v>
      </c>
      <c r="F23" s="268" t="s">
        <v>4877</v>
      </c>
      <c r="G23" s="269">
        <v>2</v>
      </c>
      <c r="H23" s="269">
        <v>0</v>
      </c>
      <c r="I23" s="267">
        <v>34</v>
      </c>
      <c r="J23" s="278" t="s">
        <v>4899</v>
      </c>
      <c r="K23" s="279" t="s">
        <v>4900</v>
      </c>
      <c r="L23" s="279"/>
      <c r="M23" s="268">
        <v>1</v>
      </c>
      <c r="N23" s="268" t="b">
        <v>1</v>
      </c>
      <c r="O23" s="268">
        <v>5</v>
      </c>
      <c r="P23" s="281">
        <v>75</v>
      </c>
      <c r="Q23" s="281">
        <v>100</v>
      </c>
      <c r="R23" s="268" t="s">
        <v>3383</v>
      </c>
      <c r="S23" s="268"/>
      <c r="T23" s="268">
        <v>1</v>
      </c>
      <c r="U23" s="268" t="s">
        <v>4880</v>
      </c>
      <c r="V23" s="269">
        <v>2</v>
      </c>
      <c r="W23" s="269"/>
      <c r="X23" s="268" t="s">
        <v>4881</v>
      </c>
      <c r="Y23" t="s">
        <v>6329</v>
      </c>
      <c r="Z23" t="s">
        <v>6330</v>
      </c>
      <c r="AA23" s="268" t="s">
        <v>4884</v>
      </c>
      <c r="AB23" s="268"/>
      <c r="AC23" s="287">
        <v>1</v>
      </c>
      <c r="AD23" s="287">
        <v>1</v>
      </c>
      <c r="AE23" s="268"/>
      <c r="AF23" s="268"/>
      <c r="AG23" s="290"/>
    </row>
    <row r="24" spans="1:33" s="145" customFormat="1" x14ac:dyDescent="0.15">
      <c r="A24" s="267">
        <v>95101033</v>
      </c>
      <c r="B24" t="s">
        <v>6328</v>
      </c>
      <c r="C24" s="268" t="s">
        <v>6316</v>
      </c>
      <c r="D24" s="268">
        <v>5081</v>
      </c>
      <c r="E24" s="268" t="s">
        <v>4876</v>
      </c>
      <c r="F24" s="268" t="s">
        <v>4877</v>
      </c>
      <c r="G24" s="269">
        <v>3</v>
      </c>
      <c r="H24" s="269">
        <v>0</v>
      </c>
      <c r="I24" s="267">
        <v>34</v>
      </c>
      <c r="J24" s="278" t="s">
        <v>4899</v>
      </c>
      <c r="K24" s="279" t="s">
        <v>4900</v>
      </c>
      <c r="L24" s="279"/>
      <c r="M24" s="268">
        <v>1</v>
      </c>
      <c r="N24" s="268" t="b">
        <v>1</v>
      </c>
      <c r="O24" s="268">
        <v>7</v>
      </c>
      <c r="P24" s="281">
        <v>105</v>
      </c>
      <c r="Q24" s="281">
        <v>140</v>
      </c>
      <c r="R24" s="268" t="s">
        <v>3383</v>
      </c>
      <c r="S24" s="268"/>
      <c r="T24" s="268">
        <v>1</v>
      </c>
      <c r="U24" s="268" t="s">
        <v>4880</v>
      </c>
      <c r="V24" s="269">
        <v>3</v>
      </c>
      <c r="W24" s="269"/>
      <c r="X24" s="268" t="s">
        <v>4881</v>
      </c>
      <c r="Y24" t="s">
        <v>6329</v>
      </c>
      <c r="Z24" t="s">
        <v>6330</v>
      </c>
      <c r="AA24" s="268" t="s">
        <v>4884</v>
      </c>
      <c r="AB24" s="268"/>
      <c r="AC24" s="287">
        <v>1</v>
      </c>
      <c r="AD24" s="287">
        <v>1</v>
      </c>
      <c r="AE24" s="268"/>
      <c r="AF24" s="268"/>
      <c r="AG24" s="290"/>
    </row>
    <row r="25" spans="1:33" s="145" customFormat="1" x14ac:dyDescent="0.15">
      <c r="A25" s="267">
        <v>95101034</v>
      </c>
      <c r="B25" t="s">
        <v>6328</v>
      </c>
      <c r="C25" s="268" t="s">
        <v>6316</v>
      </c>
      <c r="D25" s="268">
        <v>5081</v>
      </c>
      <c r="E25" s="268" t="s">
        <v>4876</v>
      </c>
      <c r="F25" s="268" t="s">
        <v>4877</v>
      </c>
      <c r="G25" s="269">
        <v>4</v>
      </c>
      <c r="H25" s="269">
        <v>0</v>
      </c>
      <c r="I25" s="267">
        <v>34</v>
      </c>
      <c r="J25" s="278" t="s">
        <v>4899</v>
      </c>
      <c r="K25" s="279" t="s">
        <v>4900</v>
      </c>
      <c r="L25" s="279"/>
      <c r="M25" s="268">
        <v>1</v>
      </c>
      <c r="N25" s="268" t="b">
        <v>1</v>
      </c>
      <c r="O25" s="268">
        <v>10</v>
      </c>
      <c r="P25" s="281">
        <v>150</v>
      </c>
      <c r="Q25" s="281">
        <v>200</v>
      </c>
      <c r="R25" s="268" t="s">
        <v>3383</v>
      </c>
      <c r="S25" s="268"/>
      <c r="T25" s="268">
        <v>1</v>
      </c>
      <c r="U25" s="268" t="s">
        <v>4880</v>
      </c>
      <c r="V25" s="269">
        <v>4</v>
      </c>
      <c r="W25" s="269"/>
      <c r="X25" s="268" t="s">
        <v>4881</v>
      </c>
      <c r="Y25" t="s">
        <v>6329</v>
      </c>
      <c r="Z25" t="s">
        <v>6330</v>
      </c>
      <c r="AA25" s="268" t="s">
        <v>4884</v>
      </c>
      <c r="AB25" s="268"/>
      <c r="AC25" s="287">
        <v>1</v>
      </c>
      <c r="AD25" s="287">
        <v>1</v>
      </c>
      <c r="AE25" s="268"/>
      <c r="AF25" s="268"/>
      <c r="AG25" s="290"/>
    </row>
    <row r="26" spans="1:33" s="145" customFormat="1" x14ac:dyDescent="0.15">
      <c r="A26" s="267">
        <v>95101035</v>
      </c>
      <c r="B26" t="s">
        <v>6328</v>
      </c>
      <c r="C26" s="268" t="s">
        <v>6316</v>
      </c>
      <c r="D26" s="268">
        <v>5081</v>
      </c>
      <c r="E26" s="268" t="s">
        <v>4876</v>
      </c>
      <c r="F26" s="268" t="s">
        <v>4877</v>
      </c>
      <c r="G26" s="269">
        <v>5</v>
      </c>
      <c r="H26" s="269">
        <v>0</v>
      </c>
      <c r="I26" s="267">
        <v>34</v>
      </c>
      <c r="J26" s="278" t="s">
        <v>4899</v>
      </c>
      <c r="K26" s="279" t="s">
        <v>4900</v>
      </c>
      <c r="L26" s="279"/>
      <c r="M26" s="268">
        <v>1</v>
      </c>
      <c r="N26" s="268" t="b">
        <v>1</v>
      </c>
      <c r="O26" s="268">
        <v>12</v>
      </c>
      <c r="P26" s="281">
        <v>180</v>
      </c>
      <c r="Q26" s="281">
        <v>240</v>
      </c>
      <c r="R26" s="268" t="s">
        <v>3383</v>
      </c>
      <c r="S26" s="268"/>
      <c r="T26" s="268">
        <v>1</v>
      </c>
      <c r="U26" s="268" t="s">
        <v>4880</v>
      </c>
      <c r="V26" s="269">
        <v>5</v>
      </c>
      <c r="W26" s="269"/>
      <c r="X26" s="268" t="s">
        <v>4881</v>
      </c>
      <c r="Y26" t="s">
        <v>6329</v>
      </c>
      <c r="Z26" t="s">
        <v>6330</v>
      </c>
      <c r="AA26" s="268" t="s">
        <v>4884</v>
      </c>
      <c r="AB26" s="268"/>
      <c r="AC26" s="287">
        <v>1</v>
      </c>
      <c r="AD26" s="287">
        <v>1</v>
      </c>
      <c r="AE26" s="268"/>
      <c r="AF26" s="268"/>
      <c r="AG26" s="290"/>
    </row>
    <row r="27" spans="1:33" s="145" customFormat="1" x14ac:dyDescent="0.15">
      <c r="A27" s="270">
        <v>95101036</v>
      </c>
      <c r="B27" t="s">
        <v>6328</v>
      </c>
      <c r="C27" s="268" t="s">
        <v>6316</v>
      </c>
      <c r="D27" s="268">
        <v>5081</v>
      </c>
      <c r="E27" s="268" t="s">
        <v>4876</v>
      </c>
      <c r="F27" s="268" t="s">
        <v>4877</v>
      </c>
      <c r="G27" s="269">
        <v>6</v>
      </c>
      <c r="H27" s="269">
        <v>0</v>
      </c>
      <c r="I27" s="267">
        <v>34</v>
      </c>
      <c r="J27" s="282" t="s">
        <v>4899</v>
      </c>
      <c r="K27" s="279" t="s">
        <v>4900</v>
      </c>
      <c r="L27" s="279"/>
      <c r="M27" s="268">
        <v>1</v>
      </c>
      <c r="N27" s="268" t="b">
        <v>1</v>
      </c>
      <c r="O27" s="268">
        <v>25</v>
      </c>
      <c r="P27" s="281">
        <v>375</v>
      </c>
      <c r="Q27" s="281">
        <v>500</v>
      </c>
      <c r="R27" s="268" t="s">
        <v>3383</v>
      </c>
      <c r="S27" s="268"/>
      <c r="T27" s="268">
        <v>1</v>
      </c>
      <c r="U27" s="268" t="s">
        <v>4880</v>
      </c>
      <c r="V27" s="269">
        <v>7</v>
      </c>
      <c r="W27" s="269"/>
      <c r="X27" s="268" t="s">
        <v>4881</v>
      </c>
      <c r="Y27" t="s">
        <v>6329</v>
      </c>
      <c r="Z27" t="s">
        <v>6330</v>
      </c>
      <c r="AA27" s="268" t="s">
        <v>4884</v>
      </c>
      <c r="AB27" s="268"/>
      <c r="AC27" s="287">
        <v>1</v>
      </c>
      <c r="AD27" s="287">
        <v>1</v>
      </c>
      <c r="AE27" s="268"/>
      <c r="AF27" s="268"/>
      <c r="AG27" s="290"/>
    </row>
    <row r="28" spans="1:33" s="145" customFormat="1" x14ac:dyDescent="0.15">
      <c r="A28" s="270">
        <v>95101037</v>
      </c>
      <c r="B28" t="s">
        <v>6328</v>
      </c>
      <c r="C28" s="268" t="s">
        <v>6316</v>
      </c>
      <c r="D28" s="268">
        <v>5081</v>
      </c>
      <c r="E28" s="268" t="s">
        <v>4876</v>
      </c>
      <c r="F28" s="268" t="s">
        <v>4877</v>
      </c>
      <c r="G28" s="269">
        <v>7</v>
      </c>
      <c r="H28" s="269">
        <v>0</v>
      </c>
      <c r="I28" s="267">
        <v>34</v>
      </c>
      <c r="J28" s="282" t="s">
        <v>4899</v>
      </c>
      <c r="K28" s="279" t="s">
        <v>4900</v>
      </c>
      <c r="L28" s="279"/>
      <c r="M28" s="268">
        <v>1</v>
      </c>
      <c r="N28" s="268" t="b">
        <v>1</v>
      </c>
      <c r="O28" s="268">
        <v>38</v>
      </c>
      <c r="P28" s="281">
        <v>570</v>
      </c>
      <c r="Q28" s="281">
        <v>760</v>
      </c>
      <c r="R28" s="268" t="s">
        <v>3383</v>
      </c>
      <c r="S28" s="268"/>
      <c r="T28" s="268">
        <v>1</v>
      </c>
      <c r="U28" s="268" t="s">
        <v>4880</v>
      </c>
      <c r="V28" s="269">
        <v>10</v>
      </c>
      <c r="W28" s="269"/>
      <c r="X28" s="268" t="s">
        <v>4881</v>
      </c>
      <c r="Y28" t="s">
        <v>6329</v>
      </c>
      <c r="Z28" t="s">
        <v>6330</v>
      </c>
      <c r="AA28" s="268" t="s">
        <v>4884</v>
      </c>
      <c r="AB28" s="268"/>
      <c r="AC28" s="287">
        <v>1</v>
      </c>
      <c r="AD28" s="287">
        <v>1</v>
      </c>
      <c r="AE28" s="268"/>
      <c r="AF28" s="268"/>
      <c r="AG28" s="290"/>
    </row>
    <row r="29" spans="1:33" s="258" customFormat="1" x14ac:dyDescent="0.15">
      <c r="A29" s="271">
        <v>95101038</v>
      </c>
      <c r="B29" t="s">
        <v>6331</v>
      </c>
      <c r="C29" s="268" t="s">
        <v>6316</v>
      </c>
      <c r="D29" s="272">
        <v>5081</v>
      </c>
      <c r="E29" s="272" t="s">
        <v>4876</v>
      </c>
      <c r="F29" s="272" t="s">
        <v>4877</v>
      </c>
      <c r="G29" s="269">
        <v>6</v>
      </c>
      <c r="H29" s="273">
        <v>0</v>
      </c>
      <c r="I29" s="283">
        <v>34</v>
      </c>
      <c r="J29" s="284" t="s">
        <v>4899</v>
      </c>
      <c r="K29" s="285" t="s">
        <v>4900</v>
      </c>
      <c r="L29" s="272" t="s">
        <v>44</v>
      </c>
      <c r="M29" s="272">
        <v>1</v>
      </c>
      <c r="N29" s="272" t="b">
        <v>1</v>
      </c>
      <c r="O29" s="272">
        <v>51</v>
      </c>
      <c r="P29" s="281">
        <v>765</v>
      </c>
      <c r="Q29" s="281">
        <v>1020</v>
      </c>
      <c r="R29" s="272" t="s">
        <v>3383</v>
      </c>
      <c r="S29" s="272"/>
      <c r="T29" s="272">
        <v>1</v>
      </c>
      <c r="U29" s="272" t="s">
        <v>4880</v>
      </c>
      <c r="V29" s="273">
        <v>10</v>
      </c>
      <c r="W29" s="273"/>
      <c r="X29" s="272" t="s">
        <v>4881</v>
      </c>
      <c r="Y29" t="s">
        <v>6329</v>
      </c>
      <c r="Z29" t="s">
        <v>6330</v>
      </c>
      <c r="AA29" s="272" t="s">
        <v>4884</v>
      </c>
      <c r="AB29" s="272"/>
      <c r="AC29" s="289">
        <v>1</v>
      </c>
      <c r="AD29" s="289">
        <v>1</v>
      </c>
      <c r="AE29" s="289"/>
      <c r="AF29" s="272"/>
      <c r="AG29" s="272"/>
    </row>
    <row r="30" spans="1:33" s="258" customFormat="1" x14ac:dyDescent="0.15">
      <c r="A30" s="271">
        <v>95101039</v>
      </c>
      <c r="B30" t="s">
        <v>6332</v>
      </c>
      <c r="C30" s="268" t="s">
        <v>6316</v>
      </c>
      <c r="D30" s="272">
        <v>5081</v>
      </c>
      <c r="E30" s="272" t="s">
        <v>4876</v>
      </c>
      <c r="F30" s="272" t="s">
        <v>4877</v>
      </c>
      <c r="G30" s="269">
        <v>6</v>
      </c>
      <c r="H30" s="273">
        <v>0</v>
      </c>
      <c r="I30" s="283">
        <v>34</v>
      </c>
      <c r="J30" s="284" t="s">
        <v>4899</v>
      </c>
      <c r="K30" s="285" t="s">
        <v>4900</v>
      </c>
      <c r="L30" s="272" t="s">
        <v>4887</v>
      </c>
      <c r="M30" s="272">
        <v>1</v>
      </c>
      <c r="N30" s="272" t="b">
        <v>1</v>
      </c>
      <c r="O30" s="272">
        <v>64</v>
      </c>
      <c r="P30" s="281">
        <v>960</v>
      </c>
      <c r="Q30" s="281">
        <v>1280</v>
      </c>
      <c r="R30" s="272" t="s">
        <v>3383</v>
      </c>
      <c r="S30" s="272"/>
      <c r="T30" s="272">
        <v>1</v>
      </c>
      <c r="U30" s="272" t="s">
        <v>4880</v>
      </c>
      <c r="V30" s="273">
        <v>10</v>
      </c>
      <c r="W30" s="273"/>
      <c r="X30" s="272" t="s">
        <v>4881</v>
      </c>
      <c r="Y30" t="s">
        <v>6329</v>
      </c>
      <c r="Z30" t="s">
        <v>6330</v>
      </c>
      <c r="AA30" s="272" t="s">
        <v>4884</v>
      </c>
      <c r="AB30" s="272"/>
      <c r="AC30" s="289">
        <v>1</v>
      </c>
      <c r="AD30" s="289">
        <v>1</v>
      </c>
      <c r="AE30" s="289"/>
      <c r="AF30" s="272"/>
      <c r="AG30" s="272"/>
    </row>
    <row r="31" spans="1:33" s="258" customFormat="1" x14ac:dyDescent="0.15">
      <c r="A31" s="271">
        <v>95101040</v>
      </c>
      <c r="B31" t="s">
        <v>6333</v>
      </c>
      <c r="C31" s="268" t="s">
        <v>6316</v>
      </c>
      <c r="D31" s="272">
        <v>5081</v>
      </c>
      <c r="E31" s="272" t="s">
        <v>4876</v>
      </c>
      <c r="F31" s="272" t="s">
        <v>4877</v>
      </c>
      <c r="G31" s="269">
        <v>7</v>
      </c>
      <c r="H31" s="273">
        <v>0</v>
      </c>
      <c r="I31" s="283">
        <v>34</v>
      </c>
      <c r="J31" s="284" t="s">
        <v>4899</v>
      </c>
      <c r="K31" s="285" t="s">
        <v>4900</v>
      </c>
      <c r="L31" s="272" t="s">
        <v>4889</v>
      </c>
      <c r="M31" s="272">
        <v>1</v>
      </c>
      <c r="N31" s="272" t="b">
        <v>1</v>
      </c>
      <c r="O31" s="272">
        <v>77</v>
      </c>
      <c r="P31" s="281">
        <v>1155</v>
      </c>
      <c r="Q31" s="281">
        <v>1540</v>
      </c>
      <c r="R31" s="272" t="s">
        <v>3383</v>
      </c>
      <c r="S31" s="272"/>
      <c r="T31" s="272">
        <v>1</v>
      </c>
      <c r="U31" s="272" t="s">
        <v>4880</v>
      </c>
      <c r="V31" s="273">
        <v>10</v>
      </c>
      <c r="W31" s="273"/>
      <c r="X31" s="272" t="s">
        <v>4881</v>
      </c>
      <c r="Y31" t="s">
        <v>6329</v>
      </c>
      <c r="Z31" t="s">
        <v>6330</v>
      </c>
      <c r="AA31" s="272" t="s">
        <v>4884</v>
      </c>
      <c r="AB31" s="272"/>
      <c r="AC31" s="289">
        <v>1</v>
      </c>
      <c r="AD31" s="289">
        <v>1</v>
      </c>
      <c r="AE31" s="289"/>
      <c r="AF31" s="272"/>
      <c r="AG31" s="272"/>
    </row>
    <row r="32" spans="1:33" s="145" customFormat="1" x14ac:dyDescent="0.15">
      <c r="A32" s="267">
        <v>95101041</v>
      </c>
      <c r="B32" t="s">
        <v>6334</v>
      </c>
      <c r="C32" s="268" t="s">
        <v>6316</v>
      </c>
      <c r="D32" s="268">
        <v>5081</v>
      </c>
      <c r="E32" s="268" t="s">
        <v>4876</v>
      </c>
      <c r="F32" s="268" t="s">
        <v>4877</v>
      </c>
      <c r="G32" s="269">
        <v>1</v>
      </c>
      <c r="H32" s="269">
        <v>0</v>
      </c>
      <c r="I32" s="267">
        <v>34</v>
      </c>
      <c r="J32" s="278" t="s">
        <v>4907</v>
      </c>
      <c r="K32" s="279" t="s">
        <v>4908</v>
      </c>
      <c r="L32" s="279"/>
      <c r="M32" s="268">
        <v>1</v>
      </c>
      <c r="N32" s="268" t="b">
        <v>1</v>
      </c>
      <c r="O32" s="280">
        <v>2</v>
      </c>
      <c r="P32" s="281">
        <v>30</v>
      </c>
      <c r="Q32" s="281">
        <v>40</v>
      </c>
      <c r="R32" s="268" t="s">
        <v>3383</v>
      </c>
      <c r="S32" s="268"/>
      <c r="T32" s="268">
        <v>1</v>
      </c>
      <c r="U32" s="268" t="s">
        <v>4880</v>
      </c>
      <c r="V32" s="269">
        <v>1</v>
      </c>
      <c r="W32" s="269"/>
      <c r="X32" s="268" t="s">
        <v>4881</v>
      </c>
      <c r="Y32" t="s">
        <v>6335</v>
      </c>
      <c r="Z32" t="s">
        <v>6336</v>
      </c>
      <c r="AA32" s="268" t="s">
        <v>4884</v>
      </c>
      <c r="AB32" s="268"/>
      <c r="AC32" s="287">
        <v>1</v>
      </c>
      <c r="AD32" s="287">
        <v>1</v>
      </c>
      <c r="AE32" s="268"/>
      <c r="AF32" s="268"/>
      <c r="AG32" s="290"/>
    </row>
    <row r="33" spans="1:33" s="145" customFormat="1" x14ac:dyDescent="0.15">
      <c r="A33" s="267">
        <v>95101042</v>
      </c>
      <c r="B33" t="s">
        <v>6334</v>
      </c>
      <c r="C33" s="268" t="s">
        <v>6316</v>
      </c>
      <c r="D33" s="268">
        <v>5081</v>
      </c>
      <c r="E33" s="268" t="s">
        <v>4876</v>
      </c>
      <c r="F33" s="268" t="s">
        <v>4877</v>
      </c>
      <c r="G33" s="269">
        <v>2</v>
      </c>
      <c r="H33" s="269">
        <v>0</v>
      </c>
      <c r="I33" s="267">
        <v>34</v>
      </c>
      <c r="J33" s="278" t="s">
        <v>4907</v>
      </c>
      <c r="K33" s="279" t="s">
        <v>4908</v>
      </c>
      <c r="L33" s="279"/>
      <c r="M33" s="268">
        <v>1</v>
      </c>
      <c r="N33" s="268" t="b">
        <v>1</v>
      </c>
      <c r="O33" s="268">
        <v>5</v>
      </c>
      <c r="P33" s="281">
        <v>75</v>
      </c>
      <c r="Q33" s="281">
        <v>100</v>
      </c>
      <c r="R33" s="268" t="s">
        <v>3383</v>
      </c>
      <c r="S33" s="268"/>
      <c r="T33" s="268">
        <v>1</v>
      </c>
      <c r="U33" s="268" t="s">
        <v>4880</v>
      </c>
      <c r="V33" s="269">
        <v>2</v>
      </c>
      <c r="W33" s="269"/>
      <c r="X33" s="268" t="s">
        <v>4881</v>
      </c>
      <c r="Y33" t="s">
        <v>6335</v>
      </c>
      <c r="Z33" t="s">
        <v>6336</v>
      </c>
      <c r="AA33" s="268" t="s">
        <v>4884</v>
      </c>
      <c r="AB33" s="268"/>
      <c r="AC33" s="287">
        <v>1</v>
      </c>
      <c r="AD33" s="287">
        <v>1</v>
      </c>
      <c r="AE33" s="268"/>
      <c r="AF33" s="268"/>
      <c r="AG33" s="290"/>
    </row>
    <row r="34" spans="1:33" s="145" customFormat="1" x14ac:dyDescent="0.15">
      <c r="A34" s="267">
        <v>95101043</v>
      </c>
      <c r="B34" t="s">
        <v>6334</v>
      </c>
      <c r="C34" s="268" t="s">
        <v>6316</v>
      </c>
      <c r="D34" s="268">
        <v>5081</v>
      </c>
      <c r="E34" s="268" t="s">
        <v>4876</v>
      </c>
      <c r="F34" s="268" t="s">
        <v>4877</v>
      </c>
      <c r="G34" s="269">
        <v>3</v>
      </c>
      <c r="H34" s="269">
        <v>0</v>
      </c>
      <c r="I34" s="267">
        <v>34</v>
      </c>
      <c r="J34" s="278" t="s">
        <v>4907</v>
      </c>
      <c r="K34" s="279" t="s">
        <v>4908</v>
      </c>
      <c r="L34" s="279"/>
      <c r="M34" s="268">
        <v>1</v>
      </c>
      <c r="N34" s="268" t="b">
        <v>1</v>
      </c>
      <c r="O34" s="268">
        <v>7</v>
      </c>
      <c r="P34" s="281">
        <v>105</v>
      </c>
      <c r="Q34" s="281">
        <v>140</v>
      </c>
      <c r="R34" s="268" t="s">
        <v>3383</v>
      </c>
      <c r="S34" s="268"/>
      <c r="T34" s="268">
        <v>1</v>
      </c>
      <c r="U34" s="268" t="s">
        <v>4880</v>
      </c>
      <c r="V34" s="269">
        <v>3</v>
      </c>
      <c r="W34" s="269"/>
      <c r="X34" s="268" t="s">
        <v>4881</v>
      </c>
      <c r="Y34" t="s">
        <v>6335</v>
      </c>
      <c r="Z34" t="s">
        <v>6336</v>
      </c>
      <c r="AA34" s="268" t="s">
        <v>4884</v>
      </c>
      <c r="AB34" s="268"/>
      <c r="AC34" s="287">
        <v>1</v>
      </c>
      <c r="AD34" s="287">
        <v>1</v>
      </c>
      <c r="AE34" s="268"/>
      <c r="AF34" s="268"/>
      <c r="AG34" s="290"/>
    </row>
    <row r="35" spans="1:33" s="145" customFormat="1" x14ac:dyDescent="0.15">
      <c r="A35" s="267">
        <v>95101044</v>
      </c>
      <c r="B35" t="s">
        <v>6334</v>
      </c>
      <c r="C35" s="268" t="s">
        <v>6316</v>
      </c>
      <c r="D35" s="268">
        <v>5081</v>
      </c>
      <c r="E35" s="268" t="s">
        <v>4876</v>
      </c>
      <c r="F35" s="268" t="s">
        <v>4877</v>
      </c>
      <c r="G35" s="269">
        <v>4</v>
      </c>
      <c r="H35" s="269">
        <v>0</v>
      </c>
      <c r="I35" s="267">
        <v>34</v>
      </c>
      <c r="J35" s="278" t="s">
        <v>4907</v>
      </c>
      <c r="K35" s="279" t="s">
        <v>4908</v>
      </c>
      <c r="L35" s="279"/>
      <c r="M35" s="268">
        <v>1</v>
      </c>
      <c r="N35" s="268" t="b">
        <v>1</v>
      </c>
      <c r="O35" s="268">
        <v>10</v>
      </c>
      <c r="P35" s="281">
        <v>150</v>
      </c>
      <c r="Q35" s="281">
        <v>200</v>
      </c>
      <c r="R35" s="268" t="s">
        <v>3383</v>
      </c>
      <c r="S35" s="268"/>
      <c r="T35" s="268">
        <v>1</v>
      </c>
      <c r="U35" s="268" t="s">
        <v>4880</v>
      </c>
      <c r="V35" s="269">
        <v>4</v>
      </c>
      <c r="W35" s="269"/>
      <c r="X35" s="268" t="s">
        <v>4881</v>
      </c>
      <c r="Y35" t="s">
        <v>6335</v>
      </c>
      <c r="Z35" t="s">
        <v>6336</v>
      </c>
      <c r="AA35" s="268" t="s">
        <v>4884</v>
      </c>
      <c r="AB35" s="268"/>
      <c r="AC35" s="287">
        <v>1</v>
      </c>
      <c r="AD35" s="287">
        <v>1</v>
      </c>
      <c r="AE35" s="268"/>
      <c r="AF35" s="268"/>
      <c r="AG35" s="290"/>
    </row>
    <row r="36" spans="1:33" s="145" customFormat="1" x14ac:dyDescent="0.15">
      <c r="A36" s="267">
        <v>95101045</v>
      </c>
      <c r="B36" t="s">
        <v>6334</v>
      </c>
      <c r="C36" s="268" t="s">
        <v>6316</v>
      </c>
      <c r="D36" s="268">
        <v>5081</v>
      </c>
      <c r="E36" s="268" t="s">
        <v>4876</v>
      </c>
      <c r="F36" s="268" t="s">
        <v>4877</v>
      </c>
      <c r="G36" s="269">
        <v>5</v>
      </c>
      <c r="H36" s="269">
        <v>0</v>
      </c>
      <c r="I36" s="267">
        <v>34</v>
      </c>
      <c r="J36" s="278" t="s">
        <v>4907</v>
      </c>
      <c r="K36" s="279" t="s">
        <v>4908</v>
      </c>
      <c r="L36" s="279"/>
      <c r="M36" s="268">
        <v>1</v>
      </c>
      <c r="N36" s="268" t="b">
        <v>1</v>
      </c>
      <c r="O36" s="268">
        <v>12</v>
      </c>
      <c r="P36" s="281">
        <v>180</v>
      </c>
      <c r="Q36" s="281">
        <v>240</v>
      </c>
      <c r="R36" s="268" t="s">
        <v>3383</v>
      </c>
      <c r="S36" s="268"/>
      <c r="T36" s="268">
        <v>1</v>
      </c>
      <c r="U36" s="268" t="s">
        <v>4880</v>
      </c>
      <c r="V36" s="269">
        <v>5</v>
      </c>
      <c r="W36" s="269"/>
      <c r="X36" s="268" t="s">
        <v>4881</v>
      </c>
      <c r="Y36" t="s">
        <v>6335</v>
      </c>
      <c r="Z36" t="s">
        <v>6336</v>
      </c>
      <c r="AA36" s="268" t="s">
        <v>4884</v>
      </c>
      <c r="AB36" s="268"/>
      <c r="AC36" s="287">
        <v>1</v>
      </c>
      <c r="AD36" s="287">
        <v>1</v>
      </c>
      <c r="AE36" s="268"/>
      <c r="AF36" s="268"/>
      <c r="AG36" s="290"/>
    </row>
    <row r="37" spans="1:33" s="145" customFormat="1" x14ac:dyDescent="0.15">
      <c r="A37" s="270">
        <v>95101046</v>
      </c>
      <c r="B37" t="s">
        <v>6334</v>
      </c>
      <c r="C37" s="268" t="s">
        <v>6316</v>
      </c>
      <c r="D37" s="268">
        <v>5081</v>
      </c>
      <c r="E37" s="268" t="s">
        <v>4876</v>
      </c>
      <c r="F37" s="268" t="s">
        <v>4877</v>
      </c>
      <c r="G37" s="269">
        <v>6</v>
      </c>
      <c r="H37" s="269">
        <v>0</v>
      </c>
      <c r="I37" s="267">
        <v>34</v>
      </c>
      <c r="J37" s="282" t="s">
        <v>4907</v>
      </c>
      <c r="K37" s="279" t="s">
        <v>4908</v>
      </c>
      <c r="L37" s="279"/>
      <c r="M37" s="268">
        <v>1</v>
      </c>
      <c r="N37" s="268" t="b">
        <v>1</v>
      </c>
      <c r="O37" s="268">
        <v>25</v>
      </c>
      <c r="P37" s="281">
        <v>375</v>
      </c>
      <c r="Q37" s="281">
        <v>500</v>
      </c>
      <c r="R37" s="268" t="s">
        <v>3383</v>
      </c>
      <c r="S37" s="268"/>
      <c r="T37" s="268">
        <v>1</v>
      </c>
      <c r="U37" s="268" t="s">
        <v>4880</v>
      </c>
      <c r="V37" s="269">
        <v>7</v>
      </c>
      <c r="W37" s="269"/>
      <c r="X37" s="268" t="s">
        <v>4881</v>
      </c>
      <c r="Y37" t="s">
        <v>6335</v>
      </c>
      <c r="Z37" t="s">
        <v>6336</v>
      </c>
      <c r="AA37" s="268" t="s">
        <v>4884</v>
      </c>
      <c r="AB37" s="268"/>
      <c r="AC37" s="287">
        <v>1</v>
      </c>
      <c r="AD37" s="287">
        <v>1</v>
      </c>
      <c r="AE37" s="268"/>
      <c r="AF37" s="268"/>
      <c r="AG37" s="290"/>
    </row>
    <row r="38" spans="1:33" s="145" customFormat="1" x14ac:dyDescent="0.15">
      <c r="A38" s="270">
        <v>95101047</v>
      </c>
      <c r="B38" t="s">
        <v>6334</v>
      </c>
      <c r="C38" s="268" t="s">
        <v>6316</v>
      </c>
      <c r="D38" s="268">
        <v>5081</v>
      </c>
      <c r="E38" s="268" t="s">
        <v>4876</v>
      </c>
      <c r="F38" s="268" t="s">
        <v>4877</v>
      </c>
      <c r="G38" s="269">
        <v>7</v>
      </c>
      <c r="H38" s="269">
        <v>0</v>
      </c>
      <c r="I38" s="267">
        <v>34</v>
      </c>
      <c r="J38" s="282" t="s">
        <v>4907</v>
      </c>
      <c r="K38" s="279" t="s">
        <v>4908</v>
      </c>
      <c r="L38" s="279"/>
      <c r="M38" s="268">
        <v>1</v>
      </c>
      <c r="N38" s="268" t="b">
        <v>1</v>
      </c>
      <c r="O38" s="268">
        <v>38</v>
      </c>
      <c r="P38" s="281">
        <v>570</v>
      </c>
      <c r="Q38" s="281">
        <v>760</v>
      </c>
      <c r="R38" s="268" t="s">
        <v>3383</v>
      </c>
      <c r="S38" s="268"/>
      <c r="T38" s="268">
        <v>1</v>
      </c>
      <c r="U38" s="268" t="s">
        <v>4880</v>
      </c>
      <c r="V38" s="269">
        <v>10</v>
      </c>
      <c r="W38" s="269"/>
      <c r="X38" s="268" t="s">
        <v>4881</v>
      </c>
      <c r="Y38" t="s">
        <v>6335</v>
      </c>
      <c r="Z38" t="s">
        <v>6336</v>
      </c>
      <c r="AA38" s="268" t="s">
        <v>4884</v>
      </c>
      <c r="AB38" s="268"/>
      <c r="AC38" s="287">
        <v>1</v>
      </c>
      <c r="AD38" s="287">
        <v>1</v>
      </c>
      <c r="AE38" s="268"/>
      <c r="AF38" s="268"/>
      <c r="AG38" s="290"/>
    </row>
    <row r="39" spans="1:33" s="258" customFormat="1" x14ac:dyDescent="0.15">
      <c r="A39" s="271">
        <v>95101048</v>
      </c>
      <c r="B39" t="s">
        <v>6337</v>
      </c>
      <c r="C39" s="268" t="s">
        <v>6316</v>
      </c>
      <c r="D39" s="272">
        <v>5081</v>
      </c>
      <c r="E39" s="272" t="s">
        <v>4876</v>
      </c>
      <c r="F39" s="272" t="s">
        <v>4877</v>
      </c>
      <c r="G39" s="269">
        <v>6</v>
      </c>
      <c r="H39" s="273">
        <v>0</v>
      </c>
      <c r="I39" s="283">
        <v>34</v>
      </c>
      <c r="J39" s="284" t="s">
        <v>4907</v>
      </c>
      <c r="K39" s="285" t="s">
        <v>4908</v>
      </c>
      <c r="L39" s="272" t="s">
        <v>44</v>
      </c>
      <c r="M39" s="272">
        <v>1</v>
      </c>
      <c r="N39" s="272" t="b">
        <v>1</v>
      </c>
      <c r="O39" s="272">
        <v>51</v>
      </c>
      <c r="P39" s="281">
        <v>765</v>
      </c>
      <c r="Q39" s="281">
        <v>1020</v>
      </c>
      <c r="R39" s="272" t="s">
        <v>3383</v>
      </c>
      <c r="S39" s="272"/>
      <c r="T39" s="272">
        <v>1</v>
      </c>
      <c r="U39" s="272" t="s">
        <v>4880</v>
      </c>
      <c r="V39" s="273">
        <v>10</v>
      </c>
      <c r="W39" s="273"/>
      <c r="X39" s="272" t="s">
        <v>4881</v>
      </c>
      <c r="Y39" t="s">
        <v>6335</v>
      </c>
      <c r="Z39" t="s">
        <v>6336</v>
      </c>
      <c r="AA39" s="272" t="s">
        <v>4884</v>
      </c>
      <c r="AB39" s="272"/>
      <c r="AC39" s="289">
        <v>1</v>
      </c>
      <c r="AD39" s="289">
        <v>1</v>
      </c>
      <c r="AE39" s="289"/>
      <c r="AF39" s="272"/>
      <c r="AG39" s="272"/>
    </row>
    <row r="40" spans="1:33" s="258" customFormat="1" x14ac:dyDescent="0.15">
      <c r="A40" s="271">
        <v>95101049</v>
      </c>
      <c r="B40" t="s">
        <v>6338</v>
      </c>
      <c r="C40" s="268" t="s">
        <v>6316</v>
      </c>
      <c r="D40" s="272">
        <v>5081</v>
      </c>
      <c r="E40" s="272" t="s">
        <v>4876</v>
      </c>
      <c r="F40" s="272" t="s">
        <v>4877</v>
      </c>
      <c r="G40" s="269">
        <v>6</v>
      </c>
      <c r="H40" s="273">
        <v>0</v>
      </c>
      <c r="I40" s="283">
        <v>34</v>
      </c>
      <c r="J40" s="284" t="s">
        <v>4907</v>
      </c>
      <c r="K40" s="285" t="s">
        <v>4908</v>
      </c>
      <c r="L40" s="272" t="s">
        <v>4887</v>
      </c>
      <c r="M40" s="272">
        <v>1</v>
      </c>
      <c r="N40" s="272" t="b">
        <v>1</v>
      </c>
      <c r="O40" s="272">
        <v>64</v>
      </c>
      <c r="P40" s="281">
        <v>960</v>
      </c>
      <c r="Q40" s="281">
        <v>1280</v>
      </c>
      <c r="R40" s="272" t="s">
        <v>3383</v>
      </c>
      <c r="S40" s="272"/>
      <c r="T40" s="272">
        <v>1</v>
      </c>
      <c r="U40" s="272" t="s">
        <v>4880</v>
      </c>
      <c r="V40" s="273">
        <v>10</v>
      </c>
      <c r="W40" s="273"/>
      <c r="X40" s="272" t="s">
        <v>4881</v>
      </c>
      <c r="Y40" t="s">
        <v>6335</v>
      </c>
      <c r="Z40" t="s">
        <v>6336</v>
      </c>
      <c r="AA40" s="272" t="s">
        <v>4884</v>
      </c>
      <c r="AB40" s="272"/>
      <c r="AC40" s="289">
        <v>1</v>
      </c>
      <c r="AD40" s="289">
        <v>1</v>
      </c>
      <c r="AE40" s="289"/>
      <c r="AF40" s="272"/>
      <c r="AG40" s="272"/>
    </row>
    <row r="41" spans="1:33" s="258" customFormat="1" x14ac:dyDescent="0.15">
      <c r="A41" s="271">
        <v>95101050</v>
      </c>
      <c r="B41" t="s">
        <v>6339</v>
      </c>
      <c r="C41" s="268" t="s">
        <v>6316</v>
      </c>
      <c r="D41" s="272">
        <v>5081</v>
      </c>
      <c r="E41" s="272" t="s">
        <v>4876</v>
      </c>
      <c r="F41" s="272" t="s">
        <v>4877</v>
      </c>
      <c r="G41" s="269">
        <v>7</v>
      </c>
      <c r="H41" s="273">
        <v>0</v>
      </c>
      <c r="I41" s="283">
        <v>34</v>
      </c>
      <c r="J41" s="284" t="s">
        <v>4907</v>
      </c>
      <c r="K41" s="285" t="s">
        <v>4908</v>
      </c>
      <c r="L41" s="272" t="s">
        <v>4889</v>
      </c>
      <c r="M41" s="272">
        <v>1</v>
      </c>
      <c r="N41" s="272" t="b">
        <v>1</v>
      </c>
      <c r="O41" s="272">
        <v>77</v>
      </c>
      <c r="P41" s="281">
        <v>1155</v>
      </c>
      <c r="Q41" s="281">
        <v>1540</v>
      </c>
      <c r="R41" s="272" t="s">
        <v>3383</v>
      </c>
      <c r="S41" s="272"/>
      <c r="T41" s="272">
        <v>1</v>
      </c>
      <c r="U41" s="272" t="s">
        <v>4880</v>
      </c>
      <c r="V41" s="273">
        <v>10</v>
      </c>
      <c r="W41" s="273"/>
      <c r="X41" s="272" t="s">
        <v>4881</v>
      </c>
      <c r="Y41" t="s">
        <v>6335</v>
      </c>
      <c r="Z41" t="s">
        <v>6336</v>
      </c>
      <c r="AA41" s="272" t="s">
        <v>4884</v>
      </c>
      <c r="AB41" s="272"/>
      <c r="AC41" s="289">
        <v>1</v>
      </c>
      <c r="AD41" s="289">
        <v>1</v>
      </c>
      <c r="AE41" s="289"/>
      <c r="AF41" s="272"/>
      <c r="AG41" s="272"/>
    </row>
    <row r="42" spans="1:33" s="145" customFormat="1" x14ac:dyDescent="0.15">
      <c r="A42" s="267">
        <v>95102011</v>
      </c>
      <c r="B42" t="s">
        <v>6340</v>
      </c>
      <c r="C42" s="268" t="s">
        <v>6316</v>
      </c>
      <c r="D42" s="268">
        <v>5073</v>
      </c>
      <c r="E42" s="268" t="s">
        <v>4876</v>
      </c>
      <c r="F42" s="268" t="s">
        <v>4877</v>
      </c>
      <c r="G42" s="269">
        <v>1</v>
      </c>
      <c r="H42" s="269">
        <v>0</v>
      </c>
      <c r="I42" s="267">
        <v>34</v>
      </c>
      <c r="J42" s="278" t="s">
        <v>4915</v>
      </c>
      <c r="K42" s="279" t="s">
        <v>4916</v>
      </c>
      <c r="L42" s="279"/>
      <c r="M42" s="268">
        <v>1</v>
      </c>
      <c r="N42" s="268" t="b">
        <v>1</v>
      </c>
      <c r="O42" s="268">
        <v>2</v>
      </c>
      <c r="P42" s="281">
        <v>30</v>
      </c>
      <c r="Q42" s="281">
        <v>40</v>
      </c>
      <c r="R42" s="268" t="s">
        <v>3383</v>
      </c>
      <c r="S42" s="268"/>
      <c r="T42" s="268">
        <v>1</v>
      </c>
      <c r="U42" s="268" t="s">
        <v>4880</v>
      </c>
      <c r="V42" s="269">
        <v>1</v>
      </c>
      <c r="W42" s="269"/>
      <c r="X42" s="268" t="s">
        <v>4881</v>
      </c>
      <c r="Y42" t="s">
        <v>6341</v>
      </c>
      <c r="Z42" t="s">
        <v>6342</v>
      </c>
      <c r="AA42" s="268" t="s">
        <v>4884</v>
      </c>
      <c r="AB42" s="268"/>
      <c r="AC42" s="287">
        <v>1</v>
      </c>
      <c r="AD42" s="287">
        <v>1</v>
      </c>
      <c r="AE42" s="268"/>
      <c r="AF42" s="268"/>
      <c r="AG42" s="290"/>
    </row>
    <row r="43" spans="1:33" s="145" customFormat="1" x14ac:dyDescent="0.15">
      <c r="A43" s="267">
        <v>95102012</v>
      </c>
      <c r="B43" t="s">
        <v>6340</v>
      </c>
      <c r="C43" s="268" t="s">
        <v>6316</v>
      </c>
      <c r="D43" s="268">
        <v>5073</v>
      </c>
      <c r="E43" s="268" t="s">
        <v>4876</v>
      </c>
      <c r="F43" s="268" t="s">
        <v>4877</v>
      </c>
      <c r="G43" s="269">
        <v>2</v>
      </c>
      <c r="H43" s="269">
        <v>0</v>
      </c>
      <c r="I43" s="267">
        <v>34</v>
      </c>
      <c r="J43" s="278" t="s">
        <v>4915</v>
      </c>
      <c r="K43" s="279" t="s">
        <v>4916</v>
      </c>
      <c r="L43" s="279"/>
      <c r="M43" s="268">
        <v>1</v>
      </c>
      <c r="N43" s="268" t="b">
        <v>1</v>
      </c>
      <c r="O43" s="268">
        <v>5</v>
      </c>
      <c r="P43" s="281">
        <v>75</v>
      </c>
      <c r="Q43" s="281">
        <v>100</v>
      </c>
      <c r="R43" s="268" t="s">
        <v>3383</v>
      </c>
      <c r="S43" s="268"/>
      <c r="T43" s="268">
        <v>1</v>
      </c>
      <c r="U43" s="268" t="s">
        <v>4880</v>
      </c>
      <c r="V43" s="269">
        <v>2</v>
      </c>
      <c r="W43" s="269"/>
      <c r="X43" s="268" t="s">
        <v>4881</v>
      </c>
      <c r="Y43" t="s">
        <v>6341</v>
      </c>
      <c r="Z43" t="s">
        <v>6342</v>
      </c>
      <c r="AA43" s="268" t="s">
        <v>4884</v>
      </c>
      <c r="AB43" s="268"/>
      <c r="AC43" s="287">
        <v>1</v>
      </c>
      <c r="AD43" s="287">
        <v>1</v>
      </c>
      <c r="AE43" s="268"/>
      <c r="AF43" s="268"/>
      <c r="AG43" s="290"/>
    </row>
    <row r="44" spans="1:33" s="145" customFormat="1" x14ac:dyDescent="0.15">
      <c r="A44" s="267">
        <v>95102013</v>
      </c>
      <c r="B44" t="s">
        <v>6340</v>
      </c>
      <c r="C44" s="268" t="s">
        <v>6316</v>
      </c>
      <c r="D44" s="268">
        <v>5073</v>
      </c>
      <c r="E44" s="268" t="s">
        <v>4876</v>
      </c>
      <c r="F44" s="268" t="s">
        <v>4877</v>
      </c>
      <c r="G44" s="269">
        <v>3</v>
      </c>
      <c r="H44" s="269">
        <v>0</v>
      </c>
      <c r="I44" s="267">
        <v>34</v>
      </c>
      <c r="J44" s="278" t="s">
        <v>4915</v>
      </c>
      <c r="K44" s="279" t="s">
        <v>4916</v>
      </c>
      <c r="L44" s="279"/>
      <c r="M44" s="268">
        <v>1</v>
      </c>
      <c r="N44" s="268" t="b">
        <v>1</v>
      </c>
      <c r="O44" s="268">
        <v>7</v>
      </c>
      <c r="P44" s="281">
        <v>105</v>
      </c>
      <c r="Q44" s="281">
        <v>140</v>
      </c>
      <c r="R44" s="268" t="s">
        <v>3383</v>
      </c>
      <c r="S44" s="268"/>
      <c r="T44" s="268">
        <v>1</v>
      </c>
      <c r="U44" s="268" t="s">
        <v>4880</v>
      </c>
      <c r="V44" s="269">
        <v>3</v>
      </c>
      <c r="W44" s="269"/>
      <c r="X44" s="268" t="s">
        <v>4881</v>
      </c>
      <c r="Y44" t="s">
        <v>6341</v>
      </c>
      <c r="Z44" t="s">
        <v>6342</v>
      </c>
      <c r="AA44" s="268" t="s">
        <v>4884</v>
      </c>
      <c r="AB44" s="268"/>
      <c r="AC44" s="287">
        <v>1</v>
      </c>
      <c r="AD44" s="287">
        <v>1</v>
      </c>
      <c r="AE44" s="268"/>
      <c r="AF44" s="268"/>
      <c r="AG44" s="290"/>
    </row>
    <row r="45" spans="1:33" s="145" customFormat="1" x14ac:dyDescent="0.15">
      <c r="A45" s="267">
        <v>95102014</v>
      </c>
      <c r="B45" t="s">
        <v>6340</v>
      </c>
      <c r="C45" s="268" t="s">
        <v>6316</v>
      </c>
      <c r="D45" s="268">
        <v>5073</v>
      </c>
      <c r="E45" s="268" t="s">
        <v>4876</v>
      </c>
      <c r="F45" s="268" t="s">
        <v>4877</v>
      </c>
      <c r="G45" s="269">
        <v>4</v>
      </c>
      <c r="H45" s="269">
        <v>0</v>
      </c>
      <c r="I45" s="267">
        <v>34</v>
      </c>
      <c r="J45" s="278" t="s">
        <v>4915</v>
      </c>
      <c r="K45" s="279" t="s">
        <v>4916</v>
      </c>
      <c r="L45" s="279"/>
      <c r="M45" s="268">
        <v>1</v>
      </c>
      <c r="N45" s="268" t="b">
        <v>1</v>
      </c>
      <c r="O45" s="268">
        <v>10</v>
      </c>
      <c r="P45" s="281">
        <v>150</v>
      </c>
      <c r="Q45" s="281">
        <v>200</v>
      </c>
      <c r="R45" s="268" t="s">
        <v>3383</v>
      </c>
      <c r="S45" s="268"/>
      <c r="T45" s="268">
        <v>1</v>
      </c>
      <c r="U45" s="268" t="s">
        <v>4880</v>
      </c>
      <c r="V45" s="269">
        <v>4</v>
      </c>
      <c r="W45" s="269"/>
      <c r="X45" s="268" t="s">
        <v>4881</v>
      </c>
      <c r="Y45" t="s">
        <v>6341</v>
      </c>
      <c r="Z45" t="s">
        <v>6342</v>
      </c>
      <c r="AA45" s="268" t="s">
        <v>4884</v>
      </c>
      <c r="AB45" s="268"/>
      <c r="AC45" s="287">
        <v>1</v>
      </c>
      <c r="AD45" s="287">
        <v>1</v>
      </c>
      <c r="AE45" s="268"/>
      <c r="AF45" s="268"/>
      <c r="AG45" s="290"/>
    </row>
    <row r="46" spans="1:33" s="145" customFormat="1" x14ac:dyDescent="0.15">
      <c r="A46" s="267">
        <v>95102015</v>
      </c>
      <c r="B46" t="s">
        <v>6340</v>
      </c>
      <c r="C46" s="268" t="s">
        <v>6316</v>
      </c>
      <c r="D46" s="268">
        <v>5073</v>
      </c>
      <c r="E46" s="268" t="s">
        <v>4876</v>
      </c>
      <c r="F46" s="268" t="s">
        <v>4877</v>
      </c>
      <c r="G46" s="269">
        <v>5</v>
      </c>
      <c r="H46" s="269">
        <v>0</v>
      </c>
      <c r="I46" s="267">
        <v>34</v>
      </c>
      <c r="J46" s="278" t="s">
        <v>4915</v>
      </c>
      <c r="K46" s="279" t="s">
        <v>4916</v>
      </c>
      <c r="L46" s="279"/>
      <c r="M46" s="268">
        <v>1</v>
      </c>
      <c r="N46" s="268" t="b">
        <v>1</v>
      </c>
      <c r="O46" s="268">
        <v>12</v>
      </c>
      <c r="P46" s="281">
        <v>180</v>
      </c>
      <c r="Q46" s="281">
        <v>240</v>
      </c>
      <c r="R46" s="268" t="s">
        <v>3383</v>
      </c>
      <c r="S46" s="268"/>
      <c r="T46" s="268">
        <v>1</v>
      </c>
      <c r="U46" s="268" t="s">
        <v>4880</v>
      </c>
      <c r="V46" s="269">
        <v>5</v>
      </c>
      <c r="W46" s="269"/>
      <c r="X46" s="268" t="s">
        <v>4881</v>
      </c>
      <c r="Y46" t="s">
        <v>6341</v>
      </c>
      <c r="Z46" t="s">
        <v>6342</v>
      </c>
      <c r="AA46" s="268" t="s">
        <v>4884</v>
      </c>
      <c r="AB46" s="268"/>
      <c r="AC46" s="287">
        <v>1</v>
      </c>
      <c r="AD46" s="287">
        <v>1</v>
      </c>
      <c r="AE46" s="268"/>
      <c r="AF46" s="268"/>
      <c r="AG46" s="290"/>
    </row>
    <row r="47" spans="1:33" s="145" customFormat="1" x14ac:dyDescent="0.15">
      <c r="A47" s="270">
        <v>95102016</v>
      </c>
      <c r="B47" t="s">
        <v>6340</v>
      </c>
      <c r="C47" s="268" t="s">
        <v>6316</v>
      </c>
      <c r="D47" s="268">
        <v>5073</v>
      </c>
      <c r="E47" s="268" t="s">
        <v>4876</v>
      </c>
      <c r="F47" s="268" t="s">
        <v>4877</v>
      </c>
      <c r="G47" s="269">
        <v>6</v>
      </c>
      <c r="H47" s="269">
        <v>0</v>
      </c>
      <c r="I47" s="267">
        <v>34</v>
      </c>
      <c r="J47" s="282" t="s">
        <v>4915</v>
      </c>
      <c r="K47" s="279" t="s">
        <v>4916</v>
      </c>
      <c r="L47" s="279"/>
      <c r="M47" s="268">
        <v>1</v>
      </c>
      <c r="N47" s="268" t="b">
        <v>1</v>
      </c>
      <c r="O47" s="268">
        <v>25</v>
      </c>
      <c r="P47" s="281">
        <v>375</v>
      </c>
      <c r="Q47" s="281">
        <v>500</v>
      </c>
      <c r="R47" s="268" t="s">
        <v>3383</v>
      </c>
      <c r="S47" s="268"/>
      <c r="T47" s="268">
        <v>1</v>
      </c>
      <c r="U47" s="268" t="s">
        <v>4880</v>
      </c>
      <c r="V47" s="269">
        <v>7</v>
      </c>
      <c r="W47" s="269"/>
      <c r="X47" s="268" t="s">
        <v>4881</v>
      </c>
      <c r="Y47" t="s">
        <v>6341</v>
      </c>
      <c r="Z47" t="s">
        <v>6342</v>
      </c>
      <c r="AA47" s="268" t="s">
        <v>4884</v>
      </c>
      <c r="AB47" s="268"/>
      <c r="AC47" s="287">
        <v>1</v>
      </c>
      <c r="AD47" s="287">
        <v>1</v>
      </c>
      <c r="AE47" s="268"/>
      <c r="AF47" s="268"/>
      <c r="AG47" s="290"/>
    </row>
    <row r="48" spans="1:33" s="145" customFormat="1" x14ac:dyDescent="0.15">
      <c r="A48" s="270">
        <v>95102017</v>
      </c>
      <c r="B48" t="s">
        <v>6340</v>
      </c>
      <c r="C48" s="268" t="s">
        <v>6316</v>
      </c>
      <c r="D48" s="268">
        <v>5073</v>
      </c>
      <c r="E48" s="268" t="s">
        <v>4876</v>
      </c>
      <c r="F48" s="268" t="s">
        <v>4877</v>
      </c>
      <c r="G48" s="269">
        <v>7</v>
      </c>
      <c r="H48" s="269">
        <v>0</v>
      </c>
      <c r="I48" s="267">
        <v>34</v>
      </c>
      <c r="J48" s="282" t="s">
        <v>4915</v>
      </c>
      <c r="K48" s="279" t="s">
        <v>4916</v>
      </c>
      <c r="L48" s="279"/>
      <c r="M48" s="268">
        <v>1</v>
      </c>
      <c r="N48" s="268" t="b">
        <v>1</v>
      </c>
      <c r="O48" s="268">
        <v>38</v>
      </c>
      <c r="P48" s="281">
        <v>570</v>
      </c>
      <c r="Q48" s="281">
        <v>760</v>
      </c>
      <c r="R48" s="268" t="s">
        <v>3383</v>
      </c>
      <c r="S48" s="268"/>
      <c r="T48" s="268">
        <v>1</v>
      </c>
      <c r="U48" s="268" t="s">
        <v>4880</v>
      </c>
      <c r="V48" s="269">
        <v>10</v>
      </c>
      <c r="W48" s="269"/>
      <c r="X48" s="268" t="s">
        <v>4881</v>
      </c>
      <c r="Y48" t="s">
        <v>6341</v>
      </c>
      <c r="Z48" t="s">
        <v>6342</v>
      </c>
      <c r="AA48" s="268" t="s">
        <v>4884</v>
      </c>
      <c r="AB48" s="268"/>
      <c r="AC48" s="287">
        <v>1</v>
      </c>
      <c r="AD48" s="287">
        <v>1</v>
      </c>
      <c r="AE48" s="268"/>
      <c r="AF48" s="268"/>
      <c r="AG48" s="290"/>
    </row>
    <row r="49" spans="1:33" s="258" customFormat="1" x14ac:dyDescent="0.15">
      <c r="A49" s="271">
        <v>95102018</v>
      </c>
      <c r="B49" t="s">
        <v>6343</v>
      </c>
      <c r="C49" s="268" t="s">
        <v>6316</v>
      </c>
      <c r="D49" s="272">
        <v>5081</v>
      </c>
      <c r="E49" s="272" t="s">
        <v>4876</v>
      </c>
      <c r="F49" s="272" t="s">
        <v>4877</v>
      </c>
      <c r="G49" s="269">
        <v>6</v>
      </c>
      <c r="H49" s="273">
        <v>1</v>
      </c>
      <c r="I49" s="283">
        <v>34</v>
      </c>
      <c r="J49" s="284" t="s">
        <v>4915</v>
      </c>
      <c r="K49" s="285" t="s">
        <v>4916</v>
      </c>
      <c r="L49" s="272" t="s">
        <v>44</v>
      </c>
      <c r="M49" s="272">
        <v>1</v>
      </c>
      <c r="N49" s="272" t="b">
        <v>1</v>
      </c>
      <c r="O49" s="272">
        <v>51</v>
      </c>
      <c r="P49" s="281">
        <v>765</v>
      </c>
      <c r="Q49" s="281">
        <v>1020</v>
      </c>
      <c r="R49" s="272" t="s">
        <v>3383</v>
      </c>
      <c r="S49" s="272"/>
      <c r="T49" s="272">
        <v>1</v>
      </c>
      <c r="U49" s="272" t="s">
        <v>4880</v>
      </c>
      <c r="V49" s="273">
        <v>10</v>
      </c>
      <c r="W49" s="273"/>
      <c r="X49" s="272" t="s">
        <v>4881</v>
      </c>
      <c r="Y49" t="s">
        <v>6341</v>
      </c>
      <c r="Z49" t="s">
        <v>6342</v>
      </c>
      <c r="AA49" s="272" t="s">
        <v>4884</v>
      </c>
      <c r="AB49" s="272"/>
      <c r="AC49" s="289">
        <v>1</v>
      </c>
      <c r="AD49" s="289">
        <v>1</v>
      </c>
      <c r="AE49" s="289"/>
      <c r="AF49" s="272"/>
      <c r="AG49" s="272"/>
    </row>
    <row r="50" spans="1:33" s="258" customFormat="1" x14ac:dyDescent="0.15">
      <c r="A50" s="271">
        <v>95102019</v>
      </c>
      <c r="B50" t="s">
        <v>6344</v>
      </c>
      <c r="C50" s="268" t="s">
        <v>6316</v>
      </c>
      <c r="D50" s="272">
        <v>5081</v>
      </c>
      <c r="E50" s="272" t="s">
        <v>4876</v>
      </c>
      <c r="F50" s="272" t="s">
        <v>4877</v>
      </c>
      <c r="G50" s="269">
        <v>6</v>
      </c>
      <c r="H50" s="273">
        <v>1</v>
      </c>
      <c r="I50" s="283">
        <v>34</v>
      </c>
      <c r="J50" s="284" t="s">
        <v>4915</v>
      </c>
      <c r="K50" s="285" t="s">
        <v>4916</v>
      </c>
      <c r="L50" s="272" t="s">
        <v>4887</v>
      </c>
      <c r="M50" s="272">
        <v>1</v>
      </c>
      <c r="N50" s="272" t="b">
        <v>1</v>
      </c>
      <c r="O50" s="272">
        <v>64</v>
      </c>
      <c r="P50" s="281">
        <v>960</v>
      </c>
      <c r="Q50" s="281">
        <v>1280</v>
      </c>
      <c r="R50" s="272" t="s">
        <v>3383</v>
      </c>
      <c r="S50" s="272"/>
      <c r="T50" s="272">
        <v>1</v>
      </c>
      <c r="U50" s="272" t="s">
        <v>4880</v>
      </c>
      <c r="V50" s="273">
        <v>10</v>
      </c>
      <c r="W50" s="273"/>
      <c r="X50" s="272" t="s">
        <v>4881</v>
      </c>
      <c r="Y50" t="s">
        <v>6341</v>
      </c>
      <c r="Z50" t="s">
        <v>6342</v>
      </c>
      <c r="AA50" s="272" t="s">
        <v>4884</v>
      </c>
      <c r="AB50" s="272"/>
      <c r="AC50" s="289">
        <v>1</v>
      </c>
      <c r="AD50" s="289">
        <v>1</v>
      </c>
      <c r="AE50" s="289"/>
      <c r="AF50" s="272"/>
      <c r="AG50" s="272"/>
    </row>
    <row r="51" spans="1:33" s="258" customFormat="1" x14ac:dyDescent="0.15">
      <c r="A51" s="271">
        <v>95102020</v>
      </c>
      <c r="B51" t="s">
        <v>6345</v>
      </c>
      <c r="C51" s="268" t="s">
        <v>6316</v>
      </c>
      <c r="D51" s="272">
        <v>5081</v>
      </c>
      <c r="E51" s="272" t="s">
        <v>4876</v>
      </c>
      <c r="F51" s="272" t="s">
        <v>4877</v>
      </c>
      <c r="G51" s="269">
        <v>7</v>
      </c>
      <c r="H51" s="273">
        <v>0</v>
      </c>
      <c r="I51" s="283">
        <v>34</v>
      </c>
      <c r="J51" s="284" t="s">
        <v>4915</v>
      </c>
      <c r="K51" s="285" t="s">
        <v>4916</v>
      </c>
      <c r="L51" s="272" t="s">
        <v>4889</v>
      </c>
      <c r="M51" s="272">
        <v>1</v>
      </c>
      <c r="N51" s="272" t="b">
        <v>1</v>
      </c>
      <c r="O51" s="272">
        <v>77</v>
      </c>
      <c r="P51" s="281">
        <v>1155</v>
      </c>
      <c r="Q51" s="281">
        <v>1540</v>
      </c>
      <c r="R51" s="272" t="s">
        <v>3383</v>
      </c>
      <c r="S51" s="272"/>
      <c r="T51" s="272">
        <v>1</v>
      </c>
      <c r="U51" s="272" t="s">
        <v>4880</v>
      </c>
      <c r="V51" s="273">
        <v>10</v>
      </c>
      <c r="W51" s="273"/>
      <c r="X51" s="272" t="s">
        <v>4881</v>
      </c>
      <c r="Y51" t="s">
        <v>6341</v>
      </c>
      <c r="Z51" t="s">
        <v>6342</v>
      </c>
      <c r="AA51" s="272" t="s">
        <v>4884</v>
      </c>
      <c r="AB51" s="272"/>
      <c r="AC51" s="289">
        <v>1</v>
      </c>
      <c r="AD51" s="289">
        <v>1</v>
      </c>
      <c r="AE51" s="289"/>
      <c r="AF51" s="272"/>
      <c r="AG51" s="272"/>
    </row>
    <row r="52" spans="1:33" s="145" customFormat="1" x14ac:dyDescent="0.15">
      <c r="A52" s="267">
        <v>95102021</v>
      </c>
      <c r="B52" t="s">
        <v>6346</v>
      </c>
      <c r="C52" s="268" t="s">
        <v>6316</v>
      </c>
      <c r="D52" s="268">
        <v>5072</v>
      </c>
      <c r="E52" s="268" t="s">
        <v>4876</v>
      </c>
      <c r="F52" s="268" t="s">
        <v>4877</v>
      </c>
      <c r="G52" s="269">
        <v>1</v>
      </c>
      <c r="H52" s="269">
        <v>0</v>
      </c>
      <c r="I52" s="267">
        <v>34</v>
      </c>
      <c r="J52" s="282" t="s">
        <v>4923</v>
      </c>
      <c r="K52" s="279" t="s">
        <v>4924</v>
      </c>
      <c r="L52" s="279"/>
      <c r="M52" s="268">
        <v>1</v>
      </c>
      <c r="N52" s="268" t="b">
        <v>1</v>
      </c>
      <c r="O52" s="268">
        <v>2</v>
      </c>
      <c r="P52" s="281">
        <v>30</v>
      </c>
      <c r="Q52" s="281">
        <v>40</v>
      </c>
      <c r="R52" s="268" t="s">
        <v>3383</v>
      </c>
      <c r="S52" s="268"/>
      <c r="T52" s="268">
        <v>1</v>
      </c>
      <c r="U52" s="268" t="s">
        <v>4880</v>
      </c>
      <c r="V52" s="269">
        <v>1</v>
      </c>
      <c r="W52" s="269"/>
      <c r="X52" s="268" t="s">
        <v>4881</v>
      </c>
      <c r="Y52" t="s">
        <v>6347</v>
      </c>
      <c r="Z52" t="s">
        <v>6348</v>
      </c>
      <c r="AA52" s="268" t="s">
        <v>4884</v>
      </c>
      <c r="AB52" s="268"/>
      <c r="AC52" s="287">
        <v>1</v>
      </c>
      <c r="AD52" s="287">
        <v>1</v>
      </c>
      <c r="AE52" s="268"/>
      <c r="AF52" s="268"/>
      <c r="AG52" s="290"/>
    </row>
    <row r="53" spans="1:33" s="145" customFormat="1" x14ac:dyDescent="0.15">
      <c r="A53" s="267">
        <v>95102022</v>
      </c>
      <c r="B53" t="s">
        <v>6346</v>
      </c>
      <c r="C53" s="268" t="s">
        <v>6316</v>
      </c>
      <c r="D53" s="268">
        <v>5072</v>
      </c>
      <c r="E53" s="268" t="s">
        <v>4876</v>
      </c>
      <c r="F53" s="268" t="s">
        <v>4877</v>
      </c>
      <c r="G53" s="269">
        <v>2</v>
      </c>
      <c r="H53" s="269">
        <v>0</v>
      </c>
      <c r="I53" s="267">
        <v>34</v>
      </c>
      <c r="J53" s="282" t="s">
        <v>4923</v>
      </c>
      <c r="K53" s="279" t="s">
        <v>4924</v>
      </c>
      <c r="L53" s="279"/>
      <c r="M53" s="268">
        <v>1</v>
      </c>
      <c r="N53" s="268" t="b">
        <v>1</v>
      </c>
      <c r="O53" s="268">
        <v>5</v>
      </c>
      <c r="P53" s="281">
        <v>75</v>
      </c>
      <c r="Q53" s="281">
        <v>100</v>
      </c>
      <c r="R53" s="268" t="s">
        <v>3383</v>
      </c>
      <c r="S53" s="268"/>
      <c r="T53" s="268">
        <v>1</v>
      </c>
      <c r="U53" s="268" t="s">
        <v>4880</v>
      </c>
      <c r="V53" s="269">
        <v>2</v>
      </c>
      <c r="W53" s="269"/>
      <c r="X53" s="268" t="s">
        <v>4881</v>
      </c>
      <c r="Y53" t="s">
        <v>6347</v>
      </c>
      <c r="Z53" t="s">
        <v>6348</v>
      </c>
      <c r="AA53" s="268" t="s">
        <v>4884</v>
      </c>
      <c r="AB53" s="268"/>
      <c r="AC53" s="287">
        <v>1</v>
      </c>
      <c r="AD53" s="287">
        <v>1</v>
      </c>
      <c r="AE53" s="268"/>
      <c r="AF53" s="268"/>
      <c r="AG53" s="290"/>
    </row>
    <row r="54" spans="1:33" s="145" customFormat="1" x14ac:dyDescent="0.15">
      <c r="A54" s="267">
        <v>95102023</v>
      </c>
      <c r="B54" t="s">
        <v>6346</v>
      </c>
      <c r="C54" s="268" t="s">
        <v>6316</v>
      </c>
      <c r="D54" s="268">
        <v>5072</v>
      </c>
      <c r="E54" s="268" t="s">
        <v>4876</v>
      </c>
      <c r="F54" s="268" t="s">
        <v>4877</v>
      </c>
      <c r="G54" s="269">
        <v>3</v>
      </c>
      <c r="H54" s="269">
        <v>0</v>
      </c>
      <c r="I54" s="267">
        <v>34</v>
      </c>
      <c r="J54" s="282" t="s">
        <v>4923</v>
      </c>
      <c r="K54" s="279" t="s">
        <v>4924</v>
      </c>
      <c r="L54" s="279"/>
      <c r="M54" s="268">
        <v>1</v>
      </c>
      <c r="N54" s="268" t="b">
        <v>1</v>
      </c>
      <c r="O54" s="268">
        <v>7</v>
      </c>
      <c r="P54" s="281">
        <v>105</v>
      </c>
      <c r="Q54" s="281">
        <v>140</v>
      </c>
      <c r="R54" s="268" t="s">
        <v>3383</v>
      </c>
      <c r="S54" s="268"/>
      <c r="T54" s="268">
        <v>1</v>
      </c>
      <c r="U54" s="268" t="s">
        <v>4880</v>
      </c>
      <c r="V54" s="269">
        <v>3</v>
      </c>
      <c r="W54" s="269"/>
      <c r="X54" s="268" t="s">
        <v>4881</v>
      </c>
      <c r="Y54" t="s">
        <v>6347</v>
      </c>
      <c r="Z54" t="s">
        <v>6348</v>
      </c>
      <c r="AA54" s="268" t="s">
        <v>4884</v>
      </c>
      <c r="AB54" s="268"/>
      <c r="AC54" s="287">
        <v>1</v>
      </c>
      <c r="AD54" s="287">
        <v>1</v>
      </c>
      <c r="AE54" s="268"/>
      <c r="AF54" s="268"/>
      <c r="AG54" s="290"/>
    </row>
    <row r="55" spans="1:33" s="145" customFormat="1" x14ac:dyDescent="0.15">
      <c r="A55" s="267">
        <v>95102024</v>
      </c>
      <c r="B55" t="s">
        <v>6346</v>
      </c>
      <c r="C55" s="268" t="s">
        <v>6316</v>
      </c>
      <c r="D55" s="268">
        <v>5072</v>
      </c>
      <c r="E55" s="268" t="s">
        <v>4876</v>
      </c>
      <c r="F55" s="268" t="s">
        <v>4877</v>
      </c>
      <c r="G55" s="269">
        <v>4</v>
      </c>
      <c r="H55" s="269">
        <v>0</v>
      </c>
      <c r="I55" s="267">
        <v>34</v>
      </c>
      <c r="J55" s="282" t="s">
        <v>4923</v>
      </c>
      <c r="K55" s="279" t="s">
        <v>4924</v>
      </c>
      <c r="L55" s="279"/>
      <c r="M55" s="268">
        <v>1</v>
      </c>
      <c r="N55" s="268" t="b">
        <v>1</v>
      </c>
      <c r="O55" s="268">
        <v>10</v>
      </c>
      <c r="P55" s="281">
        <v>150</v>
      </c>
      <c r="Q55" s="281">
        <v>200</v>
      </c>
      <c r="R55" s="268" t="s">
        <v>3383</v>
      </c>
      <c r="S55" s="268"/>
      <c r="T55" s="268">
        <v>1</v>
      </c>
      <c r="U55" s="268" t="s">
        <v>4880</v>
      </c>
      <c r="V55" s="269">
        <v>4</v>
      </c>
      <c r="W55" s="269"/>
      <c r="X55" s="268" t="s">
        <v>4881</v>
      </c>
      <c r="Y55" t="s">
        <v>6347</v>
      </c>
      <c r="Z55" t="s">
        <v>6348</v>
      </c>
      <c r="AA55" s="268" t="s">
        <v>4884</v>
      </c>
      <c r="AB55" s="268"/>
      <c r="AC55" s="287">
        <v>1</v>
      </c>
      <c r="AD55" s="287">
        <v>1</v>
      </c>
      <c r="AE55" s="268"/>
      <c r="AF55" s="268"/>
      <c r="AG55" s="290"/>
    </row>
    <row r="56" spans="1:33" s="145" customFormat="1" x14ac:dyDescent="0.15">
      <c r="A56" s="267">
        <v>95102025</v>
      </c>
      <c r="B56" t="s">
        <v>6346</v>
      </c>
      <c r="C56" s="268" t="s">
        <v>6316</v>
      </c>
      <c r="D56" s="268">
        <v>5072</v>
      </c>
      <c r="E56" s="268" t="s">
        <v>4876</v>
      </c>
      <c r="F56" s="268" t="s">
        <v>4877</v>
      </c>
      <c r="G56" s="269">
        <v>5</v>
      </c>
      <c r="H56" s="269">
        <v>0</v>
      </c>
      <c r="I56" s="267">
        <v>34</v>
      </c>
      <c r="J56" s="282" t="s">
        <v>4923</v>
      </c>
      <c r="K56" s="279" t="s">
        <v>4924</v>
      </c>
      <c r="L56" s="279"/>
      <c r="M56" s="268">
        <v>1</v>
      </c>
      <c r="N56" s="268" t="b">
        <v>1</v>
      </c>
      <c r="O56" s="268">
        <v>12</v>
      </c>
      <c r="P56" s="281">
        <v>180</v>
      </c>
      <c r="Q56" s="281">
        <v>240</v>
      </c>
      <c r="R56" s="268" t="s">
        <v>3383</v>
      </c>
      <c r="S56" s="268"/>
      <c r="T56" s="268">
        <v>1</v>
      </c>
      <c r="U56" s="268" t="s">
        <v>4880</v>
      </c>
      <c r="V56" s="269">
        <v>5</v>
      </c>
      <c r="W56" s="269"/>
      <c r="X56" s="268" t="s">
        <v>4881</v>
      </c>
      <c r="Y56" t="s">
        <v>6347</v>
      </c>
      <c r="Z56" t="s">
        <v>6348</v>
      </c>
      <c r="AA56" s="268" t="s">
        <v>4884</v>
      </c>
      <c r="AB56" s="268"/>
      <c r="AC56" s="287">
        <v>1</v>
      </c>
      <c r="AD56" s="287">
        <v>1</v>
      </c>
      <c r="AE56" s="268"/>
      <c r="AF56" s="268"/>
      <c r="AG56" s="290"/>
    </row>
    <row r="57" spans="1:33" s="145" customFormat="1" x14ac:dyDescent="0.15">
      <c r="A57" s="270">
        <v>95102026</v>
      </c>
      <c r="B57" t="s">
        <v>6346</v>
      </c>
      <c r="C57" s="268" t="s">
        <v>6316</v>
      </c>
      <c r="D57" s="268">
        <v>5072</v>
      </c>
      <c r="E57" s="268" t="s">
        <v>4876</v>
      </c>
      <c r="F57" s="268" t="s">
        <v>4877</v>
      </c>
      <c r="G57" s="269">
        <v>6</v>
      </c>
      <c r="H57" s="269">
        <v>0</v>
      </c>
      <c r="I57" s="267">
        <v>34</v>
      </c>
      <c r="J57" s="282" t="s">
        <v>4923</v>
      </c>
      <c r="K57" s="279" t="s">
        <v>4924</v>
      </c>
      <c r="L57" s="279"/>
      <c r="M57" s="268">
        <v>1</v>
      </c>
      <c r="N57" s="268" t="b">
        <v>1</v>
      </c>
      <c r="O57" s="268">
        <v>25</v>
      </c>
      <c r="P57" s="281">
        <v>375</v>
      </c>
      <c r="Q57" s="281">
        <v>500</v>
      </c>
      <c r="R57" s="268" t="s">
        <v>3383</v>
      </c>
      <c r="S57" s="268"/>
      <c r="T57" s="268">
        <v>1</v>
      </c>
      <c r="U57" s="268" t="s">
        <v>4880</v>
      </c>
      <c r="V57" s="269">
        <v>7</v>
      </c>
      <c r="W57" s="269"/>
      <c r="X57" s="268" t="s">
        <v>4881</v>
      </c>
      <c r="Y57" t="s">
        <v>6347</v>
      </c>
      <c r="Z57" t="s">
        <v>6348</v>
      </c>
      <c r="AA57" s="268" t="s">
        <v>4884</v>
      </c>
      <c r="AB57" s="268"/>
      <c r="AC57" s="287">
        <v>1</v>
      </c>
      <c r="AD57" s="287">
        <v>1</v>
      </c>
      <c r="AE57" s="268"/>
      <c r="AF57" s="268"/>
      <c r="AG57" s="290"/>
    </row>
    <row r="58" spans="1:33" s="145" customFormat="1" x14ac:dyDescent="0.15">
      <c r="A58" s="270">
        <v>95102027</v>
      </c>
      <c r="B58" t="s">
        <v>6346</v>
      </c>
      <c r="C58" s="268" t="s">
        <v>6316</v>
      </c>
      <c r="D58" s="268">
        <v>5072</v>
      </c>
      <c r="E58" s="268" t="s">
        <v>4876</v>
      </c>
      <c r="F58" s="268" t="s">
        <v>4877</v>
      </c>
      <c r="G58" s="269">
        <v>7</v>
      </c>
      <c r="H58" s="269">
        <v>0</v>
      </c>
      <c r="I58" s="267">
        <v>34</v>
      </c>
      <c r="J58" s="282" t="s">
        <v>4923</v>
      </c>
      <c r="K58" s="279" t="s">
        <v>4924</v>
      </c>
      <c r="L58" s="279"/>
      <c r="M58" s="268">
        <v>1</v>
      </c>
      <c r="N58" s="268" t="b">
        <v>1</v>
      </c>
      <c r="O58" s="268">
        <v>38</v>
      </c>
      <c r="P58" s="281">
        <v>570</v>
      </c>
      <c r="Q58" s="281">
        <v>760</v>
      </c>
      <c r="R58" s="268" t="s">
        <v>3383</v>
      </c>
      <c r="S58" s="268"/>
      <c r="T58" s="268">
        <v>1</v>
      </c>
      <c r="U58" s="268" t="s">
        <v>4880</v>
      </c>
      <c r="V58" s="269">
        <v>10</v>
      </c>
      <c r="W58" s="269"/>
      <c r="X58" s="268" t="s">
        <v>4881</v>
      </c>
      <c r="Y58" t="s">
        <v>6347</v>
      </c>
      <c r="Z58" t="s">
        <v>6348</v>
      </c>
      <c r="AA58" s="268" t="s">
        <v>4884</v>
      </c>
      <c r="AB58" s="268"/>
      <c r="AC58" s="287">
        <v>1</v>
      </c>
      <c r="AD58" s="287">
        <v>1</v>
      </c>
      <c r="AE58" s="268"/>
      <c r="AF58" s="268"/>
      <c r="AG58" s="290"/>
    </row>
    <row r="59" spans="1:33" s="258" customFormat="1" x14ac:dyDescent="0.15">
      <c r="A59" s="271">
        <v>95102028</v>
      </c>
      <c r="B59" t="s">
        <v>6349</v>
      </c>
      <c r="C59" s="268" t="s">
        <v>6316</v>
      </c>
      <c r="D59" s="272">
        <v>5081</v>
      </c>
      <c r="E59" s="272" t="s">
        <v>4876</v>
      </c>
      <c r="F59" s="272" t="s">
        <v>4877</v>
      </c>
      <c r="G59" s="269">
        <v>6</v>
      </c>
      <c r="H59" s="273">
        <v>1</v>
      </c>
      <c r="I59" s="283">
        <v>34</v>
      </c>
      <c r="J59" s="284" t="s">
        <v>4923</v>
      </c>
      <c r="K59" s="285" t="s">
        <v>4924</v>
      </c>
      <c r="L59" s="272" t="s">
        <v>44</v>
      </c>
      <c r="M59" s="272">
        <v>1</v>
      </c>
      <c r="N59" s="272" t="b">
        <v>1</v>
      </c>
      <c r="O59" s="272">
        <v>51</v>
      </c>
      <c r="P59" s="281">
        <v>765</v>
      </c>
      <c r="Q59" s="281">
        <v>1020</v>
      </c>
      <c r="R59" s="272" t="s">
        <v>3383</v>
      </c>
      <c r="S59" s="272"/>
      <c r="T59" s="272">
        <v>1</v>
      </c>
      <c r="U59" s="272" t="s">
        <v>4880</v>
      </c>
      <c r="V59" s="273">
        <v>10</v>
      </c>
      <c r="W59" s="273"/>
      <c r="X59" s="272" t="s">
        <v>4881</v>
      </c>
      <c r="Y59" t="s">
        <v>6347</v>
      </c>
      <c r="Z59" t="s">
        <v>6348</v>
      </c>
      <c r="AA59" s="272" t="s">
        <v>4884</v>
      </c>
      <c r="AB59" s="272"/>
      <c r="AC59" s="289">
        <v>1</v>
      </c>
      <c r="AD59" s="289">
        <v>1</v>
      </c>
      <c r="AE59" s="289"/>
      <c r="AF59" s="272"/>
      <c r="AG59" s="272"/>
    </row>
    <row r="60" spans="1:33" s="258" customFormat="1" x14ac:dyDescent="0.15">
      <c r="A60" s="271">
        <v>95102029</v>
      </c>
      <c r="B60" t="s">
        <v>6350</v>
      </c>
      <c r="C60" s="268" t="s">
        <v>6316</v>
      </c>
      <c r="D60" s="272">
        <v>5081</v>
      </c>
      <c r="E60" s="272" t="s">
        <v>4876</v>
      </c>
      <c r="F60" s="272" t="s">
        <v>4877</v>
      </c>
      <c r="G60" s="269">
        <v>6</v>
      </c>
      <c r="H60" s="273">
        <v>1</v>
      </c>
      <c r="I60" s="283">
        <v>34</v>
      </c>
      <c r="J60" s="284" t="s">
        <v>4923</v>
      </c>
      <c r="K60" s="285" t="s">
        <v>4924</v>
      </c>
      <c r="L60" s="272" t="s">
        <v>4887</v>
      </c>
      <c r="M60" s="272">
        <v>1</v>
      </c>
      <c r="N60" s="272" t="b">
        <v>1</v>
      </c>
      <c r="O60" s="272">
        <v>64</v>
      </c>
      <c r="P60" s="281">
        <v>960</v>
      </c>
      <c r="Q60" s="281">
        <v>1280</v>
      </c>
      <c r="R60" s="272" t="s">
        <v>3383</v>
      </c>
      <c r="S60" s="272"/>
      <c r="T60" s="272">
        <v>1</v>
      </c>
      <c r="U60" s="272" t="s">
        <v>4880</v>
      </c>
      <c r="V60" s="273">
        <v>10</v>
      </c>
      <c r="W60" s="273"/>
      <c r="X60" s="272" t="s">
        <v>4881</v>
      </c>
      <c r="Y60" t="s">
        <v>6347</v>
      </c>
      <c r="Z60" t="s">
        <v>6348</v>
      </c>
      <c r="AA60" s="272" t="s">
        <v>4884</v>
      </c>
      <c r="AB60" s="272"/>
      <c r="AC60" s="289">
        <v>1</v>
      </c>
      <c r="AD60" s="289">
        <v>1</v>
      </c>
      <c r="AE60" s="289"/>
      <c r="AF60" s="272"/>
      <c r="AG60" s="272"/>
    </row>
    <row r="61" spans="1:33" s="258" customFormat="1" x14ac:dyDescent="0.15">
      <c r="A61" s="271">
        <v>95102030</v>
      </c>
      <c r="B61" t="s">
        <v>6351</v>
      </c>
      <c r="C61" s="268" t="s">
        <v>6316</v>
      </c>
      <c r="D61" s="272">
        <v>5081</v>
      </c>
      <c r="E61" s="272" t="s">
        <v>4876</v>
      </c>
      <c r="F61" s="272" t="s">
        <v>4877</v>
      </c>
      <c r="G61" s="269">
        <v>7</v>
      </c>
      <c r="H61" s="273">
        <v>0</v>
      </c>
      <c r="I61" s="283">
        <v>34</v>
      </c>
      <c r="J61" s="284" t="s">
        <v>4923</v>
      </c>
      <c r="K61" s="285" t="s">
        <v>4924</v>
      </c>
      <c r="L61" s="272" t="s">
        <v>4889</v>
      </c>
      <c r="M61" s="272">
        <v>1</v>
      </c>
      <c r="N61" s="272" t="b">
        <v>1</v>
      </c>
      <c r="O61" s="272">
        <v>77</v>
      </c>
      <c r="P61" s="281">
        <v>1155</v>
      </c>
      <c r="Q61" s="281">
        <v>1540</v>
      </c>
      <c r="R61" s="272" t="s">
        <v>3383</v>
      </c>
      <c r="S61" s="272"/>
      <c r="T61" s="272">
        <v>1</v>
      </c>
      <c r="U61" s="272" t="s">
        <v>4880</v>
      </c>
      <c r="V61" s="273">
        <v>10</v>
      </c>
      <c r="W61" s="273"/>
      <c r="X61" s="272" t="s">
        <v>4881</v>
      </c>
      <c r="Y61" t="s">
        <v>6352</v>
      </c>
      <c r="Z61" t="s">
        <v>6348</v>
      </c>
      <c r="AA61" s="272" t="s">
        <v>4884</v>
      </c>
      <c r="AB61" s="272"/>
      <c r="AC61" s="289">
        <v>1</v>
      </c>
      <c r="AD61" s="289">
        <v>1</v>
      </c>
      <c r="AE61" s="289"/>
      <c r="AF61" s="272"/>
      <c r="AG61" s="272"/>
    </row>
    <row r="62" spans="1:33" s="145" customFormat="1" x14ac:dyDescent="0.15">
      <c r="A62" s="267">
        <v>95102031</v>
      </c>
      <c r="B62" t="s">
        <v>6353</v>
      </c>
      <c r="C62" s="268" t="s">
        <v>6316</v>
      </c>
      <c r="D62" s="268">
        <v>5071</v>
      </c>
      <c r="E62" s="268" t="s">
        <v>4876</v>
      </c>
      <c r="F62" s="268" t="s">
        <v>4877</v>
      </c>
      <c r="G62" s="269">
        <v>1</v>
      </c>
      <c r="H62" s="269">
        <v>0</v>
      </c>
      <c r="I62" s="267">
        <v>34</v>
      </c>
      <c r="J62" s="282" t="s">
        <v>4931</v>
      </c>
      <c r="K62" s="279" t="s">
        <v>4932</v>
      </c>
      <c r="L62" s="279"/>
      <c r="M62" s="268">
        <v>1</v>
      </c>
      <c r="N62" s="268" t="b">
        <v>1</v>
      </c>
      <c r="O62" s="268">
        <v>2</v>
      </c>
      <c r="P62" s="281">
        <v>30</v>
      </c>
      <c r="Q62" s="281">
        <v>40</v>
      </c>
      <c r="R62" s="268" t="s">
        <v>3383</v>
      </c>
      <c r="S62" s="268"/>
      <c r="T62" s="268">
        <v>1</v>
      </c>
      <c r="U62" s="268" t="s">
        <v>4880</v>
      </c>
      <c r="V62" s="269">
        <v>1</v>
      </c>
      <c r="W62" s="269"/>
      <c r="X62" s="268" t="s">
        <v>4881</v>
      </c>
      <c r="Y62" t="s">
        <v>6354</v>
      </c>
      <c r="Z62" t="s">
        <v>6355</v>
      </c>
      <c r="AA62" s="268" t="s">
        <v>4884</v>
      </c>
      <c r="AB62" s="268"/>
      <c r="AC62" s="287">
        <v>1</v>
      </c>
      <c r="AD62" s="287">
        <v>1</v>
      </c>
      <c r="AE62" s="268"/>
      <c r="AF62" s="268"/>
      <c r="AG62" s="290"/>
    </row>
    <row r="63" spans="1:33" s="145" customFormat="1" x14ac:dyDescent="0.15">
      <c r="A63" s="267">
        <v>95102032</v>
      </c>
      <c r="B63" t="s">
        <v>6353</v>
      </c>
      <c r="C63" s="268" t="s">
        <v>6316</v>
      </c>
      <c r="D63" s="268">
        <v>5071</v>
      </c>
      <c r="E63" s="268" t="s">
        <v>4876</v>
      </c>
      <c r="F63" s="268" t="s">
        <v>4877</v>
      </c>
      <c r="G63" s="269">
        <v>2</v>
      </c>
      <c r="H63" s="269">
        <v>0</v>
      </c>
      <c r="I63" s="267">
        <v>34</v>
      </c>
      <c r="J63" s="282" t="s">
        <v>4931</v>
      </c>
      <c r="K63" s="279" t="s">
        <v>4932</v>
      </c>
      <c r="L63" s="279"/>
      <c r="M63" s="268">
        <v>1</v>
      </c>
      <c r="N63" s="268" t="b">
        <v>1</v>
      </c>
      <c r="O63" s="268">
        <v>5</v>
      </c>
      <c r="P63" s="281">
        <v>75</v>
      </c>
      <c r="Q63" s="281">
        <v>100</v>
      </c>
      <c r="R63" s="268" t="s">
        <v>3383</v>
      </c>
      <c r="S63" s="268"/>
      <c r="T63" s="268">
        <v>1</v>
      </c>
      <c r="U63" s="268" t="s">
        <v>4880</v>
      </c>
      <c r="V63" s="269">
        <v>2</v>
      </c>
      <c r="W63" s="269"/>
      <c r="X63" s="268" t="s">
        <v>4881</v>
      </c>
      <c r="Y63" t="s">
        <v>6354</v>
      </c>
      <c r="Z63" t="s">
        <v>6355</v>
      </c>
      <c r="AA63" s="268" t="s">
        <v>4884</v>
      </c>
      <c r="AB63" s="268"/>
      <c r="AC63" s="287">
        <v>1</v>
      </c>
      <c r="AD63" s="287">
        <v>1</v>
      </c>
      <c r="AE63" s="268"/>
      <c r="AF63" s="268"/>
      <c r="AG63" s="290"/>
    </row>
    <row r="64" spans="1:33" s="145" customFormat="1" x14ac:dyDescent="0.15">
      <c r="A64" s="267">
        <v>95102033</v>
      </c>
      <c r="B64" t="s">
        <v>6353</v>
      </c>
      <c r="C64" s="268" t="s">
        <v>6316</v>
      </c>
      <c r="D64" s="268">
        <v>5071</v>
      </c>
      <c r="E64" s="268" t="s">
        <v>4876</v>
      </c>
      <c r="F64" s="268" t="s">
        <v>4877</v>
      </c>
      <c r="G64" s="269">
        <v>3</v>
      </c>
      <c r="H64" s="269">
        <v>0</v>
      </c>
      <c r="I64" s="267">
        <v>34</v>
      </c>
      <c r="J64" s="282" t="s">
        <v>4931</v>
      </c>
      <c r="K64" s="279" t="s">
        <v>4932</v>
      </c>
      <c r="L64" s="279"/>
      <c r="M64" s="268">
        <v>1</v>
      </c>
      <c r="N64" s="268" t="b">
        <v>1</v>
      </c>
      <c r="O64" s="268">
        <v>7</v>
      </c>
      <c r="P64" s="281">
        <v>105</v>
      </c>
      <c r="Q64" s="281">
        <v>140</v>
      </c>
      <c r="R64" s="268" t="s">
        <v>3383</v>
      </c>
      <c r="S64" s="268"/>
      <c r="T64" s="268">
        <v>1</v>
      </c>
      <c r="U64" s="268" t="s">
        <v>4880</v>
      </c>
      <c r="V64" s="269">
        <v>3</v>
      </c>
      <c r="W64" s="269"/>
      <c r="X64" s="268" t="s">
        <v>4881</v>
      </c>
      <c r="Y64" t="s">
        <v>6354</v>
      </c>
      <c r="Z64" t="s">
        <v>6355</v>
      </c>
      <c r="AA64" s="268" t="s">
        <v>4884</v>
      </c>
      <c r="AB64" s="268"/>
      <c r="AC64" s="287">
        <v>1</v>
      </c>
      <c r="AD64" s="287">
        <v>1</v>
      </c>
      <c r="AE64" s="268"/>
      <c r="AF64" s="268"/>
      <c r="AG64" s="290"/>
    </row>
    <row r="65" spans="1:33" s="145" customFormat="1" x14ac:dyDescent="0.15">
      <c r="A65" s="267">
        <v>95102034</v>
      </c>
      <c r="B65" t="s">
        <v>6353</v>
      </c>
      <c r="C65" s="268" t="s">
        <v>6316</v>
      </c>
      <c r="D65" s="268">
        <v>5071</v>
      </c>
      <c r="E65" s="268" t="s">
        <v>4876</v>
      </c>
      <c r="F65" s="268" t="s">
        <v>4877</v>
      </c>
      <c r="G65" s="269">
        <v>4</v>
      </c>
      <c r="H65" s="269">
        <v>0</v>
      </c>
      <c r="I65" s="267">
        <v>34</v>
      </c>
      <c r="J65" s="282" t="s">
        <v>4931</v>
      </c>
      <c r="K65" s="279" t="s">
        <v>4932</v>
      </c>
      <c r="L65" s="279"/>
      <c r="M65" s="268">
        <v>1</v>
      </c>
      <c r="N65" s="268" t="b">
        <v>1</v>
      </c>
      <c r="O65" s="268">
        <v>10</v>
      </c>
      <c r="P65" s="281">
        <v>150</v>
      </c>
      <c r="Q65" s="281">
        <v>200</v>
      </c>
      <c r="R65" s="268" t="s">
        <v>3383</v>
      </c>
      <c r="S65" s="268"/>
      <c r="T65" s="268">
        <v>1</v>
      </c>
      <c r="U65" s="268" t="s">
        <v>4880</v>
      </c>
      <c r="V65" s="269">
        <v>4</v>
      </c>
      <c r="W65" s="269"/>
      <c r="X65" s="268" t="s">
        <v>4881</v>
      </c>
      <c r="Y65" t="s">
        <v>6354</v>
      </c>
      <c r="Z65" t="s">
        <v>6355</v>
      </c>
      <c r="AA65" s="268" t="s">
        <v>4884</v>
      </c>
      <c r="AB65" s="268"/>
      <c r="AC65" s="287">
        <v>1</v>
      </c>
      <c r="AD65" s="287">
        <v>1</v>
      </c>
      <c r="AE65" s="268"/>
      <c r="AF65" s="268"/>
      <c r="AG65" s="290"/>
    </row>
    <row r="66" spans="1:33" s="145" customFormat="1" x14ac:dyDescent="0.15">
      <c r="A66" s="267">
        <v>95102035</v>
      </c>
      <c r="B66" t="s">
        <v>6353</v>
      </c>
      <c r="C66" s="268" t="s">
        <v>6316</v>
      </c>
      <c r="D66" s="268">
        <v>5071</v>
      </c>
      <c r="E66" s="268" t="s">
        <v>4876</v>
      </c>
      <c r="F66" s="268" t="s">
        <v>4877</v>
      </c>
      <c r="G66" s="269">
        <v>5</v>
      </c>
      <c r="H66" s="269">
        <v>0</v>
      </c>
      <c r="I66" s="267">
        <v>34</v>
      </c>
      <c r="J66" s="282" t="s">
        <v>4931</v>
      </c>
      <c r="K66" s="279" t="s">
        <v>4932</v>
      </c>
      <c r="L66" s="279"/>
      <c r="M66" s="268">
        <v>1</v>
      </c>
      <c r="N66" s="268" t="b">
        <v>1</v>
      </c>
      <c r="O66" s="268">
        <v>12</v>
      </c>
      <c r="P66" s="281">
        <v>180</v>
      </c>
      <c r="Q66" s="281">
        <v>240</v>
      </c>
      <c r="R66" s="268" t="s">
        <v>3383</v>
      </c>
      <c r="S66" s="268"/>
      <c r="T66" s="268">
        <v>1</v>
      </c>
      <c r="U66" s="268" t="s">
        <v>4880</v>
      </c>
      <c r="V66" s="269">
        <v>5</v>
      </c>
      <c r="W66" s="269"/>
      <c r="X66" s="268" t="s">
        <v>4881</v>
      </c>
      <c r="Y66" t="s">
        <v>6354</v>
      </c>
      <c r="Z66" t="s">
        <v>6355</v>
      </c>
      <c r="AA66" s="268" t="s">
        <v>4884</v>
      </c>
      <c r="AB66" s="268"/>
      <c r="AC66" s="287">
        <v>1</v>
      </c>
      <c r="AD66" s="287">
        <v>1</v>
      </c>
      <c r="AE66" s="268"/>
      <c r="AF66" s="268"/>
      <c r="AG66" s="290"/>
    </row>
    <row r="67" spans="1:33" s="145" customFormat="1" x14ac:dyDescent="0.15">
      <c r="A67" s="270">
        <v>95102036</v>
      </c>
      <c r="B67" t="s">
        <v>6353</v>
      </c>
      <c r="C67" s="268" t="s">
        <v>6316</v>
      </c>
      <c r="D67" s="268">
        <v>5071</v>
      </c>
      <c r="E67" s="268" t="s">
        <v>4876</v>
      </c>
      <c r="F67" s="268" t="s">
        <v>4877</v>
      </c>
      <c r="G67" s="269">
        <v>6</v>
      </c>
      <c r="H67" s="269">
        <v>0</v>
      </c>
      <c r="I67" s="267">
        <v>34</v>
      </c>
      <c r="J67" s="282" t="s">
        <v>4931</v>
      </c>
      <c r="K67" s="279" t="s">
        <v>4932</v>
      </c>
      <c r="L67" s="279"/>
      <c r="M67" s="268">
        <v>1</v>
      </c>
      <c r="N67" s="268" t="b">
        <v>1</v>
      </c>
      <c r="O67" s="268">
        <v>25</v>
      </c>
      <c r="P67" s="281">
        <v>375</v>
      </c>
      <c r="Q67" s="281">
        <v>500</v>
      </c>
      <c r="R67" s="268" t="s">
        <v>3383</v>
      </c>
      <c r="S67" s="268"/>
      <c r="T67" s="268">
        <v>1</v>
      </c>
      <c r="U67" s="268" t="s">
        <v>4880</v>
      </c>
      <c r="V67" s="269">
        <v>7</v>
      </c>
      <c r="W67" s="269"/>
      <c r="X67" s="268" t="s">
        <v>4881</v>
      </c>
      <c r="Y67" t="s">
        <v>6354</v>
      </c>
      <c r="Z67" t="s">
        <v>6355</v>
      </c>
      <c r="AA67" s="268" t="s">
        <v>4884</v>
      </c>
      <c r="AB67" s="268"/>
      <c r="AC67" s="287">
        <v>1</v>
      </c>
      <c r="AD67" s="287">
        <v>1</v>
      </c>
      <c r="AE67" s="268"/>
      <c r="AF67" s="268"/>
      <c r="AG67" s="290"/>
    </row>
    <row r="68" spans="1:33" s="145" customFormat="1" x14ac:dyDescent="0.15">
      <c r="A68" s="270">
        <v>95102037</v>
      </c>
      <c r="B68" t="s">
        <v>6353</v>
      </c>
      <c r="C68" s="268" t="s">
        <v>6316</v>
      </c>
      <c r="D68" s="268">
        <v>5071</v>
      </c>
      <c r="E68" s="268" t="s">
        <v>4876</v>
      </c>
      <c r="F68" s="268" t="s">
        <v>4877</v>
      </c>
      <c r="G68" s="269">
        <v>7</v>
      </c>
      <c r="H68" s="269">
        <v>0</v>
      </c>
      <c r="I68" s="267">
        <v>34</v>
      </c>
      <c r="J68" s="282" t="s">
        <v>4931</v>
      </c>
      <c r="K68" s="279" t="s">
        <v>4932</v>
      </c>
      <c r="L68" s="279"/>
      <c r="M68" s="268">
        <v>1</v>
      </c>
      <c r="N68" s="268" t="b">
        <v>1</v>
      </c>
      <c r="O68" s="268">
        <v>38</v>
      </c>
      <c r="P68" s="281">
        <v>570</v>
      </c>
      <c r="Q68" s="281">
        <v>760</v>
      </c>
      <c r="R68" s="268" t="s">
        <v>3383</v>
      </c>
      <c r="S68" s="268"/>
      <c r="T68" s="268">
        <v>1</v>
      </c>
      <c r="U68" s="268" t="s">
        <v>4880</v>
      </c>
      <c r="V68" s="269">
        <v>10</v>
      </c>
      <c r="W68" s="269"/>
      <c r="X68" s="268" t="s">
        <v>4881</v>
      </c>
      <c r="Y68" t="s">
        <v>6354</v>
      </c>
      <c r="Z68" t="s">
        <v>6355</v>
      </c>
      <c r="AA68" s="268" t="s">
        <v>4884</v>
      </c>
      <c r="AB68" s="268"/>
      <c r="AC68" s="287">
        <v>1</v>
      </c>
      <c r="AD68" s="287">
        <v>1</v>
      </c>
      <c r="AE68" s="268"/>
      <c r="AF68" s="268"/>
      <c r="AG68" s="290"/>
    </row>
    <row r="69" spans="1:33" s="258" customFormat="1" x14ac:dyDescent="0.15">
      <c r="A69" s="271">
        <v>95102038</v>
      </c>
      <c r="B69" t="s">
        <v>6356</v>
      </c>
      <c r="C69" s="268" t="s">
        <v>6316</v>
      </c>
      <c r="D69" s="272">
        <v>5081</v>
      </c>
      <c r="E69" s="272" t="s">
        <v>4876</v>
      </c>
      <c r="F69" s="272" t="s">
        <v>4877</v>
      </c>
      <c r="G69" s="269">
        <v>6</v>
      </c>
      <c r="H69" s="273">
        <v>0</v>
      </c>
      <c r="I69" s="283">
        <v>34</v>
      </c>
      <c r="J69" s="284" t="s">
        <v>4931</v>
      </c>
      <c r="K69" s="285" t="s">
        <v>4932</v>
      </c>
      <c r="L69" s="272" t="s">
        <v>44</v>
      </c>
      <c r="M69" s="272">
        <v>1</v>
      </c>
      <c r="N69" s="272" t="b">
        <v>1</v>
      </c>
      <c r="O69" s="272">
        <v>51</v>
      </c>
      <c r="P69" s="281">
        <v>765</v>
      </c>
      <c r="Q69" s="281">
        <v>1020</v>
      </c>
      <c r="R69" s="272" t="s">
        <v>3383</v>
      </c>
      <c r="S69" s="272"/>
      <c r="T69" s="272">
        <v>1</v>
      </c>
      <c r="U69" s="272" t="s">
        <v>4880</v>
      </c>
      <c r="V69" s="273">
        <v>10</v>
      </c>
      <c r="W69" s="273"/>
      <c r="X69" s="272" t="s">
        <v>4881</v>
      </c>
      <c r="Y69" t="s">
        <v>6354</v>
      </c>
      <c r="Z69" t="s">
        <v>6355</v>
      </c>
      <c r="AA69" s="272" t="s">
        <v>4884</v>
      </c>
      <c r="AB69" s="272"/>
      <c r="AC69" s="289">
        <v>1</v>
      </c>
      <c r="AD69" s="289">
        <v>1</v>
      </c>
      <c r="AE69" s="289"/>
      <c r="AF69" s="272"/>
      <c r="AG69" s="272"/>
    </row>
    <row r="70" spans="1:33" s="258" customFormat="1" x14ac:dyDescent="0.15">
      <c r="A70" s="271">
        <v>95102039</v>
      </c>
      <c r="B70" t="s">
        <v>6357</v>
      </c>
      <c r="C70" s="268" t="s">
        <v>6316</v>
      </c>
      <c r="D70" s="272">
        <v>5081</v>
      </c>
      <c r="E70" s="272" t="s">
        <v>4876</v>
      </c>
      <c r="F70" s="272" t="s">
        <v>4877</v>
      </c>
      <c r="G70" s="269">
        <v>6</v>
      </c>
      <c r="H70" s="273">
        <v>0</v>
      </c>
      <c r="I70" s="283">
        <v>34</v>
      </c>
      <c r="J70" s="284" t="s">
        <v>4931</v>
      </c>
      <c r="K70" s="285" t="s">
        <v>4932</v>
      </c>
      <c r="L70" s="272" t="s">
        <v>4887</v>
      </c>
      <c r="M70" s="272">
        <v>1</v>
      </c>
      <c r="N70" s="272" t="b">
        <v>1</v>
      </c>
      <c r="O70" s="272">
        <v>64</v>
      </c>
      <c r="P70" s="281">
        <v>960</v>
      </c>
      <c r="Q70" s="281">
        <v>1280</v>
      </c>
      <c r="R70" s="272" t="s">
        <v>3383</v>
      </c>
      <c r="S70" s="272"/>
      <c r="T70" s="272">
        <v>1</v>
      </c>
      <c r="U70" s="272" t="s">
        <v>4880</v>
      </c>
      <c r="V70" s="273">
        <v>10</v>
      </c>
      <c r="W70" s="273"/>
      <c r="X70" s="272" t="s">
        <v>4881</v>
      </c>
      <c r="Y70" t="s">
        <v>6354</v>
      </c>
      <c r="Z70" t="s">
        <v>6355</v>
      </c>
      <c r="AA70" s="272" t="s">
        <v>4884</v>
      </c>
      <c r="AB70" s="272"/>
      <c r="AC70" s="289">
        <v>1</v>
      </c>
      <c r="AD70" s="289">
        <v>1</v>
      </c>
      <c r="AE70" s="289"/>
      <c r="AF70" s="272"/>
      <c r="AG70" s="272"/>
    </row>
    <row r="71" spans="1:33" s="258" customFormat="1" x14ac:dyDescent="0.15">
      <c r="A71" s="271">
        <v>95102040</v>
      </c>
      <c r="B71" t="s">
        <v>6358</v>
      </c>
      <c r="C71" s="268" t="s">
        <v>6316</v>
      </c>
      <c r="D71" s="272">
        <v>5081</v>
      </c>
      <c r="E71" s="272" t="s">
        <v>4876</v>
      </c>
      <c r="F71" s="272" t="s">
        <v>4877</v>
      </c>
      <c r="G71" s="269">
        <v>7</v>
      </c>
      <c r="H71" s="273">
        <v>0</v>
      </c>
      <c r="I71" s="283">
        <v>34</v>
      </c>
      <c r="J71" s="284" t="s">
        <v>4931</v>
      </c>
      <c r="K71" s="285" t="s">
        <v>4932</v>
      </c>
      <c r="L71" s="272" t="s">
        <v>4889</v>
      </c>
      <c r="M71" s="272">
        <v>1</v>
      </c>
      <c r="N71" s="272" t="b">
        <v>1</v>
      </c>
      <c r="O71" s="272">
        <v>77</v>
      </c>
      <c r="P71" s="281">
        <v>1155</v>
      </c>
      <c r="Q71" s="281">
        <v>1540</v>
      </c>
      <c r="R71" s="272" t="s">
        <v>3383</v>
      </c>
      <c r="S71" s="272"/>
      <c r="T71" s="272">
        <v>1</v>
      </c>
      <c r="U71" s="272" t="s">
        <v>4880</v>
      </c>
      <c r="V71" s="273">
        <v>10</v>
      </c>
      <c r="W71" s="273"/>
      <c r="X71" s="272" t="s">
        <v>4881</v>
      </c>
      <c r="Y71" t="s">
        <v>6354</v>
      </c>
      <c r="Z71" t="s">
        <v>6355</v>
      </c>
      <c r="AA71" s="272" t="s">
        <v>4884</v>
      </c>
      <c r="AB71" s="272"/>
      <c r="AC71" s="289">
        <v>1</v>
      </c>
      <c r="AD71" s="289">
        <v>1</v>
      </c>
      <c r="AE71" s="289"/>
      <c r="AF71" s="272"/>
      <c r="AG71" s="272"/>
    </row>
    <row r="72" spans="1:33" s="145" customFormat="1" x14ac:dyDescent="0.15">
      <c r="A72" s="267">
        <v>95102051</v>
      </c>
      <c r="B72" t="s">
        <v>6359</v>
      </c>
      <c r="C72" s="268" t="s">
        <v>6316</v>
      </c>
      <c r="D72" s="268">
        <v>5072</v>
      </c>
      <c r="E72" s="268" t="s">
        <v>4876</v>
      </c>
      <c r="F72" s="268" t="s">
        <v>4877</v>
      </c>
      <c r="G72" s="269">
        <v>1</v>
      </c>
      <c r="H72" s="269">
        <v>0</v>
      </c>
      <c r="I72" s="267">
        <v>34</v>
      </c>
      <c r="J72" s="282" t="s">
        <v>4939</v>
      </c>
      <c r="K72" s="279" t="s">
        <v>4940</v>
      </c>
      <c r="L72" s="279"/>
      <c r="M72" s="268">
        <v>1</v>
      </c>
      <c r="N72" s="268" t="b">
        <v>1</v>
      </c>
      <c r="O72" s="268">
        <v>2</v>
      </c>
      <c r="P72" s="281">
        <v>30</v>
      </c>
      <c r="Q72" s="281">
        <v>40</v>
      </c>
      <c r="R72" s="268" t="s">
        <v>3383</v>
      </c>
      <c r="S72" s="268"/>
      <c r="T72" s="268">
        <v>1</v>
      </c>
      <c r="U72" s="268" t="s">
        <v>4880</v>
      </c>
      <c r="V72" s="269">
        <v>1</v>
      </c>
      <c r="W72" s="269"/>
      <c r="X72" s="268" t="s">
        <v>4881</v>
      </c>
      <c r="Y72" t="s">
        <v>6360</v>
      </c>
      <c r="Z72" t="s">
        <v>6361</v>
      </c>
      <c r="AA72" s="268" t="s">
        <v>4884</v>
      </c>
      <c r="AB72" s="268"/>
      <c r="AC72" s="287">
        <v>1</v>
      </c>
      <c r="AD72" s="287">
        <v>1</v>
      </c>
      <c r="AE72" s="268"/>
      <c r="AF72" s="268"/>
      <c r="AG72" s="290"/>
    </row>
    <row r="73" spans="1:33" s="145" customFormat="1" x14ac:dyDescent="0.15">
      <c r="A73" s="267">
        <v>95102052</v>
      </c>
      <c r="B73" t="s">
        <v>6359</v>
      </c>
      <c r="C73" s="268" t="s">
        <v>6316</v>
      </c>
      <c r="D73" s="268">
        <v>5072</v>
      </c>
      <c r="E73" s="268" t="s">
        <v>4876</v>
      </c>
      <c r="F73" s="268" t="s">
        <v>4877</v>
      </c>
      <c r="G73" s="269">
        <v>2</v>
      </c>
      <c r="H73" s="269">
        <v>0</v>
      </c>
      <c r="I73" s="267">
        <v>34</v>
      </c>
      <c r="J73" s="282" t="s">
        <v>4939</v>
      </c>
      <c r="K73" s="279" t="s">
        <v>4940</v>
      </c>
      <c r="L73" s="279"/>
      <c r="M73" s="268">
        <v>1</v>
      </c>
      <c r="N73" s="268" t="b">
        <v>1</v>
      </c>
      <c r="O73" s="268">
        <v>5</v>
      </c>
      <c r="P73" s="281">
        <v>75</v>
      </c>
      <c r="Q73" s="281">
        <v>100</v>
      </c>
      <c r="R73" s="268" t="s">
        <v>3383</v>
      </c>
      <c r="S73" s="268"/>
      <c r="T73" s="268">
        <v>1</v>
      </c>
      <c r="U73" s="268" t="s">
        <v>4880</v>
      </c>
      <c r="V73" s="269">
        <v>2</v>
      </c>
      <c r="W73" s="269"/>
      <c r="X73" s="268" t="s">
        <v>4881</v>
      </c>
      <c r="Y73" t="s">
        <v>6360</v>
      </c>
      <c r="Z73" t="s">
        <v>6361</v>
      </c>
      <c r="AA73" s="268" t="s">
        <v>4884</v>
      </c>
      <c r="AB73" s="268"/>
      <c r="AC73" s="287">
        <v>1</v>
      </c>
      <c r="AD73" s="287">
        <v>1</v>
      </c>
      <c r="AE73" s="268"/>
      <c r="AF73" s="268"/>
      <c r="AG73" s="290"/>
    </row>
    <row r="74" spans="1:33" s="145" customFormat="1" x14ac:dyDescent="0.15">
      <c r="A74" s="267">
        <v>95102053</v>
      </c>
      <c r="B74" t="s">
        <v>6359</v>
      </c>
      <c r="C74" s="268" t="s">
        <v>6316</v>
      </c>
      <c r="D74" s="268">
        <v>5072</v>
      </c>
      <c r="E74" s="268" t="s">
        <v>4876</v>
      </c>
      <c r="F74" s="268" t="s">
        <v>4877</v>
      </c>
      <c r="G74" s="269">
        <v>3</v>
      </c>
      <c r="H74" s="269">
        <v>0</v>
      </c>
      <c r="I74" s="267">
        <v>34</v>
      </c>
      <c r="J74" s="282" t="s">
        <v>4939</v>
      </c>
      <c r="K74" s="279" t="s">
        <v>4940</v>
      </c>
      <c r="L74" s="279"/>
      <c r="M74" s="268">
        <v>1</v>
      </c>
      <c r="N74" s="268" t="b">
        <v>1</v>
      </c>
      <c r="O74" s="268">
        <v>7</v>
      </c>
      <c r="P74" s="281">
        <v>105</v>
      </c>
      <c r="Q74" s="281">
        <v>140</v>
      </c>
      <c r="R74" s="268" t="s">
        <v>3383</v>
      </c>
      <c r="S74" s="268"/>
      <c r="T74" s="268">
        <v>1</v>
      </c>
      <c r="U74" s="268" t="s">
        <v>4880</v>
      </c>
      <c r="V74" s="269">
        <v>3</v>
      </c>
      <c r="W74" s="269"/>
      <c r="X74" s="268" t="s">
        <v>4881</v>
      </c>
      <c r="Y74" t="s">
        <v>6360</v>
      </c>
      <c r="Z74" t="s">
        <v>6361</v>
      </c>
      <c r="AA74" s="268" t="s">
        <v>4884</v>
      </c>
      <c r="AB74" s="268"/>
      <c r="AC74" s="287">
        <v>1</v>
      </c>
      <c r="AD74" s="287">
        <v>1</v>
      </c>
      <c r="AE74" s="268"/>
      <c r="AF74" s="268"/>
      <c r="AG74" s="290"/>
    </row>
    <row r="75" spans="1:33" s="145" customFormat="1" x14ac:dyDescent="0.15">
      <c r="A75" s="267">
        <v>95102054</v>
      </c>
      <c r="B75" t="s">
        <v>6359</v>
      </c>
      <c r="C75" s="268" t="s">
        <v>6316</v>
      </c>
      <c r="D75" s="268">
        <v>5072</v>
      </c>
      <c r="E75" s="268" t="s">
        <v>4876</v>
      </c>
      <c r="F75" s="268" t="s">
        <v>4877</v>
      </c>
      <c r="G75" s="269">
        <v>4</v>
      </c>
      <c r="H75" s="269">
        <v>0</v>
      </c>
      <c r="I75" s="267">
        <v>34</v>
      </c>
      <c r="J75" s="282" t="s">
        <v>4939</v>
      </c>
      <c r="K75" s="279" t="s">
        <v>4940</v>
      </c>
      <c r="L75" s="279"/>
      <c r="M75" s="268">
        <v>1</v>
      </c>
      <c r="N75" s="268" t="b">
        <v>1</v>
      </c>
      <c r="O75" s="268">
        <v>10</v>
      </c>
      <c r="P75" s="281">
        <v>150</v>
      </c>
      <c r="Q75" s="281">
        <v>200</v>
      </c>
      <c r="R75" s="268" t="s">
        <v>3383</v>
      </c>
      <c r="S75" s="268"/>
      <c r="T75" s="268">
        <v>1</v>
      </c>
      <c r="U75" s="268" t="s">
        <v>4880</v>
      </c>
      <c r="V75" s="269">
        <v>4</v>
      </c>
      <c r="W75" s="269"/>
      <c r="X75" s="268" t="s">
        <v>4881</v>
      </c>
      <c r="Y75" t="s">
        <v>6360</v>
      </c>
      <c r="Z75" t="s">
        <v>6361</v>
      </c>
      <c r="AA75" s="268" t="s">
        <v>4884</v>
      </c>
      <c r="AB75" s="268"/>
      <c r="AC75" s="287">
        <v>1</v>
      </c>
      <c r="AD75" s="287">
        <v>1</v>
      </c>
      <c r="AE75" s="268"/>
      <c r="AF75" s="268"/>
      <c r="AG75" s="290"/>
    </row>
    <row r="76" spans="1:33" s="145" customFormat="1" x14ac:dyDescent="0.15">
      <c r="A76" s="267">
        <v>95102055</v>
      </c>
      <c r="B76" t="s">
        <v>6359</v>
      </c>
      <c r="C76" s="268" t="s">
        <v>6316</v>
      </c>
      <c r="D76" s="268">
        <v>5072</v>
      </c>
      <c r="E76" s="268" t="s">
        <v>4876</v>
      </c>
      <c r="F76" s="268" t="s">
        <v>4877</v>
      </c>
      <c r="G76" s="269">
        <v>5</v>
      </c>
      <c r="H76" s="269">
        <v>0</v>
      </c>
      <c r="I76" s="267">
        <v>34</v>
      </c>
      <c r="J76" s="282" t="s">
        <v>4939</v>
      </c>
      <c r="K76" s="279" t="s">
        <v>4940</v>
      </c>
      <c r="L76" s="279"/>
      <c r="M76" s="268">
        <v>1</v>
      </c>
      <c r="N76" s="268" t="b">
        <v>1</v>
      </c>
      <c r="O76" s="268">
        <v>12</v>
      </c>
      <c r="P76" s="281">
        <v>180</v>
      </c>
      <c r="Q76" s="281">
        <v>240</v>
      </c>
      <c r="R76" s="268" t="s">
        <v>3383</v>
      </c>
      <c r="S76" s="268"/>
      <c r="T76" s="268">
        <v>1</v>
      </c>
      <c r="U76" s="268" t="s">
        <v>4880</v>
      </c>
      <c r="V76" s="269">
        <v>5</v>
      </c>
      <c r="W76" s="269"/>
      <c r="X76" s="268" t="s">
        <v>4881</v>
      </c>
      <c r="Y76" t="s">
        <v>6360</v>
      </c>
      <c r="Z76" t="s">
        <v>6361</v>
      </c>
      <c r="AA76" s="268" t="s">
        <v>4884</v>
      </c>
      <c r="AB76" s="268"/>
      <c r="AC76" s="287">
        <v>1</v>
      </c>
      <c r="AD76" s="287">
        <v>1</v>
      </c>
      <c r="AE76" s="268"/>
      <c r="AF76" s="268"/>
      <c r="AG76" s="290"/>
    </row>
    <row r="77" spans="1:33" s="258" customFormat="1" x14ac:dyDescent="0.15">
      <c r="A77" s="270">
        <v>95102056</v>
      </c>
      <c r="B77" t="s">
        <v>6359</v>
      </c>
      <c r="C77" s="268" t="s">
        <v>6316</v>
      </c>
      <c r="D77" s="268">
        <v>5072</v>
      </c>
      <c r="E77" s="268" t="s">
        <v>4876</v>
      </c>
      <c r="F77" s="268" t="s">
        <v>4877</v>
      </c>
      <c r="G77" s="269">
        <v>6</v>
      </c>
      <c r="H77" s="269">
        <v>0</v>
      </c>
      <c r="I77" s="267">
        <v>34</v>
      </c>
      <c r="J77" s="282" t="s">
        <v>4939</v>
      </c>
      <c r="K77" s="279" t="s">
        <v>4940</v>
      </c>
      <c r="L77" s="279"/>
      <c r="M77" s="268">
        <v>1</v>
      </c>
      <c r="N77" s="268" t="b">
        <v>1</v>
      </c>
      <c r="O77" s="268">
        <v>25</v>
      </c>
      <c r="P77" s="281">
        <v>375</v>
      </c>
      <c r="Q77" s="281">
        <v>500</v>
      </c>
      <c r="R77" s="268" t="s">
        <v>3383</v>
      </c>
      <c r="S77" s="268"/>
      <c r="T77" s="268">
        <v>1</v>
      </c>
      <c r="U77" s="268" t="s">
        <v>4880</v>
      </c>
      <c r="V77" s="269">
        <v>7</v>
      </c>
      <c r="W77" s="269"/>
      <c r="X77" s="268" t="s">
        <v>4881</v>
      </c>
      <c r="Y77" t="s">
        <v>6360</v>
      </c>
      <c r="Z77" t="s">
        <v>6361</v>
      </c>
      <c r="AA77" s="268" t="s">
        <v>4884</v>
      </c>
      <c r="AB77" s="268"/>
      <c r="AC77" s="287">
        <v>1</v>
      </c>
      <c r="AD77" s="287">
        <v>1</v>
      </c>
      <c r="AE77" s="268"/>
      <c r="AF77" s="268"/>
      <c r="AG77" s="290"/>
    </row>
    <row r="78" spans="1:33" s="145" customFormat="1" x14ac:dyDescent="0.15">
      <c r="A78" s="270">
        <v>95102057</v>
      </c>
      <c r="B78" t="s">
        <v>6359</v>
      </c>
      <c r="C78" s="268" t="s">
        <v>6316</v>
      </c>
      <c r="D78" s="268">
        <v>5072</v>
      </c>
      <c r="E78" s="268" t="s">
        <v>4876</v>
      </c>
      <c r="F78" s="268" t="s">
        <v>4877</v>
      </c>
      <c r="G78" s="269">
        <v>7</v>
      </c>
      <c r="H78" s="269">
        <v>0</v>
      </c>
      <c r="I78" s="267">
        <v>34</v>
      </c>
      <c r="J78" s="282" t="s">
        <v>4939</v>
      </c>
      <c r="K78" s="279" t="s">
        <v>4940</v>
      </c>
      <c r="L78" s="279"/>
      <c r="M78" s="268">
        <v>1</v>
      </c>
      <c r="N78" s="268" t="b">
        <v>1</v>
      </c>
      <c r="O78" s="268">
        <v>38</v>
      </c>
      <c r="P78" s="281">
        <v>570</v>
      </c>
      <c r="Q78" s="281">
        <v>760</v>
      </c>
      <c r="R78" s="268" t="s">
        <v>3383</v>
      </c>
      <c r="S78" s="268"/>
      <c r="T78" s="268">
        <v>1</v>
      </c>
      <c r="U78" s="268" t="s">
        <v>4880</v>
      </c>
      <c r="V78" s="269">
        <v>10</v>
      </c>
      <c r="W78" s="269"/>
      <c r="X78" s="268" t="s">
        <v>4881</v>
      </c>
      <c r="Y78" t="s">
        <v>6360</v>
      </c>
      <c r="Z78" t="s">
        <v>6361</v>
      </c>
      <c r="AA78" s="268" t="s">
        <v>4884</v>
      </c>
      <c r="AB78" s="268"/>
      <c r="AC78" s="287">
        <v>1</v>
      </c>
      <c r="AD78" s="287">
        <v>1</v>
      </c>
      <c r="AE78" s="268"/>
      <c r="AF78" s="268"/>
      <c r="AG78" s="290"/>
    </row>
    <row r="79" spans="1:33" s="258" customFormat="1" x14ac:dyDescent="0.15">
      <c r="A79" s="271">
        <v>95102058</v>
      </c>
      <c r="B79" t="s">
        <v>6362</v>
      </c>
      <c r="C79" s="268" t="s">
        <v>6316</v>
      </c>
      <c r="D79" s="272">
        <v>5081</v>
      </c>
      <c r="E79" s="272" t="s">
        <v>4876</v>
      </c>
      <c r="F79" s="272" t="s">
        <v>4877</v>
      </c>
      <c r="G79" s="269">
        <v>6</v>
      </c>
      <c r="H79" s="273">
        <v>0</v>
      </c>
      <c r="I79" s="283">
        <v>34</v>
      </c>
      <c r="J79" s="284" t="s">
        <v>4939</v>
      </c>
      <c r="K79" s="285" t="s">
        <v>4940</v>
      </c>
      <c r="L79" s="272" t="s">
        <v>44</v>
      </c>
      <c r="M79" s="272">
        <v>1</v>
      </c>
      <c r="N79" s="272" t="b">
        <v>1</v>
      </c>
      <c r="O79" s="272">
        <v>51</v>
      </c>
      <c r="P79" s="281">
        <v>765</v>
      </c>
      <c r="Q79" s="281">
        <v>1020</v>
      </c>
      <c r="R79" s="272" t="s">
        <v>3383</v>
      </c>
      <c r="S79" s="272"/>
      <c r="T79" s="272">
        <v>1</v>
      </c>
      <c r="U79" s="272" t="s">
        <v>4880</v>
      </c>
      <c r="V79" s="273">
        <v>10</v>
      </c>
      <c r="W79" s="273"/>
      <c r="X79" s="272" t="s">
        <v>4881</v>
      </c>
      <c r="Y79" t="s">
        <v>6360</v>
      </c>
      <c r="Z79" t="s">
        <v>6361</v>
      </c>
      <c r="AA79" s="272" t="s">
        <v>4884</v>
      </c>
      <c r="AB79" s="272"/>
      <c r="AC79" s="289">
        <v>1</v>
      </c>
      <c r="AD79" s="289">
        <v>1</v>
      </c>
      <c r="AE79" s="289"/>
      <c r="AF79" s="272"/>
      <c r="AG79" s="272"/>
    </row>
    <row r="80" spans="1:33" s="258" customFormat="1" x14ac:dyDescent="0.15">
      <c r="A80" s="271">
        <v>95102059</v>
      </c>
      <c r="B80" t="s">
        <v>6363</v>
      </c>
      <c r="C80" s="268" t="s">
        <v>6316</v>
      </c>
      <c r="D80" s="272">
        <v>5081</v>
      </c>
      <c r="E80" s="272" t="s">
        <v>4876</v>
      </c>
      <c r="F80" s="272" t="s">
        <v>4877</v>
      </c>
      <c r="G80" s="269">
        <v>6</v>
      </c>
      <c r="H80" s="273">
        <v>0</v>
      </c>
      <c r="I80" s="283">
        <v>34</v>
      </c>
      <c r="J80" s="284" t="s">
        <v>4939</v>
      </c>
      <c r="K80" s="285" t="s">
        <v>4940</v>
      </c>
      <c r="L80" s="272" t="s">
        <v>4887</v>
      </c>
      <c r="M80" s="272">
        <v>1</v>
      </c>
      <c r="N80" s="272" t="b">
        <v>1</v>
      </c>
      <c r="O80" s="272">
        <v>64</v>
      </c>
      <c r="P80" s="281">
        <v>960</v>
      </c>
      <c r="Q80" s="281">
        <v>1280</v>
      </c>
      <c r="R80" s="272" t="s">
        <v>3383</v>
      </c>
      <c r="S80" s="272"/>
      <c r="T80" s="272">
        <v>1</v>
      </c>
      <c r="U80" s="272" t="s">
        <v>4880</v>
      </c>
      <c r="V80" s="273">
        <v>10</v>
      </c>
      <c r="W80" s="273"/>
      <c r="X80" s="272" t="s">
        <v>4881</v>
      </c>
      <c r="Y80" t="s">
        <v>6360</v>
      </c>
      <c r="Z80" t="s">
        <v>6361</v>
      </c>
      <c r="AA80" s="272" t="s">
        <v>4884</v>
      </c>
      <c r="AB80" s="272"/>
      <c r="AC80" s="289">
        <v>1</v>
      </c>
      <c r="AD80" s="289">
        <v>1</v>
      </c>
      <c r="AE80" s="289"/>
      <c r="AF80" s="272"/>
      <c r="AG80" s="272"/>
    </row>
    <row r="81" spans="1:33" s="258" customFormat="1" x14ac:dyDescent="0.15">
      <c r="A81" s="271">
        <v>95102060</v>
      </c>
      <c r="B81" t="s">
        <v>6364</v>
      </c>
      <c r="C81" s="268" t="s">
        <v>6316</v>
      </c>
      <c r="D81" s="272">
        <v>5081</v>
      </c>
      <c r="E81" s="272" t="s">
        <v>4876</v>
      </c>
      <c r="F81" s="272" t="s">
        <v>4877</v>
      </c>
      <c r="G81" s="269">
        <v>7</v>
      </c>
      <c r="H81" s="273">
        <v>0</v>
      </c>
      <c r="I81" s="283">
        <v>34</v>
      </c>
      <c r="J81" s="284" t="s">
        <v>4939</v>
      </c>
      <c r="K81" s="285" t="s">
        <v>4940</v>
      </c>
      <c r="L81" s="272" t="s">
        <v>4889</v>
      </c>
      <c r="M81" s="272">
        <v>1</v>
      </c>
      <c r="N81" s="272" t="b">
        <v>1</v>
      </c>
      <c r="O81" s="272">
        <v>77</v>
      </c>
      <c r="P81" s="281">
        <v>1155</v>
      </c>
      <c r="Q81" s="281">
        <v>1540</v>
      </c>
      <c r="R81" s="272" t="s">
        <v>3383</v>
      </c>
      <c r="S81" s="272"/>
      <c r="T81" s="272">
        <v>1</v>
      </c>
      <c r="U81" s="272" t="s">
        <v>4880</v>
      </c>
      <c r="V81" s="273">
        <v>10</v>
      </c>
      <c r="W81" s="273"/>
      <c r="X81" s="272" t="s">
        <v>4881</v>
      </c>
      <c r="Y81" t="s">
        <v>6360</v>
      </c>
      <c r="Z81" t="s">
        <v>6361</v>
      </c>
      <c r="AA81" s="272" t="s">
        <v>4884</v>
      </c>
      <c r="AB81" s="272"/>
      <c r="AC81" s="289">
        <v>1</v>
      </c>
      <c r="AD81" s="289">
        <v>1</v>
      </c>
      <c r="AE81" s="289"/>
      <c r="AF81" s="272"/>
      <c r="AG81" s="272"/>
    </row>
    <row r="82" spans="1:33" s="145" customFormat="1" x14ac:dyDescent="0.15">
      <c r="A82" s="267">
        <v>95102061</v>
      </c>
      <c r="B82" t="s">
        <v>6365</v>
      </c>
      <c r="C82" s="268" t="s">
        <v>6316</v>
      </c>
      <c r="D82" s="268">
        <v>5072</v>
      </c>
      <c r="E82" s="268" t="s">
        <v>4876</v>
      </c>
      <c r="F82" s="268" t="s">
        <v>4877</v>
      </c>
      <c r="G82" s="269">
        <v>1</v>
      </c>
      <c r="H82" s="269">
        <v>0</v>
      </c>
      <c r="I82" s="267">
        <v>34</v>
      </c>
      <c r="J82" s="282" t="s">
        <v>4948</v>
      </c>
      <c r="K82" s="279" t="s">
        <v>4949</v>
      </c>
      <c r="L82" s="279"/>
      <c r="M82" s="268">
        <v>1</v>
      </c>
      <c r="N82" s="268" t="b">
        <v>1</v>
      </c>
      <c r="O82" s="268">
        <v>200</v>
      </c>
      <c r="P82" s="281">
        <v>3000</v>
      </c>
      <c r="Q82" s="281">
        <v>4000</v>
      </c>
      <c r="R82" s="268" t="s">
        <v>3383</v>
      </c>
      <c r="S82" s="268"/>
      <c r="T82" s="268">
        <v>1</v>
      </c>
      <c r="U82" s="268" t="s">
        <v>4880</v>
      </c>
      <c r="V82" s="269">
        <v>1</v>
      </c>
      <c r="W82" s="269">
        <v>10024</v>
      </c>
      <c r="X82" s="268" t="s">
        <v>4881</v>
      </c>
      <c r="Y82" t="s">
        <v>6366</v>
      </c>
      <c r="Z82" t="s">
        <v>6367</v>
      </c>
      <c r="AA82" s="268" t="s">
        <v>4884</v>
      </c>
      <c r="AB82" s="268"/>
      <c r="AC82" s="287">
        <v>1</v>
      </c>
      <c r="AD82" s="287">
        <v>1</v>
      </c>
      <c r="AE82" s="268">
        <v>10024</v>
      </c>
      <c r="AF82" s="268" t="s">
        <v>4952</v>
      </c>
      <c r="AG82" s="290"/>
    </row>
    <row r="83" spans="1:33" s="145" customFormat="1" x14ac:dyDescent="0.15">
      <c r="A83" s="267">
        <v>95102062</v>
      </c>
      <c r="B83" t="s">
        <v>6365</v>
      </c>
      <c r="C83" s="268" t="s">
        <v>6316</v>
      </c>
      <c r="D83" s="268">
        <v>5072</v>
      </c>
      <c r="E83" s="268" t="s">
        <v>4876</v>
      </c>
      <c r="F83" s="268" t="s">
        <v>4877</v>
      </c>
      <c r="G83" s="269">
        <v>2</v>
      </c>
      <c r="H83" s="269">
        <v>0</v>
      </c>
      <c r="I83" s="267">
        <v>34</v>
      </c>
      <c r="J83" s="282" t="s">
        <v>4948</v>
      </c>
      <c r="K83" s="279" t="s">
        <v>4949</v>
      </c>
      <c r="L83" s="279"/>
      <c r="M83" s="268">
        <v>1</v>
      </c>
      <c r="N83" s="268" t="b">
        <v>1</v>
      </c>
      <c r="O83" s="268">
        <v>500</v>
      </c>
      <c r="P83" s="281">
        <v>7500</v>
      </c>
      <c r="Q83" s="281">
        <v>10000</v>
      </c>
      <c r="R83" s="268" t="s">
        <v>3383</v>
      </c>
      <c r="S83" s="268"/>
      <c r="T83" s="268">
        <v>1</v>
      </c>
      <c r="U83" s="268" t="s">
        <v>4880</v>
      </c>
      <c r="V83" s="269">
        <v>2</v>
      </c>
      <c r="W83" s="269">
        <v>10024</v>
      </c>
      <c r="X83" s="268" t="s">
        <v>4881</v>
      </c>
      <c r="Y83" t="s">
        <v>6366</v>
      </c>
      <c r="Z83" t="s">
        <v>6367</v>
      </c>
      <c r="AA83" s="268" t="s">
        <v>4884</v>
      </c>
      <c r="AB83" s="268"/>
      <c r="AC83" s="287">
        <v>1</v>
      </c>
      <c r="AD83" s="287">
        <v>1</v>
      </c>
      <c r="AE83" s="268">
        <v>10024</v>
      </c>
      <c r="AF83" s="268" t="s">
        <v>4952</v>
      </c>
      <c r="AG83" s="290"/>
    </row>
    <row r="84" spans="1:33" s="145" customFormat="1" x14ac:dyDescent="0.15">
      <c r="A84" s="267">
        <v>95102063</v>
      </c>
      <c r="B84" t="s">
        <v>6365</v>
      </c>
      <c r="C84" s="268" t="s">
        <v>6316</v>
      </c>
      <c r="D84" s="268">
        <v>5072</v>
      </c>
      <c r="E84" s="268" t="s">
        <v>4876</v>
      </c>
      <c r="F84" s="268" t="s">
        <v>4877</v>
      </c>
      <c r="G84" s="269">
        <v>3</v>
      </c>
      <c r="H84" s="269">
        <v>0</v>
      </c>
      <c r="I84" s="267">
        <v>34</v>
      </c>
      <c r="J84" s="282" t="s">
        <v>4948</v>
      </c>
      <c r="K84" s="279" t="s">
        <v>4949</v>
      </c>
      <c r="L84" s="279"/>
      <c r="M84" s="268">
        <v>1</v>
      </c>
      <c r="N84" s="268" t="b">
        <v>1</v>
      </c>
      <c r="O84" s="268">
        <v>700</v>
      </c>
      <c r="P84" s="281">
        <v>10500</v>
      </c>
      <c r="Q84" s="281">
        <v>14000</v>
      </c>
      <c r="R84" s="268" t="s">
        <v>3383</v>
      </c>
      <c r="S84" s="268"/>
      <c r="T84" s="268">
        <v>1</v>
      </c>
      <c r="U84" s="268" t="s">
        <v>4880</v>
      </c>
      <c r="V84" s="269">
        <v>3</v>
      </c>
      <c r="W84" s="269">
        <v>10024</v>
      </c>
      <c r="X84" s="268" t="s">
        <v>4881</v>
      </c>
      <c r="Y84" t="s">
        <v>6366</v>
      </c>
      <c r="Z84" t="s">
        <v>6367</v>
      </c>
      <c r="AA84" s="268" t="s">
        <v>4884</v>
      </c>
      <c r="AB84" s="268"/>
      <c r="AC84" s="287">
        <v>1</v>
      </c>
      <c r="AD84" s="287">
        <v>1</v>
      </c>
      <c r="AE84" s="268">
        <v>10024</v>
      </c>
      <c r="AF84" s="268" t="s">
        <v>4952</v>
      </c>
      <c r="AG84" s="290"/>
    </row>
    <row r="85" spans="1:33" s="145" customFormat="1" x14ac:dyDescent="0.15">
      <c r="A85" s="267">
        <v>95102064</v>
      </c>
      <c r="B85" t="s">
        <v>6365</v>
      </c>
      <c r="C85" s="268" t="s">
        <v>6316</v>
      </c>
      <c r="D85" s="268">
        <v>5072</v>
      </c>
      <c r="E85" s="268" t="s">
        <v>4876</v>
      </c>
      <c r="F85" s="268" t="s">
        <v>4877</v>
      </c>
      <c r="G85" s="269">
        <v>4</v>
      </c>
      <c r="H85" s="269">
        <v>0</v>
      </c>
      <c r="I85" s="267">
        <v>34</v>
      </c>
      <c r="J85" s="282" t="s">
        <v>4948</v>
      </c>
      <c r="K85" s="279" t="s">
        <v>4949</v>
      </c>
      <c r="L85" s="279"/>
      <c r="M85" s="268">
        <v>1</v>
      </c>
      <c r="N85" s="268" t="b">
        <v>1</v>
      </c>
      <c r="O85" s="268">
        <v>1000</v>
      </c>
      <c r="P85" s="281">
        <v>15000</v>
      </c>
      <c r="Q85" s="281">
        <v>20000</v>
      </c>
      <c r="R85" s="268" t="s">
        <v>3383</v>
      </c>
      <c r="S85" s="268"/>
      <c r="T85" s="268">
        <v>1</v>
      </c>
      <c r="U85" s="268" t="s">
        <v>4880</v>
      </c>
      <c r="V85" s="269">
        <v>4</v>
      </c>
      <c r="W85" s="269">
        <v>10024</v>
      </c>
      <c r="X85" s="268" t="s">
        <v>4881</v>
      </c>
      <c r="Y85" t="s">
        <v>6366</v>
      </c>
      <c r="Z85" t="s">
        <v>6367</v>
      </c>
      <c r="AA85" s="268" t="s">
        <v>4884</v>
      </c>
      <c r="AB85" s="268"/>
      <c r="AC85" s="287">
        <v>1</v>
      </c>
      <c r="AD85" s="287">
        <v>1</v>
      </c>
      <c r="AE85" s="268">
        <v>10024</v>
      </c>
      <c r="AF85" s="268" t="s">
        <v>4952</v>
      </c>
      <c r="AG85" s="290"/>
    </row>
    <row r="86" spans="1:33" s="145" customFormat="1" x14ac:dyDescent="0.15">
      <c r="A86" s="267">
        <v>95102065</v>
      </c>
      <c r="B86" t="s">
        <v>6365</v>
      </c>
      <c r="C86" s="268" t="s">
        <v>6316</v>
      </c>
      <c r="D86" s="268">
        <v>5072</v>
      </c>
      <c r="E86" s="268" t="s">
        <v>4876</v>
      </c>
      <c r="F86" s="268" t="s">
        <v>4877</v>
      </c>
      <c r="G86" s="269">
        <v>5</v>
      </c>
      <c r="H86" s="269">
        <v>0</v>
      </c>
      <c r="I86" s="267">
        <v>34</v>
      </c>
      <c r="J86" s="282" t="s">
        <v>4948</v>
      </c>
      <c r="K86" s="279" t="s">
        <v>4949</v>
      </c>
      <c r="L86" s="279"/>
      <c r="M86" s="268">
        <v>1</v>
      </c>
      <c r="N86" s="268" t="b">
        <v>1</v>
      </c>
      <c r="O86" s="268">
        <v>1200</v>
      </c>
      <c r="P86" s="281">
        <v>18000</v>
      </c>
      <c r="Q86" s="281">
        <v>24000</v>
      </c>
      <c r="R86" s="268" t="s">
        <v>3383</v>
      </c>
      <c r="S86" s="268"/>
      <c r="T86" s="268">
        <v>1</v>
      </c>
      <c r="U86" s="268" t="s">
        <v>4880</v>
      </c>
      <c r="V86" s="269">
        <v>5</v>
      </c>
      <c r="W86" s="269">
        <v>10024</v>
      </c>
      <c r="X86" s="268" t="s">
        <v>4881</v>
      </c>
      <c r="Y86" t="s">
        <v>6366</v>
      </c>
      <c r="Z86" t="s">
        <v>6367</v>
      </c>
      <c r="AA86" s="268" t="s">
        <v>4884</v>
      </c>
      <c r="AB86" s="268"/>
      <c r="AC86" s="287">
        <v>1</v>
      </c>
      <c r="AD86" s="287">
        <v>1</v>
      </c>
      <c r="AE86" s="268">
        <v>10024</v>
      </c>
      <c r="AF86" s="268" t="s">
        <v>4952</v>
      </c>
      <c r="AG86" s="290"/>
    </row>
    <row r="87" spans="1:33" s="145" customFormat="1" x14ac:dyDescent="0.15">
      <c r="A87" s="267">
        <v>95102066</v>
      </c>
      <c r="B87" t="s">
        <v>6365</v>
      </c>
      <c r="C87" s="268" t="s">
        <v>6316</v>
      </c>
      <c r="D87" s="268">
        <v>5072</v>
      </c>
      <c r="E87" s="268" t="s">
        <v>4876</v>
      </c>
      <c r="F87" s="268" t="s">
        <v>4877</v>
      </c>
      <c r="G87" s="269">
        <v>7</v>
      </c>
      <c r="H87" s="269">
        <v>0</v>
      </c>
      <c r="I87" s="267">
        <v>34</v>
      </c>
      <c r="J87" s="282" t="s">
        <v>4948</v>
      </c>
      <c r="K87" s="279" t="s">
        <v>4949</v>
      </c>
      <c r="L87" s="279"/>
      <c r="M87" s="268">
        <v>1</v>
      </c>
      <c r="N87" s="268" t="b">
        <v>1</v>
      </c>
      <c r="O87" s="268">
        <v>3500</v>
      </c>
      <c r="P87" s="281">
        <v>52500</v>
      </c>
      <c r="Q87" s="281">
        <v>70000</v>
      </c>
      <c r="R87" s="268" t="s">
        <v>3383</v>
      </c>
      <c r="S87" s="268"/>
      <c r="T87" s="268">
        <v>1</v>
      </c>
      <c r="U87" s="268" t="s">
        <v>4880</v>
      </c>
      <c r="V87" s="269">
        <v>10</v>
      </c>
      <c r="W87" s="269">
        <v>10024</v>
      </c>
      <c r="X87" s="268" t="s">
        <v>4881</v>
      </c>
      <c r="Y87" t="s">
        <v>6366</v>
      </c>
      <c r="Z87" t="s">
        <v>6367</v>
      </c>
      <c r="AA87" s="268" t="s">
        <v>4884</v>
      </c>
      <c r="AB87" s="268"/>
      <c r="AC87" s="292">
        <v>1</v>
      </c>
      <c r="AD87" s="292">
        <v>1</v>
      </c>
      <c r="AE87" s="268">
        <v>10024</v>
      </c>
      <c r="AF87" s="268" t="s">
        <v>4952</v>
      </c>
      <c r="AG87" s="290"/>
    </row>
    <row r="88" spans="1:33" s="145" customFormat="1" x14ac:dyDescent="0.15">
      <c r="A88" s="270">
        <v>95102067</v>
      </c>
      <c r="B88" t="s">
        <v>6365</v>
      </c>
      <c r="C88" s="268" t="s">
        <v>6316</v>
      </c>
      <c r="D88" s="268">
        <v>5072</v>
      </c>
      <c r="E88" s="268" t="s">
        <v>4876</v>
      </c>
      <c r="F88" s="268" t="s">
        <v>4877</v>
      </c>
      <c r="G88" s="269">
        <v>6</v>
      </c>
      <c r="H88" s="269">
        <v>0</v>
      </c>
      <c r="I88" s="267">
        <v>34</v>
      </c>
      <c r="J88" s="282" t="s">
        <v>4948</v>
      </c>
      <c r="K88" s="279" t="s">
        <v>4949</v>
      </c>
      <c r="L88" s="279"/>
      <c r="M88" s="268">
        <v>1</v>
      </c>
      <c r="N88" s="268" t="b">
        <v>1</v>
      </c>
      <c r="O88" s="268">
        <v>4800</v>
      </c>
      <c r="P88" s="281">
        <v>72000</v>
      </c>
      <c r="Q88" s="281">
        <v>96000</v>
      </c>
      <c r="R88" s="268" t="s">
        <v>3383</v>
      </c>
      <c r="S88" s="268"/>
      <c r="T88" s="268">
        <v>1</v>
      </c>
      <c r="U88" s="268" t="s">
        <v>4880</v>
      </c>
      <c r="V88" s="269">
        <v>7</v>
      </c>
      <c r="W88" s="269">
        <v>10024</v>
      </c>
      <c r="X88" s="268" t="s">
        <v>4881</v>
      </c>
      <c r="Y88" t="s">
        <v>6366</v>
      </c>
      <c r="Z88" t="s">
        <v>6367</v>
      </c>
      <c r="AA88" s="268" t="s">
        <v>4884</v>
      </c>
      <c r="AB88" s="268"/>
      <c r="AC88" s="287">
        <v>1</v>
      </c>
      <c r="AD88" s="287">
        <v>1</v>
      </c>
      <c r="AE88" s="268">
        <v>10024</v>
      </c>
      <c r="AF88" s="268" t="s">
        <v>4952</v>
      </c>
      <c r="AG88" s="290"/>
    </row>
    <row r="89" spans="1:33" s="258" customFormat="1" x14ac:dyDescent="0.15">
      <c r="A89" s="271">
        <v>95102068</v>
      </c>
      <c r="B89" t="s">
        <v>6368</v>
      </c>
      <c r="C89" s="268" t="s">
        <v>6316</v>
      </c>
      <c r="D89" s="272">
        <v>5081</v>
      </c>
      <c r="E89" s="272" t="s">
        <v>4876</v>
      </c>
      <c r="F89" s="272" t="s">
        <v>4877</v>
      </c>
      <c r="G89" s="269">
        <v>6</v>
      </c>
      <c r="H89" s="273">
        <v>0</v>
      </c>
      <c r="I89" s="283">
        <v>34</v>
      </c>
      <c r="J89" s="284" t="s">
        <v>4948</v>
      </c>
      <c r="K89" s="285" t="s">
        <v>4949</v>
      </c>
      <c r="L89" s="272" t="s">
        <v>44</v>
      </c>
      <c r="M89" s="272">
        <v>1</v>
      </c>
      <c r="N89" s="272" t="b">
        <v>1</v>
      </c>
      <c r="O89" s="272">
        <v>3500</v>
      </c>
      <c r="P89" s="281">
        <v>52500</v>
      </c>
      <c r="Q89" s="281">
        <v>70000</v>
      </c>
      <c r="R89" s="272" t="s">
        <v>3383</v>
      </c>
      <c r="S89" s="272"/>
      <c r="T89" s="272">
        <v>1</v>
      </c>
      <c r="U89" s="272" t="s">
        <v>4880</v>
      </c>
      <c r="V89" s="273">
        <v>10</v>
      </c>
      <c r="W89" s="273">
        <v>10024</v>
      </c>
      <c r="X89" s="272" t="s">
        <v>4881</v>
      </c>
      <c r="Y89" t="s">
        <v>6366</v>
      </c>
      <c r="Z89" t="s">
        <v>6367</v>
      </c>
      <c r="AA89" s="272" t="s">
        <v>4884</v>
      </c>
      <c r="AB89" s="272"/>
      <c r="AC89" s="289">
        <v>1</v>
      </c>
      <c r="AD89" s="289">
        <v>1</v>
      </c>
      <c r="AE89" s="289">
        <v>10024</v>
      </c>
      <c r="AF89" s="272" t="s">
        <v>4952</v>
      </c>
      <c r="AG89" s="272"/>
    </row>
    <row r="90" spans="1:33" s="258" customFormat="1" x14ac:dyDescent="0.15">
      <c r="A90" s="271">
        <v>95102069</v>
      </c>
      <c r="B90" t="s">
        <v>6369</v>
      </c>
      <c r="C90" s="268" t="s">
        <v>6316</v>
      </c>
      <c r="D90" s="272">
        <v>5081</v>
      </c>
      <c r="E90" s="272" t="s">
        <v>4876</v>
      </c>
      <c r="F90" s="272" t="s">
        <v>4877</v>
      </c>
      <c r="G90" s="269">
        <v>6</v>
      </c>
      <c r="H90" s="273">
        <v>0</v>
      </c>
      <c r="I90" s="283">
        <v>34</v>
      </c>
      <c r="J90" s="284" t="s">
        <v>4948</v>
      </c>
      <c r="K90" s="285" t="s">
        <v>4949</v>
      </c>
      <c r="L90" s="272" t="s">
        <v>4887</v>
      </c>
      <c r="M90" s="272">
        <v>1</v>
      </c>
      <c r="N90" s="272" t="b">
        <v>1</v>
      </c>
      <c r="O90" s="272">
        <v>3500</v>
      </c>
      <c r="P90" s="281">
        <v>52500</v>
      </c>
      <c r="Q90" s="281">
        <v>70000</v>
      </c>
      <c r="R90" s="272" t="s">
        <v>3383</v>
      </c>
      <c r="S90" s="272"/>
      <c r="T90" s="272">
        <v>1</v>
      </c>
      <c r="U90" s="272" t="s">
        <v>4880</v>
      </c>
      <c r="V90" s="273">
        <v>10</v>
      </c>
      <c r="W90" s="273">
        <v>10024</v>
      </c>
      <c r="X90" s="272" t="s">
        <v>4881</v>
      </c>
      <c r="Y90" t="s">
        <v>6366</v>
      </c>
      <c r="Z90" t="s">
        <v>6367</v>
      </c>
      <c r="AA90" s="272" t="s">
        <v>4884</v>
      </c>
      <c r="AB90" s="272"/>
      <c r="AC90" s="289">
        <v>1</v>
      </c>
      <c r="AD90" s="289">
        <v>1</v>
      </c>
      <c r="AE90" s="289">
        <v>10024</v>
      </c>
      <c r="AF90" s="272" t="s">
        <v>4952</v>
      </c>
      <c r="AG90" s="272"/>
    </row>
    <row r="91" spans="1:33" s="258" customFormat="1" x14ac:dyDescent="0.15">
      <c r="A91" s="271">
        <v>95102070</v>
      </c>
      <c r="B91" t="s">
        <v>6370</v>
      </c>
      <c r="C91" s="268" t="s">
        <v>6316</v>
      </c>
      <c r="D91" s="272">
        <v>5081</v>
      </c>
      <c r="E91" s="272" t="s">
        <v>4876</v>
      </c>
      <c r="F91" s="272" t="s">
        <v>4877</v>
      </c>
      <c r="G91" s="269">
        <v>7</v>
      </c>
      <c r="H91" s="273">
        <v>0</v>
      </c>
      <c r="I91" s="283">
        <v>34</v>
      </c>
      <c r="J91" s="284" t="s">
        <v>4948</v>
      </c>
      <c r="K91" s="285" t="s">
        <v>4949</v>
      </c>
      <c r="L91" s="272" t="s">
        <v>4889</v>
      </c>
      <c r="M91" s="272">
        <v>1</v>
      </c>
      <c r="N91" s="272" t="b">
        <v>1</v>
      </c>
      <c r="O91" s="272">
        <v>4800</v>
      </c>
      <c r="P91" s="281">
        <v>72000</v>
      </c>
      <c r="Q91" s="281">
        <v>96000</v>
      </c>
      <c r="R91" s="272" t="s">
        <v>3383</v>
      </c>
      <c r="S91" s="272"/>
      <c r="T91" s="272">
        <v>1</v>
      </c>
      <c r="U91" s="272" t="s">
        <v>4880</v>
      </c>
      <c r="V91" s="273">
        <v>10</v>
      </c>
      <c r="W91" s="273">
        <v>10024</v>
      </c>
      <c r="X91" s="272" t="s">
        <v>4881</v>
      </c>
      <c r="Y91" t="s">
        <v>6366</v>
      </c>
      <c r="Z91" t="s">
        <v>6367</v>
      </c>
      <c r="AA91" s="272" t="s">
        <v>4884</v>
      </c>
      <c r="AB91" s="272"/>
      <c r="AC91" s="289">
        <v>1</v>
      </c>
      <c r="AD91" s="289">
        <v>1</v>
      </c>
      <c r="AE91" s="289">
        <v>10024</v>
      </c>
      <c r="AF91" s="272" t="s">
        <v>4952</v>
      </c>
      <c r="AG91" s="272"/>
    </row>
    <row r="92" spans="1:33" s="145" customFormat="1" x14ac:dyDescent="0.15">
      <c r="A92" s="267">
        <v>95102071</v>
      </c>
      <c r="B92" t="s">
        <v>6371</v>
      </c>
      <c r="C92" s="268" t="s">
        <v>6316</v>
      </c>
      <c r="D92" s="268">
        <v>5072</v>
      </c>
      <c r="E92" s="268" t="s">
        <v>4876</v>
      </c>
      <c r="F92" s="268" t="s">
        <v>4877</v>
      </c>
      <c r="G92" s="269">
        <v>1</v>
      </c>
      <c r="H92" s="269">
        <v>0</v>
      </c>
      <c r="I92" s="267">
        <v>34</v>
      </c>
      <c r="J92" s="282" t="s">
        <v>4957</v>
      </c>
      <c r="K92" s="279" t="s">
        <v>4958</v>
      </c>
      <c r="L92" s="279"/>
      <c r="M92" s="268">
        <v>1</v>
      </c>
      <c r="N92" s="268" t="b">
        <v>1</v>
      </c>
      <c r="O92" s="268">
        <v>2</v>
      </c>
      <c r="P92" s="281">
        <v>30</v>
      </c>
      <c r="Q92" s="281">
        <v>40</v>
      </c>
      <c r="R92" s="268" t="s">
        <v>3383</v>
      </c>
      <c r="S92" s="268"/>
      <c r="T92" s="268">
        <v>1</v>
      </c>
      <c r="U92" s="268" t="s">
        <v>4880</v>
      </c>
      <c r="V92" s="269">
        <v>1</v>
      </c>
      <c r="W92" s="269"/>
      <c r="X92" s="268" t="s">
        <v>4881</v>
      </c>
      <c r="Y92" t="s">
        <v>6372</v>
      </c>
      <c r="Z92" t="s">
        <v>6373</v>
      </c>
      <c r="AA92" s="268" t="s">
        <v>4884</v>
      </c>
      <c r="AB92" s="268"/>
      <c r="AC92" s="287">
        <v>1</v>
      </c>
      <c r="AD92" s="287">
        <v>1</v>
      </c>
      <c r="AE92" s="268"/>
      <c r="AF92" s="268"/>
      <c r="AG92" s="290"/>
    </row>
    <row r="93" spans="1:33" s="145" customFormat="1" x14ac:dyDescent="0.15">
      <c r="A93" s="267">
        <v>95102072</v>
      </c>
      <c r="B93" t="s">
        <v>6371</v>
      </c>
      <c r="C93" s="268" t="s">
        <v>6316</v>
      </c>
      <c r="D93" s="268">
        <v>5072</v>
      </c>
      <c r="E93" s="268" t="s">
        <v>4876</v>
      </c>
      <c r="F93" s="268" t="s">
        <v>4877</v>
      </c>
      <c r="G93" s="269">
        <v>2</v>
      </c>
      <c r="H93" s="269">
        <v>0</v>
      </c>
      <c r="I93" s="267">
        <v>34</v>
      </c>
      <c r="J93" s="282" t="s">
        <v>4957</v>
      </c>
      <c r="K93" s="279" t="s">
        <v>4958</v>
      </c>
      <c r="L93" s="279"/>
      <c r="M93" s="268">
        <v>1</v>
      </c>
      <c r="N93" s="268" t="b">
        <v>1</v>
      </c>
      <c r="O93" s="268">
        <v>5</v>
      </c>
      <c r="P93" s="281">
        <v>75</v>
      </c>
      <c r="Q93" s="281">
        <v>100</v>
      </c>
      <c r="R93" s="268" t="s">
        <v>3383</v>
      </c>
      <c r="S93" s="268"/>
      <c r="T93" s="268">
        <v>1</v>
      </c>
      <c r="U93" s="268" t="s">
        <v>4880</v>
      </c>
      <c r="V93" s="269">
        <v>2</v>
      </c>
      <c r="W93" s="269"/>
      <c r="X93" s="268" t="s">
        <v>4881</v>
      </c>
      <c r="Y93" t="s">
        <v>6372</v>
      </c>
      <c r="Z93" t="s">
        <v>6373</v>
      </c>
      <c r="AA93" s="268" t="s">
        <v>4884</v>
      </c>
      <c r="AB93" s="268"/>
      <c r="AC93" s="287">
        <v>1</v>
      </c>
      <c r="AD93" s="287">
        <v>1</v>
      </c>
      <c r="AE93" s="268"/>
      <c r="AF93" s="268"/>
      <c r="AG93" s="290"/>
    </row>
    <row r="94" spans="1:33" s="145" customFormat="1" x14ac:dyDescent="0.15">
      <c r="A94" s="267">
        <v>95102073</v>
      </c>
      <c r="B94" t="s">
        <v>6371</v>
      </c>
      <c r="C94" s="268" t="s">
        <v>6316</v>
      </c>
      <c r="D94" s="268">
        <v>5072</v>
      </c>
      <c r="E94" s="268" t="s">
        <v>4876</v>
      </c>
      <c r="F94" s="268" t="s">
        <v>4877</v>
      </c>
      <c r="G94" s="269">
        <v>3</v>
      </c>
      <c r="H94" s="269">
        <v>0</v>
      </c>
      <c r="I94" s="267">
        <v>34</v>
      </c>
      <c r="J94" s="282" t="s">
        <v>4957</v>
      </c>
      <c r="K94" s="279" t="s">
        <v>4958</v>
      </c>
      <c r="L94" s="279"/>
      <c r="M94" s="268">
        <v>1</v>
      </c>
      <c r="N94" s="268" t="b">
        <v>1</v>
      </c>
      <c r="O94" s="268">
        <v>7</v>
      </c>
      <c r="P94" s="281">
        <v>105</v>
      </c>
      <c r="Q94" s="281">
        <v>140</v>
      </c>
      <c r="R94" s="268" t="s">
        <v>3383</v>
      </c>
      <c r="S94" s="268"/>
      <c r="T94" s="268">
        <v>1</v>
      </c>
      <c r="U94" s="268" t="s">
        <v>4880</v>
      </c>
      <c r="V94" s="269">
        <v>3</v>
      </c>
      <c r="W94" s="269"/>
      <c r="X94" s="268" t="s">
        <v>4881</v>
      </c>
      <c r="Y94" t="s">
        <v>6372</v>
      </c>
      <c r="Z94" t="s">
        <v>6373</v>
      </c>
      <c r="AA94" s="268" t="s">
        <v>4884</v>
      </c>
      <c r="AB94" s="268"/>
      <c r="AC94" s="287">
        <v>1</v>
      </c>
      <c r="AD94" s="287">
        <v>1</v>
      </c>
      <c r="AE94" s="268"/>
      <c r="AF94" s="268"/>
      <c r="AG94" s="290"/>
    </row>
    <row r="95" spans="1:33" s="145" customFormat="1" x14ac:dyDescent="0.15">
      <c r="A95" s="267">
        <v>95102074</v>
      </c>
      <c r="B95" t="s">
        <v>6371</v>
      </c>
      <c r="C95" s="268" t="s">
        <v>6316</v>
      </c>
      <c r="D95" s="268">
        <v>5072</v>
      </c>
      <c r="E95" s="268" t="s">
        <v>4876</v>
      </c>
      <c r="F95" s="268" t="s">
        <v>4877</v>
      </c>
      <c r="G95" s="269">
        <v>4</v>
      </c>
      <c r="H95" s="269">
        <v>0</v>
      </c>
      <c r="I95" s="267">
        <v>34</v>
      </c>
      <c r="J95" s="282" t="s">
        <v>4957</v>
      </c>
      <c r="K95" s="279" t="s">
        <v>4958</v>
      </c>
      <c r="L95" s="279"/>
      <c r="M95" s="268">
        <v>1</v>
      </c>
      <c r="N95" s="268" t="b">
        <v>1</v>
      </c>
      <c r="O95" s="268">
        <v>10</v>
      </c>
      <c r="P95" s="281">
        <v>150</v>
      </c>
      <c r="Q95" s="281">
        <v>200</v>
      </c>
      <c r="R95" s="268" t="s">
        <v>3383</v>
      </c>
      <c r="S95" s="268"/>
      <c r="T95" s="268">
        <v>1</v>
      </c>
      <c r="U95" s="268" t="s">
        <v>4880</v>
      </c>
      <c r="V95" s="269">
        <v>4</v>
      </c>
      <c r="W95" s="269"/>
      <c r="X95" s="268" t="s">
        <v>4881</v>
      </c>
      <c r="Y95" t="s">
        <v>6372</v>
      </c>
      <c r="Z95" t="s">
        <v>6373</v>
      </c>
      <c r="AA95" s="268" t="s">
        <v>4884</v>
      </c>
      <c r="AB95" s="268"/>
      <c r="AC95" s="287">
        <v>1</v>
      </c>
      <c r="AD95" s="287">
        <v>1</v>
      </c>
      <c r="AE95" s="268"/>
      <c r="AF95" s="268"/>
      <c r="AG95" s="290"/>
    </row>
    <row r="96" spans="1:33" s="145" customFormat="1" x14ac:dyDescent="0.15">
      <c r="A96" s="267">
        <v>95102075</v>
      </c>
      <c r="B96" t="s">
        <v>6371</v>
      </c>
      <c r="C96" s="268" t="s">
        <v>6316</v>
      </c>
      <c r="D96" s="268">
        <v>5072</v>
      </c>
      <c r="E96" s="268" t="s">
        <v>4876</v>
      </c>
      <c r="F96" s="268" t="s">
        <v>4877</v>
      </c>
      <c r="G96" s="269">
        <v>5</v>
      </c>
      <c r="H96" s="269">
        <v>0</v>
      </c>
      <c r="I96" s="267">
        <v>34</v>
      </c>
      <c r="J96" s="282" t="s">
        <v>4957</v>
      </c>
      <c r="K96" s="279" t="s">
        <v>4958</v>
      </c>
      <c r="L96" s="279"/>
      <c r="M96" s="268">
        <v>1</v>
      </c>
      <c r="N96" s="268" t="b">
        <v>1</v>
      </c>
      <c r="O96" s="268">
        <v>12</v>
      </c>
      <c r="P96" s="281">
        <v>180</v>
      </c>
      <c r="Q96" s="281">
        <v>240</v>
      </c>
      <c r="R96" s="268" t="s">
        <v>3383</v>
      </c>
      <c r="S96" s="268"/>
      <c r="T96" s="268">
        <v>1</v>
      </c>
      <c r="U96" s="268" t="s">
        <v>4880</v>
      </c>
      <c r="V96" s="269">
        <v>5</v>
      </c>
      <c r="W96" s="269"/>
      <c r="X96" s="268" t="s">
        <v>4881</v>
      </c>
      <c r="Y96" t="s">
        <v>6372</v>
      </c>
      <c r="Z96" t="s">
        <v>6373</v>
      </c>
      <c r="AA96" s="268" t="s">
        <v>4884</v>
      </c>
      <c r="AB96" s="268"/>
      <c r="AC96" s="287">
        <v>1</v>
      </c>
      <c r="AD96" s="287">
        <v>1</v>
      </c>
      <c r="AE96" s="268"/>
      <c r="AF96" s="268"/>
      <c r="AG96" s="290"/>
    </row>
    <row r="97" spans="1:33" s="145" customFormat="1" x14ac:dyDescent="0.15">
      <c r="A97" s="267">
        <v>95102076</v>
      </c>
      <c r="B97" t="s">
        <v>6371</v>
      </c>
      <c r="C97" s="268" t="s">
        <v>6316</v>
      </c>
      <c r="D97" s="268">
        <v>5072</v>
      </c>
      <c r="E97" s="268" t="s">
        <v>4876</v>
      </c>
      <c r="F97" s="268" t="s">
        <v>4877</v>
      </c>
      <c r="G97" s="269">
        <v>7</v>
      </c>
      <c r="H97" s="269">
        <v>0</v>
      </c>
      <c r="I97" s="267">
        <v>34</v>
      </c>
      <c r="J97" s="282" t="s">
        <v>4957</v>
      </c>
      <c r="K97" s="279" t="s">
        <v>4958</v>
      </c>
      <c r="L97" s="279"/>
      <c r="M97" s="268">
        <v>1</v>
      </c>
      <c r="N97" s="268" t="b">
        <v>1</v>
      </c>
      <c r="O97" s="268">
        <v>25</v>
      </c>
      <c r="P97" s="281">
        <v>375</v>
      </c>
      <c r="Q97" s="281">
        <v>500</v>
      </c>
      <c r="R97" s="268" t="s">
        <v>3383</v>
      </c>
      <c r="S97" s="268"/>
      <c r="T97" s="268">
        <v>1</v>
      </c>
      <c r="U97" s="268" t="s">
        <v>4880</v>
      </c>
      <c r="V97" s="269">
        <v>10</v>
      </c>
      <c r="W97" s="269"/>
      <c r="X97" s="268" t="s">
        <v>4881</v>
      </c>
      <c r="Y97" t="s">
        <v>6372</v>
      </c>
      <c r="Z97" t="s">
        <v>6373</v>
      </c>
      <c r="AA97" s="268" t="s">
        <v>4884</v>
      </c>
      <c r="AB97" s="268"/>
      <c r="AC97" s="292">
        <v>1</v>
      </c>
      <c r="AD97" s="292">
        <v>1</v>
      </c>
      <c r="AE97" s="268"/>
      <c r="AF97" s="268"/>
      <c r="AG97" s="290"/>
    </row>
    <row r="98" spans="1:33" s="145" customFormat="1" x14ac:dyDescent="0.15">
      <c r="A98" s="270">
        <v>95102077</v>
      </c>
      <c r="B98" t="s">
        <v>6371</v>
      </c>
      <c r="C98" s="268" t="s">
        <v>6316</v>
      </c>
      <c r="D98" s="268">
        <v>5072</v>
      </c>
      <c r="E98" s="268" t="s">
        <v>4876</v>
      </c>
      <c r="F98" s="268" t="s">
        <v>4877</v>
      </c>
      <c r="G98" s="269">
        <v>6</v>
      </c>
      <c r="H98" s="269">
        <v>0</v>
      </c>
      <c r="I98" s="267">
        <v>34</v>
      </c>
      <c r="J98" s="282" t="s">
        <v>4957</v>
      </c>
      <c r="K98" s="279" t="s">
        <v>4958</v>
      </c>
      <c r="L98" s="279"/>
      <c r="M98" s="268">
        <v>1</v>
      </c>
      <c r="N98" s="268" t="b">
        <v>1</v>
      </c>
      <c r="O98" s="268">
        <v>38</v>
      </c>
      <c r="P98" s="281">
        <v>570</v>
      </c>
      <c r="Q98" s="281">
        <v>760</v>
      </c>
      <c r="R98" s="268" t="s">
        <v>3383</v>
      </c>
      <c r="S98" s="268"/>
      <c r="T98" s="268">
        <v>1</v>
      </c>
      <c r="U98" s="268" t="s">
        <v>4880</v>
      </c>
      <c r="V98" s="269">
        <v>7</v>
      </c>
      <c r="W98" s="269"/>
      <c r="X98" s="268" t="s">
        <v>4881</v>
      </c>
      <c r="Y98" t="s">
        <v>6372</v>
      </c>
      <c r="Z98" t="s">
        <v>6373</v>
      </c>
      <c r="AA98" s="268" t="s">
        <v>4884</v>
      </c>
      <c r="AB98" s="268"/>
      <c r="AC98" s="287">
        <v>1</v>
      </c>
      <c r="AD98" s="287">
        <v>1</v>
      </c>
      <c r="AE98" s="268"/>
      <c r="AF98" s="268"/>
      <c r="AG98" s="290"/>
    </row>
    <row r="99" spans="1:33" s="258" customFormat="1" x14ac:dyDescent="0.15">
      <c r="A99" s="271">
        <v>95102078</v>
      </c>
      <c r="B99" t="s">
        <v>6374</v>
      </c>
      <c r="C99" s="268" t="s">
        <v>6316</v>
      </c>
      <c r="D99" s="272">
        <v>5081</v>
      </c>
      <c r="E99" s="272" t="s">
        <v>4876</v>
      </c>
      <c r="F99" s="272" t="s">
        <v>4877</v>
      </c>
      <c r="G99" s="269">
        <v>6</v>
      </c>
      <c r="H99" s="273">
        <v>0</v>
      </c>
      <c r="I99" s="283">
        <v>34</v>
      </c>
      <c r="J99" s="284" t="s">
        <v>4957</v>
      </c>
      <c r="K99" s="285" t="s">
        <v>4958</v>
      </c>
      <c r="L99" s="272" t="s">
        <v>44</v>
      </c>
      <c r="M99" s="272">
        <v>1</v>
      </c>
      <c r="N99" s="272" t="b">
        <v>1</v>
      </c>
      <c r="O99" s="272">
        <v>51</v>
      </c>
      <c r="P99" s="281">
        <v>765</v>
      </c>
      <c r="Q99" s="281">
        <v>1020</v>
      </c>
      <c r="R99" s="272" t="s">
        <v>3383</v>
      </c>
      <c r="S99" s="272"/>
      <c r="T99" s="272">
        <v>1</v>
      </c>
      <c r="U99" s="272" t="s">
        <v>4880</v>
      </c>
      <c r="V99" s="273">
        <v>10</v>
      </c>
      <c r="W99" s="273"/>
      <c r="X99" s="272" t="s">
        <v>4881</v>
      </c>
      <c r="Y99" t="s">
        <v>6372</v>
      </c>
      <c r="Z99" t="s">
        <v>6373</v>
      </c>
      <c r="AA99" s="272" t="s">
        <v>4884</v>
      </c>
      <c r="AB99" s="272"/>
      <c r="AC99" s="289">
        <v>1</v>
      </c>
      <c r="AD99" s="289">
        <v>1</v>
      </c>
      <c r="AE99" s="289"/>
      <c r="AF99" s="272"/>
      <c r="AG99" s="272"/>
    </row>
    <row r="100" spans="1:33" s="258" customFormat="1" x14ac:dyDescent="0.15">
      <c r="A100" s="271">
        <v>95102079</v>
      </c>
      <c r="B100" t="s">
        <v>6375</v>
      </c>
      <c r="C100" s="268" t="s">
        <v>6316</v>
      </c>
      <c r="D100" s="272">
        <v>5081</v>
      </c>
      <c r="E100" s="272" t="s">
        <v>4876</v>
      </c>
      <c r="F100" s="272" t="s">
        <v>4877</v>
      </c>
      <c r="G100" s="269">
        <v>6</v>
      </c>
      <c r="H100" s="273">
        <v>0</v>
      </c>
      <c r="I100" s="283">
        <v>34</v>
      </c>
      <c r="J100" s="284" t="s">
        <v>4957</v>
      </c>
      <c r="K100" s="285" t="s">
        <v>4958</v>
      </c>
      <c r="L100" s="272" t="s">
        <v>4887</v>
      </c>
      <c r="M100" s="272">
        <v>1</v>
      </c>
      <c r="N100" s="272" t="b">
        <v>1</v>
      </c>
      <c r="O100" s="272">
        <v>64</v>
      </c>
      <c r="P100" s="281">
        <v>960</v>
      </c>
      <c r="Q100" s="281">
        <v>1280</v>
      </c>
      <c r="R100" s="272" t="s">
        <v>3383</v>
      </c>
      <c r="S100" s="272"/>
      <c r="T100" s="272">
        <v>1</v>
      </c>
      <c r="U100" s="272" t="s">
        <v>4880</v>
      </c>
      <c r="V100" s="273">
        <v>10</v>
      </c>
      <c r="W100" s="273"/>
      <c r="X100" s="272" t="s">
        <v>4881</v>
      </c>
      <c r="Y100" t="s">
        <v>6372</v>
      </c>
      <c r="Z100" t="s">
        <v>6373</v>
      </c>
      <c r="AA100" s="272" t="s">
        <v>4884</v>
      </c>
      <c r="AB100" s="272"/>
      <c r="AC100" s="289">
        <v>1</v>
      </c>
      <c r="AD100" s="289">
        <v>1</v>
      </c>
      <c r="AE100" s="289"/>
      <c r="AF100" s="272"/>
      <c r="AG100" s="272"/>
    </row>
    <row r="101" spans="1:33" s="258" customFormat="1" x14ac:dyDescent="0.15">
      <c r="A101" s="271">
        <v>95102080</v>
      </c>
      <c r="B101" t="s">
        <v>6376</v>
      </c>
      <c r="C101" s="268" t="s">
        <v>6316</v>
      </c>
      <c r="D101" s="272">
        <v>5081</v>
      </c>
      <c r="E101" s="272" t="s">
        <v>4876</v>
      </c>
      <c r="F101" s="272" t="s">
        <v>4877</v>
      </c>
      <c r="G101" s="269">
        <v>7</v>
      </c>
      <c r="H101" s="273">
        <v>0</v>
      </c>
      <c r="I101" s="283">
        <v>34</v>
      </c>
      <c r="J101" s="284" t="s">
        <v>4957</v>
      </c>
      <c r="K101" s="285" t="s">
        <v>4958</v>
      </c>
      <c r="L101" s="272" t="s">
        <v>4889</v>
      </c>
      <c r="M101" s="272">
        <v>1</v>
      </c>
      <c r="N101" s="272" t="b">
        <v>1</v>
      </c>
      <c r="O101" s="272">
        <v>77</v>
      </c>
      <c r="P101" s="281">
        <v>1155</v>
      </c>
      <c r="Q101" s="281">
        <v>1540</v>
      </c>
      <c r="R101" s="272" t="s">
        <v>3383</v>
      </c>
      <c r="S101" s="272"/>
      <c r="T101" s="272">
        <v>1</v>
      </c>
      <c r="U101" s="272" t="s">
        <v>4880</v>
      </c>
      <c r="V101" s="273">
        <v>10</v>
      </c>
      <c r="W101" s="273"/>
      <c r="X101" s="272" t="s">
        <v>4881</v>
      </c>
      <c r="Y101" t="s">
        <v>6372</v>
      </c>
      <c r="Z101" t="s">
        <v>6373</v>
      </c>
      <c r="AA101" s="272" t="s">
        <v>4884</v>
      </c>
      <c r="AB101" s="272"/>
      <c r="AC101" s="289">
        <v>1</v>
      </c>
      <c r="AD101" s="289">
        <v>1</v>
      </c>
      <c r="AE101" s="289"/>
      <c r="AF101" s="272"/>
      <c r="AG101" s="272"/>
    </row>
    <row r="102" spans="1:33" s="145" customFormat="1" x14ac:dyDescent="0.15">
      <c r="A102" s="267">
        <v>95103011</v>
      </c>
      <c r="B102" t="s">
        <v>6377</v>
      </c>
      <c r="C102" s="268" t="s">
        <v>6316</v>
      </c>
      <c r="D102" s="268">
        <v>5061</v>
      </c>
      <c r="E102" s="268" t="s">
        <v>4876</v>
      </c>
      <c r="F102" s="268" t="s">
        <v>4877</v>
      </c>
      <c r="G102" s="269">
        <v>1</v>
      </c>
      <c r="H102" s="269">
        <v>0</v>
      </c>
      <c r="I102" s="267">
        <v>34</v>
      </c>
      <c r="J102" s="282" t="s">
        <v>4965</v>
      </c>
      <c r="K102" s="279" t="s">
        <v>4966</v>
      </c>
      <c r="L102" s="279"/>
      <c r="M102" s="268">
        <v>1</v>
      </c>
      <c r="N102" s="268" t="b">
        <v>1</v>
      </c>
      <c r="O102" s="268">
        <v>2</v>
      </c>
      <c r="P102" s="281">
        <v>30</v>
      </c>
      <c r="Q102" s="281">
        <v>40</v>
      </c>
      <c r="R102" s="268" t="s">
        <v>3383</v>
      </c>
      <c r="S102" s="268"/>
      <c r="T102" s="268">
        <v>1</v>
      </c>
      <c r="U102" s="268" t="s">
        <v>4880</v>
      </c>
      <c r="V102" s="269">
        <v>1</v>
      </c>
      <c r="W102" s="269"/>
      <c r="X102" s="268" t="s">
        <v>4881</v>
      </c>
      <c r="Y102" t="s">
        <v>6378</v>
      </c>
      <c r="Z102" t="s">
        <v>6379</v>
      </c>
      <c r="AA102" s="268" t="s">
        <v>4884</v>
      </c>
      <c r="AB102" s="268"/>
      <c r="AC102" s="287">
        <v>1</v>
      </c>
      <c r="AD102" s="287">
        <v>1</v>
      </c>
      <c r="AE102" s="268"/>
      <c r="AF102" s="268"/>
      <c r="AG102" s="290"/>
    </row>
    <row r="103" spans="1:33" s="145" customFormat="1" x14ac:dyDescent="0.15">
      <c r="A103" s="267">
        <v>95103012</v>
      </c>
      <c r="B103" t="s">
        <v>6377</v>
      </c>
      <c r="C103" s="268" t="s">
        <v>6316</v>
      </c>
      <c r="D103" s="268">
        <v>5061</v>
      </c>
      <c r="E103" s="268" t="s">
        <v>4876</v>
      </c>
      <c r="F103" s="268" t="s">
        <v>4877</v>
      </c>
      <c r="G103" s="269">
        <v>2</v>
      </c>
      <c r="H103" s="269">
        <v>0</v>
      </c>
      <c r="I103" s="267">
        <v>34</v>
      </c>
      <c r="J103" s="282" t="s">
        <v>4965</v>
      </c>
      <c r="K103" s="279" t="s">
        <v>4966</v>
      </c>
      <c r="L103" s="279"/>
      <c r="M103" s="268">
        <v>1</v>
      </c>
      <c r="N103" s="268" t="b">
        <v>1</v>
      </c>
      <c r="O103" s="268">
        <v>5</v>
      </c>
      <c r="P103" s="281">
        <v>75</v>
      </c>
      <c r="Q103" s="281">
        <v>100</v>
      </c>
      <c r="R103" s="268" t="s">
        <v>3383</v>
      </c>
      <c r="S103" s="268"/>
      <c r="T103" s="268">
        <v>1</v>
      </c>
      <c r="U103" s="268" t="s">
        <v>4880</v>
      </c>
      <c r="V103" s="269">
        <v>2</v>
      </c>
      <c r="W103" s="269"/>
      <c r="X103" s="268" t="s">
        <v>4881</v>
      </c>
      <c r="Y103" t="s">
        <v>6378</v>
      </c>
      <c r="Z103" t="s">
        <v>6379</v>
      </c>
      <c r="AA103" s="268" t="s">
        <v>4884</v>
      </c>
      <c r="AB103" s="268"/>
      <c r="AC103" s="287">
        <v>1</v>
      </c>
      <c r="AD103" s="287">
        <v>1</v>
      </c>
      <c r="AE103" s="268"/>
      <c r="AF103" s="268"/>
      <c r="AG103" s="290"/>
    </row>
    <row r="104" spans="1:33" s="145" customFormat="1" x14ac:dyDescent="0.15">
      <c r="A104" s="267">
        <v>95103013</v>
      </c>
      <c r="B104" t="s">
        <v>6377</v>
      </c>
      <c r="C104" s="268" t="s">
        <v>6316</v>
      </c>
      <c r="D104" s="268">
        <v>5061</v>
      </c>
      <c r="E104" s="268" t="s">
        <v>4876</v>
      </c>
      <c r="F104" s="268" t="s">
        <v>4877</v>
      </c>
      <c r="G104" s="269">
        <v>3</v>
      </c>
      <c r="H104" s="269">
        <v>0</v>
      </c>
      <c r="I104" s="267">
        <v>34</v>
      </c>
      <c r="J104" s="282" t="s">
        <v>4965</v>
      </c>
      <c r="K104" s="279" t="s">
        <v>4966</v>
      </c>
      <c r="L104" s="279"/>
      <c r="M104" s="268">
        <v>1</v>
      </c>
      <c r="N104" s="268" t="b">
        <v>1</v>
      </c>
      <c r="O104" s="268">
        <v>7</v>
      </c>
      <c r="P104" s="281">
        <v>105</v>
      </c>
      <c r="Q104" s="281">
        <v>140</v>
      </c>
      <c r="R104" s="268" t="s">
        <v>3383</v>
      </c>
      <c r="S104" s="268"/>
      <c r="T104" s="268">
        <v>1</v>
      </c>
      <c r="U104" s="268" t="s">
        <v>4880</v>
      </c>
      <c r="V104" s="269">
        <v>3</v>
      </c>
      <c r="W104" s="269"/>
      <c r="X104" s="268" t="s">
        <v>4881</v>
      </c>
      <c r="Y104" t="s">
        <v>6378</v>
      </c>
      <c r="Z104" t="s">
        <v>6379</v>
      </c>
      <c r="AA104" s="268" t="s">
        <v>4884</v>
      </c>
      <c r="AB104" s="268"/>
      <c r="AC104" s="287">
        <v>1</v>
      </c>
      <c r="AD104" s="287">
        <v>1</v>
      </c>
      <c r="AE104" s="268"/>
      <c r="AF104" s="268"/>
      <c r="AG104" s="290"/>
    </row>
    <row r="105" spans="1:33" s="145" customFormat="1" x14ac:dyDescent="0.15">
      <c r="A105" s="267">
        <v>95103014</v>
      </c>
      <c r="B105" t="s">
        <v>6377</v>
      </c>
      <c r="C105" s="268" t="s">
        <v>6316</v>
      </c>
      <c r="D105" s="268">
        <v>5061</v>
      </c>
      <c r="E105" s="268" t="s">
        <v>4876</v>
      </c>
      <c r="F105" s="268" t="s">
        <v>4877</v>
      </c>
      <c r="G105" s="269">
        <v>4</v>
      </c>
      <c r="H105" s="269">
        <v>0</v>
      </c>
      <c r="I105" s="267">
        <v>34</v>
      </c>
      <c r="J105" s="282" t="s">
        <v>4965</v>
      </c>
      <c r="K105" s="279" t="s">
        <v>4966</v>
      </c>
      <c r="L105" s="279"/>
      <c r="M105" s="268">
        <v>1</v>
      </c>
      <c r="N105" s="268" t="b">
        <v>1</v>
      </c>
      <c r="O105" s="268">
        <v>10</v>
      </c>
      <c r="P105" s="281">
        <v>150</v>
      </c>
      <c r="Q105" s="281">
        <v>200</v>
      </c>
      <c r="R105" s="268" t="s">
        <v>3383</v>
      </c>
      <c r="S105" s="268"/>
      <c r="T105" s="268">
        <v>1</v>
      </c>
      <c r="U105" s="268" t="s">
        <v>4880</v>
      </c>
      <c r="V105" s="269">
        <v>4</v>
      </c>
      <c r="W105" s="269"/>
      <c r="X105" s="268" t="s">
        <v>4881</v>
      </c>
      <c r="Y105" t="s">
        <v>6378</v>
      </c>
      <c r="Z105" t="s">
        <v>6379</v>
      </c>
      <c r="AA105" s="268" t="s">
        <v>4884</v>
      </c>
      <c r="AB105" s="268"/>
      <c r="AC105" s="287">
        <v>1</v>
      </c>
      <c r="AD105" s="287">
        <v>1</v>
      </c>
      <c r="AE105" s="268"/>
      <c r="AF105" s="268"/>
      <c r="AG105" s="290"/>
    </row>
    <row r="106" spans="1:33" s="145" customFormat="1" x14ac:dyDescent="0.15">
      <c r="A106" s="267">
        <v>95103015</v>
      </c>
      <c r="B106" t="s">
        <v>6377</v>
      </c>
      <c r="C106" s="268" t="s">
        <v>6316</v>
      </c>
      <c r="D106" s="268">
        <v>5061</v>
      </c>
      <c r="E106" s="268" t="s">
        <v>4876</v>
      </c>
      <c r="F106" s="268" t="s">
        <v>4877</v>
      </c>
      <c r="G106" s="269">
        <v>5</v>
      </c>
      <c r="H106" s="269">
        <v>0</v>
      </c>
      <c r="I106" s="267">
        <v>34</v>
      </c>
      <c r="J106" s="282" t="s">
        <v>4965</v>
      </c>
      <c r="K106" s="279" t="s">
        <v>4966</v>
      </c>
      <c r="L106" s="279"/>
      <c r="M106" s="268">
        <v>1</v>
      </c>
      <c r="N106" s="268" t="b">
        <v>1</v>
      </c>
      <c r="O106" s="268">
        <v>12</v>
      </c>
      <c r="P106" s="281">
        <v>180</v>
      </c>
      <c r="Q106" s="281">
        <v>240</v>
      </c>
      <c r="R106" s="268" t="s">
        <v>3383</v>
      </c>
      <c r="S106" s="268"/>
      <c r="T106" s="268">
        <v>1</v>
      </c>
      <c r="U106" s="268" t="s">
        <v>4880</v>
      </c>
      <c r="V106" s="269">
        <v>5</v>
      </c>
      <c r="W106" s="269"/>
      <c r="X106" s="268" t="s">
        <v>4881</v>
      </c>
      <c r="Y106" t="s">
        <v>6378</v>
      </c>
      <c r="Z106" t="s">
        <v>6379</v>
      </c>
      <c r="AA106" s="268" t="s">
        <v>4884</v>
      </c>
      <c r="AB106" s="268"/>
      <c r="AC106" s="287">
        <v>1</v>
      </c>
      <c r="AD106" s="287">
        <v>1</v>
      </c>
      <c r="AE106" s="268"/>
      <c r="AF106" s="268"/>
      <c r="AG106" s="290"/>
    </row>
    <row r="107" spans="1:33" s="145" customFormat="1" x14ac:dyDescent="0.15">
      <c r="A107" s="270">
        <v>95103016</v>
      </c>
      <c r="B107" t="s">
        <v>6377</v>
      </c>
      <c r="C107" s="268" t="s">
        <v>6316</v>
      </c>
      <c r="D107" s="268">
        <v>5061</v>
      </c>
      <c r="E107" s="268" t="s">
        <v>4876</v>
      </c>
      <c r="F107" s="268" t="s">
        <v>4877</v>
      </c>
      <c r="G107" s="269">
        <v>6</v>
      </c>
      <c r="H107" s="269">
        <v>0</v>
      </c>
      <c r="I107" s="267">
        <v>34</v>
      </c>
      <c r="J107" s="282" t="s">
        <v>4965</v>
      </c>
      <c r="K107" s="279" t="s">
        <v>4966</v>
      </c>
      <c r="L107" s="279"/>
      <c r="M107" s="268">
        <v>1</v>
      </c>
      <c r="N107" s="268" t="b">
        <v>1</v>
      </c>
      <c r="O107" s="268">
        <v>25</v>
      </c>
      <c r="P107" s="281">
        <v>375</v>
      </c>
      <c r="Q107" s="281">
        <v>500</v>
      </c>
      <c r="R107" s="268" t="s">
        <v>3383</v>
      </c>
      <c r="S107" s="268"/>
      <c r="T107" s="268">
        <v>1</v>
      </c>
      <c r="U107" s="268" t="s">
        <v>4880</v>
      </c>
      <c r="V107" s="269">
        <v>7</v>
      </c>
      <c r="W107" s="269"/>
      <c r="X107" s="268" t="s">
        <v>4881</v>
      </c>
      <c r="Y107" t="s">
        <v>6378</v>
      </c>
      <c r="Z107" t="s">
        <v>6379</v>
      </c>
      <c r="AA107" s="268" t="s">
        <v>4884</v>
      </c>
      <c r="AB107" s="268"/>
      <c r="AC107" s="287">
        <v>1</v>
      </c>
      <c r="AD107" s="287">
        <v>1</v>
      </c>
      <c r="AE107" s="268"/>
      <c r="AF107" s="268"/>
      <c r="AG107" s="290"/>
    </row>
    <row r="108" spans="1:33" s="145" customFormat="1" x14ac:dyDescent="0.15">
      <c r="A108" s="270">
        <v>95103017</v>
      </c>
      <c r="B108" t="s">
        <v>6377</v>
      </c>
      <c r="C108" s="268" t="s">
        <v>6316</v>
      </c>
      <c r="D108" s="268">
        <v>5061</v>
      </c>
      <c r="E108" s="268" t="s">
        <v>4876</v>
      </c>
      <c r="F108" s="268" t="s">
        <v>4877</v>
      </c>
      <c r="G108" s="269">
        <v>7</v>
      </c>
      <c r="H108" s="269">
        <v>0</v>
      </c>
      <c r="I108" s="267">
        <v>34</v>
      </c>
      <c r="J108" s="282" t="s">
        <v>4965</v>
      </c>
      <c r="K108" s="279" t="s">
        <v>4966</v>
      </c>
      <c r="L108" s="279"/>
      <c r="M108" s="268">
        <v>1</v>
      </c>
      <c r="N108" s="268" t="b">
        <v>1</v>
      </c>
      <c r="O108" s="268">
        <v>38</v>
      </c>
      <c r="P108" s="281">
        <v>570</v>
      </c>
      <c r="Q108" s="281">
        <v>760</v>
      </c>
      <c r="R108" s="268" t="s">
        <v>3383</v>
      </c>
      <c r="S108" s="268"/>
      <c r="T108" s="268">
        <v>1</v>
      </c>
      <c r="U108" s="268" t="s">
        <v>4880</v>
      </c>
      <c r="V108" s="269">
        <v>10</v>
      </c>
      <c r="W108" s="269"/>
      <c r="X108" s="268" t="s">
        <v>4881</v>
      </c>
      <c r="Y108" t="s">
        <v>6378</v>
      </c>
      <c r="Z108" t="s">
        <v>6379</v>
      </c>
      <c r="AA108" s="268" t="s">
        <v>4884</v>
      </c>
      <c r="AB108" s="268"/>
      <c r="AC108" s="287">
        <v>1</v>
      </c>
      <c r="AD108" s="287">
        <v>1</v>
      </c>
      <c r="AE108" s="268"/>
      <c r="AF108" s="268"/>
      <c r="AG108" s="290"/>
    </row>
    <row r="109" spans="1:33" s="258" customFormat="1" x14ac:dyDescent="0.15">
      <c r="A109" s="271">
        <v>95103018</v>
      </c>
      <c r="B109" t="s">
        <v>6380</v>
      </c>
      <c r="C109" s="268" t="s">
        <v>6316</v>
      </c>
      <c r="D109" s="272">
        <v>5081</v>
      </c>
      <c r="E109" s="272" t="s">
        <v>4876</v>
      </c>
      <c r="F109" s="272" t="s">
        <v>4877</v>
      </c>
      <c r="G109" s="269">
        <v>6</v>
      </c>
      <c r="H109" s="273">
        <v>1</v>
      </c>
      <c r="I109" s="283">
        <v>34</v>
      </c>
      <c r="J109" s="284" t="s">
        <v>4965</v>
      </c>
      <c r="K109" s="285" t="s">
        <v>4966</v>
      </c>
      <c r="L109" s="272" t="s">
        <v>44</v>
      </c>
      <c r="M109" s="272">
        <v>1</v>
      </c>
      <c r="N109" s="272" t="b">
        <v>1</v>
      </c>
      <c r="O109" s="272">
        <v>51</v>
      </c>
      <c r="P109" s="281">
        <v>765</v>
      </c>
      <c r="Q109" s="281">
        <v>1020</v>
      </c>
      <c r="R109" s="272" t="s">
        <v>3383</v>
      </c>
      <c r="S109" s="272"/>
      <c r="T109" s="272">
        <v>1</v>
      </c>
      <c r="U109" s="272" t="s">
        <v>4880</v>
      </c>
      <c r="V109" s="273">
        <v>10</v>
      </c>
      <c r="W109" s="273"/>
      <c r="X109" s="272" t="s">
        <v>4881</v>
      </c>
      <c r="Y109" t="s">
        <v>6378</v>
      </c>
      <c r="Z109" t="s">
        <v>6379</v>
      </c>
      <c r="AA109" s="272" t="s">
        <v>4884</v>
      </c>
      <c r="AB109" s="272"/>
      <c r="AC109" s="289">
        <v>1</v>
      </c>
      <c r="AD109" s="289">
        <v>1</v>
      </c>
      <c r="AE109" s="289"/>
      <c r="AF109" s="272"/>
      <c r="AG109" s="272"/>
    </row>
    <row r="110" spans="1:33" s="258" customFormat="1" x14ac:dyDescent="0.15">
      <c r="A110" s="271">
        <v>95103019</v>
      </c>
      <c r="B110" t="s">
        <v>6381</v>
      </c>
      <c r="C110" s="268" t="s">
        <v>6316</v>
      </c>
      <c r="D110" s="272">
        <v>5081</v>
      </c>
      <c r="E110" s="272" t="s">
        <v>4876</v>
      </c>
      <c r="F110" s="272" t="s">
        <v>4877</v>
      </c>
      <c r="G110" s="269">
        <v>6</v>
      </c>
      <c r="H110" s="273">
        <v>1</v>
      </c>
      <c r="I110" s="283">
        <v>34</v>
      </c>
      <c r="J110" s="284" t="s">
        <v>4965</v>
      </c>
      <c r="K110" s="285" t="s">
        <v>4966</v>
      </c>
      <c r="L110" s="272" t="s">
        <v>4887</v>
      </c>
      <c r="M110" s="272">
        <v>1</v>
      </c>
      <c r="N110" s="272" t="b">
        <v>1</v>
      </c>
      <c r="O110" s="272">
        <v>64</v>
      </c>
      <c r="P110" s="281">
        <v>960</v>
      </c>
      <c r="Q110" s="281">
        <v>1280</v>
      </c>
      <c r="R110" s="272" t="s">
        <v>3383</v>
      </c>
      <c r="S110" s="272"/>
      <c r="T110" s="272">
        <v>1</v>
      </c>
      <c r="U110" s="272" t="s">
        <v>4880</v>
      </c>
      <c r="V110" s="273">
        <v>10</v>
      </c>
      <c r="W110" s="273"/>
      <c r="X110" s="272" t="s">
        <v>4881</v>
      </c>
      <c r="Y110" t="s">
        <v>6378</v>
      </c>
      <c r="Z110" t="s">
        <v>6379</v>
      </c>
      <c r="AA110" s="272" t="s">
        <v>4884</v>
      </c>
      <c r="AB110" s="272"/>
      <c r="AC110" s="289">
        <v>1</v>
      </c>
      <c r="AD110" s="289">
        <v>1</v>
      </c>
      <c r="AE110" s="289"/>
      <c r="AF110" s="272"/>
      <c r="AG110" s="272"/>
    </row>
    <row r="111" spans="1:33" s="258" customFormat="1" x14ac:dyDescent="0.15">
      <c r="A111" s="271">
        <v>95103020</v>
      </c>
      <c r="B111" t="s">
        <v>6382</v>
      </c>
      <c r="C111" s="268" t="s">
        <v>6316</v>
      </c>
      <c r="D111" s="272">
        <v>5081</v>
      </c>
      <c r="E111" s="272" t="s">
        <v>4876</v>
      </c>
      <c r="F111" s="272" t="s">
        <v>4877</v>
      </c>
      <c r="G111" s="269">
        <v>7</v>
      </c>
      <c r="H111" s="273">
        <v>0</v>
      </c>
      <c r="I111" s="283">
        <v>34</v>
      </c>
      <c r="J111" s="284" t="s">
        <v>4965</v>
      </c>
      <c r="K111" s="285" t="s">
        <v>4966</v>
      </c>
      <c r="L111" s="272" t="s">
        <v>4889</v>
      </c>
      <c r="M111" s="272">
        <v>1</v>
      </c>
      <c r="N111" s="272" t="b">
        <v>1</v>
      </c>
      <c r="O111" s="272">
        <v>77</v>
      </c>
      <c r="P111" s="281">
        <v>1155</v>
      </c>
      <c r="Q111" s="281">
        <v>1540</v>
      </c>
      <c r="R111" s="272" t="s">
        <v>3383</v>
      </c>
      <c r="S111" s="272"/>
      <c r="T111" s="272">
        <v>1</v>
      </c>
      <c r="U111" s="272" t="s">
        <v>4880</v>
      </c>
      <c r="V111" s="273">
        <v>10</v>
      </c>
      <c r="W111" s="273"/>
      <c r="X111" s="272" t="s">
        <v>4881</v>
      </c>
      <c r="Y111" t="s">
        <v>6378</v>
      </c>
      <c r="Z111" t="s">
        <v>6379</v>
      </c>
      <c r="AA111" s="272" t="s">
        <v>4884</v>
      </c>
      <c r="AB111" s="272"/>
      <c r="AC111" s="289">
        <v>1</v>
      </c>
      <c r="AD111" s="289">
        <v>1</v>
      </c>
      <c r="AE111" s="289"/>
      <c r="AF111" s="272"/>
      <c r="AG111" s="272"/>
    </row>
    <row r="112" spans="1:33" s="145" customFormat="1" x14ac:dyDescent="0.15">
      <c r="A112" s="267">
        <v>95103021</v>
      </c>
      <c r="B112" t="s">
        <v>6383</v>
      </c>
      <c r="C112" s="268" t="s">
        <v>6316</v>
      </c>
      <c r="D112" s="268">
        <v>5061</v>
      </c>
      <c r="E112" s="268" t="s">
        <v>4876</v>
      </c>
      <c r="F112" s="268" t="s">
        <v>4877</v>
      </c>
      <c r="G112" s="269">
        <v>1</v>
      </c>
      <c r="H112" s="269">
        <v>0</v>
      </c>
      <c r="I112" s="267">
        <v>34</v>
      </c>
      <c r="J112" s="282" t="s">
        <v>4973</v>
      </c>
      <c r="K112" s="279" t="s">
        <v>4974</v>
      </c>
      <c r="L112" s="279"/>
      <c r="M112" s="268">
        <v>1</v>
      </c>
      <c r="N112" s="268" t="b">
        <v>1</v>
      </c>
      <c r="O112" s="268">
        <v>2</v>
      </c>
      <c r="P112" s="281">
        <v>30</v>
      </c>
      <c r="Q112" s="281">
        <v>40</v>
      </c>
      <c r="R112" s="268" t="s">
        <v>3383</v>
      </c>
      <c r="S112" s="268"/>
      <c r="T112" s="268">
        <v>1</v>
      </c>
      <c r="U112" s="268" t="s">
        <v>4880</v>
      </c>
      <c r="V112" s="269">
        <v>1</v>
      </c>
      <c r="W112" s="269"/>
      <c r="X112" s="268" t="s">
        <v>4881</v>
      </c>
      <c r="Y112" t="s">
        <v>6378</v>
      </c>
      <c r="Z112" t="s">
        <v>6379</v>
      </c>
      <c r="AA112" s="268" t="s">
        <v>4884</v>
      </c>
      <c r="AB112" s="268"/>
      <c r="AC112" s="287">
        <v>1</v>
      </c>
      <c r="AD112" s="287">
        <v>1</v>
      </c>
      <c r="AE112" s="268"/>
      <c r="AF112" s="268"/>
      <c r="AG112" s="290"/>
    </row>
    <row r="113" spans="1:33" s="145" customFormat="1" x14ac:dyDescent="0.15">
      <c r="A113" s="267">
        <v>95103022</v>
      </c>
      <c r="B113" t="s">
        <v>6383</v>
      </c>
      <c r="C113" s="268" t="s">
        <v>6316</v>
      </c>
      <c r="D113" s="268">
        <v>5061</v>
      </c>
      <c r="E113" s="268" t="s">
        <v>4876</v>
      </c>
      <c r="F113" s="268" t="s">
        <v>4877</v>
      </c>
      <c r="G113" s="269">
        <v>2</v>
      </c>
      <c r="H113" s="269">
        <v>0</v>
      </c>
      <c r="I113" s="267">
        <v>34</v>
      </c>
      <c r="J113" s="282" t="s">
        <v>4973</v>
      </c>
      <c r="K113" s="279" t="s">
        <v>4974</v>
      </c>
      <c r="L113" s="279"/>
      <c r="M113" s="268">
        <v>1</v>
      </c>
      <c r="N113" s="268" t="b">
        <v>1</v>
      </c>
      <c r="O113" s="268">
        <v>5</v>
      </c>
      <c r="P113" s="281">
        <v>75</v>
      </c>
      <c r="Q113" s="281">
        <v>100</v>
      </c>
      <c r="R113" s="268" t="s">
        <v>3383</v>
      </c>
      <c r="S113" s="268"/>
      <c r="T113" s="268">
        <v>1</v>
      </c>
      <c r="U113" s="268" t="s">
        <v>4880</v>
      </c>
      <c r="V113" s="269">
        <v>2</v>
      </c>
      <c r="W113" s="269"/>
      <c r="X113" s="268" t="s">
        <v>4881</v>
      </c>
      <c r="Y113" t="s">
        <v>6378</v>
      </c>
      <c r="Z113" t="s">
        <v>6379</v>
      </c>
      <c r="AA113" s="268" t="s">
        <v>4884</v>
      </c>
      <c r="AB113" s="268"/>
      <c r="AC113" s="287">
        <v>1</v>
      </c>
      <c r="AD113" s="287">
        <v>1</v>
      </c>
      <c r="AE113" s="268"/>
      <c r="AF113" s="268"/>
      <c r="AG113" s="290"/>
    </row>
    <row r="114" spans="1:33" s="145" customFormat="1" x14ac:dyDescent="0.15">
      <c r="A114" s="267">
        <v>95103023</v>
      </c>
      <c r="B114" t="s">
        <v>6383</v>
      </c>
      <c r="C114" s="268" t="s">
        <v>6316</v>
      </c>
      <c r="D114" s="268">
        <v>5061</v>
      </c>
      <c r="E114" s="268" t="s">
        <v>4876</v>
      </c>
      <c r="F114" s="268" t="s">
        <v>4877</v>
      </c>
      <c r="G114" s="269">
        <v>3</v>
      </c>
      <c r="H114" s="269">
        <v>0</v>
      </c>
      <c r="I114" s="267">
        <v>34</v>
      </c>
      <c r="J114" s="282" t="s">
        <v>4973</v>
      </c>
      <c r="K114" s="279" t="s">
        <v>4974</v>
      </c>
      <c r="L114" s="279"/>
      <c r="M114" s="268">
        <v>1</v>
      </c>
      <c r="N114" s="268" t="b">
        <v>1</v>
      </c>
      <c r="O114" s="268">
        <v>7</v>
      </c>
      <c r="P114" s="281">
        <v>105</v>
      </c>
      <c r="Q114" s="281">
        <v>140</v>
      </c>
      <c r="R114" s="268" t="s">
        <v>3383</v>
      </c>
      <c r="S114" s="268"/>
      <c r="T114" s="268">
        <v>1</v>
      </c>
      <c r="U114" s="268" t="s">
        <v>4880</v>
      </c>
      <c r="V114" s="269">
        <v>3</v>
      </c>
      <c r="W114" s="269"/>
      <c r="X114" s="268" t="s">
        <v>4881</v>
      </c>
      <c r="Y114" t="s">
        <v>6378</v>
      </c>
      <c r="Z114" t="s">
        <v>6379</v>
      </c>
      <c r="AA114" s="268" t="s">
        <v>4884</v>
      </c>
      <c r="AB114" s="268"/>
      <c r="AC114" s="287">
        <v>1</v>
      </c>
      <c r="AD114" s="287">
        <v>1</v>
      </c>
      <c r="AE114" s="268"/>
      <c r="AF114" s="268"/>
      <c r="AG114" s="290"/>
    </row>
    <row r="115" spans="1:33" s="145" customFormat="1" x14ac:dyDescent="0.15">
      <c r="A115" s="267">
        <v>95103024</v>
      </c>
      <c r="B115" t="s">
        <v>6383</v>
      </c>
      <c r="C115" s="268" t="s">
        <v>6316</v>
      </c>
      <c r="D115" s="268">
        <v>5061</v>
      </c>
      <c r="E115" s="268" t="s">
        <v>4876</v>
      </c>
      <c r="F115" s="268" t="s">
        <v>4877</v>
      </c>
      <c r="G115" s="269">
        <v>4</v>
      </c>
      <c r="H115" s="269">
        <v>0</v>
      </c>
      <c r="I115" s="267">
        <v>34</v>
      </c>
      <c r="J115" s="282" t="s">
        <v>4973</v>
      </c>
      <c r="K115" s="279" t="s">
        <v>4974</v>
      </c>
      <c r="L115" s="279"/>
      <c r="M115" s="268">
        <v>1</v>
      </c>
      <c r="N115" s="268" t="b">
        <v>1</v>
      </c>
      <c r="O115" s="268">
        <v>10</v>
      </c>
      <c r="P115" s="281">
        <v>150</v>
      </c>
      <c r="Q115" s="281">
        <v>200</v>
      </c>
      <c r="R115" s="268" t="s">
        <v>3383</v>
      </c>
      <c r="S115" s="268"/>
      <c r="T115" s="268">
        <v>1</v>
      </c>
      <c r="U115" s="268" t="s">
        <v>4880</v>
      </c>
      <c r="V115" s="269">
        <v>4</v>
      </c>
      <c r="W115" s="269"/>
      <c r="X115" s="268" t="s">
        <v>4881</v>
      </c>
      <c r="Y115" t="s">
        <v>6378</v>
      </c>
      <c r="Z115" t="s">
        <v>6379</v>
      </c>
      <c r="AA115" s="268" t="s">
        <v>4884</v>
      </c>
      <c r="AB115" s="268"/>
      <c r="AC115" s="287">
        <v>1</v>
      </c>
      <c r="AD115" s="287">
        <v>1</v>
      </c>
      <c r="AE115" s="268"/>
      <c r="AF115" s="268"/>
      <c r="AG115" s="290"/>
    </row>
    <row r="116" spans="1:33" s="145" customFormat="1" x14ac:dyDescent="0.15">
      <c r="A116" s="267">
        <v>95103025</v>
      </c>
      <c r="B116" t="s">
        <v>6383</v>
      </c>
      <c r="C116" s="268" t="s">
        <v>6316</v>
      </c>
      <c r="D116" s="268">
        <v>5061</v>
      </c>
      <c r="E116" s="268" t="s">
        <v>4876</v>
      </c>
      <c r="F116" s="268" t="s">
        <v>4877</v>
      </c>
      <c r="G116" s="269">
        <v>5</v>
      </c>
      <c r="H116" s="269">
        <v>0</v>
      </c>
      <c r="I116" s="267">
        <v>34</v>
      </c>
      <c r="J116" s="282" t="s">
        <v>4973</v>
      </c>
      <c r="K116" s="279" t="s">
        <v>4974</v>
      </c>
      <c r="L116" s="279"/>
      <c r="M116" s="268">
        <v>1</v>
      </c>
      <c r="N116" s="268" t="b">
        <v>1</v>
      </c>
      <c r="O116" s="268">
        <v>12</v>
      </c>
      <c r="P116" s="281">
        <v>180</v>
      </c>
      <c r="Q116" s="281">
        <v>240</v>
      </c>
      <c r="R116" s="268" t="s">
        <v>3383</v>
      </c>
      <c r="S116" s="268"/>
      <c r="T116" s="268">
        <v>1</v>
      </c>
      <c r="U116" s="268" t="s">
        <v>4880</v>
      </c>
      <c r="V116" s="269">
        <v>5</v>
      </c>
      <c r="W116" s="269"/>
      <c r="X116" s="268" t="s">
        <v>4881</v>
      </c>
      <c r="Y116" t="s">
        <v>6378</v>
      </c>
      <c r="Z116" t="s">
        <v>6379</v>
      </c>
      <c r="AA116" s="268" t="s">
        <v>4884</v>
      </c>
      <c r="AB116" s="268"/>
      <c r="AC116" s="287">
        <v>1</v>
      </c>
      <c r="AD116" s="287">
        <v>1</v>
      </c>
      <c r="AE116" s="268"/>
      <c r="AF116" s="268"/>
      <c r="AG116" s="290"/>
    </row>
    <row r="117" spans="1:33" s="145" customFormat="1" x14ac:dyDescent="0.15">
      <c r="A117" s="270">
        <v>95103026</v>
      </c>
      <c r="B117" t="s">
        <v>6383</v>
      </c>
      <c r="C117" s="268" t="s">
        <v>6316</v>
      </c>
      <c r="D117" s="268">
        <v>5061</v>
      </c>
      <c r="E117" s="268" t="s">
        <v>4876</v>
      </c>
      <c r="F117" s="268" t="s">
        <v>4877</v>
      </c>
      <c r="G117" s="269">
        <v>6</v>
      </c>
      <c r="H117" s="269">
        <v>0</v>
      </c>
      <c r="I117" s="267">
        <v>34</v>
      </c>
      <c r="J117" s="282" t="s">
        <v>4973</v>
      </c>
      <c r="K117" s="279" t="s">
        <v>4974</v>
      </c>
      <c r="L117" s="279"/>
      <c r="M117" s="268">
        <v>1</v>
      </c>
      <c r="N117" s="268" t="b">
        <v>1</v>
      </c>
      <c r="O117" s="268">
        <v>25</v>
      </c>
      <c r="P117" s="281">
        <v>375</v>
      </c>
      <c r="Q117" s="281">
        <v>500</v>
      </c>
      <c r="R117" s="268" t="s">
        <v>3383</v>
      </c>
      <c r="S117" s="268"/>
      <c r="T117" s="268">
        <v>1</v>
      </c>
      <c r="U117" s="268" t="s">
        <v>4880</v>
      </c>
      <c r="V117" s="269">
        <v>7</v>
      </c>
      <c r="W117" s="269"/>
      <c r="X117" s="268" t="s">
        <v>4881</v>
      </c>
      <c r="Y117" t="s">
        <v>6378</v>
      </c>
      <c r="Z117" t="s">
        <v>6379</v>
      </c>
      <c r="AA117" s="268" t="s">
        <v>4884</v>
      </c>
      <c r="AB117" s="268"/>
      <c r="AC117" s="287">
        <v>1</v>
      </c>
      <c r="AD117" s="287">
        <v>1</v>
      </c>
      <c r="AE117" s="268"/>
      <c r="AF117" s="268"/>
      <c r="AG117" s="290"/>
    </row>
    <row r="118" spans="1:33" s="145" customFormat="1" x14ac:dyDescent="0.15">
      <c r="A118" s="270">
        <v>95103027</v>
      </c>
      <c r="B118" t="s">
        <v>6383</v>
      </c>
      <c r="C118" s="268" t="s">
        <v>6316</v>
      </c>
      <c r="D118" s="268">
        <v>5061</v>
      </c>
      <c r="E118" s="268" t="s">
        <v>4876</v>
      </c>
      <c r="F118" s="268" t="s">
        <v>4877</v>
      </c>
      <c r="G118" s="269">
        <v>7</v>
      </c>
      <c r="H118" s="269">
        <v>0</v>
      </c>
      <c r="I118" s="267">
        <v>34</v>
      </c>
      <c r="J118" s="282" t="s">
        <v>4973</v>
      </c>
      <c r="K118" s="279" t="s">
        <v>4974</v>
      </c>
      <c r="L118" s="279"/>
      <c r="M118" s="268">
        <v>1</v>
      </c>
      <c r="N118" s="268" t="b">
        <v>1</v>
      </c>
      <c r="O118" s="268">
        <v>38</v>
      </c>
      <c r="P118" s="281">
        <v>570</v>
      </c>
      <c r="Q118" s="281">
        <v>760</v>
      </c>
      <c r="R118" s="268" t="s">
        <v>3383</v>
      </c>
      <c r="S118" s="268"/>
      <c r="T118" s="268">
        <v>1</v>
      </c>
      <c r="U118" s="268" t="s">
        <v>4880</v>
      </c>
      <c r="V118" s="269">
        <v>10</v>
      </c>
      <c r="W118" s="269"/>
      <c r="X118" s="268" t="s">
        <v>4881</v>
      </c>
      <c r="Y118" t="s">
        <v>6378</v>
      </c>
      <c r="Z118" t="s">
        <v>6379</v>
      </c>
      <c r="AA118" s="268" t="s">
        <v>4884</v>
      </c>
      <c r="AB118" s="268"/>
      <c r="AC118" s="287">
        <v>1</v>
      </c>
      <c r="AD118" s="287">
        <v>1</v>
      </c>
      <c r="AE118" s="268"/>
      <c r="AF118" s="268"/>
      <c r="AG118" s="290"/>
    </row>
    <row r="119" spans="1:33" s="258" customFormat="1" x14ac:dyDescent="0.15">
      <c r="A119" s="271">
        <v>95103028</v>
      </c>
      <c r="B119" t="s">
        <v>6384</v>
      </c>
      <c r="C119" s="268" t="s">
        <v>6316</v>
      </c>
      <c r="D119" s="272">
        <v>5081</v>
      </c>
      <c r="E119" s="272" t="s">
        <v>4876</v>
      </c>
      <c r="F119" s="272" t="s">
        <v>4877</v>
      </c>
      <c r="G119" s="269">
        <v>6</v>
      </c>
      <c r="H119" s="273">
        <v>0</v>
      </c>
      <c r="I119" s="283">
        <v>34</v>
      </c>
      <c r="J119" s="284" t="s">
        <v>4973</v>
      </c>
      <c r="K119" s="285" t="s">
        <v>4974</v>
      </c>
      <c r="L119" s="272" t="s">
        <v>44</v>
      </c>
      <c r="M119" s="272">
        <v>1</v>
      </c>
      <c r="N119" s="272" t="b">
        <v>1</v>
      </c>
      <c r="O119" s="272">
        <v>51</v>
      </c>
      <c r="P119" s="281">
        <v>765</v>
      </c>
      <c r="Q119" s="281">
        <v>1020</v>
      </c>
      <c r="R119" s="272" t="s">
        <v>3383</v>
      </c>
      <c r="S119" s="272"/>
      <c r="T119" s="272">
        <v>1</v>
      </c>
      <c r="U119" s="272" t="s">
        <v>4880</v>
      </c>
      <c r="V119" s="273">
        <v>10</v>
      </c>
      <c r="W119" s="273"/>
      <c r="X119" s="272" t="s">
        <v>4881</v>
      </c>
      <c r="Y119" t="s">
        <v>6378</v>
      </c>
      <c r="Z119" t="s">
        <v>6379</v>
      </c>
      <c r="AA119" s="272" t="s">
        <v>4884</v>
      </c>
      <c r="AB119" s="272"/>
      <c r="AC119" s="289">
        <v>1</v>
      </c>
      <c r="AD119" s="289">
        <v>1</v>
      </c>
      <c r="AE119" s="289"/>
      <c r="AF119" s="272"/>
      <c r="AG119" s="272"/>
    </row>
    <row r="120" spans="1:33" s="258" customFormat="1" x14ac:dyDescent="0.15">
      <c r="A120" s="271">
        <v>95103029</v>
      </c>
      <c r="B120" t="s">
        <v>6385</v>
      </c>
      <c r="C120" s="268" t="s">
        <v>6316</v>
      </c>
      <c r="D120" s="272">
        <v>5081</v>
      </c>
      <c r="E120" s="272" t="s">
        <v>4876</v>
      </c>
      <c r="F120" s="272" t="s">
        <v>4877</v>
      </c>
      <c r="G120" s="269">
        <v>6</v>
      </c>
      <c r="H120" s="273">
        <v>0</v>
      </c>
      <c r="I120" s="283">
        <v>34</v>
      </c>
      <c r="J120" s="284" t="s">
        <v>4973</v>
      </c>
      <c r="K120" s="285" t="s">
        <v>4974</v>
      </c>
      <c r="L120" s="272" t="s">
        <v>4887</v>
      </c>
      <c r="M120" s="272">
        <v>1</v>
      </c>
      <c r="N120" s="272" t="b">
        <v>1</v>
      </c>
      <c r="O120" s="272">
        <v>64</v>
      </c>
      <c r="P120" s="281">
        <v>960</v>
      </c>
      <c r="Q120" s="281">
        <v>1280</v>
      </c>
      <c r="R120" s="272" t="s">
        <v>3383</v>
      </c>
      <c r="S120" s="272"/>
      <c r="T120" s="272">
        <v>1</v>
      </c>
      <c r="U120" s="272" t="s">
        <v>4880</v>
      </c>
      <c r="V120" s="273">
        <v>10</v>
      </c>
      <c r="W120" s="273"/>
      <c r="X120" s="272" t="s">
        <v>4881</v>
      </c>
      <c r="Y120" t="s">
        <v>6378</v>
      </c>
      <c r="Z120" t="s">
        <v>6379</v>
      </c>
      <c r="AA120" s="272" t="s">
        <v>4884</v>
      </c>
      <c r="AB120" s="272"/>
      <c r="AC120" s="289">
        <v>1</v>
      </c>
      <c r="AD120" s="289">
        <v>1</v>
      </c>
      <c r="AE120" s="289"/>
      <c r="AF120" s="272"/>
      <c r="AG120" s="272"/>
    </row>
    <row r="121" spans="1:33" s="258" customFormat="1" x14ac:dyDescent="0.15">
      <c r="A121" s="271">
        <v>95103030</v>
      </c>
      <c r="B121" t="s">
        <v>6386</v>
      </c>
      <c r="C121" s="268" t="s">
        <v>6316</v>
      </c>
      <c r="D121" s="272">
        <v>5081</v>
      </c>
      <c r="E121" s="272" t="s">
        <v>4876</v>
      </c>
      <c r="F121" s="272" t="s">
        <v>4877</v>
      </c>
      <c r="G121" s="269">
        <v>7</v>
      </c>
      <c r="H121" s="273">
        <v>0</v>
      </c>
      <c r="I121" s="283">
        <v>34</v>
      </c>
      <c r="J121" s="284" t="s">
        <v>4973</v>
      </c>
      <c r="K121" s="285" t="s">
        <v>4974</v>
      </c>
      <c r="L121" s="272" t="s">
        <v>4889</v>
      </c>
      <c r="M121" s="272">
        <v>1</v>
      </c>
      <c r="N121" s="272" t="b">
        <v>1</v>
      </c>
      <c r="O121" s="272">
        <v>77</v>
      </c>
      <c r="P121" s="281">
        <v>1155</v>
      </c>
      <c r="Q121" s="281">
        <v>1540</v>
      </c>
      <c r="R121" s="272" t="s">
        <v>3383</v>
      </c>
      <c r="S121" s="272"/>
      <c r="T121" s="272">
        <v>1</v>
      </c>
      <c r="U121" s="272" t="s">
        <v>4880</v>
      </c>
      <c r="V121" s="273">
        <v>10</v>
      </c>
      <c r="W121" s="273"/>
      <c r="X121" s="272" t="s">
        <v>4881</v>
      </c>
      <c r="Y121" t="s">
        <v>6378</v>
      </c>
      <c r="Z121" t="s">
        <v>6379</v>
      </c>
      <c r="AA121" s="272" t="s">
        <v>4884</v>
      </c>
      <c r="AB121" s="272"/>
      <c r="AC121" s="289">
        <v>1</v>
      </c>
      <c r="AD121" s="289">
        <v>1</v>
      </c>
      <c r="AE121" s="289"/>
      <c r="AF121" s="272"/>
      <c r="AG121" s="272"/>
    </row>
    <row r="122" spans="1:33" s="145" customFormat="1" x14ac:dyDescent="0.15">
      <c r="A122" s="267">
        <v>95104011</v>
      </c>
      <c r="B122" t="s">
        <v>6387</v>
      </c>
      <c r="C122" s="268" t="s">
        <v>6316</v>
      </c>
      <c r="D122" s="291">
        <v>5072</v>
      </c>
      <c r="E122" s="268" t="s">
        <v>4876</v>
      </c>
      <c r="F122" s="268" t="s">
        <v>4877</v>
      </c>
      <c r="G122" s="269">
        <v>1</v>
      </c>
      <c r="H122" s="269">
        <v>0</v>
      </c>
      <c r="I122" s="267">
        <v>34</v>
      </c>
      <c r="J122" s="282" t="s">
        <v>4979</v>
      </c>
      <c r="K122" s="279" t="s">
        <v>4980</v>
      </c>
      <c r="L122" s="279"/>
      <c r="M122" s="268">
        <v>1</v>
      </c>
      <c r="N122" s="268" t="b">
        <v>1</v>
      </c>
      <c r="O122" s="268">
        <v>2</v>
      </c>
      <c r="P122" s="281">
        <v>30</v>
      </c>
      <c r="Q122" s="281">
        <v>40</v>
      </c>
      <c r="R122" s="268" t="s">
        <v>3383</v>
      </c>
      <c r="S122" s="268"/>
      <c r="T122" s="268">
        <v>1</v>
      </c>
      <c r="U122" s="268" t="s">
        <v>4880</v>
      </c>
      <c r="V122" s="269">
        <v>1</v>
      </c>
      <c r="W122" s="269"/>
      <c r="X122" s="268" t="s">
        <v>4881</v>
      </c>
      <c r="Y122" t="s">
        <v>6388</v>
      </c>
      <c r="Z122" t="s">
        <v>6389</v>
      </c>
      <c r="AA122" s="268" t="s">
        <v>4884</v>
      </c>
      <c r="AB122" s="268"/>
      <c r="AC122" s="287">
        <v>1</v>
      </c>
      <c r="AD122" s="287">
        <v>1</v>
      </c>
      <c r="AE122" s="268"/>
      <c r="AF122" s="268"/>
      <c r="AG122" s="290"/>
    </row>
    <row r="123" spans="1:33" s="145" customFormat="1" x14ac:dyDescent="0.15">
      <c r="A123" s="267">
        <v>95104012</v>
      </c>
      <c r="B123" t="s">
        <v>6387</v>
      </c>
      <c r="C123" s="268" t="s">
        <v>6316</v>
      </c>
      <c r="D123" s="291">
        <v>5072</v>
      </c>
      <c r="E123" s="268" t="s">
        <v>4876</v>
      </c>
      <c r="F123" s="268" t="s">
        <v>4877</v>
      </c>
      <c r="G123" s="269">
        <v>2</v>
      </c>
      <c r="H123" s="269">
        <v>0</v>
      </c>
      <c r="I123" s="267">
        <v>34</v>
      </c>
      <c r="J123" s="282" t="s">
        <v>4979</v>
      </c>
      <c r="K123" s="279" t="s">
        <v>4980</v>
      </c>
      <c r="L123" s="279"/>
      <c r="M123" s="268">
        <v>1</v>
      </c>
      <c r="N123" s="268" t="b">
        <v>1</v>
      </c>
      <c r="O123" s="268">
        <v>5</v>
      </c>
      <c r="P123" s="281">
        <v>75</v>
      </c>
      <c r="Q123" s="281">
        <v>100</v>
      </c>
      <c r="R123" s="268" t="s">
        <v>3383</v>
      </c>
      <c r="S123" s="268"/>
      <c r="T123" s="268">
        <v>1</v>
      </c>
      <c r="U123" s="268" t="s">
        <v>4880</v>
      </c>
      <c r="V123" s="269">
        <v>2</v>
      </c>
      <c r="W123" s="269"/>
      <c r="X123" s="268" t="s">
        <v>4881</v>
      </c>
      <c r="Y123" t="s">
        <v>6388</v>
      </c>
      <c r="Z123" t="s">
        <v>6389</v>
      </c>
      <c r="AA123" s="268" t="s">
        <v>4884</v>
      </c>
      <c r="AB123" s="268"/>
      <c r="AC123" s="287">
        <v>1</v>
      </c>
      <c r="AD123" s="287">
        <v>1</v>
      </c>
      <c r="AE123" s="268"/>
      <c r="AF123" s="268"/>
      <c r="AG123" s="290"/>
    </row>
    <row r="124" spans="1:33" s="145" customFormat="1" x14ac:dyDescent="0.15">
      <c r="A124" s="267">
        <v>95104013</v>
      </c>
      <c r="B124" t="s">
        <v>6387</v>
      </c>
      <c r="C124" s="268" t="s">
        <v>6316</v>
      </c>
      <c r="D124" s="291">
        <v>5072</v>
      </c>
      <c r="E124" s="268" t="s">
        <v>4876</v>
      </c>
      <c r="F124" s="268" t="s">
        <v>4877</v>
      </c>
      <c r="G124" s="269">
        <v>3</v>
      </c>
      <c r="H124" s="269">
        <v>0</v>
      </c>
      <c r="I124" s="267">
        <v>34</v>
      </c>
      <c r="J124" s="282" t="s">
        <v>4979</v>
      </c>
      <c r="K124" s="279" t="s">
        <v>4980</v>
      </c>
      <c r="L124" s="279"/>
      <c r="M124" s="268">
        <v>1</v>
      </c>
      <c r="N124" s="268" t="b">
        <v>1</v>
      </c>
      <c r="O124" s="268">
        <v>7</v>
      </c>
      <c r="P124" s="281">
        <v>105</v>
      </c>
      <c r="Q124" s="281">
        <v>140</v>
      </c>
      <c r="R124" s="268" t="s">
        <v>3383</v>
      </c>
      <c r="S124" s="268"/>
      <c r="T124" s="268">
        <v>1</v>
      </c>
      <c r="U124" s="268" t="s">
        <v>4880</v>
      </c>
      <c r="V124" s="269">
        <v>3</v>
      </c>
      <c r="W124" s="269"/>
      <c r="X124" s="268" t="s">
        <v>4881</v>
      </c>
      <c r="Y124" t="s">
        <v>6388</v>
      </c>
      <c r="Z124" t="s">
        <v>6389</v>
      </c>
      <c r="AA124" s="268" t="s">
        <v>4884</v>
      </c>
      <c r="AB124" s="268"/>
      <c r="AC124" s="287">
        <v>1</v>
      </c>
      <c r="AD124" s="287">
        <v>1</v>
      </c>
      <c r="AE124" s="268"/>
      <c r="AF124" s="268"/>
      <c r="AG124" s="290"/>
    </row>
    <row r="125" spans="1:33" s="145" customFormat="1" x14ac:dyDescent="0.15">
      <c r="A125" s="267">
        <v>95104014</v>
      </c>
      <c r="B125" t="s">
        <v>6387</v>
      </c>
      <c r="C125" s="268" t="s">
        <v>6316</v>
      </c>
      <c r="D125" s="291">
        <v>5072</v>
      </c>
      <c r="E125" s="268" t="s">
        <v>4876</v>
      </c>
      <c r="F125" s="268" t="s">
        <v>4877</v>
      </c>
      <c r="G125" s="269">
        <v>4</v>
      </c>
      <c r="H125" s="269">
        <v>0</v>
      </c>
      <c r="I125" s="267">
        <v>34</v>
      </c>
      <c r="J125" s="282" t="s">
        <v>4979</v>
      </c>
      <c r="K125" s="279" t="s">
        <v>4980</v>
      </c>
      <c r="L125" s="279"/>
      <c r="M125" s="268">
        <v>1</v>
      </c>
      <c r="N125" s="268" t="b">
        <v>1</v>
      </c>
      <c r="O125" s="268">
        <v>10</v>
      </c>
      <c r="P125" s="281">
        <v>150</v>
      </c>
      <c r="Q125" s="281">
        <v>200</v>
      </c>
      <c r="R125" s="268" t="s">
        <v>3383</v>
      </c>
      <c r="S125" s="268"/>
      <c r="T125" s="268">
        <v>1</v>
      </c>
      <c r="U125" s="268" t="s">
        <v>4880</v>
      </c>
      <c r="V125" s="269">
        <v>4</v>
      </c>
      <c r="W125" s="269"/>
      <c r="X125" s="268" t="s">
        <v>4881</v>
      </c>
      <c r="Y125" t="s">
        <v>6388</v>
      </c>
      <c r="Z125" t="s">
        <v>6389</v>
      </c>
      <c r="AA125" s="268" t="s">
        <v>4884</v>
      </c>
      <c r="AB125" s="268"/>
      <c r="AC125" s="287">
        <v>1</v>
      </c>
      <c r="AD125" s="287">
        <v>1</v>
      </c>
      <c r="AE125" s="268"/>
      <c r="AF125" s="268"/>
      <c r="AG125" s="290"/>
    </row>
    <row r="126" spans="1:33" s="145" customFormat="1" x14ac:dyDescent="0.15">
      <c r="A126" s="267">
        <v>95104015</v>
      </c>
      <c r="B126" t="s">
        <v>6387</v>
      </c>
      <c r="C126" s="268" t="s">
        <v>6316</v>
      </c>
      <c r="D126" s="291">
        <v>5072</v>
      </c>
      <c r="E126" s="268" t="s">
        <v>4876</v>
      </c>
      <c r="F126" s="268" t="s">
        <v>4877</v>
      </c>
      <c r="G126" s="269">
        <v>5</v>
      </c>
      <c r="H126" s="269">
        <v>0</v>
      </c>
      <c r="I126" s="267">
        <v>34</v>
      </c>
      <c r="J126" s="282" t="s">
        <v>4979</v>
      </c>
      <c r="K126" s="279" t="s">
        <v>4980</v>
      </c>
      <c r="L126" s="279"/>
      <c r="M126" s="268">
        <v>1</v>
      </c>
      <c r="N126" s="268" t="b">
        <v>1</v>
      </c>
      <c r="O126" s="268">
        <v>12</v>
      </c>
      <c r="P126" s="281">
        <v>180</v>
      </c>
      <c r="Q126" s="281">
        <v>240</v>
      </c>
      <c r="R126" s="268" t="s">
        <v>3383</v>
      </c>
      <c r="S126" s="268"/>
      <c r="T126" s="268">
        <v>1</v>
      </c>
      <c r="U126" s="268" t="s">
        <v>4880</v>
      </c>
      <c r="V126" s="269">
        <v>5</v>
      </c>
      <c r="W126" s="269"/>
      <c r="X126" s="268" t="s">
        <v>4881</v>
      </c>
      <c r="Y126" t="s">
        <v>6388</v>
      </c>
      <c r="Z126" t="s">
        <v>6389</v>
      </c>
      <c r="AA126" s="268" t="s">
        <v>4884</v>
      </c>
      <c r="AB126" s="268"/>
      <c r="AC126" s="287">
        <v>1</v>
      </c>
      <c r="AD126" s="287">
        <v>1</v>
      </c>
      <c r="AE126" s="268"/>
      <c r="AF126" s="268"/>
      <c r="AG126" s="290"/>
    </row>
    <row r="127" spans="1:33" s="145" customFormat="1" x14ac:dyDescent="0.15">
      <c r="A127" s="270">
        <v>95104016</v>
      </c>
      <c r="B127" t="s">
        <v>6387</v>
      </c>
      <c r="C127" s="268" t="s">
        <v>6316</v>
      </c>
      <c r="D127" s="268">
        <v>5072</v>
      </c>
      <c r="E127" s="268" t="s">
        <v>4876</v>
      </c>
      <c r="F127" s="268" t="s">
        <v>4877</v>
      </c>
      <c r="G127" s="269">
        <v>6</v>
      </c>
      <c r="H127" s="269">
        <v>0</v>
      </c>
      <c r="I127" s="267">
        <v>34</v>
      </c>
      <c r="J127" s="282" t="s">
        <v>4979</v>
      </c>
      <c r="K127" s="279" t="s">
        <v>4980</v>
      </c>
      <c r="L127" s="279"/>
      <c r="M127" s="268">
        <v>1</v>
      </c>
      <c r="N127" s="268" t="b">
        <v>1</v>
      </c>
      <c r="O127" s="268">
        <v>25</v>
      </c>
      <c r="P127" s="281">
        <v>375</v>
      </c>
      <c r="Q127" s="281">
        <v>500</v>
      </c>
      <c r="R127" s="268" t="s">
        <v>3383</v>
      </c>
      <c r="S127" s="268"/>
      <c r="T127" s="268">
        <v>1</v>
      </c>
      <c r="U127" s="268" t="s">
        <v>4880</v>
      </c>
      <c r="V127" s="269">
        <v>7</v>
      </c>
      <c r="W127" s="269"/>
      <c r="X127" s="268" t="s">
        <v>4881</v>
      </c>
      <c r="Y127" t="s">
        <v>6388</v>
      </c>
      <c r="Z127" t="s">
        <v>6389</v>
      </c>
      <c r="AA127" s="268" t="s">
        <v>4884</v>
      </c>
      <c r="AB127" s="268"/>
      <c r="AC127" s="287">
        <v>1</v>
      </c>
      <c r="AD127" s="287">
        <v>1</v>
      </c>
      <c r="AE127" s="268"/>
      <c r="AF127" s="268"/>
      <c r="AG127" s="290"/>
    </row>
    <row r="128" spans="1:33" s="145" customFormat="1" x14ac:dyDescent="0.15">
      <c r="A128" s="270">
        <v>95104017</v>
      </c>
      <c r="B128" t="s">
        <v>6387</v>
      </c>
      <c r="C128" s="268" t="s">
        <v>6316</v>
      </c>
      <c r="D128" s="268">
        <v>5072</v>
      </c>
      <c r="E128" s="268" t="s">
        <v>4876</v>
      </c>
      <c r="F128" s="268" t="s">
        <v>4877</v>
      </c>
      <c r="G128" s="269">
        <v>7</v>
      </c>
      <c r="H128" s="269">
        <v>0</v>
      </c>
      <c r="I128" s="267">
        <v>34</v>
      </c>
      <c r="J128" s="282" t="s">
        <v>4979</v>
      </c>
      <c r="K128" s="279" t="s">
        <v>4980</v>
      </c>
      <c r="L128" s="279"/>
      <c r="M128" s="268">
        <v>1</v>
      </c>
      <c r="N128" s="268" t="b">
        <v>1</v>
      </c>
      <c r="O128" s="268">
        <v>38</v>
      </c>
      <c r="P128" s="281">
        <v>570</v>
      </c>
      <c r="Q128" s="281">
        <v>760</v>
      </c>
      <c r="R128" s="268" t="s">
        <v>3383</v>
      </c>
      <c r="S128" s="268"/>
      <c r="T128" s="268">
        <v>1</v>
      </c>
      <c r="U128" s="268" t="s">
        <v>4880</v>
      </c>
      <c r="V128" s="269">
        <v>10</v>
      </c>
      <c r="W128" s="269"/>
      <c r="X128" s="268" t="s">
        <v>4881</v>
      </c>
      <c r="Y128" t="s">
        <v>6388</v>
      </c>
      <c r="Z128" t="s">
        <v>6389</v>
      </c>
      <c r="AA128" s="268" t="s">
        <v>4884</v>
      </c>
      <c r="AB128" s="268"/>
      <c r="AC128" s="287">
        <v>1</v>
      </c>
      <c r="AD128" s="287">
        <v>1</v>
      </c>
      <c r="AE128" s="268"/>
      <c r="AF128" s="268"/>
      <c r="AG128" s="290"/>
    </row>
    <row r="129" spans="1:33" s="258" customFormat="1" x14ac:dyDescent="0.15">
      <c r="A129" s="271">
        <v>95104018</v>
      </c>
      <c r="B129" t="s">
        <v>6390</v>
      </c>
      <c r="C129" s="268" t="s">
        <v>6316</v>
      </c>
      <c r="D129" s="272">
        <v>5081</v>
      </c>
      <c r="E129" s="272" t="s">
        <v>4876</v>
      </c>
      <c r="F129" s="272" t="s">
        <v>4877</v>
      </c>
      <c r="G129" s="269">
        <v>6</v>
      </c>
      <c r="H129" s="273">
        <v>1</v>
      </c>
      <c r="I129" s="283">
        <v>34</v>
      </c>
      <c r="J129" s="284" t="s">
        <v>4979</v>
      </c>
      <c r="K129" s="285" t="s">
        <v>4980</v>
      </c>
      <c r="L129" s="272" t="s">
        <v>44</v>
      </c>
      <c r="M129" s="272">
        <v>1</v>
      </c>
      <c r="N129" s="272" t="b">
        <v>1</v>
      </c>
      <c r="O129" s="272">
        <v>51</v>
      </c>
      <c r="P129" s="281">
        <v>765</v>
      </c>
      <c r="Q129" s="281">
        <v>1020</v>
      </c>
      <c r="R129" s="272" t="s">
        <v>3383</v>
      </c>
      <c r="S129" s="272"/>
      <c r="T129" s="272">
        <v>1</v>
      </c>
      <c r="U129" s="272" t="s">
        <v>4880</v>
      </c>
      <c r="V129" s="273">
        <v>10</v>
      </c>
      <c r="W129" s="273"/>
      <c r="X129" s="272" t="s">
        <v>4881</v>
      </c>
      <c r="Y129" t="s">
        <v>6388</v>
      </c>
      <c r="Z129" t="s">
        <v>6389</v>
      </c>
      <c r="AA129" s="272" t="s">
        <v>4884</v>
      </c>
      <c r="AB129" s="272"/>
      <c r="AC129" s="289">
        <v>1</v>
      </c>
      <c r="AD129" s="289">
        <v>1</v>
      </c>
      <c r="AE129" s="289"/>
      <c r="AF129" s="272"/>
      <c r="AG129" s="272"/>
    </row>
    <row r="130" spans="1:33" s="258" customFormat="1" x14ac:dyDescent="0.15">
      <c r="A130" s="271">
        <v>95104019</v>
      </c>
      <c r="B130" t="s">
        <v>6391</v>
      </c>
      <c r="C130" s="268" t="s">
        <v>6316</v>
      </c>
      <c r="D130" s="272">
        <v>5081</v>
      </c>
      <c r="E130" s="272" t="s">
        <v>4876</v>
      </c>
      <c r="F130" s="272" t="s">
        <v>4877</v>
      </c>
      <c r="G130" s="269">
        <v>6</v>
      </c>
      <c r="H130" s="273">
        <v>1</v>
      </c>
      <c r="I130" s="283">
        <v>34</v>
      </c>
      <c r="J130" s="284" t="s">
        <v>4979</v>
      </c>
      <c r="K130" s="285" t="s">
        <v>4980</v>
      </c>
      <c r="L130" s="272" t="s">
        <v>4887</v>
      </c>
      <c r="M130" s="272">
        <v>1</v>
      </c>
      <c r="N130" s="272" t="b">
        <v>1</v>
      </c>
      <c r="O130" s="272">
        <v>64</v>
      </c>
      <c r="P130" s="281">
        <v>960</v>
      </c>
      <c r="Q130" s="281">
        <v>1280</v>
      </c>
      <c r="R130" s="272" t="s">
        <v>3383</v>
      </c>
      <c r="S130" s="272"/>
      <c r="T130" s="272">
        <v>1</v>
      </c>
      <c r="U130" s="272" t="s">
        <v>4880</v>
      </c>
      <c r="V130" s="273">
        <v>10</v>
      </c>
      <c r="W130" s="273"/>
      <c r="X130" s="272" t="s">
        <v>4881</v>
      </c>
      <c r="Y130" t="s">
        <v>6388</v>
      </c>
      <c r="Z130" t="s">
        <v>6389</v>
      </c>
      <c r="AA130" s="272" t="s">
        <v>4884</v>
      </c>
      <c r="AB130" s="272"/>
      <c r="AC130" s="289">
        <v>1</v>
      </c>
      <c r="AD130" s="289">
        <v>1</v>
      </c>
      <c r="AE130" s="289"/>
      <c r="AF130" s="272"/>
      <c r="AG130" s="272"/>
    </row>
    <row r="131" spans="1:33" s="258" customFormat="1" x14ac:dyDescent="0.15">
      <c r="A131" s="271">
        <v>95104020</v>
      </c>
      <c r="B131" t="s">
        <v>6392</v>
      </c>
      <c r="C131" s="268" t="s">
        <v>6316</v>
      </c>
      <c r="D131" s="272">
        <v>5081</v>
      </c>
      <c r="E131" s="272" t="s">
        <v>4876</v>
      </c>
      <c r="F131" s="272" t="s">
        <v>4877</v>
      </c>
      <c r="G131" s="269">
        <v>7</v>
      </c>
      <c r="H131" s="273">
        <v>0</v>
      </c>
      <c r="I131" s="283">
        <v>34</v>
      </c>
      <c r="J131" s="284" t="s">
        <v>4979</v>
      </c>
      <c r="K131" s="285" t="s">
        <v>4980</v>
      </c>
      <c r="L131" s="272" t="s">
        <v>4889</v>
      </c>
      <c r="M131" s="272">
        <v>1</v>
      </c>
      <c r="N131" s="272" t="b">
        <v>1</v>
      </c>
      <c r="O131" s="272">
        <v>77</v>
      </c>
      <c r="P131" s="281">
        <v>1155</v>
      </c>
      <c r="Q131" s="281">
        <v>1540</v>
      </c>
      <c r="R131" s="272" t="s">
        <v>3383</v>
      </c>
      <c r="S131" s="272"/>
      <c r="T131" s="272">
        <v>1</v>
      </c>
      <c r="U131" s="272" t="s">
        <v>4880</v>
      </c>
      <c r="V131" s="273">
        <v>10</v>
      </c>
      <c r="W131" s="273"/>
      <c r="X131" s="272" t="s">
        <v>4881</v>
      </c>
      <c r="Y131" t="s">
        <v>6388</v>
      </c>
      <c r="Z131" t="s">
        <v>6389</v>
      </c>
      <c r="AA131" s="272" t="s">
        <v>4884</v>
      </c>
      <c r="AB131" s="272"/>
      <c r="AC131" s="289">
        <v>1</v>
      </c>
      <c r="AD131" s="289">
        <v>1</v>
      </c>
      <c r="AE131" s="289"/>
      <c r="AF131" s="272"/>
      <c r="AG131" s="272"/>
    </row>
    <row r="132" spans="1:33" s="145" customFormat="1" x14ac:dyDescent="0.15">
      <c r="A132" s="267">
        <v>95104021</v>
      </c>
      <c r="B132" t="s">
        <v>6393</v>
      </c>
      <c r="C132" s="268" t="s">
        <v>6316</v>
      </c>
      <c r="D132" s="268">
        <v>5052</v>
      </c>
      <c r="E132" s="268" t="s">
        <v>4876</v>
      </c>
      <c r="F132" s="268" t="s">
        <v>4877</v>
      </c>
      <c r="G132" s="269">
        <v>1</v>
      </c>
      <c r="H132" s="269">
        <v>0</v>
      </c>
      <c r="I132" s="267">
        <v>34</v>
      </c>
      <c r="J132" s="282" t="s">
        <v>4987</v>
      </c>
      <c r="K132" s="279" t="s">
        <v>4988</v>
      </c>
      <c r="L132" s="279"/>
      <c r="M132" s="268">
        <v>1</v>
      </c>
      <c r="N132" s="268" t="b">
        <v>1</v>
      </c>
      <c r="O132" s="268">
        <v>2</v>
      </c>
      <c r="P132" s="281">
        <v>30</v>
      </c>
      <c r="Q132" s="281">
        <v>40</v>
      </c>
      <c r="R132" s="268" t="s">
        <v>3383</v>
      </c>
      <c r="S132" s="268"/>
      <c r="T132" s="268">
        <v>1</v>
      </c>
      <c r="U132" s="268" t="s">
        <v>4880</v>
      </c>
      <c r="V132" s="269">
        <v>1</v>
      </c>
      <c r="W132" s="269"/>
      <c r="X132" s="268" t="s">
        <v>4881</v>
      </c>
      <c r="Y132" t="s">
        <v>6394</v>
      </c>
      <c r="Z132" t="s">
        <v>6395</v>
      </c>
      <c r="AA132" s="268" t="s">
        <v>4884</v>
      </c>
      <c r="AB132" s="268"/>
      <c r="AC132" s="287">
        <v>1</v>
      </c>
      <c r="AD132" s="287">
        <v>1</v>
      </c>
      <c r="AE132" s="268"/>
      <c r="AF132" s="268"/>
      <c r="AG132" s="290"/>
    </row>
    <row r="133" spans="1:33" s="145" customFormat="1" x14ac:dyDescent="0.15">
      <c r="A133" s="267">
        <v>95104022</v>
      </c>
      <c r="B133" t="s">
        <v>6393</v>
      </c>
      <c r="C133" s="268" t="s">
        <v>6316</v>
      </c>
      <c r="D133" s="268">
        <v>5052</v>
      </c>
      <c r="E133" s="268" t="s">
        <v>4876</v>
      </c>
      <c r="F133" s="268" t="s">
        <v>4877</v>
      </c>
      <c r="G133" s="269">
        <v>2</v>
      </c>
      <c r="H133" s="269">
        <v>0</v>
      </c>
      <c r="I133" s="267">
        <v>34</v>
      </c>
      <c r="J133" s="282" t="s">
        <v>4987</v>
      </c>
      <c r="K133" s="279" t="s">
        <v>4988</v>
      </c>
      <c r="L133" s="279"/>
      <c r="M133" s="268">
        <v>1</v>
      </c>
      <c r="N133" s="268" t="b">
        <v>1</v>
      </c>
      <c r="O133" s="268">
        <v>5</v>
      </c>
      <c r="P133" s="281">
        <v>75</v>
      </c>
      <c r="Q133" s="281">
        <v>100</v>
      </c>
      <c r="R133" s="268" t="s">
        <v>3383</v>
      </c>
      <c r="S133" s="268"/>
      <c r="T133" s="268">
        <v>1</v>
      </c>
      <c r="U133" s="268" t="s">
        <v>4880</v>
      </c>
      <c r="V133" s="269">
        <v>2</v>
      </c>
      <c r="W133" s="269"/>
      <c r="X133" s="268" t="s">
        <v>4881</v>
      </c>
      <c r="Y133" t="s">
        <v>6394</v>
      </c>
      <c r="Z133" t="s">
        <v>6395</v>
      </c>
      <c r="AA133" s="268" t="s">
        <v>4884</v>
      </c>
      <c r="AB133" s="268"/>
      <c r="AC133" s="287">
        <v>1</v>
      </c>
      <c r="AD133" s="287">
        <v>1</v>
      </c>
      <c r="AE133" s="268"/>
      <c r="AF133" s="268"/>
      <c r="AG133" s="290"/>
    </row>
    <row r="134" spans="1:33" s="145" customFormat="1" x14ac:dyDescent="0.15">
      <c r="A134" s="267">
        <v>95104023</v>
      </c>
      <c r="B134" t="s">
        <v>6393</v>
      </c>
      <c r="C134" s="268" t="s">
        <v>6316</v>
      </c>
      <c r="D134" s="268">
        <v>5052</v>
      </c>
      <c r="E134" s="268" t="s">
        <v>4876</v>
      </c>
      <c r="F134" s="268" t="s">
        <v>4877</v>
      </c>
      <c r="G134" s="269">
        <v>3</v>
      </c>
      <c r="H134" s="269">
        <v>0</v>
      </c>
      <c r="I134" s="267">
        <v>34</v>
      </c>
      <c r="J134" s="282" t="s">
        <v>4987</v>
      </c>
      <c r="K134" s="279" t="s">
        <v>4988</v>
      </c>
      <c r="L134" s="279"/>
      <c r="M134" s="268">
        <v>1</v>
      </c>
      <c r="N134" s="268" t="b">
        <v>1</v>
      </c>
      <c r="O134" s="268">
        <v>7</v>
      </c>
      <c r="P134" s="281">
        <v>105</v>
      </c>
      <c r="Q134" s="281">
        <v>140</v>
      </c>
      <c r="R134" s="268" t="s">
        <v>3383</v>
      </c>
      <c r="S134" s="268"/>
      <c r="T134" s="268">
        <v>1</v>
      </c>
      <c r="U134" s="268" t="s">
        <v>4880</v>
      </c>
      <c r="V134" s="269">
        <v>3</v>
      </c>
      <c r="W134" s="269"/>
      <c r="X134" s="268" t="s">
        <v>4881</v>
      </c>
      <c r="Y134" t="s">
        <v>6394</v>
      </c>
      <c r="Z134" t="s">
        <v>6395</v>
      </c>
      <c r="AA134" s="268" t="s">
        <v>4884</v>
      </c>
      <c r="AB134" s="268"/>
      <c r="AC134" s="287">
        <v>1</v>
      </c>
      <c r="AD134" s="287">
        <v>1</v>
      </c>
      <c r="AE134" s="268"/>
      <c r="AF134" s="268"/>
      <c r="AG134" s="290"/>
    </row>
    <row r="135" spans="1:33" s="145" customFormat="1" x14ac:dyDescent="0.15">
      <c r="A135" s="267">
        <v>95104024</v>
      </c>
      <c r="B135" t="s">
        <v>6393</v>
      </c>
      <c r="C135" s="268" t="s">
        <v>6316</v>
      </c>
      <c r="D135" s="268">
        <v>5052</v>
      </c>
      <c r="E135" s="268" t="s">
        <v>4876</v>
      </c>
      <c r="F135" s="268" t="s">
        <v>4877</v>
      </c>
      <c r="G135" s="269">
        <v>4</v>
      </c>
      <c r="H135" s="269">
        <v>0</v>
      </c>
      <c r="I135" s="267">
        <v>34</v>
      </c>
      <c r="J135" s="282" t="s">
        <v>4987</v>
      </c>
      <c r="K135" s="279" t="s">
        <v>4988</v>
      </c>
      <c r="L135" s="279"/>
      <c r="M135" s="268">
        <v>1</v>
      </c>
      <c r="N135" s="268" t="b">
        <v>1</v>
      </c>
      <c r="O135" s="268">
        <v>10</v>
      </c>
      <c r="P135" s="281">
        <v>150</v>
      </c>
      <c r="Q135" s="281">
        <v>200</v>
      </c>
      <c r="R135" s="268" t="s">
        <v>3383</v>
      </c>
      <c r="S135" s="268"/>
      <c r="T135" s="268">
        <v>1</v>
      </c>
      <c r="U135" s="268" t="s">
        <v>4880</v>
      </c>
      <c r="V135" s="269">
        <v>4</v>
      </c>
      <c r="W135" s="269"/>
      <c r="X135" s="268" t="s">
        <v>4881</v>
      </c>
      <c r="Y135" t="s">
        <v>6394</v>
      </c>
      <c r="Z135" t="s">
        <v>6395</v>
      </c>
      <c r="AA135" s="268" t="s">
        <v>4884</v>
      </c>
      <c r="AB135" s="268"/>
      <c r="AC135" s="287">
        <v>1</v>
      </c>
      <c r="AD135" s="287">
        <v>1</v>
      </c>
      <c r="AE135" s="268"/>
      <c r="AF135" s="268"/>
      <c r="AG135" s="290"/>
    </row>
    <row r="136" spans="1:33" s="145" customFormat="1" x14ac:dyDescent="0.15">
      <c r="A136" s="267">
        <v>95104025</v>
      </c>
      <c r="B136" t="s">
        <v>6393</v>
      </c>
      <c r="C136" s="268" t="s">
        <v>6316</v>
      </c>
      <c r="D136" s="268">
        <v>5052</v>
      </c>
      <c r="E136" s="268" t="s">
        <v>4876</v>
      </c>
      <c r="F136" s="268" t="s">
        <v>4877</v>
      </c>
      <c r="G136" s="269">
        <v>5</v>
      </c>
      <c r="H136" s="269">
        <v>0</v>
      </c>
      <c r="I136" s="267">
        <v>34</v>
      </c>
      <c r="J136" s="282" t="s">
        <v>4987</v>
      </c>
      <c r="K136" s="279" t="s">
        <v>4988</v>
      </c>
      <c r="L136" s="279"/>
      <c r="M136" s="268">
        <v>1</v>
      </c>
      <c r="N136" s="268" t="b">
        <v>1</v>
      </c>
      <c r="O136" s="268">
        <v>12</v>
      </c>
      <c r="P136" s="281">
        <v>180</v>
      </c>
      <c r="Q136" s="281">
        <v>240</v>
      </c>
      <c r="R136" s="268" t="s">
        <v>3383</v>
      </c>
      <c r="S136" s="268"/>
      <c r="T136" s="268">
        <v>1</v>
      </c>
      <c r="U136" s="268" t="s">
        <v>4880</v>
      </c>
      <c r="V136" s="269">
        <v>5</v>
      </c>
      <c r="W136" s="269"/>
      <c r="X136" s="268" t="s">
        <v>4881</v>
      </c>
      <c r="Y136" t="s">
        <v>6394</v>
      </c>
      <c r="Z136" t="s">
        <v>6395</v>
      </c>
      <c r="AA136" s="268" t="s">
        <v>4884</v>
      </c>
      <c r="AB136" s="268"/>
      <c r="AC136" s="287">
        <v>1</v>
      </c>
      <c r="AD136" s="287">
        <v>1</v>
      </c>
      <c r="AE136" s="268"/>
      <c r="AF136" s="268"/>
      <c r="AG136" s="290"/>
    </row>
    <row r="137" spans="1:33" s="145" customFormat="1" x14ac:dyDescent="0.15">
      <c r="A137" s="270">
        <v>95104026</v>
      </c>
      <c r="B137" t="s">
        <v>6393</v>
      </c>
      <c r="C137" s="268" t="s">
        <v>6316</v>
      </c>
      <c r="D137" s="268">
        <v>5052</v>
      </c>
      <c r="E137" s="268" t="s">
        <v>4876</v>
      </c>
      <c r="F137" s="268" t="s">
        <v>4877</v>
      </c>
      <c r="G137" s="269">
        <v>6</v>
      </c>
      <c r="H137" s="269">
        <v>0</v>
      </c>
      <c r="I137" s="267">
        <v>34</v>
      </c>
      <c r="J137" s="282" t="s">
        <v>4987</v>
      </c>
      <c r="K137" s="279" t="s">
        <v>4988</v>
      </c>
      <c r="L137" s="279"/>
      <c r="M137" s="268">
        <v>1</v>
      </c>
      <c r="N137" s="268" t="b">
        <v>1</v>
      </c>
      <c r="O137" s="268">
        <v>25</v>
      </c>
      <c r="P137" s="281">
        <v>375</v>
      </c>
      <c r="Q137" s="281">
        <v>500</v>
      </c>
      <c r="R137" s="268" t="s">
        <v>3383</v>
      </c>
      <c r="S137" s="268"/>
      <c r="T137" s="268">
        <v>1</v>
      </c>
      <c r="U137" s="268" t="s">
        <v>4880</v>
      </c>
      <c r="V137" s="269">
        <v>7</v>
      </c>
      <c r="W137" s="269"/>
      <c r="X137" s="268" t="s">
        <v>4881</v>
      </c>
      <c r="Y137" t="s">
        <v>6394</v>
      </c>
      <c r="Z137" t="s">
        <v>6395</v>
      </c>
      <c r="AA137" s="268" t="s">
        <v>4884</v>
      </c>
      <c r="AB137" s="268"/>
      <c r="AC137" s="287">
        <v>1</v>
      </c>
      <c r="AD137" s="287">
        <v>1</v>
      </c>
      <c r="AE137" s="268"/>
      <c r="AF137" s="268"/>
      <c r="AG137" s="290"/>
    </row>
    <row r="138" spans="1:33" s="145" customFormat="1" x14ac:dyDescent="0.15">
      <c r="A138" s="270">
        <v>95104027</v>
      </c>
      <c r="B138" t="s">
        <v>6393</v>
      </c>
      <c r="C138" s="268" t="s">
        <v>6316</v>
      </c>
      <c r="D138" s="268">
        <v>5052</v>
      </c>
      <c r="E138" s="268" t="s">
        <v>4876</v>
      </c>
      <c r="F138" s="268" t="s">
        <v>4877</v>
      </c>
      <c r="G138" s="269">
        <v>7</v>
      </c>
      <c r="H138" s="269">
        <v>0</v>
      </c>
      <c r="I138" s="267">
        <v>34</v>
      </c>
      <c r="J138" s="282" t="s">
        <v>4987</v>
      </c>
      <c r="K138" s="279" t="s">
        <v>4988</v>
      </c>
      <c r="L138" s="279"/>
      <c r="M138" s="268">
        <v>1</v>
      </c>
      <c r="N138" s="268" t="b">
        <v>1</v>
      </c>
      <c r="O138" s="268">
        <v>38</v>
      </c>
      <c r="P138" s="281">
        <v>570</v>
      </c>
      <c r="Q138" s="281">
        <v>760</v>
      </c>
      <c r="R138" s="268" t="s">
        <v>3383</v>
      </c>
      <c r="S138" s="268"/>
      <c r="T138" s="268">
        <v>1</v>
      </c>
      <c r="U138" s="268" t="s">
        <v>4880</v>
      </c>
      <c r="V138" s="269">
        <v>10</v>
      </c>
      <c r="W138" s="269"/>
      <c r="X138" s="268" t="s">
        <v>4881</v>
      </c>
      <c r="Y138" t="s">
        <v>6394</v>
      </c>
      <c r="Z138" t="s">
        <v>6395</v>
      </c>
      <c r="AA138" s="268" t="s">
        <v>4884</v>
      </c>
      <c r="AB138" s="268"/>
      <c r="AC138" s="287">
        <v>1</v>
      </c>
      <c r="AD138" s="287">
        <v>1</v>
      </c>
      <c r="AE138" s="268"/>
      <c r="AF138" s="268"/>
      <c r="AG138" s="290"/>
    </row>
    <row r="139" spans="1:33" s="258" customFormat="1" x14ac:dyDescent="0.15">
      <c r="A139" s="271">
        <v>95104028</v>
      </c>
      <c r="B139" t="s">
        <v>6396</v>
      </c>
      <c r="C139" s="268" t="s">
        <v>6316</v>
      </c>
      <c r="D139" s="272">
        <v>5081</v>
      </c>
      <c r="E139" s="272" t="s">
        <v>4876</v>
      </c>
      <c r="F139" s="272" t="s">
        <v>4877</v>
      </c>
      <c r="G139" s="269">
        <v>6</v>
      </c>
      <c r="H139" s="273">
        <v>1</v>
      </c>
      <c r="I139" s="283">
        <v>34</v>
      </c>
      <c r="J139" s="284" t="s">
        <v>4987</v>
      </c>
      <c r="K139" s="285" t="s">
        <v>4988</v>
      </c>
      <c r="L139" s="272" t="s">
        <v>44</v>
      </c>
      <c r="M139" s="272">
        <v>1</v>
      </c>
      <c r="N139" s="272" t="b">
        <v>1</v>
      </c>
      <c r="O139" s="272">
        <v>51</v>
      </c>
      <c r="P139" s="281">
        <v>765</v>
      </c>
      <c r="Q139" s="281">
        <v>1020</v>
      </c>
      <c r="R139" s="272" t="s">
        <v>3383</v>
      </c>
      <c r="S139" s="272"/>
      <c r="T139" s="272">
        <v>1</v>
      </c>
      <c r="U139" s="272" t="s">
        <v>4880</v>
      </c>
      <c r="V139" s="273">
        <v>10</v>
      </c>
      <c r="W139" s="273"/>
      <c r="X139" s="272" t="s">
        <v>4881</v>
      </c>
      <c r="Y139" t="s">
        <v>6394</v>
      </c>
      <c r="Z139" t="s">
        <v>6395</v>
      </c>
      <c r="AA139" s="272" t="s">
        <v>4884</v>
      </c>
      <c r="AB139" s="272"/>
      <c r="AC139" s="289">
        <v>1</v>
      </c>
      <c r="AD139" s="289">
        <v>1</v>
      </c>
      <c r="AE139" s="289"/>
      <c r="AF139" s="272"/>
      <c r="AG139" s="272"/>
    </row>
    <row r="140" spans="1:33" s="258" customFormat="1" x14ac:dyDescent="0.15">
      <c r="A140" s="271">
        <v>95104029</v>
      </c>
      <c r="B140" t="s">
        <v>6397</v>
      </c>
      <c r="C140" s="268" t="s">
        <v>6316</v>
      </c>
      <c r="D140" s="272">
        <v>5081</v>
      </c>
      <c r="E140" s="272" t="s">
        <v>4876</v>
      </c>
      <c r="F140" s="272" t="s">
        <v>4877</v>
      </c>
      <c r="G140" s="269">
        <v>6</v>
      </c>
      <c r="H140" s="273">
        <v>1</v>
      </c>
      <c r="I140" s="283">
        <v>34</v>
      </c>
      <c r="J140" s="284" t="s">
        <v>4987</v>
      </c>
      <c r="K140" s="285" t="s">
        <v>4988</v>
      </c>
      <c r="L140" s="272" t="s">
        <v>4887</v>
      </c>
      <c r="M140" s="272">
        <v>1</v>
      </c>
      <c r="N140" s="272" t="b">
        <v>1</v>
      </c>
      <c r="O140" s="272">
        <v>64</v>
      </c>
      <c r="P140" s="281">
        <v>960</v>
      </c>
      <c r="Q140" s="281">
        <v>1280</v>
      </c>
      <c r="R140" s="272" t="s">
        <v>3383</v>
      </c>
      <c r="S140" s="272"/>
      <c r="T140" s="272">
        <v>1</v>
      </c>
      <c r="U140" s="272" t="s">
        <v>4880</v>
      </c>
      <c r="V140" s="273">
        <v>10</v>
      </c>
      <c r="W140" s="273"/>
      <c r="X140" s="272" t="s">
        <v>4881</v>
      </c>
      <c r="Y140" t="s">
        <v>6394</v>
      </c>
      <c r="Z140" t="s">
        <v>6395</v>
      </c>
      <c r="AA140" s="272" t="s">
        <v>4884</v>
      </c>
      <c r="AB140" s="272"/>
      <c r="AC140" s="289">
        <v>1</v>
      </c>
      <c r="AD140" s="289">
        <v>1</v>
      </c>
      <c r="AE140" s="289"/>
      <c r="AF140" s="272"/>
      <c r="AG140" s="272"/>
    </row>
    <row r="141" spans="1:33" s="258" customFormat="1" x14ac:dyDescent="0.15">
      <c r="A141" s="271">
        <v>95104030</v>
      </c>
      <c r="B141" t="s">
        <v>6398</v>
      </c>
      <c r="C141" s="268" t="s">
        <v>6316</v>
      </c>
      <c r="D141" s="272">
        <v>5081</v>
      </c>
      <c r="E141" s="272" t="s">
        <v>4876</v>
      </c>
      <c r="F141" s="272" t="s">
        <v>4877</v>
      </c>
      <c r="G141" s="269">
        <v>7</v>
      </c>
      <c r="H141" s="273">
        <v>0</v>
      </c>
      <c r="I141" s="283">
        <v>34</v>
      </c>
      <c r="J141" s="284" t="s">
        <v>4987</v>
      </c>
      <c r="K141" s="285" t="s">
        <v>4988</v>
      </c>
      <c r="L141" s="272" t="s">
        <v>4889</v>
      </c>
      <c r="M141" s="272">
        <v>1</v>
      </c>
      <c r="N141" s="272" t="b">
        <v>1</v>
      </c>
      <c r="O141" s="272">
        <v>77</v>
      </c>
      <c r="P141" s="281">
        <v>1155</v>
      </c>
      <c r="Q141" s="281">
        <v>1540</v>
      </c>
      <c r="R141" s="272" t="s">
        <v>3383</v>
      </c>
      <c r="S141" s="272"/>
      <c r="T141" s="272">
        <v>1</v>
      </c>
      <c r="U141" s="272" t="s">
        <v>4880</v>
      </c>
      <c r="V141" s="273">
        <v>10</v>
      </c>
      <c r="W141" s="273"/>
      <c r="X141" s="272" t="s">
        <v>4881</v>
      </c>
      <c r="Y141" t="s">
        <v>6394</v>
      </c>
      <c r="Z141" t="s">
        <v>6395</v>
      </c>
      <c r="AA141" s="272" t="s">
        <v>4884</v>
      </c>
      <c r="AB141" s="272"/>
      <c r="AC141" s="289">
        <v>1</v>
      </c>
      <c r="AD141" s="289">
        <v>1</v>
      </c>
      <c r="AE141" s="289"/>
      <c r="AF141" s="272"/>
      <c r="AG141" s="272"/>
    </row>
    <row r="142" spans="1:33" s="145" customFormat="1" x14ac:dyDescent="0.15">
      <c r="A142" s="267">
        <v>95104031</v>
      </c>
      <c r="B142" t="s">
        <v>6399</v>
      </c>
      <c r="C142" s="268" t="s">
        <v>6316</v>
      </c>
      <c r="D142" s="293">
        <v>5072</v>
      </c>
      <c r="E142" s="268" t="s">
        <v>4876</v>
      </c>
      <c r="F142" s="268" t="s">
        <v>4877</v>
      </c>
      <c r="G142" s="269">
        <v>1</v>
      </c>
      <c r="H142" s="269">
        <v>0</v>
      </c>
      <c r="I142" s="267">
        <v>34</v>
      </c>
      <c r="J142" s="282" t="s">
        <v>4995</v>
      </c>
      <c r="K142" s="279" t="s">
        <v>4996</v>
      </c>
      <c r="L142" s="279"/>
      <c r="M142" s="268">
        <v>1</v>
      </c>
      <c r="N142" s="268" t="b">
        <v>1</v>
      </c>
      <c r="O142" s="268">
        <v>2</v>
      </c>
      <c r="P142" s="281">
        <v>30</v>
      </c>
      <c r="Q142" s="281">
        <v>40</v>
      </c>
      <c r="R142" s="268" t="s">
        <v>3383</v>
      </c>
      <c r="S142" s="268"/>
      <c r="T142" s="268">
        <v>1</v>
      </c>
      <c r="U142" s="268" t="s">
        <v>4880</v>
      </c>
      <c r="V142" s="269">
        <v>1</v>
      </c>
      <c r="W142" s="269"/>
      <c r="X142" s="268" t="s">
        <v>4881</v>
      </c>
      <c r="Y142" t="s">
        <v>6400</v>
      </c>
      <c r="Z142" t="s">
        <v>6401</v>
      </c>
      <c r="AA142" s="268" t="s">
        <v>4884</v>
      </c>
      <c r="AB142" s="268"/>
      <c r="AC142" s="287">
        <v>1</v>
      </c>
      <c r="AD142" s="287">
        <v>1</v>
      </c>
      <c r="AE142" s="268"/>
      <c r="AF142" s="268"/>
      <c r="AG142" s="290"/>
    </row>
    <row r="143" spans="1:33" s="145" customFormat="1" x14ac:dyDescent="0.15">
      <c r="A143" s="267">
        <v>95104032</v>
      </c>
      <c r="B143" t="s">
        <v>6399</v>
      </c>
      <c r="C143" s="268" t="s">
        <v>6316</v>
      </c>
      <c r="D143" s="293">
        <v>5072</v>
      </c>
      <c r="E143" s="268" t="s">
        <v>4876</v>
      </c>
      <c r="F143" s="268" t="s">
        <v>4877</v>
      </c>
      <c r="G143" s="269">
        <v>2</v>
      </c>
      <c r="H143" s="269">
        <v>0</v>
      </c>
      <c r="I143" s="267">
        <v>34</v>
      </c>
      <c r="J143" s="282" t="s">
        <v>4995</v>
      </c>
      <c r="K143" s="279" t="s">
        <v>4996</v>
      </c>
      <c r="L143" s="279"/>
      <c r="M143" s="268">
        <v>1</v>
      </c>
      <c r="N143" s="268" t="b">
        <v>1</v>
      </c>
      <c r="O143" s="268">
        <v>5</v>
      </c>
      <c r="P143" s="281">
        <v>75</v>
      </c>
      <c r="Q143" s="281">
        <v>100</v>
      </c>
      <c r="R143" s="268" t="s">
        <v>3383</v>
      </c>
      <c r="S143" s="268"/>
      <c r="T143" s="268">
        <v>1</v>
      </c>
      <c r="U143" s="268" t="s">
        <v>4880</v>
      </c>
      <c r="V143" s="269">
        <v>2</v>
      </c>
      <c r="W143" s="269"/>
      <c r="X143" s="268" t="s">
        <v>4881</v>
      </c>
      <c r="Y143" t="s">
        <v>6400</v>
      </c>
      <c r="Z143" t="s">
        <v>6401</v>
      </c>
      <c r="AA143" s="268" t="s">
        <v>4884</v>
      </c>
      <c r="AB143" s="268"/>
      <c r="AC143" s="287">
        <v>1</v>
      </c>
      <c r="AD143" s="287">
        <v>1</v>
      </c>
      <c r="AE143" s="268"/>
      <c r="AF143" s="268"/>
      <c r="AG143" s="290"/>
    </row>
    <row r="144" spans="1:33" s="145" customFormat="1" x14ac:dyDescent="0.15">
      <c r="A144" s="267">
        <v>95104033</v>
      </c>
      <c r="B144" t="s">
        <v>6399</v>
      </c>
      <c r="C144" s="268" t="s">
        <v>6316</v>
      </c>
      <c r="D144" s="293">
        <v>5072</v>
      </c>
      <c r="E144" s="268" t="s">
        <v>4876</v>
      </c>
      <c r="F144" s="268" t="s">
        <v>4877</v>
      </c>
      <c r="G144" s="269">
        <v>3</v>
      </c>
      <c r="H144" s="269">
        <v>0</v>
      </c>
      <c r="I144" s="267">
        <v>34</v>
      </c>
      <c r="J144" s="282" t="s">
        <v>4995</v>
      </c>
      <c r="K144" s="279" t="s">
        <v>4996</v>
      </c>
      <c r="L144" s="279"/>
      <c r="M144" s="268">
        <v>1</v>
      </c>
      <c r="N144" s="268" t="b">
        <v>1</v>
      </c>
      <c r="O144" s="268">
        <v>7</v>
      </c>
      <c r="P144" s="281">
        <v>105</v>
      </c>
      <c r="Q144" s="281">
        <v>140</v>
      </c>
      <c r="R144" s="268" t="s">
        <v>3383</v>
      </c>
      <c r="S144" s="268"/>
      <c r="T144" s="268">
        <v>1</v>
      </c>
      <c r="U144" s="268" t="s">
        <v>4880</v>
      </c>
      <c r="V144" s="269">
        <v>3</v>
      </c>
      <c r="W144" s="269"/>
      <c r="X144" s="268" t="s">
        <v>4881</v>
      </c>
      <c r="Y144" t="s">
        <v>6400</v>
      </c>
      <c r="Z144" t="s">
        <v>6401</v>
      </c>
      <c r="AA144" s="268" t="s">
        <v>4884</v>
      </c>
      <c r="AB144" s="268"/>
      <c r="AC144" s="287">
        <v>1</v>
      </c>
      <c r="AD144" s="287">
        <v>1</v>
      </c>
      <c r="AE144" s="268"/>
      <c r="AF144" s="268"/>
      <c r="AG144" s="290"/>
    </row>
    <row r="145" spans="1:33" s="145" customFormat="1" x14ac:dyDescent="0.15">
      <c r="A145" s="267">
        <v>95104034</v>
      </c>
      <c r="B145" t="s">
        <v>6399</v>
      </c>
      <c r="C145" s="268" t="s">
        <v>6316</v>
      </c>
      <c r="D145" s="293">
        <v>5072</v>
      </c>
      <c r="E145" s="268" t="s">
        <v>4876</v>
      </c>
      <c r="F145" s="268" t="s">
        <v>4877</v>
      </c>
      <c r="G145" s="269">
        <v>4</v>
      </c>
      <c r="H145" s="269">
        <v>0</v>
      </c>
      <c r="I145" s="267">
        <v>34</v>
      </c>
      <c r="J145" s="282" t="s">
        <v>4995</v>
      </c>
      <c r="K145" s="279" t="s">
        <v>4996</v>
      </c>
      <c r="L145" s="279"/>
      <c r="M145" s="268">
        <v>1</v>
      </c>
      <c r="N145" s="268" t="b">
        <v>1</v>
      </c>
      <c r="O145" s="268">
        <v>10</v>
      </c>
      <c r="P145" s="281">
        <v>150</v>
      </c>
      <c r="Q145" s="281">
        <v>200</v>
      </c>
      <c r="R145" s="268" t="s">
        <v>3383</v>
      </c>
      <c r="S145" s="268"/>
      <c r="T145" s="268">
        <v>1</v>
      </c>
      <c r="U145" s="268" t="s">
        <v>4880</v>
      </c>
      <c r="V145" s="269">
        <v>4</v>
      </c>
      <c r="W145" s="269"/>
      <c r="X145" s="268" t="s">
        <v>4881</v>
      </c>
      <c r="Y145" t="s">
        <v>6400</v>
      </c>
      <c r="Z145" t="s">
        <v>6401</v>
      </c>
      <c r="AA145" s="268" t="s">
        <v>4884</v>
      </c>
      <c r="AB145" s="268"/>
      <c r="AC145" s="287">
        <v>1</v>
      </c>
      <c r="AD145" s="287">
        <v>1</v>
      </c>
      <c r="AE145" s="268"/>
      <c r="AF145" s="268"/>
      <c r="AG145" s="290"/>
    </row>
    <row r="146" spans="1:33" s="145" customFormat="1" x14ac:dyDescent="0.15">
      <c r="A146" s="267">
        <v>95104035</v>
      </c>
      <c r="B146" t="s">
        <v>6399</v>
      </c>
      <c r="C146" s="268" t="s">
        <v>6316</v>
      </c>
      <c r="D146" s="293">
        <v>5072</v>
      </c>
      <c r="E146" s="268" t="s">
        <v>4876</v>
      </c>
      <c r="F146" s="268" t="s">
        <v>4877</v>
      </c>
      <c r="G146" s="269">
        <v>5</v>
      </c>
      <c r="H146" s="269">
        <v>0</v>
      </c>
      <c r="I146" s="267">
        <v>34</v>
      </c>
      <c r="J146" s="282" t="s">
        <v>4995</v>
      </c>
      <c r="K146" s="279" t="s">
        <v>4996</v>
      </c>
      <c r="L146" s="279"/>
      <c r="M146" s="268">
        <v>1</v>
      </c>
      <c r="N146" s="268" t="b">
        <v>1</v>
      </c>
      <c r="O146" s="268">
        <v>12</v>
      </c>
      <c r="P146" s="281">
        <v>180</v>
      </c>
      <c r="Q146" s="281">
        <v>240</v>
      </c>
      <c r="R146" s="268" t="s">
        <v>3383</v>
      </c>
      <c r="S146" s="268"/>
      <c r="T146" s="268">
        <v>1</v>
      </c>
      <c r="U146" s="268" t="s">
        <v>4880</v>
      </c>
      <c r="V146" s="269">
        <v>5</v>
      </c>
      <c r="W146" s="269"/>
      <c r="X146" s="268" t="s">
        <v>4881</v>
      </c>
      <c r="Y146" t="s">
        <v>6400</v>
      </c>
      <c r="Z146" t="s">
        <v>6401</v>
      </c>
      <c r="AA146" s="268" t="s">
        <v>4884</v>
      </c>
      <c r="AB146" s="268"/>
      <c r="AC146" s="287">
        <v>1</v>
      </c>
      <c r="AD146" s="287">
        <v>1</v>
      </c>
      <c r="AE146" s="268"/>
      <c r="AF146" s="268"/>
      <c r="AG146" s="290"/>
    </row>
    <row r="147" spans="1:33" s="145" customFormat="1" x14ac:dyDescent="0.15">
      <c r="A147" s="270">
        <v>95104036</v>
      </c>
      <c r="B147" t="s">
        <v>6399</v>
      </c>
      <c r="C147" s="268" t="s">
        <v>6316</v>
      </c>
      <c r="D147" s="268">
        <v>5072</v>
      </c>
      <c r="E147" s="268" t="s">
        <v>4876</v>
      </c>
      <c r="F147" s="268" t="s">
        <v>4877</v>
      </c>
      <c r="G147" s="269">
        <v>6</v>
      </c>
      <c r="H147" s="269">
        <v>0</v>
      </c>
      <c r="I147" s="267">
        <v>34</v>
      </c>
      <c r="J147" s="282" t="s">
        <v>4995</v>
      </c>
      <c r="K147" s="279" t="s">
        <v>4996</v>
      </c>
      <c r="L147" s="279"/>
      <c r="M147" s="268">
        <v>1</v>
      </c>
      <c r="N147" s="268" t="b">
        <v>1</v>
      </c>
      <c r="O147" s="268">
        <v>25</v>
      </c>
      <c r="P147" s="281">
        <v>375</v>
      </c>
      <c r="Q147" s="281">
        <v>500</v>
      </c>
      <c r="R147" s="268" t="s">
        <v>3383</v>
      </c>
      <c r="S147" s="268"/>
      <c r="T147" s="268">
        <v>1</v>
      </c>
      <c r="U147" s="268" t="s">
        <v>4880</v>
      </c>
      <c r="V147" s="269">
        <v>7</v>
      </c>
      <c r="W147" s="269"/>
      <c r="X147" s="268" t="s">
        <v>4881</v>
      </c>
      <c r="Y147" t="s">
        <v>6400</v>
      </c>
      <c r="Z147" t="s">
        <v>6401</v>
      </c>
      <c r="AA147" s="268" t="s">
        <v>4884</v>
      </c>
      <c r="AB147" s="268"/>
      <c r="AC147" s="287">
        <v>1</v>
      </c>
      <c r="AD147" s="287">
        <v>1</v>
      </c>
      <c r="AE147" s="268"/>
      <c r="AF147" s="268"/>
      <c r="AG147" s="290"/>
    </row>
    <row r="148" spans="1:33" s="145" customFormat="1" x14ac:dyDescent="0.15">
      <c r="A148" s="270">
        <v>95104037</v>
      </c>
      <c r="B148" t="s">
        <v>6399</v>
      </c>
      <c r="C148" s="268" t="s">
        <v>6316</v>
      </c>
      <c r="D148" s="268">
        <v>5072</v>
      </c>
      <c r="E148" s="268" t="s">
        <v>4876</v>
      </c>
      <c r="F148" s="268" t="s">
        <v>4877</v>
      </c>
      <c r="G148" s="269">
        <v>7</v>
      </c>
      <c r="H148" s="269">
        <v>0</v>
      </c>
      <c r="I148" s="267">
        <v>34</v>
      </c>
      <c r="J148" s="282" t="s">
        <v>4995</v>
      </c>
      <c r="K148" s="279" t="s">
        <v>4996</v>
      </c>
      <c r="L148" s="279"/>
      <c r="M148" s="268">
        <v>1</v>
      </c>
      <c r="N148" s="268" t="b">
        <v>1</v>
      </c>
      <c r="O148" s="268">
        <v>38</v>
      </c>
      <c r="P148" s="281">
        <v>570</v>
      </c>
      <c r="Q148" s="281">
        <v>760</v>
      </c>
      <c r="R148" s="268" t="s">
        <v>3383</v>
      </c>
      <c r="S148" s="268"/>
      <c r="T148" s="268">
        <v>1</v>
      </c>
      <c r="U148" s="268" t="s">
        <v>4880</v>
      </c>
      <c r="V148" s="269">
        <v>10</v>
      </c>
      <c r="W148" s="269"/>
      <c r="X148" s="268" t="s">
        <v>4881</v>
      </c>
      <c r="Y148" t="s">
        <v>6400</v>
      </c>
      <c r="Z148" t="s">
        <v>6401</v>
      </c>
      <c r="AA148" s="268" t="s">
        <v>4884</v>
      </c>
      <c r="AB148" s="268"/>
      <c r="AC148" s="287">
        <v>1</v>
      </c>
      <c r="AD148" s="287">
        <v>1</v>
      </c>
      <c r="AE148" s="268"/>
      <c r="AF148" s="268"/>
      <c r="AG148" s="290"/>
    </row>
    <row r="149" spans="1:33" s="258" customFormat="1" x14ac:dyDescent="0.15">
      <c r="A149" s="271">
        <v>95104038</v>
      </c>
      <c r="B149" t="s">
        <v>6402</v>
      </c>
      <c r="C149" s="268" t="s">
        <v>6316</v>
      </c>
      <c r="D149" s="272">
        <v>5081</v>
      </c>
      <c r="E149" s="272" t="s">
        <v>4876</v>
      </c>
      <c r="F149" s="272" t="s">
        <v>4877</v>
      </c>
      <c r="G149" s="269">
        <v>6</v>
      </c>
      <c r="H149" s="273">
        <v>1</v>
      </c>
      <c r="I149" s="283">
        <v>34</v>
      </c>
      <c r="J149" s="284" t="s">
        <v>4995</v>
      </c>
      <c r="K149" s="285" t="s">
        <v>4996</v>
      </c>
      <c r="L149" s="272" t="s">
        <v>44</v>
      </c>
      <c r="M149" s="272">
        <v>1</v>
      </c>
      <c r="N149" s="272" t="b">
        <v>1</v>
      </c>
      <c r="O149" s="272">
        <v>51</v>
      </c>
      <c r="P149" s="281">
        <v>765</v>
      </c>
      <c r="Q149" s="281">
        <v>1020</v>
      </c>
      <c r="R149" s="272" t="s">
        <v>3383</v>
      </c>
      <c r="S149" s="272"/>
      <c r="T149" s="272">
        <v>1</v>
      </c>
      <c r="U149" s="272" t="s">
        <v>4880</v>
      </c>
      <c r="V149" s="273">
        <v>10</v>
      </c>
      <c r="W149" s="273"/>
      <c r="X149" s="272" t="s">
        <v>4881</v>
      </c>
      <c r="Y149" t="s">
        <v>6400</v>
      </c>
      <c r="Z149" t="s">
        <v>6401</v>
      </c>
      <c r="AA149" s="272" t="s">
        <v>4884</v>
      </c>
      <c r="AB149" s="272"/>
      <c r="AC149" s="289">
        <v>1</v>
      </c>
      <c r="AD149" s="289">
        <v>1</v>
      </c>
      <c r="AE149" s="289"/>
      <c r="AF149" s="272"/>
      <c r="AG149" s="272"/>
    </row>
    <row r="150" spans="1:33" s="258" customFormat="1" x14ac:dyDescent="0.15">
      <c r="A150" s="271">
        <v>95104039</v>
      </c>
      <c r="B150" t="s">
        <v>6403</v>
      </c>
      <c r="C150" s="268" t="s">
        <v>6316</v>
      </c>
      <c r="D150" s="272">
        <v>5081</v>
      </c>
      <c r="E150" s="272" t="s">
        <v>4876</v>
      </c>
      <c r="F150" s="272" t="s">
        <v>4877</v>
      </c>
      <c r="G150" s="269">
        <v>6</v>
      </c>
      <c r="H150" s="273">
        <v>1</v>
      </c>
      <c r="I150" s="283">
        <v>34</v>
      </c>
      <c r="J150" s="284" t="s">
        <v>4995</v>
      </c>
      <c r="K150" s="285" t="s">
        <v>4996</v>
      </c>
      <c r="L150" s="272" t="s">
        <v>4887</v>
      </c>
      <c r="M150" s="272">
        <v>1</v>
      </c>
      <c r="N150" s="272" t="b">
        <v>1</v>
      </c>
      <c r="O150" s="272">
        <v>64</v>
      </c>
      <c r="P150" s="281">
        <v>960</v>
      </c>
      <c r="Q150" s="281">
        <v>1280</v>
      </c>
      <c r="R150" s="272" t="s">
        <v>3383</v>
      </c>
      <c r="S150" s="272"/>
      <c r="T150" s="272">
        <v>1</v>
      </c>
      <c r="U150" s="272" t="s">
        <v>4880</v>
      </c>
      <c r="V150" s="273">
        <v>10</v>
      </c>
      <c r="W150" s="273"/>
      <c r="X150" s="272" t="s">
        <v>4881</v>
      </c>
      <c r="Y150" t="s">
        <v>6400</v>
      </c>
      <c r="Z150" t="s">
        <v>6401</v>
      </c>
      <c r="AA150" s="272" t="s">
        <v>4884</v>
      </c>
      <c r="AB150" s="272"/>
      <c r="AC150" s="289">
        <v>1</v>
      </c>
      <c r="AD150" s="289">
        <v>1</v>
      </c>
      <c r="AE150" s="289"/>
      <c r="AF150" s="272"/>
      <c r="AG150" s="272"/>
    </row>
    <row r="151" spans="1:33" s="258" customFormat="1" x14ac:dyDescent="0.15">
      <c r="A151" s="271">
        <v>95104040</v>
      </c>
      <c r="B151" t="s">
        <v>6404</v>
      </c>
      <c r="C151" s="268" t="s">
        <v>6316</v>
      </c>
      <c r="D151" s="272">
        <v>5081</v>
      </c>
      <c r="E151" s="272" t="s">
        <v>4876</v>
      </c>
      <c r="F151" s="272" t="s">
        <v>4877</v>
      </c>
      <c r="G151" s="269">
        <v>7</v>
      </c>
      <c r="H151" s="273">
        <v>0</v>
      </c>
      <c r="I151" s="283">
        <v>34</v>
      </c>
      <c r="J151" s="284" t="s">
        <v>4995</v>
      </c>
      <c r="K151" s="285" t="s">
        <v>4996</v>
      </c>
      <c r="L151" s="272" t="s">
        <v>4889</v>
      </c>
      <c r="M151" s="272">
        <v>1</v>
      </c>
      <c r="N151" s="272" t="b">
        <v>1</v>
      </c>
      <c r="O151" s="272">
        <v>77</v>
      </c>
      <c r="P151" s="281">
        <v>1155</v>
      </c>
      <c r="Q151" s="281">
        <v>1540</v>
      </c>
      <c r="R151" s="272" t="s">
        <v>3383</v>
      </c>
      <c r="S151" s="272"/>
      <c r="T151" s="272">
        <v>1</v>
      </c>
      <c r="U151" s="272" t="s">
        <v>4880</v>
      </c>
      <c r="V151" s="273">
        <v>10</v>
      </c>
      <c r="W151" s="273"/>
      <c r="X151" s="272" t="s">
        <v>4881</v>
      </c>
      <c r="Y151" t="s">
        <v>6400</v>
      </c>
      <c r="Z151" t="s">
        <v>6401</v>
      </c>
      <c r="AA151" s="272" t="s">
        <v>4884</v>
      </c>
      <c r="AB151" s="272"/>
      <c r="AC151" s="289">
        <v>1</v>
      </c>
      <c r="AD151" s="289">
        <v>1</v>
      </c>
      <c r="AE151" s="289"/>
      <c r="AF151" s="272"/>
      <c r="AG151" s="272"/>
    </row>
    <row r="152" spans="1:33" s="145" customFormat="1" x14ac:dyDescent="0.15">
      <c r="A152" s="267">
        <v>95104041</v>
      </c>
      <c r="B152" t="s">
        <v>6405</v>
      </c>
      <c r="C152" s="268" t="s">
        <v>6316</v>
      </c>
      <c r="D152" s="293">
        <v>5072</v>
      </c>
      <c r="E152" s="268" t="s">
        <v>4876</v>
      </c>
      <c r="F152" s="268" t="s">
        <v>4877</v>
      </c>
      <c r="G152" s="269">
        <v>1</v>
      </c>
      <c r="H152" s="269">
        <v>0</v>
      </c>
      <c r="I152" s="267">
        <v>34</v>
      </c>
      <c r="J152" s="282" t="s">
        <v>5003</v>
      </c>
      <c r="K152" s="279" t="s">
        <v>5004</v>
      </c>
      <c r="L152" s="279"/>
      <c r="M152" s="268">
        <v>1</v>
      </c>
      <c r="N152" s="268" t="b">
        <v>1</v>
      </c>
      <c r="O152" s="268">
        <v>2</v>
      </c>
      <c r="P152" s="281">
        <v>30</v>
      </c>
      <c r="Q152" s="281">
        <v>40</v>
      </c>
      <c r="R152" s="268" t="s">
        <v>3383</v>
      </c>
      <c r="S152" s="268"/>
      <c r="T152" s="268">
        <v>1</v>
      </c>
      <c r="U152" s="268" t="s">
        <v>4880</v>
      </c>
      <c r="V152" s="269">
        <v>1</v>
      </c>
      <c r="W152" s="269"/>
      <c r="X152" s="268" t="s">
        <v>4881</v>
      </c>
      <c r="Y152" t="s">
        <v>6406</v>
      </c>
      <c r="Z152" t="s">
        <v>6407</v>
      </c>
      <c r="AA152" s="268" t="s">
        <v>4884</v>
      </c>
      <c r="AB152" s="268"/>
      <c r="AC152" s="287">
        <v>1</v>
      </c>
      <c r="AD152" s="287">
        <v>1</v>
      </c>
      <c r="AE152" s="268"/>
      <c r="AF152" s="268"/>
      <c r="AG152" s="290"/>
    </row>
    <row r="153" spans="1:33" s="145" customFormat="1" x14ac:dyDescent="0.15">
      <c r="A153" s="267">
        <v>95104042</v>
      </c>
      <c r="B153" t="s">
        <v>6405</v>
      </c>
      <c r="C153" s="268" t="s">
        <v>6316</v>
      </c>
      <c r="D153" s="293">
        <v>5072</v>
      </c>
      <c r="E153" s="268" t="s">
        <v>4876</v>
      </c>
      <c r="F153" s="268" t="s">
        <v>4877</v>
      </c>
      <c r="G153" s="269">
        <v>2</v>
      </c>
      <c r="H153" s="269">
        <v>0</v>
      </c>
      <c r="I153" s="267">
        <v>34</v>
      </c>
      <c r="J153" s="282" t="s">
        <v>5003</v>
      </c>
      <c r="K153" s="279" t="s">
        <v>5004</v>
      </c>
      <c r="L153" s="279"/>
      <c r="M153" s="268">
        <v>1</v>
      </c>
      <c r="N153" s="268" t="b">
        <v>1</v>
      </c>
      <c r="O153" s="268">
        <v>5</v>
      </c>
      <c r="P153" s="281">
        <v>75</v>
      </c>
      <c r="Q153" s="281">
        <v>100</v>
      </c>
      <c r="R153" s="268" t="s">
        <v>3383</v>
      </c>
      <c r="S153" s="268"/>
      <c r="T153" s="268">
        <v>1</v>
      </c>
      <c r="U153" s="268" t="s">
        <v>4880</v>
      </c>
      <c r="V153" s="269">
        <v>2</v>
      </c>
      <c r="W153" s="269"/>
      <c r="X153" s="268" t="s">
        <v>4881</v>
      </c>
      <c r="Y153" t="s">
        <v>6406</v>
      </c>
      <c r="Z153" t="s">
        <v>6407</v>
      </c>
      <c r="AA153" s="268" t="s">
        <v>4884</v>
      </c>
      <c r="AB153" s="268"/>
      <c r="AC153" s="287">
        <v>1</v>
      </c>
      <c r="AD153" s="287">
        <v>1</v>
      </c>
      <c r="AE153" s="268"/>
      <c r="AF153" s="268"/>
      <c r="AG153" s="290"/>
    </row>
    <row r="154" spans="1:33" s="145" customFormat="1" x14ac:dyDescent="0.15">
      <c r="A154" s="267">
        <v>95104043</v>
      </c>
      <c r="B154" t="s">
        <v>6405</v>
      </c>
      <c r="C154" s="268" t="s">
        <v>6316</v>
      </c>
      <c r="D154" s="293">
        <v>5072</v>
      </c>
      <c r="E154" s="268" t="s">
        <v>4876</v>
      </c>
      <c r="F154" s="268" t="s">
        <v>4877</v>
      </c>
      <c r="G154" s="269">
        <v>3</v>
      </c>
      <c r="H154" s="269">
        <v>0</v>
      </c>
      <c r="I154" s="267">
        <v>34</v>
      </c>
      <c r="J154" s="282" t="s">
        <v>5003</v>
      </c>
      <c r="K154" s="279" t="s">
        <v>5004</v>
      </c>
      <c r="L154" s="279"/>
      <c r="M154" s="268">
        <v>1</v>
      </c>
      <c r="N154" s="268" t="b">
        <v>1</v>
      </c>
      <c r="O154" s="268">
        <v>7</v>
      </c>
      <c r="P154" s="281">
        <v>105</v>
      </c>
      <c r="Q154" s="281">
        <v>140</v>
      </c>
      <c r="R154" s="268" t="s">
        <v>3383</v>
      </c>
      <c r="S154" s="268"/>
      <c r="T154" s="268">
        <v>1</v>
      </c>
      <c r="U154" s="268" t="s">
        <v>4880</v>
      </c>
      <c r="V154" s="269">
        <v>3</v>
      </c>
      <c r="W154" s="269"/>
      <c r="X154" s="268" t="s">
        <v>4881</v>
      </c>
      <c r="Y154" t="s">
        <v>6406</v>
      </c>
      <c r="Z154" t="s">
        <v>6407</v>
      </c>
      <c r="AA154" s="268" t="s">
        <v>4884</v>
      </c>
      <c r="AB154" s="268"/>
      <c r="AC154" s="287">
        <v>1</v>
      </c>
      <c r="AD154" s="287">
        <v>1</v>
      </c>
      <c r="AE154" s="268"/>
      <c r="AF154" s="268"/>
      <c r="AG154" s="290"/>
    </row>
    <row r="155" spans="1:33" s="145" customFormat="1" x14ac:dyDescent="0.15">
      <c r="A155" s="267">
        <v>95104044</v>
      </c>
      <c r="B155" t="s">
        <v>6405</v>
      </c>
      <c r="C155" s="268" t="s">
        <v>6316</v>
      </c>
      <c r="D155" s="293">
        <v>5072</v>
      </c>
      <c r="E155" s="268" t="s">
        <v>4876</v>
      </c>
      <c r="F155" s="268" t="s">
        <v>4877</v>
      </c>
      <c r="G155" s="269">
        <v>4</v>
      </c>
      <c r="H155" s="269">
        <v>0</v>
      </c>
      <c r="I155" s="267">
        <v>34</v>
      </c>
      <c r="J155" s="282" t="s">
        <v>5003</v>
      </c>
      <c r="K155" s="279" t="s">
        <v>5004</v>
      </c>
      <c r="L155" s="279"/>
      <c r="M155" s="268">
        <v>1</v>
      </c>
      <c r="N155" s="268" t="b">
        <v>1</v>
      </c>
      <c r="O155" s="268">
        <v>10</v>
      </c>
      <c r="P155" s="281">
        <v>150</v>
      </c>
      <c r="Q155" s="281">
        <v>200</v>
      </c>
      <c r="R155" s="268" t="s">
        <v>3383</v>
      </c>
      <c r="S155" s="268"/>
      <c r="T155" s="268">
        <v>1</v>
      </c>
      <c r="U155" s="268" t="s">
        <v>4880</v>
      </c>
      <c r="V155" s="269">
        <v>4</v>
      </c>
      <c r="W155" s="269"/>
      <c r="X155" s="268" t="s">
        <v>4881</v>
      </c>
      <c r="Y155" t="s">
        <v>6406</v>
      </c>
      <c r="Z155" t="s">
        <v>6407</v>
      </c>
      <c r="AA155" s="268" t="s">
        <v>4884</v>
      </c>
      <c r="AB155" s="268"/>
      <c r="AC155" s="287">
        <v>1</v>
      </c>
      <c r="AD155" s="287">
        <v>1</v>
      </c>
      <c r="AE155" s="268"/>
      <c r="AF155" s="268"/>
      <c r="AG155" s="290"/>
    </row>
    <row r="156" spans="1:33" s="145" customFormat="1" x14ac:dyDescent="0.15">
      <c r="A156" s="267">
        <v>95104045</v>
      </c>
      <c r="B156" t="s">
        <v>6405</v>
      </c>
      <c r="C156" s="268" t="s">
        <v>6316</v>
      </c>
      <c r="D156" s="293">
        <v>5072</v>
      </c>
      <c r="E156" s="268" t="s">
        <v>4876</v>
      </c>
      <c r="F156" s="268" t="s">
        <v>4877</v>
      </c>
      <c r="G156" s="269">
        <v>5</v>
      </c>
      <c r="H156" s="269">
        <v>0</v>
      </c>
      <c r="I156" s="267">
        <v>34</v>
      </c>
      <c r="J156" s="282" t="s">
        <v>5003</v>
      </c>
      <c r="K156" s="279" t="s">
        <v>5004</v>
      </c>
      <c r="L156" s="279"/>
      <c r="M156" s="268">
        <v>1</v>
      </c>
      <c r="N156" s="268" t="b">
        <v>1</v>
      </c>
      <c r="O156" s="268">
        <v>12</v>
      </c>
      <c r="P156" s="281">
        <v>180</v>
      </c>
      <c r="Q156" s="281">
        <v>240</v>
      </c>
      <c r="R156" s="268" t="s">
        <v>3383</v>
      </c>
      <c r="S156" s="268"/>
      <c r="T156" s="268">
        <v>1</v>
      </c>
      <c r="U156" s="268" t="s">
        <v>4880</v>
      </c>
      <c r="V156" s="269">
        <v>5</v>
      </c>
      <c r="W156" s="269"/>
      <c r="X156" s="268" t="s">
        <v>4881</v>
      </c>
      <c r="Y156" t="s">
        <v>6406</v>
      </c>
      <c r="Z156" t="s">
        <v>6407</v>
      </c>
      <c r="AA156" s="268" t="s">
        <v>4884</v>
      </c>
      <c r="AB156" s="268"/>
      <c r="AC156" s="287">
        <v>1</v>
      </c>
      <c r="AD156" s="287">
        <v>1</v>
      </c>
      <c r="AE156" s="268"/>
      <c r="AF156" s="268"/>
      <c r="AG156" s="290"/>
    </row>
    <row r="157" spans="1:33" s="145" customFormat="1" x14ac:dyDescent="0.15">
      <c r="A157" s="267">
        <v>95104046</v>
      </c>
      <c r="B157" t="s">
        <v>6405</v>
      </c>
      <c r="C157" s="268" t="s">
        <v>6316</v>
      </c>
      <c r="D157" s="268">
        <v>5072</v>
      </c>
      <c r="E157" s="268" t="s">
        <v>4876</v>
      </c>
      <c r="F157" s="268" t="s">
        <v>4877</v>
      </c>
      <c r="G157" s="269">
        <v>6</v>
      </c>
      <c r="H157" s="269">
        <v>0</v>
      </c>
      <c r="I157" s="267">
        <v>34</v>
      </c>
      <c r="J157" s="282" t="s">
        <v>5003</v>
      </c>
      <c r="K157" s="279" t="s">
        <v>5004</v>
      </c>
      <c r="L157" s="279"/>
      <c r="M157" s="268">
        <v>1</v>
      </c>
      <c r="N157" s="268" t="b">
        <v>1</v>
      </c>
      <c r="O157" s="268">
        <v>25</v>
      </c>
      <c r="P157" s="281">
        <v>375</v>
      </c>
      <c r="Q157" s="281">
        <v>500</v>
      </c>
      <c r="R157" s="268" t="s">
        <v>3383</v>
      </c>
      <c r="S157" s="268"/>
      <c r="T157" s="268">
        <v>1</v>
      </c>
      <c r="U157" s="268" t="s">
        <v>4880</v>
      </c>
      <c r="V157" s="269">
        <v>7</v>
      </c>
      <c r="W157" s="269"/>
      <c r="X157" s="268" t="s">
        <v>4881</v>
      </c>
      <c r="Y157" t="s">
        <v>6406</v>
      </c>
      <c r="Z157" t="s">
        <v>6407</v>
      </c>
      <c r="AA157" s="268" t="s">
        <v>4884</v>
      </c>
      <c r="AB157" s="268"/>
      <c r="AC157" s="287">
        <v>1</v>
      </c>
      <c r="AD157" s="287">
        <v>1</v>
      </c>
      <c r="AE157" s="268"/>
      <c r="AF157" s="268"/>
      <c r="AG157" s="290"/>
    </row>
    <row r="158" spans="1:33" s="145" customFormat="1" x14ac:dyDescent="0.15">
      <c r="A158" s="267">
        <v>95104047</v>
      </c>
      <c r="B158" t="s">
        <v>6405</v>
      </c>
      <c r="C158" s="268" t="s">
        <v>6316</v>
      </c>
      <c r="D158" s="268">
        <v>5072</v>
      </c>
      <c r="E158" s="268" t="s">
        <v>4876</v>
      </c>
      <c r="F158" s="268" t="s">
        <v>4877</v>
      </c>
      <c r="G158" s="269">
        <v>7</v>
      </c>
      <c r="H158" s="269">
        <v>0</v>
      </c>
      <c r="I158" s="267">
        <v>34</v>
      </c>
      <c r="J158" s="282" t="s">
        <v>5003</v>
      </c>
      <c r="K158" s="279" t="s">
        <v>5004</v>
      </c>
      <c r="L158" s="279"/>
      <c r="M158" s="268">
        <v>1</v>
      </c>
      <c r="N158" s="268" t="b">
        <v>1</v>
      </c>
      <c r="O158" s="268">
        <v>38</v>
      </c>
      <c r="P158" s="281">
        <v>570</v>
      </c>
      <c r="Q158" s="281">
        <v>760</v>
      </c>
      <c r="R158" s="268" t="s">
        <v>3383</v>
      </c>
      <c r="S158" s="268"/>
      <c r="T158" s="268">
        <v>1</v>
      </c>
      <c r="U158" s="268" t="s">
        <v>4880</v>
      </c>
      <c r="V158" s="269">
        <v>10</v>
      </c>
      <c r="W158" s="269"/>
      <c r="X158" s="268" t="s">
        <v>4881</v>
      </c>
      <c r="Y158" t="s">
        <v>6406</v>
      </c>
      <c r="Z158" t="s">
        <v>6407</v>
      </c>
      <c r="AA158" s="268" t="s">
        <v>4884</v>
      </c>
      <c r="AB158" s="268"/>
      <c r="AC158" s="287">
        <v>1</v>
      </c>
      <c r="AD158" s="287">
        <v>1</v>
      </c>
      <c r="AE158" s="268"/>
      <c r="AF158" s="268"/>
      <c r="AG158" s="290"/>
    </row>
    <row r="159" spans="1:33" s="258" customFormat="1" x14ac:dyDescent="0.15">
      <c r="A159" s="271">
        <v>95104048</v>
      </c>
      <c r="B159" t="s">
        <v>6408</v>
      </c>
      <c r="C159" s="268" t="s">
        <v>6316</v>
      </c>
      <c r="D159" s="272">
        <v>5081</v>
      </c>
      <c r="E159" s="272" t="s">
        <v>4876</v>
      </c>
      <c r="F159" s="272" t="s">
        <v>4877</v>
      </c>
      <c r="G159" s="269">
        <v>6</v>
      </c>
      <c r="H159" s="273">
        <v>0</v>
      </c>
      <c r="I159" s="283">
        <v>34</v>
      </c>
      <c r="J159" s="284" t="s">
        <v>5003</v>
      </c>
      <c r="K159" s="285" t="s">
        <v>5004</v>
      </c>
      <c r="L159" s="272" t="s">
        <v>44</v>
      </c>
      <c r="M159" s="272">
        <v>1</v>
      </c>
      <c r="N159" s="272" t="b">
        <v>1</v>
      </c>
      <c r="O159" s="272">
        <v>51</v>
      </c>
      <c r="P159" s="281">
        <v>765</v>
      </c>
      <c r="Q159" s="281">
        <v>1020</v>
      </c>
      <c r="R159" s="272" t="s">
        <v>3383</v>
      </c>
      <c r="S159" s="272"/>
      <c r="T159" s="272">
        <v>1</v>
      </c>
      <c r="U159" s="272" t="s">
        <v>4880</v>
      </c>
      <c r="V159" s="273">
        <v>10</v>
      </c>
      <c r="W159" s="273"/>
      <c r="X159" s="272" t="s">
        <v>4881</v>
      </c>
      <c r="Y159" t="s">
        <v>6406</v>
      </c>
      <c r="Z159" t="s">
        <v>6407</v>
      </c>
      <c r="AA159" s="272" t="s">
        <v>4884</v>
      </c>
      <c r="AB159" s="272"/>
      <c r="AC159" s="289">
        <v>1</v>
      </c>
      <c r="AD159" s="289">
        <v>1</v>
      </c>
      <c r="AE159" s="289"/>
      <c r="AF159" s="272"/>
      <c r="AG159" s="272"/>
    </row>
    <row r="160" spans="1:33" s="258" customFormat="1" x14ac:dyDescent="0.15">
      <c r="A160" s="271">
        <v>95104049</v>
      </c>
      <c r="B160" t="s">
        <v>6409</v>
      </c>
      <c r="C160" s="268" t="s">
        <v>6316</v>
      </c>
      <c r="D160" s="272">
        <v>5081</v>
      </c>
      <c r="E160" s="272" t="s">
        <v>4876</v>
      </c>
      <c r="F160" s="272" t="s">
        <v>4877</v>
      </c>
      <c r="G160" s="269">
        <v>6</v>
      </c>
      <c r="H160" s="273">
        <v>0</v>
      </c>
      <c r="I160" s="283">
        <v>34</v>
      </c>
      <c r="J160" s="284" t="s">
        <v>5003</v>
      </c>
      <c r="K160" s="285" t="s">
        <v>5004</v>
      </c>
      <c r="L160" s="272" t="s">
        <v>4887</v>
      </c>
      <c r="M160" s="272">
        <v>1</v>
      </c>
      <c r="N160" s="272" t="b">
        <v>1</v>
      </c>
      <c r="O160" s="272">
        <v>64</v>
      </c>
      <c r="P160" s="281">
        <v>960</v>
      </c>
      <c r="Q160" s="281">
        <v>1280</v>
      </c>
      <c r="R160" s="272" t="s">
        <v>3383</v>
      </c>
      <c r="S160" s="272"/>
      <c r="T160" s="272">
        <v>1</v>
      </c>
      <c r="U160" s="272" t="s">
        <v>4880</v>
      </c>
      <c r="V160" s="273">
        <v>10</v>
      </c>
      <c r="W160" s="273"/>
      <c r="X160" s="272" t="s">
        <v>4881</v>
      </c>
      <c r="Y160" t="s">
        <v>6406</v>
      </c>
      <c r="Z160" t="s">
        <v>6407</v>
      </c>
      <c r="AA160" s="272" t="s">
        <v>4884</v>
      </c>
      <c r="AB160" s="272"/>
      <c r="AC160" s="289">
        <v>1</v>
      </c>
      <c r="AD160" s="289">
        <v>1</v>
      </c>
      <c r="AE160" s="289"/>
      <c r="AF160" s="272"/>
      <c r="AG160" s="272"/>
    </row>
    <row r="161" spans="1:33" s="258" customFormat="1" x14ac:dyDescent="0.15">
      <c r="A161" s="271">
        <v>95104050</v>
      </c>
      <c r="B161" t="s">
        <v>6410</v>
      </c>
      <c r="C161" s="268" t="s">
        <v>6316</v>
      </c>
      <c r="D161" s="272">
        <v>5081</v>
      </c>
      <c r="E161" s="272" t="s">
        <v>4876</v>
      </c>
      <c r="F161" s="272" t="s">
        <v>4877</v>
      </c>
      <c r="G161" s="269">
        <v>7</v>
      </c>
      <c r="H161" s="273">
        <v>0</v>
      </c>
      <c r="I161" s="283">
        <v>34</v>
      </c>
      <c r="J161" s="284" t="s">
        <v>5003</v>
      </c>
      <c r="K161" s="285" t="s">
        <v>5004</v>
      </c>
      <c r="L161" s="272" t="s">
        <v>4889</v>
      </c>
      <c r="M161" s="272">
        <v>1</v>
      </c>
      <c r="N161" s="272" t="b">
        <v>1</v>
      </c>
      <c r="O161" s="272">
        <v>77</v>
      </c>
      <c r="P161" s="281">
        <v>1155</v>
      </c>
      <c r="Q161" s="281">
        <v>1540</v>
      </c>
      <c r="R161" s="272" t="s">
        <v>3383</v>
      </c>
      <c r="S161" s="272"/>
      <c r="T161" s="272">
        <v>1</v>
      </c>
      <c r="U161" s="272" t="s">
        <v>4880</v>
      </c>
      <c r="V161" s="273">
        <v>10</v>
      </c>
      <c r="W161" s="273"/>
      <c r="X161" s="272" t="s">
        <v>4881</v>
      </c>
      <c r="Y161" t="s">
        <v>6406</v>
      </c>
      <c r="Z161" t="s">
        <v>6407</v>
      </c>
      <c r="AA161" s="272" t="s">
        <v>4884</v>
      </c>
      <c r="AB161" s="272"/>
      <c r="AC161" s="289">
        <v>1</v>
      </c>
      <c r="AD161" s="289">
        <v>1</v>
      </c>
      <c r="AE161" s="289"/>
      <c r="AF161" s="272"/>
      <c r="AG161" s="272"/>
    </row>
    <row r="162" spans="1:33" s="145" customFormat="1" x14ac:dyDescent="0.15">
      <c r="A162" s="267">
        <v>95105011</v>
      </c>
      <c r="B162" t="s">
        <v>6411</v>
      </c>
      <c r="C162" s="268" t="s">
        <v>6316</v>
      </c>
      <c r="D162" s="293">
        <v>5041</v>
      </c>
      <c r="E162" s="268" t="s">
        <v>4876</v>
      </c>
      <c r="F162" s="268" t="s">
        <v>4877</v>
      </c>
      <c r="G162" s="269">
        <v>1</v>
      </c>
      <c r="H162" s="269">
        <v>0</v>
      </c>
      <c r="I162" s="267">
        <v>34</v>
      </c>
      <c r="J162" s="282" t="s">
        <v>5012</v>
      </c>
      <c r="K162" s="279" t="s">
        <v>5013</v>
      </c>
      <c r="L162" s="279"/>
      <c r="M162" s="268">
        <v>1</v>
      </c>
      <c r="N162" s="268" t="b">
        <v>1</v>
      </c>
      <c r="O162" s="268">
        <v>2</v>
      </c>
      <c r="P162" s="281">
        <v>30</v>
      </c>
      <c r="Q162" s="281">
        <v>40</v>
      </c>
      <c r="R162" s="268" t="s">
        <v>3383</v>
      </c>
      <c r="S162" s="268"/>
      <c r="T162" s="268">
        <v>1</v>
      </c>
      <c r="U162" s="268" t="s">
        <v>4880</v>
      </c>
      <c r="V162" s="269">
        <v>1</v>
      </c>
      <c r="W162" s="269"/>
      <c r="X162" s="268" t="s">
        <v>4881</v>
      </c>
      <c r="Y162" t="s">
        <v>6412</v>
      </c>
      <c r="Z162" t="s">
        <v>6413</v>
      </c>
      <c r="AA162" s="268" t="s">
        <v>4884</v>
      </c>
      <c r="AB162" s="268"/>
      <c r="AC162" s="287">
        <v>1</v>
      </c>
      <c r="AD162" s="287">
        <v>1</v>
      </c>
      <c r="AE162" s="268"/>
      <c r="AF162" s="268"/>
      <c r="AG162" s="290"/>
    </row>
    <row r="163" spans="1:33" s="145" customFormat="1" x14ac:dyDescent="0.15">
      <c r="A163" s="267">
        <v>95105012</v>
      </c>
      <c r="B163" t="s">
        <v>6411</v>
      </c>
      <c r="C163" s="268" t="s">
        <v>6316</v>
      </c>
      <c r="D163" s="293">
        <v>5041</v>
      </c>
      <c r="E163" s="268" t="s">
        <v>4876</v>
      </c>
      <c r="F163" s="268" t="s">
        <v>4877</v>
      </c>
      <c r="G163" s="269">
        <v>2</v>
      </c>
      <c r="H163" s="269">
        <v>0</v>
      </c>
      <c r="I163" s="267">
        <v>34</v>
      </c>
      <c r="J163" s="282" t="s">
        <v>5012</v>
      </c>
      <c r="K163" s="279" t="s">
        <v>5013</v>
      </c>
      <c r="L163" s="279"/>
      <c r="M163" s="268">
        <v>1</v>
      </c>
      <c r="N163" s="268" t="b">
        <v>1</v>
      </c>
      <c r="O163" s="268">
        <v>5</v>
      </c>
      <c r="P163" s="281">
        <v>75</v>
      </c>
      <c r="Q163" s="281">
        <v>100</v>
      </c>
      <c r="R163" s="268" t="s">
        <v>3383</v>
      </c>
      <c r="S163" s="268"/>
      <c r="T163" s="268">
        <v>1</v>
      </c>
      <c r="U163" s="268" t="s">
        <v>4880</v>
      </c>
      <c r="V163" s="269">
        <v>2</v>
      </c>
      <c r="W163" s="269"/>
      <c r="X163" s="268" t="s">
        <v>4881</v>
      </c>
      <c r="Y163" t="s">
        <v>6412</v>
      </c>
      <c r="Z163" t="s">
        <v>6413</v>
      </c>
      <c r="AA163" s="268" t="s">
        <v>4884</v>
      </c>
      <c r="AB163" s="268"/>
      <c r="AC163" s="287">
        <v>1</v>
      </c>
      <c r="AD163" s="287">
        <v>1</v>
      </c>
      <c r="AE163" s="268"/>
      <c r="AF163" s="268"/>
      <c r="AG163" s="290"/>
    </row>
    <row r="164" spans="1:33" s="145" customFormat="1" x14ac:dyDescent="0.15">
      <c r="A164" s="267">
        <v>95105013</v>
      </c>
      <c r="B164" t="s">
        <v>6411</v>
      </c>
      <c r="C164" s="268" t="s">
        <v>6316</v>
      </c>
      <c r="D164" s="293">
        <v>5041</v>
      </c>
      <c r="E164" s="268" t="s">
        <v>4876</v>
      </c>
      <c r="F164" s="268" t="s">
        <v>4877</v>
      </c>
      <c r="G164" s="269">
        <v>3</v>
      </c>
      <c r="H164" s="269">
        <v>0</v>
      </c>
      <c r="I164" s="267">
        <v>34</v>
      </c>
      <c r="J164" s="282" t="s">
        <v>5012</v>
      </c>
      <c r="K164" s="279" t="s">
        <v>5013</v>
      </c>
      <c r="L164" s="279"/>
      <c r="M164" s="268">
        <v>1</v>
      </c>
      <c r="N164" s="268" t="b">
        <v>1</v>
      </c>
      <c r="O164" s="268">
        <v>7</v>
      </c>
      <c r="P164" s="281">
        <v>105</v>
      </c>
      <c r="Q164" s="281">
        <v>140</v>
      </c>
      <c r="R164" s="268" t="s">
        <v>3383</v>
      </c>
      <c r="S164" s="268"/>
      <c r="T164" s="268">
        <v>1</v>
      </c>
      <c r="U164" s="268" t="s">
        <v>4880</v>
      </c>
      <c r="V164" s="269">
        <v>3</v>
      </c>
      <c r="W164" s="269"/>
      <c r="X164" s="268" t="s">
        <v>4881</v>
      </c>
      <c r="Y164" t="s">
        <v>6412</v>
      </c>
      <c r="Z164" t="s">
        <v>6413</v>
      </c>
      <c r="AA164" s="268" t="s">
        <v>4884</v>
      </c>
      <c r="AB164" s="268"/>
      <c r="AC164" s="287">
        <v>1</v>
      </c>
      <c r="AD164" s="287">
        <v>1</v>
      </c>
      <c r="AE164" s="268"/>
      <c r="AF164" s="268"/>
      <c r="AG164" s="290"/>
    </row>
    <row r="165" spans="1:33" s="145" customFormat="1" x14ac:dyDescent="0.15">
      <c r="A165" s="267">
        <v>95105014</v>
      </c>
      <c r="B165" t="s">
        <v>6411</v>
      </c>
      <c r="C165" s="268" t="s">
        <v>6316</v>
      </c>
      <c r="D165" s="293">
        <v>5041</v>
      </c>
      <c r="E165" s="268" t="s">
        <v>4876</v>
      </c>
      <c r="F165" s="268" t="s">
        <v>4877</v>
      </c>
      <c r="G165" s="269">
        <v>4</v>
      </c>
      <c r="H165" s="269">
        <v>0</v>
      </c>
      <c r="I165" s="267">
        <v>34</v>
      </c>
      <c r="J165" s="282" t="s">
        <v>5012</v>
      </c>
      <c r="K165" s="279" t="s">
        <v>5013</v>
      </c>
      <c r="L165" s="279"/>
      <c r="M165" s="268">
        <v>1</v>
      </c>
      <c r="N165" s="268" t="b">
        <v>1</v>
      </c>
      <c r="O165" s="268">
        <v>10</v>
      </c>
      <c r="P165" s="281">
        <v>150</v>
      </c>
      <c r="Q165" s="281">
        <v>200</v>
      </c>
      <c r="R165" s="268" t="s">
        <v>3383</v>
      </c>
      <c r="S165" s="268"/>
      <c r="T165" s="268">
        <v>1</v>
      </c>
      <c r="U165" s="268" t="s">
        <v>4880</v>
      </c>
      <c r="V165" s="269">
        <v>4</v>
      </c>
      <c r="W165" s="269"/>
      <c r="X165" s="268" t="s">
        <v>4881</v>
      </c>
      <c r="Y165" t="s">
        <v>6412</v>
      </c>
      <c r="Z165" t="s">
        <v>6413</v>
      </c>
      <c r="AA165" s="268" t="s">
        <v>4884</v>
      </c>
      <c r="AB165" s="268"/>
      <c r="AC165" s="287">
        <v>1</v>
      </c>
      <c r="AD165" s="287">
        <v>1</v>
      </c>
      <c r="AE165" s="268"/>
      <c r="AF165" s="268"/>
      <c r="AG165" s="290"/>
    </row>
    <row r="166" spans="1:33" s="145" customFormat="1" x14ac:dyDescent="0.15">
      <c r="A166" s="267">
        <v>95105015</v>
      </c>
      <c r="B166" t="s">
        <v>6411</v>
      </c>
      <c r="C166" s="268" t="s">
        <v>6316</v>
      </c>
      <c r="D166" s="293">
        <v>5041</v>
      </c>
      <c r="E166" s="268" t="s">
        <v>4876</v>
      </c>
      <c r="F166" s="268" t="s">
        <v>4877</v>
      </c>
      <c r="G166" s="269">
        <v>5</v>
      </c>
      <c r="H166" s="269">
        <v>0</v>
      </c>
      <c r="I166" s="267">
        <v>34</v>
      </c>
      <c r="J166" s="282" t="s">
        <v>5012</v>
      </c>
      <c r="K166" s="279" t="s">
        <v>5013</v>
      </c>
      <c r="L166" s="279"/>
      <c r="M166" s="268">
        <v>1</v>
      </c>
      <c r="N166" s="268" t="b">
        <v>1</v>
      </c>
      <c r="O166" s="268">
        <v>12</v>
      </c>
      <c r="P166" s="281">
        <v>180</v>
      </c>
      <c r="Q166" s="281">
        <v>240</v>
      </c>
      <c r="R166" s="268" t="s">
        <v>3383</v>
      </c>
      <c r="S166" s="268"/>
      <c r="T166" s="268">
        <v>1</v>
      </c>
      <c r="U166" s="268" t="s">
        <v>4880</v>
      </c>
      <c r="V166" s="269">
        <v>5</v>
      </c>
      <c r="W166" s="269"/>
      <c r="X166" s="268" t="s">
        <v>4881</v>
      </c>
      <c r="Y166" t="s">
        <v>6412</v>
      </c>
      <c r="Z166" t="s">
        <v>6413</v>
      </c>
      <c r="AA166" s="268" t="s">
        <v>4884</v>
      </c>
      <c r="AB166" s="268"/>
      <c r="AC166" s="287">
        <v>1</v>
      </c>
      <c r="AD166" s="287">
        <v>1</v>
      </c>
      <c r="AE166" s="268"/>
      <c r="AF166" s="268"/>
      <c r="AG166" s="290"/>
    </row>
    <row r="167" spans="1:33" s="145" customFormat="1" x14ac:dyDescent="0.15">
      <c r="A167" s="270">
        <v>95105016</v>
      </c>
      <c r="B167" t="s">
        <v>6411</v>
      </c>
      <c r="C167" s="268" t="s">
        <v>6316</v>
      </c>
      <c r="D167" s="268">
        <v>5041</v>
      </c>
      <c r="E167" s="268" t="s">
        <v>4876</v>
      </c>
      <c r="F167" s="268" t="s">
        <v>4877</v>
      </c>
      <c r="G167" s="269">
        <v>6</v>
      </c>
      <c r="H167" s="269">
        <v>0</v>
      </c>
      <c r="I167" s="267">
        <v>34</v>
      </c>
      <c r="J167" s="282" t="s">
        <v>5012</v>
      </c>
      <c r="K167" s="279" t="s">
        <v>5013</v>
      </c>
      <c r="L167" s="279"/>
      <c r="M167" s="268">
        <v>1</v>
      </c>
      <c r="N167" s="268" t="b">
        <v>1</v>
      </c>
      <c r="O167" s="268">
        <v>25</v>
      </c>
      <c r="P167" s="281">
        <v>375</v>
      </c>
      <c r="Q167" s="281">
        <v>500</v>
      </c>
      <c r="R167" s="268" t="s">
        <v>3383</v>
      </c>
      <c r="S167" s="268"/>
      <c r="T167" s="268">
        <v>1</v>
      </c>
      <c r="U167" s="268" t="s">
        <v>4880</v>
      </c>
      <c r="V167" s="269">
        <v>7</v>
      </c>
      <c r="W167" s="269"/>
      <c r="X167" s="268" t="s">
        <v>4881</v>
      </c>
      <c r="Y167" t="s">
        <v>6412</v>
      </c>
      <c r="Z167" t="s">
        <v>6413</v>
      </c>
      <c r="AA167" s="268" t="s">
        <v>4884</v>
      </c>
      <c r="AB167" s="268"/>
      <c r="AC167" s="287">
        <v>1</v>
      </c>
      <c r="AD167" s="287">
        <v>1</v>
      </c>
      <c r="AE167" s="268"/>
      <c r="AF167" s="268"/>
      <c r="AG167" s="290"/>
    </row>
    <row r="168" spans="1:33" s="145" customFormat="1" x14ac:dyDescent="0.15">
      <c r="A168" s="270">
        <v>95105017</v>
      </c>
      <c r="B168" t="s">
        <v>6411</v>
      </c>
      <c r="C168" s="268" t="s">
        <v>6316</v>
      </c>
      <c r="D168" s="268">
        <v>5041</v>
      </c>
      <c r="E168" s="268" t="s">
        <v>4876</v>
      </c>
      <c r="F168" s="268" t="s">
        <v>4877</v>
      </c>
      <c r="G168" s="269">
        <v>7</v>
      </c>
      <c r="H168" s="269">
        <v>0</v>
      </c>
      <c r="I168" s="267">
        <v>34</v>
      </c>
      <c r="J168" s="282" t="s">
        <v>5012</v>
      </c>
      <c r="K168" s="279" t="s">
        <v>5013</v>
      </c>
      <c r="L168" s="279"/>
      <c r="M168" s="268">
        <v>1</v>
      </c>
      <c r="N168" s="268" t="b">
        <v>1</v>
      </c>
      <c r="O168" s="268">
        <v>38</v>
      </c>
      <c r="P168" s="281">
        <v>570</v>
      </c>
      <c r="Q168" s="281">
        <v>760</v>
      </c>
      <c r="R168" s="268" t="s">
        <v>3383</v>
      </c>
      <c r="S168" s="268"/>
      <c r="T168" s="268">
        <v>1</v>
      </c>
      <c r="U168" s="268" t="s">
        <v>4880</v>
      </c>
      <c r="V168" s="269">
        <v>10</v>
      </c>
      <c r="W168" s="269"/>
      <c r="X168" s="268" t="s">
        <v>4881</v>
      </c>
      <c r="Y168" t="s">
        <v>6412</v>
      </c>
      <c r="Z168" t="s">
        <v>6413</v>
      </c>
      <c r="AA168" s="268" t="s">
        <v>4884</v>
      </c>
      <c r="AB168" s="268"/>
      <c r="AC168" s="287">
        <v>1</v>
      </c>
      <c r="AD168" s="287">
        <v>1</v>
      </c>
      <c r="AE168" s="268"/>
      <c r="AF168" s="268"/>
      <c r="AG168" s="290"/>
    </row>
    <row r="169" spans="1:33" s="258" customFormat="1" x14ac:dyDescent="0.15">
      <c r="A169" s="271">
        <v>95105018</v>
      </c>
      <c r="B169" t="s">
        <v>6414</v>
      </c>
      <c r="C169" s="268" t="s">
        <v>6316</v>
      </c>
      <c r="D169" s="272">
        <v>5081</v>
      </c>
      <c r="E169" s="272" t="s">
        <v>4876</v>
      </c>
      <c r="F169" s="272" t="s">
        <v>4877</v>
      </c>
      <c r="G169" s="269">
        <v>6</v>
      </c>
      <c r="H169" s="273">
        <v>0</v>
      </c>
      <c r="I169" s="283">
        <v>34</v>
      </c>
      <c r="J169" s="284" t="s">
        <v>5012</v>
      </c>
      <c r="K169" s="285" t="s">
        <v>5013</v>
      </c>
      <c r="L169" s="272" t="s">
        <v>44</v>
      </c>
      <c r="M169" s="272">
        <v>1</v>
      </c>
      <c r="N169" s="272" t="b">
        <v>1</v>
      </c>
      <c r="O169" s="272">
        <v>51</v>
      </c>
      <c r="P169" s="281">
        <v>765</v>
      </c>
      <c r="Q169" s="281">
        <v>1020</v>
      </c>
      <c r="R169" s="272" t="s">
        <v>3383</v>
      </c>
      <c r="S169" s="272"/>
      <c r="T169" s="272">
        <v>1</v>
      </c>
      <c r="U169" s="272" t="s">
        <v>4880</v>
      </c>
      <c r="V169" s="273">
        <v>10</v>
      </c>
      <c r="W169" s="273"/>
      <c r="X169" s="272" t="s">
        <v>4881</v>
      </c>
      <c r="Y169" t="s">
        <v>6412</v>
      </c>
      <c r="Z169" t="s">
        <v>6413</v>
      </c>
      <c r="AA169" s="272" t="s">
        <v>4884</v>
      </c>
      <c r="AB169" s="272"/>
      <c r="AC169" s="289">
        <v>1</v>
      </c>
      <c r="AD169" s="289">
        <v>1</v>
      </c>
      <c r="AE169" s="289"/>
      <c r="AF169" s="272"/>
      <c r="AG169" s="272"/>
    </row>
    <row r="170" spans="1:33" s="258" customFormat="1" x14ac:dyDescent="0.15">
      <c r="A170" s="271">
        <v>95105019</v>
      </c>
      <c r="B170" t="s">
        <v>6415</v>
      </c>
      <c r="C170" s="268" t="s">
        <v>6316</v>
      </c>
      <c r="D170" s="272">
        <v>5081</v>
      </c>
      <c r="E170" s="272" t="s">
        <v>4876</v>
      </c>
      <c r="F170" s="272" t="s">
        <v>4877</v>
      </c>
      <c r="G170" s="269">
        <v>6</v>
      </c>
      <c r="H170" s="273">
        <v>0</v>
      </c>
      <c r="I170" s="283">
        <v>34</v>
      </c>
      <c r="J170" s="284" t="s">
        <v>5012</v>
      </c>
      <c r="K170" s="285" t="s">
        <v>5013</v>
      </c>
      <c r="L170" s="272" t="s">
        <v>4887</v>
      </c>
      <c r="M170" s="272">
        <v>1</v>
      </c>
      <c r="N170" s="272" t="b">
        <v>1</v>
      </c>
      <c r="O170" s="272">
        <v>64</v>
      </c>
      <c r="P170" s="281">
        <v>960</v>
      </c>
      <c r="Q170" s="281">
        <v>1280</v>
      </c>
      <c r="R170" s="272" t="s">
        <v>3383</v>
      </c>
      <c r="S170" s="272"/>
      <c r="T170" s="272">
        <v>1</v>
      </c>
      <c r="U170" s="272" t="s">
        <v>4880</v>
      </c>
      <c r="V170" s="273">
        <v>10</v>
      </c>
      <c r="W170" s="273"/>
      <c r="X170" s="272" t="s">
        <v>4881</v>
      </c>
      <c r="Y170" t="s">
        <v>6412</v>
      </c>
      <c r="Z170" t="s">
        <v>6413</v>
      </c>
      <c r="AA170" s="272" t="s">
        <v>4884</v>
      </c>
      <c r="AB170" s="272"/>
      <c r="AC170" s="289">
        <v>1</v>
      </c>
      <c r="AD170" s="289">
        <v>1</v>
      </c>
      <c r="AE170" s="289"/>
      <c r="AF170" s="272"/>
      <c r="AG170" s="272"/>
    </row>
    <row r="171" spans="1:33" s="258" customFormat="1" x14ac:dyDescent="0.15">
      <c r="A171" s="271">
        <v>95105020</v>
      </c>
      <c r="B171" t="s">
        <v>6416</v>
      </c>
      <c r="C171" s="268" t="s">
        <v>6316</v>
      </c>
      <c r="D171" s="272">
        <v>5081</v>
      </c>
      <c r="E171" s="272" t="s">
        <v>4876</v>
      </c>
      <c r="F171" s="272" t="s">
        <v>4877</v>
      </c>
      <c r="G171" s="269">
        <v>7</v>
      </c>
      <c r="H171" s="273">
        <v>0</v>
      </c>
      <c r="I171" s="283">
        <v>34</v>
      </c>
      <c r="J171" s="284" t="s">
        <v>5012</v>
      </c>
      <c r="K171" s="285" t="s">
        <v>5013</v>
      </c>
      <c r="L171" s="272" t="s">
        <v>4889</v>
      </c>
      <c r="M171" s="272">
        <v>1</v>
      </c>
      <c r="N171" s="272" t="b">
        <v>1</v>
      </c>
      <c r="O171" s="272">
        <v>77</v>
      </c>
      <c r="P171" s="281">
        <v>1155</v>
      </c>
      <c r="Q171" s="281">
        <v>1540</v>
      </c>
      <c r="R171" s="272" t="s">
        <v>3383</v>
      </c>
      <c r="S171" s="272"/>
      <c r="T171" s="272">
        <v>1</v>
      </c>
      <c r="U171" s="272" t="s">
        <v>4880</v>
      </c>
      <c r="V171" s="273">
        <v>10</v>
      </c>
      <c r="W171" s="273"/>
      <c r="X171" s="272" t="s">
        <v>4881</v>
      </c>
      <c r="Y171" t="s">
        <v>6412</v>
      </c>
      <c r="Z171" t="s">
        <v>6413</v>
      </c>
      <c r="AA171" s="272" t="s">
        <v>4884</v>
      </c>
      <c r="AB171" s="272"/>
      <c r="AC171" s="289">
        <v>1</v>
      </c>
      <c r="AD171" s="289">
        <v>1</v>
      </c>
      <c r="AE171" s="289"/>
      <c r="AF171" s="272"/>
      <c r="AG171" s="272"/>
    </row>
    <row r="172" spans="1:33" s="145" customFormat="1" x14ac:dyDescent="0.15">
      <c r="A172" s="267">
        <v>95105021</v>
      </c>
      <c r="B172" t="s">
        <v>6417</v>
      </c>
      <c r="C172" s="268" t="s">
        <v>6316</v>
      </c>
      <c r="D172" s="293">
        <v>5041</v>
      </c>
      <c r="E172" s="268" t="s">
        <v>4876</v>
      </c>
      <c r="F172" s="268" t="s">
        <v>4877</v>
      </c>
      <c r="G172" s="269">
        <v>1</v>
      </c>
      <c r="H172" s="269">
        <v>0</v>
      </c>
      <c r="I172" s="267">
        <v>34</v>
      </c>
      <c r="J172" s="268" t="s">
        <v>5020</v>
      </c>
      <c r="K172" s="279" t="s">
        <v>5021</v>
      </c>
      <c r="L172" s="279"/>
      <c r="M172" s="268">
        <v>1</v>
      </c>
      <c r="N172" s="268" t="b">
        <v>1</v>
      </c>
      <c r="O172" s="268">
        <v>2</v>
      </c>
      <c r="P172" s="281">
        <v>30</v>
      </c>
      <c r="Q172" s="281">
        <v>40</v>
      </c>
      <c r="R172" s="268" t="s">
        <v>3383</v>
      </c>
      <c r="S172" s="268"/>
      <c r="T172" s="268">
        <v>1</v>
      </c>
      <c r="U172" s="268" t="s">
        <v>4880</v>
      </c>
      <c r="V172" s="269">
        <v>1</v>
      </c>
      <c r="W172" s="269"/>
      <c r="X172" s="268" t="s">
        <v>4881</v>
      </c>
      <c r="Y172" t="s">
        <v>6418</v>
      </c>
      <c r="Z172" t="s">
        <v>6419</v>
      </c>
      <c r="AA172" s="268" t="s">
        <v>4884</v>
      </c>
      <c r="AB172" s="268"/>
      <c r="AC172" s="287">
        <v>1</v>
      </c>
      <c r="AD172" s="287">
        <v>1</v>
      </c>
      <c r="AE172" s="268"/>
      <c r="AF172" s="268"/>
      <c r="AG172" s="290"/>
    </row>
    <row r="173" spans="1:33" s="145" customFormat="1" x14ac:dyDescent="0.15">
      <c r="A173" s="267">
        <v>95105022</v>
      </c>
      <c r="B173" t="s">
        <v>6417</v>
      </c>
      <c r="C173" s="268" t="s">
        <v>6316</v>
      </c>
      <c r="D173" s="293">
        <v>5041</v>
      </c>
      <c r="E173" s="268" t="s">
        <v>4876</v>
      </c>
      <c r="F173" s="268" t="s">
        <v>4877</v>
      </c>
      <c r="G173" s="269">
        <v>2</v>
      </c>
      <c r="H173" s="269">
        <v>0</v>
      </c>
      <c r="I173" s="267">
        <v>34</v>
      </c>
      <c r="J173" s="268" t="s">
        <v>5020</v>
      </c>
      <c r="K173" s="279" t="s">
        <v>5021</v>
      </c>
      <c r="L173" s="279"/>
      <c r="M173" s="268">
        <v>1</v>
      </c>
      <c r="N173" s="268" t="b">
        <v>1</v>
      </c>
      <c r="O173" s="268">
        <v>5</v>
      </c>
      <c r="P173" s="281">
        <v>75</v>
      </c>
      <c r="Q173" s="281">
        <v>100</v>
      </c>
      <c r="R173" s="268" t="s">
        <v>3383</v>
      </c>
      <c r="S173" s="268"/>
      <c r="T173" s="268">
        <v>1</v>
      </c>
      <c r="U173" s="268" t="s">
        <v>4880</v>
      </c>
      <c r="V173" s="269">
        <v>2</v>
      </c>
      <c r="W173" s="269"/>
      <c r="X173" s="268" t="s">
        <v>4881</v>
      </c>
      <c r="Y173" t="s">
        <v>6418</v>
      </c>
      <c r="Z173" t="s">
        <v>6419</v>
      </c>
      <c r="AA173" s="268" t="s">
        <v>4884</v>
      </c>
      <c r="AB173" s="268"/>
      <c r="AC173" s="287">
        <v>1</v>
      </c>
      <c r="AD173" s="287">
        <v>1</v>
      </c>
      <c r="AE173" s="268"/>
      <c r="AF173" s="268"/>
      <c r="AG173" s="290"/>
    </row>
    <row r="174" spans="1:33" s="145" customFormat="1" x14ac:dyDescent="0.15">
      <c r="A174" s="267">
        <v>95105023</v>
      </c>
      <c r="B174" t="s">
        <v>6417</v>
      </c>
      <c r="C174" s="268" t="s">
        <v>6316</v>
      </c>
      <c r="D174" s="293">
        <v>5041</v>
      </c>
      <c r="E174" s="268" t="s">
        <v>4876</v>
      </c>
      <c r="F174" s="268" t="s">
        <v>4877</v>
      </c>
      <c r="G174" s="269">
        <v>3</v>
      </c>
      <c r="H174" s="269">
        <v>0</v>
      </c>
      <c r="I174" s="267">
        <v>34</v>
      </c>
      <c r="J174" s="268" t="s">
        <v>5020</v>
      </c>
      <c r="K174" s="279" t="s">
        <v>5021</v>
      </c>
      <c r="L174" s="279"/>
      <c r="M174" s="268">
        <v>1</v>
      </c>
      <c r="N174" s="268" t="b">
        <v>1</v>
      </c>
      <c r="O174" s="268">
        <v>7</v>
      </c>
      <c r="P174" s="281">
        <v>105</v>
      </c>
      <c r="Q174" s="281">
        <v>140</v>
      </c>
      <c r="R174" s="268" t="s">
        <v>3383</v>
      </c>
      <c r="S174" s="268"/>
      <c r="T174" s="268">
        <v>1</v>
      </c>
      <c r="U174" s="268" t="s">
        <v>4880</v>
      </c>
      <c r="V174" s="269">
        <v>3</v>
      </c>
      <c r="W174" s="269"/>
      <c r="X174" s="268" t="s">
        <v>4881</v>
      </c>
      <c r="Y174" t="s">
        <v>6418</v>
      </c>
      <c r="Z174" t="s">
        <v>6419</v>
      </c>
      <c r="AA174" s="268" t="s">
        <v>4884</v>
      </c>
      <c r="AB174" s="268"/>
      <c r="AC174" s="287">
        <v>1</v>
      </c>
      <c r="AD174" s="287">
        <v>1</v>
      </c>
      <c r="AE174" s="268"/>
      <c r="AF174" s="268"/>
      <c r="AG174" s="290"/>
    </row>
    <row r="175" spans="1:33" s="145" customFormat="1" x14ac:dyDescent="0.15">
      <c r="A175" s="267">
        <v>95105024</v>
      </c>
      <c r="B175" t="s">
        <v>6417</v>
      </c>
      <c r="C175" s="268" t="s">
        <v>6316</v>
      </c>
      <c r="D175" s="293">
        <v>5041</v>
      </c>
      <c r="E175" s="268" t="s">
        <v>4876</v>
      </c>
      <c r="F175" s="268" t="s">
        <v>4877</v>
      </c>
      <c r="G175" s="269">
        <v>4</v>
      </c>
      <c r="H175" s="269">
        <v>0</v>
      </c>
      <c r="I175" s="267">
        <v>34</v>
      </c>
      <c r="J175" s="268" t="s">
        <v>5020</v>
      </c>
      <c r="K175" s="279" t="s">
        <v>5021</v>
      </c>
      <c r="L175" s="279"/>
      <c r="M175" s="268">
        <v>1</v>
      </c>
      <c r="N175" s="268" t="b">
        <v>1</v>
      </c>
      <c r="O175" s="268">
        <v>10</v>
      </c>
      <c r="P175" s="281">
        <v>150</v>
      </c>
      <c r="Q175" s="281">
        <v>200</v>
      </c>
      <c r="R175" s="268" t="s">
        <v>3383</v>
      </c>
      <c r="S175" s="268"/>
      <c r="T175" s="268">
        <v>1</v>
      </c>
      <c r="U175" s="268" t="s">
        <v>4880</v>
      </c>
      <c r="V175" s="269">
        <v>4</v>
      </c>
      <c r="W175" s="269"/>
      <c r="X175" s="268" t="s">
        <v>4881</v>
      </c>
      <c r="Y175" t="s">
        <v>6418</v>
      </c>
      <c r="Z175" t="s">
        <v>6419</v>
      </c>
      <c r="AA175" s="268" t="s">
        <v>4884</v>
      </c>
      <c r="AB175" s="268"/>
      <c r="AC175" s="287">
        <v>1</v>
      </c>
      <c r="AD175" s="287">
        <v>1</v>
      </c>
      <c r="AE175" s="268"/>
      <c r="AF175" s="268"/>
      <c r="AG175" s="290"/>
    </row>
    <row r="176" spans="1:33" s="145" customFormat="1" x14ac:dyDescent="0.15">
      <c r="A176" s="267">
        <v>95105025</v>
      </c>
      <c r="B176" t="s">
        <v>6417</v>
      </c>
      <c r="C176" s="268" t="s">
        <v>6316</v>
      </c>
      <c r="D176" s="293">
        <v>5041</v>
      </c>
      <c r="E176" s="268" t="s">
        <v>4876</v>
      </c>
      <c r="F176" s="268" t="s">
        <v>4877</v>
      </c>
      <c r="G176" s="269">
        <v>5</v>
      </c>
      <c r="H176" s="269">
        <v>0</v>
      </c>
      <c r="I176" s="267">
        <v>34</v>
      </c>
      <c r="J176" s="268" t="s">
        <v>5020</v>
      </c>
      <c r="K176" s="279" t="s">
        <v>5021</v>
      </c>
      <c r="L176" s="279"/>
      <c r="M176" s="268">
        <v>1</v>
      </c>
      <c r="N176" s="268" t="b">
        <v>1</v>
      </c>
      <c r="O176" s="268">
        <v>12</v>
      </c>
      <c r="P176" s="281">
        <v>180</v>
      </c>
      <c r="Q176" s="281">
        <v>240</v>
      </c>
      <c r="R176" s="268" t="s">
        <v>3383</v>
      </c>
      <c r="S176" s="268"/>
      <c r="T176" s="268">
        <v>1</v>
      </c>
      <c r="U176" s="268" t="s">
        <v>4880</v>
      </c>
      <c r="V176" s="269">
        <v>5</v>
      </c>
      <c r="W176" s="269"/>
      <c r="X176" s="268" t="s">
        <v>4881</v>
      </c>
      <c r="Y176" t="s">
        <v>6418</v>
      </c>
      <c r="Z176" t="s">
        <v>6419</v>
      </c>
      <c r="AA176" s="268" t="s">
        <v>4884</v>
      </c>
      <c r="AB176" s="268"/>
      <c r="AC176" s="287">
        <v>1</v>
      </c>
      <c r="AD176" s="287">
        <v>1</v>
      </c>
      <c r="AE176" s="268"/>
      <c r="AF176" s="268"/>
      <c r="AG176" s="290"/>
    </row>
    <row r="177" spans="1:33" s="145" customFormat="1" x14ac:dyDescent="0.15">
      <c r="A177" s="270">
        <v>95105026</v>
      </c>
      <c r="B177" t="s">
        <v>6417</v>
      </c>
      <c r="C177" s="268" t="s">
        <v>6316</v>
      </c>
      <c r="D177" s="268">
        <v>5041</v>
      </c>
      <c r="E177" s="268" t="s">
        <v>4876</v>
      </c>
      <c r="F177" s="268" t="s">
        <v>4877</v>
      </c>
      <c r="G177" s="269">
        <v>6</v>
      </c>
      <c r="H177" s="269">
        <v>0</v>
      </c>
      <c r="I177" s="267">
        <v>34</v>
      </c>
      <c r="J177" s="282" t="s">
        <v>5020</v>
      </c>
      <c r="K177" s="279" t="s">
        <v>5021</v>
      </c>
      <c r="L177" s="279"/>
      <c r="M177" s="268">
        <v>1</v>
      </c>
      <c r="N177" s="268" t="b">
        <v>1</v>
      </c>
      <c r="O177" s="268">
        <v>25</v>
      </c>
      <c r="P177" s="281">
        <v>375</v>
      </c>
      <c r="Q177" s="281">
        <v>500</v>
      </c>
      <c r="R177" s="268" t="s">
        <v>3383</v>
      </c>
      <c r="S177" s="268"/>
      <c r="T177" s="268">
        <v>1</v>
      </c>
      <c r="U177" s="268" t="s">
        <v>4880</v>
      </c>
      <c r="V177" s="269">
        <v>7</v>
      </c>
      <c r="W177" s="269"/>
      <c r="X177" s="268" t="s">
        <v>4881</v>
      </c>
      <c r="Y177" t="s">
        <v>6420</v>
      </c>
      <c r="Z177" t="s">
        <v>6419</v>
      </c>
      <c r="AA177" s="268" t="s">
        <v>4884</v>
      </c>
      <c r="AB177" s="268"/>
      <c r="AC177" s="287">
        <v>1</v>
      </c>
      <c r="AD177" s="287">
        <v>1</v>
      </c>
      <c r="AE177" s="268"/>
      <c r="AF177" s="268"/>
      <c r="AG177" s="290"/>
    </row>
    <row r="178" spans="1:33" s="145" customFormat="1" x14ac:dyDescent="0.15">
      <c r="A178" s="270">
        <v>95105027</v>
      </c>
      <c r="B178" t="s">
        <v>6417</v>
      </c>
      <c r="C178" s="268" t="s">
        <v>6316</v>
      </c>
      <c r="D178" s="268">
        <v>5041</v>
      </c>
      <c r="E178" s="268" t="s">
        <v>4876</v>
      </c>
      <c r="F178" s="268" t="s">
        <v>4877</v>
      </c>
      <c r="G178" s="269">
        <v>7</v>
      </c>
      <c r="H178" s="269">
        <v>0</v>
      </c>
      <c r="I178" s="267">
        <v>34</v>
      </c>
      <c r="J178" s="282" t="s">
        <v>5020</v>
      </c>
      <c r="K178" s="279" t="s">
        <v>5021</v>
      </c>
      <c r="L178" s="279"/>
      <c r="M178" s="268">
        <v>1</v>
      </c>
      <c r="N178" s="268" t="b">
        <v>1</v>
      </c>
      <c r="O178" s="268">
        <v>38</v>
      </c>
      <c r="P178" s="281">
        <v>570</v>
      </c>
      <c r="Q178" s="281">
        <v>760</v>
      </c>
      <c r="R178" s="268" t="s">
        <v>3383</v>
      </c>
      <c r="S178" s="268"/>
      <c r="T178" s="268">
        <v>1</v>
      </c>
      <c r="U178" s="268" t="s">
        <v>4880</v>
      </c>
      <c r="V178" s="269">
        <v>10</v>
      </c>
      <c r="W178" s="269"/>
      <c r="X178" s="268" t="s">
        <v>4881</v>
      </c>
      <c r="Y178" t="s">
        <v>6418</v>
      </c>
      <c r="Z178" t="s">
        <v>6419</v>
      </c>
      <c r="AA178" s="268" t="s">
        <v>4884</v>
      </c>
      <c r="AB178" s="268"/>
      <c r="AC178" s="287">
        <v>1</v>
      </c>
      <c r="AD178" s="287">
        <v>1</v>
      </c>
      <c r="AE178" s="268"/>
      <c r="AF178" s="268"/>
      <c r="AG178" s="290"/>
    </row>
    <row r="179" spans="1:33" s="258" customFormat="1" x14ac:dyDescent="0.15">
      <c r="A179" s="271">
        <v>95105028</v>
      </c>
      <c r="B179" t="s">
        <v>6421</v>
      </c>
      <c r="C179" s="268" t="s">
        <v>6316</v>
      </c>
      <c r="D179" s="272">
        <v>5081</v>
      </c>
      <c r="E179" s="272" t="s">
        <v>4876</v>
      </c>
      <c r="F179" s="272" t="s">
        <v>4877</v>
      </c>
      <c r="G179" s="269">
        <v>6</v>
      </c>
      <c r="H179" s="273">
        <v>0</v>
      </c>
      <c r="I179" s="283">
        <v>34</v>
      </c>
      <c r="J179" s="284" t="s">
        <v>5020</v>
      </c>
      <c r="K179" s="285" t="s">
        <v>5021</v>
      </c>
      <c r="L179" s="272" t="s">
        <v>44</v>
      </c>
      <c r="M179" s="272">
        <v>1</v>
      </c>
      <c r="N179" s="272" t="b">
        <v>1</v>
      </c>
      <c r="O179" s="272">
        <v>51</v>
      </c>
      <c r="P179" s="281">
        <v>765</v>
      </c>
      <c r="Q179" s="281">
        <v>1020</v>
      </c>
      <c r="R179" s="272" t="s">
        <v>3383</v>
      </c>
      <c r="S179" s="272"/>
      <c r="T179" s="272">
        <v>1</v>
      </c>
      <c r="U179" s="272" t="s">
        <v>4880</v>
      </c>
      <c r="V179" s="273">
        <v>10</v>
      </c>
      <c r="W179" s="273"/>
      <c r="X179" s="272" t="s">
        <v>4881</v>
      </c>
      <c r="Y179" t="s">
        <v>6418</v>
      </c>
      <c r="Z179" t="s">
        <v>6419</v>
      </c>
      <c r="AA179" s="272" t="s">
        <v>4884</v>
      </c>
      <c r="AB179" s="272"/>
      <c r="AC179" s="289">
        <v>1</v>
      </c>
      <c r="AD179" s="289">
        <v>1</v>
      </c>
      <c r="AE179" s="289"/>
      <c r="AF179" s="272"/>
      <c r="AG179" s="272"/>
    </row>
    <row r="180" spans="1:33" s="258" customFormat="1" x14ac:dyDescent="0.15">
      <c r="A180" s="271">
        <v>95105029</v>
      </c>
      <c r="B180" t="s">
        <v>6422</v>
      </c>
      <c r="C180" s="268" t="s">
        <v>6316</v>
      </c>
      <c r="D180" s="272">
        <v>5081</v>
      </c>
      <c r="E180" s="272" t="s">
        <v>4876</v>
      </c>
      <c r="F180" s="272" t="s">
        <v>4877</v>
      </c>
      <c r="G180" s="269">
        <v>6</v>
      </c>
      <c r="H180" s="273">
        <v>0</v>
      </c>
      <c r="I180" s="283">
        <v>34</v>
      </c>
      <c r="J180" s="284" t="s">
        <v>5020</v>
      </c>
      <c r="K180" s="285" t="s">
        <v>5021</v>
      </c>
      <c r="L180" s="272" t="s">
        <v>4887</v>
      </c>
      <c r="M180" s="272">
        <v>1</v>
      </c>
      <c r="N180" s="272" t="b">
        <v>1</v>
      </c>
      <c r="O180" s="272">
        <v>64</v>
      </c>
      <c r="P180" s="281">
        <v>960</v>
      </c>
      <c r="Q180" s="281">
        <v>1280</v>
      </c>
      <c r="R180" s="272" t="s">
        <v>3383</v>
      </c>
      <c r="S180" s="272"/>
      <c r="T180" s="272">
        <v>1</v>
      </c>
      <c r="U180" s="272" t="s">
        <v>4880</v>
      </c>
      <c r="V180" s="273">
        <v>10</v>
      </c>
      <c r="W180" s="273"/>
      <c r="X180" s="272" t="s">
        <v>4881</v>
      </c>
      <c r="Y180" t="s">
        <v>6418</v>
      </c>
      <c r="Z180" t="s">
        <v>6419</v>
      </c>
      <c r="AA180" s="272" t="s">
        <v>4884</v>
      </c>
      <c r="AB180" s="272"/>
      <c r="AC180" s="289">
        <v>1</v>
      </c>
      <c r="AD180" s="289">
        <v>1</v>
      </c>
      <c r="AE180" s="289"/>
      <c r="AF180" s="272"/>
      <c r="AG180" s="272"/>
    </row>
    <row r="181" spans="1:33" s="258" customFormat="1" x14ac:dyDescent="0.15">
      <c r="A181" s="271">
        <v>95105030</v>
      </c>
      <c r="B181" t="s">
        <v>6423</v>
      </c>
      <c r="C181" s="268" t="s">
        <v>6316</v>
      </c>
      <c r="D181" s="272">
        <v>5081</v>
      </c>
      <c r="E181" s="272" t="s">
        <v>4876</v>
      </c>
      <c r="F181" s="272" t="s">
        <v>4877</v>
      </c>
      <c r="G181" s="269">
        <v>7</v>
      </c>
      <c r="H181" s="273">
        <v>0</v>
      </c>
      <c r="I181" s="283">
        <v>34</v>
      </c>
      <c r="J181" s="284" t="s">
        <v>5020</v>
      </c>
      <c r="K181" s="285" t="s">
        <v>5021</v>
      </c>
      <c r="L181" s="272" t="s">
        <v>4889</v>
      </c>
      <c r="M181" s="272">
        <v>1</v>
      </c>
      <c r="N181" s="272" t="b">
        <v>1</v>
      </c>
      <c r="O181" s="272">
        <v>77</v>
      </c>
      <c r="P181" s="281">
        <v>1155</v>
      </c>
      <c r="Q181" s="281">
        <v>1540</v>
      </c>
      <c r="R181" s="272" t="s">
        <v>3383</v>
      </c>
      <c r="S181" s="272"/>
      <c r="T181" s="272">
        <v>1</v>
      </c>
      <c r="U181" s="272" t="s">
        <v>4880</v>
      </c>
      <c r="V181" s="273">
        <v>10</v>
      </c>
      <c r="W181" s="273"/>
      <c r="X181" s="272" t="s">
        <v>4881</v>
      </c>
      <c r="Y181" t="s">
        <v>6418</v>
      </c>
      <c r="Z181" t="s">
        <v>6419</v>
      </c>
      <c r="AA181" s="272" t="s">
        <v>4884</v>
      </c>
      <c r="AB181" s="272"/>
      <c r="AC181" s="289">
        <v>1</v>
      </c>
      <c r="AD181" s="289">
        <v>1</v>
      </c>
      <c r="AE181" s="289"/>
      <c r="AF181" s="272"/>
      <c r="AG181" s="272"/>
    </row>
    <row r="182" spans="1:33" s="145" customFormat="1" x14ac:dyDescent="0.15">
      <c r="A182" s="267">
        <v>95106011</v>
      </c>
      <c r="B182" t="s">
        <v>6424</v>
      </c>
      <c r="C182" s="268" t="s">
        <v>6316</v>
      </c>
      <c r="D182" s="293">
        <v>5041</v>
      </c>
      <c r="E182" s="268" t="s">
        <v>4876</v>
      </c>
      <c r="F182" s="268" t="s">
        <v>4877</v>
      </c>
      <c r="G182" s="269">
        <v>1</v>
      </c>
      <c r="H182" s="269">
        <v>0</v>
      </c>
      <c r="I182" s="267">
        <v>34</v>
      </c>
      <c r="J182" s="268" t="s">
        <v>5028</v>
      </c>
      <c r="K182" s="279" t="s">
        <v>5029</v>
      </c>
      <c r="L182" s="279"/>
      <c r="M182" s="268">
        <v>1</v>
      </c>
      <c r="N182" s="268" t="b">
        <v>1</v>
      </c>
      <c r="O182" s="268">
        <v>2</v>
      </c>
      <c r="P182" s="281">
        <v>30</v>
      </c>
      <c r="Q182" s="281">
        <v>40</v>
      </c>
      <c r="R182" s="268" t="s">
        <v>3383</v>
      </c>
      <c r="S182" s="268"/>
      <c r="T182" s="268">
        <v>1</v>
      </c>
      <c r="U182" s="268" t="s">
        <v>4880</v>
      </c>
      <c r="V182" s="269">
        <v>1</v>
      </c>
      <c r="W182" s="269"/>
      <c r="X182" s="268" t="s">
        <v>4881</v>
      </c>
      <c r="Y182" t="s">
        <v>6425</v>
      </c>
      <c r="Z182" t="s">
        <v>6426</v>
      </c>
      <c r="AA182" s="268" t="s">
        <v>4884</v>
      </c>
      <c r="AB182" s="268"/>
      <c r="AC182" s="287">
        <v>1</v>
      </c>
      <c r="AD182" s="287">
        <v>1</v>
      </c>
      <c r="AE182" s="268"/>
      <c r="AF182" s="268"/>
      <c r="AG182" s="290"/>
    </row>
    <row r="183" spans="1:33" s="145" customFormat="1" x14ac:dyDescent="0.15">
      <c r="A183" s="267">
        <v>95106012</v>
      </c>
      <c r="B183" t="s">
        <v>6424</v>
      </c>
      <c r="C183" s="268" t="s">
        <v>6316</v>
      </c>
      <c r="D183" s="293">
        <v>5041</v>
      </c>
      <c r="E183" s="268" t="s">
        <v>4876</v>
      </c>
      <c r="F183" s="268" t="s">
        <v>4877</v>
      </c>
      <c r="G183" s="269">
        <v>2</v>
      </c>
      <c r="H183" s="269">
        <v>0</v>
      </c>
      <c r="I183" s="267">
        <v>34</v>
      </c>
      <c r="J183" s="268" t="s">
        <v>5028</v>
      </c>
      <c r="K183" s="279" t="s">
        <v>5029</v>
      </c>
      <c r="L183" s="279"/>
      <c r="M183" s="268">
        <v>1</v>
      </c>
      <c r="N183" s="268" t="b">
        <v>1</v>
      </c>
      <c r="O183" s="268">
        <v>5</v>
      </c>
      <c r="P183" s="281">
        <v>75</v>
      </c>
      <c r="Q183" s="281">
        <v>100</v>
      </c>
      <c r="R183" s="268" t="s">
        <v>3383</v>
      </c>
      <c r="S183" s="268"/>
      <c r="T183" s="268">
        <v>1</v>
      </c>
      <c r="U183" s="268" t="s">
        <v>4880</v>
      </c>
      <c r="V183" s="269">
        <v>2</v>
      </c>
      <c r="W183" s="269"/>
      <c r="X183" s="268" t="s">
        <v>4881</v>
      </c>
      <c r="Y183" t="s">
        <v>6425</v>
      </c>
      <c r="Z183" t="s">
        <v>6426</v>
      </c>
      <c r="AA183" s="268" t="s">
        <v>4884</v>
      </c>
      <c r="AB183" s="268"/>
      <c r="AC183" s="287">
        <v>1</v>
      </c>
      <c r="AD183" s="287">
        <v>1</v>
      </c>
      <c r="AE183" s="268"/>
      <c r="AF183" s="268"/>
      <c r="AG183" s="290"/>
    </row>
    <row r="184" spans="1:33" s="145" customFormat="1" x14ac:dyDescent="0.15">
      <c r="A184" s="267">
        <v>95106013</v>
      </c>
      <c r="B184" t="s">
        <v>6424</v>
      </c>
      <c r="C184" s="268" t="s">
        <v>6316</v>
      </c>
      <c r="D184" s="293">
        <v>5041</v>
      </c>
      <c r="E184" s="268" t="s">
        <v>4876</v>
      </c>
      <c r="F184" s="268" t="s">
        <v>4877</v>
      </c>
      <c r="G184" s="269">
        <v>3</v>
      </c>
      <c r="H184" s="269">
        <v>0</v>
      </c>
      <c r="I184" s="267">
        <v>34</v>
      </c>
      <c r="J184" s="268" t="s">
        <v>5028</v>
      </c>
      <c r="K184" s="279" t="s">
        <v>5029</v>
      </c>
      <c r="L184" s="279"/>
      <c r="M184" s="268">
        <v>1</v>
      </c>
      <c r="N184" s="268" t="b">
        <v>1</v>
      </c>
      <c r="O184" s="268">
        <v>7</v>
      </c>
      <c r="P184" s="281">
        <v>105</v>
      </c>
      <c r="Q184" s="281">
        <v>140</v>
      </c>
      <c r="R184" s="268" t="s">
        <v>3383</v>
      </c>
      <c r="S184" s="268"/>
      <c r="T184" s="268">
        <v>1</v>
      </c>
      <c r="U184" s="268" t="s">
        <v>4880</v>
      </c>
      <c r="V184" s="269">
        <v>3</v>
      </c>
      <c r="W184" s="269"/>
      <c r="X184" s="268" t="s">
        <v>4881</v>
      </c>
      <c r="Y184" t="s">
        <v>6425</v>
      </c>
      <c r="Z184" t="s">
        <v>6426</v>
      </c>
      <c r="AA184" s="268" t="s">
        <v>4884</v>
      </c>
      <c r="AB184" s="268"/>
      <c r="AC184" s="287">
        <v>1</v>
      </c>
      <c r="AD184" s="287">
        <v>1</v>
      </c>
      <c r="AE184" s="268"/>
      <c r="AF184" s="268"/>
      <c r="AG184" s="290"/>
    </row>
    <row r="185" spans="1:33" s="145" customFormat="1" x14ac:dyDescent="0.15">
      <c r="A185" s="267">
        <v>95106014</v>
      </c>
      <c r="B185" t="s">
        <v>6424</v>
      </c>
      <c r="C185" s="268" t="s">
        <v>6316</v>
      </c>
      <c r="D185" s="293">
        <v>5041</v>
      </c>
      <c r="E185" s="268" t="s">
        <v>4876</v>
      </c>
      <c r="F185" s="268" t="s">
        <v>4877</v>
      </c>
      <c r="G185" s="269">
        <v>4</v>
      </c>
      <c r="H185" s="269">
        <v>0</v>
      </c>
      <c r="I185" s="267">
        <v>34</v>
      </c>
      <c r="J185" s="268" t="s">
        <v>5028</v>
      </c>
      <c r="K185" s="279" t="s">
        <v>5029</v>
      </c>
      <c r="L185" s="279"/>
      <c r="M185" s="268">
        <v>1</v>
      </c>
      <c r="N185" s="268" t="b">
        <v>1</v>
      </c>
      <c r="O185" s="268">
        <v>10</v>
      </c>
      <c r="P185" s="281">
        <v>150</v>
      </c>
      <c r="Q185" s="281">
        <v>200</v>
      </c>
      <c r="R185" s="268" t="s">
        <v>3383</v>
      </c>
      <c r="S185" s="268"/>
      <c r="T185" s="268">
        <v>1</v>
      </c>
      <c r="U185" s="268" t="s">
        <v>4880</v>
      </c>
      <c r="V185" s="269">
        <v>4</v>
      </c>
      <c r="W185" s="269"/>
      <c r="X185" s="268" t="s">
        <v>4881</v>
      </c>
      <c r="Y185" t="s">
        <v>6425</v>
      </c>
      <c r="Z185" t="s">
        <v>6426</v>
      </c>
      <c r="AA185" s="268" t="s">
        <v>4884</v>
      </c>
      <c r="AB185" s="268"/>
      <c r="AC185" s="287">
        <v>1</v>
      </c>
      <c r="AD185" s="287">
        <v>1</v>
      </c>
      <c r="AE185" s="268"/>
      <c r="AF185" s="268"/>
      <c r="AG185" s="290"/>
    </row>
    <row r="186" spans="1:33" s="145" customFormat="1" x14ac:dyDescent="0.15">
      <c r="A186" s="267">
        <v>95106015</v>
      </c>
      <c r="B186" t="s">
        <v>6424</v>
      </c>
      <c r="C186" s="268" t="s">
        <v>6316</v>
      </c>
      <c r="D186" s="293">
        <v>5041</v>
      </c>
      <c r="E186" s="268" t="s">
        <v>4876</v>
      </c>
      <c r="F186" s="268" t="s">
        <v>4877</v>
      </c>
      <c r="G186" s="269">
        <v>5</v>
      </c>
      <c r="H186" s="269">
        <v>0</v>
      </c>
      <c r="I186" s="267">
        <v>34</v>
      </c>
      <c r="J186" s="268" t="s">
        <v>5028</v>
      </c>
      <c r="K186" s="279" t="s">
        <v>5029</v>
      </c>
      <c r="L186" s="279"/>
      <c r="M186" s="268">
        <v>1</v>
      </c>
      <c r="N186" s="268" t="b">
        <v>1</v>
      </c>
      <c r="O186" s="268">
        <v>12</v>
      </c>
      <c r="P186" s="281">
        <v>180</v>
      </c>
      <c r="Q186" s="281">
        <v>240</v>
      </c>
      <c r="R186" s="268" t="s">
        <v>3383</v>
      </c>
      <c r="S186" s="268"/>
      <c r="T186" s="268">
        <v>1</v>
      </c>
      <c r="U186" s="268" t="s">
        <v>4880</v>
      </c>
      <c r="V186" s="269">
        <v>5</v>
      </c>
      <c r="W186" s="269"/>
      <c r="X186" s="268" t="s">
        <v>4881</v>
      </c>
      <c r="Y186" t="s">
        <v>6425</v>
      </c>
      <c r="Z186" t="s">
        <v>6426</v>
      </c>
      <c r="AA186" s="268" t="s">
        <v>4884</v>
      </c>
      <c r="AB186" s="268"/>
      <c r="AC186" s="287">
        <v>1</v>
      </c>
      <c r="AD186" s="287">
        <v>1</v>
      </c>
      <c r="AE186" s="268"/>
      <c r="AF186" s="268"/>
      <c r="AG186" s="290"/>
    </row>
    <row r="187" spans="1:33" s="145" customFormat="1" x14ac:dyDescent="0.15">
      <c r="A187" s="267">
        <v>95106016</v>
      </c>
      <c r="B187" t="s">
        <v>6424</v>
      </c>
      <c r="C187" s="268" t="s">
        <v>6316</v>
      </c>
      <c r="D187" s="268">
        <v>5041</v>
      </c>
      <c r="E187" s="268" t="s">
        <v>4876</v>
      </c>
      <c r="F187" s="268" t="s">
        <v>4877</v>
      </c>
      <c r="G187" s="269">
        <v>6</v>
      </c>
      <c r="H187" s="269">
        <v>0</v>
      </c>
      <c r="I187" s="267">
        <v>34</v>
      </c>
      <c r="J187" s="268" t="s">
        <v>5028</v>
      </c>
      <c r="K187" s="279" t="s">
        <v>5029</v>
      </c>
      <c r="L187" s="279"/>
      <c r="M187" s="268">
        <v>1</v>
      </c>
      <c r="N187" s="268" t="b">
        <v>1</v>
      </c>
      <c r="O187" s="268">
        <v>25</v>
      </c>
      <c r="P187" s="281">
        <v>375</v>
      </c>
      <c r="Q187" s="281">
        <v>500</v>
      </c>
      <c r="R187" s="268" t="s">
        <v>3383</v>
      </c>
      <c r="S187" s="268"/>
      <c r="T187" s="268">
        <v>1</v>
      </c>
      <c r="U187" s="268" t="s">
        <v>4880</v>
      </c>
      <c r="V187" s="269">
        <v>7</v>
      </c>
      <c r="W187" s="269"/>
      <c r="X187" s="268" t="s">
        <v>4881</v>
      </c>
      <c r="Y187" t="s">
        <v>6425</v>
      </c>
      <c r="Z187" t="s">
        <v>6426</v>
      </c>
      <c r="AA187" s="268" t="s">
        <v>4884</v>
      </c>
      <c r="AB187" s="268"/>
      <c r="AC187" s="287">
        <v>1</v>
      </c>
      <c r="AD187" s="287">
        <v>1</v>
      </c>
      <c r="AE187" s="268"/>
      <c r="AF187" s="268"/>
      <c r="AG187" s="290"/>
    </row>
    <row r="188" spans="1:33" s="145" customFormat="1" x14ac:dyDescent="0.15">
      <c r="A188" s="267">
        <v>95106017</v>
      </c>
      <c r="B188" t="s">
        <v>6424</v>
      </c>
      <c r="C188" s="268" t="s">
        <v>6316</v>
      </c>
      <c r="D188" s="268">
        <v>5041</v>
      </c>
      <c r="E188" s="268" t="s">
        <v>4876</v>
      </c>
      <c r="F188" s="268" t="s">
        <v>4877</v>
      </c>
      <c r="G188" s="269">
        <v>7</v>
      </c>
      <c r="H188" s="269">
        <v>0</v>
      </c>
      <c r="I188" s="267">
        <v>34</v>
      </c>
      <c r="J188" s="268" t="s">
        <v>5028</v>
      </c>
      <c r="K188" s="279" t="s">
        <v>5029</v>
      </c>
      <c r="L188" s="279"/>
      <c r="M188" s="268">
        <v>1</v>
      </c>
      <c r="N188" s="268" t="b">
        <v>1</v>
      </c>
      <c r="O188" s="268">
        <v>38</v>
      </c>
      <c r="P188" s="281">
        <v>570</v>
      </c>
      <c r="Q188" s="281">
        <v>760</v>
      </c>
      <c r="R188" s="268" t="s">
        <v>3383</v>
      </c>
      <c r="S188" s="268"/>
      <c r="T188" s="268">
        <v>1</v>
      </c>
      <c r="U188" s="268" t="s">
        <v>4880</v>
      </c>
      <c r="V188" s="269">
        <v>10</v>
      </c>
      <c r="W188" s="269"/>
      <c r="X188" s="268" t="s">
        <v>4881</v>
      </c>
      <c r="Y188" t="s">
        <v>6425</v>
      </c>
      <c r="Z188" t="s">
        <v>6426</v>
      </c>
      <c r="AA188" s="268" t="s">
        <v>4884</v>
      </c>
      <c r="AB188" s="268"/>
      <c r="AC188" s="287">
        <v>1</v>
      </c>
      <c r="AD188" s="287">
        <v>1</v>
      </c>
      <c r="AE188" s="268"/>
      <c r="AF188" s="268"/>
      <c r="AG188" s="290"/>
    </row>
    <row r="189" spans="1:33" s="258" customFormat="1" x14ac:dyDescent="0.15">
      <c r="A189" s="271">
        <v>95106018</v>
      </c>
      <c r="B189" t="s">
        <v>6427</v>
      </c>
      <c r="C189" s="268" t="s">
        <v>6316</v>
      </c>
      <c r="D189" s="272">
        <v>5081</v>
      </c>
      <c r="E189" s="272" t="s">
        <v>4876</v>
      </c>
      <c r="F189" s="272" t="s">
        <v>4877</v>
      </c>
      <c r="G189" s="269">
        <v>6</v>
      </c>
      <c r="H189" s="273">
        <v>1</v>
      </c>
      <c r="I189" s="283">
        <v>34</v>
      </c>
      <c r="J189" s="284" t="s">
        <v>5028</v>
      </c>
      <c r="K189" s="285" t="s">
        <v>5029</v>
      </c>
      <c r="L189" s="272" t="s">
        <v>44</v>
      </c>
      <c r="M189" s="272">
        <v>1</v>
      </c>
      <c r="N189" s="272" t="b">
        <v>1</v>
      </c>
      <c r="O189" s="272">
        <v>51</v>
      </c>
      <c r="P189" s="281">
        <v>765</v>
      </c>
      <c r="Q189" s="281">
        <v>1020</v>
      </c>
      <c r="R189" s="272" t="s">
        <v>3383</v>
      </c>
      <c r="S189" s="272"/>
      <c r="T189" s="272">
        <v>1</v>
      </c>
      <c r="U189" s="272" t="s">
        <v>4880</v>
      </c>
      <c r="V189" s="273">
        <v>10</v>
      </c>
      <c r="W189" s="273"/>
      <c r="X189" s="272" t="s">
        <v>4881</v>
      </c>
      <c r="Y189" t="s">
        <v>6425</v>
      </c>
      <c r="Z189" t="s">
        <v>6426</v>
      </c>
      <c r="AA189" s="272" t="s">
        <v>4884</v>
      </c>
      <c r="AB189" s="272"/>
      <c r="AC189" s="289">
        <v>1</v>
      </c>
      <c r="AD189" s="289">
        <v>1</v>
      </c>
      <c r="AE189" s="289"/>
      <c r="AF189" s="272"/>
      <c r="AG189" s="272"/>
    </row>
    <row r="190" spans="1:33" s="258" customFormat="1" x14ac:dyDescent="0.15">
      <c r="A190" s="271">
        <v>95106019</v>
      </c>
      <c r="B190" t="s">
        <v>6428</v>
      </c>
      <c r="C190" s="268" t="s">
        <v>6316</v>
      </c>
      <c r="D190" s="272">
        <v>5081</v>
      </c>
      <c r="E190" s="272" t="s">
        <v>4876</v>
      </c>
      <c r="F190" s="272" t="s">
        <v>4877</v>
      </c>
      <c r="G190" s="269">
        <v>6</v>
      </c>
      <c r="H190" s="273">
        <v>1</v>
      </c>
      <c r="I190" s="283">
        <v>34</v>
      </c>
      <c r="J190" s="284" t="s">
        <v>5028</v>
      </c>
      <c r="K190" s="285" t="s">
        <v>5029</v>
      </c>
      <c r="L190" s="272" t="s">
        <v>4887</v>
      </c>
      <c r="M190" s="272">
        <v>1</v>
      </c>
      <c r="N190" s="272" t="b">
        <v>1</v>
      </c>
      <c r="O190" s="272">
        <v>64</v>
      </c>
      <c r="P190" s="281">
        <v>960</v>
      </c>
      <c r="Q190" s="281">
        <v>1280</v>
      </c>
      <c r="R190" s="272" t="s">
        <v>3383</v>
      </c>
      <c r="S190" s="272"/>
      <c r="T190" s="272">
        <v>1</v>
      </c>
      <c r="U190" s="272" t="s">
        <v>4880</v>
      </c>
      <c r="V190" s="273">
        <v>10</v>
      </c>
      <c r="W190" s="273"/>
      <c r="X190" s="272" t="s">
        <v>4881</v>
      </c>
      <c r="Y190" t="s">
        <v>6425</v>
      </c>
      <c r="Z190" t="s">
        <v>6426</v>
      </c>
      <c r="AA190" s="272" t="s">
        <v>4884</v>
      </c>
      <c r="AB190" s="272"/>
      <c r="AC190" s="289">
        <v>1</v>
      </c>
      <c r="AD190" s="289">
        <v>1</v>
      </c>
      <c r="AE190" s="289"/>
      <c r="AF190" s="272"/>
      <c r="AG190" s="272"/>
    </row>
    <row r="191" spans="1:33" s="258" customFormat="1" x14ac:dyDescent="0.15">
      <c r="A191" s="271">
        <v>95106020</v>
      </c>
      <c r="B191" t="s">
        <v>6429</v>
      </c>
      <c r="C191" s="268" t="s">
        <v>6316</v>
      </c>
      <c r="D191" s="272">
        <v>5081</v>
      </c>
      <c r="E191" s="272" t="s">
        <v>4876</v>
      </c>
      <c r="F191" s="272" t="s">
        <v>4877</v>
      </c>
      <c r="G191" s="269">
        <v>7</v>
      </c>
      <c r="H191" s="273">
        <v>0</v>
      </c>
      <c r="I191" s="283">
        <v>34</v>
      </c>
      <c r="J191" s="284" t="s">
        <v>5028</v>
      </c>
      <c r="K191" s="285" t="s">
        <v>5029</v>
      </c>
      <c r="L191" s="272" t="s">
        <v>4889</v>
      </c>
      <c r="M191" s="272">
        <v>1</v>
      </c>
      <c r="N191" s="272" t="b">
        <v>1</v>
      </c>
      <c r="O191" s="272">
        <v>77</v>
      </c>
      <c r="P191" s="281">
        <v>1155</v>
      </c>
      <c r="Q191" s="281">
        <v>1540</v>
      </c>
      <c r="R191" s="272" t="s">
        <v>3383</v>
      </c>
      <c r="S191" s="272"/>
      <c r="T191" s="272">
        <v>1</v>
      </c>
      <c r="U191" s="272" t="s">
        <v>4880</v>
      </c>
      <c r="V191" s="273">
        <v>10</v>
      </c>
      <c r="W191" s="273"/>
      <c r="X191" s="272" t="s">
        <v>4881</v>
      </c>
      <c r="Y191" t="s">
        <v>6425</v>
      </c>
      <c r="Z191" t="s">
        <v>6426</v>
      </c>
      <c r="AA191" s="272" t="s">
        <v>4884</v>
      </c>
      <c r="AB191" s="272"/>
      <c r="AC191" s="289">
        <v>1</v>
      </c>
      <c r="AD191" s="289">
        <v>1</v>
      </c>
      <c r="AE191" s="289"/>
      <c r="AF191" s="272"/>
      <c r="AG191" s="272"/>
    </row>
    <row r="192" spans="1:33" s="145" customFormat="1" x14ac:dyDescent="0.15">
      <c r="A192" s="267">
        <v>95106021</v>
      </c>
      <c r="B192" t="s">
        <v>6430</v>
      </c>
      <c r="C192" s="268" t="s">
        <v>6316</v>
      </c>
      <c r="D192" s="293">
        <v>5041</v>
      </c>
      <c r="E192" s="268" t="s">
        <v>4876</v>
      </c>
      <c r="F192" s="268" t="s">
        <v>4877</v>
      </c>
      <c r="G192" s="269">
        <v>1</v>
      </c>
      <c r="H192" s="269">
        <v>0</v>
      </c>
      <c r="I192" s="267">
        <v>34</v>
      </c>
      <c r="J192" s="268" t="s">
        <v>5036</v>
      </c>
      <c r="K192" s="279" t="s">
        <v>5037</v>
      </c>
      <c r="L192" s="279"/>
      <c r="M192" s="268">
        <v>1</v>
      </c>
      <c r="N192" s="268" t="b">
        <v>1</v>
      </c>
      <c r="O192" s="268">
        <v>2</v>
      </c>
      <c r="P192" s="281">
        <v>30</v>
      </c>
      <c r="Q192" s="281">
        <v>40</v>
      </c>
      <c r="R192" s="268" t="s">
        <v>3383</v>
      </c>
      <c r="S192" s="268"/>
      <c r="T192" s="268">
        <v>1</v>
      </c>
      <c r="U192" s="268" t="s">
        <v>4880</v>
      </c>
      <c r="V192" s="269">
        <v>1</v>
      </c>
      <c r="W192" s="269"/>
      <c r="X192" s="268" t="s">
        <v>4881</v>
      </c>
      <c r="Y192" t="s">
        <v>6431</v>
      </c>
      <c r="Z192" t="s">
        <v>6432</v>
      </c>
      <c r="AA192" s="268" t="s">
        <v>4884</v>
      </c>
      <c r="AB192" s="268"/>
      <c r="AC192" s="287">
        <v>1</v>
      </c>
      <c r="AD192" s="287">
        <v>1</v>
      </c>
      <c r="AE192" s="268"/>
      <c r="AF192" s="268"/>
      <c r="AG192" s="290"/>
    </row>
    <row r="193" spans="1:33" s="145" customFormat="1" x14ac:dyDescent="0.15">
      <c r="A193" s="267">
        <v>95106022</v>
      </c>
      <c r="B193" t="s">
        <v>6430</v>
      </c>
      <c r="C193" s="268" t="s">
        <v>6316</v>
      </c>
      <c r="D193" s="293">
        <v>5041</v>
      </c>
      <c r="E193" s="268" t="s">
        <v>4876</v>
      </c>
      <c r="F193" s="268" t="s">
        <v>4877</v>
      </c>
      <c r="G193" s="269">
        <v>2</v>
      </c>
      <c r="H193" s="269">
        <v>0</v>
      </c>
      <c r="I193" s="267">
        <v>34</v>
      </c>
      <c r="J193" s="268" t="s">
        <v>5036</v>
      </c>
      <c r="K193" s="279" t="s">
        <v>5037</v>
      </c>
      <c r="L193" s="279"/>
      <c r="M193" s="268">
        <v>1</v>
      </c>
      <c r="N193" s="268" t="b">
        <v>1</v>
      </c>
      <c r="O193" s="268">
        <v>5</v>
      </c>
      <c r="P193" s="281">
        <v>75</v>
      </c>
      <c r="Q193" s="281">
        <v>100</v>
      </c>
      <c r="R193" s="268" t="s">
        <v>3383</v>
      </c>
      <c r="S193" s="268"/>
      <c r="T193" s="268">
        <v>1</v>
      </c>
      <c r="U193" s="268" t="s">
        <v>4880</v>
      </c>
      <c r="V193" s="269">
        <v>2</v>
      </c>
      <c r="W193" s="269"/>
      <c r="X193" s="268" t="s">
        <v>4881</v>
      </c>
      <c r="Y193" t="s">
        <v>6431</v>
      </c>
      <c r="Z193" t="s">
        <v>6432</v>
      </c>
      <c r="AA193" s="268" t="s">
        <v>4884</v>
      </c>
      <c r="AB193" s="268"/>
      <c r="AC193" s="287">
        <v>1</v>
      </c>
      <c r="AD193" s="287">
        <v>1</v>
      </c>
      <c r="AE193" s="268"/>
      <c r="AF193" s="268"/>
      <c r="AG193" s="290"/>
    </row>
    <row r="194" spans="1:33" s="145" customFormat="1" x14ac:dyDescent="0.15">
      <c r="A194" s="267">
        <v>95106023</v>
      </c>
      <c r="B194" t="s">
        <v>6430</v>
      </c>
      <c r="C194" s="268" t="s">
        <v>6316</v>
      </c>
      <c r="D194" s="293">
        <v>5041</v>
      </c>
      <c r="E194" s="268" t="s">
        <v>4876</v>
      </c>
      <c r="F194" s="268" t="s">
        <v>4877</v>
      </c>
      <c r="G194" s="269">
        <v>3</v>
      </c>
      <c r="H194" s="269">
        <v>0</v>
      </c>
      <c r="I194" s="267">
        <v>34</v>
      </c>
      <c r="J194" s="268" t="s">
        <v>5036</v>
      </c>
      <c r="K194" s="279" t="s">
        <v>5037</v>
      </c>
      <c r="L194" s="279"/>
      <c r="M194" s="268">
        <v>1</v>
      </c>
      <c r="N194" s="268" t="b">
        <v>1</v>
      </c>
      <c r="O194" s="268">
        <v>7</v>
      </c>
      <c r="P194" s="281">
        <v>105</v>
      </c>
      <c r="Q194" s="281">
        <v>140</v>
      </c>
      <c r="R194" s="268" t="s">
        <v>3383</v>
      </c>
      <c r="S194" s="268"/>
      <c r="T194" s="268">
        <v>1</v>
      </c>
      <c r="U194" s="268" t="s">
        <v>4880</v>
      </c>
      <c r="V194" s="269">
        <v>3</v>
      </c>
      <c r="W194" s="269"/>
      <c r="X194" s="268" t="s">
        <v>4881</v>
      </c>
      <c r="Y194" t="s">
        <v>6431</v>
      </c>
      <c r="Z194" t="s">
        <v>6432</v>
      </c>
      <c r="AA194" s="268" t="s">
        <v>4884</v>
      </c>
      <c r="AB194" s="268"/>
      <c r="AC194" s="287">
        <v>1</v>
      </c>
      <c r="AD194" s="287">
        <v>1</v>
      </c>
      <c r="AE194" s="268"/>
      <c r="AF194" s="268"/>
      <c r="AG194" s="290"/>
    </row>
    <row r="195" spans="1:33" s="145" customFormat="1" x14ac:dyDescent="0.15">
      <c r="A195" s="267">
        <v>95106024</v>
      </c>
      <c r="B195" t="s">
        <v>6430</v>
      </c>
      <c r="C195" s="268" t="s">
        <v>6316</v>
      </c>
      <c r="D195" s="293">
        <v>5041</v>
      </c>
      <c r="E195" s="268" t="s">
        <v>4876</v>
      </c>
      <c r="F195" s="268" t="s">
        <v>4877</v>
      </c>
      <c r="G195" s="269">
        <v>4</v>
      </c>
      <c r="H195" s="269">
        <v>0</v>
      </c>
      <c r="I195" s="267">
        <v>34</v>
      </c>
      <c r="J195" s="268" t="s">
        <v>5036</v>
      </c>
      <c r="K195" s="279" t="s">
        <v>5037</v>
      </c>
      <c r="L195" s="279"/>
      <c r="M195" s="268">
        <v>1</v>
      </c>
      <c r="N195" s="268" t="b">
        <v>1</v>
      </c>
      <c r="O195" s="268">
        <v>10</v>
      </c>
      <c r="P195" s="281">
        <v>150</v>
      </c>
      <c r="Q195" s="281">
        <v>200</v>
      </c>
      <c r="R195" s="268" t="s">
        <v>3383</v>
      </c>
      <c r="S195" s="268"/>
      <c r="T195" s="268">
        <v>1</v>
      </c>
      <c r="U195" s="268" t="s">
        <v>4880</v>
      </c>
      <c r="V195" s="269">
        <v>4</v>
      </c>
      <c r="W195" s="269"/>
      <c r="X195" s="268" t="s">
        <v>4881</v>
      </c>
      <c r="Y195" t="s">
        <v>6431</v>
      </c>
      <c r="Z195" t="s">
        <v>6432</v>
      </c>
      <c r="AA195" s="268" t="s">
        <v>4884</v>
      </c>
      <c r="AB195" s="268"/>
      <c r="AC195" s="287">
        <v>1</v>
      </c>
      <c r="AD195" s="287">
        <v>1</v>
      </c>
      <c r="AE195" s="268"/>
      <c r="AF195" s="268"/>
      <c r="AG195" s="290"/>
    </row>
    <row r="196" spans="1:33" s="145" customFormat="1" x14ac:dyDescent="0.15">
      <c r="A196" s="267">
        <v>95106025</v>
      </c>
      <c r="B196" t="s">
        <v>6430</v>
      </c>
      <c r="C196" s="268" t="s">
        <v>6316</v>
      </c>
      <c r="D196" s="293">
        <v>5041</v>
      </c>
      <c r="E196" s="268" t="s">
        <v>4876</v>
      </c>
      <c r="F196" s="268" t="s">
        <v>4877</v>
      </c>
      <c r="G196" s="269">
        <v>5</v>
      </c>
      <c r="H196" s="269">
        <v>0</v>
      </c>
      <c r="I196" s="267">
        <v>34</v>
      </c>
      <c r="J196" s="268" t="s">
        <v>5036</v>
      </c>
      <c r="K196" s="279" t="s">
        <v>5037</v>
      </c>
      <c r="L196" s="279"/>
      <c r="M196" s="268">
        <v>1</v>
      </c>
      <c r="N196" s="268" t="b">
        <v>1</v>
      </c>
      <c r="O196" s="268">
        <v>12</v>
      </c>
      <c r="P196" s="281">
        <v>180</v>
      </c>
      <c r="Q196" s="281">
        <v>240</v>
      </c>
      <c r="R196" s="268" t="s">
        <v>3383</v>
      </c>
      <c r="S196" s="268"/>
      <c r="T196" s="268">
        <v>1</v>
      </c>
      <c r="U196" s="268" t="s">
        <v>4880</v>
      </c>
      <c r="V196" s="269">
        <v>5</v>
      </c>
      <c r="W196" s="269"/>
      <c r="X196" s="268" t="s">
        <v>4881</v>
      </c>
      <c r="Y196" t="s">
        <v>6431</v>
      </c>
      <c r="Z196" t="s">
        <v>6432</v>
      </c>
      <c r="AA196" s="268" t="s">
        <v>4884</v>
      </c>
      <c r="AB196" s="268"/>
      <c r="AC196" s="287">
        <v>1</v>
      </c>
      <c r="AD196" s="287">
        <v>1</v>
      </c>
      <c r="AE196" s="268"/>
      <c r="AF196" s="268"/>
      <c r="AG196" s="290"/>
    </row>
    <row r="197" spans="1:33" s="145" customFormat="1" x14ac:dyDescent="0.15">
      <c r="A197" s="267">
        <v>95106026</v>
      </c>
      <c r="B197" t="s">
        <v>6430</v>
      </c>
      <c r="C197" s="268" t="s">
        <v>6316</v>
      </c>
      <c r="D197" s="268">
        <v>5041</v>
      </c>
      <c r="E197" s="268" t="s">
        <v>4876</v>
      </c>
      <c r="F197" s="268" t="s">
        <v>4877</v>
      </c>
      <c r="G197" s="269">
        <v>6</v>
      </c>
      <c r="H197" s="269">
        <v>0</v>
      </c>
      <c r="I197" s="267">
        <v>34</v>
      </c>
      <c r="J197" s="268" t="s">
        <v>5036</v>
      </c>
      <c r="K197" s="279" t="s">
        <v>5037</v>
      </c>
      <c r="L197" s="279"/>
      <c r="M197" s="268">
        <v>1</v>
      </c>
      <c r="N197" s="268" t="b">
        <v>1</v>
      </c>
      <c r="O197" s="268">
        <v>25</v>
      </c>
      <c r="P197" s="281">
        <v>375</v>
      </c>
      <c r="Q197" s="281">
        <v>500</v>
      </c>
      <c r="R197" s="268" t="s">
        <v>3383</v>
      </c>
      <c r="S197" s="268"/>
      <c r="T197" s="268">
        <v>1</v>
      </c>
      <c r="U197" s="268" t="s">
        <v>4880</v>
      </c>
      <c r="V197" s="269">
        <v>7</v>
      </c>
      <c r="W197" s="269"/>
      <c r="X197" s="268" t="s">
        <v>4881</v>
      </c>
      <c r="Y197" t="s">
        <v>6431</v>
      </c>
      <c r="Z197" t="s">
        <v>6432</v>
      </c>
      <c r="AA197" s="268" t="s">
        <v>4884</v>
      </c>
      <c r="AB197" s="268"/>
      <c r="AC197" s="287">
        <v>1</v>
      </c>
      <c r="AD197" s="287">
        <v>1</v>
      </c>
      <c r="AE197" s="268"/>
      <c r="AF197" s="268"/>
      <c r="AG197" s="290"/>
    </row>
    <row r="198" spans="1:33" s="145" customFormat="1" x14ac:dyDescent="0.15">
      <c r="A198" s="267">
        <v>95106027</v>
      </c>
      <c r="B198" t="s">
        <v>6430</v>
      </c>
      <c r="C198" s="268" t="s">
        <v>6316</v>
      </c>
      <c r="D198" s="268">
        <v>5041</v>
      </c>
      <c r="E198" s="268" t="s">
        <v>4876</v>
      </c>
      <c r="F198" s="268" t="s">
        <v>4877</v>
      </c>
      <c r="G198" s="269">
        <v>7</v>
      </c>
      <c r="H198" s="269">
        <v>0</v>
      </c>
      <c r="I198" s="267">
        <v>34</v>
      </c>
      <c r="J198" s="268" t="s">
        <v>5036</v>
      </c>
      <c r="K198" s="279" t="s">
        <v>5037</v>
      </c>
      <c r="L198" s="279"/>
      <c r="M198" s="268">
        <v>1</v>
      </c>
      <c r="N198" s="268" t="b">
        <v>1</v>
      </c>
      <c r="O198" s="268">
        <v>38</v>
      </c>
      <c r="P198" s="281">
        <v>570</v>
      </c>
      <c r="Q198" s="281">
        <v>760</v>
      </c>
      <c r="R198" s="268" t="s">
        <v>3383</v>
      </c>
      <c r="S198" s="268"/>
      <c r="T198" s="268">
        <v>1</v>
      </c>
      <c r="U198" s="268" t="s">
        <v>4880</v>
      </c>
      <c r="V198" s="269">
        <v>10</v>
      </c>
      <c r="W198" s="269"/>
      <c r="X198" s="268" t="s">
        <v>4881</v>
      </c>
      <c r="Y198" t="s">
        <v>6431</v>
      </c>
      <c r="Z198" t="s">
        <v>6432</v>
      </c>
      <c r="AA198" s="268" t="s">
        <v>4884</v>
      </c>
      <c r="AB198" s="268"/>
      <c r="AC198" s="287">
        <v>1</v>
      </c>
      <c r="AD198" s="287">
        <v>1</v>
      </c>
      <c r="AE198" s="268"/>
      <c r="AF198" s="268"/>
      <c r="AG198" s="290"/>
    </row>
    <row r="199" spans="1:33" s="258" customFormat="1" x14ac:dyDescent="0.15">
      <c r="A199" s="271">
        <v>95106028</v>
      </c>
      <c r="B199" t="s">
        <v>6433</v>
      </c>
      <c r="C199" s="268" t="s">
        <v>6316</v>
      </c>
      <c r="D199" s="272">
        <v>5081</v>
      </c>
      <c r="E199" s="272" t="s">
        <v>4876</v>
      </c>
      <c r="F199" s="272" t="s">
        <v>4877</v>
      </c>
      <c r="G199" s="269">
        <v>6</v>
      </c>
      <c r="H199" s="273">
        <v>1</v>
      </c>
      <c r="I199" s="283">
        <v>34</v>
      </c>
      <c r="J199" s="284" t="s">
        <v>5036</v>
      </c>
      <c r="K199" s="285" t="s">
        <v>5037</v>
      </c>
      <c r="L199" s="272" t="s">
        <v>44</v>
      </c>
      <c r="M199" s="272">
        <v>1</v>
      </c>
      <c r="N199" s="272" t="b">
        <v>1</v>
      </c>
      <c r="O199" s="272">
        <v>51</v>
      </c>
      <c r="P199" s="281">
        <v>765</v>
      </c>
      <c r="Q199" s="281">
        <v>1020</v>
      </c>
      <c r="R199" s="272" t="s">
        <v>3383</v>
      </c>
      <c r="S199" s="272"/>
      <c r="T199" s="272">
        <v>1</v>
      </c>
      <c r="U199" s="272" t="s">
        <v>4880</v>
      </c>
      <c r="V199" s="273">
        <v>10</v>
      </c>
      <c r="W199" s="273"/>
      <c r="X199" s="272" t="s">
        <v>4881</v>
      </c>
      <c r="Y199" t="s">
        <v>6431</v>
      </c>
      <c r="Z199" t="s">
        <v>6432</v>
      </c>
      <c r="AA199" s="272" t="s">
        <v>4884</v>
      </c>
      <c r="AB199" s="272"/>
      <c r="AC199" s="289">
        <v>1</v>
      </c>
      <c r="AD199" s="289">
        <v>1</v>
      </c>
      <c r="AE199" s="289"/>
      <c r="AF199" s="272"/>
      <c r="AG199" s="272"/>
    </row>
    <row r="200" spans="1:33" s="258" customFormat="1" x14ac:dyDescent="0.15">
      <c r="A200" s="271">
        <v>95106029</v>
      </c>
      <c r="B200" t="s">
        <v>6434</v>
      </c>
      <c r="C200" s="268" t="s">
        <v>6316</v>
      </c>
      <c r="D200" s="272">
        <v>5081</v>
      </c>
      <c r="E200" s="272" t="s">
        <v>4876</v>
      </c>
      <c r="F200" s="272" t="s">
        <v>4877</v>
      </c>
      <c r="G200" s="269">
        <v>6</v>
      </c>
      <c r="H200" s="273">
        <v>1</v>
      </c>
      <c r="I200" s="283">
        <v>34</v>
      </c>
      <c r="J200" s="284" t="s">
        <v>5036</v>
      </c>
      <c r="K200" s="285" t="s">
        <v>5037</v>
      </c>
      <c r="L200" s="272" t="s">
        <v>4887</v>
      </c>
      <c r="M200" s="272">
        <v>1</v>
      </c>
      <c r="N200" s="272" t="b">
        <v>1</v>
      </c>
      <c r="O200" s="272">
        <v>64</v>
      </c>
      <c r="P200" s="281">
        <v>960</v>
      </c>
      <c r="Q200" s="281">
        <v>1280</v>
      </c>
      <c r="R200" s="272" t="s">
        <v>3383</v>
      </c>
      <c r="S200" s="272"/>
      <c r="T200" s="272">
        <v>1</v>
      </c>
      <c r="U200" s="272" t="s">
        <v>4880</v>
      </c>
      <c r="V200" s="273">
        <v>10</v>
      </c>
      <c r="W200" s="273"/>
      <c r="X200" s="272" t="s">
        <v>4881</v>
      </c>
      <c r="Y200" t="s">
        <v>6431</v>
      </c>
      <c r="Z200" t="s">
        <v>6432</v>
      </c>
      <c r="AA200" s="272" t="s">
        <v>4884</v>
      </c>
      <c r="AB200" s="272"/>
      <c r="AC200" s="289">
        <v>1</v>
      </c>
      <c r="AD200" s="289">
        <v>1</v>
      </c>
      <c r="AE200" s="289"/>
      <c r="AF200" s="272"/>
      <c r="AG200" s="272"/>
    </row>
    <row r="201" spans="1:33" s="258" customFormat="1" x14ac:dyDescent="0.15">
      <c r="A201" s="271">
        <v>95106030</v>
      </c>
      <c r="B201" t="s">
        <v>6435</v>
      </c>
      <c r="C201" s="268" t="s">
        <v>6316</v>
      </c>
      <c r="D201" s="272">
        <v>5081</v>
      </c>
      <c r="E201" s="272" t="s">
        <v>4876</v>
      </c>
      <c r="F201" s="272" t="s">
        <v>4877</v>
      </c>
      <c r="G201" s="269">
        <v>7</v>
      </c>
      <c r="H201" s="273">
        <v>0</v>
      </c>
      <c r="I201" s="283">
        <v>34</v>
      </c>
      <c r="J201" s="284" t="s">
        <v>5036</v>
      </c>
      <c r="K201" s="285" t="s">
        <v>5037</v>
      </c>
      <c r="L201" s="272" t="s">
        <v>4889</v>
      </c>
      <c r="M201" s="272">
        <v>1</v>
      </c>
      <c r="N201" s="272" t="b">
        <v>1</v>
      </c>
      <c r="O201" s="272">
        <v>77</v>
      </c>
      <c r="P201" s="281">
        <v>1155</v>
      </c>
      <c r="Q201" s="281">
        <v>1540</v>
      </c>
      <c r="R201" s="272" t="s">
        <v>3383</v>
      </c>
      <c r="S201" s="272"/>
      <c r="T201" s="272">
        <v>1</v>
      </c>
      <c r="U201" s="272" t="s">
        <v>4880</v>
      </c>
      <c r="V201" s="273">
        <v>10</v>
      </c>
      <c r="W201" s="273"/>
      <c r="X201" s="272" t="s">
        <v>4881</v>
      </c>
      <c r="Y201" t="s">
        <v>6431</v>
      </c>
      <c r="Z201" t="s">
        <v>6432</v>
      </c>
      <c r="AA201" s="272" t="s">
        <v>4884</v>
      </c>
      <c r="AB201" s="272"/>
      <c r="AC201" s="289">
        <v>1</v>
      </c>
      <c r="AD201" s="289">
        <v>1</v>
      </c>
      <c r="AE201" s="289"/>
      <c r="AF201" s="272"/>
      <c r="AG201" s="272"/>
    </row>
    <row r="202" spans="1:33" s="145" customFormat="1" x14ac:dyDescent="0.15">
      <c r="A202" s="267">
        <v>95109011</v>
      </c>
      <c r="B202" t="s">
        <v>6436</v>
      </c>
      <c r="C202" s="268" t="s">
        <v>6316</v>
      </c>
      <c r="D202" s="293">
        <v>5021</v>
      </c>
      <c r="E202" s="268" t="s">
        <v>4876</v>
      </c>
      <c r="F202" s="268" t="s">
        <v>4877</v>
      </c>
      <c r="G202" s="269">
        <v>1</v>
      </c>
      <c r="H202" s="269">
        <v>0</v>
      </c>
      <c r="I202" s="267">
        <v>34</v>
      </c>
      <c r="J202" s="282" t="s">
        <v>5045</v>
      </c>
      <c r="K202" s="279" t="s">
        <v>5046</v>
      </c>
      <c r="L202" s="279"/>
      <c r="M202" s="268">
        <v>1</v>
      </c>
      <c r="N202" s="268" t="b">
        <v>1</v>
      </c>
      <c r="O202" s="268">
        <v>2</v>
      </c>
      <c r="P202" s="281">
        <v>30</v>
      </c>
      <c r="Q202" s="281">
        <v>40</v>
      </c>
      <c r="R202" s="268" t="s">
        <v>3383</v>
      </c>
      <c r="S202" s="268"/>
      <c r="T202" s="268">
        <v>1</v>
      </c>
      <c r="U202" s="268" t="s">
        <v>4880</v>
      </c>
      <c r="V202" s="269">
        <v>1</v>
      </c>
      <c r="W202" s="269"/>
      <c r="X202" s="268" t="s">
        <v>4881</v>
      </c>
      <c r="Y202" t="s">
        <v>6437</v>
      </c>
      <c r="Z202" t="s">
        <v>6438</v>
      </c>
      <c r="AA202" s="268" t="s">
        <v>4884</v>
      </c>
      <c r="AB202" s="268"/>
      <c r="AC202" s="287">
        <v>1</v>
      </c>
      <c r="AD202" s="287">
        <v>1</v>
      </c>
      <c r="AE202" s="268"/>
      <c r="AF202" s="268"/>
      <c r="AG202" s="290"/>
    </row>
    <row r="203" spans="1:33" s="145" customFormat="1" x14ac:dyDescent="0.15">
      <c r="A203" s="267">
        <v>95109012</v>
      </c>
      <c r="B203" t="s">
        <v>6436</v>
      </c>
      <c r="C203" s="268" t="s">
        <v>6316</v>
      </c>
      <c r="D203" s="293">
        <v>5021</v>
      </c>
      <c r="E203" s="268" t="s">
        <v>4876</v>
      </c>
      <c r="F203" s="268" t="s">
        <v>4877</v>
      </c>
      <c r="G203" s="269">
        <v>2</v>
      </c>
      <c r="H203" s="269">
        <v>0</v>
      </c>
      <c r="I203" s="267">
        <v>34</v>
      </c>
      <c r="J203" s="282" t="s">
        <v>5045</v>
      </c>
      <c r="K203" s="279" t="s">
        <v>5046</v>
      </c>
      <c r="L203" s="279"/>
      <c r="M203" s="268">
        <v>1</v>
      </c>
      <c r="N203" s="268" t="b">
        <v>1</v>
      </c>
      <c r="O203" s="268">
        <v>5</v>
      </c>
      <c r="P203" s="281">
        <v>75</v>
      </c>
      <c r="Q203" s="281">
        <v>100</v>
      </c>
      <c r="R203" s="268" t="s">
        <v>3383</v>
      </c>
      <c r="S203" s="268"/>
      <c r="T203" s="268">
        <v>1</v>
      </c>
      <c r="U203" s="268" t="s">
        <v>4880</v>
      </c>
      <c r="V203" s="269">
        <v>2</v>
      </c>
      <c r="W203" s="269"/>
      <c r="X203" s="268" t="s">
        <v>4881</v>
      </c>
      <c r="Y203" t="s">
        <v>6437</v>
      </c>
      <c r="Z203" t="s">
        <v>6438</v>
      </c>
      <c r="AA203" s="268" t="s">
        <v>4884</v>
      </c>
      <c r="AB203" s="268"/>
      <c r="AC203" s="287">
        <v>1</v>
      </c>
      <c r="AD203" s="287">
        <v>1</v>
      </c>
      <c r="AE203" s="268"/>
      <c r="AF203" s="268"/>
      <c r="AG203" s="290"/>
    </row>
    <row r="204" spans="1:33" s="145" customFormat="1" x14ac:dyDescent="0.15">
      <c r="A204" s="267">
        <v>95109013</v>
      </c>
      <c r="B204" t="s">
        <v>6436</v>
      </c>
      <c r="C204" s="268" t="s">
        <v>6316</v>
      </c>
      <c r="D204" s="293">
        <v>5021</v>
      </c>
      <c r="E204" s="268" t="s">
        <v>4876</v>
      </c>
      <c r="F204" s="268" t="s">
        <v>4877</v>
      </c>
      <c r="G204" s="269">
        <v>3</v>
      </c>
      <c r="H204" s="269">
        <v>0</v>
      </c>
      <c r="I204" s="267">
        <v>34</v>
      </c>
      <c r="J204" s="282" t="s">
        <v>5045</v>
      </c>
      <c r="K204" s="279" t="s">
        <v>5046</v>
      </c>
      <c r="L204" s="279"/>
      <c r="M204" s="268">
        <v>1</v>
      </c>
      <c r="N204" s="268" t="b">
        <v>1</v>
      </c>
      <c r="O204" s="268">
        <v>7</v>
      </c>
      <c r="P204" s="281">
        <v>105</v>
      </c>
      <c r="Q204" s="281">
        <v>140</v>
      </c>
      <c r="R204" s="268" t="s">
        <v>3383</v>
      </c>
      <c r="S204" s="268"/>
      <c r="T204" s="268">
        <v>1</v>
      </c>
      <c r="U204" s="268" t="s">
        <v>4880</v>
      </c>
      <c r="V204" s="269">
        <v>3</v>
      </c>
      <c r="W204" s="269"/>
      <c r="X204" s="268" t="s">
        <v>4881</v>
      </c>
      <c r="Y204" t="s">
        <v>6437</v>
      </c>
      <c r="Z204" t="s">
        <v>6438</v>
      </c>
      <c r="AA204" s="268" t="s">
        <v>4884</v>
      </c>
      <c r="AB204" s="268"/>
      <c r="AC204" s="287">
        <v>1</v>
      </c>
      <c r="AD204" s="287">
        <v>1</v>
      </c>
      <c r="AE204" s="268"/>
      <c r="AF204" s="268"/>
      <c r="AG204" s="290"/>
    </row>
    <row r="205" spans="1:33" s="145" customFormat="1" x14ac:dyDescent="0.15">
      <c r="A205" s="267">
        <v>95109014</v>
      </c>
      <c r="B205" t="s">
        <v>6436</v>
      </c>
      <c r="C205" s="268" t="s">
        <v>6316</v>
      </c>
      <c r="D205" s="293">
        <v>5021</v>
      </c>
      <c r="E205" s="268" t="s">
        <v>4876</v>
      </c>
      <c r="F205" s="268" t="s">
        <v>4877</v>
      </c>
      <c r="G205" s="269">
        <v>4</v>
      </c>
      <c r="H205" s="269">
        <v>0</v>
      </c>
      <c r="I205" s="267">
        <v>34</v>
      </c>
      <c r="J205" s="282" t="s">
        <v>5045</v>
      </c>
      <c r="K205" s="279" t="s">
        <v>5046</v>
      </c>
      <c r="L205" s="279"/>
      <c r="M205" s="268">
        <v>1</v>
      </c>
      <c r="N205" s="268" t="b">
        <v>1</v>
      </c>
      <c r="O205" s="268">
        <v>10</v>
      </c>
      <c r="P205" s="281">
        <v>150</v>
      </c>
      <c r="Q205" s="281">
        <v>200</v>
      </c>
      <c r="R205" s="268" t="s">
        <v>3383</v>
      </c>
      <c r="S205" s="268"/>
      <c r="T205" s="268">
        <v>1</v>
      </c>
      <c r="U205" s="268" t="s">
        <v>4880</v>
      </c>
      <c r="V205" s="269">
        <v>4</v>
      </c>
      <c r="W205" s="269"/>
      <c r="X205" s="268" t="s">
        <v>4881</v>
      </c>
      <c r="Y205" t="s">
        <v>6437</v>
      </c>
      <c r="Z205" t="s">
        <v>6438</v>
      </c>
      <c r="AA205" s="268" t="s">
        <v>4884</v>
      </c>
      <c r="AB205" s="268"/>
      <c r="AC205" s="287">
        <v>1</v>
      </c>
      <c r="AD205" s="287">
        <v>1</v>
      </c>
      <c r="AE205" s="268"/>
      <c r="AF205" s="268"/>
      <c r="AG205" s="290"/>
    </row>
    <row r="206" spans="1:33" s="145" customFormat="1" x14ac:dyDescent="0.15">
      <c r="A206" s="267">
        <v>95109015</v>
      </c>
      <c r="B206" t="s">
        <v>6436</v>
      </c>
      <c r="C206" s="268" t="s">
        <v>6316</v>
      </c>
      <c r="D206" s="293">
        <v>5021</v>
      </c>
      <c r="E206" s="268" t="s">
        <v>4876</v>
      </c>
      <c r="F206" s="268" t="s">
        <v>4877</v>
      </c>
      <c r="G206" s="269">
        <v>5</v>
      </c>
      <c r="H206" s="269">
        <v>0</v>
      </c>
      <c r="I206" s="267">
        <v>34</v>
      </c>
      <c r="J206" s="282" t="s">
        <v>5045</v>
      </c>
      <c r="K206" s="279" t="s">
        <v>5046</v>
      </c>
      <c r="L206" s="279"/>
      <c r="M206" s="268">
        <v>1</v>
      </c>
      <c r="N206" s="268" t="b">
        <v>1</v>
      </c>
      <c r="O206" s="268">
        <v>12</v>
      </c>
      <c r="P206" s="281">
        <v>180</v>
      </c>
      <c r="Q206" s="281">
        <v>240</v>
      </c>
      <c r="R206" s="268" t="s">
        <v>3383</v>
      </c>
      <c r="S206" s="268"/>
      <c r="T206" s="268">
        <v>1</v>
      </c>
      <c r="U206" s="268" t="s">
        <v>4880</v>
      </c>
      <c r="V206" s="269">
        <v>5</v>
      </c>
      <c r="W206" s="269"/>
      <c r="X206" s="268" t="s">
        <v>4881</v>
      </c>
      <c r="Y206" t="s">
        <v>6437</v>
      </c>
      <c r="Z206" t="s">
        <v>6438</v>
      </c>
      <c r="AA206" s="268" t="s">
        <v>4884</v>
      </c>
      <c r="AB206" s="268"/>
      <c r="AC206" s="287">
        <v>1</v>
      </c>
      <c r="AD206" s="287">
        <v>1</v>
      </c>
      <c r="AE206" s="268"/>
      <c r="AF206" s="268"/>
      <c r="AG206" s="290"/>
    </row>
    <row r="207" spans="1:33" s="145" customFormat="1" x14ac:dyDescent="0.15">
      <c r="A207" s="270">
        <v>95109016</v>
      </c>
      <c r="B207" t="s">
        <v>6436</v>
      </c>
      <c r="C207" s="268" t="s">
        <v>6316</v>
      </c>
      <c r="D207" s="268">
        <v>5021</v>
      </c>
      <c r="E207" s="268" t="s">
        <v>4876</v>
      </c>
      <c r="F207" s="268" t="s">
        <v>4877</v>
      </c>
      <c r="G207" s="269">
        <v>6</v>
      </c>
      <c r="H207" s="269">
        <v>0</v>
      </c>
      <c r="I207" s="267">
        <v>34</v>
      </c>
      <c r="J207" s="282" t="s">
        <v>5045</v>
      </c>
      <c r="K207" s="279" t="s">
        <v>5046</v>
      </c>
      <c r="L207" s="279"/>
      <c r="M207" s="268">
        <v>1</v>
      </c>
      <c r="N207" s="268" t="b">
        <v>1</v>
      </c>
      <c r="O207" s="268">
        <v>25</v>
      </c>
      <c r="P207" s="281">
        <v>375</v>
      </c>
      <c r="Q207" s="281">
        <v>500</v>
      </c>
      <c r="R207" s="268" t="s">
        <v>3383</v>
      </c>
      <c r="S207" s="268"/>
      <c r="T207" s="268">
        <v>1</v>
      </c>
      <c r="U207" s="268" t="s">
        <v>4880</v>
      </c>
      <c r="V207" s="269">
        <v>7</v>
      </c>
      <c r="W207" s="269"/>
      <c r="X207" s="268" t="s">
        <v>4881</v>
      </c>
      <c r="Y207" t="s">
        <v>6437</v>
      </c>
      <c r="Z207" t="s">
        <v>6438</v>
      </c>
      <c r="AA207" s="268" t="s">
        <v>4884</v>
      </c>
      <c r="AB207" s="268"/>
      <c r="AC207" s="287">
        <v>1</v>
      </c>
      <c r="AD207" s="287">
        <v>1</v>
      </c>
      <c r="AE207" s="268"/>
      <c r="AF207" s="268"/>
      <c r="AG207" s="290"/>
    </row>
    <row r="208" spans="1:33" s="145" customFormat="1" x14ac:dyDescent="0.15">
      <c r="A208" s="270">
        <v>95109017</v>
      </c>
      <c r="B208" t="s">
        <v>6436</v>
      </c>
      <c r="C208" s="268" t="s">
        <v>6316</v>
      </c>
      <c r="D208" s="268">
        <v>5021</v>
      </c>
      <c r="E208" s="268" t="s">
        <v>4876</v>
      </c>
      <c r="F208" s="268" t="s">
        <v>4877</v>
      </c>
      <c r="G208" s="269">
        <v>7</v>
      </c>
      <c r="H208" s="269">
        <v>0</v>
      </c>
      <c r="I208" s="267">
        <v>34</v>
      </c>
      <c r="J208" s="282" t="s">
        <v>5045</v>
      </c>
      <c r="K208" s="279" t="s">
        <v>5046</v>
      </c>
      <c r="L208" s="279"/>
      <c r="M208" s="268">
        <v>1</v>
      </c>
      <c r="N208" s="268" t="b">
        <v>1</v>
      </c>
      <c r="O208" s="268">
        <v>38</v>
      </c>
      <c r="P208" s="281">
        <v>570</v>
      </c>
      <c r="Q208" s="281">
        <v>760</v>
      </c>
      <c r="R208" s="268" t="s">
        <v>3383</v>
      </c>
      <c r="S208" s="268"/>
      <c r="T208" s="268">
        <v>1</v>
      </c>
      <c r="U208" s="268" t="s">
        <v>4880</v>
      </c>
      <c r="V208" s="269">
        <v>10</v>
      </c>
      <c r="W208" s="269"/>
      <c r="X208" s="268" t="s">
        <v>4881</v>
      </c>
      <c r="Y208" t="s">
        <v>6437</v>
      </c>
      <c r="Z208" t="s">
        <v>6438</v>
      </c>
      <c r="AA208" s="268" t="s">
        <v>4884</v>
      </c>
      <c r="AB208" s="268"/>
      <c r="AC208" s="287">
        <v>1</v>
      </c>
      <c r="AD208" s="287">
        <v>1</v>
      </c>
      <c r="AE208" s="268"/>
      <c r="AF208" s="268"/>
      <c r="AG208" s="290"/>
    </row>
    <row r="209" spans="1:33" s="258" customFormat="1" x14ac:dyDescent="0.15">
      <c r="A209" s="271">
        <v>95109018</v>
      </c>
      <c r="B209" t="s">
        <v>6439</v>
      </c>
      <c r="C209" s="268" t="s">
        <v>6316</v>
      </c>
      <c r="D209" s="272">
        <v>5081</v>
      </c>
      <c r="E209" s="272" t="s">
        <v>4876</v>
      </c>
      <c r="F209" s="272" t="s">
        <v>4877</v>
      </c>
      <c r="G209" s="269">
        <v>6</v>
      </c>
      <c r="H209" s="273">
        <v>1</v>
      </c>
      <c r="I209" s="283">
        <v>34</v>
      </c>
      <c r="J209" s="284" t="s">
        <v>5045</v>
      </c>
      <c r="K209" s="285" t="s">
        <v>5046</v>
      </c>
      <c r="L209" s="272" t="s">
        <v>44</v>
      </c>
      <c r="M209" s="272">
        <v>1</v>
      </c>
      <c r="N209" s="272" t="b">
        <v>1</v>
      </c>
      <c r="O209" s="272">
        <v>51</v>
      </c>
      <c r="P209" s="281">
        <v>765</v>
      </c>
      <c r="Q209" s="281">
        <v>1020</v>
      </c>
      <c r="R209" s="272" t="s">
        <v>3383</v>
      </c>
      <c r="S209" s="272"/>
      <c r="T209" s="272">
        <v>1</v>
      </c>
      <c r="U209" s="272" t="s">
        <v>4880</v>
      </c>
      <c r="V209" s="273">
        <v>10</v>
      </c>
      <c r="W209" s="273"/>
      <c r="X209" s="272" t="s">
        <v>4881</v>
      </c>
      <c r="Y209" t="s">
        <v>6437</v>
      </c>
      <c r="Z209" t="s">
        <v>6438</v>
      </c>
      <c r="AA209" s="272" t="s">
        <v>4884</v>
      </c>
      <c r="AB209" s="272"/>
      <c r="AC209" s="289">
        <v>1</v>
      </c>
      <c r="AD209" s="289">
        <v>1</v>
      </c>
      <c r="AE209" s="289"/>
      <c r="AF209" s="272"/>
      <c r="AG209" s="272"/>
    </row>
    <row r="210" spans="1:33" s="258" customFormat="1" x14ac:dyDescent="0.15">
      <c r="A210" s="271">
        <v>95109019</v>
      </c>
      <c r="B210" t="s">
        <v>6440</v>
      </c>
      <c r="C210" s="268" t="s">
        <v>6316</v>
      </c>
      <c r="D210" s="272">
        <v>5081</v>
      </c>
      <c r="E210" s="272" t="s">
        <v>4876</v>
      </c>
      <c r="F210" s="272" t="s">
        <v>4877</v>
      </c>
      <c r="G210" s="269">
        <v>6</v>
      </c>
      <c r="H210" s="273">
        <v>1</v>
      </c>
      <c r="I210" s="283">
        <v>34</v>
      </c>
      <c r="J210" s="284" t="s">
        <v>5045</v>
      </c>
      <c r="K210" s="285" t="s">
        <v>5046</v>
      </c>
      <c r="L210" s="272" t="s">
        <v>4887</v>
      </c>
      <c r="M210" s="272">
        <v>1</v>
      </c>
      <c r="N210" s="272" t="b">
        <v>1</v>
      </c>
      <c r="O210" s="272">
        <v>64</v>
      </c>
      <c r="P210" s="281">
        <v>960</v>
      </c>
      <c r="Q210" s="281">
        <v>1280</v>
      </c>
      <c r="R210" s="272" t="s">
        <v>3383</v>
      </c>
      <c r="S210" s="272"/>
      <c r="T210" s="272">
        <v>1</v>
      </c>
      <c r="U210" s="272" t="s">
        <v>4880</v>
      </c>
      <c r="V210" s="273">
        <v>10</v>
      </c>
      <c r="W210" s="273"/>
      <c r="X210" s="272" t="s">
        <v>4881</v>
      </c>
      <c r="Y210" t="s">
        <v>6437</v>
      </c>
      <c r="Z210" t="s">
        <v>6438</v>
      </c>
      <c r="AA210" s="272" t="s">
        <v>4884</v>
      </c>
      <c r="AB210" s="272"/>
      <c r="AC210" s="289">
        <v>1</v>
      </c>
      <c r="AD210" s="289">
        <v>1</v>
      </c>
      <c r="AE210" s="289"/>
      <c r="AF210" s="272"/>
      <c r="AG210" s="272"/>
    </row>
    <row r="211" spans="1:33" s="258" customFormat="1" x14ac:dyDescent="0.15">
      <c r="A211" s="271">
        <v>95109020</v>
      </c>
      <c r="B211" t="s">
        <v>6441</v>
      </c>
      <c r="C211" s="268" t="s">
        <v>6316</v>
      </c>
      <c r="D211" s="272">
        <v>5081</v>
      </c>
      <c r="E211" s="272" t="s">
        <v>4876</v>
      </c>
      <c r="F211" s="272" t="s">
        <v>4877</v>
      </c>
      <c r="G211" s="269">
        <v>7</v>
      </c>
      <c r="H211" s="273">
        <v>0</v>
      </c>
      <c r="I211" s="283">
        <v>34</v>
      </c>
      <c r="J211" s="284" t="s">
        <v>5045</v>
      </c>
      <c r="K211" s="285" t="s">
        <v>5046</v>
      </c>
      <c r="L211" s="272" t="s">
        <v>4889</v>
      </c>
      <c r="M211" s="272">
        <v>1</v>
      </c>
      <c r="N211" s="272" t="b">
        <v>1</v>
      </c>
      <c r="O211" s="272">
        <v>77</v>
      </c>
      <c r="P211" s="281">
        <v>1155</v>
      </c>
      <c r="Q211" s="281">
        <v>1540</v>
      </c>
      <c r="R211" s="272" t="s">
        <v>3383</v>
      </c>
      <c r="S211" s="272"/>
      <c r="T211" s="272">
        <v>1</v>
      </c>
      <c r="U211" s="272" t="s">
        <v>4880</v>
      </c>
      <c r="V211" s="273">
        <v>10</v>
      </c>
      <c r="W211" s="273"/>
      <c r="X211" s="272" t="s">
        <v>4881</v>
      </c>
      <c r="Y211" t="s">
        <v>6437</v>
      </c>
      <c r="Z211" t="s">
        <v>6438</v>
      </c>
      <c r="AA211" s="272" t="s">
        <v>4884</v>
      </c>
      <c r="AB211" s="272"/>
      <c r="AC211" s="289">
        <v>1</v>
      </c>
      <c r="AD211" s="289">
        <v>1</v>
      </c>
      <c r="AE211" s="289"/>
      <c r="AF211" s="272"/>
      <c r="AG211" s="272"/>
    </row>
    <row r="212" spans="1:33" s="145" customFormat="1" x14ac:dyDescent="0.15">
      <c r="A212" s="267">
        <v>95109021</v>
      </c>
      <c r="B212" t="s">
        <v>6442</v>
      </c>
      <c r="C212" s="268" t="s">
        <v>6316</v>
      </c>
      <c r="D212" s="293">
        <v>5041</v>
      </c>
      <c r="E212" s="268" t="s">
        <v>4876</v>
      </c>
      <c r="F212" s="268" t="s">
        <v>4877</v>
      </c>
      <c r="G212" s="269">
        <v>1</v>
      </c>
      <c r="H212" s="269">
        <v>0</v>
      </c>
      <c r="I212" s="267">
        <v>34</v>
      </c>
      <c r="J212" s="282" t="s">
        <v>5053</v>
      </c>
      <c r="K212" s="279" t="s">
        <v>5054</v>
      </c>
      <c r="L212" s="279"/>
      <c r="M212" s="268">
        <v>1</v>
      </c>
      <c r="N212" s="268" t="b">
        <v>1</v>
      </c>
      <c r="O212" s="268">
        <v>2</v>
      </c>
      <c r="P212" s="281">
        <v>30</v>
      </c>
      <c r="Q212" s="281">
        <v>40</v>
      </c>
      <c r="R212" s="268" t="s">
        <v>3383</v>
      </c>
      <c r="S212" s="268"/>
      <c r="T212" s="268">
        <v>1</v>
      </c>
      <c r="U212" s="268" t="s">
        <v>4880</v>
      </c>
      <c r="V212" s="269">
        <v>1</v>
      </c>
      <c r="W212" s="269"/>
      <c r="X212" s="268" t="s">
        <v>4881</v>
      </c>
      <c r="Y212" t="s">
        <v>6443</v>
      </c>
      <c r="Z212" t="s">
        <v>6444</v>
      </c>
      <c r="AA212" s="268" t="s">
        <v>4884</v>
      </c>
      <c r="AB212" s="268"/>
      <c r="AC212" s="287">
        <v>1</v>
      </c>
      <c r="AD212" s="287">
        <v>1</v>
      </c>
      <c r="AE212" s="268"/>
      <c r="AF212" s="268"/>
      <c r="AG212" s="290"/>
    </row>
    <row r="213" spans="1:33" s="145" customFormat="1" x14ac:dyDescent="0.15">
      <c r="A213" s="267">
        <v>95109022</v>
      </c>
      <c r="B213" t="s">
        <v>6442</v>
      </c>
      <c r="C213" s="268" t="s">
        <v>6316</v>
      </c>
      <c r="D213" s="293">
        <v>5041</v>
      </c>
      <c r="E213" s="268" t="s">
        <v>4876</v>
      </c>
      <c r="F213" s="268" t="s">
        <v>4877</v>
      </c>
      <c r="G213" s="269">
        <v>2</v>
      </c>
      <c r="H213" s="269">
        <v>0</v>
      </c>
      <c r="I213" s="267">
        <v>34</v>
      </c>
      <c r="J213" s="282" t="s">
        <v>5053</v>
      </c>
      <c r="K213" s="279" t="s">
        <v>5054</v>
      </c>
      <c r="L213" s="279"/>
      <c r="M213" s="268">
        <v>1</v>
      </c>
      <c r="N213" s="268" t="b">
        <v>1</v>
      </c>
      <c r="O213" s="268">
        <v>5</v>
      </c>
      <c r="P213" s="281">
        <v>75</v>
      </c>
      <c r="Q213" s="281">
        <v>100</v>
      </c>
      <c r="R213" s="268" t="s">
        <v>3383</v>
      </c>
      <c r="S213" s="268"/>
      <c r="T213" s="268">
        <v>1</v>
      </c>
      <c r="U213" s="268" t="s">
        <v>4880</v>
      </c>
      <c r="V213" s="269">
        <v>2</v>
      </c>
      <c r="W213" s="269"/>
      <c r="X213" s="268" t="s">
        <v>4881</v>
      </c>
      <c r="Y213" t="s">
        <v>6443</v>
      </c>
      <c r="Z213" t="s">
        <v>6444</v>
      </c>
      <c r="AA213" s="268" t="s">
        <v>4884</v>
      </c>
      <c r="AB213" s="268"/>
      <c r="AC213" s="287">
        <v>1</v>
      </c>
      <c r="AD213" s="287">
        <v>1</v>
      </c>
      <c r="AE213" s="268"/>
      <c r="AF213" s="268"/>
      <c r="AG213" s="290"/>
    </row>
    <row r="214" spans="1:33" s="145" customFormat="1" x14ac:dyDescent="0.15">
      <c r="A214" s="267">
        <v>95109023</v>
      </c>
      <c r="B214" t="s">
        <v>6442</v>
      </c>
      <c r="C214" s="268" t="s">
        <v>6316</v>
      </c>
      <c r="D214" s="293">
        <v>5041</v>
      </c>
      <c r="E214" s="268" t="s">
        <v>4876</v>
      </c>
      <c r="F214" s="268" t="s">
        <v>4877</v>
      </c>
      <c r="G214" s="269">
        <v>3</v>
      </c>
      <c r="H214" s="269">
        <v>0</v>
      </c>
      <c r="I214" s="267">
        <v>34</v>
      </c>
      <c r="J214" s="282" t="s">
        <v>5053</v>
      </c>
      <c r="K214" s="279" t="s">
        <v>5054</v>
      </c>
      <c r="L214" s="279"/>
      <c r="M214" s="268">
        <v>1</v>
      </c>
      <c r="N214" s="268" t="b">
        <v>1</v>
      </c>
      <c r="O214" s="268">
        <v>7</v>
      </c>
      <c r="P214" s="281">
        <v>105</v>
      </c>
      <c r="Q214" s="281">
        <v>140</v>
      </c>
      <c r="R214" s="268" t="s">
        <v>3383</v>
      </c>
      <c r="S214" s="268"/>
      <c r="T214" s="268">
        <v>1</v>
      </c>
      <c r="U214" s="268" t="s">
        <v>4880</v>
      </c>
      <c r="V214" s="269">
        <v>3</v>
      </c>
      <c r="W214" s="269"/>
      <c r="X214" s="268" t="s">
        <v>4881</v>
      </c>
      <c r="Y214" t="s">
        <v>6443</v>
      </c>
      <c r="Z214" t="s">
        <v>6444</v>
      </c>
      <c r="AA214" s="268" t="s">
        <v>4884</v>
      </c>
      <c r="AB214" s="268"/>
      <c r="AC214" s="287">
        <v>1</v>
      </c>
      <c r="AD214" s="287">
        <v>1</v>
      </c>
      <c r="AE214" s="268"/>
      <c r="AF214" s="268"/>
      <c r="AG214" s="290"/>
    </row>
    <row r="215" spans="1:33" s="145" customFormat="1" x14ac:dyDescent="0.15">
      <c r="A215" s="267">
        <v>95109024</v>
      </c>
      <c r="B215" t="s">
        <v>6442</v>
      </c>
      <c r="C215" s="268" t="s">
        <v>6316</v>
      </c>
      <c r="D215" s="293">
        <v>5041</v>
      </c>
      <c r="E215" s="268" t="s">
        <v>4876</v>
      </c>
      <c r="F215" s="268" t="s">
        <v>4877</v>
      </c>
      <c r="G215" s="269">
        <v>4</v>
      </c>
      <c r="H215" s="269">
        <v>0</v>
      </c>
      <c r="I215" s="267">
        <v>34</v>
      </c>
      <c r="J215" s="282" t="s">
        <v>5053</v>
      </c>
      <c r="K215" s="279" t="s">
        <v>5054</v>
      </c>
      <c r="L215" s="279"/>
      <c r="M215" s="268">
        <v>1</v>
      </c>
      <c r="N215" s="268" t="b">
        <v>1</v>
      </c>
      <c r="O215" s="268">
        <v>10</v>
      </c>
      <c r="P215" s="281">
        <v>150</v>
      </c>
      <c r="Q215" s="281">
        <v>200</v>
      </c>
      <c r="R215" s="268" t="s">
        <v>3383</v>
      </c>
      <c r="S215" s="268"/>
      <c r="T215" s="268">
        <v>1</v>
      </c>
      <c r="U215" s="268" t="s">
        <v>4880</v>
      </c>
      <c r="V215" s="269">
        <v>4</v>
      </c>
      <c r="W215" s="269"/>
      <c r="X215" s="268" t="s">
        <v>4881</v>
      </c>
      <c r="Y215" t="s">
        <v>6443</v>
      </c>
      <c r="Z215" t="s">
        <v>6444</v>
      </c>
      <c r="AA215" s="268" t="s">
        <v>4884</v>
      </c>
      <c r="AB215" s="268"/>
      <c r="AC215" s="287">
        <v>1</v>
      </c>
      <c r="AD215" s="287">
        <v>1</v>
      </c>
      <c r="AE215" s="268"/>
      <c r="AF215" s="268"/>
      <c r="AG215" s="290"/>
    </row>
    <row r="216" spans="1:33" s="145" customFormat="1" x14ac:dyDescent="0.15">
      <c r="A216" s="267">
        <v>95109025</v>
      </c>
      <c r="B216" t="s">
        <v>6442</v>
      </c>
      <c r="C216" s="268" t="s">
        <v>6316</v>
      </c>
      <c r="D216" s="293">
        <v>5041</v>
      </c>
      <c r="E216" s="268" t="s">
        <v>4876</v>
      </c>
      <c r="F216" s="268" t="s">
        <v>4877</v>
      </c>
      <c r="G216" s="269">
        <v>5</v>
      </c>
      <c r="H216" s="269">
        <v>0</v>
      </c>
      <c r="I216" s="267">
        <v>34</v>
      </c>
      <c r="J216" s="282" t="s">
        <v>5053</v>
      </c>
      <c r="K216" s="279" t="s">
        <v>5054</v>
      </c>
      <c r="L216" s="279"/>
      <c r="M216" s="268">
        <v>1</v>
      </c>
      <c r="N216" s="268" t="b">
        <v>1</v>
      </c>
      <c r="O216" s="268">
        <v>12</v>
      </c>
      <c r="P216" s="281">
        <v>180</v>
      </c>
      <c r="Q216" s="281">
        <v>240</v>
      </c>
      <c r="R216" s="268" t="s">
        <v>3383</v>
      </c>
      <c r="S216" s="268"/>
      <c r="T216" s="268">
        <v>1</v>
      </c>
      <c r="U216" s="268" t="s">
        <v>4880</v>
      </c>
      <c r="V216" s="269">
        <v>5</v>
      </c>
      <c r="W216" s="269"/>
      <c r="X216" s="268" t="s">
        <v>4881</v>
      </c>
      <c r="Y216" t="s">
        <v>6443</v>
      </c>
      <c r="Z216" t="s">
        <v>6444</v>
      </c>
      <c r="AA216" s="268" t="s">
        <v>4884</v>
      </c>
      <c r="AB216" s="268"/>
      <c r="AC216" s="287">
        <v>1</v>
      </c>
      <c r="AD216" s="287">
        <v>1</v>
      </c>
      <c r="AE216" s="268"/>
      <c r="AF216" s="268"/>
      <c r="AG216" s="290"/>
    </row>
    <row r="217" spans="1:33" s="145" customFormat="1" x14ac:dyDescent="0.15">
      <c r="A217" s="267">
        <v>95109026</v>
      </c>
      <c r="B217" t="s">
        <v>6442</v>
      </c>
      <c r="C217" s="268" t="s">
        <v>6316</v>
      </c>
      <c r="D217" s="268">
        <v>5041</v>
      </c>
      <c r="E217" s="268" t="s">
        <v>4876</v>
      </c>
      <c r="F217" s="268" t="s">
        <v>4877</v>
      </c>
      <c r="G217" s="269">
        <v>6</v>
      </c>
      <c r="H217" s="269">
        <v>0</v>
      </c>
      <c r="I217" s="267">
        <v>34</v>
      </c>
      <c r="J217" s="282" t="s">
        <v>5053</v>
      </c>
      <c r="K217" s="279" t="s">
        <v>5054</v>
      </c>
      <c r="L217" s="279"/>
      <c r="M217" s="268">
        <v>1</v>
      </c>
      <c r="N217" s="268" t="b">
        <v>1</v>
      </c>
      <c r="O217" s="268">
        <v>25</v>
      </c>
      <c r="P217" s="281">
        <v>375</v>
      </c>
      <c r="Q217" s="281">
        <v>500</v>
      </c>
      <c r="R217" s="268" t="s">
        <v>3383</v>
      </c>
      <c r="S217" s="268"/>
      <c r="T217" s="268">
        <v>1</v>
      </c>
      <c r="U217" s="268" t="s">
        <v>4880</v>
      </c>
      <c r="V217" s="269">
        <v>7</v>
      </c>
      <c r="W217" s="269"/>
      <c r="X217" s="268" t="s">
        <v>4881</v>
      </c>
      <c r="Y217" t="s">
        <v>6443</v>
      </c>
      <c r="Z217" t="s">
        <v>6444</v>
      </c>
      <c r="AA217" s="268" t="s">
        <v>4884</v>
      </c>
      <c r="AB217" s="268"/>
      <c r="AC217" s="287">
        <v>1</v>
      </c>
      <c r="AD217" s="287">
        <v>1</v>
      </c>
      <c r="AE217" s="268"/>
      <c r="AF217" s="268"/>
      <c r="AG217" s="290"/>
    </row>
    <row r="218" spans="1:33" s="145" customFormat="1" x14ac:dyDescent="0.15">
      <c r="A218" s="267">
        <v>95109027</v>
      </c>
      <c r="B218" t="s">
        <v>6442</v>
      </c>
      <c r="C218" s="268" t="s">
        <v>6316</v>
      </c>
      <c r="D218" s="268">
        <v>5041</v>
      </c>
      <c r="E218" s="268" t="s">
        <v>4876</v>
      </c>
      <c r="F218" s="268" t="s">
        <v>4877</v>
      </c>
      <c r="G218" s="269">
        <v>7</v>
      </c>
      <c r="H218" s="269">
        <v>0</v>
      </c>
      <c r="I218" s="267">
        <v>34</v>
      </c>
      <c r="J218" s="282" t="s">
        <v>5053</v>
      </c>
      <c r="K218" s="279" t="s">
        <v>5054</v>
      </c>
      <c r="L218" s="279"/>
      <c r="M218" s="268">
        <v>1</v>
      </c>
      <c r="N218" s="268" t="b">
        <v>1</v>
      </c>
      <c r="O218" s="268">
        <v>38</v>
      </c>
      <c r="P218" s="281">
        <v>570</v>
      </c>
      <c r="Q218" s="281">
        <v>760</v>
      </c>
      <c r="R218" s="268" t="s">
        <v>3383</v>
      </c>
      <c r="S218" s="268"/>
      <c r="T218" s="268">
        <v>1</v>
      </c>
      <c r="U218" s="268" t="s">
        <v>4880</v>
      </c>
      <c r="V218" s="269">
        <v>10</v>
      </c>
      <c r="W218" s="269"/>
      <c r="X218" s="268" t="s">
        <v>4881</v>
      </c>
      <c r="Y218" t="s">
        <v>6443</v>
      </c>
      <c r="Z218" t="s">
        <v>6444</v>
      </c>
      <c r="AA218" s="268" t="s">
        <v>4884</v>
      </c>
      <c r="AB218" s="268"/>
      <c r="AC218" s="287">
        <v>1</v>
      </c>
      <c r="AD218" s="287">
        <v>1</v>
      </c>
      <c r="AE218" s="268"/>
      <c r="AF218" s="268"/>
      <c r="AG218" s="290"/>
    </row>
    <row r="219" spans="1:33" s="258" customFormat="1" x14ac:dyDescent="0.15">
      <c r="A219" s="271">
        <v>95109028</v>
      </c>
      <c r="B219" t="s">
        <v>6445</v>
      </c>
      <c r="C219" s="268" t="s">
        <v>6316</v>
      </c>
      <c r="D219" s="272">
        <v>5081</v>
      </c>
      <c r="E219" s="272" t="s">
        <v>4876</v>
      </c>
      <c r="F219" s="272" t="s">
        <v>4877</v>
      </c>
      <c r="G219" s="269">
        <v>6</v>
      </c>
      <c r="H219" s="273">
        <v>0</v>
      </c>
      <c r="I219" s="283">
        <v>34</v>
      </c>
      <c r="J219" s="284" t="s">
        <v>5053</v>
      </c>
      <c r="K219" s="285" t="s">
        <v>5054</v>
      </c>
      <c r="L219" s="272" t="s">
        <v>44</v>
      </c>
      <c r="M219" s="272">
        <v>1</v>
      </c>
      <c r="N219" s="272" t="b">
        <v>1</v>
      </c>
      <c r="O219" s="272">
        <v>51</v>
      </c>
      <c r="P219" s="281">
        <v>765</v>
      </c>
      <c r="Q219" s="281">
        <v>1020</v>
      </c>
      <c r="R219" s="272" t="s">
        <v>3383</v>
      </c>
      <c r="S219" s="272"/>
      <c r="T219" s="272">
        <v>1</v>
      </c>
      <c r="U219" s="272" t="s">
        <v>4880</v>
      </c>
      <c r="V219" s="273">
        <v>10</v>
      </c>
      <c r="W219" s="273"/>
      <c r="X219" s="272" t="s">
        <v>4881</v>
      </c>
      <c r="Y219" t="s">
        <v>6443</v>
      </c>
      <c r="Z219" t="s">
        <v>6444</v>
      </c>
      <c r="AA219" s="272" t="s">
        <v>4884</v>
      </c>
      <c r="AB219" s="272"/>
      <c r="AC219" s="289">
        <v>1</v>
      </c>
      <c r="AD219" s="289">
        <v>1</v>
      </c>
      <c r="AE219" s="289"/>
      <c r="AF219" s="272"/>
      <c r="AG219" s="272"/>
    </row>
    <row r="220" spans="1:33" s="258" customFormat="1" x14ac:dyDescent="0.15">
      <c r="A220" s="271">
        <v>95109029</v>
      </c>
      <c r="B220" t="s">
        <v>6446</v>
      </c>
      <c r="C220" s="268" t="s">
        <v>6316</v>
      </c>
      <c r="D220" s="272">
        <v>5081</v>
      </c>
      <c r="E220" s="272" t="s">
        <v>4876</v>
      </c>
      <c r="F220" s="272" t="s">
        <v>4877</v>
      </c>
      <c r="G220" s="269">
        <v>6</v>
      </c>
      <c r="H220" s="273">
        <v>0</v>
      </c>
      <c r="I220" s="283">
        <v>34</v>
      </c>
      <c r="J220" s="284" t="s">
        <v>5053</v>
      </c>
      <c r="K220" s="285" t="s">
        <v>5054</v>
      </c>
      <c r="L220" s="272" t="s">
        <v>4887</v>
      </c>
      <c r="M220" s="272">
        <v>1</v>
      </c>
      <c r="N220" s="272" t="b">
        <v>1</v>
      </c>
      <c r="O220" s="272">
        <v>64</v>
      </c>
      <c r="P220" s="281">
        <v>960</v>
      </c>
      <c r="Q220" s="281">
        <v>1280</v>
      </c>
      <c r="R220" s="272" t="s">
        <v>3383</v>
      </c>
      <c r="S220" s="272"/>
      <c r="T220" s="272">
        <v>1</v>
      </c>
      <c r="U220" s="272" t="s">
        <v>4880</v>
      </c>
      <c r="V220" s="273">
        <v>10</v>
      </c>
      <c r="W220" s="273"/>
      <c r="X220" s="272" t="s">
        <v>4881</v>
      </c>
      <c r="Y220" t="s">
        <v>6443</v>
      </c>
      <c r="Z220" t="s">
        <v>6444</v>
      </c>
      <c r="AA220" s="272" t="s">
        <v>4884</v>
      </c>
      <c r="AB220" s="272"/>
      <c r="AC220" s="289">
        <v>1</v>
      </c>
      <c r="AD220" s="289">
        <v>1</v>
      </c>
      <c r="AE220" s="289"/>
      <c r="AF220" s="272"/>
      <c r="AG220" s="272"/>
    </row>
    <row r="221" spans="1:33" s="258" customFormat="1" x14ac:dyDescent="0.15">
      <c r="A221" s="271">
        <v>95109030</v>
      </c>
      <c r="B221" t="s">
        <v>6447</v>
      </c>
      <c r="C221" s="268" t="s">
        <v>6316</v>
      </c>
      <c r="D221" s="272">
        <v>5081</v>
      </c>
      <c r="E221" s="272" t="s">
        <v>4876</v>
      </c>
      <c r="F221" s="272" t="s">
        <v>4877</v>
      </c>
      <c r="G221" s="269">
        <v>7</v>
      </c>
      <c r="H221" s="273">
        <v>0</v>
      </c>
      <c r="I221" s="283">
        <v>34</v>
      </c>
      <c r="J221" s="284" t="s">
        <v>5053</v>
      </c>
      <c r="K221" s="285" t="s">
        <v>5054</v>
      </c>
      <c r="L221" s="272" t="s">
        <v>4889</v>
      </c>
      <c r="M221" s="272">
        <v>1</v>
      </c>
      <c r="N221" s="272" t="b">
        <v>1</v>
      </c>
      <c r="O221" s="272">
        <v>77</v>
      </c>
      <c r="P221" s="281">
        <v>1155</v>
      </c>
      <c r="Q221" s="281">
        <v>1540</v>
      </c>
      <c r="R221" s="272" t="s">
        <v>3383</v>
      </c>
      <c r="S221" s="272"/>
      <c r="T221" s="272">
        <v>1</v>
      </c>
      <c r="U221" s="272" t="s">
        <v>4880</v>
      </c>
      <c r="V221" s="273">
        <v>10</v>
      </c>
      <c r="W221" s="273"/>
      <c r="X221" s="272" t="s">
        <v>4881</v>
      </c>
      <c r="Y221" t="s">
        <v>6443</v>
      </c>
      <c r="Z221" t="s">
        <v>6444</v>
      </c>
      <c r="AA221" s="272" t="s">
        <v>4884</v>
      </c>
      <c r="AB221" s="272"/>
      <c r="AC221" s="289">
        <v>1</v>
      </c>
      <c r="AD221" s="289">
        <v>1</v>
      </c>
      <c r="AE221" s="289"/>
      <c r="AF221" s="272"/>
      <c r="AG221" s="272"/>
    </row>
    <row r="222" spans="1:33" s="145" customFormat="1" x14ac:dyDescent="0.15">
      <c r="A222" s="267">
        <v>95110011</v>
      </c>
      <c r="B222" t="s">
        <v>6448</v>
      </c>
      <c r="C222" s="268" t="s">
        <v>6316</v>
      </c>
      <c r="D222" s="293">
        <v>5011</v>
      </c>
      <c r="E222" s="268" t="s">
        <v>4876</v>
      </c>
      <c r="F222" s="268" t="s">
        <v>4877</v>
      </c>
      <c r="G222" s="269">
        <v>1</v>
      </c>
      <c r="H222" s="269">
        <v>0</v>
      </c>
      <c r="I222" s="267">
        <v>34</v>
      </c>
      <c r="J222" s="282" t="s">
        <v>5061</v>
      </c>
      <c r="K222" s="279" t="s">
        <v>5062</v>
      </c>
      <c r="L222" s="279"/>
      <c r="M222" s="268">
        <v>1</v>
      </c>
      <c r="N222" s="268" t="b">
        <v>1</v>
      </c>
      <c r="O222" s="268">
        <v>2</v>
      </c>
      <c r="P222" s="281">
        <v>30</v>
      </c>
      <c r="Q222" s="281">
        <v>40</v>
      </c>
      <c r="R222" s="268" t="s">
        <v>3383</v>
      </c>
      <c r="S222" s="268"/>
      <c r="T222" s="268">
        <v>1</v>
      </c>
      <c r="U222" s="268" t="s">
        <v>4880</v>
      </c>
      <c r="V222" s="269">
        <v>1</v>
      </c>
      <c r="W222" s="269"/>
      <c r="X222" s="268" t="s">
        <v>4881</v>
      </c>
      <c r="Y222" t="s">
        <v>6449</v>
      </c>
      <c r="Z222" t="s">
        <v>6450</v>
      </c>
      <c r="AA222" s="268" t="s">
        <v>4884</v>
      </c>
      <c r="AB222" s="268"/>
      <c r="AC222" s="287">
        <v>1</v>
      </c>
      <c r="AD222" s="287">
        <v>1</v>
      </c>
      <c r="AE222" s="268"/>
      <c r="AF222" s="268"/>
      <c r="AG222" s="290"/>
    </row>
    <row r="223" spans="1:33" s="145" customFormat="1" x14ac:dyDescent="0.15">
      <c r="A223" s="267">
        <v>95110012</v>
      </c>
      <c r="B223" t="s">
        <v>6448</v>
      </c>
      <c r="C223" s="268" t="s">
        <v>6316</v>
      </c>
      <c r="D223" s="293">
        <v>5011</v>
      </c>
      <c r="E223" s="268" t="s">
        <v>4876</v>
      </c>
      <c r="F223" s="268" t="s">
        <v>4877</v>
      </c>
      <c r="G223" s="269">
        <v>2</v>
      </c>
      <c r="H223" s="269">
        <v>0</v>
      </c>
      <c r="I223" s="267">
        <v>34</v>
      </c>
      <c r="J223" s="282" t="s">
        <v>5061</v>
      </c>
      <c r="K223" s="279" t="s">
        <v>5062</v>
      </c>
      <c r="L223" s="279"/>
      <c r="M223" s="268">
        <v>1</v>
      </c>
      <c r="N223" s="268" t="b">
        <v>1</v>
      </c>
      <c r="O223" s="268">
        <v>5</v>
      </c>
      <c r="P223" s="281">
        <v>75</v>
      </c>
      <c r="Q223" s="281">
        <v>100</v>
      </c>
      <c r="R223" s="268" t="s">
        <v>3383</v>
      </c>
      <c r="S223" s="268"/>
      <c r="T223" s="268">
        <v>1</v>
      </c>
      <c r="U223" s="268" t="s">
        <v>4880</v>
      </c>
      <c r="V223" s="269">
        <v>2</v>
      </c>
      <c r="W223" s="269"/>
      <c r="X223" s="268" t="s">
        <v>4881</v>
      </c>
      <c r="Y223" t="s">
        <v>6449</v>
      </c>
      <c r="Z223" t="s">
        <v>6450</v>
      </c>
      <c r="AA223" s="268" t="s">
        <v>4884</v>
      </c>
      <c r="AB223" s="268"/>
      <c r="AC223" s="287">
        <v>1</v>
      </c>
      <c r="AD223" s="287">
        <v>1</v>
      </c>
      <c r="AE223" s="268"/>
      <c r="AF223" s="268"/>
      <c r="AG223" s="290"/>
    </row>
    <row r="224" spans="1:33" s="145" customFormat="1" x14ac:dyDescent="0.15">
      <c r="A224" s="267">
        <v>95110013</v>
      </c>
      <c r="B224" t="s">
        <v>6448</v>
      </c>
      <c r="C224" s="268" t="s">
        <v>6316</v>
      </c>
      <c r="D224" s="293">
        <v>5011</v>
      </c>
      <c r="E224" s="268" t="s">
        <v>4876</v>
      </c>
      <c r="F224" s="268" t="s">
        <v>4877</v>
      </c>
      <c r="G224" s="269">
        <v>3</v>
      </c>
      <c r="H224" s="269">
        <v>0</v>
      </c>
      <c r="I224" s="267">
        <v>34</v>
      </c>
      <c r="J224" s="282" t="s">
        <v>5061</v>
      </c>
      <c r="K224" s="279" t="s">
        <v>5062</v>
      </c>
      <c r="L224" s="279"/>
      <c r="M224" s="268">
        <v>1</v>
      </c>
      <c r="N224" s="268" t="b">
        <v>1</v>
      </c>
      <c r="O224" s="268">
        <v>7</v>
      </c>
      <c r="P224" s="281">
        <v>105</v>
      </c>
      <c r="Q224" s="281">
        <v>140</v>
      </c>
      <c r="R224" s="268" t="s">
        <v>3383</v>
      </c>
      <c r="S224" s="268"/>
      <c r="T224" s="268">
        <v>1</v>
      </c>
      <c r="U224" s="268" t="s">
        <v>4880</v>
      </c>
      <c r="V224" s="269">
        <v>3</v>
      </c>
      <c r="W224" s="269"/>
      <c r="X224" s="268" t="s">
        <v>4881</v>
      </c>
      <c r="Y224" t="s">
        <v>6449</v>
      </c>
      <c r="Z224" t="s">
        <v>6450</v>
      </c>
      <c r="AA224" s="268" t="s">
        <v>4884</v>
      </c>
      <c r="AB224" s="268"/>
      <c r="AC224" s="287">
        <v>1</v>
      </c>
      <c r="AD224" s="287">
        <v>1</v>
      </c>
      <c r="AE224" s="268"/>
      <c r="AF224" s="268"/>
      <c r="AG224" s="290"/>
    </row>
    <row r="225" spans="1:33" s="145" customFormat="1" x14ac:dyDescent="0.15">
      <c r="A225" s="267">
        <v>95110014</v>
      </c>
      <c r="B225" t="s">
        <v>6448</v>
      </c>
      <c r="C225" s="268" t="s">
        <v>6316</v>
      </c>
      <c r="D225" s="293">
        <v>5011</v>
      </c>
      <c r="E225" s="268" t="s">
        <v>4876</v>
      </c>
      <c r="F225" s="268" t="s">
        <v>4877</v>
      </c>
      <c r="G225" s="269">
        <v>4</v>
      </c>
      <c r="H225" s="269">
        <v>0</v>
      </c>
      <c r="I225" s="267">
        <v>34</v>
      </c>
      <c r="J225" s="282" t="s">
        <v>5061</v>
      </c>
      <c r="K225" s="279" t="s">
        <v>5062</v>
      </c>
      <c r="L225" s="279"/>
      <c r="M225" s="268">
        <v>1</v>
      </c>
      <c r="N225" s="268" t="b">
        <v>1</v>
      </c>
      <c r="O225" s="268">
        <v>10</v>
      </c>
      <c r="P225" s="281">
        <v>150</v>
      </c>
      <c r="Q225" s="281">
        <v>200</v>
      </c>
      <c r="R225" s="268" t="s">
        <v>3383</v>
      </c>
      <c r="S225" s="268"/>
      <c r="T225" s="268">
        <v>1</v>
      </c>
      <c r="U225" s="268" t="s">
        <v>4880</v>
      </c>
      <c r="V225" s="269">
        <v>4</v>
      </c>
      <c r="W225" s="269"/>
      <c r="X225" s="268" t="s">
        <v>4881</v>
      </c>
      <c r="Y225" t="s">
        <v>6449</v>
      </c>
      <c r="Z225" t="s">
        <v>6450</v>
      </c>
      <c r="AA225" s="268" t="s">
        <v>4884</v>
      </c>
      <c r="AB225" s="268"/>
      <c r="AC225" s="287">
        <v>1</v>
      </c>
      <c r="AD225" s="287">
        <v>1</v>
      </c>
      <c r="AE225" s="268"/>
      <c r="AF225" s="268"/>
      <c r="AG225" s="290"/>
    </row>
    <row r="226" spans="1:33" s="145" customFormat="1" x14ac:dyDescent="0.15">
      <c r="A226" s="267">
        <v>95110015</v>
      </c>
      <c r="B226" t="s">
        <v>6448</v>
      </c>
      <c r="C226" s="268" t="s">
        <v>6316</v>
      </c>
      <c r="D226" s="293">
        <v>5011</v>
      </c>
      <c r="E226" s="268" t="s">
        <v>4876</v>
      </c>
      <c r="F226" s="268" t="s">
        <v>4877</v>
      </c>
      <c r="G226" s="269">
        <v>5</v>
      </c>
      <c r="H226" s="269">
        <v>0</v>
      </c>
      <c r="I226" s="267">
        <v>34</v>
      </c>
      <c r="J226" s="282" t="s">
        <v>5061</v>
      </c>
      <c r="K226" s="279" t="s">
        <v>5062</v>
      </c>
      <c r="L226" s="279"/>
      <c r="M226" s="268">
        <v>1</v>
      </c>
      <c r="N226" s="268" t="b">
        <v>1</v>
      </c>
      <c r="O226" s="268">
        <v>12</v>
      </c>
      <c r="P226" s="281">
        <v>180</v>
      </c>
      <c r="Q226" s="281">
        <v>240</v>
      </c>
      <c r="R226" s="268" t="s">
        <v>3383</v>
      </c>
      <c r="S226" s="268"/>
      <c r="T226" s="268">
        <v>1</v>
      </c>
      <c r="U226" s="268" t="s">
        <v>4880</v>
      </c>
      <c r="V226" s="269">
        <v>5</v>
      </c>
      <c r="W226" s="269"/>
      <c r="X226" s="268" t="s">
        <v>4881</v>
      </c>
      <c r="Y226" t="s">
        <v>6449</v>
      </c>
      <c r="Z226" t="s">
        <v>6450</v>
      </c>
      <c r="AA226" s="268" t="s">
        <v>4884</v>
      </c>
      <c r="AB226" s="268"/>
      <c r="AC226" s="287">
        <v>1</v>
      </c>
      <c r="AD226" s="287">
        <v>1</v>
      </c>
      <c r="AE226" s="268"/>
      <c r="AF226" s="268"/>
      <c r="AG226" s="290"/>
    </row>
    <row r="227" spans="1:33" s="145" customFormat="1" x14ac:dyDescent="0.15">
      <c r="A227" s="270">
        <v>95110016</v>
      </c>
      <c r="B227" t="s">
        <v>6448</v>
      </c>
      <c r="C227" s="268" t="s">
        <v>6316</v>
      </c>
      <c r="D227" s="268">
        <v>5011</v>
      </c>
      <c r="E227" s="268" t="s">
        <v>4876</v>
      </c>
      <c r="F227" s="268" t="s">
        <v>4877</v>
      </c>
      <c r="G227" s="269">
        <v>6</v>
      </c>
      <c r="H227" s="269">
        <v>0</v>
      </c>
      <c r="I227" s="267">
        <v>34</v>
      </c>
      <c r="J227" s="282" t="s">
        <v>5061</v>
      </c>
      <c r="K227" s="279" t="s">
        <v>5062</v>
      </c>
      <c r="L227" s="279"/>
      <c r="M227" s="268">
        <v>1</v>
      </c>
      <c r="N227" s="268" t="b">
        <v>1</v>
      </c>
      <c r="O227" s="268">
        <v>25</v>
      </c>
      <c r="P227" s="281">
        <v>375</v>
      </c>
      <c r="Q227" s="281">
        <v>500</v>
      </c>
      <c r="R227" s="268" t="s">
        <v>3383</v>
      </c>
      <c r="S227" s="268"/>
      <c r="T227" s="268">
        <v>1</v>
      </c>
      <c r="U227" s="268" t="s">
        <v>4880</v>
      </c>
      <c r="V227" s="269">
        <v>7</v>
      </c>
      <c r="W227" s="269"/>
      <c r="X227" s="268" t="s">
        <v>4881</v>
      </c>
      <c r="Y227" t="s">
        <v>6449</v>
      </c>
      <c r="Z227" t="s">
        <v>6450</v>
      </c>
      <c r="AA227" s="268" t="s">
        <v>4884</v>
      </c>
      <c r="AB227" s="268"/>
      <c r="AC227" s="287">
        <v>1</v>
      </c>
      <c r="AD227" s="287">
        <v>1</v>
      </c>
      <c r="AE227" s="268"/>
      <c r="AF227" s="268"/>
      <c r="AG227" s="290"/>
    </row>
    <row r="228" spans="1:33" s="145" customFormat="1" x14ac:dyDescent="0.15">
      <c r="A228" s="270">
        <v>95110017</v>
      </c>
      <c r="B228" t="s">
        <v>6448</v>
      </c>
      <c r="C228" s="268" t="s">
        <v>6316</v>
      </c>
      <c r="D228" s="268">
        <v>5011</v>
      </c>
      <c r="E228" s="268" t="s">
        <v>4876</v>
      </c>
      <c r="F228" s="268" t="s">
        <v>4877</v>
      </c>
      <c r="G228" s="269">
        <v>7</v>
      </c>
      <c r="H228" s="269">
        <v>0</v>
      </c>
      <c r="I228" s="267">
        <v>34</v>
      </c>
      <c r="J228" s="282" t="s">
        <v>5061</v>
      </c>
      <c r="K228" s="279" t="s">
        <v>5062</v>
      </c>
      <c r="L228" s="279"/>
      <c r="M228" s="268">
        <v>1</v>
      </c>
      <c r="N228" s="268" t="b">
        <v>1</v>
      </c>
      <c r="O228" s="268">
        <v>38</v>
      </c>
      <c r="P228" s="281">
        <v>570</v>
      </c>
      <c r="Q228" s="281">
        <v>760</v>
      </c>
      <c r="R228" s="268" t="s">
        <v>3383</v>
      </c>
      <c r="S228" s="268"/>
      <c r="T228" s="268">
        <v>1</v>
      </c>
      <c r="U228" s="268" t="s">
        <v>4880</v>
      </c>
      <c r="V228" s="269">
        <v>10</v>
      </c>
      <c r="W228" s="269"/>
      <c r="X228" s="268" t="s">
        <v>4881</v>
      </c>
      <c r="Y228" t="s">
        <v>6449</v>
      </c>
      <c r="Z228" t="s">
        <v>6450</v>
      </c>
      <c r="AA228" s="268" t="s">
        <v>4884</v>
      </c>
      <c r="AB228" s="268"/>
      <c r="AC228" s="287">
        <v>1</v>
      </c>
      <c r="AD228" s="287">
        <v>1</v>
      </c>
      <c r="AE228" s="268"/>
      <c r="AF228" s="268"/>
      <c r="AG228" s="290"/>
    </row>
    <row r="229" spans="1:33" s="258" customFormat="1" x14ac:dyDescent="0.15">
      <c r="A229" s="271">
        <v>95110018</v>
      </c>
      <c r="B229" t="s">
        <v>6451</v>
      </c>
      <c r="C229" s="268" t="s">
        <v>6316</v>
      </c>
      <c r="D229" s="272">
        <v>5081</v>
      </c>
      <c r="E229" s="272" t="s">
        <v>4876</v>
      </c>
      <c r="F229" s="272" t="s">
        <v>4877</v>
      </c>
      <c r="G229" s="269">
        <v>6</v>
      </c>
      <c r="H229" s="273">
        <v>1</v>
      </c>
      <c r="I229" s="283">
        <v>34</v>
      </c>
      <c r="J229" s="284" t="s">
        <v>5061</v>
      </c>
      <c r="K229" s="285" t="s">
        <v>5062</v>
      </c>
      <c r="L229" s="272" t="s">
        <v>44</v>
      </c>
      <c r="M229" s="272">
        <v>1</v>
      </c>
      <c r="N229" s="272" t="b">
        <v>1</v>
      </c>
      <c r="O229" s="272">
        <v>51</v>
      </c>
      <c r="P229" s="281">
        <v>765</v>
      </c>
      <c r="Q229" s="281">
        <v>1020</v>
      </c>
      <c r="R229" s="272" t="s">
        <v>3383</v>
      </c>
      <c r="S229" s="272"/>
      <c r="T229" s="272">
        <v>1</v>
      </c>
      <c r="U229" s="272" t="s">
        <v>4880</v>
      </c>
      <c r="V229" s="273">
        <v>10</v>
      </c>
      <c r="W229" s="273"/>
      <c r="X229" s="272" t="s">
        <v>4881</v>
      </c>
      <c r="Y229" t="s">
        <v>6449</v>
      </c>
      <c r="Z229" t="s">
        <v>6450</v>
      </c>
      <c r="AA229" s="272" t="s">
        <v>4884</v>
      </c>
      <c r="AB229" s="272"/>
      <c r="AC229" s="289">
        <v>1</v>
      </c>
      <c r="AD229" s="289">
        <v>1</v>
      </c>
      <c r="AE229" s="289"/>
      <c r="AF229" s="272"/>
      <c r="AG229" s="272"/>
    </row>
    <row r="230" spans="1:33" s="258" customFormat="1" x14ac:dyDescent="0.15">
      <c r="A230" s="271">
        <v>95110019</v>
      </c>
      <c r="B230" t="s">
        <v>6452</v>
      </c>
      <c r="C230" s="268" t="s">
        <v>6316</v>
      </c>
      <c r="D230" s="272">
        <v>5081</v>
      </c>
      <c r="E230" s="272" t="s">
        <v>4876</v>
      </c>
      <c r="F230" s="272" t="s">
        <v>4877</v>
      </c>
      <c r="G230" s="269">
        <v>6</v>
      </c>
      <c r="H230" s="273">
        <v>1</v>
      </c>
      <c r="I230" s="283">
        <v>34</v>
      </c>
      <c r="J230" s="284" t="s">
        <v>5061</v>
      </c>
      <c r="K230" s="285" t="s">
        <v>5062</v>
      </c>
      <c r="L230" s="272" t="s">
        <v>4887</v>
      </c>
      <c r="M230" s="272">
        <v>1</v>
      </c>
      <c r="N230" s="272" t="b">
        <v>1</v>
      </c>
      <c r="O230" s="272">
        <v>64</v>
      </c>
      <c r="P230" s="281">
        <v>960</v>
      </c>
      <c r="Q230" s="281">
        <v>1280</v>
      </c>
      <c r="R230" s="272" t="s">
        <v>3383</v>
      </c>
      <c r="S230" s="272"/>
      <c r="T230" s="272">
        <v>1</v>
      </c>
      <c r="U230" s="272" t="s">
        <v>4880</v>
      </c>
      <c r="V230" s="273">
        <v>10</v>
      </c>
      <c r="W230" s="273"/>
      <c r="X230" s="272" t="s">
        <v>4881</v>
      </c>
      <c r="Y230" t="s">
        <v>6449</v>
      </c>
      <c r="Z230" t="s">
        <v>6450</v>
      </c>
      <c r="AA230" s="272" t="s">
        <v>4884</v>
      </c>
      <c r="AB230" s="272"/>
      <c r="AC230" s="289">
        <v>1</v>
      </c>
      <c r="AD230" s="289">
        <v>1</v>
      </c>
      <c r="AE230" s="289"/>
      <c r="AF230" s="272"/>
      <c r="AG230" s="272"/>
    </row>
    <row r="231" spans="1:33" s="258" customFormat="1" x14ac:dyDescent="0.15">
      <c r="A231" s="271">
        <v>95110020</v>
      </c>
      <c r="B231" t="s">
        <v>6453</v>
      </c>
      <c r="C231" s="268" t="s">
        <v>6316</v>
      </c>
      <c r="D231" s="272">
        <v>5081</v>
      </c>
      <c r="E231" s="272" t="s">
        <v>4876</v>
      </c>
      <c r="F231" s="272" t="s">
        <v>4877</v>
      </c>
      <c r="G231" s="269">
        <v>7</v>
      </c>
      <c r="H231" s="273">
        <v>0</v>
      </c>
      <c r="I231" s="283">
        <v>34</v>
      </c>
      <c r="J231" s="284" t="s">
        <v>5061</v>
      </c>
      <c r="K231" s="285" t="s">
        <v>5062</v>
      </c>
      <c r="L231" s="272" t="s">
        <v>4889</v>
      </c>
      <c r="M231" s="272">
        <v>1</v>
      </c>
      <c r="N231" s="272" t="b">
        <v>1</v>
      </c>
      <c r="O231" s="272">
        <v>77</v>
      </c>
      <c r="P231" s="281">
        <v>1155</v>
      </c>
      <c r="Q231" s="281">
        <v>1540</v>
      </c>
      <c r="R231" s="272" t="s">
        <v>3383</v>
      </c>
      <c r="S231" s="272"/>
      <c r="T231" s="272">
        <v>1</v>
      </c>
      <c r="U231" s="272" t="s">
        <v>4880</v>
      </c>
      <c r="V231" s="273">
        <v>10</v>
      </c>
      <c r="W231" s="273"/>
      <c r="X231" s="272" t="s">
        <v>4881</v>
      </c>
      <c r="Y231" t="s">
        <v>6449</v>
      </c>
      <c r="Z231" t="s">
        <v>6450</v>
      </c>
      <c r="AA231" s="272" t="s">
        <v>4884</v>
      </c>
      <c r="AB231" s="272"/>
      <c r="AC231" s="289">
        <v>1</v>
      </c>
      <c r="AD231" s="289">
        <v>1</v>
      </c>
      <c r="AE231" s="289"/>
      <c r="AF231" s="272"/>
      <c r="AG231" s="272"/>
    </row>
    <row r="232" spans="1:33" s="145" customFormat="1" x14ac:dyDescent="0.15">
      <c r="A232" s="267">
        <v>95110021</v>
      </c>
      <c r="B232" t="s">
        <v>6454</v>
      </c>
      <c r="C232" s="268" t="s">
        <v>6316</v>
      </c>
      <c r="D232" s="293">
        <v>5011</v>
      </c>
      <c r="E232" s="268" t="s">
        <v>4876</v>
      </c>
      <c r="F232" s="268" t="s">
        <v>4877</v>
      </c>
      <c r="G232" s="269">
        <v>1</v>
      </c>
      <c r="H232" s="269">
        <v>0</v>
      </c>
      <c r="I232" s="267">
        <v>34</v>
      </c>
      <c r="J232" s="282" t="s">
        <v>5069</v>
      </c>
      <c r="K232" s="279" t="s">
        <v>5070</v>
      </c>
      <c r="L232" s="279"/>
      <c r="M232" s="268">
        <v>1</v>
      </c>
      <c r="N232" s="268" t="b">
        <v>1</v>
      </c>
      <c r="O232" s="268">
        <v>2</v>
      </c>
      <c r="P232" s="281">
        <v>30</v>
      </c>
      <c r="Q232" s="281">
        <v>40</v>
      </c>
      <c r="R232" s="268" t="s">
        <v>3383</v>
      </c>
      <c r="S232" s="268"/>
      <c r="T232" s="268">
        <v>1</v>
      </c>
      <c r="U232" s="268" t="s">
        <v>4880</v>
      </c>
      <c r="V232" s="269">
        <v>1</v>
      </c>
      <c r="W232" s="269"/>
      <c r="X232" s="268" t="s">
        <v>4881</v>
      </c>
      <c r="Y232" t="s">
        <v>6455</v>
      </c>
      <c r="Z232" t="s">
        <v>6456</v>
      </c>
      <c r="AA232" s="268" t="s">
        <v>4884</v>
      </c>
      <c r="AB232" s="268"/>
      <c r="AC232" s="287">
        <v>1</v>
      </c>
      <c r="AD232" s="287">
        <v>1</v>
      </c>
      <c r="AE232" s="268"/>
      <c r="AF232" s="268"/>
      <c r="AG232" s="290"/>
    </row>
    <row r="233" spans="1:33" s="145" customFormat="1" x14ac:dyDescent="0.15">
      <c r="A233" s="267">
        <v>95110022</v>
      </c>
      <c r="B233" t="s">
        <v>6454</v>
      </c>
      <c r="C233" s="268" t="s">
        <v>6316</v>
      </c>
      <c r="D233" s="293">
        <v>5011</v>
      </c>
      <c r="E233" s="268" t="s">
        <v>4876</v>
      </c>
      <c r="F233" s="268" t="s">
        <v>4877</v>
      </c>
      <c r="G233" s="269">
        <v>2</v>
      </c>
      <c r="H233" s="269">
        <v>0</v>
      </c>
      <c r="I233" s="267">
        <v>34</v>
      </c>
      <c r="J233" s="282" t="s">
        <v>5069</v>
      </c>
      <c r="K233" s="279" t="s">
        <v>5070</v>
      </c>
      <c r="L233" s="279"/>
      <c r="M233" s="268">
        <v>1</v>
      </c>
      <c r="N233" s="268" t="b">
        <v>1</v>
      </c>
      <c r="O233" s="268">
        <v>5</v>
      </c>
      <c r="P233" s="281">
        <v>75</v>
      </c>
      <c r="Q233" s="281">
        <v>100</v>
      </c>
      <c r="R233" s="268" t="s">
        <v>3383</v>
      </c>
      <c r="S233" s="268"/>
      <c r="T233" s="268">
        <v>1</v>
      </c>
      <c r="U233" s="268" t="s">
        <v>4880</v>
      </c>
      <c r="V233" s="269">
        <v>2</v>
      </c>
      <c r="W233" s="269"/>
      <c r="X233" s="268" t="s">
        <v>4881</v>
      </c>
      <c r="Y233" t="s">
        <v>6455</v>
      </c>
      <c r="Z233" t="s">
        <v>6456</v>
      </c>
      <c r="AA233" s="268" t="s">
        <v>4884</v>
      </c>
      <c r="AB233" s="268"/>
      <c r="AC233" s="287">
        <v>1</v>
      </c>
      <c r="AD233" s="287">
        <v>1</v>
      </c>
      <c r="AE233" s="268"/>
      <c r="AF233" s="268"/>
      <c r="AG233" s="290"/>
    </row>
    <row r="234" spans="1:33" s="145" customFormat="1" x14ac:dyDescent="0.15">
      <c r="A234" s="267">
        <v>95110023</v>
      </c>
      <c r="B234" t="s">
        <v>6454</v>
      </c>
      <c r="C234" s="268" t="s">
        <v>6316</v>
      </c>
      <c r="D234" s="293">
        <v>5011</v>
      </c>
      <c r="E234" s="268" t="s">
        <v>4876</v>
      </c>
      <c r="F234" s="268" t="s">
        <v>4877</v>
      </c>
      <c r="G234" s="269">
        <v>3</v>
      </c>
      <c r="H234" s="269">
        <v>0</v>
      </c>
      <c r="I234" s="267">
        <v>34</v>
      </c>
      <c r="J234" s="282" t="s">
        <v>5069</v>
      </c>
      <c r="K234" s="279" t="s">
        <v>5070</v>
      </c>
      <c r="L234" s="279"/>
      <c r="M234" s="268">
        <v>1</v>
      </c>
      <c r="N234" s="268" t="b">
        <v>1</v>
      </c>
      <c r="O234" s="268">
        <v>7</v>
      </c>
      <c r="P234" s="281">
        <v>105</v>
      </c>
      <c r="Q234" s="281">
        <v>140</v>
      </c>
      <c r="R234" s="268" t="s">
        <v>3383</v>
      </c>
      <c r="S234" s="268"/>
      <c r="T234" s="268">
        <v>1</v>
      </c>
      <c r="U234" s="268" t="s">
        <v>4880</v>
      </c>
      <c r="V234" s="269">
        <v>3</v>
      </c>
      <c r="W234" s="269"/>
      <c r="X234" s="268" t="s">
        <v>4881</v>
      </c>
      <c r="Y234" t="s">
        <v>6455</v>
      </c>
      <c r="Z234" t="s">
        <v>6456</v>
      </c>
      <c r="AA234" s="268" t="s">
        <v>4884</v>
      </c>
      <c r="AB234" s="268"/>
      <c r="AC234" s="287">
        <v>1</v>
      </c>
      <c r="AD234" s="287">
        <v>1</v>
      </c>
      <c r="AE234" s="268"/>
      <c r="AF234" s="268"/>
      <c r="AG234" s="290"/>
    </row>
    <row r="235" spans="1:33" s="145" customFormat="1" x14ac:dyDescent="0.15">
      <c r="A235" s="267">
        <v>95110024</v>
      </c>
      <c r="B235" t="s">
        <v>6454</v>
      </c>
      <c r="C235" s="268" t="s">
        <v>6316</v>
      </c>
      <c r="D235" s="293">
        <v>5011</v>
      </c>
      <c r="E235" s="268" t="s">
        <v>4876</v>
      </c>
      <c r="F235" s="268" t="s">
        <v>4877</v>
      </c>
      <c r="G235" s="269">
        <v>4</v>
      </c>
      <c r="H235" s="269">
        <v>0</v>
      </c>
      <c r="I235" s="267">
        <v>34</v>
      </c>
      <c r="J235" s="282" t="s">
        <v>5069</v>
      </c>
      <c r="K235" s="279" t="s">
        <v>5070</v>
      </c>
      <c r="L235" s="279"/>
      <c r="M235" s="268">
        <v>1</v>
      </c>
      <c r="N235" s="268" t="b">
        <v>1</v>
      </c>
      <c r="O235" s="268">
        <v>10</v>
      </c>
      <c r="P235" s="281">
        <v>150</v>
      </c>
      <c r="Q235" s="281">
        <v>200</v>
      </c>
      <c r="R235" s="268" t="s">
        <v>3383</v>
      </c>
      <c r="S235" s="268"/>
      <c r="T235" s="268">
        <v>1</v>
      </c>
      <c r="U235" s="268" t="s">
        <v>4880</v>
      </c>
      <c r="V235" s="269">
        <v>4</v>
      </c>
      <c r="W235" s="269"/>
      <c r="X235" s="268" t="s">
        <v>4881</v>
      </c>
      <c r="Y235" t="s">
        <v>6455</v>
      </c>
      <c r="Z235" t="s">
        <v>6456</v>
      </c>
      <c r="AA235" s="268" t="s">
        <v>4884</v>
      </c>
      <c r="AB235" s="268"/>
      <c r="AC235" s="287">
        <v>1</v>
      </c>
      <c r="AD235" s="287">
        <v>1</v>
      </c>
      <c r="AE235" s="268"/>
      <c r="AF235" s="268"/>
      <c r="AG235" s="290"/>
    </row>
    <row r="236" spans="1:33" s="145" customFormat="1" x14ac:dyDescent="0.15">
      <c r="A236" s="267">
        <v>95110025</v>
      </c>
      <c r="B236" t="s">
        <v>6454</v>
      </c>
      <c r="C236" s="268" t="s">
        <v>6316</v>
      </c>
      <c r="D236" s="293">
        <v>5011</v>
      </c>
      <c r="E236" s="268" t="s">
        <v>4876</v>
      </c>
      <c r="F236" s="268" t="s">
        <v>4877</v>
      </c>
      <c r="G236" s="269">
        <v>5</v>
      </c>
      <c r="H236" s="269">
        <v>0</v>
      </c>
      <c r="I236" s="267">
        <v>34</v>
      </c>
      <c r="J236" s="282" t="s">
        <v>5069</v>
      </c>
      <c r="K236" s="279" t="s">
        <v>5070</v>
      </c>
      <c r="L236" s="279"/>
      <c r="M236" s="268">
        <v>1</v>
      </c>
      <c r="N236" s="268" t="b">
        <v>1</v>
      </c>
      <c r="O236" s="268">
        <v>12</v>
      </c>
      <c r="P236" s="281">
        <v>180</v>
      </c>
      <c r="Q236" s="281">
        <v>240</v>
      </c>
      <c r="R236" s="268" t="s">
        <v>3383</v>
      </c>
      <c r="S236" s="268"/>
      <c r="T236" s="268">
        <v>1</v>
      </c>
      <c r="U236" s="268" t="s">
        <v>4880</v>
      </c>
      <c r="V236" s="269">
        <v>5</v>
      </c>
      <c r="W236" s="269"/>
      <c r="X236" s="268" t="s">
        <v>4881</v>
      </c>
      <c r="Y236" t="s">
        <v>6455</v>
      </c>
      <c r="Z236" t="s">
        <v>6456</v>
      </c>
      <c r="AA236" s="268" t="s">
        <v>4884</v>
      </c>
      <c r="AB236" s="268"/>
      <c r="AC236" s="287">
        <v>1</v>
      </c>
      <c r="AD236" s="287">
        <v>1</v>
      </c>
      <c r="AE236" s="268"/>
      <c r="AF236" s="268"/>
      <c r="AG236" s="290"/>
    </row>
    <row r="237" spans="1:33" s="145" customFormat="1" x14ac:dyDescent="0.15">
      <c r="A237" s="270">
        <v>95110026</v>
      </c>
      <c r="B237" t="s">
        <v>6454</v>
      </c>
      <c r="C237" s="268" t="s">
        <v>6316</v>
      </c>
      <c r="D237" s="268">
        <v>5011</v>
      </c>
      <c r="E237" s="268" t="s">
        <v>4876</v>
      </c>
      <c r="F237" s="268" t="s">
        <v>4877</v>
      </c>
      <c r="G237" s="269">
        <v>6</v>
      </c>
      <c r="H237" s="269">
        <v>0</v>
      </c>
      <c r="I237" s="267">
        <v>34</v>
      </c>
      <c r="J237" s="282" t="s">
        <v>5069</v>
      </c>
      <c r="K237" s="279" t="s">
        <v>5070</v>
      </c>
      <c r="L237" s="279"/>
      <c r="M237" s="268">
        <v>1</v>
      </c>
      <c r="N237" s="268" t="b">
        <v>1</v>
      </c>
      <c r="O237" s="268">
        <v>25</v>
      </c>
      <c r="P237" s="281">
        <v>375</v>
      </c>
      <c r="Q237" s="281">
        <v>500</v>
      </c>
      <c r="R237" s="268" t="s">
        <v>3383</v>
      </c>
      <c r="S237" s="268"/>
      <c r="T237" s="268">
        <v>1</v>
      </c>
      <c r="U237" s="268" t="s">
        <v>4880</v>
      </c>
      <c r="V237" s="269">
        <v>7</v>
      </c>
      <c r="W237" s="269"/>
      <c r="X237" s="268" t="s">
        <v>4881</v>
      </c>
      <c r="Y237" t="s">
        <v>6455</v>
      </c>
      <c r="Z237" t="s">
        <v>6456</v>
      </c>
      <c r="AA237" s="268" t="s">
        <v>4884</v>
      </c>
      <c r="AB237" s="268"/>
      <c r="AC237" s="287">
        <v>1</v>
      </c>
      <c r="AD237" s="287">
        <v>1</v>
      </c>
      <c r="AE237" s="268"/>
      <c r="AF237" s="268"/>
      <c r="AG237" s="290"/>
    </row>
    <row r="238" spans="1:33" s="145" customFormat="1" x14ac:dyDescent="0.15">
      <c r="A238" s="270">
        <v>95110027</v>
      </c>
      <c r="B238" t="s">
        <v>6454</v>
      </c>
      <c r="C238" s="268" t="s">
        <v>6316</v>
      </c>
      <c r="D238" s="268">
        <v>5011</v>
      </c>
      <c r="E238" s="268" t="s">
        <v>4876</v>
      </c>
      <c r="F238" s="268" t="s">
        <v>4877</v>
      </c>
      <c r="G238" s="269">
        <v>7</v>
      </c>
      <c r="H238" s="269">
        <v>0</v>
      </c>
      <c r="I238" s="267">
        <v>34</v>
      </c>
      <c r="J238" s="282" t="s">
        <v>5069</v>
      </c>
      <c r="K238" s="279" t="s">
        <v>5070</v>
      </c>
      <c r="L238" s="279"/>
      <c r="M238" s="268">
        <v>1</v>
      </c>
      <c r="N238" s="268" t="b">
        <v>1</v>
      </c>
      <c r="O238" s="268">
        <v>38</v>
      </c>
      <c r="P238" s="281">
        <v>570</v>
      </c>
      <c r="Q238" s="281">
        <v>760</v>
      </c>
      <c r="R238" s="268" t="s">
        <v>3383</v>
      </c>
      <c r="S238" s="268"/>
      <c r="T238" s="268">
        <v>1</v>
      </c>
      <c r="U238" s="268" t="s">
        <v>4880</v>
      </c>
      <c r="V238" s="269">
        <v>10</v>
      </c>
      <c r="W238" s="269"/>
      <c r="X238" s="268" t="s">
        <v>4881</v>
      </c>
      <c r="Y238" t="s">
        <v>6455</v>
      </c>
      <c r="Z238" t="s">
        <v>6456</v>
      </c>
      <c r="AA238" s="268" t="s">
        <v>4884</v>
      </c>
      <c r="AB238" s="268"/>
      <c r="AC238" s="287">
        <v>1</v>
      </c>
      <c r="AD238" s="287">
        <v>1</v>
      </c>
      <c r="AE238" s="268"/>
      <c r="AF238" s="268"/>
      <c r="AG238" s="290"/>
    </row>
    <row r="239" spans="1:33" s="258" customFormat="1" x14ac:dyDescent="0.15">
      <c r="A239" s="271">
        <v>95110028</v>
      </c>
      <c r="B239" t="s">
        <v>6457</v>
      </c>
      <c r="C239" s="268" t="s">
        <v>6316</v>
      </c>
      <c r="D239" s="272">
        <v>5081</v>
      </c>
      <c r="E239" s="272" t="s">
        <v>4876</v>
      </c>
      <c r="F239" s="272" t="s">
        <v>4877</v>
      </c>
      <c r="G239" s="269">
        <v>6</v>
      </c>
      <c r="H239" s="273">
        <v>1</v>
      </c>
      <c r="I239" s="283">
        <v>34</v>
      </c>
      <c r="J239" s="284" t="s">
        <v>5069</v>
      </c>
      <c r="K239" s="285" t="s">
        <v>5070</v>
      </c>
      <c r="L239" s="272" t="s">
        <v>44</v>
      </c>
      <c r="M239" s="272">
        <v>1</v>
      </c>
      <c r="N239" s="272" t="b">
        <v>1</v>
      </c>
      <c r="O239" s="272">
        <v>51</v>
      </c>
      <c r="P239" s="281">
        <v>765</v>
      </c>
      <c r="Q239" s="281">
        <v>1020</v>
      </c>
      <c r="R239" s="272" t="s">
        <v>3383</v>
      </c>
      <c r="S239" s="272"/>
      <c r="T239" s="272">
        <v>1</v>
      </c>
      <c r="U239" s="272" t="s">
        <v>4880</v>
      </c>
      <c r="V239" s="273">
        <v>10</v>
      </c>
      <c r="W239" s="273"/>
      <c r="X239" s="272" t="s">
        <v>4881</v>
      </c>
      <c r="Y239" t="s">
        <v>6455</v>
      </c>
      <c r="Z239" t="s">
        <v>6456</v>
      </c>
      <c r="AA239" s="272" t="s">
        <v>4884</v>
      </c>
      <c r="AB239" s="272"/>
      <c r="AC239" s="289">
        <v>1</v>
      </c>
      <c r="AD239" s="289">
        <v>1</v>
      </c>
      <c r="AE239" s="289"/>
      <c r="AF239" s="272"/>
      <c r="AG239" s="272"/>
    </row>
    <row r="240" spans="1:33" s="258" customFormat="1" x14ac:dyDescent="0.15">
      <c r="A240" s="271">
        <v>95110029</v>
      </c>
      <c r="B240" t="s">
        <v>6458</v>
      </c>
      <c r="C240" s="268" t="s">
        <v>6316</v>
      </c>
      <c r="D240" s="272">
        <v>5081</v>
      </c>
      <c r="E240" s="272" t="s">
        <v>4876</v>
      </c>
      <c r="F240" s="272" t="s">
        <v>4877</v>
      </c>
      <c r="G240" s="269">
        <v>6</v>
      </c>
      <c r="H240" s="273">
        <v>1</v>
      </c>
      <c r="I240" s="283">
        <v>34</v>
      </c>
      <c r="J240" s="284" t="s">
        <v>5069</v>
      </c>
      <c r="K240" s="285" t="s">
        <v>5070</v>
      </c>
      <c r="L240" s="272" t="s">
        <v>4887</v>
      </c>
      <c r="M240" s="272">
        <v>1</v>
      </c>
      <c r="N240" s="272" t="b">
        <v>1</v>
      </c>
      <c r="O240" s="272">
        <v>64</v>
      </c>
      <c r="P240" s="281">
        <v>960</v>
      </c>
      <c r="Q240" s="281">
        <v>1280</v>
      </c>
      <c r="R240" s="272" t="s">
        <v>3383</v>
      </c>
      <c r="S240" s="272"/>
      <c r="T240" s="272">
        <v>1</v>
      </c>
      <c r="U240" s="272" t="s">
        <v>4880</v>
      </c>
      <c r="V240" s="273">
        <v>10</v>
      </c>
      <c r="W240" s="273"/>
      <c r="X240" s="272" t="s">
        <v>4881</v>
      </c>
      <c r="Y240" t="s">
        <v>6455</v>
      </c>
      <c r="Z240" t="s">
        <v>6456</v>
      </c>
      <c r="AA240" s="272" t="s">
        <v>4884</v>
      </c>
      <c r="AB240" s="272"/>
      <c r="AC240" s="289">
        <v>1</v>
      </c>
      <c r="AD240" s="289">
        <v>1</v>
      </c>
      <c r="AE240" s="289"/>
      <c r="AF240" s="272"/>
      <c r="AG240" s="272"/>
    </row>
    <row r="241" spans="1:33" s="258" customFormat="1" x14ac:dyDescent="0.15">
      <c r="A241" s="271">
        <v>95110030</v>
      </c>
      <c r="B241" t="s">
        <v>6459</v>
      </c>
      <c r="C241" s="268" t="s">
        <v>6316</v>
      </c>
      <c r="D241" s="272">
        <v>5081</v>
      </c>
      <c r="E241" s="272" t="s">
        <v>4876</v>
      </c>
      <c r="F241" s="272" t="s">
        <v>4877</v>
      </c>
      <c r="G241" s="269">
        <v>7</v>
      </c>
      <c r="H241" s="273">
        <v>0</v>
      </c>
      <c r="I241" s="283">
        <v>34</v>
      </c>
      <c r="J241" s="284" t="s">
        <v>5069</v>
      </c>
      <c r="K241" s="285" t="s">
        <v>5070</v>
      </c>
      <c r="L241" s="272" t="s">
        <v>4889</v>
      </c>
      <c r="M241" s="272">
        <v>1</v>
      </c>
      <c r="N241" s="272" t="b">
        <v>1</v>
      </c>
      <c r="O241" s="272">
        <v>77</v>
      </c>
      <c r="P241" s="281">
        <v>1155</v>
      </c>
      <c r="Q241" s="281">
        <v>1540</v>
      </c>
      <c r="R241" s="272" t="s">
        <v>3383</v>
      </c>
      <c r="S241" s="272"/>
      <c r="T241" s="272">
        <v>1</v>
      </c>
      <c r="U241" s="272" t="s">
        <v>4880</v>
      </c>
      <c r="V241" s="273">
        <v>10</v>
      </c>
      <c r="W241" s="273"/>
      <c r="X241" s="272" t="s">
        <v>4881</v>
      </c>
      <c r="Y241" t="s">
        <v>6455</v>
      </c>
      <c r="Z241" t="s">
        <v>6456</v>
      </c>
      <c r="AA241" s="272" t="s">
        <v>4884</v>
      </c>
      <c r="AB241" s="272"/>
      <c r="AC241" s="289">
        <v>1</v>
      </c>
      <c r="AD241" s="289">
        <v>1</v>
      </c>
      <c r="AE241" s="289"/>
      <c r="AF241" s="272"/>
      <c r="AG241" s="272"/>
    </row>
    <row r="242" spans="1:33" s="145" customFormat="1" x14ac:dyDescent="0.15">
      <c r="A242" s="267">
        <v>95110031</v>
      </c>
      <c r="B242" t="s">
        <v>6460</v>
      </c>
      <c r="C242" s="268" t="s">
        <v>6316</v>
      </c>
      <c r="D242" s="293">
        <v>5011</v>
      </c>
      <c r="E242" s="268" t="s">
        <v>4876</v>
      </c>
      <c r="F242" s="268" t="s">
        <v>4877</v>
      </c>
      <c r="G242" s="269">
        <v>1</v>
      </c>
      <c r="H242" s="269">
        <v>0</v>
      </c>
      <c r="I242" s="267">
        <v>34</v>
      </c>
      <c r="J242" s="282" t="s">
        <v>5077</v>
      </c>
      <c r="K242" s="279" t="s">
        <v>5078</v>
      </c>
      <c r="L242" s="279"/>
      <c r="M242" s="268">
        <v>1</v>
      </c>
      <c r="N242" s="268" t="b">
        <v>1</v>
      </c>
      <c r="O242" s="268">
        <v>2</v>
      </c>
      <c r="P242" s="281">
        <v>30</v>
      </c>
      <c r="Q242" s="281">
        <v>40</v>
      </c>
      <c r="R242" s="268" t="s">
        <v>3383</v>
      </c>
      <c r="S242" s="268"/>
      <c r="T242" s="268">
        <v>1</v>
      </c>
      <c r="U242" s="268" t="s">
        <v>4880</v>
      </c>
      <c r="V242" s="269">
        <v>1</v>
      </c>
      <c r="W242" s="269"/>
      <c r="X242" s="268" t="s">
        <v>4881</v>
      </c>
      <c r="Y242" t="s">
        <v>6455</v>
      </c>
      <c r="Z242" t="s">
        <v>6461</v>
      </c>
      <c r="AA242" s="268" t="s">
        <v>4884</v>
      </c>
      <c r="AB242" s="268"/>
      <c r="AC242" s="287">
        <v>1</v>
      </c>
      <c r="AD242" s="287">
        <v>1</v>
      </c>
      <c r="AE242" s="268"/>
      <c r="AF242" s="268"/>
      <c r="AG242" s="290"/>
    </row>
    <row r="243" spans="1:33" s="145" customFormat="1" x14ac:dyDescent="0.15">
      <c r="A243" s="267">
        <v>95110032</v>
      </c>
      <c r="B243" t="s">
        <v>6460</v>
      </c>
      <c r="C243" s="268" t="s">
        <v>6316</v>
      </c>
      <c r="D243" s="293">
        <v>5011</v>
      </c>
      <c r="E243" s="268" t="s">
        <v>4876</v>
      </c>
      <c r="F243" s="268" t="s">
        <v>4877</v>
      </c>
      <c r="G243" s="269">
        <v>2</v>
      </c>
      <c r="H243" s="269">
        <v>0</v>
      </c>
      <c r="I243" s="267">
        <v>34</v>
      </c>
      <c r="J243" s="282" t="s">
        <v>5077</v>
      </c>
      <c r="K243" s="279" t="s">
        <v>5078</v>
      </c>
      <c r="L243" s="279"/>
      <c r="M243" s="268">
        <v>1</v>
      </c>
      <c r="N243" s="268" t="b">
        <v>1</v>
      </c>
      <c r="O243" s="268">
        <v>5</v>
      </c>
      <c r="P243" s="281">
        <v>75</v>
      </c>
      <c r="Q243" s="281">
        <v>100</v>
      </c>
      <c r="R243" s="268" t="s">
        <v>3383</v>
      </c>
      <c r="S243" s="268"/>
      <c r="T243" s="268">
        <v>1</v>
      </c>
      <c r="U243" s="268" t="s">
        <v>4880</v>
      </c>
      <c r="V243" s="269">
        <v>2</v>
      </c>
      <c r="W243" s="269"/>
      <c r="X243" s="268" t="s">
        <v>4881</v>
      </c>
      <c r="Y243" t="s">
        <v>6455</v>
      </c>
      <c r="Z243" t="s">
        <v>6461</v>
      </c>
      <c r="AA243" s="268" t="s">
        <v>4884</v>
      </c>
      <c r="AB243" s="268"/>
      <c r="AC243" s="287">
        <v>1</v>
      </c>
      <c r="AD243" s="287">
        <v>1</v>
      </c>
      <c r="AE243" s="268"/>
      <c r="AF243" s="268"/>
      <c r="AG243" s="290"/>
    </row>
    <row r="244" spans="1:33" s="145" customFormat="1" x14ac:dyDescent="0.15">
      <c r="A244" s="267">
        <v>95110033</v>
      </c>
      <c r="B244" t="s">
        <v>6460</v>
      </c>
      <c r="C244" s="268" t="s">
        <v>6316</v>
      </c>
      <c r="D244" s="293">
        <v>5011</v>
      </c>
      <c r="E244" s="268" t="s">
        <v>4876</v>
      </c>
      <c r="F244" s="268" t="s">
        <v>4877</v>
      </c>
      <c r="G244" s="269">
        <v>3</v>
      </c>
      <c r="H244" s="269">
        <v>0</v>
      </c>
      <c r="I244" s="267">
        <v>34</v>
      </c>
      <c r="J244" s="282" t="s">
        <v>5077</v>
      </c>
      <c r="K244" s="279" t="s">
        <v>5078</v>
      </c>
      <c r="L244" s="279"/>
      <c r="M244" s="268">
        <v>1</v>
      </c>
      <c r="N244" s="268" t="b">
        <v>1</v>
      </c>
      <c r="O244" s="268">
        <v>7</v>
      </c>
      <c r="P244" s="281">
        <v>105</v>
      </c>
      <c r="Q244" s="281">
        <v>140</v>
      </c>
      <c r="R244" s="268" t="s">
        <v>3383</v>
      </c>
      <c r="S244" s="268"/>
      <c r="T244" s="268">
        <v>1</v>
      </c>
      <c r="U244" s="268" t="s">
        <v>4880</v>
      </c>
      <c r="V244" s="269">
        <v>3</v>
      </c>
      <c r="W244" s="269"/>
      <c r="X244" s="268" t="s">
        <v>4881</v>
      </c>
      <c r="Y244" t="s">
        <v>6455</v>
      </c>
      <c r="Z244" t="s">
        <v>6461</v>
      </c>
      <c r="AA244" s="268" t="s">
        <v>4884</v>
      </c>
      <c r="AB244" s="268"/>
      <c r="AC244" s="287">
        <v>1</v>
      </c>
      <c r="AD244" s="287">
        <v>1</v>
      </c>
      <c r="AE244" s="268"/>
      <c r="AF244" s="268"/>
      <c r="AG244" s="290"/>
    </row>
    <row r="245" spans="1:33" s="145" customFormat="1" x14ac:dyDescent="0.15">
      <c r="A245" s="267">
        <v>95110034</v>
      </c>
      <c r="B245" t="s">
        <v>6460</v>
      </c>
      <c r="C245" s="268" t="s">
        <v>6316</v>
      </c>
      <c r="D245" s="293">
        <v>5011</v>
      </c>
      <c r="E245" s="268" t="s">
        <v>4876</v>
      </c>
      <c r="F245" s="268" t="s">
        <v>4877</v>
      </c>
      <c r="G245" s="269">
        <v>4</v>
      </c>
      <c r="H245" s="269">
        <v>0</v>
      </c>
      <c r="I245" s="267">
        <v>34</v>
      </c>
      <c r="J245" s="282" t="s">
        <v>5077</v>
      </c>
      <c r="K245" s="279" t="s">
        <v>5078</v>
      </c>
      <c r="L245" s="279"/>
      <c r="M245" s="268">
        <v>1</v>
      </c>
      <c r="N245" s="268" t="b">
        <v>1</v>
      </c>
      <c r="O245" s="268">
        <v>10</v>
      </c>
      <c r="P245" s="281">
        <v>150</v>
      </c>
      <c r="Q245" s="281">
        <v>200</v>
      </c>
      <c r="R245" s="268" t="s">
        <v>3383</v>
      </c>
      <c r="S245" s="268"/>
      <c r="T245" s="268">
        <v>1</v>
      </c>
      <c r="U245" s="268" t="s">
        <v>4880</v>
      </c>
      <c r="V245" s="269">
        <v>4</v>
      </c>
      <c r="W245" s="269"/>
      <c r="X245" s="268" t="s">
        <v>4881</v>
      </c>
      <c r="Y245" t="s">
        <v>6455</v>
      </c>
      <c r="Z245" t="s">
        <v>6461</v>
      </c>
      <c r="AA245" s="268" t="s">
        <v>4884</v>
      </c>
      <c r="AB245" s="268"/>
      <c r="AC245" s="287">
        <v>1</v>
      </c>
      <c r="AD245" s="287">
        <v>1</v>
      </c>
      <c r="AE245" s="268"/>
      <c r="AF245" s="268"/>
      <c r="AG245" s="290"/>
    </row>
    <row r="246" spans="1:33" s="145" customFormat="1" x14ac:dyDescent="0.15">
      <c r="A246" s="267">
        <v>95110035</v>
      </c>
      <c r="B246" t="s">
        <v>6460</v>
      </c>
      <c r="C246" s="268" t="s">
        <v>6316</v>
      </c>
      <c r="D246" s="293">
        <v>5011</v>
      </c>
      <c r="E246" s="268" t="s">
        <v>4876</v>
      </c>
      <c r="F246" s="268" t="s">
        <v>4877</v>
      </c>
      <c r="G246" s="269">
        <v>5</v>
      </c>
      <c r="H246" s="269">
        <v>0</v>
      </c>
      <c r="I246" s="267">
        <v>34</v>
      </c>
      <c r="J246" s="282" t="s">
        <v>5077</v>
      </c>
      <c r="K246" s="279" t="s">
        <v>5078</v>
      </c>
      <c r="L246" s="279"/>
      <c r="M246" s="268">
        <v>1</v>
      </c>
      <c r="N246" s="268" t="b">
        <v>1</v>
      </c>
      <c r="O246" s="268">
        <v>12</v>
      </c>
      <c r="P246" s="281">
        <v>180</v>
      </c>
      <c r="Q246" s="281">
        <v>240</v>
      </c>
      <c r="R246" s="268" t="s">
        <v>3383</v>
      </c>
      <c r="S246" s="268"/>
      <c r="T246" s="268">
        <v>1</v>
      </c>
      <c r="U246" s="268" t="s">
        <v>4880</v>
      </c>
      <c r="V246" s="269">
        <v>5</v>
      </c>
      <c r="W246" s="269"/>
      <c r="X246" s="268" t="s">
        <v>4881</v>
      </c>
      <c r="Y246" t="s">
        <v>6455</v>
      </c>
      <c r="Z246" t="s">
        <v>6461</v>
      </c>
      <c r="AA246" s="268" t="s">
        <v>4884</v>
      </c>
      <c r="AB246" s="268"/>
      <c r="AC246" s="287">
        <v>1</v>
      </c>
      <c r="AD246" s="287">
        <v>1</v>
      </c>
      <c r="AE246" s="268"/>
      <c r="AF246" s="268"/>
      <c r="AG246" s="290"/>
    </row>
    <row r="247" spans="1:33" s="145" customFormat="1" x14ac:dyDescent="0.15">
      <c r="A247" s="270">
        <v>95110036</v>
      </c>
      <c r="B247" t="s">
        <v>6460</v>
      </c>
      <c r="C247" s="268" t="s">
        <v>6316</v>
      </c>
      <c r="D247" s="268">
        <v>5011</v>
      </c>
      <c r="E247" s="268" t="s">
        <v>4876</v>
      </c>
      <c r="F247" s="268" t="s">
        <v>4877</v>
      </c>
      <c r="G247" s="269">
        <v>6</v>
      </c>
      <c r="H247" s="269">
        <v>0</v>
      </c>
      <c r="I247" s="267">
        <v>34</v>
      </c>
      <c r="J247" s="282" t="s">
        <v>5077</v>
      </c>
      <c r="K247" s="279" t="s">
        <v>5078</v>
      </c>
      <c r="L247" s="279"/>
      <c r="M247" s="268">
        <v>1</v>
      </c>
      <c r="N247" s="268" t="b">
        <v>1</v>
      </c>
      <c r="O247" s="268">
        <v>25</v>
      </c>
      <c r="P247" s="281">
        <v>375</v>
      </c>
      <c r="Q247" s="281">
        <v>500</v>
      </c>
      <c r="R247" s="268" t="s">
        <v>3383</v>
      </c>
      <c r="S247" s="268"/>
      <c r="T247" s="268">
        <v>1</v>
      </c>
      <c r="U247" s="268" t="s">
        <v>4880</v>
      </c>
      <c r="V247" s="269">
        <v>7</v>
      </c>
      <c r="W247" s="269"/>
      <c r="X247" s="268" t="s">
        <v>4881</v>
      </c>
      <c r="Y247" t="s">
        <v>6455</v>
      </c>
      <c r="Z247" t="s">
        <v>6461</v>
      </c>
      <c r="AA247" s="268" t="s">
        <v>4884</v>
      </c>
      <c r="AB247" s="268"/>
      <c r="AC247" s="287">
        <v>1</v>
      </c>
      <c r="AD247" s="287">
        <v>1</v>
      </c>
      <c r="AE247" s="268"/>
      <c r="AF247" s="268"/>
      <c r="AG247" s="290"/>
    </row>
    <row r="248" spans="1:33" s="145" customFormat="1" x14ac:dyDescent="0.15">
      <c r="A248" s="270">
        <v>95110037</v>
      </c>
      <c r="B248" t="s">
        <v>6460</v>
      </c>
      <c r="C248" s="268" t="s">
        <v>6316</v>
      </c>
      <c r="D248" s="268">
        <v>5011</v>
      </c>
      <c r="E248" s="268" t="s">
        <v>4876</v>
      </c>
      <c r="F248" s="268" t="s">
        <v>4877</v>
      </c>
      <c r="G248" s="269">
        <v>7</v>
      </c>
      <c r="H248" s="269">
        <v>0</v>
      </c>
      <c r="I248" s="267">
        <v>34</v>
      </c>
      <c r="J248" s="282" t="s">
        <v>5077</v>
      </c>
      <c r="K248" s="279" t="s">
        <v>5078</v>
      </c>
      <c r="L248" s="279"/>
      <c r="M248" s="268">
        <v>1</v>
      </c>
      <c r="N248" s="268" t="b">
        <v>1</v>
      </c>
      <c r="O248" s="268">
        <v>38</v>
      </c>
      <c r="P248" s="281">
        <v>570</v>
      </c>
      <c r="Q248" s="281">
        <v>760</v>
      </c>
      <c r="R248" s="268" t="s">
        <v>3383</v>
      </c>
      <c r="S248" s="268"/>
      <c r="T248" s="268">
        <v>1</v>
      </c>
      <c r="U248" s="268" t="s">
        <v>4880</v>
      </c>
      <c r="V248" s="269">
        <v>10</v>
      </c>
      <c r="W248" s="269"/>
      <c r="X248" s="268" t="s">
        <v>4881</v>
      </c>
      <c r="Y248" t="s">
        <v>6455</v>
      </c>
      <c r="Z248" t="s">
        <v>6461</v>
      </c>
      <c r="AA248" s="268" t="s">
        <v>4884</v>
      </c>
      <c r="AB248" s="268"/>
      <c r="AC248" s="287">
        <v>1</v>
      </c>
      <c r="AD248" s="287">
        <v>1</v>
      </c>
      <c r="AE248" s="268"/>
      <c r="AF248" s="268"/>
      <c r="AG248" s="290"/>
    </row>
    <row r="249" spans="1:33" s="258" customFormat="1" x14ac:dyDescent="0.15">
      <c r="A249" s="271">
        <v>95110038</v>
      </c>
      <c r="B249" t="s">
        <v>6462</v>
      </c>
      <c r="C249" s="268" t="s">
        <v>6316</v>
      </c>
      <c r="D249" s="272">
        <v>5081</v>
      </c>
      <c r="E249" s="272" t="s">
        <v>4876</v>
      </c>
      <c r="F249" s="272" t="s">
        <v>4877</v>
      </c>
      <c r="G249" s="269">
        <v>6</v>
      </c>
      <c r="H249" s="273">
        <v>1</v>
      </c>
      <c r="I249" s="283">
        <v>34</v>
      </c>
      <c r="J249" s="284" t="s">
        <v>5077</v>
      </c>
      <c r="K249" s="285" t="s">
        <v>5078</v>
      </c>
      <c r="L249" s="272" t="s">
        <v>44</v>
      </c>
      <c r="M249" s="272">
        <v>1</v>
      </c>
      <c r="N249" s="272" t="b">
        <v>1</v>
      </c>
      <c r="O249" s="272">
        <v>51</v>
      </c>
      <c r="P249" s="281">
        <v>765</v>
      </c>
      <c r="Q249" s="281">
        <v>1020</v>
      </c>
      <c r="R249" s="272" t="s">
        <v>3383</v>
      </c>
      <c r="S249" s="272"/>
      <c r="T249" s="272">
        <v>1</v>
      </c>
      <c r="U249" s="272" t="s">
        <v>4880</v>
      </c>
      <c r="V249" s="273">
        <v>10</v>
      </c>
      <c r="W249" s="273"/>
      <c r="X249" s="272" t="s">
        <v>4881</v>
      </c>
      <c r="Y249" t="s">
        <v>6455</v>
      </c>
      <c r="Z249" t="s">
        <v>6461</v>
      </c>
      <c r="AA249" s="272" t="s">
        <v>4884</v>
      </c>
      <c r="AB249" s="272"/>
      <c r="AC249" s="289">
        <v>1</v>
      </c>
      <c r="AD249" s="289">
        <v>1</v>
      </c>
      <c r="AE249" s="289"/>
      <c r="AF249" s="272"/>
      <c r="AG249" s="272"/>
    </row>
    <row r="250" spans="1:33" s="258" customFormat="1" x14ac:dyDescent="0.15">
      <c r="A250" s="271">
        <v>95110039</v>
      </c>
      <c r="B250" t="s">
        <v>6463</v>
      </c>
      <c r="C250" s="268" t="s">
        <v>6316</v>
      </c>
      <c r="D250" s="272">
        <v>5081</v>
      </c>
      <c r="E250" s="272" t="s">
        <v>4876</v>
      </c>
      <c r="F250" s="272" t="s">
        <v>4877</v>
      </c>
      <c r="G250" s="269">
        <v>6</v>
      </c>
      <c r="H250" s="273">
        <v>1</v>
      </c>
      <c r="I250" s="283">
        <v>34</v>
      </c>
      <c r="J250" s="284" t="s">
        <v>5077</v>
      </c>
      <c r="K250" s="285" t="s">
        <v>5078</v>
      </c>
      <c r="L250" s="272" t="s">
        <v>4887</v>
      </c>
      <c r="M250" s="272">
        <v>1</v>
      </c>
      <c r="N250" s="272" t="b">
        <v>1</v>
      </c>
      <c r="O250" s="272">
        <v>64</v>
      </c>
      <c r="P250" s="281">
        <v>960</v>
      </c>
      <c r="Q250" s="281">
        <v>1280</v>
      </c>
      <c r="R250" s="272" t="s">
        <v>3383</v>
      </c>
      <c r="S250" s="272"/>
      <c r="T250" s="272">
        <v>1</v>
      </c>
      <c r="U250" s="272" t="s">
        <v>4880</v>
      </c>
      <c r="V250" s="273">
        <v>10</v>
      </c>
      <c r="W250" s="273"/>
      <c r="X250" s="272" t="s">
        <v>4881</v>
      </c>
      <c r="Y250" t="s">
        <v>6455</v>
      </c>
      <c r="Z250" t="s">
        <v>6461</v>
      </c>
      <c r="AA250" s="272" t="s">
        <v>4884</v>
      </c>
      <c r="AB250" s="272"/>
      <c r="AC250" s="289">
        <v>1</v>
      </c>
      <c r="AD250" s="289">
        <v>1</v>
      </c>
      <c r="AE250" s="289"/>
      <c r="AF250" s="272"/>
      <c r="AG250" s="272"/>
    </row>
    <row r="251" spans="1:33" s="258" customFormat="1" x14ac:dyDescent="0.15">
      <c r="A251" s="271">
        <v>95110040</v>
      </c>
      <c r="B251" t="s">
        <v>6464</v>
      </c>
      <c r="C251" s="268" t="s">
        <v>6316</v>
      </c>
      <c r="D251" s="272">
        <v>5081</v>
      </c>
      <c r="E251" s="272" t="s">
        <v>4876</v>
      </c>
      <c r="F251" s="272" t="s">
        <v>4877</v>
      </c>
      <c r="G251" s="269">
        <v>7</v>
      </c>
      <c r="H251" s="273">
        <v>0</v>
      </c>
      <c r="I251" s="283">
        <v>34</v>
      </c>
      <c r="J251" s="284" t="s">
        <v>5077</v>
      </c>
      <c r="K251" s="285" t="s">
        <v>5078</v>
      </c>
      <c r="L251" s="272" t="s">
        <v>4889</v>
      </c>
      <c r="M251" s="272">
        <v>1</v>
      </c>
      <c r="N251" s="272" t="b">
        <v>1</v>
      </c>
      <c r="O251" s="272">
        <v>77</v>
      </c>
      <c r="P251" s="281">
        <v>1155</v>
      </c>
      <c r="Q251" s="281">
        <v>1540</v>
      </c>
      <c r="R251" s="272" t="s">
        <v>3383</v>
      </c>
      <c r="S251" s="272"/>
      <c r="T251" s="272">
        <v>1</v>
      </c>
      <c r="U251" s="272" t="s">
        <v>4880</v>
      </c>
      <c r="V251" s="273">
        <v>10</v>
      </c>
      <c r="W251" s="273"/>
      <c r="X251" s="272" t="s">
        <v>4881</v>
      </c>
      <c r="Y251" t="s">
        <v>6455</v>
      </c>
      <c r="Z251" t="s">
        <v>6461</v>
      </c>
      <c r="AA251" s="272" t="s">
        <v>4884</v>
      </c>
      <c r="AB251" s="272"/>
      <c r="AC251" s="289">
        <v>1</v>
      </c>
      <c r="AD251" s="289">
        <v>1</v>
      </c>
      <c r="AE251" s="289"/>
      <c r="AF251" s="272"/>
      <c r="AG251" s="272"/>
    </row>
    <row r="252" spans="1:33" s="145" customFormat="1" x14ac:dyDescent="0.15">
      <c r="A252" s="267">
        <v>95110041</v>
      </c>
      <c r="B252" t="s">
        <v>6465</v>
      </c>
      <c r="C252" s="268" t="s">
        <v>6316</v>
      </c>
      <c r="D252" s="293">
        <v>5011</v>
      </c>
      <c r="E252" s="268" t="s">
        <v>4876</v>
      </c>
      <c r="F252" s="268" t="s">
        <v>4877</v>
      </c>
      <c r="G252" s="269">
        <v>1</v>
      </c>
      <c r="H252" s="269">
        <v>0</v>
      </c>
      <c r="I252" s="267">
        <v>34</v>
      </c>
      <c r="J252" s="282" t="s">
        <v>5084</v>
      </c>
      <c r="K252" s="279" t="s">
        <v>5085</v>
      </c>
      <c r="L252" s="279"/>
      <c r="M252" s="268">
        <v>1</v>
      </c>
      <c r="N252" s="268" t="b">
        <v>1</v>
      </c>
      <c r="O252" s="268">
        <v>2</v>
      </c>
      <c r="P252" s="281">
        <v>30</v>
      </c>
      <c r="Q252" s="281">
        <v>40</v>
      </c>
      <c r="R252" s="268" t="s">
        <v>3383</v>
      </c>
      <c r="S252" s="268"/>
      <c r="T252" s="268">
        <v>1</v>
      </c>
      <c r="U252" s="268" t="s">
        <v>4880</v>
      </c>
      <c r="V252" s="269">
        <v>1</v>
      </c>
      <c r="W252" s="269"/>
      <c r="X252" s="268" t="s">
        <v>4881</v>
      </c>
      <c r="Y252" t="s">
        <v>6466</v>
      </c>
      <c r="Z252" t="s">
        <v>6467</v>
      </c>
      <c r="AA252" s="268" t="s">
        <v>4884</v>
      </c>
      <c r="AB252" s="268"/>
      <c r="AC252" s="287">
        <v>1</v>
      </c>
      <c r="AD252" s="287">
        <v>1</v>
      </c>
      <c r="AE252" s="268"/>
      <c r="AF252" s="268"/>
      <c r="AG252" s="290"/>
    </row>
    <row r="253" spans="1:33" s="145" customFormat="1" x14ac:dyDescent="0.15">
      <c r="A253" s="267">
        <v>95110042</v>
      </c>
      <c r="B253" t="s">
        <v>6465</v>
      </c>
      <c r="C253" s="268" t="s">
        <v>6316</v>
      </c>
      <c r="D253" s="293">
        <v>5011</v>
      </c>
      <c r="E253" s="268" t="s">
        <v>4876</v>
      </c>
      <c r="F253" s="268" t="s">
        <v>4877</v>
      </c>
      <c r="G253" s="269">
        <v>2</v>
      </c>
      <c r="H253" s="269">
        <v>0</v>
      </c>
      <c r="I253" s="267">
        <v>34</v>
      </c>
      <c r="J253" s="282" t="s">
        <v>5084</v>
      </c>
      <c r="K253" s="279" t="s">
        <v>5085</v>
      </c>
      <c r="L253" s="279"/>
      <c r="M253" s="268">
        <v>1</v>
      </c>
      <c r="N253" s="268" t="b">
        <v>1</v>
      </c>
      <c r="O253" s="268">
        <v>5</v>
      </c>
      <c r="P253" s="281">
        <v>75</v>
      </c>
      <c r="Q253" s="281">
        <v>100</v>
      </c>
      <c r="R253" s="268" t="s">
        <v>3383</v>
      </c>
      <c r="S253" s="268"/>
      <c r="T253" s="268">
        <v>1</v>
      </c>
      <c r="U253" s="268" t="s">
        <v>4880</v>
      </c>
      <c r="V253" s="269">
        <v>2</v>
      </c>
      <c r="W253" s="269"/>
      <c r="X253" s="268" t="s">
        <v>4881</v>
      </c>
      <c r="Y253" t="s">
        <v>6466</v>
      </c>
      <c r="Z253" t="s">
        <v>6467</v>
      </c>
      <c r="AA253" s="268" t="s">
        <v>4884</v>
      </c>
      <c r="AB253" s="268"/>
      <c r="AC253" s="287">
        <v>1</v>
      </c>
      <c r="AD253" s="287">
        <v>1</v>
      </c>
      <c r="AE253" s="268"/>
      <c r="AF253" s="268"/>
      <c r="AG253" s="290"/>
    </row>
    <row r="254" spans="1:33" s="145" customFormat="1" x14ac:dyDescent="0.15">
      <c r="A254" s="267">
        <v>95110043</v>
      </c>
      <c r="B254" t="s">
        <v>6465</v>
      </c>
      <c r="C254" s="268" t="s">
        <v>6316</v>
      </c>
      <c r="D254" s="293">
        <v>5011</v>
      </c>
      <c r="E254" s="268" t="s">
        <v>4876</v>
      </c>
      <c r="F254" s="268" t="s">
        <v>4877</v>
      </c>
      <c r="G254" s="269">
        <v>3</v>
      </c>
      <c r="H254" s="269">
        <v>0</v>
      </c>
      <c r="I254" s="267">
        <v>34</v>
      </c>
      <c r="J254" s="282" t="s">
        <v>5084</v>
      </c>
      <c r="K254" s="279" t="s">
        <v>5085</v>
      </c>
      <c r="L254" s="279"/>
      <c r="M254" s="268">
        <v>1</v>
      </c>
      <c r="N254" s="268" t="b">
        <v>1</v>
      </c>
      <c r="O254" s="268">
        <v>7</v>
      </c>
      <c r="P254" s="281">
        <v>105</v>
      </c>
      <c r="Q254" s="281">
        <v>140</v>
      </c>
      <c r="R254" s="268" t="s">
        <v>3383</v>
      </c>
      <c r="S254" s="268"/>
      <c r="T254" s="268">
        <v>1</v>
      </c>
      <c r="U254" s="268" t="s">
        <v>4880</v>
      </c>
      <c r="V254" s="269">
        <v>3</v>
      </c>
      <c r="W254" s="269"/>
      <c r="X254" s="268" t="s">
        <v>4881</v>
      </c>
      <c r="Y254" t="s">
        <v>6466</v>
      </c>
      <c r="Z254" t="s">
        <v>6467</v>
      </c>
      <c r="AA254" s="268" t="s">
        <v>4884</v>
      </c>
      <c r="AB254" s="268"/>
      <c r="AC254" s="287">
        <v>1</v>
      </c>
      <c r="AD254" s="287">
        <v>1</v>
      </c>
      <c r="AE254" s="268"/>
      <c r="AF254" s="268"/>
      <c r="AG254" s="290"/>
    </row>
    <row r="255" spans="1:33" s="145" customFormat="1" x14ac:dyDescent="0.15">
      <c r="A255" s="267">
        <v>95110044</v>
      </c>
      <c r="B255" t="s">
        <v>6465</v>
      </c>
      <c r="C255" s="268" t="s">
        <v>6316</v>
      </c>
      <c r="D255" s="293">
        <v>5011</v>
      </c>
      <c r="E255" s="268" t="s">
        <v>4876</v>
      </c>
      <c r="F255" s="268" t="s">
        <v>4877</v>
      </c>
      <c r="G255" s="269">
        <v>4</v>
      </c>
      <c r="H255" s="269">
        <v>0</v>
      </c>
      <c r="I255" s="267">
        <v>34</v>
      </c>
      <c r="J255" s="282" t="s">
        <v>5084</v>
      </c>
      <c r="K255" s="279" t="s">
        <v>5085</v>
      </c>
      <c r="L255" s="279"/>
      <c r="M255" s="268">
        <v>1</v>
      </c>
      <c r="N255" s="268" t="b">
        <v>1</v>
      </c>
      <c r="O255" s="268">
        <v>10</v>
      </c>
      <c r="P255" s="281">
        <v>150</v>
      </c>
      <c r="Q255" s="281">
        <v>200</v>
      </c>
      <c r="R255" s="268" t="s">
        <v>3383</v>
      </c>
      <c r="S255" s="268"/>
      <c r="T255" s="268">
        <v>1</v>
      </c>
      <c r="U255" s="268" t="s">
        <v>4880</v>
      </c>
      <c r="V255" s="269">
        <v>4</v>
      </c>
      <c r="W255" s="269"/>
      <c r="X255" s="268" t="s">
        <v>4881</v>
      </c>
      <c r="Y255" t="s">
        <v>6466</v>
      </c>
      <c r="Z255" t="s">
        <v>6467</v>
      </c>
      <c r="AA255" s="268" t="s">
        <v>4884</v>
      </c>
      <c r="AB255" s="268"/>
      <c r="AC255" s="287">
        <v>1</v>
      </c>
      <c r="AD255" s="287">
        <v>1</v>
      </c>
      <c r="AE255" s="268"/>
      <c r="AF255" s="268"/>
      <c r="AG255" s="290"/>
    </row>
    <row r="256" spans="1:33" s="145" customFormat="1" x14ac:dyDescent="0.15">
      <c r="A256" s="267">
        <v>95110045</v>
      </c>
      <c r="B256" t="s">
        <v>6465</v>
      </c>
      <c r="C256" s="268" t="s">
        <v>6316</v>
      </c>
      <c r="D256" s="293">
        <v>5011</v>
      </c>
      <c r="E256" s="268" t="s">
        <v>4876</v>
      </c>
      <c r="F256" s="268" t="s">
        <v>4877</v>
      </c>
      <c r="G256" s="269">
        <v>5</v>
      </c>
      <c r="H256" s="269">
        <v>0</v>
      </c>
      <c r="I256" s="267">
        <v>34</v>
      </c>
      <c r="J256" s="282" t="s">
        <v>5084</v>
      </c>
      <c r="K256" s="279" t="s">
        <v>5085</v>
      </c>
      <c r="L256" s="279"/>
      <c r="M256" s="268">
        <v>1</v>
      </c>
      <c r="N256" s="268" t="b">
        <v>1</v>
      </c>
      <c r="O256" s="268">
        <v>12</v>
      </c>
      <c r="P256" s="281">
        <v>180</v>
      </c>
      <c r="Q256" s="281">
        <v>240</v>
      </c>
      <c r="R256" s="268" t="s">
        <v>3383</v>
      </c>
      <c r="S256" s="268"/>
      <c r="T256" s="268">
        <v>1</v>
      </c>
      <c r="U256" s="268" t="s">
        <v>4880</v>
      </c>
      <c r="V256" s="269">
        <v>5</v>
      </c>
      <c r="W256" s="269"/>
      <c r="X256" s="268" t="s">
        <v>4881</v>
      </c>
      <c r="Y256" t="s">
        <v>6466</v>
      </c>
      <c r="Z256" t="s">
        <v>6467</v>
      </c>
      <c r="AA256" s="268" t="s">
        <v>4884</v>
      </c>
      <c r="AB256" s="268"/>
      <c r="AC256" s="287">
        <v>1</v>
      </c>
      <c r="AD256" s="287">
        <v>1</v>
      </c>
      <c r="AE256" s="268"/>
      <c r="AF256" s="268"/>
      <c r="AG256" s="290"/>
    </row>
    <row r="257" spans="1:33" s="258" customFormat="1" x14ac:dyDescent="0.15">
      <c r="A257" s="270">
        <v>95110046</v>
      </c>
      <c r="B257" t="s">
        <v>6465</v>
      </c>
      <c r="C257" s="268" t="s">
        <v>6316</v>
      </c>
      <c r="D257" s="268">
        <v>5011</v>
      </c>
      <c r="E257" s="268" t="s">
        <v>4876</v>
      </c>
      <c r="F257" s="268" t="s">
        <v>4877</v>
      </c>
      <c r="G257" s="269">
        <v>6</v>
      </c>
      <c r="H257" s="269">
        <v>0</v>
      </c>
      <c r="I257" s="267">
        <v>34</v>
      </c>
      <c r="J257" s="282" t="s">
        <v>5084</v>
      </c>
      <c r="K257" s="279" t="s">
        <v>5085</v>
      </c>
      <c r="L257" s="279"/>
      <c r="M257" s="268">
        <v>1</v>
      </c>
      <c r="N257" s="268" t="b">
        <v>1</v>
      </c>
      <c r="O257" s="268">
        <v>25</v>
      </c>
      <c r="P257" s="281">
        <v>375</v>
      </c>
      <c r="Q257" s="281">
        <v>500</v>
      </c>
      <c r="R257" s="268" t="s">
        <v>3383</v>
      </c>
      <c r="S257" s="268"/>
      <c r="T257" s="268">
        <v>1</v>
      </c>
      <c r="U257" s="268" t="s">
        <v>4880</v>
      </c>
      <c r="V257" s="269">
        <v>7</v>
      </c>
      <c r="W257" s="269"/>
      <c r="X257" s="268" t="s">
        <v>4881</v>
      </c>
      <c r="Y257" t="s">
        <v>6466</v>
      </c>
      <c r="Z257" t="s">
        <v>6467</v>
      </c>
      <c r="AA257" s="268" t="s">
        <v>4884</v>
      </c>
      <c r="AB257" s="268"/>
      <c r="AC257" s="287">
        <v>1</v>
      </c>
      <c r="AD257" s="287">
        <v>1</v>
      </c>
      <c r="AE257" s="268"/>
      <c r="AF257" s="268"/>
      <c r="AG257" s="290"/>
    </row>
    <row r="258" spans="1:33" s="145" customFormat="1" x14ac:dyDescent="0.15">
      <c r="A258" s="270">
        <v>95110047</v>
      </c>
      <c r="B258" t="s">
        <v>6465</v>
      </c>
      <c r="C258" s="268" t="s">
        <v>6316</v>
      </c>
      <c r="D258" s="268">
        <v>5011</v>
      </c>
      <c r="E258" s="268" t="s">
        <v>4876</v>
      </c>
      <c r="F258" s="268" t="s">
        <v>4877</v>
      </c>
      <c r="G258" s="269">
        <v>7</v>
      </c>
      <c r="H258" s="269">
        <v>0</v>
      </c>
      <c r="I258" s="267">
        <v>34</v>
      </c>
      <c r="J258" s="282" t="s">
        <v>5084</v>
      </c>
      <c r="K258" s="279" t="s">
        <v>5085</v>
      </c>
      <c r="L258" s="279"/>
      <c r="M258" s="268">
        <v>1</v>
      </c>
      <c r="N258" s="268" t="b">
        <v>1</v>
      </c>
      <c r="O258" s="268">
        <v>38</v>
      </c>
      <c r="P258" s="281">
        <v>570</v>
      </c>
      <c r="Q258" s="281">
        <v>760</v>
      </c>
      <c r="R258" s="268" t="s">
        <v>3383</v>
      </c>
      <c r="S258" s="268"/>
      <c r="T258" s="268">
        <v>1</v>
      </c>
      <c r="U258" s="268" t="s">
        <v>4880</v>
      </c>
      <c r="V258" s="269">
        <v>10</v>
      </c>
      <c r="W258" s="269"/>
      <c r="X258" s="268" t="s">
        <v>4881</v>
      </c>
      <c r="Y258" t="s">
        <v>6466</v>
      </c>
      <c r="Z258" t="s">
        <v>6467</v>
      </c>
      <c r="AA258" s="268" t="s">
        <v>4884</v>
      </c>
      <c r="AB258" s="268"/>
      <c r="AC258" s="287">
        <v>1</v>
      </c>
      <c r="AD258" s="287">
        <v>1</v>
      </c>
      <c r="AE258" s="268"/>
      <c r="AF258" s="268"/>
      <c r="AG258" s="290"/>
    </row>
    <row r="259" spans="1:33" s="258" customFormat="1" x14ac:dyDescent="0.15">
      <c r="A259" s="271">
        <v>95110048</v>
      </c>
      <c r="B259" t="s">
        <v>6468</v>
      </c>
      <c r="C259" s="268" t="s">
        <v>6316</v>
      </c>
      <c r="D259" s="272">
        <v>5081</v>
      </c>
      <c r="E259" s="272" t="s">
        <v>4876</v>
      </c>
      <c r="F259" s="272" t="s">
        <v>4877</v>
      </c>
      <c r="G259" s="269">
        <v>6</v>
      </c>
      <c r="H259" s="273">
        <v>1</v>
      </c>
      <c r="I259" s="283">
        <v>34</v>
      </c>
      <c r="J259" s="284" t="s">
        <v>5084</v>
      </c>
      <c r="K259" s="285" t="s">
        <v>5085</v>
      </c>
      <c r="L259" s="272" t="s">
        <v>44</v>
      </c>
      <c r="M259" s="272">
        <v>1</v>
      </c>
      <c r="N259" s="272" t="b">
        <v>1</v>
      </c>
      <c r="O259" s="272">
        <v>51</v>
      </c>
      <c r="P259" s="281">
        <v>765</v>
      </c>
      <c r="Q259" s="281">
        <v>1020</v>
      </c>
      <c r="R259" s="272" t="s">
        <v>3383</v>
      </c>
      <c r="S259" s="272"/>
      <c r="T259" s="272">
        <v>1</v>
      </c>
      <c r="U259" s="272" t="s">
        <v>4880</v>
      </c>
      <c r="V259" s="273">
        <v>10</v>
      </c>
      <c r="W259" s="273"/>
      <c r="X259" s="272" t="s">
        <v>4881</v>
      </c>
      <c r="Y259" t="s">
        <v>6466</v>
      </c>
      <c r="Z259" t="s">
        <v>6467</v>
      </c>
      <c r="AA259" s="272" t="s">
        <v>4884</v>
      </c>
      <c r="AB259" s="272"/>
      <c r="AC259" s="289">
        <v>1</v>
      </c>
      <c r="AD259" s="289">
        <v>1</v>
      </c>
      <c r="AE259" s="289"/>
      <c r="AF259" s="272"/>
      <c r="AG259" s="272"/>
    </row>
    <row r="260" spans="1:33" s="258" customFormat="1" x14ac:dyDescent="0.15">
      <c r="A260" s="271">
        <v>95110049</v>
      </c>
      <c r="B260" t="s">
        <v>6469</v>
      </c>
      <c r="C260" s="268" t="s">
        <v>6316</v>
      </c>
      <c r="D260" s="272">
        <v>5081</v>
      </c>
      <c r="E260" s="272" t="s">
        <v>4876</v>
      </c>
      <c r="F260" s="272" t="s">
        <v>4877</v>
      </c>
      <c r="G260" s="269">
        <v>6</v>
      </c>
      <c r="H260" s="273">
        <v>1</v>
      </c>
      <c r="I260" s="283">
        <v>34</v>
      </c>
      <c r="J260" s="284" t="s">
        <v>5084</v>
      </c>
      <c r="K260" s="285" t="s">
        <v>5085</v>
      </c>
      <c r="L260" s="272" t="s">
        <v>4887</v>
      </c>
      <c r="M260" s="272">
        <v>1</v>
      </c>
      <c r="N260" s="272" t="b">
        <v>1</v>
      </c>
      <c r="O260" s="272">
        <v>64</v>
      </c>
      <c r="P260" s="281">
        <v>960</v>
      </c>
      <c r="Q260" s="281">
        <v>1280</v>
      </c>
      <c r="R260" s="272" t="s">
        <v>3383</v>
      </c>
      <c r="S260" s="272"/>
      <c r="T260" s="272">
        <v>1</v>
      </c>
      <c r="U260" s="272" t="s">
        <v>4880</v>
      </c>
      <c r="V260" s="273">
        <v>10</v>
      </c>
      <c r="W260" s="273"/>
      <c r="X260" s="272" t="s">
        <v>4881</v>
      </c>
      <c r="Y260" t="s">
        <v>6466</v>
      </c>
      <c r="Z260" t="s">
        <v>6467</v>
      </c>
      <c r="AA260" s="272" t="s">
        <v>4884</v>
      </c>
      <c r="AB260" s="272"/>
      <c r="AC260" s="289">
        <v>1</v>
      </c>
      <c r="AD260" s="289">
        <v>1</v>
      </c>
      <c r="AE260" s="289"/>
      <c r="AF260" s="272"/>
      <c r="AG260" s="272"/>
    </row>
    <row r="261" spans="1:33" s="258" customFormat="1" x14ac:dyDescent="0.15">
      <c r="A261" s="271">
        <v>95110050</v>
      </c>
      <c r="B261" t="s">
        <v>6470</v>
      </c>
      <c r="C261" s="268" t="s">
        <v>6316</v>
      </c>
      <c r="D261" s="272">
        <v>5081</v>
      </c>
      <c r="E261" s="272" t="s">
        <v>4876</v>
      </c>
      <c r="F261" s="272" t="s">
        <v>4877</v>
      </c>
      <c r="G261" s="269">
        <v>7</v>
      </c>
      <c r="H261" s="273">
        <v>0</v>
      </c>
      <c r="I261" s="283">
        <v>34</v>
      </c>
      <c r="J261" s="284" t="s">
        <v>5084</v>
      </c>
      <c r="K261" s="285" t="s">
        <v>5085</v>
      </c>
      <c r="L261" s="272" t="s">
        <v>4889</v>
      </c>
      <c r="M261" s="272">
        <v>1</v>
      </c>
      <c r="N261" s="272" t="b">
        <v>1</v>
      </c>
      <c r="O261" s="272">
        <v>77</v>
      </c>
      <c r="P261" s="281">
        <v>1155</v>
      </c>
      <c r="Q261" s="281">
        <v>1540</v>
      </c>
      <c r="R261" s="272" t="s">
        <v>3383</v>
      </c>
      <c r="S261" s="272"/>
      <c r="T261" s="272">
        <v>1</v>
      </c>
      <c r="U261" s="272" t="s">
        <v>4880</v>
      </c>
      <c r="V261" s="273">
        <v>10</v>
      </c>
      <c r="W261" s="273"/>
      <c r="X261" s="272" t="s">
        <v>4881</v>
      </c>
      <c r="Y261" t="s">
        <v>6466</v>
      </c>
      <c r="Z261" t="s">
        <v>6467</v>
      </c>
      <c r="AA261" s="272" t="s">
        <v>4884</v>
      </c>
      <c r="AB261" s="272"/>
      <c r="AC261" s="289">
        <v>1</v>
      </c>
      <c r="AD261" s="289">
        <v>1</v>
      </c>
      <c r="AE261" s="289"/>
      <c r="AF261" s="272"/>
      <c r="AG261" s="272"/>
    </row>
    <row r="262" spans="1:33" s="145" customFormat="1" x14ac:dyDescent="0.15">
      <c r="A262" s="267">
        <v>95111011</v>
      </c>
      <c r="B262" t="s">
        <v>6471</v>
      </c>
      <c r="C262" s="268" t="s">
        <v>6316</v>
      </c>
      <c r="D262" s="293">
        <v>5011</v>
      </c>
      <c r="E262" s="268" t="s">
        <v>4876</v>
      </c>
      <c r="F262" s="268" t="s">
        <v>4877</v>
      </c>
      <c r="G262" s="269">
        <v>1</v>
      </c>
      <c r="H262" s="269">
        <v>0</v>
      </c>
      <c r="I262" s="267">
        <v>34</v>
      </c>
      <c r="J262" s="282" t="s">
        <v>5092</v>
      </c>
      <c r="K262" s="279" t="s">
        <v>5093</v>
      </c>
      <c r="L262" s="279"/>
      <c r="M262" s="268">
        <v>1</v>
      </c>
      <c r="N262" s="268" t="b">
        <v>1</v>
      </c>
      <c r="O262" s="268">
        <v>2</v>
      </c>
      <c r="P262" s="281">
        <v>30</v>
      </c>
      <c r="Q262" s="281">
        <v>40</v>
      </c>
      <c r="R262" s="268" t="s">
        <v>3383</v>
      </c>
      <c r="S262" s="268"/>
      <c r="T262" s="268">
        <v>1</v>
      </c>
      <c r="U262" s="268" t="s">
        <v>4880</v>
      </c>
      <c r="V262" s="269">
        <v>1</v>
      </c>
      <c r="W262" s="269"/>
      <c r="X262" s="268" t="s">
        <v>4881</v>
      </c>
      <c r="Y262" t="s">
        <v>6472</v>
      </c>
      <c r="Z262" t="s">
        <v>6473</v>
      </c>
      <c r="AA262" s="268" t="s">
        <v>4884</v>
      </c>
      <c r="AB262" s="268"/>
      <c r="AC262" s="287">
        <v>1</v>
      </c>
      <c r="AD262" s="287">
        <v>1</v>
      </c>
      <c r="AE262" s="268"/>
      <c r="AF262" s="268"/>
      <c r="AG262" s="290"/>
    </row>
    <row r="263" spans="1:33" s="145" customFormat="1" x14ac:dyDescent="0.15">
      <c r="A263" s="267">
        <v>95111012</v>
      </c>
      <c r="B263" t="s">
        <v>6471</v>
      </c>
      <c r="C263" s="268" t="s">
        <v>6316</v>
      </c>
      <c r="D263" s="293">
        <v>5011</v>
      </c>
      <c r="E263" s="268" t="s">
        <v>4876</v>
      </c>
      <c r="F263" s="268" t="s">
        <v>4877</v>
      </c>
      <c r="G263" s="269">
        <v>2</v>
      </c>
      <c r="H263" s="269">
        <v>0</v>
      </c>
      <c r="I263" s="267">
        <v>34</v>
      </c>
      <c r="J263" s="282" t="s">
        <v>5092</v>
      </c>
      <c r="K263" s="279" t="s">
        <v>5093</v>
      </c>
      <c r="L263" s="279"/>
      <c r="M263" s="268">
        <v>1</v>
      </c>
      <c r="N263" s="268" t="b">
        <v>1</v>
      </c>
      <c r="O263" s="268">
        <v>5</v>
      </c>
      <c r="P263" s="281">
        <v>75</v>
      </c>
      <c r="Q263" s="281">
        <v>100</v>
      </c>
      <c r="R263" s="268" t="s">
        <v>3383</v>
      </c>
      <c r="S263" s="268"/>
      <c r="T263" s="268">
        <v>1</v>
      </c>
      <c r="U263" s="268" t="s">
        <v>4880</v>
      </c>
      <c r="V263" s="269">
        <v>2</v>
      </c>
      <c r="W263" s="269"/>
      <c r="X263" s="268" t="s">
        <v>4881</v>
      </c>
      <c r="Y263" t="s">
        <v>6472</v>
      </c>
      <c r="Z263" t="s">
        <v>6473</v>
      </c>
      <c r="AA263" s="268" t="s">
        <v>4884</v>
      </c>
      <c r="AB263" s="268"/>
      <c r="AC263" s="287">
        <v>1</v>
      </c>
      <c r="AD263" s="287">
        <v>1</v>
      </c>
      <c r="AE263" s="268"/>
      <c r="AF263" s="268"/>
      <c r="AG263" s="290"/>
    </row>
    <row r="264" spans="1:33" s="145" customFormat="1" x14ac:dyDescent="0.15">
      <c r="A264" s="267">
        <v>95111013</v>
      </c>
      <c r="B264" t="s">
        <v>6471</v>
      </c>
      <c r="C264" s="268" t="s">
        <v>6316</v>
      </c>
      <c r="D264" s="293">
        <v>5011</v>
      </c>
      <c r="E264" s="268" t="s">
        <v>4876</v>
      </c>
      <c r="F264" s="268" t="s">
        <v>4877</v>
      </c>
      <c r="G264" s="269">
        <v>3</v>
      </c>
      <c r="H264" s="269">
        <v>0</v>
      </c>
      <c r="I264" s="267">
        <v>34</v>
      </c>
      <c r="J264" s="282" t="s">
        <v>5092</v>
      </c>
      <c r="K264" s="279" t="s">
        <v>5093</v>
      </c>
      <c r="L264" s="279"/>
      <c r="M264" s="268">
        <v>1</v>
      </c>
      <c r="N264" s="268" t="b">
        <v>1</v>
      </c>
      <c r="O264" s="268">
        <v>7</v>
      </c>
      <c r="P264" s="281">
        <v>105</v>
      </c>
      <c r="Q264" s="281">
        <v>140</v>
      </c>
      <c r="R264" s="268" t="s">
        <v>3383</v>
      </c>
      <c r="S264" s="268"/>
      <c r="T264" s="268">
        <v>1</v>
      </c>
      <c r="U264" s="268" t="s">
        <v>4880</v>
      </c>
      <c r="V264" s="269">
        <v>3</v>
      </c>
      <c r="W264" s="269"/>
      <c r="X264" s="268" t="s">
        <v>4881</v>
      </c>
      <c r="Y264" t="s">
        <v>6472</v>
      </c>
      <c r="Z264" t="s">
        <v>6473</v>
      </c>
      <c r="AA264" s="268" t="s">
        <v>4884</v>
      </c>
      <c r="AB264" s="268"/>
      <c r="AC264" s="287">
        <v>1</v>
      </c>
      <c r="AD264" s="287">
        <v>1</v>
      </c>
      <c r="AE264" s="268"/>
      <c r="AF264" s="268"/>
      <c r="AG264" s="290"/>
    </row>
    <row r="265" spans="1:33" s="145" customFormat="1" x14ac:dyDescent="0.15">
      <c r="A265" s="267">
        <v>95111014</v>
      </c>
      <c r="B265" t="s">
        <v>6471</v>
      </c>
      <c r="C265" s="268" t="s">
        <v>6316</v>
      </c>
      <c r="D265" s="293">
        <v>5011</v>
      </c>
      <c r="E265" s="268" t="s">
        <v>4876</v>
      </c>
      <c r="F265" s="268" t="s">
        <v>4877</v>
      </c>
      <c r="G265" s="269">
        <v>4</v>
      </c>
      <c r="H265" s="269">
        <v>0</v>
      </c>
      <c r="I265" s="267">
        <v>34</v>
      </c>
      <c r="J265" s="282" t="s">
        <v>5092</v>
      </c>
      <c r="K265" s="279" t="s">
        <v>5093</v>
      </c>
      <c r="L265" s="279"/>
      <c r="M265" s="268">
        <v>1</v>
      </c>
      <c r="N265" s="268" t="b">
        <v>1</v>
      </c>
      <c r="O265" s="268">
        <v>10</v>
      </c>
      <c r="P265" s="281">
        <v>150</v>
      </c>
      <c r="Q265" s="281">
        <v>200</v>
      </c>
      <c r="R265" s="268" t="s">
        <v>3383</v>
      </c>
      <c r="S265" s="268"/>
      <c r="T265" s="268">
        <v>1</v>
      </c>
      <c r="U265" s="268" t="s">
        <v>4880</v>
      </c>
      <c r="V265" s="269">
        <v>4</v>
      </c>
      <c r="W265" s="269"/>
      <c r="X265" s="268" t="s">
        <v>4881</v>
      </c>
      <c r="Y265" t="s">
        <v>6472</v>
      </c>
      <c r="Z265" t="s">
        <v>6473</v>
      </c>
      <c r="AA265" s="268" t="s">
        <v>4884</v>
      </c>
      <c r="AB265" s="268"/>
      <c r="AC265" s="287">
        <v>1</v>
      </c>
      <c r="AD265" s="287">
        <v>1</v>
      </c>
      <c r="AE265" s="268"/>
      <c r="AF265" s="268"/>
      <c r="AG265" s="290"/>
    </row>
    <row r="266" spans="1:33" s="145" customFormat="1" x14ac:dyDescent="0.15">
      <c r="A266" s="267">
        <v>95111015</v>
      </c>
      <c r="B266" t="s">
        <v>6471</v>
      </c>
      <c r="C266" s="268" t="s">
        <v>6316</v>
      </c>
      <c r="D266" s="293">
        <v>5011</v>
      </c>
      <c r="E266" s="268" t="s">
        <v>4876</v>
      </c>
      <c r="F266" s="268" t="s">
        <v>4877</v>
      </c>
      <c r="G266" s="269">
        <v>5</v>
      </c>
      <c r="H266" s="269">
        <v>0</v>
      </c>
      <c r="I266" s="267">
        <v>34</v>
      </c>
      <c r="J266" s="282" t="s">
        <v>5092</v>
      </c>
      <c r="K266" s="279" t="s">
        <v>5093</v>
      </c>
      <c r="L266" s="279"/>
      <c r="M266" s="268">
        <v>1</v>
      </c>
      <c r="N266" s="268" t="b">
        <v>1</v>
      </c>
      <c r="O266" s="268">
        <v>12</v>
      </c>
      <c r="P266" s="281">
        <v>180</v>
      </c>
      <c r="Q266" s="281">
        <v>240</v>
      </c>
      <c r="R266" s="268" t="s">
        <v>3383</v>
      </c>
      <c r="S266" s="268"/>
      <c r="T266" s="268">
        <v>1</v>
      </c>
      <c r="U266" s="268" t="s">
        <v>4880</v>
      </c>
      <c r="V266" s="269">
        <v>5</v>
      </c>
      <c r="W266" s="269"/>
      <c r="X266" s="268" t="s">
        <v>4881</v>
      </c>
      <c r="Y266" t="s">
        <v>6472</v>
      </c>
      <c r="Z266" t="s">
        <v>6473</v>
      </c>
      <c r="AA266" s="268" t="s">
        <v>4884</v>
      </c>
      <c r="AB266" s="268"/>
      <c r="AC266" s="287">
        <v>1</v>
      </c>
      <c r="AD266" s="287">
        <v>1</v>
      </c>
      <c r="AE266" s="268"/>
      <c r="AF266" s="268"/>
      <c r="AG266" s="290"/>
    </row>
    <row r="267" spans="1:33" s="145" customFormat="1" x14ac:dyDescent="0.15">
      <c r="A267" s="267">
        <v>95111016</v>
      </c>
      <c r="B267" t="s">
        <v>6471</v>
      </c>
      <c r="C267" s="268" t="s">
        <v>6316</v>
      </c>
      <c r="D267" s="268">
        <v>5011</v>
      </c>
      <c r="E267" s="268" t="s">
        <v>4876</v>
      </c>
      <c r="F267" s="268" t="s">
        <v>4877</v>
      </c>
      <c r="G267" s="269">
        <v>6</v>
      </c>
      <c r="H267" s="269">
        <v>0</v>
      </c>
      <c r="I267" s="267">
        <v>34</v>
      </c>
      <c r="J267" s="282" t="s">
        <v>5092</v>
      </c>
      <c r="K267" s="279" t="s">
        <v>5093</v>
      </c>
      <c r="L267" s="279"/>
      <c r="M267" s="268">
        <v>1</v>
      </c>
      <c r="N267" s="268" t="b">
        <v>1</v>
      </c>
      <c r="O267" s="268">
        <v>25</v>
      </c>
      <c r="P267" s="281">
        <v>375</v>
      </c>
      <c r="Q267" s="281">
        <v>500</v>
      </c>
      <c r="R267" s="268" t="s">
        <v>3383</v>
      </c>
      <c r="S267" s="268"/>
      <c r="T267" s="268">
        <v>1</v>
      </c>
      <c r="U267" s="268" t="s">
        <v>4880</v>
      </c>
      <c r="V267" s="269">
        <v>7</v>
      </c>
      <c r="W267" s="269"/>
      <c r="X267" s="268" t="s">
        <v>4881</v>
      </c>
      <c r="Y267" t="s">
        <v>6472</v>
      </c>
      <c r="Z267" t="s">
        <v>6473</v>
      </c>
      <c r="AA267" s="268" t="s">
        <v>4884</v>
      </c>
      <c r="AB267" s="268"/>
      <c r="AC267" s="287">
        <v>1</v>
      </c>
      <c r="AD267" s="287">
        <v>1</v>
      </c>
      <c r="AE267" s="268"/>
      <c r="AF267" s="268"/>
      <c r="AG267" s="290"/>
    </row>
    <row r="268" spans="1:33" s="145" customFormat="1" x14ac:dyDescent="0.15">
      <c r="A268" s="267">
        <v>95111017</v>
      </c>
      <c r="B268" t="s">
        <v>6471</v>
      </c>
      <c r="C268" s="268" t="s">
        <v>6316</v>
      </c>
      <c r="D268" s="268">
        <v>5011</v>
      </c>
      <c r="E268" s="268" t="s">
        <v>4876</v>
      </c>
      <c r="F268" s="268" t="s">
        <v>4877</v>
      </c>
      <c r="G268" s="269">
        <v>7</v>
      </c>
      <c r="H268" s="269">
        <v>0</v>
      </c>
      <c r="I268" s="267">
        <v>34</v>
      </c>
      <c r="J268" s="282" t="s">
        <v>5092</v>
      </c>
      <c r="K268" s="279" t="s">
        <v>5093</v>
      </c>
      <c r="L268" s="279"/>
      <c r="M268" s="268">
        <v>1</v>
      </c>
      <c r="N268" s="268" t="b">
        <v>1</v>
      </c>
      <c r="O268" s="268">
        <v>38</v>
      </c>
      <c r="P268" s="281">
        <v>570</v>
      </c>
      <c r="Q268" s="281">
        <v>760</v>
      </c>
      <c r="R268" s="268" t="s">
        <v>3383</v>
      </c>
      <c r="S268" s="268"/>
      <c r="T268" s="268">
        <v>1</v>
      </c>
      <c r="U268" s="268" t="s">
        <v>4880</v>
      </c>
      <c r="V268" s="269">
        <v>10</v>
      </c>
      <c r="W268" s="269"/>
      <c r="X268" s="268" t="s">
        <v>4881</v>
      </c>
      <c r="Y268" t="s">
        <v>6472</v>
      </c>
      <c r="Z268" t="s">
        <v>6473</v>
      </c>
      <c r="AA268" s="268" t="s">
        <v>4884</v>
      </c>
      <c r="AB268" s="268"/>
      <c r="AC268" s="287">
        <v>1</v>
      </c>
      <c r="AD268" s="287">
        <v>1</v>
      </c>
      <c r="AE268" s="268"/>
      <c r="AF268" s="268"/>
      <c r="AG268" s="290"/>
    </row>
    <row r="269" spans="1:33" s="258" customFormat="1" x14ac:dyDescent="0.15">
      <c r="A269" s="271">
        <v>95111018</v>
      </c>
      <c r="B269" t="s">
        <v>6474</v>
      </c>
      <c r="C269" s="268" t="s">
        <v>6316</v>
      </c>
      <c r="D269" s="272">
        <v>5081</v>
      </c>
      <c r="E269" s="272" t="s">
        <v>4876</v>
      </c>
      <c r="F269" s="272" t="s">
        <v>4877</v>
      </c>
      <c r="G269" s="269">
        <v>6</v>
      </c>
      <c r="H269" s="273">
        <v>1</v>
      </c>
      <c r="I269" s="283">
        <v>34</v>
      </c>
      <c r="J269" s="284" t="s">
        <v>5092</v>
      </c>
      <c r="K269" s="285" t="s">
        <v>5093</v>
      </c>
      <c r="L269" s="272" t="s">
        <v>44</v>
      </c>
      <c r="M269" s="272">
        <v>1</v>
      </c>
      <c r="N269" s="272" t="b">
        <v>1</v>
      </c>
      <c r="O269" s="272">
        <v>51</v>
      </c>
      <c r="P269" s="281">
        <v>765</v>
      </c>
      <c r="Q269" s="281">
        <v>1020</v>
      </c>
      <c r="R269" s="272" t="s">
        <v>3383</v>
      </c>
      <c r="S269" s="272"/>
      <c r="T269" s="272">
        <v>1</v>
      </c>
      <c r="U269" s="272" t="s">
        <v>4880</v>
      </c>
      <c r="V269" s="273">
        <v>10</v>
      </c>
      <c r="W269" s="273"/>
      <c r="X269" s="272" t="s">
        <v>4881</v>
      </c>
      <c r="Y269" t="s">
        <v>6472</v>
      </c>
      <c r="Z269" t="s">
        <v>6473</v>
      </c>
      <c r="AA269" s="272" t="s">
        <v>4884</v>
      </c>
      <c r="AB269" s="272"/>
      <c r="AC269" s="289">
        <v>1</v>
      </c>
      <c r="AD269" s="289">
        <v>1</v>
      </c>
      <c r="AE269" s="289"/>
      <c r="AF269" s="272"/>
      <c r="AG269" s="272"/>
    </row>
    <row r="270" spans="1:33" s="258" customFormat="1" x14ac:dyDescent="0.15">
      <c r="A270" s="271">
        <v>95111019</v>
      </c>
      <c r="B270" t="s">
        <v>6475</v>
      </c>
      <c r="C270" s="268" t="s">
        <v>6316</v>
      </c>
      <c r="D270" s="272">
        <v>5081</v>
      </c>
      <c r="E270" s="272" t="s">
        <v>4876</v>
      </c>
      <c r="F270" s="272" t="s">
        <v>4877</v>
      </c>
      <c r="G270" s="269">
        <v>6</v>
      </c>
      <c r="H270" s="273">
        <v>1</v>
      </c>
      <c r="I270" s="283">
        <v>34</v>
      </c>
      <c r="J270" s="284" t="s">
        <v>5092</v>
      </c>
      <c r="K270" s="285" t="s">
        <v>5093</v>
      </c>
      <c r="L270" s="272" t="s">
        <v>4887</v>
      </c>
      <c r="M270" s="272">
        <v>1</v>
      </c>
      <c r="N270" s="272" t="b">
        <v>1</v>
      </c>
      <c r="O270" s="272">
        <v>64</v>
      </c>
      <c r="P270" s="281">
        <v>960</v>
      </c>
      <c r="Q270" s="281">
        <v>1280</v>
      </c>
      <c r="R270" s="272" t="s">
        <v>3383</v>
      </c>
      <c r="S270" s="272"/>
      <c r="T270" s="272">
        <v>1</v>
      </c>
      <c r="U270" s="272" t="s">
        <v>4880</v>
      </c>
      <c r="V270" s="273">
        <v>10</v>
      </c>
      <c r="W270" s="273"/>
      <c r="X270" s="272" t="s">
        <v>4881</v>
      </c>
      <c r="Y270" t="s">
        <v>6472</v>
      </c>
      <c r="Z270" t="s">
        <v>6473</v>
      </c>
      <c r="AA270" s="272" t="s">
        <v>4884</v>
      </c>
      <c r="AB270" s="272"/>
      <c r="AC270" s="289">
        <v>1</v>
      </c>
      <c r="AD270" s="289">
        <v>1</v>
      </c>
      <c r="AE270" s="289"/>
      <c r="AF270" s="272"/>
      <c r="AG270" s="272"/>
    </row>
    <row r="271" spans="1:33" s="258" customFormat="1" x14ac:dyDescent="0.15">
      <c r="A271" s="271">
        <v>95111020</v>
      </c>
      <c r="B271" t="s">
        <v>6476</v>
      </c>
      <c r="C271" s="268" t="s">
        <v>6316</v>
      </c>
      <c r="D271" s="272">
        <v>5081</v>
      </c>
      <c r="E271" s="272" t="s">
        <v>4876</v>
      </c>
      <c r="F271" s="272" t="s">
        <v>4877</v>
      </c>
      <c r="G271" s="269">
        <v>7</v>
      </c>
      <c r="H271" s="273">
        <v>0</v>
      </c>
      <c r="I271" s="283">
        <v>34</v>
      </c>
      <c r="J271" s="284" t="s">
        <v>5092</v>
      </c>
      <c r="K271" s="285" t="s">
        <v>5093</v>
      </c>
      <c r="L271" s="272" t="s">
        <v>4889</v>
      </c>
      <c r="M271" s="272">
        <v>1</v>
      </c>
      <c r="N271" s="272" t="b">
        <v>1</v>
      </c>
      <c r="O271" s="272">
        <v>77</v>
      </c>
      <c r="P271" s="281">
        <v>1155</v>
      </c>
      <c r="Q271" s="281">
        <v>1540</v>
      </c>
      <c r="R271" s="272" t="s">
        <v>3383</v>
      </c>
      <c r="S271" s="272"/>
      <c r="T271" s="272">
        <v>1</v>
      </c>
      <c r="U271" s="272" t="s">
        <v>4880</v>
      </c>
      <c r="V271" s="273">
        <v>10</v>
      </c>
      <c r="W271" s="273"/>
      <c r="X271" s="272" t="s">
        <v>4881</v>
      </c>
      <c r="Y271" t="s">
        <v>6472</v>
      </c>
      <c r="Z271" t="s">
        <v>6473</v>
      </c>
      <c r="AA271" s="272" t="s">
        <v>4884</v>
      </c>
      <c r="AB271" s="272"/>
      <c r="AC271" s="289">
        <v>1</v>
      </c>
      <c r="AD271" s="289">
        <v>1</v>
      </c>
      <c r="AE271" s="289"/>
      <c r="AF271" s="272"/>
      <c r="AG271" s="272"/>
    </row>
    <row r="272" spans="1:33" s="145" customFormat="1" x14ac:dyDescent="0.15">
      <c r="A272" s="267">
        <v>95120011</v>
      </c>
      <c r="B272" t="s">
        <v>6477</v>
      </c>
      <c r="C272" s="268" t="s">
        <v>6316</v>
      </c>
      <c r="D272" s="293">
        <v>5091</v>
      </c>
      <c r="E272" s="268" t="s">
        <v>4876</v>
      </c>
      <c r="F272" s="268" t="s">
        <v>4877</v>
      </c>
      <c r="G272" s="269">
        <v>1</v>
      </c>
      <c r="H272" s="269">
        <v>0</v>
      </c>
      <c r="I272" s="267">
        <v>34</v>
      </c>
      <c r="J272" s="282" t="s">
        <v>5100</v>
      </c>
      <c r="K272" s="279" t="s">
        <v>5101</v>
      </c>
      <c r="L272" s="279"/>
      <c r="M272" s="268">
        <v>1</v>
      </c>
      <c r="N272" s="268" t="b">
        <v>1</v>
      </c>
      <c r="O272" s="268">
        <v>2</v>
      </c>
      <c r="P272" s="281">
        <v>30</v>
      </c>
      <c r="Q272" s="281">
        <v>40</v>
      </c>
      <c r="R272" s="268" t="s">
        <v>3383</v>
      </c>
      <c r="S272" s="268"/>
      <c r="T272" s="268">
        <v>1</v>
      </c>
      <c r="U272" s="268" t="s">
        <v>4880</v>
      </c>
      <c r="V272" s="269">
        <v>1</v>
      </c>
      <c r="W272" s="269"/>
      <c r="X272" s="268" t="s">
        <v>4881</v>
      </c>
      <c r="Y272" t="s">
        <v>6478</v>
      </c>
      <c r="Z272" t="s">
        <v>6479</v>
      </c>
      <c r="AA272" s="268" t="s">
        <v>4884</v>
      </c>
      <c r="AB272" s="268"/>
      <c r="AC272" s="287">
        <v>1</v>
      </c>
      <c r="AD272" s="287">
        <v>1</v>
      </c>
      <c r="AE272" s="268"/>
      <c r="AF272" s="268"/>
      <c r="AG272" s="290"/>
    </row>
    <row r="273" spans="1:33" s="145" customFormat="1" x14ac:dyDescent="0.15">
      <c r="A273" s="267">
        <v>95120012</v>
      </c>
      <c r="B273" t="s">
        <v>6477</v>
      </c>
      <c r="C273" s="268" t="s">
        <v>6316</v>
      </c>
      <c r="D273" s="293">
        <v>5091</v>
      </c>
      <c r="E273" s="268" t="s">
        <v>4876</v>
      </c>
      <c r="F273" s="268" t="s">
        <v>4877</v>
      </c>
      <c r="G273" s="269">
        <v>2</v>
      </c>
      <c r="H273" s="269">
        <v>0</v>
      </c>
      <c r="I273" s="267">
        <v>34</v>
      </c>
      <c r="J273" s="282" t="s">
        <v>5100</v>
      </c>
      <c r="K273" s="279" t="s">
        <v>5101</v>
      </c>
      <c r="L273" s="279"/>
      <c r="M273" s="268">
        <v>1</v>
      </c>
      <c r="N273" s="268" t="b">
        <v>1</v>
      </c>
      <c r="O273" s="268">
        <v>5</v>
      </c>
      <c r="P273" s="281">
        <v>75</v>
      </c>
      <c r="Q273" s="281">
        <v>100</v>
      </c>
      <c r="R273" s="268" t="s">
        <v>3383</v>
      </c>
      <c r="S273" s="268"/>
      <c r="T273" s="268">
        <v>1</v>
      </c>
      <c r="U273" s="268" t="s">
        <v>4880</v>
      </c>
      <c r="V273" s="269">
        <v>2</v>
      </c>
      <c r="W273" s="269"/>
      <c r="X273" s="268" t="s">
        <v>4881</v>
      </c>
      <c r="Y273" t="s">
        <v>6478</v>
      </c>
      <c r="Z273" t="s">
        <v>6479</v>
      </c>
      <c r="AA273" s="268" t="s">
        <v>4884</v>
      </c>
      <c r="AB273" s="268"/>
      <c r="AC273" s="287">
        <v>1</v>
      </c>
      <c r="AD273" s="287">
        <v>1</v>
      </c>
      <c r="AE273" s="268"/>
      <c r="AF273" s="268"/>
      <c r="AG273" s="290"/>
    </row>
    <row r="274" spans="1:33" s="145" customFormat="1" x14ac:dyDescent="0.15">
      <c r="A274" s="267">
        <v>95120013</v>
      </c>
      <c r="B274" t="s">
        <v>6477</v>
      </c>
      <c r="C274" s="268" t="s">
        <v>6316</v>
      </c>
      <c r="D274" s="293">
        <v>5091</v>
      </c>
      <c r="E274" s="268" t="s">
        <v>4876</v>
      </c>
      <c r="F274" s="268" t="s">
        <v>4877</v>
      </c>
      <c r="G274" s="269">
        <v>3</v>
      </c>
      <c r="H274" s="269">
        <v>0</v>
      </c>
      <c r="I274" s="267">
        <v>34</v>
      </c>
      <c r="J274" s="282" t="s">
        <v>5100</v>
      </c>
      <c r="K274" s="279" t="s">
        <v>5101</v>
      </c>
      <c r="L274" s="279"/>
      <c r="M274" s="268">
        <v>1</v>
      </c>
      <c r="N274" s="268" t="b">
        <v>1</v>
      </c>
      <c r="O274" s="268">
        <v>7</v>
      </c>
      <c r="P274" s="281">
        <v>105</v>
      </c>
      <c r="Q274" s="281">
        <v>140</v>
      </c>
      <c r="R274" s="268" t="s">
        <v>3383</v>
      </c>
      <c r="S274" s="268"/>
      <c r="T274" s="268">
        <v>1</v>
      </c>
      <c r="U274" s="268" t="s">
        <v>4880</v>
      </c>
      <c r="V274" s="269">
        <v>3</v>
      </c>
      <c r="W274" s="269"/>
      <c r="X274" s="268" t="s">
        <v>4881</v>
      </c>
      <c r="Y274" t="s">
        <v>6478</v>
      </c>
      <c r="Z274" t="s">
        <v>6479</v>
      </c>
      <c r="AA274" s="268" t="s">
        <v>4884</v>
      </c>
      <c r="AB274" s="268"/>
      <c r="AC274" s="287">
        <v>1</v>
      </c>
      <c r="AD274" s="287">
        <v>1</v>
      </c>
      <c r="AE274" s="268"/>
      <c r="AF274" s="268"/>
      <c r="AG274" s="290"/>
    </row>
    <row r="275" spans="1:33" s="145" customFormat="1" x14ac:dyDescent="0.15">
      <c r="A275" s="267">
        <v>95120014</v>
      </c>
      <c r="B275" t="s">
        <v>6477</v>
      </c>
      <c r="C275" s="268" t="s">
        <v>6316</v>
      </c>
      <c r="D275" s="293">
        <v>5091</v>
      </c>
      <c r="E275" s="268" t="s">
        <v>4876</v>
      </c>
      <c r="F275" s="268" t="s">
        <v>4877</v>
      </c>
      <c r="G275" s="269">
        <v>4</v>
      </c>
      <c r="H275" s="269">
        <v>0</v>
      </c>
      <c r="I275" s="267">
        <v>34</v>
      </c>
      <c r="J275" s="282" t="s">
        <v>5100</v>
      </c>
      <c r="K275" s="279" t="s">
        <v>5101</v>
      </c>
      <c r="L275" s="279"/>
      <c r="M275" s="268">
        <v>1</v>
      </c>
      <c r="N275" s="268" t="b">
        <v>1</v>
      </c>
      <c r="O275" s="268">
        <v>10</v>
      </c>
      <c r="P275" s="281">
        <v>150</v>
      </c>
      <c r="Q275" s="281">
        <v>200</v>
      </c>
      <c r="R275" s="268" t="s">
        <v>3383</v>
      </c>
      <c r="S275" s="268"/>
      <c r="T275" s="268">
        <v>1</v>
      </c>
      <c r="U275" s="268" t="s">
        <v>4880</v>
      </c>
      <c r="V275" s="269">
        <v>4</v>
      </c>
      <c r="W275" s="269"/>
      <c r="X275" s="268" t="s">
        <v>4881</v>
      </c>
      <c r="Y275" t="s">
        <v>6478</v>
      </c>
      <c r="Z275" t="s">
        <v>6479</v>
      </c>
      <c r="AA275" s="268" t="s">
        <v>4884</v>
      </c>
      <c r="AB275" s="268"/>
      <c r="AC275" s="287">
        <v>1</v>
      </c>
      <c r="AD275" s="287">
        <v>1</v>
      </c>
      <c r="AE275" s="268"/>
      <c r="AF275" s="268"/>
      <c r="AG275" s="290"/>
    </row>
    <row r="276" spans="1:33" s="145" customFormat="1" x14ac:dyDescent="0.15">
      <c r="A276" s="267">
        <v>95120015</v>
      </c>
      <c r="B276" t="s">
        <v>6477</v>
      </c>
      <c r="C276" s="268" t="s">
        <v>6316</v>
      </c>
      <c r="D276" s="293">
        <v>5091</v>
      </c>
      <c r="E276" s="268" t="s">
        <v>4876</v>
      </c>
      <c r="F276" s="268" t="s">
        <v>4877</v>
      </c>
      <c r="G276" s="269">
        <v>5</v>
      </c>
      <c r="H276" s="269">
        <v>0</v>
      </c>
      <c r="I276" s="267">
        <v>34</v>
      </c>
      <c r="J276" s="282" t="s">
        <v>5100</v>
      </c>
      <c r="K276" s="279" t="s">
        <v>5101</v>
      </c>
      <c r="L276" s="279"/>
      <c r="M276" s="268">
        <v>1</v>
      </c>
      <c r="N276" s="268" t="b">
        <v>1</v>
      </c>
      <c r="O276" s="268">
        <v>12</v>
      </c>
      <c r="P276" s="281">
        <v>180</v>
      </c>
      <c r="Q276" s="281">
        <v>240</v>
      </c>
      <c r="R276" s="268" t="s">
        <v>3383</v>
      </c>
      <c r="S276" s="268"/>
      <c r="T276" s="268">
        <v>1</v>
      </c>
      <c r="U276" s="268" t="s">
        <v>4880</v>
      </c>
      <c r="V276" s="269">
        <v>5</v>
      </c>
      <c r="W276" s="269"/>
      <c r="X276" s="268" t="s">
        <v>4881</v>
      </c>
      <c r="Y276" t="s">
        <v>6478</v>
      </c>
      <c r="Z276" t="s">
        <v>6479</v>
      </c>
      <c r="AA276" s="268" t="s">
        <v>4884</v>
      </c>
      <c r="AB276" s="268"/>
      <c r="AC276" s="287">
        <v>1</v>
      </c>
      <c r="AD276" s="287">
        <v>1</v>
      </c>
      <c r="AE276" s="268"/>
      <c r="AF276" s="268"/>
      <c r="AG276" s="290"/>
    </row>
    <row r="277" spans="1:33" s="145" customFormat="1" ht="16.149999999999999" customHeight="1" x14ac:dyDescent="0.15">
      <c r="A277" s="270">
        <v>95120016</v>
      </c>
      <c r="B277" t="s">
        <v>6477</v>
      </c>
      <c r="C277" s="268" t="s">
        <v>6316</v>
      </c>
      <c r="D277" s="268">
        <v>5091</v>
      </c>
      <c r="E277" s="268" t="s">
        <v>4876</v>
      </c>
      <c r="F277" s="268" t="s">
        <v>4877</v>
      </c>
      <c r="G277" s="269">
        <v>6</v>
      </c>
      <c r="H277" s="269">
        <v>0</v>
      </c>
      <c r="I277" s="267">
        <v>34</v>
      </c>
      <c r="J277" s="282" t="s">
        <v>5100</v>
      </c>
      <c r="K277" s="279" t="s">
        <v>5101</v>
      </c>
      <c r="L277" s="279"/>
      <c r="M277" s="268">
        <v>1</v>
      </c>
      <c r="N277" s="268" t="b">
        <v>1</v>
      </c>
      <c r="O277" s="268">
        <v>25</v>
      </c>
      <c r="P277" s="281">
        <v>375</v>
      </c>
      <c r="Q277" s="281">
        <v>500</v>
      </c>
      <c r="R277" s="268" t="s">
        <v>3383</v>
      </c>
      <c r="S277" s="268"/>
      <c r="T277" s="268">
        <v>1</v>
      </c>
      <c r="U277" s="268" t="s">
        <v>4880</v>
      </c>
      <c r="V277" s="269">
        <v>7</v>
      </c>
      <c r="W277" s="269"/>
      <c r="X277" s="268" t="s">
        <v>4881</v>
      </c>
      <c r="Y277" t="s">
        <v>6478</v>
      </c>
      <c r="Z277" t="s">
        <v>6479</v>
      </c>
      <c r="AA277" s="268" t="s">
        <v>4884</v>
      </c>
      <c r="AB277" s="268"/>
      <c r="AC277" s="287">
        <v>1</v>
      </c>
      <c r="AD277" s="287">
        <v>1</v>
      </c>
      <c r="AE277" s="268"/>
      <c r="AF277" s="268"/>
      <c r="AG277" s="290"/>
    </row>
    <row r="278" spans="1:33" s="145" customFormat="1" x14ac:dyDescent="0.15">
      <c r="A278" s="270">
        <v>95120017</v>
      </c>
      <c r="B278" t="s">
        <v>6477</v>
      </c>
      <c r="C278" s="268" t="s">
        <v>6316</v>
      </c>
      <c r="D278" s="268">
        <v>5091</v>
      </c>
      <c r="E278" s="268" t="s">
        <v>4876</v>
      </c>
      <c r="F278" s="268" t="s">
        <v>4877</v>
      </c>
      <c r="G278" s="269">
        <v>7</v>
      </c>
      <c r="H278" s="269">
        <v>0</v>
      </c>
      <c r="I278" s="267">
        <v>34</v>
      </c>
      <c r="J278" s="282" t="s">
        <v>5100</v>
      </c>
      <c r="K278" s="279" t="s">
        <v>5101</v>
      </c>
      <c r="L278" s="279"/>
      <c r="M278" s="268">
        <v>1</v>
      </c>
      <c r="N278" s="268" t="b">
        <v>1</v>
      </c>
      <c r="O278" s="268">
        <v>38</v>
      </c>
      <c r="P278" s="281">
        <v>570</v>
      </c>
      <c r="Q278" s="281">
        <v>760</v>
      </c>
      <c r="R278" s="268" t="s">
        <v>3383</v>
      </c>
      <c r="S278" s="268"/>
      <c r="T278" s="268">
        <v>1</v>
      </c>
      <c r="U278" s="268" t="s">
        <v>4880</v>
      </c>
      <c r="V278" s="269">
        <v>10</v>
      </c>
      <c r="W278" s="269"/>
      <c r="X278" s="268" t="s">
        <v>4881</v>
      </c>
      <c r="Y278" t="s">
        <v>6478</v>
      </c>
      <c r="Z278" t="s">
        <v>6479</v>
      </c>
      <c r="AA278" s="268" t="s">
        <v>4884</v>
      </c>
      <c r="AB278" s="268"/>
      <c r="AC278" s="287">
        <v>1</v>
      </c>
      <c r="AD278" s="287">
        <v>1</v>
      </c>
      <c r="AE278" s="268"/>
      <c r="AF278" s="268"/>
      <c r="AG278" s="290"/>
    </row>
    <row r="279" spans="1:33" s="258" customFormat="1" x14ac:dyDescent="0.15">
      <c r="A279" s="271">
        <v>95120018</v>
      </c>
      <c r="B279" t="s">
        <v>6480</v>
      </c>
      <c r="C279" s="268" t="s">
        <v>6316</v>
      </c>
      <c r="D279" s="272">
        <v>5081</v>
      </c>
      <c r="E279" s="272" t="s">
        <v>4876</v>
      </c>
      <c r="F279" s="272" t="s">
        <v>4877</v>
      </c>
      <c r="G279" s="269">
        <v>6</v>
      </c>
      <c r="H279" s="273">
        <v>1</v>
      </c>
      <c r="I279" s="283">
        <v>34</v>
      </c>
      <c r="J279" s="284" t="s">
        <v>5100</v>
      </c>
      <c r="K279" s="285" t="s">
        <v>5101</v>
      </c>
      <c r="L279" s="272" t="s">
        <v>44</v>
      </c>
      <c r="M279" s="272">
        <v>1</v>
      </c>
      <c r="N279" s="272" t="b">
        <v>1</v>
      </c>
      <c r="O279" s="272">
        <v>51</v>
      </c>
      <c r="P279" s="281">
        <v>765</v>
      </c>
      <c r="Q279" s="281">
        <v>1020</v>
      </c>
      <c r="R279" s="272" t="s">
        <v>3383</v>
      </c>
      <c r="S279" s="272"/>
      <c r="T279" s="272">
        <v>1</v>
      </c>
      <c r="U279" s="272" t="s">
        <v>4880</v>
      </c>
      <c r="V279" s="273">
        <v>10</v>
      </c>
      <c r="W279" s="273"/>
      <c r="X279" s="272" t="s">
        <v>4881</v>
      </c>
      <c r="Y279" t="s">
        <v>6478</v>
      </c>
      <c r="Z279" t="s">
        <v>6479</v>
      </c>
      <c r="AA279" s="272" t="s">
        <v>4884</v>
      </c>
      <c r="AB279" s="272"/>
      <c r="AC279" s="289">
        <v>1</v>
      </c>
      <c r="AD279" s="289">
        <v>1</v>
      </c>
      <c r="AE279" s="289"/>
      <c r="AF279" s="272"/>
      <c r="AG279" s="272"/>
    </row>
    <row r="280" spans="1:33" s="258" customFormat="1" x14ac:dyDescent="0.15">
      <c r="A280" s="271">
        <v>95120019</v>
      </c>
      <c r="B280" t="s">
        <v>6481</v>
      </c>
      <c r="C280" s="268" t="s">
        <v>6316</v>
      </c>
      <c r="D280" s="272">
        <v>5081</v>
      </c>
      <c r="E280" s="272" t="s">
        <v>4876</v>
      </c>
      <c r="F280" s="272" t="s">
        <v>4877</v>
      </c>
      <c r="G280" s="269">
        <v>6</v>
      </c>
      <c r="H280" s="273">
        <v>1</v>
      </c>
      <c r="I280" s="283">
        <v>34</v>
      </c>
      <c r="J280" s="284" t="s">
        <v>5100</v>
      </c>
      <c r="K280" s="285" t="s">
        <v>5101</v>
      </c>
      <c r="L280" s="272" t="s">
        <v>4887</v>
      </c>
      <c r="M280" s="272">
        <v>1</v>
      </c>
      <c r="N280" s="272" t="b">
        <v>1</v>
      </c>
      <c r="O280" s="272">
        <v>64</v>
      </c>
      <c r="P280" s="281">
        <v>960</v>
      </c>
      <c r="Q280" s="281">
        <v>1280</v>
      </c>
      <c r="R280" s="272" t="s">
        <v>3383</v>
      </c>
      <c r="S280" s="272"/>
      <c r="T280" s="272">
        <v>1</v>
      </c>
      <c r="U280" s="272" t="s">
        <v>4880</v>
      </c>
      <c r="V280" s="273">
        <v>10</v>
      </c>
      <c r="W280" s="273"/>
      <c r="X280" s="272" t="s">
        <v>4881</v>
      </c>
      <c r="Y280" t="s">
        <v>6478</v>
      </c>
      <c r="Z280" t="s">
        <v>6479</v>
      </c>
      <c r="AA280" s="272" t="s">
        <v>4884</v>
      </c>
      <c r="AB280" s="272"/>
      <c r="AC280" s="289">
        <v>1</v>
      </c>
      <c r="AD280" s="289">
        <v>1</v>
      </c>
      <c r="AE280" s="289"/>
      <c r="AF280" s="272"/>
      <c r="AG280" s="272"/>
    </row>
    <row r="281" spans="1:33" s="258" customFormat="1" x14ac:dyDescent="0.15">
      <c r="A281" s="271">
        <v>95120020</v>
      </c>
      <c r="B281" t="s">
        <v>6482</v>
      </c>
      <c r="C281" s="268" t="s">
        <v>6316</v>
      </c>
      <c r="D281" s="272">
        <v>5081</v>
      </c>
      <c r="E281" s="272" t="s">
        <v>4876</v>
      </c>
      <c r="F281" s="272" t="s">
        <v>4877</v>
      </c>
      <c r="G281" s="269">
        <v>7</v>
      </c>
      <c r="H281" s="273">
        <v>0</v>
      </c>
      <c r="I281" s="283">
        <v>34</v>
      </c>
      <c r="J281" s="284" t="s">
        <v>5100</v>
      </c>
      <c r="K281" s="285" t="s">
        <v>5101</v>
      </c>
      <c r="L281" s="272" t="s">
        <v>4889</v>
      </c>
      <c r="M281" s="272">
        <v>1</v>
      </c>
      <c r="N281" s="272" t="b">
        <v>1</v>
      </c>
      <c r="O281" s="272">
        <v>77</v>
      </c>
      <c r="P281" s="281">
        <v>1155</v>
      </c>
      <c r="Q281" s="281">
        <v>1540</v>
      </c>
      <c r="R281" s="272" t="s">
        <v>3383</v>
      </c>
      <c r="S281" s="272"/>
      <c r="T281" s="272">
        <v>1</v>
      </c>
      <c r="U281" s="272" t="s">
        <v>4880</v>
      </c>
      <c r="V281" s="273">
        <v>10</v>
      </c>
      <c r="W281" s="273"/>
      <c r="X281" s="272" t="s">
        <v>4881</v>
      </c>
      <c r="Y281" t="s">
        <v>6478</v>
      </c>
      <c r="Z281" t="s">
        <v>6479</v>
      </c>
      <c r="AA281" s="272" t="s">
        <v>4884</v>
      </c>
      <c r="AB281" s="272"/>
      <c r="AC281" s="289">
        <v>1</v>
      </c>
      <c r="AD281" s="289">
        <v>1</v>
      </c>
      <c r="AE281" s="289"/>
      <c r="AF281" s="272"/>
      <c r="AG281" s="272"/>
    </row>
    <row r="282" spans="1:33" s="145" customFormat="1" x14ac:dyDescent="0.15">
      <c r="A282" s="267">
        <v>95130011</v>
      </c>
      <c r="B282" t="s">
        <v>6483</v>
      </c>
      <c r="C282" s="268" t="s">
        <v>6316</v>
      </c>
      <c r="D282" s="293">
        <v>5091</v>
      </c>
      <c r="E282" s="268" t="s">
        <v>4876</v>
      </c>
      <c r="F282" s="268" t="s">
        <v>4877</v>
      </c>
      <c r="G282" s="269">
        <v>1</v>
      </c>
      <c r="H282" s="269">
        <v>0</v>
      </c>
      <c r="I282" s="267">
        <v>34</v>
      </c>
      <c r="J282" s="282" t="s">
        <v>5108</v>
      </c>
      <c r="K282" s="279" t="s">
        <v>5109</v>
      </c>
      <c r="L282" s="279"/>
      <c r="M282" s="268">
        <v>1</v>
      </c>
      <c r="N282" s="268" t="b">
        <v>1</v>
      </c>
      <c r="O282" s="268">
        <v>2</v>
      </c>
      <c r="P282" s="281">
        <v>30</v>
      </c>
      <c r="Q282" s="281">
        <v>40</v>
      </c>
      <c r="R282" s="268" t="s">
        <v>3383</v>
      </c>
      <c r="S282" s="268"/>
      <c r="T282" s="268">
        <v>1</v>
      </c>
      <c r="U282" s="268" t="s">
        <v>4880</v>
      </c>
      <c r="V282" s="269">
        <v>1</v>
      </c>
      <c r="W282" s="269"/>
      <c r="X282" s="268" t="s">
        <v>4881</v>
      </c>
      <c r="Y282" t="s">
        <v>6484</v>
      </c>
      <c r="Z282" t="s">
        <v>6485</v>
      </c>
      <c r="AA282" s="268" t="s">
        <v>4884</v>
      </c>
      <c r="AB282" s="268"/>
      <c r="AC282" s="287">
        <v>1</v>
      </c>
      <c r="AD282" s="287">
        <v>1</v>
      </c>
      <c r="AE282" s="268"/>
      <c r="AF282" s="268"/>
      <c r="AG282" s="290"/>
    </row>
    <row r="283" spans="1:33" s="145" customFormat="1" x14ac:dyDescent="0.15">
      <c r="A283" s="267">
        <v>95130012</v>
      </c>
      <c r="B283" t="s">
        <v>6483</v>
      </c>
      <c r="C283" s="268" t="s">
        <v>6316</v>
      </c>
      <c r="D283" s="293">
        <v>5091</v>
      </c>
      <c r="E283" s="268" t="s">
        <v>4876</v>
      </c>
      <c r="F283" s="268" t="s">
        <v>4877</v>
      </c>
      <c r="G283" s="269">
        <v>2</v>
      </c>
      <c r="H283" s="269">
        <v>0</v>
      </c>
      <c r="I283" s="267">
        <v>34</v>
      </c>
      <c r="J283" s="282" t="s">
        <v>5108</v>
      </c>
      <c r="K283" s="279" t="s">
        <v>5109</v>
      </c>
      <c r="L283" s="279"/>
      <c r="M283" s="268">
        <v>1</v>
      </c>
      <c r="N283" s="268" t="b">
        <v>1</v>
      </c>
      <c r="O283" s="268">
        <v>5</v>
      </c>
      <c r="P283" s="281">
        <v>75</v>
      </c>
      <c r="Q283" s="281">
        <v>100</v>
      </c>
      <c r="R283" s="268" t="s">
        <v>3383</v>
      </c>
      <c r="S283" s="268"/>
      <c r="T283" s="268">
        <v>1</v>
      </c>
      <c r="U283" s="268" t="s">
        <v>4880</v>
      </c>
      <c r="V283" s="269">
        <v>2</v>
      </c>
      <c r="W283" s="269"/>
      <c r="X283" s="268" t="s">
        <v>4881</v>
      </c>
      <c r="Y283" t="s">
        <v>6484</v>
      </c>
      <c r="Z283" t="s">
        <v>6485</v>
      </c>
      <c r="AA283" s="268" t="s">
        <v>4884</v>
      </c>
      <c r="AB283" s="268"/>
      <c r="AC283" s="287">
        <v>1</v>
      </c>
      <c r="AD283" s="287">
        <v>1</v>
      </c>
      <c r="AE283" s="268"/>
      <c r="AF283" s="268"/>
      <c r="AG283" s="290"/>
    </row>
    <row r="284" spans="1:33" s="145" customFormat="1" x14ac:dyDescent="0.15">
      <c r="A284" s="267">
        <v>95130013</v>
      </c>
      <c r="B284" t="s">
        <v>6483</v>
      </c>
      <c r="C284" s="268" t="s">
        <v>6316</v>
      </c>
      <c r="D284" s="293">
        <v>5091</v>
      </c>
      <c r="E284" s="268" t="s">
        <v>4876</v>
      </c>
      <c r="F284" s="268" t="s">
        <v>4877</v>
      </c>
      <c r="G284" s="269">
        <v>3</v>
      </c>
      <c r="H284" s="269">
        <v>0</v>
      </c>
      <c r="I284" s="267">
        <v>34</v>
      </c>
      <c r="J284" s="282" t="s">
        <v>5108</v>
      </c>
      <c r="K284" s="279" t="s">
        <v>5109</v>
      </c>
      <c r="L284" s="279"/>
      <c r="M284" s="268">
        <v>1</v>
      </c>
      <c r="N284" s="268" t="b">
        <v>1</v>
      </c>
      <c r="O284" s="268">
        <v>7</v>
      </c>
      <c r="P284" s="281">
        <v>105</v>
      </c>
      <c r="Q284" s="281">
        <v>140</v>
      </c>
      <c r="R284" s="268" t="s">
        <v>3383</v>
      </c>
      <c r="S284" s="268"/>
      <c r="T284" s="268">
        <v>1</v>
      </c>
      <c r="U284" s="268" t="s">
        <v>4880</v>
      </c>
      <c r="V284" s="269">
        <v>3</v>
      </c>
      <c r="W284" s="269"/>
      <c r="X284" s="268" t="s">
        <v>4881</v>
      </c>
      <c r="Y284" t="s">
        <v>6484</v>
      </c>
      <c r="Z284" t="s">
        <v>6485</v>
      </c>
      <c r="AA284" s="268" t="s">
        <v>4884</v>
      </c>
      <c r="AB284" s="268"/>
      <c r="AC284" s="287">
        <v>1</v>
      </c>
      <c r="AD284" s="287">
        <v>1</v>
      </c>
      <c r="AE284" s="268"/>
      <c r="AF284" s="268"/>
      <c r="AG284" s="290"/>
    </row>
    <row r="285" spans="1:33" s="145" customFormat="1" x14ac:dyDescent="0.15">
      <c r="A285" s="267">
        <v>95130014</v>
      </c>
      <c r="B285" t="s">
        <v>6483</v>
      </c>
      <c r="C285" s="268" t="s">
        <v>6316</v>
      </c>
      <c r="D285" s="293">
        <v>5091</v>
      </c>
      <c r="E285" s="268" t="s">
        <v>4876</v>
      </c>
      <c r="F285" s="268" t="s">
        <v>4877</v>
      </c>
      <c r="G285" s="269">
        <v>4</v>
      </c>
      <c r="H285" s="269">
        <v>0</v>
      </c>
      <c r="I285" s="267">
        <v>34</v>
      </c>
      <c r="J285" s="282" t="s">
        <v>5108</v>
      </c>
      <c r="K285" s="279" t="s">
        <v>5109</v>
      </c>
      <c r="L285" s="279"/>
      <c r="M285" s="268">
        <v>1</v>
      </c>
      <c r="N285" s="268" t="b">
        <v>1</v>
      </c>
      <c r="O285" s="268">
        <v>10</v>
      </c>
      <c r="P285" s="281">
        <v>150</v>
      </c>
      <c r="Q285" s="281">
        <v>200</v>
      </c>
      <c r="R285" s="268" t="s">
        <v>3383</v>
      </c>
      <c r="S285" s="268"/>
      <c r="T285" s="268">
        <v>1</v>
      </c>
      <c r="U285" s="268" t="s">
        <v>4880</v>
      </c>
      <c r="V285" s="269">
        <v>4</v>
      </c>
      <c r="W285" s="269"/>
      <c r="X285" s="268" t="s">
        <v>4881</v>
      </c>
      <c r="Y285" t="s">
        <v>6484</v>
      </c>
      <c r="Z285" t="s">
        <v>6485</v>
      </c>
      <c r="AA285" s="268" t="s">
        <v>4884</v>
      </c>
      <c r="AB285" s="268"/>
      <c r="AC285" s="287">
        <v>1</v>
      </c>
      <c r="AD285" s="287">
        <v>1</v>
      </c>
      <c r="AE285" s="268"/>
      <c r="AF285" s="268"/>
      <c r="AG285" s="290"/>
    </row>
    <row r="286" spans="1:33" s="145" customFormat="1" x14ac:dyDescent="0.15">
      <c r="A286" s="267">
        <v>95130015</v>
      </c>
      <c r="B286" t="s">
        <v>6483</v>
      </c>
      <c r="C286" s="268" t="s">
        <v>6316</v>
      </c>
      <c r="D286" s="293">
        <v>5091</v>
      </c>
      <c r="E286" s="268" t="s">
        <v>4876</v>
      </c>
      <c r="F286" s="268" t="s">
        <v>4877</v>
      </c>
      <c r="G286" s="269">
        <v>5</v>
      </c>
      <c r="H286" s="269">
        <v>0</v>
      </c>
      <c r="I286" s="267">
        <v>34</v>
      </c>
      <c r="J286" s="282" t="s">
        <v>5108</v>
      </c>
      <c r="K286" s="279" t="s">
        <v>5109</v>
      </c>
      <c r="L286" s="279"/>
      <c r="M286" s="268">
        <v>1</v>
      </c>
      <c r="N286" s="268" t="b">
        <v>1</v>
      </c>
      <c r="O286" s="268">
        <v>12</v>
      </c>
      <c r="P286" s="281">
        <v>180</v>
      </c>
      <c r="Q286" s="281">
        <v>240</v>
      </c>
      <c r="R286" s="268" t="s">
        <v>3383</v>
      </c>
      <c r="S286" s="268"/>
      <c r="T286" s="268">
        <v>1</v>
      </c>
      <c r="U286" s="268" t="s">
        <v>4880</v>
      </c>
      <c r="V286" s="269">
        <v>5</v>
      </c>
      <c r="W286" s="269"/>
      <c r="X286" s="268" t="s">
        <v>4881</v>
      </c>
      <c r="Y286" t="s">
        <v>6484</v>
      </c>
      <c r="Z286" t="s">
        <v>6485</v>
      </c>
      <c r="AA286" s="268" t="s">
        <v>4884</v>
      </c>
      <c r="AB286" s="268"/>
      <c r="AC286" s="287">
        <v>1</v>
      </c>
      <c r="AD286" s="287">
        <v>1</v>
      </c>
      <c r="AE286" s="268"/>
      <c r="AF286" s="268"/>
      <c r="AG286" s="290"/>
    </row>
    <row r="287" spans="1:33" s="258" customFormat="1" x14ac:dyDescent="0.15">
      <c r="A287" s="270">
        <v>95130016</v>
      </c>
      <c r="B287" t="s">
        <v>6483</v>
      </c>
      <c r="C287" s="268" t="s">
        <v>6316</v>
      </c>
      <c r="D287" s="268">
        <v>5091</v>
      </c>
      <c r="E287" s="268" t="s">
        <v>4876</v>
      </c>
      <c r="F287" s="268" t="s">
        <v>4877</v>
      </c>
      <c r="G287" s="269">
        <v>6</v>
      </c>
      <c r="H287" s="269">
        <v>0</v>
      </c>
      <c r="I287" s="267">
        <v>34</v>
      </c>
      <c r="J287" s="282" t="s">
        <v>5108</v>
      </c>
      <c r="K287" s="279" t="s">
        <v>5109</v>
      </c>
      <c r="L287" s="279"/>
      <c r="M287" s="268">
        <v>1</v>
      </c>
      <c r="N287" s="268" t="b">
        <v>1</v>
      </c>
      <c r="O287" s="268">
        <v>25</v>
      </c>
      <c r="P287" s="281">
        <v>375</v>
      </c>
      <c r="Q287" s="281">
        <v>500</v>
      </c>
      <c r="R287" s="268" t="s">
        <v>3383</v>
      </c>
      <c r="S287" s="268"/>
      <c r="T287" s="268">
        <v>1</v>
      </c>
      <c r="U287" s="268" t="s">
        <v>4880</v>
      </c>
      <c r="V287" s="269">
        <v>7</v>
      </c>
      <c r="W287" s="269"/>
      <c r="X287" s="268" t="s">
        <v>4881</v>
      </c>
      <c r="Y287" t="s">
        <v>6484</v>
      </c>
      <c r="Z287" t="s">
        <v>6485</v>
      </c>
      <c r="AA287" s="268" t="s">
        <v>4884</v>
      </c>
      <c r="AB287" s="268"/>
      <c r="AC287" s="287">
        <v>1</v>
      </c>
      <c r="AD287" s="287">
        <v>1</v>
      </c>
      <c r="AE287" s="268"/>
      <c r="AF287" s="268"/>
      <c r="AG287" s="290"/>
    </row>
    <row r="288" spans="1:33" s="145" customFormat="1" x14ac:dyDescent="0.15">
      <c r="A288" s="270">
        <v>95130017</v>
      </c>
      <c r="B288" t="s">
        <v>6483</v>
      </c>
      <c r="C288" s="268" t="s">
        <v>6316</v>
      </c>
      <c r="D288" s="268">
        <v>5091</v>
      </c>
      <c r="E288" s="268" t="s">
        <v>4876</v>
      </c>
      <c r="F288" s="268" t="s">
        <v>4877</v>
      </c>
      <c r="G288" s="269">
        <v>7</v>
      </c>
      <c r="H288" s="269">
        <v>0</v>
      </c>
      <c r="I288" s="267">
        <v>34</v>
      </c>
      <c r="J288" s="282" t="s">
        <v>5108</v>
      </c>
      <c r="K288" s="279" t="s">
        <v>5109</v>
      </c>
      <c r="L288" s="279"/>
      <c r="M288" s="268">
        <v>1</v>
      </c>
      <c r="N288" s="268" t="b">
        <v>1</v>
      </c>
      <c r="O288" s="268">
        <v>38</v>
      </c>
      <c r="P288" s="281">
        <v>570</v>
      </c>
      <c r="Q288" s="281">
        <v>760</v>
      </c>
      <c r="R288" s="268" t="s">
        <v>3383</v>
      </c>
      <c r="S288" s="268"/>
      <c r="T288" s="268">
        <v>1</v>
      </c>
      <c r="U288" s="268" t="s">
        <v>4880</v>
      </c>
      <c r="V288" s="269">
        <v>10</v>
      </c>
      <c r="W288" s="269"/>
      <c r="X288" s="268" t="s">
        <v>4881</v>
      </c>
      <c r="Y288" t="s">
        <v>6484</v>
      </c>
      <c r="Z288" t="s">
        <v>6485</v>
      </c>
      <c r="AA288" s="268" t="s">
        <v>4884</v>
      </c>
      <c r="AB288" s="268"/>
      <c r="AC288" s="287">
        <v>1</v>
      </c>
      <c r="AD288" s="287">
        <v>1</v>
      </c>
      <c r="AE288" s="268"/>
      <c r="AF288" s="268"/>
      <c r="AG288" s="290"/>
    </row>
    <row r="289" spans="1:33" s="258" customFormat="1" x14ac:dyDescent="0.15">
      <c r="A289" s="271">
        <v>95130018</v>
      </c>
      <c r="B289" t="s">
        <v>6486</v>
      </c>
      <c r="C289" s="268" t="s">
        <v>6316</v>
      </c>
      <c r="D289" s="272">
        <v>5081</v>
      </c>
      <c r="E289" s="272" t="s">
        <v>4876</v>
      </c>
      <c r="F289" s="272" t="s">
        <v>4877</v>
      </c>
      <c r="G289" s="269">
        <v>6</v>
      </c>
      <c r="H289" s="273">
        <v>0</v>
      </c>
      <c r="I289" s="283">
        <v>34</v>
      </c>
      <c r="J289" s="284" t="s">
        <v>5108</v>
      </c>
      <c r="K289" s="285" t="s">
        <v>5109</v>
      </c>
      <c r="L289" s="272" t="s">
        <v>44</v>
      </c>
      <c r="M289" s="272">
        <v>1</v>
      </c>
      <c r="N289" s="272" t="b">
        <v>1</v>
      </c>
      <c r="O289" s="272">
        <v>51</v>
      </c>
      <c r="P289" s="281">
        <v>765</v>
      </c>
      <c r="Q289" s="281">
        <v>1020</v>
      </c>
      <c r="R289" s="272" t="s">
        <v>3383</v>
      </c>
      <c r="S289" s="272"/>
      <c r="T289" s="272">
        <v>1</v>
      </c>
      <c r="U289" s="272" t="s">
        <v>4880</v>
      </c>
      <c r="V289" s="273">
        <v>10</v>
      </c>
      <c r="W289" s="273"/>
      <c r="X289" s="272" t="s">
        <v>4881</v>
      </c>
      <c r="Y289" t="s">
        <v>6484</v>
      </c>
      <c r="Z289" t="s">
        <v>6485</v>
      </c>
      <c r="AA289" s="272" t="s">
        <v>4884</v>
      </c>
      <c r="AB289" s="272"/>
      <c r="AC289" s="289">
        <v>1</v>
      </c>
      <c r="AD289" s="289">
        <v>1</v>
      </c>
      <c r="AE289" s="289"/>
      <c r="AF289" s="272"/>
      <c r="AG289" s="272"/>
    </row>
    <row r="290" spans="1:33" s="258" customFormat="1" x14ac:dyDescent="0.15">
      <c r="A290" s="271">
        <v>95130019</v>
      </c>
      <c r="B290" t="s">
        <v>6487</v>
      </c>
      <c r="C290" s="268" t="s">
        <v>6316</v>
      </c>
      <c r="D290" s="272">
        <v>5081</v>
      </c>
      <c r="E290" s="272" t="s">
        <v>4876</v>
      </c>
      <c r="F290" s="272" t="s">
        <v>4877</v>
      </c>
      <c r="G290" s="269">
        <v>6</v>
      </c>
      <c r="H290" s="273">
        <v>0</v>
      </c>
      <c r="I290" s="283">
        <v>34</v>
      </c>
      <c r="J290" s="284" t="s">
        <v>5108</v>
      </c>
      <c r="K290" s="285" t="s">
        <v>5109</v>
      </c>
      <c r="L290" s="272" t="s">
        <v>4887</v>
      </c>
      <c r="M290" s="272">
        <v>1</v>
      </c>
      <c r="N290" s="272" t="b">
        <v>1</v>
      </c>
      <c r="O290" s="272">
        <v>64</v>
      </c>
      <c r="P290" s="281">
        <v>960</v>
      </c>
      <c r="Q290" s="281">
        <v>1280</v>
      </c>
      <c r="R290" s="272" t="s">
        <v>3383</v>
      </c>
      <c r="S290" s="272"/>
      <c r="T290" s="272">
        <v>1</v>
      </c>
      <c r="U290" s="272" t="s">
        <v>4880</v>
      </c>
      <c r="V290" s="273">
        <v>10</v>
      </c>
      <c r="W290" s="273"/>
      <c r="X290" s="272" t="s">
        <v>4881</v>
      </c>
      <c r="Y290" t="s">
        <v>6484</v>
      </c>
      <c r="Z290" t="s">
        <v>6485</v>
      </c>
      <c r="AA290" s="272" t="s">
        <v>4884</v>
      </c>
      <c r="AB290" s="272"/>
      <c r="AC290" s="289">
        <v>1</v>
      </c>
      <c r="AD290" s="289">
        <v>1</v>
      </c>
      <c r="AE290" s="289"/>
      <c r="AF290" s="272"/>
      <c r="AG290" s="272"/>
    </row>
    <row r="291" spans="1:33" s="258" customFormat="1" x14ac:dyDescent="0.15">
      <c r="A291" s="271">
        <v>95130020</v>
      </c>
      <c r="B291" t="s">
        <v>6488</v>
      </c>
      <c r="C291" s="268" t="s">
        <v>6316</v>
      </c>
      <c r="D291" s="272">
        <v>5081</v>
      </c>
      <c r="E291" s="272" t="s">
        <v>4876</v>
      </c>
      <c r="F291" s="272" t="s">
        <v>4877</v>
      </c>
      <c r="G291" s="269">
        <v>7</v>
      </c>
      <c r="H291" s="273">
        <v>0</v>
      </c>
      <c r="I291" s="283">
        <v>34</v>
      </c>
      <c r="J291" s="284" t="s">
        <v>5108</v>
      </c>
      <c r="K291" s="285" t="s">
        <v>5109</v>
      </c>
      <c r="L291" s="272" t="s">
        <v>4889</v>
      </c>
      <c r="M291" s="272">
        <v>1</v>
      </c>
      <c r="N291" s="272" t="b">
        <v>1</v>
      </c>
      <c r="O291" s="272">
        <v>77</v>
      </c>
      <c r="P291" s="281">
        <v>1155</v>
      </c>
      <c r="Q291" s="281">
        <v>1540</v>
      </c>
      <c r="R291" s="272" t="s">
        <v>3383</v>
      </c>
      <c r="S291" s="272"/>
      <c r="T291" s="272">
        <v>1</v>
      </c>
      <c r="U291" s="272" t="s">
        <v>4880</v>
      </c>
      <c r="V291" s="273">
        <v>10</v>
      </c>
      <c r="W291" s="273"/>
      <c r="X291" s="272" t="s">
        <v>4881</v>
      </c>
      <c r="Y291" t="s">
        <v>6484</v>
      </c>
      <c r="Z291" t="s">
        <v>6485</v>
      </c>
      <c r="AA291" s="272" t="s">
        <v>4884</v>
      </c>
      <c r="AB291" s="272"/>
      <c r="AC291" s="289">
        <v>1</v>
      </c>
      <c r="AD291" s="289">
        <v>1</v>
      </c>
      <c r="AE291" s="289"/>
      <c r="AF291" s="272"/>
      <c r="AG291" s="272"/>
    </row>
    <row r="292" spans="1:33" s="145" customFormat="1" x14ac:dyDescent="0.15">
      <c r="A292" s="267">
        <v>95130021</v>
      </c>
      <c r="B292" t="s">
        <v>6489</v>
      </c>
      <c r="C292" s="268" t="s">
        <v>6316</v>
      </c>
      <c r="D292" s="293">
        <v>5091</v>
      </c>
      <c r="E292" s="268" t="s">
        <v>4876</v>
      </c>
      <c r="F292" s="268" t="s">
        <v>4877</v>
      </c>
      <c r="G292" s="269">
        <v>1</v>
      </c>
      <c r="H292" s="269">
        <v>0</v>
      </c>
      <c r="I292" s="267">
        <v>34</v>
      </c>
      <c r="J292" s="282" t="s">
        <v>5116</v>
      </c>
      <c r="K292" s="279" t="s">
        <v>5117</v>
      </c>
      <c r="L292" s="279"/>
      <c r="M292" s="268">
        <v>1</v>
      </c>
      <c r="N292" s="268" t="b">
        <v>1</v>
      </c>
      <c r="O292" s="268">
        <v>2</v>
      </c>
      <c r="P292" s="281">
        <v>30</v>
      </c>
      <c r="Q292" s="281">
        <v>40</v>
      </c>
      <c r="R292" s="268" t="s">
        <v>3383</v>
      </c>
      <c r="S292" s="268"/>
      <c r="T292" s="268">
        <v>1</v>
      </c>
      <c r="U292" s="268" t="s">
        <v>4880</v>
      </c>
      <c r="V292" s="269">
        <v>1</v>
      </c>
      <c r="W292" s="269"/>
      <c r="X292" s="268" t="s">
        <v>4881</v>
      </c>
      <c r="Y292" t="s">
        <v>6490</v>
      </c>
      <c r="Z292" t="s">
        <v>6491</v>
      </c>
      <c r="AA292" s="268" t="s">
        <v>4884</v>
      </c>
      <c r="AB292" s="268"/>
      <c r="AC292" s="287">
        <v>1</v>
      </c>
      <c r="AD292" s="287">
        <v>1</v>
      </c>
      <c r="AE292" s="268"/>
      <c r="AF292" s="268"/>
      <c r="AG292" s="290"/>
    </row>
    <row r="293" spans="1:33" s="145" customFormat="1" x14ac:dyDescent="0.15">
      <c r="A293" s="267">
        <v>95130022</v>
      </c>
      <c r="B293" t="s">
        <v>6489</v>
      </c>
      <c r="C293" s="268" t="s">
        <v>6316</v>
      </c>
      <c r="D293" s="293">
        <v>5091</v>
      </c>
      <c r="E293" s="268" t="s">
        <v>4876</v>
      </c>
      <c r="F293" s="268" t="s">
        <v>4877</v>
      </c>
      <c r="G293" s="269">
        <v>2</v>
      </c>
      <c r="H293" s="269">
        <v>0</v>
      </c>
      <c r="I293" s="267">
        <v>34</v>
      </c>
      <c r="J293" s="282" t="s">
        <v>5116</v>
      </c>
      <c r="K293" s="279" t="s">
        <v>5117</v>
      </c>
      <c r="L293" s="279"/>
      <c r="M293" s="268">
        <v>1</v>
      </c>
      <c r="N293" s="268" t="b">
        <v>1</v>
      </c>
      <c r="O293" s="268">
        <v>5</v>
      </c>
      <c r="P293" s="281">
        <v>75</v>
      </c>
      <c r="Q293" s="281">
        <v>100</v>
      </c>
      <c r="R293" s="268" t="s">
        <v>3383</v>
      </c>
      <c r="S293" s="268"/>
      <c r="T293" s="268">
        <v>1</v>
      </c>
      <c r="U293" s="268" t="s">
        <v>4880</v>
      </c>
      <c r="V293" s="269">
        <v>2</v>
      </c>
      <c r="W293" s="269"/>
      <c r="X293" s="268" t="s">
        <v>4881</v>
      </c>
      <c r="Y293" t="s">
        <v>6490</v>
      </c>
      <c r="Z293" t="s">
        <v>6491</v>
      </c>
      <c r="AA293" s="268" t="s">
        <v>4884</v>
      </c>
      <c r="AB293" s="268"/>
      <c r="AC293" s="287">
        <v>1</v>
      </c>
      <c r="AD293" s="287">
        <v>1</v>
      </c>
      <c r="AE293" s="268"/>
      <c r="AF293" s="268"/>
      <c r="AG293" s="290"/>
    </row>
    <row r="294" spans="1:33" s="145" customFormat="1" x14ac:dyDescent="0.15">
      <c r="A294" s="267">
        <v>95130023</v>
      </c>
      <c r="B294" t="s">
        <v>6489</v>
      </c>
      <c r="C294" s="268" t="s">
        <v>6316</v>
      </c>
      <c r="D294" s="293">
        <v>5091</v>
      </c>
      <c r="E294" s="268" t="s">
        <v>4876</v>
      </c>
      <c r="F294" s="268" t="s">
        <v>4877</v>
      </c>
      <c r="G294" s="269">
        <v>3</v>
      </c>
      <c r="H294" s="269">
        <v>0</v>
      </c>
      <c r="I294" s="267">
        <v>34</v>
      </c>
      <c r="J294" s="282" t="s">
        <v>5116</v>
      </c>
      <c r="K294" s="279" t="s">
        <v>5117</v>
      </c>
      <c r="L294" s="279"/>
      <c r="M294" s="268">
        <v>1</v>
      </c>
      <c r="N294" s="268" t="b">
        <v>1</v>
      </c>
      <c r="O294" s="268">
        <v>7</v>
      </c>
      <c r="P294" s="281">
        <v>105</v>
      </c>
      <c r="Q294" s="281">
        <v>140</v>
      </c>
      <c r="R294" s="268" t="s">
        <v>3383</v>
      </c>
      <c r="S294" s="268"/>
      <c r="T294" s="268">
        <v>1</v>
      </c>
      <c r="U294" s="268" t="s">
        <v>4880</v>
      </c>
      <c r="V294" s="269">
        <v>3</v>
      </c>
      <c r="W294" s="269"/>
      <c r="X294" s="268" t="s">
        <v>4881</v>
      </c>
      <c r="Y294" t="s">
        <v>6490</v>
      </c>
      <c r="Z294" t="s">
        <v>6491</v>
      </c>
      <c r="AA294" s="268" t="s">
        <v>4884</v>
      </c>
      <c r="AB294" s="268"/>
      <c r="AC294" s="287">
        <v>1</v>
      </c>
      <c r="AD294" s="287">
        <v>1</v>
      </c>
      <c r="AE294" s="268"/>
      <c r="AF294" s="268"/>
      <c r="AG294" s="290"/>
    </row>
    <row r="295" spans="1:33" s="145" customFormat="1" x14ac:dyDescent="0.15">
      <c r="A295" s="267">
        <v>95130024</v>
      </c>
      <c r="B295" t="s">
        <v>6489</v>
      </c>
      <c r="C295" s="268" t="s">
        <v>6316</v>
      </c>
      <c r="D295" s="293">
        <v>5091</v>
      </c>
      <c r="E295" s="268" t="s">
        <v>4876</v>
      </c>
      <c r="F295" s="268" t="s">
        <v>4877</v>
      </c>
      <c r="G295" s="269">
        <v>4</v>
      </c>
      <c r="H295" s="269">
        <v>0</v>
      </c>
      <c r="I295" s="267">
        <v>34</v>
      </c>
      <c r="J295" s="282" t="s">
        <v>5116</v>
      </c>
      <c r="K295" s="279" t="s">
        <v>5117</v>
      </c>
      <c r="L295" s="279"/>
      <c r="M295" s="268">
        <v>1</v>
      </c>
      <c r="N295" s="268" t="b">
        <v>1</v>
      </c>
      <c r="O295" s="268">
        <v>10</v>
      </c>
      <c r="P295" s="281">
        <v>150</v>
      </c>
      <c r="Q295" s="281">
        <v>200</v>
      </c>
      <c r="R295" s="268" t="s">
        <v>3383</v>
      </c>
      <c r="S295" s="268"/>
      <c r="T295" s="268">
        <v>1</v>
      </c>
      <c r="U295" s="268" t="s">
        <v>4880</v>
      </c>
      <c r="V295" s="269">
        <v>4</v>
      </c>
      <c r="W295" s="269"/>
      <c r="X295" s="268" t="s">
        <v>4881</v>
      </c>
      <c r="Y295" t="s">
        <v>6490</v>
      </c>
      <c r="Z295" t="s">
        <v>6491</v>
      </c>
      <c r="AA295" s="268" t="s">
        <v>4884</v>
      </c>
      <c r="AB295" s="268"/>
      <c r="AC295" s="287">
        <v>1</v>
      </c>
      <c r="AD295" s="287">
        <v>1</v>
      </c>
      <c r="AE295" s="268"/>
      <c r="AF295" s="268"/>
      <c r="AG295" s="290"/>
    </row>
    <row r="296" spans="1:33" s="145" customFormat="1" x14ac:dyDescent="0.15">
      <c r="A296" s="267">
        <v>95130025</v>
      </c>
      <c r="B296" t="s">
        <v>6489</v>
      </c>
      <c r="C296" s="268" t="s">
        <v>6316</v>
      </c>
      <c r="D296" s="293">
        <v>5091</v>
      </c>
      <c r="E296" s="268" t="s">
        <v>4876</v>
      </c>
      <c r="F296" s="268" t="s">
        <v>4877</v>
      </c>
      <c r="G296" s="269">
        <v>5</v>
      </c>
      <c r="H296" s="269">
        <v>0</v>
      </c>
      <c r="I296" s="267">
        <v>34</v>
      </c>
      <c r="J296" s="282" t="s">
        <v>5116</v>
      </c>
      <c r="K296" s="279" t="s">
        <v>5117</v>
      </c>
      <c r="L296" s="279"/>
      <c r="M296" s="268">
        <v>1</v>
      </c>
      <c r="N296" s="268" t="b">
        <v>1</v>
      </c>
      <c r="O296" s="268">
        <v>12</v>
      </c>
      <c r="P296" s="281">
        <v>180</v>
      </c>
      <c r="Q296" s="281">
        <v>240</v>
      </c>
      <c r="R296" s="268" t="s">
        <v>3383</v>
      </c>
      <c r="S296" s="268"/>
      <c r="T296" s="268">
        <v>1</v>
      </c>
      <c r="U296" s="268" t="s">
        <v>4880</v>
      </c>
      <c r="V296" s="269">
        <v>5</v>
      </c>
      <c r="W296" s="269"/>
      <c r="X296" s="268" t="s">
        <v>4881</v>
      </c>
      <c r="Y296" t="s">
        <v>6490</v>
      </c>
      <c r="Z296" t="s">
        <v>6491</v>
      </c>
      <c r="AA296" s="268" t="s">
        <v>4884</v>
      </c>
      <c r="AB296" s="268"/>
      <c r="AC296" s="287">
        <v>1</v>
      </c>
      <c r="AD296" s="287">
        <v>1</v>
      </c>
      <c r="AE296" s="268"/>
      <c r="AF296" s="268"/>
      <c r="AG296" s="290"/>
    </row>
    <row r="297" spans="1:33" s="258" customFormat="1" x14ac:dyDescent="0.15">
      <c r="A297" s="270">
        <v>95130026</v>
      </c>
      <c r="B297" t="s">
        <v>6489</v>
      </c>
      <c r="C297" s="268" t="s">
        <v>6316</v>
      </c>
      <c r="D297" s="268">
        <v>5091</v>
      </c>
      <c r="E297" s="268" t="s">
        <v>4876</v>
      </c>
      <c r="F297" s="268" t="s">
        <v>4877</v>
      </c>
      <c r="G297" s="269">
        <v>6</v>
      </c>
      <c r="H297" s="269">
        <v>0</v>
      </c>
      <c r="I297" s="267">
        <v>34</v>
      </c>
      <c r="J297" s="282" t="s">
        <v>5116</v>
      </c>
      <c r="K297" s="279" t="s">
        <v>5117</v>
      </c>
      <c r="L297" s="279"/>
      <c r="M297" s="268">
        <v>1</v>
      </c>
      <c r="N297" s="268" t="b">
        <v>1</v>
      </c>
      <c r="O297" s="268">
        <v>25</v>
      </c>
      <c r="P297" s="281">
        <v>375</v>
      </c>
      <c r="Q297" s="281">
        <v>500</v>
      </c>
      <c r="R297" s="268" t="s">
        <v>3383</v>
      </c>
      <c r="S297" s="268"/>
      <c r="T297" s="268">
        <v>1</v>
      </c>
      <c r="U297" s="268" t="s">
        <v>4880</v>
      </c>
      <c r="V297" s="269">
        <v>7</v>
      </c>
      <c r="W297" s="269"/>
      <c r="X297" s="268" t="s">
        <v>4881</v>
      </c>
      <c r="Y297" t="s">
        <v>6490</v>
      </c>
      <c r="Z297" t="s">
        <v>6491</v>
      </c>
      <c r="AA297" s="268" t="s">
        <v>4884</v>
      </c>
      <c r="AB297" s="268"/>
      <c r="AC297" s="287">
        <v>1</v>
      </c>
      <c r="AD297" s="287">
        <v>1</v>
      </c>
      <c r="AE297" s="268"/>
      <c r="AF297" s="268"/>
      <c r="AG297" s="290"/>
    </row>
    <row r="298" spans="1:33" s="145" customFormat="1" x14ac:dyDescent="0.15">
      <c r="A298" s="270">
        <v>95130027</v>
      </c>
      <c r="B298" t="s">
        <v>6489</v>
      </c>
      <c r="C298" s="268" t="s">
        <v>6316</v>
      </c>
      <c r="D298" s="268">
        <v>5091</v>
      </c>
      <c r="E298" s="268" t="s">
        <v>4876</v>
      </c>
      <c r="F298" s="268" t="s">
        <v>4877</v>
      </c>
      <c r="G298" s="269">
        <v>7</v>
      </c>
      <c r="H298" s="269">
        <v>0</v>
      </c>
      <c r="I298" s="267">
        <v>34</v>
      </c>
      <c r="J298" s="282" t="s">
        <v>5116</v>
      </c>
      <c r="K298" s="279" t="s">
        <v>5117</v>
      </c>
      <c r="L298" s="279"/>
      <c r="M298" s="268">
        <v>1</v>
      </c>
      <c r="N298" s="268" t="b">
        <v>1</v>
      </c>
      <c r="O298" s="268">
        <v>38</v>
      </c>
      <c r="P298" s="281">
        <v>570</v>
      </c>
      <c r="Q298" s="281">
        <v>760</v>
      </c>
      <c r="R298" s="268" t="s">
        <v>3383</v>
      </c>
      <c r="S298" s="268"/>
      <c r="T298" s="268">
        <v>1</v>
      </c>
      <c r="U298" s="268" t="s">
        <v>4880</v>
      </c>
      <c r="V298" s="269">
        <v>10</v>
      </c>
      <c r="W298" s="269"/>
      <c r="X298" s="268" t="s">
        <v>4881</v>
      </c>
      <c r="Y298" t="s">
        <v>6490</v>
      </c>
      <c r="Z298" t="s">
        <v>6491</v>
      </c>
      <c r="AA298" s="268" t="s">
        <v>4884</v>
      </c>
      <c r="AB298" s="268"/>
      <c r="AC298" s="287">
        <v>1</v>
      </c>
      <c r="AD298" s="287">
        <v>1</v>
      </c>
      <c r="AE298" s="268"/>
      <c r="AF298" s="268"/>
      <c r="AG298" s="290"/>
    </row>
    <row r="299" spans="1:33" s="258" customFormat="1" x14ac:dyDescent="0.15">
      <c r="A299" s="271">
        <v>95130028</v>
      </c>
      <c r="B299" t="s">
        <v>6492</v>
      </c>
      <c r="C299" s="268" t="s">
        <v>6316</v>
      </c>
      <c r="D299" s="272">
        <v>5081</v>
      </c>
      <c r="E299" s="272" t="s">
        <v>4876</v>
      </c>
      <c r="F299" s="272" t="s">
        <v>4877</v>
      </c>
      <c r="G299" s="269">
        <v>6</v>
      </c>
      <c r="H299" s="273">
        <v>0</v>
      </c>
      <c r="I299" s="283">
        <v>34</v>
      </c>
      <c r="J299" s="284" t="s">
        <v>5116</v>
      </c>
      <c r="K299" s="285" t="s">
        <v>5117</v>
      </c>
      <c r="L299" s="272" t="s">
        <v>44</v>
      </c>
      <c r="M299" s="272">
        <v>1</v>
      </c>
      <c r="N299" s="272" t="b">
        <v>1</v>
      </c>
      <c r="O299" s="272">
        <v>51</v>
      </c>
      <c r="P299" s="281">
        <v>765</v>
      </c>
      <c r="Q299" s="281">
        <v>1020</v>
      </c>
      <c r="R299" s="272" t="s">
        <v>3383</v>
      </c>
      <c r="S299" s="272"/>
      <c r="T299" s="272">
        <v>1</v>
      </c>
      <c r="U299" s="272" t="s">
        <v>4880</v>
      </c>
      <c r="V299" s="273">
        <v>10</v>
      </c>
      <c r="W299" s="273"/>
      <c r="X299" s="272" t="s">
        <v>4881</v>
      </c>
      <c r="Y299" t="s">
        <v>6490</v>
      </c>
      <c r="Z299" t="s">
        <v>6491</v>
      </c>
      <c r="AA299" s="272" t="s">
        <v>4884</v>
      </c>
      <c r="AB299" s="272"/>
      <c r="AC299" s="289">
        <v>1</v>
      </c>
      <c r="AD299" s="289">
        <v>1</v>
      </c>
      <c r="AE299" s="289"/>
      <c r="AF299" s="272"/>
      <c r="AG299" s="272"/>
    </row>
    <row r="300" spans="1:33" s="258" customFormat="1" x14ac:dyDescent="0.15">
      <c r="A300" s="271">
        <v>95130029</v>
      </c>
      <c r="B300" t="s">
        <v>6493</v>
      </c>
      <c r="C300" s="268" t="s">
        <v>6316</v>
      </c>
      <c r="D300" s="272">
        <v>5081</v>
      </c>
      <c r="E300" s="272" t="s">
        <v>4876</v>
      </c>
      <c r="F300" s="272" t="s">
        <v>4877</v>
      </c>
      <c r="G300" s="269">
        <v>6</v>
      </c>
      <c r="H300" s="273">
        <v>0</v>
      </c>
      <c r="I300" s="283">
        <v>34</v>
      </c>
      <c r="J300" s="284" t="s">
        <v>5116</v>
      </c>
      <c r="K300" s="285" t="s">
        <v>5117</v>
      </c>
      <c r="L300" s="272" t="s">
        <v>4887</v>
      </c>
      <c r="M300" s="272">
        <v>1</v>
      </c>
      <c r="N300" s="272" t="b">
        <v>1</v>
      </c>
      <c r="O300" s="272">
        <v>64</v>
      </c>
      <c r="P300" s="281">
        <v>960</v>
      </c>
      <c r="Q300" s="281">
        <v>1280</v>
      </c>
      <c r="R300" s="272" t="s">
        <v>3383</v>
      </c>
      <c r="S300" s="272"/>
      <c r="T300" s="272">
        <v>1</v>
      </c>
      <c r="U300" s="272" t="s">
        <v>4880</v>
      </c>
      <c r="V300" s="273">
        <v>10</v>
      </c>
      <c r="W300" s="273"/>
      <c r="X300" s="272" t="s">
        <v>4881</v>
      </c>
      <c r="Y300" t="s">
        <v>6490</v>
      </c>
      <c r="Z300" t="s">
        <v>6491</v>
      </c>
      <c r="AA300" s="272" t="s">
        <v>4884</v>
      </c>
      <c r="AB300" s="272"/>
      <c r="AC300" s="289">
        <v>1</v>
      </c>
      <c r="AD300" s="289">
        <v>1</v>
      </c>
      <c r="AE300" s="289"/>
      <c r="AF300" s="272"/>
      <c r="AG300" s="272"/>
    </row>
    <row r="301" spans="1:33" s="258" customFormat="1" x14ac:dyDescent="0.15">
      <c r="A301" s="271">
        <v>95130030</v>
      </c>
      <c r="B301" t="s">
        <v>6494</v>
      </c>
      <c r="C301" s="268" t="s">
        <v>6316</v>
      </c>
      <c r="D301" s="272">
        <v>5081</v>
      </c>
      <c r="E301" s="272" t="s">
        <v>4876</v>
      </c>
      <c r="F301" s="272" t="s">
        <v>4877</v>
      </c>
      <c r="G301" s="269">
        <v>7</v>
      </c>
      <c r="H301" s="273">
        <v>0</v>
      </c>
      <c r="I301" s="283">
        <v>34</v>
      </c>
      <c r="J301" s="284" t="s">
        <v>5116</v>
      </c>
      <c r="K301" s="285" t="s">
        <v>5117</v>
      </c>
      <c r="L301" s="272" t="s">
        <v>4889</v>
      </c>
      <c r="M301" s="272">
        <v>1</v>
      </c>
      <c r="N301" s="272" t="b">
        <v>1</v>
      </c>
      <c r="O301" s="272">
        <v>77</v>
      </c>
      <c r="P301" s="281">
        <v>1155</v>
      </c>
      <c r="Q301" s="281">
        <v>1540</v>
      </c>
      <c r="R301" s="272" t="s">
        <v>3383</v>
      </c>
      <c r="S301" s="272"/>
      <c r="T301" s="272">
        <v>1</v>
      </c>
      <c r="U301" s="272" t="s">
        <v>4880</v>
      </c>
      <c r="V301" s="273">
        <v>10</v>
      </c>
      <c r="W301" s="273"/>
      <c r="X301" s="272" t="s">
        <v>4881</v>
      </c>
      <c r="Y301" t="s">
        <v>6490</v>
      </c>
      <c r="Z301" t="s">
        <v>6491</v>
      </c>
      <c r="AA301" s="272" t="s">
        <v>4884</v>
      </c>
      <c r="AB301" s="272"/>
      <c r="AC301" s="289">
        <v>1</v>
      </c>
      <c r="AD301" s="289">
        <v>1</v>
      </c>
      <c r="AE301" s="289"/>
      <c r="AF301" s="272"/>
      <c r="AG301" s="272"/>
    </row>
    <row r="302" spans="1:33" s="145" customFormat="1" x14ac:dyDescent="0.15">
      <c r="A302" s="267">
        <v>95140011</v>
      </c>
      <c r="B302" t="s">
        <v>6495</v>
      </c>
      <c r="C302" s="268" t="s">
        <v>6316</v>
      </c>
      <c r="D302" s="293">
        <v>5091</v>
      </c>
      <c r="E302" s="268" t="s">
        <v>4876</v>
      </c>
      <c r="F302" s="268" t="s">
        <v>4877</v>
      </c>
      <c r="G302" s="269">
        <v>1</v>
      </c>
      <c r="H302" s="269">
        <v>0</v>
      </c>
      <c r="I302" s="267">
        <v>34</v>
      </c>
      <c r="J302" s="282" t="s">
        <v>5124</v>
      </c>
      <c r="K302" s="279" t="s">
        <v>5125</v>
      </c>
      <c r="L302" s="279"/>
      <c r="M302" s="268">
        <v>1</v>
      </c>
      <c r="N302" s="268" t="b">
        <v>1</v>
      </c>
      <c r="O302" s="268">
        <v>2</v>
      </c>
      <c r="P302" s="281">
        <v>30</v>
      </c>
      <c r="Q302" s="281">
        <v>40</v>
      </c>
      <c r="R302" s="268" t="s">
        <v>3383</v>
      </c>
      <c r="S302" s="268"/>
      <c r="T302" s="268">
        <v>1</v>
      </c>
      <c r="U302" s="268" t="s">
        <v>4880</v>
      </c>
      <c r="V302" s="269">
        <v>1</v>
      </c>
      <c r="W302" s="269"/>
      <c r="X302" s="268" t="s">
        <v>4881</v>
      </c>
      <c r="Y302" t="s">
        <v>6496</v>
      </c>
      <c r="Z302" t="s">
        <v>6497</v>
      </c>
      <c r="AA302" s="268" t="s">
        <v>4884</v>
      </c>
      <c r="AB302" s="268"/>
      <c r="AC302" s="287">
        <v>1</v>
      </c>
      <c r="AD302" s="287">
        <v>1</v>
      </c>
      <c r="AE302" s="268"/>
      <c r="AF302" s="268"/>
      <c r="AG302" s="290"/>
    </row>
    <row r="303" spans="1:33" s="145" customFormat="1" x14ac:dyDescent="0.15">
      <c r="A303" s="267">
        <v>95140012</v>
      </c>
      <c r="B303" t="s">
        <v>6495</v>
      </c>
      <c r="C303" s="268" t="s">
        <v>6316</v>
      </c>
      <c r="D303" s="293">
        <v>5091</v>
      </c>
      <c r="E303" s="268" t="s">
        <v>4876</v>
      </c>
      <c r="F303" s="268" t="s">
        <v>4877</v>
      </c>
      <c r="G303" s="269">
        <v>2</v>
      </c>
      <c r="H303" s="269">
        <v>0</v>
      </c>
      <c r="I303" s="267">
        <v>34</v>
      </c>
      <c r="J303" s="282" t="s">
        <v>5124</v>
      </c>
      <c r="K303" s="279" t="s">
        <v>5125</v>
      </c>
      <c r="L303" s="279"/>
      <c r="M303" s="268">
        <v>1</v>
      </c>
      <c r="N303" s="268" t="b">
        <v>1</v>
      </c>
      <c r="O303" s="268">
        <v>5</v>
      </c>
      <c r="P303" s="281">
        <v>75</v>
      </c>
      <c r="Q303" s="281">
        <v>100</v>
      </c>
      <c r="R303" s="268" t="s">
        <v>3383</v>
      </c>
      <c r="S303" s="268"/>
      <c r="T303" s="268">
        <v>1</v>
      </c>
      <c r="U303" s="268" t="s">
        <v>4880</v>
      </c>
      <c r="V303" s="269">
        <v>2</v>
      </c>
      <c r="W303" s="269"/>
      <c r="X303" s="268" t="s">
        <v>4881</v>
      </c>
      <c r="Y303" t="s">
        <v>6496</v>
      </c>
      <c r="Z303" t="s">
        <v>6497</v>
      </c>
      <c r="AA303" s="268" t="s">
        <v>4884</v>
      </c>
      <c r="AB303" s="268"/>
      <c r="AC303" s="287">
        <v>1</v>
      </c>
      <c r="AD303" s="287">
        <v>1</v>
      </c>
      <c r="AE303" s="268"/>
      <c r="AF303" s="268"/>
      <c r="AG303" s="290"/>
    </row>
    <row r="304" spans="1:33" s="145" customFormat="1" x14ac:dyDescent="0.15">
      <c r="A304" s="267">
        <v>95140013</v>
      </c>
      <c r="B304" t="s">
        <v>6495</v>
      </c>
      <c r="C304" s="268" t="s">
        <v>6316</v>
      </c>
      <c r="D304" s="293">
        <v>5091</v>
      </c>
      <c r="E304" s="268" t="s">
        <v>4876</v>
      </c>
      <c r="F304" s="268" t="s">
        <v>4877</v>
      </c>
      <c r="G304" s="269">
        <v>3</v>
      </c>
      <c r="H304" s="269">
        <v>0</v>
      </c>
      <c r="I304" s="267">
        <v>34</v>
      </c>
      <c r="J304" s="282" t="s">
        <v>5124</v>
      </c>
      <c r="K304" s="279" t="s">
        <v>5125</v>
      </c>
      <c r="L304" s="279"/>
      <c r="M304" s="268">
        <v>1</v>
      </c>
      <c r="N304" s="268" t="b">
        <v>1</v>
      </c>
      <c r="O304" s="268">
        <v>7</v>
      </c>
      <c r="P304" s="281">
        <v>105</v>
      </c>
      <c r="Q304" s="281">
        <v>140</v>
      </c>
      <c r="R304" s="268" t="s">
        <v>3383</v>
      </c>
      <c r="S304" s="268"/>
      <c r="T304" s="268">
        <v>1</v>
      </c>
      <c r="U304" s="268" t="s">
        <v>4880</v>
      </c>
      <c r="V304" s="269">
        <v>3</v>
      </c>
      <c r="W304" s="269"/>
      <c r="X304" s="268" t="s">
        <v>4881</v>
      </c>
      <c r="Y304" t="s">
        <v>6496</v>
      </c>
      <c r="Z304" t="s">
        <v>6497</v>
      </c>
      <c r="AA304" s="268" t="s">
        <v>4884</v>
      </c>
      <c r="AB304" s="268"/>
      <c r="AC304" s="287">
        <v>1</v>
      </c>
      <c r="AD304" s="287">
        <v>1</v>
      </c>
      <c r="AE304" s="268"/>
      <c r="AF304" s="268"/>
      <c r="AG304" s="290"/>
    </row>
    <row r="305" spans="1:33" s="145" customFormat="1" x14ac:dyDescent="0.15">
      <c r="A305" s="267">
        <v>95140014</v>
      </c>
      <c r="B305" t="s">
        <v>6495</v>
      </c>
      <c r="C305" s="268" t="s">
        <v>6316</v>
      </c>
      <c r="D305" s="293">
        <v>5091</v>
      </c>
      <c r="E305" s="268" t="s">
        <v>4876</v>
      </c>
      <c r="F305" s="268" t="s">
        <v>4877</v>
      </c>
      <c r="G305" s="269">
        <v>4</v>
      </c>
      <c r="H305" s="269">
        <v>0</v>
      </c>
      <c r="I305" s="267">
        <v>34</v>
      </c>
      <c r="J305" s="282" t="s">
        <v>5124</v>
      </c>
      <c r="K305" s="279" t="s">
        <v>5125</v>
      </c>
      <c r="L305" s="279"/>
      <c r="M305" s="268">
        <v>1</v>
      </c>
      <c r="N305" s="268" t="b">
        <v>1</v>
      </c>
      <c r="O305" s="268">
        <v>10</v>
      </c>
      <c r="P305" s="281">
        <v>150</v>
      </c>
      <c r="Q305" s="281">
        <v>200</v>
      </c>
      <c r="R305" s="268" t="s">
        <v>3383</v>
      </c>
      <c r="S305" s="268"/>
      <c r="T305" s="268">
        <v>1</v>
      </c>
      <c r="U305" s="268" t="s">
        <v>4880</v>
      </c>
      <c r="V305" s="269">
        <v>4</v>
      </c>
      <c r="W305" s="269"/>
      <c r="X305" s="268" t="s">
        <v>4881</v>
      </c>
      <c r="Y305" t="s">
        <v>6496</v>
      </c>
      <c r="Z305" t="s">
        <v>6497</v>
      </c>
      <c r="AA305" s="268" t="s">
        <v>4884</v>
      </c>
      <c r="AB305" s="268"/>
      <c r="AC305" s="287">
        <v>1</v>
      </c>
      <c r="AD305" s="287">
        <v>1</v>
      </c>
      <c r="AE305" s="268"/>
      <c r="AF305" s="268"/>
      <c r="AG305" s="290"/>
    </row>
    <row r="306" spans="1:33" s="145" customFormat="1" x14ac:dyDescent="0.15">
      <c r="A306" s="267">
        <v>95140015</v>
      </c>
      <c r="B306" t="s">
        <v>6495</v>
      </c>
      <c r="C306" s="268" t="s">
        <v>6316</v>
      </c>
      <c r="D306" s="293">
        <v>5091</v>
      </c>
      <c r="E306" s="268" t="s">
        <v>4876</v>
      </c>
      <c r="F306" s="268" t="s">
        <v>4877</v>
      </c>
      <c r="G306" s="269">
        <v>5</v>
      </c>
      <c r="H306" s="269">
        <v>0</v>
      </c>
      <c r="I306" s="267">
        <v>34</v>
      </c>
      <c r="J306" s="282" t="s">
        <v>5124</v>
      </c>
      <c r="K306" s="279" t="s">
        <v>5125</v>
      </c>
      <c r="L306" s="279"/>
      <c r="M306" s="268">
        <v>1</v>
      </c>
      <c r="N306" s="268" t="b">
        <v>1</v>
      </c>
      <c r="O306" s="268">
        <v>12</v>
      </c>
      <c r="P306" s="281">
        <v>180</v>
      </c>
      <c r="Q306" s="281">
        <v>240</v>
      </c>
      <c r="R306" s="268" t="s">
        <v>3383</v>
      </c>
      <c r="S306" s="268"/>
      <c r="T306" s="268">
        <v>1</v>
      </c>
      <c r="U306" s="268" t="s">
        <v>4880</v>
      </c>
      <c r="V306" s="269">
        <v>5</v>
      </c>
      <c r="W306" s="269"/>
      <c r="X306" s="268" t="s">
        <v>4881</v>
      </c>
      <c r="Y306" t="s">
        <v>6496</v>
      </c>
      <c r="Z306" t="s">
        <v>6497</v>
      </c>
      <c r="AA306" s="268" t="s">
        <v>4884</v>
      </c>
      <c r="AB306" s="268"/>
      <c r="AC306" s="287">
        <v>1</v>
      </c>
      <c r="AD306" s="287">
        <v>1</v>
      </c>
      <c r="AE306" s="268"/>
      <c r="AF306" s="268"/>
      <c r="AG306" s="290"/>
    </row>
    <row r="307" spans="1:33" s="145" customFormat="1" x14ac:dyDescent="0.15">
      <c r="A307" s="267">
        <v>95140016</v>
      </c>
      <c r="B307" t="s">
        <v>6495</v>
      </c>
      <c r="C307" s="268" t="s">
        <v>6316</v>
      </c>
      <c r="D307" s="268">
        <v>5091</v>
      </c>
      <c r="E307" s="268" t="s">
        <v>4876</v>
      </c>
      <c r="F307" s="268" t="s">
        <v>4877</v>
      </c>
      <c r="G307" s="269">
        <v>6</v>
      </c>
      <c r="H307" s="269">
        <v>0</v>
      </c>
      <c r="I307" s="267">
        <v>34</v>
      </c>
      <c r="J307" s="282" t="s">
        <v>5124</v>
      </c>
      <c r="K307" s="279" t="s">
        <v>5125</v>
      </c>
      <c r="L307" s="279"/>
      <c r="M307" s="268">
        <v>1</v>
      </c>
      <c r="N307" s="268" t="b">
        <v>1</v>
      </c>
      <c r="O307" s="268">
        <v>25</v>
      </c>
      <c r="P307" s="281">
        <v>375</v>
      </c>
      <c r="Q307" s="281">
        <v>500</v>
      </c>
      <c r="R307" s="268" t="s">
        <v>3383</v>
      </c>
      <c r="S307" s="268"/>
      <c r="T307" s="268">
        <v>1</v>
      </c>
      <c r="U307" s="268" t="s">
        <v>4880</v>
      </c>
      <c r="V307" s="269">
        <v>7</v>
      </c>
      <c r="W307" s="269"/>
      <c r="X307" s="268" t="s">
        <v>4881</v>
      </c>
      <c r="Y307" t="s">
        <v>6496</v>
      </c>
      <c r="Z307" t="s">
        <v>6497</v>
      </c>
      <c r="AA307" s="268" t="s">
        <v>4884</v>
      </c>
      <c r="AB307" s="268"/>
      <c r="AC307" s="287">
        <v>1</v>
      </c>
      <c r="AD307" s="287">
        <v>1</v>
      </c>
      <c r="AE307" s="268"/>
      <c r="AF307" s="268"/>
      <c r="AG307" s="290"/>
    </row>
    <row r="308" spans="1:33" s="145" customFormat="1" x14ac:dyDescent="0.15">
      <c r="A308" s="267">
        <v>95140017</v>
      </c>
      <c r="B308" t="s">
        <v>6495</v>
      </c>
      <c r="C308" s="268" t="s">
        <v>6316</v>
      </c>
      <c r="D308" s="268">
        <v>5091</v>
      </c>
      <c r="E308" s="268" t="s">
        <v>4876</v>
      </c>
      <c r="F308" s="268" t="s">
        <v>4877</v>
      </c>
      <c r="G308" s="269">
        <v>7</v>
      </c>
      <c r="H308" s="269">
        <v>0</v>
      </c>
      <c r="I308" s="267">
        <v>34</v>
      </c>
      <c r="J308" s="282" t="s">
        <v>5124</v>
      </c>
      <c r="K308" s="279" t="s">
        <v>5125</v>
      </c>
      <c r="L308" s="279"/>
      <c r="M308" s="268">
        <v>1</v>
      </c>
      <c r="N308" s="268" t="b">
        <v>1</v>
      </c>
      <c r="O308" s="268">
        <v>38</v>
      </c>
      <c r="P308" s="281">
        <v>570</v>
      </c>
      <c r="Q308" s="281">
        <v>760</v>
      </c>
      <c r="R308" s="268" t="s">
        <v>3383</v>
      </c>
      <c r="S308" s="268"/>
      <c r="T308" s="268">
        <v>1</v>
      </c>
      <c r="U308" s="268" t="s">
        <v>4880</v>
      </c>
      <c r="V308" s="269">
        <v>10</v>
      </c>
      <c r="W308" s="269"/>
      <c r="X308" s="268" t="s">
        <v>4881</v>
      </c>
      <c r="Y308" t="s">
        <v>6496</v>
      </c>
      <c r="Z308" t="s">
        <v>6497</v>
      </c>
      <c r="AA308" s="268" t="s">
        <v>4884</v>
      </c>
      <c r="AB308" s="268"/>
      <c r="AC308" s="287">
        <v>1</v>
      </c>
      <c r="AD308" s="287">
        <v>1</v>
      </c>
      <c r="AE308" s="268"/>
      <c r="AF308" s="268"/>
      <c r="AG308" s="290"/>
    </row>
    <row r="309" spans="1:33" s="258" customFormat="1" x14ac:dyDescent="0.15">
      <c r="A309" s="271">
        <v>95140018</v>
      </c>
      <c r="B309" t="s">
        <v>6498</v>
      </c>
      <c r="C309" s="268" t="s">
        <v>6316</v>
      </c>
      <c r="D309" s="272">
        <v>5081</v>
      </c>
      <c r="E309" s="272" t="s">
        <v>4876</v>
      </c>
      <c r="F309" s="272" t="s">
        <v>4877</v>
      </c>
      <c r="G309" s="269">
        <v>6</v>
      </c>
      <c r="H309" s="273">
        <v>1</v>
      </c>
      <c r="I309" s="283">
        <v>34</v>
      </c>
      <c r="J309" s="284" t="s">
        <v>5124</v>
      </c>
      <c r="K309" s="285" t="s">
        <v>5125</v>
      </c>
      <c r="L309" s="272" t="s">
        <v>44</v>
      </c>
      <c r="M309" s="272">
        <v>1</v>
      </c>
      <c r="N309" s="272" t="b">
        <v>1</v>
      </c>
      <c r="O309" s="272">
        <v>51</v>
      </c>
      <c r="P309" s="281">
        <v>765</v>
      </c>
      <c r="Q309" s="281">
        <v>1020</v>
      </c>
      <c r="R309" s="272" t="s">
        <v>3383</v>
      </c>
      <c r="S309" s="272"/>
      <c r="T309" s="272">
        <v>1</v>
      </c>
      <c r="U309" s="272" t="s">
        <v>4880</v>
      </c>
      <c r="V309" s="273">
        <v>10</v>
      </c>
      <c r="W309" s="273"/>
      <c r="X309" s="272" t="s">
        <v>4881</v>
      </c>
      <c r="Y309" t="s">
        <v>6496</v>
      </c>
      <c r="Z309" t="s">
        <v>6497</v>
      </c>
      <c r="AA309" s="272" t="s">
        <v>4884</v>
      </c>
      <c r="AB309" s="272"/>
      <c r="AC309" s="289">
        <v>1</v>
      </c>
      <c r="AD309" s="289">
        <v>1</v>
      </c>
      <c r="AE309" s="289"/>
      <c r="AF309" s="272"/>
      <c r="AG309" s="272"/>
    </row>
    <row r="310" spans="1:33" s="258" customFormat="1" x14ac:dyDescent="0.15">
      <c r="A310" s="271">
        <v>95140019</v>
      </c>
      <c r="B310" t="s">
        <v>6499</v>
      </c>
      <c r="C310" s="268" t="s">
        <v>6316</v>
      </c>
      <c r="D310" s="272">
        <v>5081</v>
      </c>
      <c r="E310" s="272" t="s">
        <v>4876</v>
      </c>
      <c r="F310" s="272" t="s">
        <v>4877</v>
      </c>
      <c r="G310" s="269">
        <v>6</v>
      </c>
      <c r="H310" s="273">
        <v>1</v>
      </c>
      <c r="I310" s="283">
        <v>34</v>
      </c>
      <c r="J310" s="284" t="s">
        <v>5124</v>
      </c>
      <c r="K310" s="285" t="s">
        <v>5125</v>
      </c>
      <c r="L310" s="272" t="s">
        <v>4887</v>
      </c>
      <c r="M310" s="272">
        <v>1</v>
      </c>
      <c r="N310" s="272" t="b">
        <v>1</v>
      </c>
      <c r="O310" s="272">
        <v>64</v>
      </c>
      <c r="P310" s="281">
        <v>960</v>
      </c>
      <c r="Q310" s="281">
        <v>1280</v>
      </c>
      <c r="R310" s="272" t="s">
        <v>3383</v>
      </c>
      <c r="S310" s="272"/>
      <c r="T310" s="272">
        <v>1</v>
      </c>
      <c r="U310" s="272" t="s">
        <v>4880</v>
      </c>
      <c r="V310" s="273">
        <v>10</v>
      </c>
      <c r="W310" s="273"/>
      <c r="X310" s="272" t="s">
        <v>4881</v>
      </c>
      <c r="Y310" t="s">
        <v>6496</v>
      </c>
      <c r="Z310" t="s">
        <v>6497</v>
      </c>
      <c r="AA310" s="272" t="s">
        <v>4884</v>
      </c>
      <c r="AB310" s="272"/>
      <c r="AC310" s="289">
        <v>1</v>
      </c>
      <c r="AD310" s="289">
        <v>1</v>
      </c>
      <c r="AE310" s="289"/>
      <c r="AF310" s="272"/>
      <c r="AG310" s="272"/>
    </row>
    <row r="311" spans="1:33" s="258" customFormat="1" x14ac:dyDescent="0.15">
      <c r="A311" s="271">
        <v>95140020</v>
      </c>
      <c r="B311" t="s">
        <v>6500</v>
      </c>
      <c r="C311" s="268" t="s">
        <v>6316</v>
      </c>
      <c r="D311" s="272">
        <v>5081</v>
      </c>
      <c r="E311" s="272" t="s">
        <v>4876</v>
      </c>
      <c r="F311" s="272" t="s">
        <v>4877</v>
      </c>
      <c r="G311" s="269">
        <v>7</v>
      </c>
      <c r="H311" s="273">
        <v>0</v>
      </c>
      <c r="I311" s="283">
        <v>34</v>
      </c>
      <c r="J311" s="284" t="s">
        <v>5124</v>
      </c>
      <c r="K311" s="285" t="s">
        <v>5125</v>
      </c>
      <c r="L311" s="272" t="s">
        <v>4889</v>
      </c>
      <c r="M311" s="272">
        <v>1</v>
      </c>
      <c r="N311" s="272" t="b">
        <v>1</v>
      </c>
      <c r="O311" s="272">
        <v>77</v>
      </c>
      <c r="P311" s="281">
        <v>1155</v>
      </c>
      <c r="Q311" s="281">
        <v>1540</v>
      </c>
      <c r="R311" s="272" t="s">
        <v>3383</v>
      </c>
      <c r="S311" s="272"/>
      <c r="T311" s="272">
        <v>1</v>
      </c>
      <c r="U311" s="272" t="s">
        <v>4880</v>
      </c>
      <c r="V311" s="273">
        <v>10</v>
      </c>
      <c r="W311" s="273"/>
      <c r="X311" s="272" t="s">
        <v>4881</v>
      </c>
      <c r="Y311" t="s">
        <v>6496</v>
      </c>
      <c r="Z311" t="s">
        <v>6497</v>
      </c>
      <c r="AA311" s="272" t="s">
        <v>4884</v>
      </c>
      <c r="AB311" s="272"/>
      <c r="AC311" s="289">
        <v>1</v>
      </c>
      <c r="AD311" s="289">
        <v>1</v>
      </c>
      <c r="AE311" s="289"/>
      <c r="AF311" s="272"/>
      <c r="AG311" s="272"/>
    </row>
    <row r="312" spans="1:33" s="145" customFormat="1" x14ac:dyDescent="0.15">
      <c r="A312" s="267">
        <v>95150011</v>
      </c>
      <c r="B312" t="s">
        <v>6501</v>
      </c>
      <c r="C312" s="268" t="s">
        <v>6316</v>
      </c>
      <c r="D312" s="293">
        <v>5091</v>
      </c>
      <c r="E312" s="268" t="s">
        <v>4876</v>
      </c>
      <c r="F312" s="268" t="s">
        <v>4877</v>
      </c>
      <c r="G312" s="269">
        <v>1</v>
      </c>
      <c r="H312" s="269">
        <v>0</v>
      </c>
      <c r="I312" s="267">
        <v>34</v>
      </c>
      <c r="J312" s="282" t="s">
        <v>5132</v>
      </c>
      <c r="K312" s="279" t="s">
        <v>5133</v>
      </c>
      <c r="L312" s="279"/>
      <c r="M312" s="268">
        <v>1</v>
      </c>
      <c r="N312" s="268" t="b">
        <v>1</v>
      </c>
      <c r="O312" s="268">
        <v>2</v>
      </c>
      <c r="P312" s="281">
        <v>30</v>
      </c>
      <c r="Q312" s="281">
        <v>40</v>
      </c>
      <c r="R312" s="268" t="s">
        <v>3383</v>
      </c>
      <c r="S312" s="268"/>
      <c r="T312" s="268">
        <v>1</v>
      </c>
      <c r="U312" s="268" t="s">
        <v>4880</v>
      </c>
      <c r="V312" s="269">
        <v>1</v>
      </c>
      <c r="W312" s="269"/>
      <c r="X312" s="268" t="s">
        <v>4881</v>
      </c>
      <c r="Y312" t="s">
        <v>6502</v>
      </c>
      <c r="Z312" t="s">
        <v>6503</v>
      </c>
      <c r="AA312" s="268" t="s">
        <v>4884</v>
      </c>
      <c r="AB312" s="268"/>
      <c r="AC312" s="287">
        <v>1</v>
      </c>
      <c r="AD312" s="287">
        <v>1</v>
      </c>
      <c r="AE312" s="268"/>
      <c r="AF312" s="268"/>
      <c r="AG312" s="290"/>
    </row>
    <row r="313" spans="1:33" s="145" customFormat="1" x14ac:dyDescent="0.15">
      <c r="A313" s="267">
        <v>95150012</v>
      </c>
      <c r="B313" t="s">
        <v>6501</v>
      </c>
      <c r="C313" s="268" t="s">
        <v>6316</v>
      </c>
      <c r="D313" s="293">
        <v>5091</v>
      </c>
      <c r="E313" s="268" t="s">
        <v>4876</v>
      </c>
      <c r="F313" s="268" t="s">
        <v>4877</v>
      </c>
      <c r="G313" s="269">
        <v>2</v>
      </c>
      <c r="H313" s="269">
        <v>0</v>
      </c>
      <c r="I313" s="267">
        <v>34</v>
      </c>
      <c r="J313" s="282" t="s">
        <v>5132</v>
      </c>
      <c r="K313" s="279" t="s">
        <v>5133</v>
      </c>
      <c r="L313" s="279"/>
      <c r="M313" s="268">
        <v>1</v>
      </c>
      <c r="N313" s="268" t="b">
        <v>1</v>
      </c>
      <c r="O313" s="268">
        <v>5</v>
      </c>
      <c r="P313" s="281">
        <v>75</v>
      </c>
      <c r="Q313" s="281">
        <v>100</v>
      </c>
      <c r="R313" s="268" t="s">
        <v>3383</v>
      </c>
      <c r="S313" s="268"/>
      <c r="T313" s="268">
        <v>1</v>
      </c>
      <c r="U313" s="268" t="s">
        <v>4880</v>
      </c>
      <c r="V313" s="269">
        <v>2</v>
      </c>
      <c r="W313" s="269"/>
      <c r="X313" s="268" t="s">
        <v>4881</v>
      </c>
      <c r="Y313" t="s">
        <v>6502</v>
      </c>
      <c r="Z313" t="s">
        <v>6503</v>
      </c>
      <c r="AA313" s="268" t="s">
        <v>4884</v>
      </c>
      <c r="AB313" s="268"/>
      <c r="AC313" s="287">
        <v>1</v>
      </c>
      <c r="AD313" s="287">
        <v>1</v>
      </c>
      <c r="AE313" s="268"/>
      <c r="AF313" s="268"/>
      <c r="AG313" s="290"/>
    </row>
    <row r="314" spans="1:33" s="145" customFormat="1" x14ac:dyDescent="0.15">
      <c r="A314" s="267">
        <v>95150013</v>
      </c>
      <c r="B314" t="s">
        <v>6501</v>
      </c>
      <c r="C314" s="268" t="s">
        <v>6316</v>
      </c>
      <c r="D314" s="293">
        <v>5091</v>
      </c>
      <c r="E314" s="268" t="s">
        <v>4876</v>
      </c>
      <c r="F314" s="268" t="s">
        <v>4877</v>
      </c>
      <c r="G314" s="269">
        <v>3</v>
      </c>
      <c r="H314" s="269">
        <v>0</v>
      </c>
      <c r="I314" s="267">
        <v>34</v>
      </c>
      <c r="J314" s="282" t="s">
        <v>5132</v>
      </c>
      <c r="K314" s="279" t="s">
        <v>5133</v>
      </c>
      <c r="L314" s="279"/>
      <c r="M314" s="268">
        <v>1</v>
      </c>
      <c r="N314" s="268" t="b">
        <v>1</v>
      </c>
      <c r="O314" s="268">
        <v>7</v>
      </c>
      <c r="P314" s="281">
        <v>105</v>
      </c>
      <c r="Q314" s="281">
        <v>140</v>
      </c>
      <c r="R314" s="268" t="s">
        <v>3383</v>
      </c>
      <c r="S314" s="268"/>
      <c r="T314" s="268">
        <v>1</v>
      </c>
      <c r="U314" s="268" t="s">
        <v>4880</v>
      </c>
      <c r="V314" s="269">
        <v>3</v>
      </c>
      <c r="W314" s="269"/>
      <c r="X314" s="268" t="s">
        <v>4881</v>
      </c>
      <c r="Y314" t="s">
        <v>6502</v>
      </c>
      <c r="Z314" t="s">
        <v>6503</v>
      </c>
      <c r="AA314" s="268" t="s">
        <v>4884</v>
      </c>
      <c r="AB314" s="268"/>
      <c r="AC314" s="287">
        <v>1</v>
      </c>
      <c r="AD314" s="287">
        <v>1</v>
      </c>
      <c r="AE314" s="268"/>
      <c r="AF314" s="268"/>
      <c r="AG314" s="290"/>
    </row>
    <row r="315" spans="1:33" s="145" customFormat="1" x14ac:dyDescent="0.15">
      <c r="A315" s="267">
        <v>95150014</v>
      </c>
      <c r="B315" t="s">
        <v>6501</v>
      </c>
      <c r="C315" s="268" t="s">
        <v>6316</v>
      </c>
      <c r="D315" s="293">
        <v>5091</v>
      </c>
      <c r="E315" s="268" t="s">
        <v>4876</v>
      </c>
      <c r="F315" s="268" t="s">
        <v>4877</v>
      </c>
      <c r="G315" s="269">
        <v>4</v>
      </c>
      <c r="H315" s="269">
        <v>0</v>
      </c>
      <c r="I315" s="267">
        <v>34</v>
      </c>
      <c r="J315" s="282" t="s">
        <v>5132</v>
      </c>
      <c r="K315" s="279" t="s">
        <v>5133</v>
      </c>
      <c r="L315" s="279"/>
      <c r="M315" s="268">
        <v>1</v>
      </c>
      <c r="N315" s="268" t="b">
        <v>1</v>
      </c>
      <c r="O315" s="268">
        <v>10</v>
      </c>
      <c r="P315" s="281">
        <v>150</v>
      </c>
      <c r="Q315" s="281">
        <v>200</v>
      </c>
      <c r="R315" s="268" t="s">
        <v>3383</v>
      </c>
      <c r="S315" s="268"/>
      <c r="T315" s="268">
        <v>1</v>
      </c>
      <c r="U315" s="268" t="s">
        <v>4880</v>
      </c>
      <c r="V315" s="269">
        <v>4</v>
      </c>
      <c r="W315" s="269"/>
      <c r="X315" s="268" t="s">
        <v>4881</v>
      </c>
      <c r="Y315" t="s">
        <v>6502</v>
      </c>
      <c r="Z315" t="s">
        <v>6503</v>
      </c>
      <c r="AA315" s="268" t="s">
        <v>4884</v>
      </c>
      <c r="AB315" s="268"/>
      <c r="AC315" s="287">
        <v>1</v>
      </c>
      <c r="AD315" s="287">
        <v>1</v>
      </c>
      <c r="AE315" s="268"/>
      <c r="AF315" s="268"/>
      <c r="AG315" s="290"/>
    </row>
    <row r="316" spans="1:33" s="145" customFormat="1" x14ac:dyDescent="0.15">
      <c r="A316" s="267">
        <v>95150015</v>
      </c>
      <c r="B316" t="s">
        <v>6501</v>
      </c>
      <c r="C316" s="268" t="s">
        <v>6316</v>
      </c>
      <c r="D316" s="293">
        <v>5091</v>
      </c>
      <c r="E316" s="268" t="s">
        <v>4876</v>
      </c>
      <c r="F316" s="268" t="s">
        <v>4877</v>
      </c>
      <c r="G316" s="269">
        <v>5</v>
      </c>
      <c r="H316" s="269">
        <v>0</v>
      </c>
      <c r="I316" s="267">
        <v>34</v>
      </c>
      <c r="J316" s="282" t="s">
        <v>5132</v>
      </c>
      <c r="K316" s="279" t="s">
        <v>5133</v>
      </c>
      <c r="L316" s="279"/>
      <c r="M316" s="268">
        <v>1</v>
      </c>
      <c r="N316" s="268" t="b">
        <v>1</v>
      </c>
      <c r="O316" s="268">
        <v>12</v>
      </c>
      <c r="P316" s="281">
        <v>180</v>
      </c>
      <c r="Q316" s="281">
        <v>240</v>
      </c>
      <c r="R316" s="268" t="s">
        <v>3383</v>
      </c>
      <c r="S316" s="268"/>
      <c r="T316" s="268">
        <v>1</v>
      </c>
      <c r="U316" s="268" t="s">
        <v>4880</v>
      </c>
      <c r="V316" s="269">
        <v>5</v>
      </c>
      <c r="W316" s="269"/>
      <c r="X316" s="268" t="s">
        <v>4881</v>
      </c>
      <c r="Y316" t="s">
        <v>6502</v>
      </c>
      <c r="Z316" t="s">
        <v>6503</v>
      </c>
      <c r="AA316" s="268" t="s">
        <v>4884</v>
      </c>
      <c r="AB316" s="268"/>
      <c r="AC316" s="287">
        <v>1</v>
      </c>
      <c r="AD316" s="287">
        <v>1</v>
      </c>
      <c r="AE316" s="268"/>
      <c r="AF316" s="268"/>
      <c r="AG316" s="290"/>
    </row>
    <row r="317" spans="1:33" s="145" customFormat="1" x14ac:dyDescent="0.15">
      <c r="A317" s="270">
        <v>95150016</v>
      </c>
      <c r="B317" t="s">
        <v>6501</v>
      </c>
      <c r="C317" s="268" t="s">
        <v>6316</v>
      </c>
      <c r="D317" s="268">
        <v>5091</v>
      </c>
      <c r="E317" s="268" t="s">
        <v>4876</v>
      </c>
      <c r="F317" s="268" t="s">
        <v>4877</v>
      </c>
      <c r="G317" s="269">
        <v>6</v>
      </c>
      <c r="H317" s="269">
        <v>0</v>
      </c>
      <c r="I317" s="267">
        <v>34</v>
      </c>
      <c r="J317" s="282" t="s">
        <v>5132</v>
      </c>
      <c r="K317" s="279" t="s">
        <v>5133</v>
      </c>
      <c r="L317" s="279"/>
      <c r="M317" s="268">
        <v>1</v>
      </c>
      <c r="N317" s="268" t="b">
        <v>1</v>
      </c>
      <c r="O317" s="268">
        <v>25</v>
      </c>
      <c r="P317" s="281">
        <v>375</v>
      </c>
      <c r="Q317" s="281">
        <v>500</v>
      </c>
      <c r="R317" s="268" t="s">
        <v>3383</v>
      </c>
      <c r="S317" s="268"/>
      <c r="T317" s="268">
        <v>1</v>
      </c>
      <c r="U317" s="268" t="s">
        <v>4880</v>
      </c>
      <c r="V317" s="269">
        <v>7</v>
      </c>
      <c r="W317" s="269"/>
      <c r="X317" s="268" t="s">
        <v>4881</v>
      </c>
      <c r="Y317" t="s">
        <v>6502</v>
      </c>
      <c r="Z317" t="s">
        <v>6503</v>
      </c>
      <c r="AA317" s="268" t="s">
        <v>4884</v>
      </c>
      <c r="AB317" s="268"/>
      <c r="AC317" s="287">
        <v>1</v>
      </c>
      <c r="AD317" s="287">
        <v>1</v>
      </c>
      <c r="AE317" s="268"/>
      <c r="AF317" s="268"/>
      <c r="AG317" s="290"/>
    </row>
    <row r="318" spans="1:33" s="145" customFormat="1" x14ac:dyDescent="0.15">
      <c r="A318" s="270">
        <v>95150017</v>
      </c>
      <c r="B318" t="s">
        <v>6501</v>
      </c>
      <c r="C318" s="268" t="s">
        <v>6316</v>
      </c>
      <c r="D318" s="268">
        <v>5091</v>
      </c>
      <c r="E318" s="268" t="s">
        <v>4876</v>
      </c>
      <c r="F318" s="268" t="s">
        <v>4877</v>
      </c>
      <c r="G318" s="269">
        <v>7</v>
      </c>
      <c r="H318" s="269">
        <v>0</v>
      </c>
      <c r="I318" s="267">
        <v>34</v>
      </c>
      <c r="J318" s="282" t="s">
        <v>5132</v>
      </c>
      <c r="K318" s="279" t="s">
        <v>5133</v>
      </c>
      <c r="L318" s="279"/>
      <c r="M318" s="268">
        <v>1</v>
      </c>
      <c r="N318" s="268" t="b">
        <v>1</v>
      </c>
      <c r="O318" s="268">
        <v>38</v>
      </c>
      <c r="P318" s="281">
        <v>570</v>
      </c>
      <c r="Q318" s="281">
        <v>760</v>
      </c>
      <c r="R318" s="268" t="s">
        <v>3383</v>
      </c>
      <c r="S318" s="268"/>
      <c r="T318" s="268">
        <v>1</v>
      </c>
      <c r="U318" s="268" t="s">
        <v>4880</v>
      </c>
      <c r="V318" s="269">
        <v>10</v>
      </c>
      <c r="W318" s="269"/>
      <c r="X318" s="268" t="s">
        <v>4881</v>
      </c>
      <c r="Y318" t="s">
        <v>6502</v>
      </c>
      <c r="Z318" t="s">
        <v>6503</v>
      </c>
      <c r="AA318" s="268" t="s">
        <v>4884</v>
      </c>
      <c r="AB318" s="268"/>
      <c r="AC318" s="287">
        <v>1</v>
      </c>
      <c r="AD318" s="287">
        <v>1</v>
      </c>
      <c r="AE318" s="268"/>
      <c r="AF318" s="268"/>
      <c r="AG318" s="290"/>
    </row>
    <row r="319" spans="1:33" s="258" customFormat="1" x14ac:dyDescent="0.15">
      <c r="A319" s="271">
        <v>95150018</v>
      </c>
      <c r="B319" t="s">
        <v>6504</v>
      </c>
      <c r="C319" s="268" t="s">
        <v>6316</v>
      </c>
      <c r="D319" s="272">
        <v>5081</v>
      </c>
      <c r="E319" s="272" t="s">
        <v>4876</v>
      </c>
      <c r="F319" s="272" t="s">
        <v>4877</v>
      </c>
      <c r="G319" s="269">
        <v>6</v>
      </c>
      <c r="H319" s="273">
        <v>0</v>
      </c>
      <c r="I319" s="283">
        <v>34</v>
      </c>
      <c r="J319" s="284" t="s">
        <v>5132</v>
      </c>
      <c r="K319" s="285" t="s">
        <v>5133</v>
      </c>
      <c r="L319" s="272" t="s">
        <v>44</v>
      </c>
      <c r="M319" s="272">
        <v>1</v>
      </c>
      <c r="N319" s="272" t="b">
        <v>1</v>
      </c>
      <c r="O319" s="272">
        <v>51</v>
      </c>
      <c r="P319" s="281">
        <v>765</v>
      </c>
      <c r="Q319" s="281">
        <v>1020</v>
      </c>
      <c r="R319" s="272" t="s">
        <v>3383</v>
      </c>
      <c r="S319" s="272"/>
      <c r="T319" s="272">
        <v>1</v>
      </c>
      <c r="U319" s="272" t="s">
        <v>4880</v>
      </c>
      <c r="V319" s="273">
        <v>10</v>
      </c>
      <c r="W319" s="273"/>
      <c r="X319" s="272" t="s">
        <v>4881</v>
      </c>
      <c r="Y319" t="s">
        <v>6502</v>
      </c>
      <c r="Z319" t="s">
        <v>6503</v>
      </c>
      <c r="AA319" s="272" t="s">
        <v>4884</v>
      </c>
      <c r="AB319" s="272"/>
      <c r="AC319" s="289">
        <v>1</v>
      </c>
      <c r="AD319" s="289">
        <v>1</v>
      </c>
      <c r="AE319" s="289"/>
      <c r="AF319" s="272"/>
      <c r="AG319" s="272"/>
    </row>
    <row r="320" spans="1:33" s="258" customFormat="1" x14ac:dyDescent="0.15">
      <c r="A320" s="271">
        <v>95150019</v>
      </c>
      <c r="B320" t="s">
        <v>6505</v>
      </c>
      <c r="C320" s="268" t="s">
        <v>6316</v>
      </c>
      <c r="D320" s="272">
        <v>5081</v>
      </c>
      <c r="E320" s="272" t="s">
        <v>4876</v>
      </c>
      <c r="F320" s="272" t="s">
        <v>4877</v>
      </c>
      <c r="G320" s="269">
        <v>6</v>
      </c>
      <c r="H320" s="273">
        <v>0</v>
      </c>
      <c r="I320" s="283">
        <v>34</v>
      </c>
      <c r="J320" s="284" t="s">
        <v>5132</v>
      </c>
      <c r="K320" s="285" t="s">
        <v>5133</v>
      </c>
      <c r="L320" s="272" t="s">
        <v>4887</v>
      </c>
      <c r="M320" s="272">
        <v>1</v>
      </c>
      <c r="N320" s="272" t="b">
        <v>1</v>
      </c>
      <c r="O320" s="272">
        <v>64</v>
      </c>
      <c r="P320" s="281">
        <v>960</v>
      </c>
      <c r="Q320" s="281">
        <v>1280</v>
      </c>
      <c r="R320" s="272" t="s">
        <v>3383</v>
      </c>
      <c r="S320" s="272"/>
      <c r="T320" s="272">
        <v>1</v>
      </c>
      <c r="U320" s="272" t="s">
        <v>4880</v>
      </c>
      <c r="V320" s="273">
        <v>10</v>
      </c>
      <c r="W320" s="273"/>
      <c r="X320" s="272" t="s">
        <v>4881</v>
      </c>
      <c r="Y320" t="s">
        <v>6502</v>
      </c>
      <c r="Z320" t="s">
        <v>6503</v>
      </c>
      <c r="AA320" s="272" t="s">
        <v>4884</v>
      </c>
      <c r="AB320" s="272"/>
      <c r="AC320" s="289">
        <v>1</v>
      </c>
      <c r="AD320" s="289">
        <v>1</v>
      </c>
      <c r="AE320" s="289"/>
      <c r="AF320" s="272"/>
      <c r="AG320" s="272"/>
    </row>
    <row r="321" spans="1:33" s="258" customFormat="1" x14ac:dyDescent="0.15">
      <c r="A321" s="271">
        <v>95150020</v>
      </c>
      <c r="B321" t="s">
        <v>6506</v>
      </c>
      <c r="C321" s="268" t="s">
        <v>6316</v>
      </c>
      <c r="D321" s="272">
        <v>5081</v>
      </c>
      <c r="E321" s="272" t="s">
        <v>4876</v>
      </c>
      <c r="F321" s="272" t="s">
        <v>4877</v>
      </c>
      <c r="G321" s="269">
        <v>7</v>
      </c>
      <c r="H321" s="273">
        <v>0</v>
      </c>
      <c r="I321" s="283">
        <v>34</v>
      </c>
      <c r="J321" s="284" t="s">
        <v>5132</v>
      </c>
      <c r="K321" s="285" t="s">
        <v>5133</v>
      </c>
      <c r="L321" s="272" t="s">
        <v>4889</v>
      </c>
      <c r="M321" s="272">
        <v>1</v>
      </c>
      <c r="N321" s="272" t="b">
        <v>1</v>
      </c>
      <c r="O321" s="272">
        <v>77</v>
      </c>
      <c r="P321" s="281">
        <v>1155</v>
      </c>
      <c r="Q321" s="281">
        <v>1540</v>
      </c>
      <c r="R321" s="272" t="s">
        <v>3383</v>
      </c>
      <c r="S321" s="272"/>
      <c r="T321" s="272">
        <v>1</v>
      </c>
      <c r="U321" s="272" t="s">
        <v>4880</v>
      </c>
      <c r="V321" s="273">
        <v>10</v>
      </c>
      <c r="W321" s="273"/>
      <c r="X321" s="272" t="s">
        <v>4881</v>
      </c>
      <c r="Y321" t="s">
        <v>6502</v>
      </c>
      <c r="Z321" t="s">
        <v>6503</v>
      </c>
      <c r="AA321" s="272" t="s">
        <v>4884</v>
      </c>
      <c r="AB321" s="272"/>
      <c r="AC321" s="289">
        <v>1</v>
      </c>
      <c r="AD321" s="289">
        <v>1</v>
      </c>
      <c r="AE321" s="289"/>
      <c r="AF321" s="272"/>
      <c r="AG321" s="272"/>
    </row>
    <row r="322" spans="1:33" s="145" customFormat="1" x14ac:dyDescent="0.15">
      <c r="A322" s="267">
        <v>95150021</v>
      </c>
      <c r="B322" t="s">
        <v>6507</v>
      </c>
      <c r="C322" s="268" t="s">
        <v>6316</v>
      </c>
      <c r="D322" s="293">
        <v>5091</v>
      </c>
      <c r="E322" s="268" t="s">
        <v>4876</v>
      </c>
      <c r="F322" s="268" t="s">
        <v>4877</v>
      </c>
      <c r="G322" s="269">
        <v>1</v>
      </c>
      <c r="H322" s="269">
        <v>0</v>
      </c>
      <c r="I322" s="267">
        <v>34</v>
      </c>
      <c r="J322" s="282" t="s">
        <v>5140</v>
      </c>
      <c r="K322" s="279" t="s">
        <v>5141</v>
      </c>
      <c r="L322" s="279"/>
      <c r="M322" s="268">
        <v>1</v>
      </c>
      <c r="N322" s="268" t="b">
        <v>1</v>
      </c>
      <c r="O322" s="268">
        <v>2</v>
      </c>
      <c r="P322" s="281">
        <v>30</v>
      </c>
      <c r="Q322" s="281">
        <v>40</v>
      </c>
      <c r="R322" s="268" t="s">
        <v>3383</v>
      </c>
      <c r="S322" s="268"/>
      <c r="T322" s="268">
        <v>1</v>
      </c>
      <c r="U322" s="268" t="s">
        <v>4880</v>
      </c>
      <c r="V322" s="269">
        <v>1</v>
      </c>
      <c r="W322" s="269"/>
      <c r="X322" s="268" t="s">
        <v>4881</v>
      </c>
      <c r="Y322" t="s">
        <v>6508</v>
      </c>
      <c r="Z322" t="s">
        <v>6509</v>
      </c>
      <c r="AA322" s="268" t="s">
        <v>4884</v>
      </c>
      <c r="AB322" s="268"/>
      <c r="AC322" s="287">
        <v>1</v>
      </c>
      <c r="AD322" s="287">
        <v>1</v>
      </c>
      <c r="AE322" s="268"/>
      <c r="AF322" s="268"/>
      <c r="AG322" s="290"/>
    </row>
    <row r="323" spans="1:33" s="145" customFormat="1" x14ac:dyDescent="0.15">
      <c r="A323" s="267">
        <v>95150022</v>
      </c>
      <c r="B323" t="s">
        <v>6507</v>
      </c>
      <c r="C323" s="268" t="s">
        <v>6316</v>
      </c>
      <c r="D323" s="293">
        <v>5091</v>
      </c>
      <c r="E323" s="268" t="s">
        <v>4876</v>
      </c>
      <c r="F323" s="268" t="s">
        <v>4877</v>
      </c>
      <c r="G323" s="269">
        <v>2</v>
      </c>
      <c r="H323" s="269">
        <v>0</v>
      </c>
      <c r="I323" s="267">
        <v>34</v>
      </c>
      <c r="J323" s="282" t="s">
        <v>5140</v>
      </c>
      <c r="K323" s="279" t="s">
        <v>5141</v>
      </c>
      <c r="L323" s="279"/>
      <c r="M323" s="268">
        <v>1</v>
      </c>
      <c r="N323" s="268" t="b">
        <v>1</v>
      </c>
      <c r="O323" s="268">
        <v>5</v>
      </c>
      <c r="P323" s="281">
        <v>75</v>
      </c>
      <c r="Q323" s="281">
        <v>100</v>
      </c>
      <c r="R323" s="268" t="s">
        <v>3383</v>
      </c>
      <c r="S323" s="268"/>
      <c r="T323" s="268">
        <v>1</v>
      </c>
      <c r="U323" s="268" t="s">
        <v>4880</v>
      </c>
      <c r="V323" s="269">
        <v>2</v>
      </c>
      <c r="W323" s="269"/>
      <c r="X323" s="268" t="s">
        <v>4881</v>
      </c>
      <c r="Y323" t="s">
        <v>6508</v>
      </c>
      <c r="Z323" t="s">
        <v>6509</v>
      </c>
      <c r="AA323" s="268" t="s">
        <v>4884</v>
      </c>
      <c r="AB323" s="268"/>
      <c r="AC323" s="287">
        <v>1</v>
      </c>
      <c r="AD323" s="287">
        <v>1</v>
      </c>
      <c r="AE323" s="268"/>
      <c r="AF323" s="268"/>
      <c r="AG323" s="290"/>
    </row>
    <row r="324" spans="1:33" s="145" customFormat="1" x14ac:dyDescent="0.15">
      <c r="A324" s="267">
        <v>95150023</v>
      </c>
      <c r="B324" t="s">
        <v>6507</v>
      </c>
      <c r="C324" s="268" t="s">
        <v>6316</v>
      </c>
      <c r="D324" s="293">
        <v>5091</v>
      </c>
      <c r="E324" s="268" t="s">
        <v>4876</v>
      </c>
      <c r="F324" s="268" t="s">
        <v>4877</v>
      </c>
      <c r="G324" s="269">
        <v>3</v>
      </c>
      <c r="H324" s="269">
        <v>0</v>
      </c>
      <c r="I324" s="267">
        <v>34</v>
      </c>
      <c r="J324" s="282" t="s">
        <v>5140</v>
      </c>
      <c r="K324" s="279" t="s">
        <v>5141</v>
      </c>
      <c r="L324" s="279"/>
      <c r="M324" s="268">
        <v>1</v>
      </c>
      <c r="N324" s="268" t="b">
        <v>1</v>
      </c>
      <c r="O324" s="268">
        <v>7</v>
      </c>
      <c r="P324" s="281">
        <v>105</v>
      </c>
      <c r="Q324" s="281">
        <v>140</v>
      </c>
      <c r="R324" s="268" t="s">
        <v>3383</v>
      </c>
      <c r="S324" s="268"/>
      <c r="T324" s="268">
        <v>1</v>
      </c>
      <c r="U324" s="268" t="s">
        <v>4880</v>
      </c>
      <c r="V324" s="269">
        <v>3</v>
      </c>
      <c r="W324" s="269"/>
      <c r="X324" s="268" t="s">
        <v>4881</v>
      </c>
      <c r="Y324" t="s">
        <v>6508</v>
      </c>
      <c r="Z324" t="s">
        <v>6509</v>
      </c>
      <c r="AA324" s="268" t="s">
        <v>4884</v>
      </c>
      <c r="AB324" s="268"/>
      <c r="AC324" s="287">
        <v>1</v>
      </c>
      <c r="AD324" s="287">
        <v>1</v>
      </c>
      <c r="AE324" s="268"/>
      <c r="AF324" s="268"/>
      <c r="AG324" s="290"/>
    </row>
    <row r="325" spans="1:33" s="145" customFormat="1" x14ac:dyDescent="0.15">
      <c r="A325" s="267">
        <v>95150024</v>
      </c>
      <c r="B325" t="s">
        <v>6507</v>
      </c>
      <c r="C325" s="268" t="s">
        <v>6316</v>
      </c>
      <c r="D325" s="293">
        <v>5091</v>
      </c>
      <c r="E325" s="268" t="s">
        <v>4876</v>
      </c>
      <c r="F325" s="268" t="s">
        <v>4877</v>
      </c>
      <c r="G325" s="269">
        <v>4</v>
      </c>
      <c r="H325" s="269">
        <v>0</v>
      </c>
      <c r="I325" s="267">
        <v>34</v>
      </c>
      <c r="J325" s="282" t="s">
        <v>5140</v>
      </c>
      <c r="K325" s="279" t="s">
        <v>5141</v>
      </c>
      <c r="L325" s="279"/>
      <c r="M325" s="268">
        <v>1</v>
      </c>
      <c r="N325" s="268" t="b">
        <v>1</v>
      </c>
      <c r="O325" s="268">
        <v>10</v>
      </c>
      <c r="P325" s="281">
        <v>150</v>
      </c>
      <c r="Q325" s="281">
        <v>200</v>
      </c>
      <c r="R325" s="268" t="s">
        <v>3383</v>
      </c>
      <c r="S325" s="268"/>
      <c r="T325" s="268">
        <v>1</v>
      </c>
      <c r="U325" s="268" t="s">
        <v>4880</v>
      </c>
      <c r="V325" s="269">
        <v>4</v>
      </c>
      <c r="W325" s="269"/>
      <c r="X325" s="268" t="s">
        <v>4881</v>
      </c>
      <c r="Y325" t="s">
        <v>6508</v>
      </c>
      <c r="Z325" t="s">
        <v>6509</v>
      </c>
      <c r="AA325" s="268" t="s">
        <v>4884</v>
      </c>
      <c r="AB325" s="268"/>
      <c r="AC325" s="287">
        <v>1</v>
      </c>
      <c r="AD325" s="287">
        <v>1</v>
      </c>
      <c r="AE325" s="268"/>
      <c r="AF325" s="268"/>
      <c r="AG325" s="290"/>
    </row>
    <row r="326" spans="1:33" s="145" customFormat="1" x14ac:dyDescent="0.15">
      <c r="A326" s="267">
        <v>95150025</v>
      </c>
      <c r="B326" t="s">
        <v>6507</v>
      </c>
      <c r="C326" s="268" t="s">
        <v>6316</v>
      </c>
      <c r="D326" s="293">
        <v>5091</v>
      </c>
      <c r="E326" s="268" t="s">
        <v>4876</v>
      </c>
      <c r="F326" s="268" t="s">
        <v>4877</v>
      </c>
      <c r="G326" s="269">
        <v>5</v>
      </c>
      <c r="H326" s="269">
        <v>0</v>
      </c>
      <c r="I326" s="267">
        <v>34</v>
      </c>
      <c r="J326" s="282" t="s">
        <v>5140</v>
      </c>
      <c r="K326" s="279" t="s">
        <v>5141</v>
      </c>
      <c r="L326" s="279"/>
      <c r="M326" s="268">
        <v>1</v>
      </c>
      <c r="N326" s="268" t="b">
        <v>1</v>
      </c>
      <c r="O326" s="268">
        <v>12</v>
      </c>
      <c r="P326" s="281">
        <v>180</v>
      </c>
      <c r="Q326" s="281">
        <v>240</v>
      </c>
      <c r="R326" s="268" t="s">
        <v>3383</v>
      </c>
      <c r="S326" s="268"/>
      <c r="T326" s="268">
        <v>1</v>
      </c>
      <c r="U326" s="268" t="s">
        <v>4880</v>
      </c>
      <c r="V326" s="269">
        <v>5</v>
      </c>
      <c r="W326" s="269"/>
      <c r="X326" s="268" t="s">
        <v>4881</v>
      </c>
      <c r="Y326" t="s">
        <v>6508</v>
      </c>
      <c r="Z326" t="s">
        <v>6509</v>
      </c>
      <c r="AA326" s="268" t="s">
        <v>4884</v>
      </c>
      <c r="AB326" s="268"/>
      <c r="AC326" s="287">
        <v>1</v>
      </c>
      <c r="AD326" s="287">
        <v>1</v>
      </c>
      <c r="AE326" s="268"/>
      <c r="AF326" s="268"/>
      <c r="AG326" s="290"/>
    </row>
    <row r="327" spans="1:33" s="258" customFormat="1" x14ac:dyDescent="0.15">
      <c r="A327" s="270">
        <v>95150026</v>
      </c>
      <c r="B327" t="s">
        <v>6507</v>
      </c>
      <c r="C327" s="268" t="s">
        <v>6316</v>
      </c>
      <c r="D327" s="268">
        <v>5091</v>
      </c>
      <c r="E327" s="268" t="s">
        <v>4876</v>
      </c>
      <c r="F327" s="268" t="s">
        <v>4877</v>
      </c>
      <c r="G327" s="269">
        <v>6</v>
      </c>
      <c r="H327" s="269">
        <v>0</v>
      </c>
      <c r="I327" s="267">
        <v>34</v>
      </c>
      <c r="J327" s="282" t="s">
        <v>5140</v>
      </c>
      <c r="K327" s="279" t="s">
        <v>5141</v>
      </c>
      <c r="L327" s="279"/>
      <c r="M327" s="268">
        <v>1</v>
      </c>
      <c r="N327" s="268" t="b">
        <v>1</v>
      </c>
      <c r="O327" s="268">
        <v>25</v>
      </c>
      <c r="P327" s="281">
        <v>375</v>
      </c>
      <c r="Q327" s="281">
        <v>500</v>
      </c>
      <c r="R327" s="268" t="s">
        <v>3383</v>
      </c>
      <c r="S327" s="268"/>
      <c r="T327" s="268">
        <v>1</v>
      </c>
      <c r="U327" s="268" t="s">
        <v>4880</v>
      </c>
      <c r="V327" s="269">
        <v>7</v>
      </c>
      <c r="W327" s="269"/>
      <c r="X327" s="268" t="s">
        <v>4881</v>
      </c>
      <c r="Y327" t="s">
        <v>6508</v>
      </c>
      <c r="Z327" t="s">
        <v>6509</v>
      </c>
      <c r="AA327" s="268" t="s">
        <v>4884</v>
      </c>
      <c r="AB327" s="268"/>
      <c r="AC327" s="287">
        <v>1</v>
      </c>
      <c r="AD327" s="287">
        <v>1</v>
      </c>
      <c r="AE327" s="268"/>
      <c r="AF327" s="268"/>
      <c r="AG327" s="290"/>
    </row>
    <row r="328" spans="1:33" s="145" customFormat="1" x14ac:dyDescent="0.15">
      <c r="A328" s="270">
        <v>95150027</v>
      </c>
      <c r="B328" t="s">
        <v>6507</v>
      </c>
      <c r="C328" s="268" t="s">
        <v>6316</v>
      </c>
      <c r="D328" s="268">
        <v>5091</v>
      </c>
      <c r="E328" s="268" t="s">
        <v>4876</v>
      </c>
      <c r="F328" s="268" t="s">
        <v>4877</v>
      </c>
      <c r="G328" s="269">
        <v>7</v>
      </c>
      <c r="H328" s="269">
        <v>0</v>
      </c>
      <c r="I328" s="267">
        <v>34</v>
      </c>
      <c r="J328" s="282" t="s">
        <v>5140</v>
      </c>
      <c r="K328" s="279" t="s">
        <v>5141</v>
      </c>
      <c r="L328" s="279"/>
      <c r="M328" s="268">
        <v>1</v>
      </c>
      <c r="N328" s="268" t="b">
        <v>1</v>
      </c>
      <c r="O328" s="268">
        <v>38</v>
      </c>
      <c r="P328" s="281">
        <v>570</v>
      </c>
      <c r="Q328" s="281">
        <v>760</v>
      </c>
      <c r="R328" s="268" t="s">
        <v>3383</v>
      </c>
      <c r="S328" s="268"/>
      <c r="T328" s="268">
        <v>1</v>
      </c>
      <c r="U328" s="268" t="s">
        <v>4880</v>
      </c>
      <c r="V328" s="269">
        <v>10</v>
      </c>
      <c r="W328" s="269"/>
      <c r="X328" s="268" t="s">
        <v>4881</v>
      </c>
      <c r="Y328" t="s">
        <v>6508</v>
      </c>
      <c r="Z328" t="s">
        <v>6509</v>
      </c>
      <c r="AA328" s="268" t="s">
        <v>4884</v>
      </c>
      <c r="AB328" s="268"/>
      <c r="AC328" s="287">
        <v>1</v>
      </c>
      <c r="AD328" s="287">
        <v>1</v>
      </c>
      <c r="AE328" s="268"/>
      <c r="AF328" s="268"/>
      <c r="AG328" s="290"/>
    </row>
    <row r="329" spans="1:33" s="258" customFormat="1" x14ac:dyDescent="0.15">
      <c r="A329" s="271">
        <v>95150028</v>
      </c>
      <c r="B329" t="s">
        <v>6510</v>
      </c>
      <c r="C329" s="268" t="s">
        <v>6316</v>
      </c>
      <c r="D329" s="272">
        <v>5081</v>
      </c>
      <c r="E329" s="272" t="s">
        <v>4876</v>
      </c>
      <c r="F329" s="272" t="s">
        <v>4877</v>
      </c>
      <c r="G329" s="269">
        <v>6</v>
      </c>
      <c r="H329" s="273">
        <v>1</v>
      </c>
      <c r="I329" s="283">
        <v>34</v>
      </c>
      <c r="J329" s="284" t="s">
        <v>5140</v>
      </c>
      <c r="K329" s="285" t="s">
        <v>5141</v>
      </c>
      <c r="L329" s="272" t="s">
        <v>44</v>
      </c>
      <c r="M329" s="272">
        <v>1</v>
      </c>
      <c r="N329" s="272" t="b">
        <v>1</v>
      </c>
      <c r="O329" s="272">
        <v>51</v>
      </c>
      <c r="P329" s="281">
        <v>765</v>
      </c>
      <c r="Q329" s="281">
        <v>1020</v>
      </c>
      <c r="R329" s="272" t="s">
        <v>3383</v>
      </c>
      <c r="S329" s="272"/>
      <c r="T329" s="272">
        <v>1</v>
      </c>
      <c r="U329" s="272" t="s">
        <v>4880</v>
      </c>
      <c r="V329" s="273">
        <v>10</v>
      </c>
      <c r="W329" s="273"/>
      <c r="X329" s="272" t="s">
        <v>4881</v>
      </c>
      <c r="Y329" t="s">
        <v>6508</v>
      </c>
      <c r="Z329" t="s">
        <v>6509</v>
      </c>
      <c r="AA329" s="272" t="s">
        <v>4884</v>
      </c>
      <c r="AB329" s="272"/>
      <c r="AC329" s="289">
        <v>1</v>
      </c>
      <c r="AD329" s="289">
        <v>1</v>
      </c>
      <c r="AE329" s="289"/>
      <c r="AF329" s="272"/>
      <c r="AG329" s="272"/>
    </row>
    <row r="330" spans="1:33" s="258" customFormat="1" x14ac:dyDescent="0.15">
      <c r="A330" s="271">
        <v>95150029</v>
      </c>
      <c r="B330" t="s">
        <v>6511</v>
      </c>
      <c r="C330" s="268" t="s">
        <v>6316</v>
      </c>
      <c r="D330" s="272">
        <v>5081</v>
      </c>
      <c r="E330" s="272" t="s">
        <v>4876</v>
      </c>
      <c r="F330" s="272" t="s">
        <v>4877</v>
      </c>
      <c r="G330" s="269">
        <v>6</v>
      </c>
      <c r="H330" s="273">
        <v>1</v>
      </c>
      <c r="I330" s="283">
        <v>34</v>
      </c>
      <c r="J330" s="284" t="s">
        <v>5140</v>
      </c>
      <c r="K330" s="285" t="s">
        <v>5141</v>
      </c>
      <c r="L330" s="272" t="s">
        <v>4887</v>
      </c>
      <c r="M330" s="272">
        <v>1</v>
      </c>
      <c r="N330" s="272" t="b">
        <v>1</v>
      </c>
      <c r="O330" s="272">
        <v>64</v>
      </c>
      <c r="P330" s="281">
        <v>960</v>
      </c>
      <c r="Q330" s="281">
        <v>1280</v>
      </c>
      <c r="R330" s="272" t="s">
        <v>3383</v>
      </c>
      <c r="S330" s="272"/>
      <c r="T330" s="272">
        <v>1</v>
      </c>
      <c r="U330" s="272" t="s">
        <v>4880</v>
      </c>
      <c r="V330" s="273">
        <v>10</v>
      </c>
      <c r="W330" s="273"/>
      <c r="X330" s="272" t="s">
        <v>4881</v>
      </c>
      <c r="Y330" t="s">
        <v>6508</v>
      </c>
      <c r="Z330" t="s">
        <v>6509</v>
      </c>
      <c r="AA330" s="272" t="s">
        <v>4884</v>
      </c>
      <c r="AB330" s="272"/>
      <c r="AC330" s="289">
        <v>1</v>
      </c>
      <c r="AD330" s="289">
        <v>1</v>
      </c>
      <c r="AE330" s="289"/>
      <c r="AF330" s="272"/>
      <c r="AG330" s="272"/>
    </row>
    <row r="331" spans="1:33" s="258" customFormat="1" x14ac:dyDescent="0.15">
      <c r="A331" s="271">
        <v>95150030</v>
      </c>
      <c r="B331" t="s">
        <v>6512</v>
      </c>
      <c r="C331" s="268" t="s">
        <v>6316</v>
      </c>
      <c r="D331" s="272">
        <v>5081</v>
      </c>
      <c r="E331" s="272" t="s">
        <v>4876</v>
      </c>
      <c r="F331" s="272" t="s">
        <v>4877</v>
      </c>
      <c r="G331" s="269">
        <v>7</v>
      </c>
      <c r="H331" s="273">
        <v>0</v>
      </c>
      <c r="I331" s="283">
        <v>34</v>
      </c>
      <c r="J331" s="284" t="s">
        <v>5140</v>
      </c>
      <c r="K331" s="285" t="s">
        <v>5141</v>
      </c>
      <c r="L331" s="272" t="s">
        <v>4889</v>
      </c>
      <c r="M331" s="272">
        <v>1</v>
      </c>
      <c r="N331" s="272" t="b">
        <v>1</v>
      </c>
      <c r="O331" s="272">
        <v>77</v>
      </c>
      <c r="P331" s="281">
        <v>1155</v>
      </c>
      <c r="Q331" s="281">
        <v>1540</v>
      </c>
      <c r="R331" s="272" t="s">
        <v>3383</v>
      </c>
      <c r="S331" s="272"/>
      <c r="T331" s="272">
        <v>1</v>
      </c>
      <c r="U331" s="272" t="s">
        <v>4880</v>
      </c>
      <c r="V331" s="273">
        <v>10</v>
      </c>
      <c r="W331" s="273"/>
      <c r="X331" s="272" t="s">
        <v>4881</v>
      </c>
      <c r="Y331" t="s">
        <v>6508</v>
      </c>
      <c r="Z331" t="s">
        <v>6509</v>
      </c>
      <c r="AA331" s="272" t="s">
        <v>4884</v>
      </c>
      <c r="AB331" s="272"/>
      <c r="AC331" s="289">
        <v>1</v>
      </c>
      <c r="AD331" s="289">
        <v>1</v>
      </c>
      <c r="AE331" s="289"/>
      <c r="AF331" s="272"/>
      <c r="AG331" s="272"/>
    </row>
    <row r="332" spans="1:33" s="145" customFormat="1" x14ac:dyDescent="0.15">
      <c r="A332" s="267">
        <v>95201011</v>
      </c>
      <c r="B332" t="s">
        <v>6513</v>
      </c>
      <c r="C332" s="268" t="s">
        <v>6316</v>
      </c>
      <c r="D332" s="293">
        <v>7901</v>
      </c>
      <c r="E332" s="268" t="s">
        <v>4876</v>
      </c>
      <c r="F332" s="268" t="s">
        <v>4877</v>
      </c>
      <c r="G332" s="269">
        <v>1</v>
      </c>
      <c r="H332" s="269">
        <v>0</v>
      </c>
      <c r="I332" s="267">
        <v>34</v>
      </c>
      <c r="J332" s="268" t="s">
        <v>5149</v>
      </c>
      <c r="K332" s="295" t="s">
        <v>5150</v>
      </c>
      <c r="L332" s="295"/>
      <c r="M332" s="268">
        <v>1</v>
      </c>
      <c r="N332" s="268" t="b">
        <v>1</v>
      </c>
      <c r="O332" s="268">
        <v>2</v>
      </c>
      <c r="P332" s="281">
        <v>30</v>
      </c>
      <c r="Q332" s="281">
        <v>40</v>
      </c>
      <c r="R332" s="268" t="s">
        <v>3383</v>
      </c>
      <c r="S332" s="268"/>
      <c r="T332" s="268">
        <v>1</v>
      </c>
      <c r="U332" s="268" t="s">
        <v>4880</v>
      </c>
      <c r="V332" s="269">
        <v>1</v>
      </c>
      <c r="W332" s="269"/>
      <c r="X332" s="268" t="s">
        <v>4881</v>
      </c>
      <c r="Y332" t="s">
        <v>6514</v>
      </c>
      <c r="Z332" t="s">
        <v>6515</v>
      </c>
      <c r="AA332" s="268" t="s">
        <v>4884</v>
      </c>
      <c r="AB332" s="268"/>
      <c r="AC332" s="287">
        <v>1</v>
      </c>
      <c r="AD332" s="287">
        <v>1</v>
      </c>
      <c r="AE332" s="268"/>
      <c r="AF332" s="268"/>
      <c r="AG332" s="290"/>
    </row>
    <row r="333" spans="1:33" s="145" customFormat="1" x14ac:dyDescent="0.15">
      <c r="A333" s="267">
        <v>95201012</v>
      </c>
      <c r="B333" t="s">
        <v>6513</v>
      </c>
      <c r="C333" s="268" t="s">
        <v>6316</v>
      </c>
      <c r="D333" s="293">
        <v>7901</v>
      </c>
      <c r="E333" s="268" t="s">
        <v>4876</v>
      </c>
      <c r="F333" s="268" t="s">
        <v>4877</v>
      </c>
      <c r="G333" s="269">
        <v>2</v>
      </c>
      <c r="H333" s="269">
        <v>0</v>
      </c>
      <c r="I333" s="267">
        <v>34</v>
      </c>
      <c r="J333" s="268" t="s">
        <v>5149</v>
      </c>
      <c r="K333" s="295" t="s">
        <v>5150</v>
      </c>
      <c r="L333" s="295"/>
      <c r="M333" s="268">
        <v>1</v>
      </c>
      <c r="N333" s="268" t="b">
        <v>1</v>
      </c>
      <c r="O333" s="268">
        <v>5</v>
      </c>
      <c r="P333" s="281">
        <v>75</v>
      </c>
      <c r="Q333" s="281">
        <v>100</v>
      </c>
      <c r="R333" s="268" t="s">
        <v>3383</v>
      </c>
      <c r="S333" s="268"/>
      <c r="T333" s="268">
        <v>1</v>
      </c>
      <c r="U333" s="268" t="s">
        <v>4880</v>
      </c>
      <c r="V333" s="269">
        <v>2</v>
      </c>
      <c r="W333" s="269"/>
      <c r="X333" s="268" t="s">
        <v>4881</v>
      </c>
      <c r="Y333" t="s">
        <v>6514</v>
      </c>
      <c r="Z333" t="s">
        <v>6515</v>
      </c>
      <c r="AA333" s="268" t="s">
        <v>4884</v>
      </c>
      <c r="AB333" s="268"/>
      <c r="AC333" s="287">
        <v>1</v>
      </c>
      <c r="AD333" s="287">
        <v>1</v>
      </c>
      <c r="AE333" s="268"/>
      <c r="AF333" s="268"/>
      <c r="AG333" s="290"/>
    </row>
    <row r="334" spans="1:33" s="145" customFormat="1" x14ac:dyDescent="0.15">
      <c r="A334" s="267">
        <v>95201013</v>
      </c>
      <c r="B334" t="s">
        <v>6513</v>
      </c>
      <c r="C334" s="268" t="s">
        <v>6316</v>
      </c>
      <c r="D334" s="293">
        <v>7901</v>
      </c>
      <c r="E334" s="268" t="s">
        <v>4876</v>
      </c>
      <c r="F334" s="268" t="s">
        <v>4877</v>
      </c>
      <c r="G334" s="269">
        <v>3</v>
      </c>
      <c r="H334" s="269">
        <v>0</v>
      </c>
      <c r="I334" s="267">
        <v>34</v>
      </c>
      <c r="J334" s="268" t="s">
        <v>5149</v>
      </c>
      <c r="K334" s="295" t="s">
        <v>5150</v>
      </c>
      <c r="L334" s="295"/>
      <c r="M334" s="268">
        <v>1</v>
      </c>
      <c r="N334" s="268" t="b">
        <v>1</v>
      </c>
      <c r="O334" s="268">
        <v>7</v>
      </c>
      <c r="P334" s="281">
        <v>105</v>
      </c>
      <c r="Q334" s="281">
        <v>140</v>
      </c>
      <c r="R334" s="268" t="s">
        <v>3383</v>
      </c>
      <c r="S334" s="268"/>
      <c r="T334" s="268">
        <v>1</v>
      </c>
      <c r="U334" s="268" t="s">
        <v>4880</v>
      </c>
      <c r="V334" s="269">
        <v>3</v>
      </c>
      <c r="W334" s="269"/>
      <c r="X334" s="268" t="s">
        <v>4881</v>
      </c>
      <c r="Y334" t="s">
        <v>6514</v>
      </c>
      <c r="Z334" t="s">
        <v>6515</v>
      </c>
      <c r="AA334" s="268" t="s">
        <v>4884</v>
      </c>
      <c r="AB334" s="268"/>
      <c r="AC334" s="287">
        <v>1</v>
      </c>
      <c r="AD334" s="287">
        <v>1</v>
      </c>
      <c r="AE334" s="268"/>
      <c r="AF334" s="268"/>
      <c r="AG334" s="290"/>
    </row>
    <row r="335" spans="1:33" s="145" customFormat="1" x14ac:dyDescent="0.15">
      <c r="A335" s="267">
        <v>95201014</v>
      </c>
      <c r="B335" t="s">
        <v>6513</v>
      </c>
      <c r="C335" s="268" t="s">
        <v>6316</v>
      </c>
      <c r="D335" s="293">
        <v>7901</v>
      </c>
      <c r="E335" s="268" t="s">
        <v>4876</v>
      </c>
      <c r="F335" s="268" t="s">
        <v>4877</v>
      </c>
      <c r="G335" s="269">
        <v>4</v>
      </c>
      <c r="H335" s="269">
        <v>0</v>
      </c>
      <c r="I335" s="267">
        <v>34</v>
      </c>
      <c r="J335" s="268" t="s">
        <v>5149</v>
      </c>
      <c r="K335" s="295" t="s">
        <v>5150</v>
      </c>
      <c r="L335" s="295"/>
      <c r="M335" s="268">
        <v>1</v>
      </c>
      <c r="N335" s="268" t="b">
        <v>1</v>
      </c>
      <c r="O335" s="268">
        <v>10</v>
      </c>
      <c r="P335" s="281">
        <v>150</v>
      </c>
      <c r="Q335" s="281">
        <v>200</v>
      </c>
      <c r="R335" s="268" t="s">
        <v>3383</v>
      </c>
      <c r="S335" s="268"/>
      <c r="T335" s="268">
        <v>1</v>
      </c>
      <c r="U335" s="268" t="s">
        <v>4880</v>
      </c>
      <c r="V335" s="269">
        <v>4</v>
      </c>
      <c r="W335" s="269"/>
      <c r="X335" s="268" t="s">
        <v>4881</v>
      </c>
      <c r="Y335" t="s">
        <v>6514</v>
      </c>
      <c r="Z335" t="s">
        <v>6515</v>
      </c>
      <c r="AA335" s="268" t="s">
        <v>4884</v>
      </c>
      <c r="AB335" s="268"/>
      <c r="AC335" s="287">
        <v>1</v>
      </c>
      <c r="AD335" s="287">
        <v>1</v>
      </c>
      <c r="AE335" s="268"/>
      <c r="AF335" s="268"/>
      <c r="AG335" s="290"/>
    </row>
    <row r="336" spans="1:33" s="145" customFormat="1" x14ac:dyDescent="0.15">
      <c r="A336" s="267">
        <v>95201015</v>
      </c>
      <c r="B336" t="s">
        <v>6513</v>
      </c>
      <c r="C336" s="268" t="s">
        <v>6316</v>
      </c>
      <c r="D336" s="293">
        <v>7901</v>
      </c>
      <c r="E336" s="268" t="s">
        <v>4876</v>
      </c>
      <c r="F336" s="268" t="s">
        <v>4877</v>
      </c>
      <c r="G336" s="269">
        <v>5</v>
      </c>
      <c r="H336" s="269">
        <v>0</v>
      </c>
      <c r="I336" s="267">
        <v>34</v>
      </c>
      <c r="J336" s="268" t="s">
        <v>5149</v>
      </c>
      <c r="K336" s="295" t="s">
        <v>5150</v>
      </c>
      <c r="L336" s="295"/>
      <c r="M336" s="268">
        <v>1</v>
      </c>
      <c r="N336" s="268" t="b">
        <v>1</v>
      </c>
      <c r="O336" s="268">
        <v>12</v>
      </c>
      <c r="P336" s="281">
        <v>180</v>
      </c>
      <c r="Q336" s="281">
        <v>240</v>
      </c>
      <c r="R336" s="268" t="s">
        <v>3383</v>
      </c>
      <c r="S336" s="268"/>
      <c r="T336" s="268">
        <v>1</v>
      </c>
      <c r="U336" s="268" t="s">
        <v>4880</v>
      </c>
      <c r="V336" s="269">
        <v>5</v>
      </c>
      <c r="W336" s="269"/>
      <c r="X336" s="268" t="s">
        <v>4881</v>
      </c>
      <c r="Y336" t="s">
        <v>6514</v>
      </c>
      <c r="Z336" t="s">
        <v>6515</v>
      </c>
      <c r="AA336" s="268" t="s">
        <v>4884</v>
      </c>
      <c r="AB336" s="268"/>
      <c r="AC336" s="287">
        <v>1</v>
      </c>
      <c r="AD336" s="287">
        <v>1</v>
      </c>
      <c r="AE336" s="268"/>
      <c r="AF336" s="268"/>
      <c r="AG336" s="290"/>
    </row>
    <row r="337" spans="1:33" s="258" customFormat="1" x14ac:dyDescent="0.15">
      <c r="A337" s="270">
        <v>95201016</v>
      </c>
      <c r="B337" t="s">
        <v>6513</v>
      </c>
      <c r="C337" s="268" t="s">
        <v>6316</v>
      </c>
      <c r="D337" s="268">
        <v>7901</v>
      </c>
      <c r="E337" s="268" t="s">
        <v>4876</v>
      </c>
      <c r="F337" s="268" t="s">
        <v>4877</v>
      </c>
      <c r="G337" s="269">
        <v>6</v>
      </c>
      <c r="H337" s="269">
        <v>0</v>
      </c>
      <c r="I337" s="267">
        <v>34</v>
      </c>
      <c r="J337" s="282" t="s">
        <v>5149</v>
      </c>
      <c r="K337" s="279" t="s">
        <v>5150</v>
      </c>
      <c r="L337" s="279"/>
      <c r="M337" s="268">
        <v>1</v>
      </c>
      <c r="N337" s="268" t="b">
        <v>1</v>
      </c>
      <c r="O337" s="268">
        <v>25</v>
      </c>
      <c r="P337" s="281">
        <v>375</v>
      </c>
      <c r="Q337" s="281">
        <v>500</v>
      </c>
      <c r="R337" s="268" t="s">
        <v>3383</v>
      </c>
      <c r="S337" s="268"/>
      <c r="T337" s="268">
        <v>1</v>
      </c>
      <c r="U337" s="268" t="s">
        <v>4880</v>
      </c>
      <c r="V337" s="269">
        <v>6</v>
      </c>
      <c r="W337" s="269"/>
      <c r="X337" s="268" t="s">
        <v>4881</v>
      </c>
      <c r="Y337" t="s">
        <v>6514</v>
      </c>
      <c r="Z337" t="s">
        <v>6515</v>
      </c>
      <c r="AA337" s="268" t="s">
        <v>4884</v>
      </c>
      <c r="AB337" s="268"/>
      <c r="AC337" s="287">
        <v>1</v>
      </c>
      <c r="AD337" s="287">
        <v>1</v>
      </c>
      <c r="AE337" s="268"/>
      <c r="AF337" s="268"/>
      <c r="AG337" s="290"/>
    </row>
    <row r="338" spans="1:33" s="145" customFormat="1" x14ac:dyDescent="0.15">
      <c r="A338" s="270">
        <v>95201017</v>
      </c>
      <c r="B338" t="s">
        <v>6513</v>
      </c>
      <c r="C338" s="268" t="s">
        <v>6316</v>
      </c>
      <c r="D338" s="268">
        <v>7901</v>
      </c>
      <c r="E338" s="268" t="s">
        <v>4876</v>
      </c>
      <c r="F338" s="268" t="s">
        <v>4877</v>
      </c>
      <c r="G338" s="269">
        <v>7</v>
      </c>
      <c r="H338" s="269">
        <v>0</v>
      </c>
      <c r="I338" s="267">
        <v>34</v>
      </c>
      <c r="J338" s="282" t="s">
        <v>5149</v>
      </c>
      <c r="K338" s="279" t="s">
        <v>5150</v>
      </c>
      <c r="L338" s="279"/>
      <c r="M338" s="268">
        <v>1</v>
      </c>
      <c r="N338" s="268" t="b">
        <v>1</v>
      </c>
      <c r="O338" s="268">
        <v>38</v>
      </c>
      <c r="P338" s="281">
        <v>570</v>
      </c>
      <c r="Q338" s="281">
        <v>760</v>
      </c>
      <c r="R338" s="268" t="s">
        <v>3383</v>
      </c>
      <c r="S338" s="268"/>
      <c r="T338" s="268">
        <v>1</v>
      </c>
      <c r="U338" s="268" t="s">
        <v>4880</v>
      </c>
      <c r="V338" s="269">
        <v>7</v>
      </c>
      <c r="W338" s="269"/>
      <c r="X338" s="268" t="s">
        <v>4881</v>
      </c>
      <c r="Y338" t="s">
        <v>6514</v>
      </c>
      <c r="Z338" t="s">
        <v>6515</v>
      </c>
      <c r="AA338" s="268" t="s">
        <v>4884</v>
      </c>
      <c r="AB338" s="268"/>
      <c r="AC338" s="287">
        <v>1</v>
      </c>
      <c r="AD338" s="287">
        <v>1</v>
      </c>
      <c r="AE338" s="268"/>
      <c r="AF338" s="268"/>
      <c r="AG338" s="290"/>
    </row>
    <row r="339" spans="1:33" s="258" customFormat="1" x14ac:dyDescent="0.15">
      <c r="A339" s="271">
        <v>95201018</v>
      </c>
      <c r="B339" t="s">
        <v>6516</v>
      </c>
      <c r="C339" s="268" t="s">
        <v>6316</v>
      </c>
      <c r="D339" s="272">
        <v>5081</v>
      </c>
      <c r="E339" s="272" t="s">
        <v>4876</v>
      </c>
      <c r="F339" s="272" t="s">
        <v>4877</v>
      </c>
      <c r="G339" s="269">
        <v>6</v>
      </c>
      <c r="H339" s="273">
        <v>0</v>
      </c>
      <c r="I339" s="283">
        <v>34</v>
      </c>
      <c r="J339" s="284" t="s">
        <v>5149</v>
      </c>
      <c r="K339" s="285" t="s">
        <v>5150</v>
      </c>
      <c r="L339" s="272" t="s">
        <v>44</v>
      </c>
      <c r="M339" s="272">
        <v>1</v>
      </c>
      <c r="N339" s="272" t="b">
        <v>1</v>
      </c>
      <c r="O339" s="272">
        <v>51</v>
      </c>
      <c r="P339" s="281">
        <v>765</v>
      </c>
      <c r="Q339" s="281">
        <v>1020</v>
      </c>
      <c r="R339" s="272" t="s">
        <v>3383</v>
      </c>
      <c r="S339" s="272"/>
      <c r="T339" s="272">
        <v>1</v>
      </c>
      <c r="U339" s="272" t="s">
        <v>4880</v>
      </c>
      <c r="V339" s="273">
        <v>10</v>
      </c>
      <c r="W339" s="273"/>
      <c r="X339" s="272" t="s">
        <v>4881</v>
      </c>
      <c r="Y339" t="s">
        <v>6514</v>
      </c>
      <c r="Z339" t="s">
        <v>6515</v>
      </c>
      <c r="AA339" s="272" t="s">
        <v>4884</v>
      </c>
      <c r="AB339" s="272"/>
      <c r="AC339" s="289">
        <v>1</v>
      </c>
      <c r="AD339" s="289">
        <v>1</v>
      </c>
      <c r="AE339" s="289"/>
      <c r="AF339" s="272"/>
      <c r="AG339" s="272"/>
    </row>
    <row r="340" spans="1:33" s="258" customFormat="1" x14ac:dyDescent="0.15">
      <c r="A340" s="271">
        <v>95201019</v>
      </c>
      <c r="B340" t="s">
        <v>6517</v>
      </c>
      <c r="C340" s="268" t="s">
        <v>6316</v>
      </c>
      <c r="D340" s="272">
        <v>5081</v>
      </c>
      <c r="E340" s="272" t="s">
        <v>4876</v>
      </c>
      <c r="F340" s="272" t="s">
        <v>4877</v>
      </c>
      <c r="G340" s="269">
        <v>6</v>
      </c>
      <c r="H340" s="273">
        <v>0</v>
      </c>
      <c r="I340" s="283">
        <v>34</v>
      </c>
      <c r="J340" s="284" t="s">
        <v>5149</v>
      </c>
      <c r="K340" s="285" t="s">
        <v>5150</v>
      </c>
      <c r="L340" s="272" t="s">
        <v>4887</v>
      </c>
      <c r="M340" s="272">
        <v>1</v>
      </c>
      <c r="N340" s="272" t="b">
        <v>1</v>
      </c>
      <c r="O340" s="272">
        <v>64</v>
      </c>
      <c r="P340" s="281">
        <v>960</v>
      </c>
      <c r="Q340" s="281">
        <v>1280</v>
      </c>
      <c r="R340" s="272" t="s">
        <v>3383</v>
      </c>
      <c r="S340" s="272"/>
      <c r="T340" s="272">
        <v>1</v>
      </c>
      <c r="U340" s="272" t="s">
        <v>4880</v>
      </c>
      <c r="V340" s="273">
        <v>10</v>
      </c>
      <c r="W340" s="273"/>
      <c r="X340" s="272" t="s">
        <v>4881</v>
      </c>
      <c r="Y340" t="s">
        <v>6514</v>
      </c>
      <c r="Z340" t="s">
        <v>6515</v>
      </c>
      <c r="AA340" s="272" t="s">
        <v>4884</v>
      </c>
      <c r="AB340" s="272"/>
      <c r="AC340" s="289">
        <v>1</v>
      </c>
      <c r="AD340" s="289">
        <v>1</v>
      </c>
      <c r="AE340" s="289"/>
      <c r="AF340" s="272"/>
      <c r="AG340" s="272"/>
    </row>
    <row r="341" spans="1:33" s="258" customFormat="1" x14ac:dyDescent="0.15">
      <c r="A341" s="271">
        <v>95201020</v>
      </c>
      <c r="B341" t="s">
        <v>6518</v>
      </c>
      <c r="C341" s="268" t="s">
        <v>6316</v>
      </c>
      <c r="D341" s="272">
        <v>5081</v>
      </c>
      <c r="E341" s="272" t="s">
        <v>4876</v>
      </c>
      <c r="F341" s="272" t="s">
        <v>4877</v>
      </c>
      <c r="G341" s="269">
        <v>7</v>
      </c>
      <c r="H341" s="273">
        <v>0</v>
      </c>
      <c r="I341" s="283">
        <v>34</v>
      </c>
      <c r="J341" s="284" t="s">
        <v>5149</v>
      </c>
      <c r="K341" s="285" t="s">
        <v>5150</v>
      </c>
      <c r="L341" s="272" t="s">
        <v>4889</v>
      </c>
      <c r="M341" s="272">
        <v>1</v>
      </c>
      <c r="N341" s="272" t="b">
        <v>1</v>
      </c>
      <c r="O341" s="272">
        <v>77</v>
      </c>
      <c r="P341" s="281">
        <v>1155</v>
      </c>
      <c r="Q341" s="281">
        <v>1540</v>
      </c>
      <c r="R341" s="272" t="s">
        <v>3383</v>
      </c>
      <c r="S341" s="272"/>
      <c r="T341" s="272">
        <v>1</v>
      </c>
      <c r="U341" s="272" t="s">
        <v>4880</v>
      </c>
      <c r="V341" s="273">
        <v>10</v>
      </c>
      <c r="W341" s="273"/>
      <c r="X341" s="272" t="s">
        <v>4881</v>
      </c>
      <c r="Y341" t="s">
        <v>6514</v>
      </c>
      <c r="Z341" t="s">
        <v>6515</v>
      </c>
      <c r="AA341" s="272" t="s">
        <v>4884</v>
      </c>
      <c r="AB341" s="272"/>
      <c r="AC341" s="289">
        <v>1</v>
      </c>
      <c r="AD341" s="289">
        <v>1</v>
      </c>
      <c r="AE341" s="289"/>
      <c r="AF341" s="272"/>
      <c r="AG341" s="272"/>
    </row>
    <row r="342" spans="1:33" s="145" customFormat="1" x14ac:dyDescent="0.15">
      <c r="A342" s="267">
        <v>95201021</v>
      </c>
      <c r="B342" t="s">
        <v>6519</v>
      </c>
      <c r="C342" s="268" t="s">
        <v>6316</v>
      </c>
      <c r="D342" s="293">
        <v>7902</v>
      </c>
      <c r="E342" s="268" t="s">
        <v>4876</v>
      </c>
      <c r="F342" s="268" t="s">
        <v>4877</v>
      </c>
      <c r="G342" s="269">
        <v>1</v>
      </c>
      <c r="H342" s="269">
        <v>0</v>
      </c>
      <c r="I342" s="267">
        <v>34</v>
      </c>
      <c r="J342" s="268" t="s">
        <v>5157</v>
      </c>
      <c r="K342" s="295" t="s">
        <v>5158</v>
      </c>
      <c r="L342" s="295"/>
      <c r="M342" s="268">
        <v>1</v>
      </c>
      <c r="N342" s="268" t="b">
        <v>1</v>
      </c>
      <c r="O342" s="268">
        <v>2</v>
      </c>
      <c r="P342" s="281">
        <v>30</v>
      </c>
      <c r="Q342" s="281">
        <v>40</v>
      </c>
      <c r="R342" s="268" t="s">
        <v>3383</v>
      </c>
      <c r="S342" s="268"/>
      <c r="T342" s="268">
        <v>1</v>
      </c>
      <c r="U342" s="268" t="s">
        <v>4880</v>
      </c>
      <c r="V342" s="269">
        <v>1</v>
      </c>
      <c r="W342" s="269"/>
      <c r="X342" s="268" t="s">
        <v>4881</v>
      </c>
      <c r="Y342" t="s">
        <v>6520</v>
      </c>
      <c r="Z342" t="s">
        <v>6521</v>
      </c>
      <c r="AA342" s="268" t="s">
        <v>4884</v>
      </c>
      <c r="AB342" s="268"/>
      <c r="AC342" s="287">
        <v>1</v>
      </c>
      <c r="AD342" s="287">
        <v>1</v>
      </c>
      <c r="AE342" s="268"/>
      <c r="AF342" s="268"/>
      <c r="AG342" s="290"/>
    </row>
    <row r="343" spans="1:33" s="145" customFormat="1" x14ac:dyDescent="0.15">
      <c r="A343" s="267">
        <v>95201022</v>
      </c>
      <c r="B343" t="s">
        <v>6519</v>
      </c>
      <c r="C343" s="268" t="s">
        <v>6316</v>
      </c>
      <c r="D343" s="293">
        <v>7902</v>
      </c>
      <c r="E343" s="268" t="s">
        <v>4876</v>
      </c>
      <c r="F343" s="268" t="s">
        <v>4877</v>
      </c>
      <c r="G343" s="269">
        <v>2</v>
      </c>
      <c r="H343" s="269">
        <v>0</v>
      </c>
      <c r="I343" s="267">
        <v>34</v>
      </c>
      <c r="J343" s="268" t="s">
        <v>5157</v>
      </c>
      <c r="K343" s="295" t="s">
        <v>5158</v>
      </c>
      <c r="L343" s="295"/>
      <c r="M343" s="268">
        <v>1</v>
      </c>
      <c r="N343" s="268" t="b">
        <v>1</v>
      </c>
      <c r="O343" s="268">
        <v>5</v>
      </c>
      <c r="P343" s="281">
        <v>75</v>
      </c>
      <c r="Q343" s="281">
        <v>100</v>
      </c>
      <c r="R343" s="268" t="s">
        <v>3383</v>
      </c>
      <c r="S343" s="268"/>
      <c r="T343" s="268">
        <v>1</v>
      </c>
      <c r="U343" s="268" t="s">
        <v>4880</v>
      </c>
      <c r="V343" s="269">
        <v>2</v>
      </c>
      <c r="W343" s="269"/>
      <c r="X343" s="268" t="s">
        <v>4881</v>
      </c>
      <c r="Y343" t="s">
        <v>6520</v>
      </c>
      <c r="Z343" t="s">
        <v>6521</v>
      </c>
      <c r="AA343" s="268" t="s">
        <v>4884</v>
      </c>
      <c r="AB343" s="268"/>
      <c r="AC343" s="287">
        <v>1</v>
      </c>
      <c r="AD343" s="287">
        <v>1</v>
      </c>
      <c r="AE343" s="268"/>
      <c r="AF343" s="268"/>
      <c r="AG343" s="290"/>
    </row>
    <row r="344" spans="1:33" s="145" customFormat="1" x14ac:dyDescent="0.15">
      <c r="A344" s="267">
        <v>95201023</v>
      </c>
      <c r="B344" t="s">
        <v>6519</v>
      </c>
      <c r="C344" s="268" t="s">
        <v>6316</v>
      </c>
      <c r="D344" s="293">
        <v>7902</v>
      </c>
      <c r="E344" s="268" t="s">
        <v>4876</v>
      </c>
      <c r="F344" s="268" t="s">
        <v>4877</v>
      </c>
      <c r="G344" s="269">
        <v>3</v>
      </c>
      <c r="H344" s="269">
        <v>0</v>
      </c>
      <c r="I344" s="267">
        <v>34</v>
      </c>
      <c r="J344" s="268" t="s">
        <v>5157</v>
      </c>
      <c r="K344" s="295" t="s">
        <v>5158</v>
      </c>
      <c r="L344" s="295"/>
      <c r="M344" s="268">
        <v>1</v>
      </c>
      <c r="N344" s="268" t="b">
        <v>1</v>
      </c>
      <c r="O344" s="268">
        <v>7</v>
      </c>
      <c r="P344" s="281">
        <v>105</v>
      </c>
      <c r="Q344" s="281">
        <v>140</v>
      </c>
      <c r="R344" s="268" t="s">
        <v>3383</v>
      </c>
      <c r="S344" s="268"/>
      <c r="T344" s="268">
        <v>1</v>
      </c>
      <c r="U344" s="268" t="s">
        <v>4880</v>
      </c>
      <c r="V344" s="269">
        <v>3</v>
      </c>
      <c r="W344" s="269"/>
      <c r="X344" s="268" t="s">
        <v>4881</v>
      </c>
      <c r="Y344" t="s">
        <v>6520</v>
      </c>
      <c r="Z344" t="s">
        <v>6521</v>
      </c>
      <c r="AA344" s="268" t="s">
        <v>4884</v>
      </c>
      <c r="AB344" s="268"/>
      <c r="AC344" s="287">
        <v>1</v>
      </c>
      <c r="AD344" s="287">
        <v>1</v>
      </c>
      <c r="AE344" s="268"/>
      <c r="AF344" s="268"/>
      <c r="AG344" s="290"/>
    </row>
    <row r="345" spans="1:33" s="145" customFormat="1" x14ac:dyDescent="0.15">
      <c r="A345" s="267">
        <v>95201024</v>
      </c>
      <c r="B345" t="s">
        <v>6519</v>
      </c>
      <c r="C345" s="268" t="s">
        <v>6316</v>
      </c>
      <c r="D345" s="293">
        <v>7902</v>
      </c>
      <c r="E345" s="268" t="s">
        <v>4876</v>
      </c>
      <c r="F345" s="268" t="s">
        <v>4877</v>
      </c>
      <c r="G345" s="269">
        <v>4</v>
      </c>
      <c r="H345" s="269">
        <v>0</v>
      </c>
      <c r="I345" s="267">
        <v>34</v>
      </c>
      <c r="J345" s="268" t="s">
        <v>5157</v>
      </c>
      <c r="K345" s="295" t="s">
        <v>5158</v>
      </c>
      <c r="L345" s="295"/>
      <c r="M345" s="268">
        <v>1</v>
      </c>
      <c r="N345" s="268" t="b">
        <v>1</v>
      </c>
      <c r="O345" s="268">
        <v>10</v>
      </c>
      <c r="P345" s="281">
        <v>150</v>
      </c>
      <c r="Q345" s="281">
        <v>200</v>
      </c>
      <c r="R345" s="268" t="s">
        <v>3383</v>
      </c>
      <c r="S345" s="268"/>
      <c r="T345" s="268">
        <v>1</v>
      </c>
      <c r="U345" s="268" t="s">
        <v>4880</v>
      </c>
      <c r="V345" s="269">
        <v>4</v>
      </c>
      <c r="W345" s="269"/>
      <c r="X345" s="268" t="s">
        <v>4881</v>
      </c>
      <c r="Y345" t="s">
        <v>6520</v>
      </c>
      <c r="Z345" t="s">
        <v>6521</v>
      </c>
      <c r="AA345" s="268" t="s">
        <v>4884</v>
      </c>
      <c r="AB345" s="268"/>
      <c r="AC345" s="287">
        <v>1</v>
      </c>
      <c r="AD345" s="287">
        <v>1</v>
      </c>
      <c r="AE345" s="268"/>
      <c r="AF345" s="268"/>
      <c r="AG345" s="290"/>
    </row>
    <row r="346" spans="1:33" s="145" customFormat="1" x14ac:dyDescent="0.15">
      <c r="A346" s="267">
        <v>95201025</v>
      </c>
      <c r="B346" t="s">
        <v>6519</v>
      </c>
      <c r="C346" s="268" t="s">
        <v>6316</v>
      </c>
      <c r="D346" s="293">
        <v>7902</v>
      </c>
      <c r="E346" s="268" t="s">
        <v>4876</v>
      </c>
      <c r="F346" s="268" t="s">
        <v>4877</v>
      </c>
      <c r="G346" s="269">
        <v>5</v>
      </c>
      <c r="H346" s="269">
        <v>0</v>
      </c>
      <c r="I346" s="267">
        <v>34</v>
      </c>
      <c r="J346" s="268" t="s">
        <v>5157</v>
      </c>
      <c r="K346" s="295" t="s">
        <v>5158</v>
      </c>
      <c r="L346" s="295"/>
      <c r="M346" s="268">
        <v>1</v>
      </c>
      <c r="N346" s="268" t="b">
        <v>1</v>
      </c>
      <c r="O346" s="268">
        <v>12</v>
      </c>
      <c r="P346" s="281">
        <v>180</v>
      </c>
      <c r="Q346" s="281">
        <v>240</v>
      </c>
      <c r="R346" s="268" t="s">
        <v>3383</v>
      </c>
      <c r="S346" s="268"/>
      <c r="T346" s="268">
        <v>1</v>
      </c>
      <c r="U346" s="268" t="s">
        <v>4880</v>
      </c>
      <c r="V346" s="269">
        <v>5</v>
      </c>
      <c r="W346" s="269"/>
      <c r="X346" s="268" t="s">
        <v>4881</v>
      </c>
      <c r="Y346" t="s">
        <v>6520</v>
      </c>
      <c r="Z346" t="s">
        <v>6521</v>
      </c>
      <c r="AA346" s="268" t="s">
        <v>4884</v>
      </c>
      <c r="AB346" s="268"/>
      <c r="AC346" s="287">
        <v>1</v>
      </c>
      <c r="AD346" s="287">
        <v>1</v>
      </c>
      <c r="AE346" s="268"/>
      <c r="AF346" s="268"/>
      <c r="AG346" s="290"/>
    </row>
    <row r="347" spans="1:33" s="145" customFormat="1" x14ac:dyDescent="0.15">
      <c r="A347" s="270">
        <v>95201026</v>
      </c>
      <c r="B347" t="s">
        <v>6519</v>
      </c>
      <c r="C347" s="268" t="s">
        <v>6316</v>
      </c>
      <c r="D347" s="268">
        <v>7902</v>
      </c>
      <c r="E347" s="268" t="s">
        <v>4876</v>
      </c>
      <c r="F347" s="268" t="s">
        <v>4877</v>
      </c>
      <c r="G347" s="269">
        <v>6</v>
      </c>
      <c r="H347" s="269">
        <v>0</v>
      </c>
      <c r="I347" s="267">
        <v>34</v>
      </c>
      <c r="J347" s="282" t="s">
        <v>5157</v>
      </c>
      <c r="K347" s="279" t="s">
        <v>5158</v>
      </c>
      <c r="L347" s="279"/>
      <c r="M347" s="268">
        <v>1</v>
      </c>
      <c r="N347" s="268" t="b">
        <v>1</v>
      </c>
      <c r="O347" s="268">
        <v>25</v>
      </c>
      <c r="P347" s="281">
        <v>375</v>
      </c>
      <c r="Q347" s="281">
        <v>500</v>
      </c>
      <c r="R347" s="268" t="s">
        <v>3383</v>
      </c>
      <c r="S347" s="268"/>
      <c r="T347" s="268">
        <v>1</v>
      </c>
      <c r="U347" s="268" t="s">
        <v>4880</v>
      </c>
      <c r="V347" s="269">
        <v>6</v>
      </c>
      <c r="W347" s="269"/>
      <c r="X347" s="268" t="s">
        <v>4881</v>
      </c>
      <c r="Y347" t="s">
        <v>6520</v>
      </c>
      <c r="Z347" t="s">
        <v>6521</v>
      </c>
      <c r="AA347" s="268" t="s">
        <v>4884</v>
      </c>
      <c r="AB347" s="268"/>
      <c r="AC347" s="287">
        <v>1</v>
      </c>
      <c r="AD347" s="287">
        <v>1</v>
      </c>
      <c r="AE347" s="268"/>
      <c r="AF347" s="268"/>
      <c r="AG347" s="290"/>
    </row>
    <row r="348" spans="1:33" s="145" customFormat="1" x14ac:dyDescent="0.15">
      <c r="A348" s="270">
        <v>95201027</v>
      </c>
      <c r="B348" t="s">
        <v>6519</v>
      </c>
      <c r="C348" s="268" t="s">
        <v>6316</v>
      </c>
      <c r="D348" s="268">
        <v>7902</v>
      </c>
      <c r="E348" s="268" t="s">
        <v>4876</v>
      </c>
      <c r="F348" s="268" t="s">
        <v>4877</v>
      </c>
      <c r="G348" s="269">
        <v>7</v>
      </c>
      <c r="H348" s="269">
        <v>0</v>
      </c>
      <c r="I348" s="267">
        <v>34</v>
      </c>
      <c r="J348" s="282" t="s">
        <v>5157</v>
      </c>
      <c r="K348" s="279" t="s">
        <v>5158</v>
      </c>
      <c r="L348" s="279"/>
      <c r="M348" s="268">
        <v>1</v>
      </c>
      <c r="N348" s="268" t="b">
        <v>1</v>
      </c>
      <c r="O348" s="268">
        <v>38</v>
      </c>
      <c r="P348" s="281">
        <v>570</v>
      </c>
      <c r="Q348" s="281">
        <v>760</v>
      </c>
      <c r="R348" s="268" t="s">
        <v>3383</v>
      </c>
      <c r="S348" s="268"/>
      <c r="T348" s="268">
        <v>1</v>
      </c>
      <c r="U348" s="268" t="s">
        <v>4880</v>
      </c>
      <c r="V348" s="269">
        <v>7</v>
      </c>
      <c r="W348" s="269"/>
      <c r="X348" s="268" t="s">
        <v>4881</v>
      </c>
      <c r="Y348" t="s">
        <v>6520</v>
      </c>
      <c r="Z348" t="s">
        <v>6521</v>
      </c>
      <c r="AA348" s="268" t="s">
        <v>4884</v>
      </c>
      <c r="AB348" s="268"/>
      <c r="AC348" s="287">
        <v>1</v>
      </c>
      <c r="AD348" s="287">
        <v>1</v>
      </c>
      <c r="AE348" s="268"/>
      <c r="AF348" s="268"/>
      <c r="AG348" s="290"/>
    </row>
    <row r="349" spans="1:33" s="258" customFormat="1" x14ac:dyDescent="0.15">
      <c r="A349" s="271">
        <v>95201028</v>
      </c>
      <c r="B349" t="s">
        <v>6522</v>
      </c>
      <c r="C349" s="268" t="s">
        <v>6316</v>
      </c>
      <c r="D349" s="272">
        <v>5081</v>
      </c>
      <c r="E349" s="272" t="s">
        <v>4876</v>
      </c>
      <c r="F349" s="272" t="s">
        <v>4877</v>
      </c>
      <c r="G349" s="269">
        <v>6</v>
      </c>
      <c r="H349" s="273">
        <v>0</v>
      </c>
      <c r="I349" s="283">
        <v>34</v>
      </c>
      <c r="J349" s="284" t="s">
        <v>5157</v>
      </c>
      <c r="K349" s="285" t="s">
        <v>5158</v>
      </c>
      <c r="L349" s="272" t="s">
        <v>44</v>
      </c>
      <c r="M349" s="272">
        <v>1</v>
      </c>
      <c r="N349" s="272" t="b">
        <v>1</v>
      </c>
      <c r="O349" s="272">
        <v>51</v>
      </c>
      <c r="P349" s="281">
        <v>765</v>
      </c>
      <c r="Q349" s="281">
        <v>1020</v>
      </c>
      <c r="R349" s="272" t="s">
        <v>3383</v>
      </c>
      <c r="S349" s="272"/>
      <c r="T349" s="272">
        <v>1</v>
      </c>
      <c r="U349" s="272" t="s">
        <v>4880</v>
      </c>
      <c r="V349" s="273">
        <v>10</v>
      </c>
      <c r="W349" s="273"/>
      <c r="X349" s="272" t="s">
        <v>4881</v>
      </c>
      <c r="Y349" t="s">
        <v>6520</v>
      </c>
      <c r="Z349" t="s">
        <v>6521</v>
      </c>
      <c r="AA349" s="272" t="s">
        <v>4884</v>
      </c>
      <c r="AB349" s="272"/>
      <c r="AC349" s="289">
        <v>1</v>
      </c>
      <c r="AD349" s="289">
        <v>1</v>
      </c>
      <c r="AE349" s="289"/>
      <c r="AF349" s="272"/>
      <c r="AG349" s="272"/>
    </row>
    <row r="350" spans="1:33" s="258" customFormat="1" x14ac:dyDescent="0.15">
      <c r="A350" s="271">
        <v>95201029</v>
      </c>
      <c r="B350" t="s">
        <v>6523</v>
      </c>
      <c r="C350" s="268" t="s">
        <v>6316</v>
      </c>
      <c r="D350" s="272">
        <v>5081</v>
      </c>
      <c r="E350" s="272" t="s">
        <v>4876</v>
      </c>
      <c r="F350" s="272" t="s">
        <v>4877</v>
      </c>
      <c r="G350" s="269">
        <v>6</v>
      </c>
      <c r="H350" s="273">
        <v>0</v>
      </c>
      <c r="I350" s="283">
        <v>34</v>
      </c>
      <c r="J350" s="284" t="s">
        <v>5157</v>
      </c>
      <c r="K350" s="285" t="s">
        <v>5158</v>
      </c>
      <c r="L350" s="272" t="s">
        <v>4887</v>
      </c>
      <c r="M350" s="272">
        <v>1</v>
      </c>
      <c r="N350" s="272" t="b">
        <v>1</v>
      </c>
      <c r="O350" s="272">
        <v>64</v>
      </c>
      <c r="P350" s="281">
        <v>960</v>
      </c>
      <c r="Q350" s="281">
        <v>1280</v>
      </c>
      <c r="R350" s="272" t="s">
        <v>3383</v>
      </c>
      <c r="S350" s="272"/>
      <c r="T350" s="272">
        <v>1</v>
      </c>
      <c r="U350" s="272" t="s">
        <v>4880</v>
      </c>
      <c r="V350" s="273">
        <v>10</v>
      </c>
      <c r="W350" s="273"/>
      <c r="X350" s="272" t="s">
        <v>4881</v>
      </c>
      <c r="Y350" t="s">
        <v>6520</v>
      </c>
      <c r="Z350" t="s">
        <v>6521</v>
      </c>
      <c r="AA350" s="272" t="s">
        <v>4884</v>
      </c>
      <c r="AB350" s="272"/>
      <c r="AC350" s="289">
        <v>1</v>
      </c>
      <c r="AD350" s="289">
        <v>1</v>
      </c>
      <c r="AE350" s="289"/>
      <c r="AF350" s="272"/>
      <c r="AG350" s="272"/>
    </row>
    <row r="351" spans="1:33" s="258" customFormat="1" x14ac:dyDescent="0.15">
      <c r="A351" s="271">
        <v>95201030</v>
      </c>
      <c r="B351" t="s">
        <v>6524</v>
      </c>
      <c r="C351" s="268" t="s">
        <v>6316</v>
      </c>
      <c r="D351" s="272">
        <v>5081</v>
      </c>
      <c r="E351" s="272" t="s">
        <v>4876</v>
      </c>
      <c r="F351" s="272" t="s">
        <v>4877</v>
      </c>
      <c r="G351" s="269">
        <v>7</v>
      </c>
      <c r="H351" s="273">
        <v>0</v>
      </c>
      <c r="I351" s="283">
        <v>34</v>
      </c>
      <c r="J351" s="284" t="s">
        <v>5157</v>
      </c>
      <c r="K351" s="285" t="s">
        <v>5158</v>
      </c>
      <c r="L351" s="272" t="s">
        <v>4889</v>
      </c>
      <c r="M351" s="272">
        <v>1</v>
      </c>
      <c r="N351" s="272" t="b">
        <v>1</v>
      </c>
      <c r="O351" s="272">
        <v>77</v>
      </c>
      <c r="P351" s="281">
        <v>1155</v>
      </c>
      <c r="Q351" s="281">
        <v>1540</v>
      </c>
      <c r="R351" s="272" t="s">
        <v>3383</v>
      </c>
      <c r="S351" s="272"/>
      <c r="T351" s="272">
        <v>1</v>
      </c>
      <c r="U351" s="272" t="s">
        <v>4880</v>
      </c>
      <c r="V351" s="273">
        <v>10</v>
      </c>
      <c r="W351" s="273"/>
      <c r="X351" s="272" t="s">
        <v>4881</v>
      </c>
      <c r="Y351" t="s">
        <v>6520</v>
      </c>
      <c r="Z351" t="s">
        <v>6521</v>
      </c>
      <c r="AA351" s="272" t="s">
        <v>4884</v>
      </c>
      <c r="AB351" s="272"/>
      <c r="AC351" s="289">
        <v>1</v>
      </c>
      <c r="AD351" s="289">
        <v>1</v>
      </c>
      <c r="AE351" s="289"/>
      <c r="AF351" s="272"/>
      <c r="AG351" s="272"/>
    </row>
    <row r="352" spans="1:33" s="145" customFormat="1" x14ac:dyDescent="0.15">
      <c r="A352" s="267">
        <v>95201031</v>
      </c>
      <c r="B352" t="s">
        <v>6525</v>
      </c>
      <c r="C352" s="268" t="s">
        <v>6316</v>
      </c>
      <c r="D352" s="293">
        <v>7906</v>
      </c>
      <c r="E352" s="268" t="s">
        <v>4876</v>
      </c>
      <c r="F352" s="268" t="s">
        <v>4877</v>
      </c>
      <c r="G352" s="269">
        <v>1</v>
      </c>
      <c r="H352" s="269">
        <v>0</v>
      </c>
      <c r="I352" s="267">
        <v>34</v>
      </c>
      <c r="J352" s="268" t="s">
        <v>5165</v>
      </c>
      <c r="K352" s="295" t="s">
        <v>5166</v>
      </c>
      <c r="L352" s="295"/>
      <c r="M352" s="268">
        <v>1</v>
      </c>
      <c r="N352" s="268" t="b">
        <v>1</v>
      </c>
      <c r="O352" s="268">
        <v>2</v>
      </c>
      <c r="P352" s="281">
        <v>30</v>
      </c>
      <c r="Q352" s="281">
        <v>40</v>
      </c>
      <c r="R352" s="268" t="s">
        <v>3383</v>
      </c>
      <c r="S352" s="268"/>
      <c r="T352" s="268">
        <v>1</v>
      </c>
      <c r="U352" s="268" t="s">
        <v>4880</v>
      </c>
      <c r="V352" s="269">
        <v>1</v>
      </c>
      <c r="W352" s="269"/>
      <c r="X352" s="268" t="s">
        <v>4881</v>
      </c>
      <c r="Y352" t="s">
        <v>6526</v>
      </c>
      <c r="Z352" t="s">
        <v>6527</v>
      </c>
      <c r="AA352" s="268" t="s">
        <v>4884</v>
      </c>
      <c r="AB352" s="268"/>
      <c r="AC352" s="287">
        <v>1</v>
      </c>
      <c r="AD352" s="287">
        <v>1</v>
      </c>
      <c r="AE352" s="268"/>
      <c r="AF352" s="268"/>
      <c r="AG352" s="290"/>
    </row>
    <row r="353" spans="1:33" s="145" customFormat="1" x14ac:dyDescent="0.15">
      <c r="A353" s="267">
        <v>95201032</v>
      </c>
      <c r="B353" t="s">
        <v>6525</v>
      </c>
      <c r="C353" s="268" t="s">
        <v>6316</v>
      </c>
      <c r="D353" s="293">
        <v>7906</v>
      </c>
      <c r="E353" s="268" t="s">
        <v>4876</v>
      </c>
      <c r="F353" s="268" t="s">
        <v>4877</v>
      </c>
      <c r="G353" s="269">
        <v>2</v>
      </c>
      <c r="H353" s="269">
        <v>0</v>
      </c>
      <c r="I353" s="267">
        <v>34</v>
      </c>
      <c r="J353" s="268" t="s">
        <v>5165</v>
      </c>
      <c r="K353" s="295" t="s">
        <v>5166</v>
      </c>
      <c r="L353" s="295"/>
      <c r="M353" s="268">
        <v>1</v>
      </c>
      <c r="N353" s="268" t="b">
        <v>1</v>
      </c>
      <c r="O353" s="268">
        <v>5</v>
      </c>
      <c r="P353" s="281">
        <v>75</v>
      </c>
      <c r="Q353" s="281">
        <v>100</v>
      </c>
      <c r="R353" s="268" t="s">
        <v>3383</v>
      </c>
      <c r="S353" s="268"/>
      <c r="T353" s="268">
        <v>1</v>
      </c>
      <c r="U353" s="268" t="s">
        <v>4880</v>
      </c>
      <c r="V353" s="269">
        <v>2</v>
      </c>
      <c r="W353" s="269"/>
      <c r="X353" s="268" t="s">
        <v>4881</v>
      </c>
      <c r="Y353" t="s">
        <v>6526</v>
      </c>
      <c r="Z353" t="s">
        <v>6527</v>
      </c>
      <c r="AA353" s="268" t="s">
        <v>4884</v>
      </c>
      <c r="AB353" s="268"/>
      <c r="AC353" s="287">
        <v>1</v>
      </c>
      <c r="AD353" s="287">
        <v>1</v>
      </c>
      <c r="AE353" s="268"/>
      <c r="AF353" s="268"/>
      <c r="AG353" s="290"/>
    </row>
    <row r="354" spans="1:33" s="145" customFormat="1" x14ac:dyDescent="0.15">
      <c r="A354" s="267">
        <v>95201033</v>
      </c>
      <c r="B354" t="s">
        <v>6525</v>
      </c>
      <c r="C354" s="268" t="s">
        <v>6316</v>
      </c>
      <c r="D354" s="293">
        <v>7906</v>
      </c>
      <c r="E354" s="268" t="s">
        <v>4876</v>
      </c>
      <c r="F354" s="268" t="s">
        <v>4877</v>
      </c>
      <c r="G354" s="269">
        <v>3</v>
      </c>
      <c r="H354" s="269">
        <v>0</v>
      </c>
      <c r="I354" s="267">
        <v>34</v>
      </c>
      <c r="J354" s="268" t="s">
        <v>5165</v>
      </c>
      <c r="K354" s="295" t="s">
        <v>5166</v>
      </c>
      <c r="L354" s="295"/>
      <c r="M354" s="268">
        <v>1</v>
      </c>
      <c r="N354" s="268" t="b">
        <v>1</v>
      </c>
      <c r="O354" s="268">
        <v>7</v>
      </c>
      <c r="P354" s="281">
        <v>105</v>
      </c>
      <c r="Q354" s="281">
        <v>140</v>
      </c>
      <c r="R354" s="268" t="s">
        <v>3383</v>
      </c>
      <c r="S354" s="268"/>
      <c r="T354" s="268">
        <v>1</v>
      </c>
      <c r="U354" s="268" t="s">
        <v>4880</v>
      </c>
      <c r="V354" s="269">
        <v>3</v>
      </c>
      <c r="W354" s="269"/>
      <c r="X354" s="268" t="s">
        <v>4881</v>
      </c>
      <c r="Y354" t="s">
        <v>6526</v>
      </c>
      <c r="Z354" t="s">
        <v>6527</v>
      </c>
      <c r="AA354" s="268" t="s">
        <v>4884</v>
      </c>
      <c r="AB354" s="268"/>
      <c r="AC354" s="287">
        <v>1</v>
      </c>
      <c r="AD354" s="287">
        <v>1</v>
      </c>
      <c r="AE354" s="268"/>
      <c r="AF354" s="268"/>
      <c r="AG354" s="290"/>
    </row>
    <row r="355" spans="1:33" s="145" customFormat="1" x14ac:dyDescent="0.15">
      <c r="A355" s="267">
        <v>95201034</v>
      </c>
      <c r="B355" t="s">
        <v>6525</v>
      </c>
      <c r="C355" s="268" t="s">
        <v>6316</v>
      </c>
      <c r="D355" s="293">
        <v>7906</v>
      </c>
      <c r="E355" s="268" t="s">
        <v>4876</v>
      </c>
      <c r="F355" s="268" t="s">
        <v>4877</v>
      </c>
      <c r="G355" s="269">
        <v>4</v>
      </c>
      <c r="H355" s="269">
        <v>0</v>
      </c>
      <c r="I355" s="267">
        <v>34</v>
      </c>
      <c r="J355" s="268" t="s">
        <v>5165</v>
      </c>
      <c r="K355" s="295" t="s">
        <v>5166</v>
      </c>
      <c r="L355" s="295"/>
      <c r="M355" s="268">
        <v>1</v>
      </c>
      <c r="N355" s="268" t="b">
        <v>1</v>
      </c>
      <c r="O355" s="268">
        <v>10</v>
      </c>
      <c r="P355" s="281">
        <v>150</v>
      </c>
      <c r="Q355" s="281">
        <v>200</v>
      </c>
      <c r="R355" s="268" t="s">
        <v>3383</v>
      </c>
      <c r="S355" s="268"/>
      <c r="T355" s="268">
        <v>1</v>
      </c>
      <c r="U355" s="268" t="s">
        <v>4880</v>
      </c>
      <c r="V355" s="269">
        <v>4</v>
      </c>
      <c r="W355" s="269"/>
      <c r="X355" s="268" t="s">
        <v>4881</v>
      </c>
      <c r="Y355" t="s">
        <v>6526</v>
      </c>
      <c r="Z355" t="s">
        <v>6527</v>
      </c>
      <c r="AA355" s="268" t="s">
        <v>4884</v>
      </c>
      <c r="AB355" s="268"/>
      <c r="AC355" s="287">
        <v>1</v>
      </c>
      <c r="AD355" s="287">
        <v>1</v>
      </c>
      <c r="AE355" s="268"/>
      <c r="AF355" s="268"/>
      <c r="AG355" s="290"/>
    </row>
    <row r="356" spans="1:33" s="145" customFormat="1" x14ac:dyDescent="0.15">
      <c r="A356" s="267">
        <v>95201035</v>
      </c>
      <c r="B356" t="s">
        <v>6525</v>
      </c>
      <c r="C356" s="268" t="s">
        <v>6316</v>
      </c>
      <c r="D356" s="293">
        <v>7906</v>
      </c>
      <c r="E356" s="268" t="s">
        <v>4876</v>
      </c>
      <c r="F356" s="268" t="s">
        <v>4877</v>
      </c>
      <c r="G356" s="269">
        <v>5</v>
      </c>
      <c r="H356" s="269">
        <v>0</v>
      </c>
      <c r="I356" s="267">
        <v>34</v>
      </c>
      <c r="J356" s="268" t="s">
        <v>5165</v>
      </c>
      <c r="K356" s="295" t="s">
        <v>5166</v>
      </c>
      <c r="L356" s="295"/>
      <c r="M356" s="268">
        <v>1</v>
      </c>
      <c r="N356" s="268" t="b">
        <v>1</v>
      </c>
      <c r="O356" s="268">
        <v>12</v>
      </c>
      <c r="P356" s="281">
        <v>180</v>
      </c>
      <c r="Q356" s="281">
        <v>240</v>
      </c>
      <c r="R356" s="268" t="s">
        <v>3383</v>
      </c>
      <c r="S356" s="268"/>
      <c r="T356" s="268">
        <v>1</v>
      </c>
      <c r="U356" s="268" t="s">
        <v>4880</v>
      </c>
      <c r="V356" s="269">
        <v>5</v>
      </c>
      <c r="W356" s="269"/>
      <c r="X356" s="268" t="s">
        <v>4881</v>
      </c>
      <c r="Y356" t="s">
        <v>6526</v>
      </c>
      <c r="Z356" t="s">
        <v>6527</v>
      </c>
      <c r="AA356" s="268" t="s">
        <v>4884</v>
      </c>
      <c r="AB356" s="268"/>
      <c r="AC356" s="287">
        <v>1</v>
      </c>
      <c r="AD356" s="287">
        <v>1</v>
      </c>
      <c r="AE356" s="268"/>
      <c r="AF356" s="268"/>
      <c r="AG356" s="290"/>
    </row>
    <row r="357" spans="1:33" s="145" customFormat="1" x14ac:dyDescent="0.15">
      <c r="A357" s="271">
        <v>95201036</v>
      </c>
      <c r="B357" t="s">
        <v>6525</v>
      </c>
      <c r="C357" s="268" t="s">
        <v>6316</v>
      </c>
      <c r="D357" s="272">
        <v>7906</v>
      </c>
      <c r="E357" s="272" t="s">
        <v>4876</v>
      </c>
      <c r="F357" s="272" t="s">
        <v>4877</v>
      </c>
      <c r="G357" s="294">
        <v>6</v>
      </c>
      <c r="H357" s="273">
        <v>0</v>
      </c>
      <c r="I357" s="283">
        <v>34</v>
      </c>
      <c r="J357" s="284" t="s">
        <v>5165</v>
      </c>
      <c r="K357" s="285" t="s">
        <v>5166</v>
      </c>
      <c r="L357" s="285"/>
      <c r="M357" s="272">
        <v>1</v>
      </c>
      <c r="N357" s="272" t="b">
        <v>1</v>
      </c>
      <c r="O357" s="272">
        <v>25</v>
      </c>
      <c r="P357" s="281">
        <v>375</v>
      </c>
      <c r="Q357" s="281">
        <v>500</v>
      </c>
      <c r="R357" s="272" t="s">
        <v>3383</v>
      </c>
      <c r="S357" s="272"/>
      <c r="T357" s="272">
        <v>1</v>
      </c>
      <c r="U357" s="272" t="s">
        <v>4880</v>
      </c>
      <c r="V357" s="273">
        <v>6</v>
      </c>
      <c r="W357" s="273"/>
      <c r="X357" s="272" t="s">
        <v>4881</v>
      </c>
      <c r="Y357" t="s">
        <v>6526</v>
      </c>
      <c r="Z357" t="s">
        <v>6527</v>
      </c>
      <c r="AA357" s="272" t="s">
        <v>4884</v>
      </c>
      <c r="AB357" s="272"/>
      <c r="AC357" s="289">
        <v>1</v>
      </c>
      <c r="AD357" s="289">
        <v>1</v>
      </c>
      <c r="AE357" s="272"/>
      <c r="AF357" s="272"/>
      <c r="AG357" s="296"/>
    </row>
    <row r="358" spans="1:33" s="145" customFormat="1" x14ac:dyDescent="0.15">
      <c r="A358" s="270">
        <v>95201037</v>
      </c>
      <c r="B358" t="s">
        <v>6525</v>
      </c>
      <c r="C358" s="268" t="s">
        <v>6316</v>
      </c>
      <c r="D358" s="268">
        <v>7906</v>
      </c>
      <c r="E358" s="268" t="s">
        <v>4876</v>
      </c>
      <c r="F358" s="268" t="s">
        <v>4877</v>
      </c>
      <c r="G358" s="269">
        <v>7</v>
      </c>
      <c r="H358" s="269">
        <v>0</v>
      </c>
      <c r="I358" s="267">
        <v>34</v>
      </c>
      <c r="J358" s="282" t="s">
        <v>5165</v>
      </c>
      <c r="K358" s="279" t="s">
        <v>5166</v>
      </c>
      <c r="L358" s="279"/>
      <c r="M358" s="268">
        <v>1</v>
      </c>
      <c r="N358" s="268" t="b">
        <v>1</v>
      </c>
      <c r="O358" s="268">
        <v>38</v>
      </c>
      <c r="P358" s="281">
        <v>570</v>
      </c>
      <c r="Q358" s="281">
        <v>760</v>
      </c>
      <c r="R358" s="268" t="s">
        <v>3383</v>
      </c>
      <c r="S358" s="268"/>
      <c r="T358" s="268">
        <v>1</v>
      </c>
      <c r="U358" s="268" t="s">
        <v>4880</v>
      </c>
      <c r="V358" s="269">
        <v>7</v>
      </c>
      <c r="W358" s="269"/>
      <c r="X358" s="268" t="s">
        <v>4881</v>
      </c>
      <c r="Y358" t="s">
        <v>6526</v>
      </c>
      <c r="Z358" t="s">
        <v>6527</v>
      </c>
      <c r="AA358" s="268" t="s">
        <v>4884</v>
      </c>
      <c r="AB358" s="268"/>
      <c r="AC358" s="287">
        <v>1</v>
      </c>
      <c r="AD358" s="287">
        <v>1</v>
      </c>
      <c r="AE358" s="268"/>
      <c r="AF358" s="268"/>
      <c r="AG358" s="290"/>
    </row>
    <row r="359" spans="1:33" s="258" customFormat="1" x14ac:dyDescent="0.15">
      <c r="A359" s="271">
        <v>95201038</v>
      </c>
      <c r="B359" t="s">
        <v>6528</v>
      </c>
      <c r="C359" s="268" t="s">
        <v>6316</v>
      </c>
      <c r="D359" s="272">
        <v>5081</v>
      </c>
      <c r="E359" s="272" t="s">
        <v>4876</v>
      </c>
      <c r="F359" s="272" t="s">
        <v>4877</v>
      </c>
      <c r="G359" s="269">
        <v>6</v>
      </c>
      <c r="H359" s="273">
        <v>1</v>
      </c>
      <c r="I359" s="283">
        <v>34</v>
      </c>
      <c r="J359" s="284" t="s">
        <v>5165</v>
      </c>
      <c r="K359" s="285" t="s">
        <v>5166</v>
      </c>
      <c r="L359" s="272" t="s">
        <v>44</v>
      </c>
      <c r="M359" s="272">
        <v>1</v>
      </c>
      <c r="N359" s="272" t="b">
        <v>1</v>
      </c>
      <c r="O359" s="272">
        <v>51</v>
      </c>
      <c r="P359" s="281">
        <v>765</v>
      </c>
      <c r="Q359" s="281">
        <v>1020</v>
      </c>
      <c r="R359" s="272" t="s">
        <v>3383</v>
      </c>
      <c r="S359" s="272"/>
      <c r="T359" s="272">
        <v>1</v>
      </c>
      <c r="U359" s="272" t="s">
        <v>4880</v>
      </c>
      <c r="V359" s="273">
        <v>10</v>
      </c>
      <c r="W359" s="273"/>
      <c r="X359" s="272" t="s">
        <v>4881</v>
      </c>
      <c r="Y359" t="s">
        <v>6526</v>
      </c>
      <c r="Z359" t="s">
        <v>6527</v>
      </c>
      <c r="AA359" s="272" t="s">
        <v>4884</v>
      </c>
      <c r="AB359" s="272"/>
      <c r="AC359" s="289">
        <v>1</v>
      </c>
      <c r="AD359" s="289">
        <v>1</v>
      </c>
      <c r="AE359" s="289"/>
      <c r="AF359" s="272"/>
      <c r="AG359" s="272"/>
    </row>
    <row r="360" spans="1:33" s="258" customFormat="1" x14ac:dyDescent="0.15">
      <c r="A360" s="271">
        <v>95201039</v>
      </c>
      <c r="B360" t="s">
        <v>6529</v>
      </c>
      <c r="C360" s="268" t="s">
        <v>6316</v>
      </c>
      <c r="D360" s="272">
        <v>5081</v>
      </c>
      <c r="E360" s="272" t="s">
        <v>4876</v>
      </c>
      <c r="F360" s="272" t="s">
        <v>4877</v>
      </c>
      <c r="G360" s="269">
        <v>6</v>
      </c>
      <c r="H360" s="273">
        <v>1</v>
      </c>
      <c r="I360" s="283">
        <v>34</v>
      </c>
      <c r="J360" s="284" t="s">
        <v>5165</v>
      </c>
      <c r="K360" s="285" t="s">
        <v>5166</v>
      </c>
      <c r="L360" s="272" t="s">
        <v>4887</v>
      </c>
      <c r="M360" s="272">
        <v>1</v>
      </c>
      <c r="N360" s="272" t="b">
        <v>1</v>
      </c>
      <c r="O360" s="272">
        <v>64</v>
      </c>
      <c r="P360" s="281">
        <v>960</v>
      </c>
      <c r="Q360" s="281">
        <v>1280</v>
      </c>
      <c r="R360" s="272" t="s">
        <v>3383</v>
      </c>
      <c r="S360" s="272"/>
      <c r="T360" s="272">
        <v>1</v>
      </c>
      <c r="U360" s="272" t="s">
        <v>4880</v>
      </c>
      <c r="V360" s="273">
        <v>10</v>
      </c>
      <c r="W360" s="273"/>
      <c r="X360" s="272" t="s">
        <v>4881</v>
      </c>
      <c r="Y360" t="s">
        <v>6526</v>
      </c>
      <c r="Z360" t="s">
        <v>6527</v>
      </c>
      <c r="AA360" s="272" t="s">
        <v>4884</v>
      </c>
      <c r="AB360" s="272"/>
      <c r="AC360" s="289">
        <v>1</v>
      </c>
      <c r="AD360" s="289">
        <v>1</v>
      </c>
      <c r="AE360" s="289"/>
      <c r="AF360" s="272"/>
      <c r="AG360" s="272"/>
    </row>
    <row r="361" spans="1:33" s="258" customFormat="1" x14ac:dyDescent="0.15">
      <c r="A361" s="271">
        <v>95201040</v>
      </c>
      <c r="B361" t="s">
        <v>6530</v>
      </c>
      <c r="C361" s="268" t="s">
        <v>6316</v>
      </c>
      <c r="D361" s="272">
        <v>5081</v>
      </c>
      <c r="E361" s="272" t="s">
        <v>4876</v>
      </c>
      <c r="F361" s="272" t="s">
        <v>4877</v>
      </c>
      <c r="G361" s="269">
        <v>7</v>
      </c>
      <c r="H361" s="273">
        <v>0</v>
      </c>
      <c r="I361" s="283">
        <v>34</v>
      </c>
      <c r="J361" s="284" t="s">
        <v>5165</v>
      </c>
      <c r="K361" s="285" t="s">
        <v>5166</v>
      </c>
      <c r="L361" s="272" t="s">
        <v>4889</v>
      </c>
      <c r="M361" s="272">
        <v>1</v>
      </c>
      <c r="N361" s="272" t="b">
        <v>1</v>
      </c>
      <c r="O361" s="272">
        <v>77</v>
      </c>
      <c r="P361" s="281">
        <v>1155</v>
      </c>
      <c r="Q361" s="281">
        <v>1540</v>
      </c>
      <c r="R361" s="272" t="s">
        <v>3383</v>
      </c>
      <c r="S361" s="272"/>
      <c r="T361" s="272">
        <v>1</v>
      </c>
      <c r="U361" s="272" t="s">
        <v>4880</v>
      </c>
      <c r="V361" s="273">
        <v>10</v>
      </c>
      <c r="W361" s="273"/>
      <c r="X361" s="272" t="s">
        <v>4881</v>
      </c>
      <c r="Y361" t="s">
        <v>6526</v>
      </c>
      <c r="Z361" t="s">
        <v>6527</v>
      </c>
      <c r="AA361" s="272" t="s">
        <v>4884</v>
      </c>
      <c r="AB361" s="272"/>
      <c r="AC361" s="289">
        <v>1</v>
      </c>
      <c r="AD361" s="289">
        <v>1</v>
      </c>
      <c r="AE361" s="289"/>
      <c r="AF361" s="272"/>
      <c r="AG361" s="272"/>
    </row>
    <row r="362" spans="1:33" s="145" customFormat="1" x14ac:dyDescent="0.15">
      <c r="A362" s="267">
        <v>95201041</v>
      </c>
      <c r="B362" t="s">
        <v>6531</v>
      </c>
      <c r="C362" s="268" t="s">
        <v>6316</v>
      </c>
      <c r="D362" s="293">
        <v>7906</v>
      </c>
      <c r="E362" s="268" t="s">
        <v>4876</v>
      </c>
      <c r="F362" s="268" t="s">
        <v>4877</v>
      </c>
      <c r="G362" s="269">
        <v>1</v>
      </c>
      <c r="H362" s="269">
        <v>0</v>
      </c>
      <c r="I362" s="267">
        <v>34</v>
      </c>
      <c r="J362" s="282" t="s">
        <v>5173</v>
      </c>
      <c r="K362" s="295" t="s">
        <v>5174</v>
      </c>
      <c r="L362" s="295"/>
      <c r="M362" s="268">
        <v>1</v>
      </c>
      <c r="N362" s="268" t="b">
        <v>1</v>
      </c>
      <c r="O362" s="268">
        <v>2</v>
      </c>
      <c r="P362" s="281">
        <v>30</v>
      </c>
      <c r="Q362" s="281">
        <v>40</v>
      </c>
      <c r="R362" s="268" t="s">
        <v>3383</v>
      </c>
      <c r="S362" s="268"/>
      <c r="T362" s="268">
        <v>1</v>
      </c>
      <c r="U362" s="268" t="s">
        <v>4880</v>
      </c>
      <c r="V362" s="269">
        <v>1</v>
      </c>
      <c r="W362" s="269"/>
      <c r="X362" s="268" t="s">
        <v>4881</v>
      </c>
      <c r="Y362" t="s">
        <v>6532</v>
      </c>
      <c r="Z362" t="s">
        <v>6533</v>
      </c>
      <c r="AA362" s="268" t="s">
        <v>4884</v>
      </c>
      <c r="AB362" s="268"/>
      <c r="AC362" s="287">
        <v>1</v>
      </c>
      <c r="AD362" s="287">
        <v>1</v>
      </c>
      <c r="AE362" s="268"/>
      <c r="AF362" s="268"/>
      <c r="AG362" s="290"/>
    </row>
    <row r="363" spans="1:33" s="145" customFormat="1" x14ac:dyDescent="0.15">
      <c r="A363" s="267">
        <v>95201042</v>
      </c>
      <c r="B363" t="s">
        <v>6531</v>
      </c>
      <c r="C363" s="268" t="s">
        <v>6316</v>
      </c>
      <c r="D363" s="293">
        <v>7906</v>
      </c>
      <c r="E363" s="268" t="s">
        <v>4876</v>
      </c>
      <c r="F363" s="268" t="s">
        <v>4877</v>
      </c>
      <c r="G363" s="269">
        <v>2</v>
      </c>
      <c r="H363" s="269">
        <v>0</v>
      </c>
      <c r="I363" s="267">
        <v>34</v>
      </c>
      <c r="J363" s="282" t="s">
        <v>5173</v>
      </c>
      <c r="K363" s="295" t="s">
        <v>5174</v>
      </c>
      <c r="L363" s="295"/>
      <c r="M363" s="268">
        <v>1</v>
      </c>
      <c r="N363" s="268" t="b">
        <v>1</v>
      </c>
      <c r="O363" s="268">
        <v>5</v>
      </c>
      <c r="P363" s="281">
        <v>75</v>
      </c>
      <c r="Q363" s="281">
        <v>100</v>
      </c>
      <c r="R363" s="268" t="s">
        <v>3383</v>
      </c>
      <c r="S363" s="268"/>
      <c r="T363" s="268">
        <v>1</v>
      </c>
      <c r="U363" s="268" t="s">
        <v>4880</v>
      </c>
      <c r="V363" s="269">
        <v>2</v>
      </c>
      <c r="W363" s="269"/>
      <c r="X363" s="268" t="s">
        <v>4881</v>
      </c>
      <c r="Y363" t="s">
        <v>6532</v>
      </c>
      <c r="Z363" t="s">
        <v>6533</v>
      </c>
      <c r="AA363" s="268" t="s">
        <v>4884</v>
      </c>
      <c r="AB363" s="268"/>
      <c r="AC363" s="287">
        <v>1</v>
      </c>
      <c r="AD363" s="287">
        <v>1</v>
      </c>
      <c r="AE363" s="268"/>
      <c r="AF363" s="268"/>
      <c r="AG363" s="290"/>
    </row>
    <row r="364" spans="1:33" s="145" customFormat="1" x14ac:dyDescent="0.15">
      <c r="A364" s="267">
        <v>95201043</v>
      </c>
      <c r="B364" t="s">
        <v>6531</v>
      </c>
      <c r="C364" s="268" t="s">
        <v>6316</v>
      </c>
      <c r="D364" s="293">
        <v>7906</v>
      </c>
      <c r="E364" s="268" t="s">
        <v>4876</v>
      </c>
      <c r="F364" s="268" t="s">
        <v>4877</v>
      </c>
      <c r="G364" s="269">
        <v>3</v>
      </c>
      <c r="H364" s="269">
        <v>0</v>
      </c>
      <c r="I364" s="267">
        <v>34</v>
      </c>
      <c r="J364" s="282" t="s">
        <v>5173</v>
      </c>
      <c r="K364" s="295" t="s">
        <v>5174</v>
      </c>
      <c r="L364" s="295"/>
      <c r="M364" s="268">
        <v>1</v>
      </c>
      <c r="N364" s="268" t="b">
        <v>1</v>
      </c>
      <c r="O364" s="268">
        <v>7</v>
      </c>
      <c r="P364" s="281">
        <v>105</v>
      </c>
      <c r="Q364" s="281">
        <v>140</v>
      </c>
      <c r="R364" s="268" t="s">
        <v>3383</v>
      </c>
      <c r="S364" s="268"/>
      <c r="T364" s="268">
        <v>1</v>
      </c>
      <c r="U364" s="268" t="s">
        <v>4880</v>
      </c>
      <c r="V364" s="269">
        <v>3</v>
      </c>
      <c r="W364" s="269"/>
      <c r="X364" s="268" t="s">
        <v>4881</v>
      </c>
      <c r="Y364" t="s">
        <v>6532</v>
      </c>
      <c r="Z364" t="s">
        <v>6533</v>
      </c>
      <c r="AA364" s="268" t="s">
        <v>4884</v>
      </c>
      <c r="AB364" s="268"/>
      <c r="AC364" s="287">
        <v>1</v>
      </c>
      <c r="AD364" s="287">
        <v>1</v>
      </c>
      <c r="AE364" s="268"/>
      <c r="AF364" s="268"/>
      <c r="AG364" s="290"/>
    </row>
    <row r="365" spans="1:33" s="145" customFormat="1" x14ac:dyDescent="0.15">
      <c r="A365" s="267">
        <v>95201044</v>
      </c>
      <c r="B365" t="s">
        <v>6531</v>
      </c>
      <c r="C365" s="268" t="s">
        <v>6316</v>
      </c>
      <c r="D365" s="293">
        <v>7906</v>
      </c>
      <c r="E365" s="268" t="s">
        <v>4876</v>
      </c>
      <c r="F365" s="268" t="s">
        <v>4877</v>
      </c>
      <c r="G365" s="269">
        <v>4</v>
      </c>
      <c r="H365" s="269">
        <v>0</v>
      </c>
      <c r="I365" s="267">
        <v>34</v>
      </c>
      <c r="J365" s="282" t="s">
        <v>5173</v>
      </c>
      <c r="K365" s="295" t="s">
        <v>5174</v>
      </c>
      <c r="L365" s="295"/>
      <c r="M365" s="268">
        <v>1</v>
      </c>
      <c r="N365" s="268" t="b">
        <v>1</v>
      </c>
      <c r="O365" s="268">
        <v>10</v>
      </c>
      <c r="P365" s="281">
        <v>150</v>
      </c>
      <c r="Q365" s="281">
        <v>200</v>
      </c>
      <c r="R365" s="268" t="s">
        <v>3383</v>
      </c>
      <c r="S365" s="268"/>
      <c r="T365" s="268">
        <v>1</v>
      </c>
      <c r="U365" s="268" t="s">
        <v>4880</v>
      </c>
      <c r="V365" s="269">
        <v>4</v>
      </c>
      <c r="W365" s="269"/>
      <c r="X365" s="268" t="s">
        <v>4881</v>
      </c>
      <c r="Y365" t="s">
        <v>6532</v>
      </c>
      <c r="Z365" t="s">
        <v>6533</v>
      </c>
      <c r="AA365" s="268" t="s">
        <v>4884</v>
      </c>
      <c r="AB365" s="268"/>
      <c r="AC365" s="287">
        <v>1</v>
      </c>
      <c r="AD365" s="287">
        <v>1</v>
      </c>
      <c r="AE365" s="268"/>
      <c r="AF365" s="268"/>
      <c r="AG365" s="290"/>
    </row>
    <row r="366" spans="1:33" s="145" customFormat="1" x14ac:dyDescent="0.15">
      <c r="A366" s="267">
        <v>95201045</v>
      </c>
      <c r="B366" t="s">
        <v>6531</v>
      </c>
      <c r="C366" s="268" t="s">
        <v>6316</v>
      </c>
      <c r="D366" s="293">
        <v>7906</v>
      </c>
      <c r="E366" s="268" t="s">
        <v>4876</v>
      </c>
      <c r="F366" s="268" t="s">
        <v>4877</v>
      </c>
      <c r="G366" s="269">
        <v>5</v>
      </c>
      <c r="H366" s="269">
        <v>0</v>
      </c>
      <c r="I366" s="267">
        <v>34</v>
      </c>
      <c r="J366" s="282" t="s">
        <v>5173</v>
      </c>
      <c r="K366" s="295" t="s">
        <v>5174</v>
      </c>
      <c r="L366" s="295"/>
      <c r="M366" s="268">
        <v>1</v>
      </c>
      <c r="N366" s="268" t="b">
        <v>1</v>
      </c>
      <c r="O366" s="268">
        <v>12</v>
      </c>
      <c r="P366" s="281">
        <v>180</v>
      </c>
      <c r="Q366" s="281">
        <v>240</v>
      </c>
      <c r="R366" s="268" t="s">
        <v>3383</v>
      </c>
      <c r="S366" s="268"/>
      <c r="T366" s="268">
        <v>1</v>
      </c>
      <c r="U366" s="268" t="s">
        <v>4880</v>
      </c>
      <c r="V366" s="269">
        <v>5</v>
      </c>
      <c r="W366" s="269"/>
      <c r="X366" s="268" t="s">
        <v>4881</v>
      </c>
      <c r="Y366" t="s">
        <v>6532</v>
      </c>
      <c r="Z366" t="s">
        <v>6533</v>
      </c>
      <c r="AA366" s="268" t="s">
        <v>4884</v>
      </c>
      <c r="AB366" s="268"/>
      <c r="AC366" s="287">
        <v>1</v>
      </c>
      <c r="AD366" s="287">
        <v>1</v>
      </c>
      <c r="AE366" s="268"/>
      <c r="AF366" s="268"/>
      <c r="AG366" s="290"/>
    </row>
    <row r="367" spans="1:33" s="145" customFormat="1" x14ac:dyDescent="0.15">
      <c r="A367" s="270">
        <v>95201046</v>
      </c>
      <c r="B367" t="s">
        <v>6531</v>
      </c>
      <c r="C367" s="268" t="s">
        <v>6316</v>
      </c>
      <c r="D367" s="268">
        <v>7906</v>
      </c>
      <c r="E367" s="268" t="s">
        <v>4876</v>
      </c>
      <c r="F367" s="268" t="s">
        <v>4877</v>
      </c>
      <c r="G367" s="269">
        <v>6</v>
      </c>
      <c r="H367" s="269">
        <v>0</v>
      </c>
      <c r="I367" s="267">
        <v>34</v>
      </c>
      <c r="J367" s="282" t="s">
        <v>5173</v>
      </c>
      <c r="K367" s="279" t="s">
        <v>5174</v>
      </c>
      <c r="L367" s="279"/>
      <c r="M367" s="268">
        <v>1</v>
      </c>
      <c r="N367" s="268" t="b">
        <v>1</v>
      </c>
      <c r="O367" s="268">
        <v>25</v>
      </c>
      <c r="P367" s="281">
        <v>375</v>
      </c>
      <c r="Q367" s="281">
        <v>500</v>
      </c>
      <c r="R367" s="268" t="s">
        <v>3383</v>
      </c>
      <c r="S367" s="268"/>
      <c r="T367" s="268">
        <v>1</v>
      </c>
      <c r="U367" s="268" t="s">
        <v>4880</v>
      </c>
      <c r="V367" s="269">
        <v>6</v>
      </c>
      <c r="W367" s="269"/>
      <c r="X367" s="268" t="s">
        <v>4881</v>
      </c>
      <c r="Y367" t="s">
        <v>6532</v>
      </c>
      <c r="Z367" t="s">
        <v>6533</v>
      </c>
      <c r="AA367" s="268" t="s">
        <v>4884</v>
      </c>
      <c r="AB367" s="268"/>
      <c r="AC367" s="287">
        <v>1</v>
      </c>
      <c r="AD367" s="287">
        <v>1</v>
      </c>
      <c r="AE367" s="268"/>
      <c r="AF367" s="268"/>
      <c r="AG367" s="290"/>
    </row>
    <row r="368" spans="1:33" s="145" customFormat="1" x14ac:dyDescent="0.15">
      <c r="A368" s="270">
        <v>95201047</v>
      </c>
      <c r="B368" t="s">
        <v>6531</v>
      </c>
      <c r="C368" s="268" t="s">
        <v>6316</v>
      </c>
      <c r="D368" s="268">
        <v>7906</v>
      </c>
      <c r="E368" s="268" t="s">
        <v>4876</v>
      </c>
      <c r="F368" s="268" t="s">
        <v>4877</v>
      </c>
      <c r="G368" s="269">
        <v>7</v>
      </c>
      <c r="H368" s="269">
        <v>0</v>
      </c>
      <c r="I368" s="267">
        <v>34</v>
      </c>
      <c r="J368" s="282" t="s">
        <v>5173</v>
      </c>
      <c r="K368" s="279" t="s">
        <v>5174</v>
      </c>
      <c r="L368" s="279"/>
      <c r="M368" s="268">
        <v>1</v>
      </c>
      <c r="N368" s="268" t="b">
        <v>1</v>
      </c>
      <c r="O368" s="268">
        <v>38</v>
      </c>
      <c r="P368" s="281">
        <v>570</v>
      </c>
      <c r="Q368" s="281">
        <v>760</v>
      </c>
      <c r="R368" s="268" t="s">
        <v>3383</v>
      </c>
      <c r="S368" s="268"/>
      <c r="T368" s="268">
        <v>1</v>
      </c>
      <c r="U368" s="268" t="s">
        <v>4880</v>
      </c>
      <c r="V368" s="269">
        <v>7</v>
      </c>
      <c r="W368" s="269"/>
      <c r="X368" s="268" t="s">
        <v>4881</v>
      </c>
      <c r="Y368" t="s">
        <v>6532</v>
      </c>
      <c r="Z368" t="s">
        <v>6533</v>
      </c>
      <c r="AA368" s="268" t="s">
        <v>4884</v>
      </c>
      <c r="AB368" s="268"/>
      <c r="AC368" s="287">
        <v>1</v>
      </c>
      <c r="AD368" s="287">
        <v>1</v>
      </c>
      <c r="AE368" s="268"/>
      <c r="AF368" s="268"/>
      <c r="AG368" s="290"/>
    </row>
    <row r="369" spans="1:33" s="258" customFormat="1" x14ac:dyDescent="0.15">
      <c r="A369" s="271">
        <v>95201048</v>
      </c>
      <c r="B369" t="s">
        <v>6534</v>
      </c>
      <c r="C369" s="268" t="s">
        <v>6316</v>
      </c>
      <c r="D369" s="272">
        <v>5081</v>
      </c>
      <c r="E369" s="272" t="s">
        <v>4876</v>
      </c>
      <c r="F369" s="272" t="s">
        <v>4877</v>
      </c>
      <c r="G369" s="269">
        <v>6</v>
      </c>
      <c r="H369" s="273">
        <v>0</v>
      </c>
      <c r="I369" s="283">
        <v>34</v>
      </c>
      <c r="J369" s="284" t="s">
        <v>5173</v>
      </c>
      <c r="K369" s="285" t="s">
        <v>5174</v>
      </c>
      <c r="L369" s="272" t="s">
        <v>44</v>
      </c>
      <c r="M369" s="272">
        <v>1</v>
      </c>
      <c r="N369" s="272" t="b">
        <v>1</v>
      </c>
      <c r="O369" s="272">
        <v>51</v>
      </c>
      <c r="P369" s="281">
        <v>765</v>
      </c>
      <c r="Q369" s="281">
        <v>1020</v>
      </c>
      <c r="R369" s="272" t="s">
        <v>3383</v>
      </c>
      <c r="S369" s="272"/>
      <c r="T369" s="272">
        <v>1</v>
      </c>
      <c r="U369" s="272" t="s">
        <v>4880</v>
      </c>
      <c r="V369" s="273">
        <v>10</v>
      </c>
      <c r="W369" s="273"/>
      <c r="X369" s="272" t="s">
        <v>4881</v>
      </c>
      <c r="Y369" t="s">
        <v>6532</v>
      </c>
      <c r="Z369" t="s">
        <v>6533</v>
      </c>
      <c r="AA369" s="272" t="s">
        <v>4884</v>
      </c>
      <c r="AB369" s="272"/>
      <c r="AC369" s="289">
        <v>1</v>
      </c>
      <c r="AD369" s="289">
        <v>1</v>
      </c>
      <c r="AE369" s="289"/>
      <c r="AF369" s="272"/>
      <c r="AG369" s="272"/>
    </row>
    <row r="370" spans="1:33" s="258" customFormat="1" x14ac:dyDescent="0.15">
      <c r="A370" s="271">
        <v>95201049</v>
      </c>
      <c r="B370" t="s">
        <v>6535</v>
      </c>
      <c r="C370" s="268" t="s">
        <v>6316</v>
      </c>
      <c r="D370" s="272">
        <v>5081</v>
      </c>
      <c r="E370" s="272" t="s">
        <v>4876</v>
      </c>
      <c r="F370" s="272" t="s">
        <v>4877</v>
      </c>
      <c r="G370" s="269">
        <v>6</v>
      </c>
      <c r="H370" s="273">
        <v>0</v>
      </c>
      <c r="I370" s="283">
        <v>34</v>
      </c>
      <c r="J370" s="284" t="s">
        <v>5173</v>
      </c>
      <c r="K370" s="285" t="s">
        <v>5174</v>
      </c>
      <c r="L370" s="272" t="s">
        <v>4887</v>
      </c>
      <c r="M370" s="272">
        <v>1</v>
      </c>
      <c r="N370" s="272" t="b">
        <v>1</v>
      </c>
      <c r="O370" s="272">
        <v>64</v>
      </c>
      <c r="P370" s="281">
        <v>960</v>
      </c>
      <c r="Q370" s="281">
        <v>1280</v>
      </c>
      <c r="R370" s="272" t="s">
        <v>3383</v>
      </c>
      <c r="S370" s="272"/>
      <c r="T370" s="272">
        <v>1</v>
      </c>
      <c r="U370" s="272" t="s">
        <v>4880</v>
      </c>
      <c r="V370" s="273">
        <v>10</v>
      </c>
      <c r="W370" s="273"/>
      <c r="X370" s="272" t="s">
        <v>4881</v>
      </c>
      <c r="Y370" t="s">
        <v>6532</v>
      </c>
      <c r="Z370" t="s">
        <v>6533</v>
      </c>
      <c r="AA370" s="272" t="s">
        <v>4884</v>
      </c>
      <c r="AB370" s="272"/>
      <c r="AC370" s="289">
        <v>1</v>
      </c>
      <c r="AD370" s="289">
        <v>1</v>
      </c>
      <c r="AE370" s="289"/>
      <c r="AF370" s="272"/>
      <c r="AG370" s="272"/>
    </row>
    <row r="371" spans="1:33" s="258" customFormat="1" x14ac:dyDescent="0.15">
      <c r="A371" s="271">
        <v>95201050</v>
      </c>
      <c r="B371" t="s">
        <v>6536</v>
      </c>
      <c r="C371" s="268" t="s">
        <v>6316</v>
      </c>
      <c r="D371" s="272">
        <v>5081</v>
      </c>
      <c r="E371" s="272" t="s">
        <v>4876</v>
      </c>
      <c r="F371" s="272" t="s">
        <v>4877</v>
      </c>
      <c r="G371" s="269">
        <v>7</v>
      </c>
      <c r="H371" s="273">
        <v>0</v>
      </c>
      <c r="I371" s="283">
        <v>34</v>
      </c>
      <c r="J371" s="284" t="s">
        <v>5173</v>
      </c>
      <c r="K371" s="285" t="s">
        <v>5174</v>
      </c>
      <c r="L371" s="272" t="s">
        <v>4889</v>
      </c>
      <c r="M371" s="272">
        <v>1</v>
      </c>
      <c r="N371" s="272" t="b">
        <v>1</v>
      </c>
      <c r="O371" s="272">
        <v>77</v>
      </c>
      <c r="P371" s="281">
        <v>1155</v>
      </c>
      <c r="Q371" s="281">
        <v>1540</v>
      </c>
      <c r="R371" s="272" t="s">
        <v>3383</v>
      </c>
      <c r="S371" s="272"/>
      <c r="T371" s="272">
        <v>1</v>
      </c>
      <c r="U371" s="272" t="s">
        <v>4880</v>
      </c>
      <c r="V371" s="273">
        <v>10</v>
      </c>
      <c r="W371" s="273"/>
      <c r="X371" s="272" t="s">
        <v>4881</v>
      </c>
      <c r="Y371" t="s">
        <v>6532</v>
      </c>
      <c r="Z371" t="s">
        <v>6533</v>
      </c>
      <c r="AA371" s="272" t="s">
        <v>4884</v>
      </c>
      <c r="AB371" s="272"/>
      <c r="AC371" s="289">
        <v>1</v>
      </c>
      <c r="AD371" s="289">
        <v>1</v>
      </c>
      <c r="AE371" s="289"/>
      <c r="AF371" s="272"/>
      <c r="AG371" s="272"/>
    </row>
    <row r="372" spans="1:33" s="145" customFormat="1" x14ac:dyDescent="0.15">
      <c r="A372" s="267">
        <v>95201051</v>
      </c>
      <c r="B372" t="s">
        <v>6537</v>
      </c>
      <c r="C372" s="268" t="s">
        <v>6316</v>
      </c>
      <c r="D372" s="293">
        <v>7906</v>
      </c>
      <c r="E372" s="268" t="s">
        <v>4876</v>
      </c>
      <c r="F372" s="268" t="s">
        <v>4877</v>
      </c>
      <c r="G372" s="269">
        <v>1</v>
      </c>
      <c r="H372" s="269">
        <v>0</v>
      </c>
      <c r="I372" s="267">
        <v>34</v>
      </c>
      <c r="J372" s="268" t="s">
        <v>5181</v>
      </c>
      <c r="K372" s="295" t="s">
        <v>5182</v>
      </c>
      <c r="L372" s="295"/>
      <c r="M372" s="268">
        <v>1</v>
      </c>
      <c r="N372" s="268" t="b">
        <v>1</v>
      </c>
      <c r="O372" s="268">
        <v>200</v>
      </c>
      <c r="P372" s="281">
        <v>3000</v>
      </c>
      <c r="Q372" s="281">
        <v>4000</v>
      </c>
      <c r="R372" s="268" t="s">
        <v>3383</v>
      </c>
      <c r="S372" s="268"/>
      <c r="T372" s="268">
        <v>1</v>
      </c>
      <c r="U372" s="268" t="s">
        <v>4880</v>
      </c>
      <c r="V372" s="269">
        <v>1</v>
      </c>
      <c r="W372" s="269"/>
      <c r="X372" s="268" t="s">
        <v>4881</v>
      </c>
      <c r="Y372" t="s">
        <v>6538</v>
      </c>
      <c r="Z372" t="s">
        <v>6539</v>
      </c>
      <c r="AA372" s="268" t="s">
        <v>4884</v>
      </c>
      <c r="AB372" s="268"/>
      <c r="AC372" s="287">
        <v>1</v>
      </c>
      <c r="AD372" s="287">
        <v>1</v>
      </c>
      <c r="AE372" s="268"/>
      <c r="AF372" s="268"/>
      <c r="AG372" s="290"/>
    </row>
    <row r="373" spans="1:33" s="145" customFormat="1" x14ac:dyDescent="0.15">
      <c r="A373" s="267">
        <v>95201052</v>
      </c>
      <c r="B373" t="s">
        <v>6537</v>
      </c>
      <c r="C373" s="268" t="s">
        <v>6316</v>
      </c>
      <c r="D373" s="293">
        <v>7906</v>
      </c>
      <c r="E373" s="268" t="s">
        <v>4876</v>
      </c>
      <c r="F373" s="268" t="s">
        <v>4877</v>
      </c>
      <c r="G373" s="269">
        <v>2</v>
      </c>
      <c r="H373" s="269">
        <v>0</v>
      </c>
      <c r="I373" s="267">
        <v>34</v>
      </c>
      <c r="J373" s="268" t="s">
        <v>5181</v>
      </c>
      <c r="K373" s="295" t="s">
        <v>5182</v>
      </c>
      <c r="L373" s="295"/>
      <c r="M373" s="268">
        <v>1</v>
      </c>
      <c r="N373" s="268" t="b">
        <v>1</v>
      </c>
      <c r="O373" s="268">
        <v>500</v>
      </c>
      <c r="P373" s="281">
        <v>7500</v>
      </c>
      <c r="Q373" s="281">
        <v>10000</v>
      </c>
      <c r="R373" s="268" t="s">
        <v>3383</v>
      </c>
      <c r="S373" s="268"/>
      <c r="T373" s="268">
        <v>1</v>
      </c>
      <c r="U373" s="268" t="s">
        <v>4880</v>
      </c>
      <c r="V373" s="269">
        <v>2</v>
      </c>
      <c r="W373" s="269"/>
      <c r="X373" s="268" t="s">
        <v>4881</v>
      </c>
      <c r="Y373" t="s">
        <v>6538</v>
      </c>
      <c r="Z373" t="s">
        <v>6539</v>
      </c>
      <c r="AA373" s="268" t="s">
        <v>4884</v>
      </c>
      <c r="AB373" s="268"/>
      <c r="AC373" s="287">
        <v>1</v>
      </c>
      <c r="AD373" s="287">
        <v>1</v>
      </c>
      <c r="AE373" s="268"/>
      <c r="AF373" s="268"/>
      <c r="AG373" s="290"/>
    </row>
    <row r="374" spans="1:33" s="145" customFormat="1" x14ac:dyDescent="0.15">
      <c r="A374" s="267">
        <v>95201053</v>
      </c>
      <c r="B374" t="s">
        <v>6537</v>
      </c>
      <c r="C374" s="268" t="s">
        <v>6316</v>
      </c>
      <c r="D374" s="293">
        <v>7906</v>
      </c>
      <c r="E374" s="268" t="s">
        <v>4876</v>
      </c>
      <c r="F374" s="268" t="s">
        <v>4877</v>
      </c>
      <c r="G374" s="269">
        <v>3</v>
      </c>
      <c r="H374" s="269">
        <v>0</v>
      </c>
      <c r="I374" s="267">
        <v>34</v>
      </c>
      <c r="J374" s="268" t="s">
        <v>5181</v>
      </c>
      <c r="K374" s="295" t="s">
        <v>5182</v>
      </c>
      <c r="L374" s="295"/>
      <c r="M374" s="268">
        <v>1</v>
      </c>
      <c r="N374" s="268" t="b">
        <v>1</v>
      </c>
      <c r="O374" s="268">
        <v>700</v>
      </c>
      <c r="P374" s="281">
        <v>10500</v>
      </c>
      <c r="Q374" s="281">
        <v>14000</v>
      </c>
      <c r="R374" s="268" t="s">
        <v>3383</v>
      </c>
      <c r="S374" s="268"/>
      <c r="T374" s="268">
        <v>1</v>
      </c>
      <c r="U374" s="268" t="s">
        <v>4880</v>
      </c>
      <c r="V374" s="269">
        <v>3</v>
      </c>
      <c r="W374" s="269"/>
      <c r="X374" s="268" t="s">
        <v>4881</v>
      </c>
      <c r="Y374" t="s">
        <v>6538</v>
      </c>
      <c r="Z374" t="s">
        <v>6539</v>
      </c>
      <c r="AA374" s="268" t="s">
        <v>4884</v>
      </c>
      <c r="AB374" s="268"/>
      <c r="AC374" s="287">
        <v>1</v>
      </c>
      <c r="AD374" s="287">
        <v>1</v>
      </c>
      <c r="AE374" s="268"/>
      <c r="AF374" s="268"/>
      <c r="AG374" s="290"/>
    </row>
    <row r="375" spans="1:33" s="145" customFormat="1" x14ac:dyDescent="0.15">
      <c r="A375" s="267">
        <v>95201054</v>
      </c>
      <c r="B375" t="s">
        <v>6537</v>
      </c>
      <c r="C375" s="268" t="s">
        <v>6316</v>
      </c>
      <c r="D375" s="293">
        <v>7906</v>
      </c>
      <c r="E375" s="268" t="s">
        <v>4876</v>
      </c>
      <c r="F375" s="268" t="s">
        <v>4877</v>
      </c>
      <c r="G375" s="269">
        <v>4</v>
      </c>
      <c r="H375" s="269">
        <v>0</v>
      </c>
      <c r="I375" s="267">
        <v>34</v>
      </c>
      <c r="J375" s="268" t="s">
        <v>5181</v>
      </c>
      <c r="K375" s="295" t="s">
        <v>5182</v>
      </c>
      <c r="L375" s="295"/>
      <c r="M375" s="268">
        <v>1</v>
      </c>
      <c r="N375" s="268" t="b">
        <v>1</v>
      </c>
      <c r="O375" s="268">
        <v>1000</v>
      </c>
      <c r="P375" s="281">
        <v>15000</v>
      </c>
      <c r="Q375" s="281">
        <v>20000</v>
      </c>
      <c r="R375" s="268" t="s">
        <v>3383</v>
      </c>
      <c r="S375" s="268"/>
      <c r="T375" s="268">
        <v>1</v>
      </c>
      <c r="U375" s="268" t="s">
        <v>4880</v>
      </c>
      <c r="V375" s="269">
        <v>4</v>
      </c>
      <c r="W375" s="269"/>
      <c r="X375" s="268" t="s">
        <v>4881</v>
      </c>
      <c r="Y375" t="s">
        <v>6538</v>
      </c>
      <c r="Z375" t="s">
        <v>6539</v>
      </c>
      <c r="AA375" s="268" t="s">
        <v>4884</v>
      </c>
      <c r="AB375" s="268"/>
      <c r="AC375" s="287">
        <v>1</v>
      </c>
      <c r="AD375" s="287">
        <v>1</v>
      </c>
      <c r="AE375" s="268"/>
      <c r="AF375" s="268"/>
      <c r="AG375" s="290"/>
    </row>
    <row r="376" spans="1:33" s="145" customFormat="1" x14ac:dyDescent="0.15">
      <c r="A376" s="267">
        <v>95201055</v>
      </c>
      <c r="B376" t="s">
        <v>6537</v>
      </c>
      <c r="C376" s="268" t="s">
        <v>6316</v>
      </c>
      <c r="D376" s="293">
        <v>7906</v>
      </c>
      <c r="E376" s="268" t="s">
        <v>4876</v>
      </c>
      <c r="F376" s="268" t="s">
        <v>4877</v>
      </c>
      <c r="G376" s="269">
        <v>5</v>
      </c>
      <c r="H376" s="269">
        <v>0</v>
      </c>
      <c r="I376" s="267">
        <v>34</v>
      </c>
      <c r="J376" s="268" t="s">
        <v>5181</v>
      </c>
      <c r="K376" s="295" t="s">
        <v>5182</v>
      </c>
      <c r="L376" s="295"/>
      <c r="M376" s="268">
        <v>1</v>
      </c>
      <c r="N376" s="268" t="b">
        <v>1</v>
      </c>
      <c r="O376" s="268">
        <v>1200</v>
      </c>
      <c r="P376" s="281">
        <v>18000</v>
      </c>
      <c r="Q376" s="281">
        <v>24000</v>
      </c>
      <c r="R376" s="268" t="s">
        <v>3383</v>
      </c>
      <c r="S376" s="268"/>
      <c r="T376" s="268">
        <v>1</v>
      </c>
      <c r="U376" s="268" t="s">
        <v>4880</v>
      </c>
      <c r="V376" s="269">
        <v>5</v>
      </c>
      <c r="W376" s="269"/>
      <c r="X376" s="268" t="s">
        <v>4881</v>
      </c>
      <c r="Y376" t="s">
        <v>6538</v>
      </c>
      <c r="Z376" t="s">
        <v>6539</v>
      </c>
      <c r="AA376" s="268" t="s">
        <v>4884</v>
      </c>
      <c r="AB376" s="268"/>
      <c r="AC376" s="287">
        <v>1</v>
      </c>
      <c r="AD376" s="287">
        <v>1</v>
      </c>
      <c r="AE376" s="268"/>
      <c r="AF376" s="268"/>
      <c r="AG376" s="290"/>
    </row>
    <row r="377" spans="1:33" s="145" customFormat="1" x14ac:dyDescent="0.15">
      <c r="A377" s="270">
        <v>95201056</v>
      </c>
      <c r="B377" t="s">
        <v>6537</v>
      </c>
      <c r="C377" s="268" t="s">
        <v>6316</v>
      </c>
      <c r="D377" s="268">
        <v>7906</v>
      </c>
      <c r="E377" s="268" t="s">
        <v>4876</v>
      </c>
      <c r="F377" s="268" t="s">
        <v>4877</v>
      </c>
      <c r="G377" s="269">
        <v>7</v>
      </c>
      <c r="H377" s="269">
        <v>0</v>
      </c>
      <c r="I377" s="267">
        <v>34</v>
      </c>
      <c r="J377" s="282" t="s">
        <v>5181</v>
      </c>
      <c r="K377" s="279" t="s">
        <v>5182</v>
      </c>
      <c r="L377" s="279"/>
      <c r="M377" s="268">
        <v>1</v>
      </c>
      <c r="N377" s="268" t="b">
        <v>1</v>
      </c>
      <c r="O377" s="268">
        <v>2500</v>
      </c>
      <c r="P377" s="281">
        <v>37500</v>
      </c>
      <c r="Q377" s="281">
        <v>50000</v>
      </c>
      <c r="R377" s="268" t="s">
        <v>3383</v>
      </c>
      <c r="S377" s="268"/>
      <c r="T377" s="268">
        <v>1</v>
      </c>
      <c r="U377" s="268" t="s">
        <v>4880</v>
      </c>
      <c r="V377" s="269">
        <v>7</v>
      </c>
      <c r="W377" s="269"/>
      <c r="X377" s="268" t="s">
        <v>4881</v>
      </c>
      <c r="Y377" t="s">
        <v>6538</v>
      </c>
      <c r="Z377" t="s">
        <v>6539</v>
      </c>
      <c r="AA377" s="268" t="s">
        <v>4884</v>
      </c>
      <c r="AB377" s="268"/>
      <c r="AC377" s="287">
        <v>1</v>
      </c>
      <c r="AD377" s="287">
        <v>1</v>
      </c>
      <c r="AE377" s="268"/>
      <c r="AF377" s="268"/>
      <c r="AG377" s="290"/>
    </row>
    <row r="378" spans="1:33" s="145" customFormat="1" x14ac:dyDescent="0.15">
      <c r="A378" s="270">
        <v>95201057</v>
      </c>
      <c r="B378" t="s">
        <v>6537</v>
      </c>
      <c r="C378" s="268" t="s">
        <v>6316</v>
      </c>
      <c r="D378" s="268">
        <v>7906</v>
      </c>
      <c r="E378" s="268" t="s">
        <v>4876</v>
      </c>
      <c r="F378" s="268" t="s">
        <v>4877</v>
      </c>
      <c r="G378" s="269">
        <v>6</v>
      </c>
      <c r="H378" s="269">
        <v>0</v>
      </c>
      <c r="I378" s="267">
        <v>34</v>
      </c>
      <c r="J378" s="282" t="s">
        <v>5181</v>
      </c>
      <c r="K378" s="279" t="s">
        <v>5182</v>
      </c>
      <c r="L378" s="279"/>
      <c r="M378" s="268">
        <v>1</v>
      </c>
      <c r="N378" s="268" t="b">
        <v>1</v>
      </c>
      <c r="O378" s="268">
        <v>3800</v>
      </c>
      <c r="P378" s="281">
        <v>57000</v>
      </c>
      <c r="Q378" s="281">
        <v>76000</v>
      </c>
      <c r="R378" s="268" t="s">
        <v>3383</v>
      </c>
      <c r="S378" s="268"/>
      <c r="T378" s="268">
        <v>1</v>
      </c>
      <c r="U378" s="268" t="s">
        <v>4880</v>
      </c>
      <c r="V378" s="269">
        <v>6</v>
      </c>
      <c r="W378" s="269"/>
      <c r="X378" s="268" t="s">
        <v>4881</v>
      </c>
      <c r="Y378" t="s">
        <v>6538</v>
      </c>
      <c r="Z378" t="s">
        <v>6539</v>
      </c>
      <c r="AA378" s="268" t="s">
        <v>4884</v>
      </c>
      <c r="AB378" s="268"/>
      <c r="AC378" s="287">
        <v>1</v>
      </c>
      <c r="AD378" s="287">
        <v>1</v>
      </c>
      <c r="AE378" s="268"/>
      <c r="AF378" s="268"/>
      <c r="AG378" s="290"/>
    </row>
    <row r="379" spans="1:33" s="258" customFormat="1" x14ac:dyDescent="0.15">
      <c r="A379" s="271">
        <v>95201058</v>
      </c>
      <c r="B379" t="s">
        <v>6540</v>
      </c>
      <c r="C379" s="268" t="s">
        <v>6316</v>
      </c>
      <c r="D379" s="272">
        <v>5081</v>
      </c>
      <c r="E379" s="272" t="s">
        <v>4876</v>
      </c>
      <c r="F379" s="272" t="s">
        <v>4877</v>
      </c>
      <c r="G379" s="269">
        <v>6</v>
      </c>
      <c r="H379" s="273">
        <v>0</v>
      </c>
      <c r="I379" s="283">
        <v>34</v>
      </c>
      <c r="J379" s="284" t="s">
        <v>5181</v>
      </c>
      <c r="K379" s="285" t="s">
        <v>5182</v>
      </c>
      <c r="L379" s="272" t="s">
        <v>44</v>
      </c>
      <c r="M379" s="272">
        <v>1</v>
      </c>
      <c r="N379" s="272" t="b">
        <v>1</v>
      </c>
      <c r="O379" s="272">
        <v>51</v>
      </c>
      <c r="P379" s="281">
        <v>765</v>
      </c>
      <c r="Q379" s="281">
        <v>1020</v>
      </c>
      <c r="R379" s="272" t="s">
        <v>3383</v>
      </c>
      <c r="S379" s="272"/>
      <c r="T379" s="272">
        <v>1</v>
      </c>
      <c r="U379" s="272" t="s">
        <v>4880</v>
      </c>
      <c r="V379" s="273">
        <v>10</v>
      </c>
      <c r="W379" s="273"/>
      <c r="X379" s="272" t="s">
        <v>4881</v>
      </c>
      <c r="Y379" t="s">
        <v>6538</v>
      </c>
      <c r="Z379" t="s">
        <v>6539</v>
      </c>
      <c r="AA379" s="272" t="s">
        <v>4884</v>
      </c>
      <c r="AB379" s="272"/>
      <c r="AC379" s="289">
        <v>1</v>
      </c>
      <c r="AD379" s="289">
        <v>1</v>
      </c>
      <c r="AE379" s="289"/>
      <c r="AF379" s="272"/>
      <c r="AG379" s="272"/>
    </row>
    <row r="380" spans="1:33" s="258" customFormat="1" x14ac:dyDescent="0.15">
      <c r="A380" s="271">
        <v>95201059</v>
      </c>
      <c r="B380" t="s">
        <v>6541</v>
      </c>
      <c r="C380" s="268" t="s">
        <v>6316</v>
      </c>
      <c r="D380" s="272">
        <v>5081</v>
      </c>
      <c r="E380" s="272" t="s">
        <v>4876</v>
      </c>
      <c r="F380" s="272" t="s">
        <v>4877</v>
      </c>
      <c r="G380" s="269">
        <v>6</v>
      </c>
      <c r="H380" s="273">
        <v>0</v>
      </c>
      <c r="I380" s="283">
        <v>34</v>
      </c>
      <c r="J380" s="284" t="s">
        <v>5181</v>
      </c>
      <c r="K380" s="285" t="s">
        <v>5182</v>
      </c>
      <c r="L380" s="272" t="s">
        <v>4887</v>
      </c>
      <c r="M380" s="272">
        <v>1</v>
      </c>
      <c r="N380" s="272" t="b">
        <v>1</v>
      </c>
      <c r="O380" s="272">
        <v>64</v>
      </c>
      <c r="P380" s="281">
        <v>960</v>
      </c>
      <c r="Q380" s="281">
        <v>1280</v>
      </c>
      <c r="R380" s="272" t="s">
        <v>3383</v>
      </c>
      <c r="S380" s="272"/>
      <c r="T380" s="272">
        <v>1</v>
      </c>
      <c r="U380" s="272" t="s">
        <v>4880</v>
      </c>
      <c r="V380" s="273">
        <v>10</v>
      </c>
      <c r="W380" s="273"/>
      <c r="X380" s="272" t="s">
        <v>4881</v>
      </c>
      <c r="Y380" t="s">
        <v>6538</v>
      </c>
      <c r="Z380" t="s">
        <v>6539</v>
      </c>
      <c r="AA380" s="272" t="s">
        <v>4884</v>
      </c>
      <c r="AB380" s="272"/>
      <c r="AC380" s="289">
        <v>1</v>
      </c>
      <c r="AD380" s="289">
        <v>1</v>
      </c>
      <c r="AE380" s="289"/>
      <c r="AF380" s="272"/>
      <c r="AG380" s="272"/>
    </row>
    <row r="381" spans="1:33" s="258" customFormat="1" x14ac:dyDescent="0.15">
      <c r="A381" s="271">
        <v>95201060</v>
      </c>
      <c r="B381" t="s">
        <v>6542</v>
      </c>
      <c r="C381" s="268" t="s">
        <v>6316</v>
      </c>
      <c r="D381" s="272">
        <v>5081</v>
      </c>
      <c r="E381" s="272" t="s">
        <v>4876</v>
      </c>
      <c r="F381" s="272" t="s">
        <v>4877</v>
      </c>
      <c r="G381" s="269">
        <v>7</v>
      </c>
      <c r="H381" s="273">
        <v>0</v>
      </c>
      <c r="I381" s="283">
        <v>34</v>
      </c>
      <c r="J381" s="284" t="s">
        <v>5181</v>
      </c>
      <c r="K381" s="285" t="s">
        <v>5182</v>
      </c>
      <c r="L381" s="272" t="s">
        <v>4889</v>
      </c>
      <c r="M381" s="272">
        <v>1</v>
      </c>
      <c r="N381" s="272" t="b">
        <v>1</v>
      </c>
      <c r="O381" s="272">
        <v>77</v>
      </c>
      <c r="P381" s="281">
        <v>1155</v>
      </c>
      <c r="Q381" s="281">
        <v>1540</v>
      </c>
      <c r="R381" s="272" t="s">
        <v>3383</v>
      </c>
      <c r="S381" s="272"/>
      <c r="T381" s="272">
        <v>1</v>
      </c>
      <c r="U381" s="272" t="s">
        <v>4880</v>
      </c>
      <c r="V381" s="273">
        <v>10</v>
      </c>
      <c r="W381" s="273"/>
      <c r="X381" s="272" t="s">
        <v>4881</v>
      </c>
      <c r="Y381" t="s">
        <v>6538</v>
      </c>
      <c r="Z381" t="s">
        <v>6539</v>
      </c>
      <c r="AA381" s="272" t="s">
        <v>4884</v>
      </c>
      <c r="AB381" s="272"/>
      <c r="AC381" s="289">
        <v>1</v>
      </c>
      <c r="AD381" s="289">
        <v>1</v>
      </c>
      <c r="AE381" s="289"/>
      <c r="AF381" s="272"/>
      <c r="AG381" s="272"/>
    </row>
    <row r="382" spans="1:33" s="145" customFormat="1" x14ac:dyDescent="0.15">
      <c r="A382" s="267">
        <v>95201061</v>
      </c>
      <c r="B382" t="s">
        <v>6543</v>
      </c>
      <c r="C382" s="268" t="s">
        <v>6316</v>
      </c>
      <c r="D382" s="293">
        <v>7906</v>
      </c>
      <c r="E382" s="268" t="s">
        <v>4876</v>
      </c>
      <c r="F382" s="268" t="s">
        <v>4877</v>
      </c>
      <c r="G382" s="269">
        <v>1</v>
      </c>
      <c r="H382" s="269">
        <v>0</v>
      </c>
      <c r="I382" s="267">
        <v>34</v>
      </c>
      <c r="J382" s="268" t="s">
        <v>5189</v>
      </c>
      <c r="K382" s="295" t="s">
        <v>5190</v>
      </c>
      <c r="L382" s="295"/>
      <c r="M382" s="268">
        <v>1</v>
      </c>
      <c r="N382" s="268" t="b">
        <v>1</v>
      </c>
      <c r="O382" s="268">
        <v>2</v>
      </c>
      <c r="P382" s="281">
        <v>30</v>
      </c>
      <c r="Q382" s="281">
        <v>40</v>
      </c>
      <c r="R382" s="268" t="s">
        <v>3383</v>
      </c>
      <c r="S382" s="268"/>
      <c r="T382" s="268">
        <v>1</v>
      </c>
      <c r="U382" s="268" t="s">
        <v>4880</v>
      </c>
      <c r="V382" s="269">
        <v>1</v>
      </c>
      <c r="W382" s="269"/>
      <c r="X382" s="268" t="s">
        <v>4881</v>
      </c>
      <c r="Y382" t="s">
        <v>6544</v>
      </c>
      <c r="Z382" t="s">
        <v>6545</v>
      </c>
      <c r="AA382" s="268" t="s">
        <v>4884</v>
      </c>
      <c r="AB382" s="268"/>
      <c r="AC382" s="287">
        <v>1</v>
      </c>
      <c r="AD382" s="287">
        <v>1</v>
      </c>
      <c r="AE382" s="268"/>
      <c r="AF382" s="268"/>
      <c r="AG382" s="290"/>
    </row>
    <row r="383" spans="1:33" s="145" customFormat="1" x14ac:dyDescent="0.15">
      <c r="A383" s="267">
        <v>95201062</v>
      </c>
      <c r="B383" t="s">
        <v>6543</v>
      </c>
      <c r="C383" s="268" t="s">
        <v>6316</v>
      </c>
      <c r="D383" s="293">
        <v>7906</v>
      </c>
      <c r="E383" s="268" t="s">
        <v>4876</v>
      </c>
      <c r="F383" s="268" t="s">
        <v>4877</v>
      </c>
      <c r="G383" s="269">
        <v>2</v>
      </c>
      <c r="H383" s="269">
        <v>0</v>
      </c>
      <c r="I383" s="267">
        <v>34</v>
      </c>
      <c r="J383" s="268" t="s">
        <v>5189</v>
      </c>
      <c r="K383" s="295" t="s">
        <v>5190</v>
      </c>
      <c r="L383" s="295"/>
      <c r="M383" s="268">
        <v>1</v>
      </c>
      <c r="N383" s="268" t="b">
        <v>1</v>
      </c>
      <c r="O383" s="268">
        <v>5</v>
      </c>
      <c r="P383" s="281">
        <v>75</v>
      </c>
      <c r="Q383" s="281">
        <v>100</v>
      </c>
      <c r="R383" s="268" t="s">
        <v>3383</v>
      </c>
      <c r="S383" s="268"/>
      <c r="T383" s="268">
        <v>1</v>
      </c>
      <c r="U383" s="268" t="s">
        <v>4880</v>
      </c>
      <c r="V383" s="269">
        <v>2</v>
      </c>
      <c r="W383" s="269"/>
      <c r="X383" s="268" t="s">
        <v>4881</v>
      </c>
      <c r="Y383" t="s">
        <v>6544</v>
      </c>
      <c r="Z383" t="s">
        <v>6545</v>
      </c>
      <c r="AA383" s="268" t="s">
        <v>4884</v>
      </c>
      <c r="AB383" s="268"/>
      <c r="AC383" s="287">
        <v>1</v>
      </c>
      <c r="AD383" s="287">
        <v>1</v>
      </c>
      <c r="AE383" s="268"/>
      <c r="AF383" s="268"/>
      <c r="AG383" s="290"/>
    </row>
    <row r="384" spans="1:33" s="145" customFormat="1" x14ac:dyDescent="0.15">
      <c r="A384" s="267">
        <v>95201063</v>
      </c>
      <c r="B384" t="s">
        <v>6543</v>
      </c>
      <c r="C384" s="268" t="s">
        <v>6316</v>
      </c>
      <c r="D384" s="293">
        <v>7906</v>
      </c>
      <c r="E384" s="268" t="s">
        <v>4876</v>
      </c>
      <c r="F384" s="268" t="s">
        <v>4877</v>
      </c>
      <c r="G384" s="269">
        <v>3</v>
      </c>
      <c r="H384" s="269">
        <v>0</v>
      </c>
      <c r="I384" s="267">
        <v>34</v>
      </c>
      <c r="J384" s="268" t="s">
        <v>5189</v>
      </c>
      <c r="K384" s="295" t="s">
        <v>5190</v>
      </c>
      <c r="L384" s="295"/>
      <c r="M384" s="268">
        <v>1</v>
      </c>
      <c r="N384" s="268" t="b">
        <v>1</v>
      </c>
      <c r="O384" s="268">
        <v>7</v>
      </c>
      <c r="P384" s="281">
        <v>105</v>
      </c>
      <c r="Q384" s="281">
        <v>140</v>
      </c>
      <c r="R384" s="268" t="s">
        <v>3383</v>
      </c>
      <c r="S384" s="268"/>
      <c r="T384" s="268">
        <v>1</v>
      </c>
      <c r="U384" s="268" t="s">
        <v>4880</v>
      </c>
      <c r="V384" s="269">
        <v>3</v>
      </c>
      <c r="W384" s="269"/>
      <c r="X384" s="268" t="s">
        <v>4881</v>
      </c>
      <c r="Y384" t="s">
        <v>6544</v>
      </c>
      <c r="Z384" t="s">
        <v>6545</v>
      </c>
      <c r="AA384" s="268" t="s">
        <v>4884</v>
      </c>
      <c r="AB384" s="268"/>
      <c r="AC384" s="287">
        <v>1</v>
      </c>
      <c r="AD384" s="287">
        <v>1</v>
      </c>
      <c r="AE384" s="268"/>
      <c r="AF384" s="268"/>
      <c r="AG384" s="290"/>
    </row>
    <row r="385" spans="1:33" s="145" customFormat="1" x14ac:dyDescent="0.15">
      <c r="A385" s="267">
        <v>95201064</v>
      </c>
      <c r="B385" t="s">
        <v>6543</v>
      </c>
      <c r="C385" s="268" t="s">
        <v>6316</v>
      </c>
      <c r="D385" s="293">
        <v>7906</v>
      </c>
      <c r="E385" s="268" t="s">
        <v>4876</v>
      </c>
      <c r="F385" s="268" t="s">
        <v>4877</v>
      </c>
      <c r="G385" s="269">
        <v>4</v>
      </c>
      <c r="H385" s="269">
        <v>0</v>
      </c>
      <c r="I385" s="267">
        <v>34</v>
      </c>
      <c r="J385" s="268" t="s">
        <v>5189</v>
      </c>
      <c r="K385" s="295" t="s">
        <v>5190</v>
      </c>
      <c r="L385" s="295"/>
      <c r="M385" s="268">
        <v>1</v>
      </c>
      <c r="N385" s="268" t="b">
        <v>1</v>
      </c>
      <c r="O385" s="268">
        <v>10</v>
      </c>
      <c r="P385" s="281">
        <v>150</v>
      </c>
      <c r="Q385" s="281">
        <v>200</v>
      </c>
      <c r="R385" s="268" t="s">
        <v>3383</v>
      </c>
      <c r="S385" s="268"/>
      <c r="T385" s="268">
        <v>1</v>
      </c>
      <c r="U385" s="268" t="s">
        <v>4880</v>
      </c>
      <c r="V385" s="269">
        <v>4</v>
      </c>
      <c r="W385" s="269"/>
      <c r="X385" s="268" t="s">
        <v>4881</v>
      </c>
      <c r="Y385" t="s">
        <v>6544</v>
      </c>
      <c r="Z385" t="s">
        <v>6545</v>
      </c>
      <c r="AA385" s="268" t="s">
        <v>4884</v>
      </c>
      <c r="AB385" s="268"/>
      <c r="AC385" s="287">
        <v>1</v>
      </c>
      <c r="AD385" s="287">
        <v>1</v>
      </c>
      <c r="AE385" s="268"/>
      <c r="AF385" s="268"/>
      <c r="AG385" s="290"/>
    </row>
    <row r="386" spans="1:33" s="145" customFormat="1" x14ac:dyDescent="0.15">
      <c r="A386" s="267">
        <v>95201065</v>
      </c>
      <c r="B386" t="s">
        <v>6543</v>
      </c>
      <c r="C386" s="268" t="s">
        <v>6316</v>
      </c>
      <c r="D386" s="293">
        <v>7906</v>
      </c>
      <c r="E386" s="268" t="s">
        <v>4876</v>
      </c>
      <c r="F386" s="268" t="s">
        <v>4877</v>
      </c>
      <c r="G386" s="269">
        <v>5</v>
      </c>
      <c r="H386" s="269">
        <v>0</v>
      </c>
      <c r="I386" s="267">
        <v>34</v>
      </c>
      <c r="J386" s="268" t="s">
        <v>5189</v>
      </c>
      <c r="K386" s="295" t="s">
        <v>5190</v>
      </c>
      <c r="L386" s="295"/>
      <c r="M386" s="268">
        <v>1</v>
      </c>
      <c r="N386" s="268" t="b">
        <v>1</v>
      </c>
      <c r="O386" s="268">
        <v>12</v>
      </c>
      <c r="P386" s="281">
        <v>180</v>
      </c>
      <c r="Q386" s="281">
        <v>240</v>
      </c>
      <c r="R386" s="268" t="s">
        <v>3383</v>
      </c>
      <c r="S386" s="268"/>
      <c r="T386" s="268">
        <v>1</v>
      </c>
      <c r="U386" s="268" t="s">
        <v>4880</v>
      </c>
      <c r="V386" s="269">
        <v>5</v>
      </c>
      <c r="W386" s="269"/>
      <c r="X386" s="268" t="s">
        <v>4881</v>
      </c>
      <c r="Y386" t="s">
        <v>6546</v>
      </c>
      <c r="Z386" t="s">
        <v>6545</v>
      </c>
      <c r="AA386" s="268" t="s">
        <v>4884</v>
      </c>
      <c r="AB386" s="268"/>
      <c r="AC386" s="287">
        <v>1</v>
      </c>
      <c r="AD386" s="287">
        <v>1</v>
      </c>
      <c r="AE386" s="268"/>
      <c r="AF386" s="268"/>
      <c r="AG386" s="290"/>
    </row>
    <row r="387" spans="1:33" s="145" customFormat="1" x14ac:dyDescent="0.15">
      <c r="A387" s="271">
        <v>95201066</v>
      </c>
      <c r="B387" t="s">
        <v>6543</v>
      </c>
      <c r="C387" s="268" t="s">
        <v>6316</v>
      </c>
      <c r="D387" s="272">
        <v>7906</v>
      </c>
      <c r="E387" s="272" t="s">
        <v>4876</v>
      </c>
      <c r="F387" s="272" t="s">
        <v>4877</v>
      </c>
      <c r="G387" s="294">
        <v>6</v>
      </c>
      <c r="H387" s="273">
        <v>0</v>
      </c>
      <c r="I387" s="283">
        <v>34</v>
      </c>
      <c r="J387" s="284" t="s">
        <v>5189</v>
      </c>
      <c r="K387" s="285" t="s">
        <v>5190</v>
      </c>
      <c r="L387" s="285"/>
      <c r="M387" s="272">
        <v>1</v>
      </c>
      <c r="N387" s="272" t="b">
        <v>1</v>
      </c>
      <c r="O387" s="272">
        <v>25</v>
      </c>
      <c r="P387" s="281">
        <v>375</v>
      </c>
      <c r="Q387" s="281">
        <v>500</v>
      </c>
      <c r="R387" s="272" t="s">
        <v>3383</v>
      </c>
      <c r="S387" s="272"/>
      <c r="T387" s="272">
        <v>1</v>
      </c>
      <c r="U387" s="272" t="s">
        <v>4880</v>
      </c>
      <c r="V387" s="273">
        <v>6</v>
      </c>
      <c r="W387" s="273"/>
      <c r="X387" s="272" t="s">
        <v>4881</v>
      </c>
      <c r="Y387" t="s">
        <v>6544</v>
      </c>
      <c r="Z387" t="s">
        <v>6545</v>
      </c>
      <c r="AA387" s="272" t="s">
        <v>4884</v>
      </c>
      <c r="AB387" s="272"/>
      <c r="AC387" s="289">
        <v>1</v>
      </c>
      <c r="AD387" s="289">
        <v>1</v>
      </c>
      <c r="AE387" s="272"/>
      <c r="AF387" s="272"/>
      <c r="AG387" s="296"/>
    </row>
    <row r="388" spans="1:33" s="145" customFormat="1" x14ac:dyDescent="0.15">
      <c r="A388" s="270">
        <v>95201067</v>
      </c>
      <c r="B388" t="s">
        <v>6543</v>
      </c>
      <c r="C388" s="268" t="s">
        <v>6316</v>
      </c>
      <c r="D388" s="268">
        <v>7906</v>
      </c>
      <c r="E388" s="268" t="s">
        <v>4876</v>
      </c>
      <c r="F388" s="268" t="s">
        <v>4877</v>
      </c>
      <c r="G388" s="269">
        <v>7</v>
      </c>
      <c r="H388" s="269">
        <v>0</v>
      </c>
      <c r="I388" s="267">
        <v>34</v>
      </c>
      <c r="J388" s="282" t="s">
        <v>5189</v>
      </c>
      <c r="K388" s="279" t="s">
        <v>5190</v>
      </c>
      <c r="L388" s="279"/>
      <c r="M388" s="268">
        <v>1</v>
      </c>
      <c r="N388" s="268" t="b">
        <v>1</v>
      </c>
      <c r="O388" s="268">
        <v>38</v>
      </c>
      <c r="P388" s="281">
        <v>570</v>
      </c>
      <c r="Q388" s="281">
        <v>760</v>
      </c>
      <c r="R388" s="268" t="s">
        <v>3383</v>
      </c>
      <c r="S388" s="268"/>
      <c r="T388" s="268">
        <v>1</v>
      </c>
      <c r="U388" s="268" t="s">
        <v>4880</v>
      </c>
      <c r="V388" s="269">
        <v>7</v>
      </c>
      <c r="W388" s="269"/>
      <c r="X388" s="268" t="s">
        <v>4881</v>
      </c>
      <c r="Y388" t="s">
        <v>6544</v>
      </c>
      <c r="Z388" t="s">
        <v>6545</v>
      </c>
      <c r="AA388" s="268" t="s">
        <v>4884</v>
      </c>
      <c r="AB388" s="268"/>
      <c r="AC388" s="287">
        <v>1</v>
      </c>
      <c r="AD388" s="287">
        <v>1</v>
      </c>
      <c r="AE388" s="268"/>
      <c r="AF388" s="268"/>
      <c r="AG388" s="290"/>
    </row>
    <row r="389" spans="1:33" s="258" customFormat="1" x14ac:dyDescent="0.15">
      <c r="A389" s="271">
        <v>95201068</v>
      </c>
      <c r="B389" t="s">
        <v>6547</v>
      </c>
      <c r="C389" s="268" t="s">
        <v>6316</v>
      </c>
      <c r="D389" s="272">
        <v>5081</v>
      </c>
      <c r="E389" s="272" t="s">
        <v>4876</v>
      </c>
      <c r="F389" s="272" t="s">
        <v>4877</v>
      </c>
      <c r="G389" s="269">
        <v>6</v>
      </c>
      <c r="H389" s="273">
        <v>0</v>
      </c>
      <c r="I389" s="283">
        <v>34</v>
      </c>
      <c r="J389" s="284" t="s">
        <v>5189</v>
      </c>
      <c r="K389" s="285" t="s">
        <v>5190</v>
      </c>
      <c r="L389" s="272" t="s">
        <v>44</v>
      </c>
      <c r="M389" s="272">
        <v>1</v>
      </c>
      <c r="N389" s="272" t="b">
        <v>1</v>
      </c>
      <c r="O389" s="272">
        <v>51</v>
      </c>
      <c r="P389" s="281">
        <v>765</v>
      </c>
      <c r="Q389" s="281">
        <v>1020</v>
      </c>
      <c r="R389" s="272" t="s">
        <v>3383</v>
      </c>
      <c r="S389" s="272"/>
      <c r="T389" s="272">
        <v>1</v>
      </c>
      <c r="U389" s="272" t="s">
        <v>4880</v>
      </c>
      <c r="V389" s="273">
        <v>10</v>
      </c>
      <c r="W389" s="273"/>
      <c r="X389" s="272" t="s">
        <v>4881</v>
      </c>
      <c r="Y389" t="s">
        <v>6544</v>
      </c>
      <c r="Z389" t="s">
        <v>6545</v>
      </c>
      <c r="AA389" s="272" t="s">
        <v>4884</v>
      </c>
      <c r="AB389" s="272"/>
      <c r="AC389" s="289">
        <v>1</v>
      </c>
      <c r="AD389" s="289">
        <v>1</v>
      </c>
      <c r="AE389" s="289"/>
      <c r="AF389" s="272"/>
      <c r="AG389" s="272"/>
    </row>
    <row r="390" spans="1:33" s="258" customFormat="1" x14ac:dyDescent="0.15">
      <c r="A390" s="271">
        <v>95201069</v>
      </c>
      <c r="B390" t="s">
        <v>6548</v>
      </c>
      <c r="C390" s="268" t="s">
        <v>6316</v>
      </c>
      <c r="D390" s="272">
        <v>5081</v>
      </c>
      <c r="E390" s="272" t="s">
        <v>4876</v>
      </c>
      <c r="F390" s="272" t="s">
        <v>4877</v>
      </c>
      <c r="G390" s="269">
        <v>6</v>
      </c>
      <c r="H390" s="273">
        <v>0</v>
      </c>
      <c r="I390" s="283">
        <v>34</v>
      </c>
      <c r="J390" s="284" t="s">
        <v>5189</v>
      </c>
      <c r="K390" s="285" t="s">
        <v>5190</v>
      </c>
      <c r="L390" s="272" t="s">
        <v>4887</v>
      </c>
      <c r="M390" s="272">
        <v>1</v>
      </c>
      <c r="N390" s="272" t="b">
        <v>1</v>
      </c>
      <c r="O390" s="272">
        <v>64</v>
      </c>
      <c r="P390" s="281">
        <v>960</v>
      </c>
      <c r="Q390" s="281">
        <v>1280</v>
      </c>
      <c r="R390" s="272" t="s">
        <v>3383</v>
      </c>
      <c r="S390" s="272"/>
      <c r="T390" s="272">
        <v>1</v>
      </c>
      <c r="U390" s="272" t="s">
        <v>4880</v>
      </c>
      <c r="V390" s="273">
        <v>10</v>
      </c>
      <c r="W390" s="273"/>
      <c r="X390" s="272" t="s">
        <v>4881</v>
      </c>
      <c r="Y390" t="s">
        <v>6544</v>
      </c>
      <c r="Z390" t="s">
        <v>6545</v>
      </c>
      <c r="AA390" s="272" t="s">
        <v>4884</v>
      </c>
      <c r="AB390" s="272"/>
      <c r="AC390" s="289">
        <v>1</v>
      </c>
      <c r="AD390" s="289">
        <v>1</v>
      </c>
      <c r="AE390" s="289"/>
      <c r="AF390" s="272"/>
      <c r="AG390" s="272"/>
    </row>
    <row r="391" spans="1:33" s="258" customFormat="1" x14ac:dyDescent="0.15">
      <c r="A391" s="271">
        <v>95201070</v>
      </c>
      <c r="B391" t="s">
        <v>6549</v>
      </c>
      <c r="C391" s="268" t="s">
        <v>6316</v>
      </c>
      <c r="D391" s="272">
        <v>5081</v>
      </c>
      <c r="E391" s="272" t="s">
        <v>4876</v>
      </c>
      <c r="F391" s="272" t="s">
        <v>4877</v>
      </c>
      <c r="G391" s="269">
        <v>7</v>
      </c>
      <c r="H391" s="273">
        <v>0</v>
      </c>
      <c r="I391" s="283">
        <v>34</v>
      </c>
      <c r="J391" s="284" t="s">
        <v>5189</v>
      </c>
      <c r="K391" s="285" t="s">
        <v>5190</v>
      </c>
      <c r="L391" s="272" t="s">
        <v>4889</v>
      </c>
      <c r="M391" s="272">
        <v>1</v>
      </c>
      <c r="N391" s="272" t="b">
        <v>1</v>
      </c>
      <c r="O391" s="272">
        <v>77</v>
      </c>
      <c r="P391" s="281">
        <v>1155</v>
      </c>
      <c r="Q391" s="281">
        <v>1540</v>
      </c>
      <c r="R391" s="272" t="s">
        <v>3383</v>
      </c>
      <c r="S391" s="272"/>
      <c r="T391" s="272">
        <v>1</v>
      </c>
      <c r="U391" s="272" t="s">
        <v>4880</v>
      </c>
      <c r="V391" s="273">
        <v>10</v>
      </c>
      <c r="W391" s="273"/>
      <c r="X391" s="272" t="s">
        <v>4881</v>
      </c>
      <c r="Y391" t="s">
        <v>6544</v>
      </c>
      <c r="Z391" t="s">
        <v>6545</v>
      </c>
      <c r="AA391" s="272" t="s">
        <v>4884</v>
      </c>
      <c r="AB391" s="272"/>
      <c r="AC391" s="289">
        <v>1</v>
      </c>
      <c r="AD391" s="289">
        <v>1</v>
      </c>
      <c r="AE391" s="289"/>
      <c r="AF391" s="272"/>
      <c r="AG391" s="272"/>
    </row>
    <row r="392" spans="1:33" s="145" customFormat="1" x14ac:dyDescent="0.15">
      <c r="A392" s="267">
        <v>95201071</v>
      </c>
      <c r="B392" t="s">
        <v>6550</v>
      </c>
      <c r="C392" s="268" t="s">
        <v>6316</v>
      </c>
      <c r="D392" s="293">
        <v>7906</v>
      </c>
      <c r="E392" s="268" t="s">
        <v>4876</v>
      </c>
      <c r="F392" s="268" t="s">
        <v>4877</v>
      </c>
      <c r="G392" s="269">
        <v>1</v>
      </c>
      <c r="H392" s="269">
        <v>0</v>
      </c>
      <c r="I392" s="267">
        <v>34</v>
      </c>
      <c r="J392" s="268" t="s">
        <v>5197</v>
      </c>
      <c r="K392" s="295" t="s">
        <v>5198</v>
      </c>
      <c r="L392" s="295"/>
      <c r="M392" s="268">
        <v>1</v>
      </c>
      <c r="N392" s="268" t="b">
        <v>1</v>
      </c>
      <c r="O392" s="268">
        <v>2</v>
      </c>
      <c r="P392" s="281">
        <v>30</v>
      </c>
      <c r="Q392" s="281">
        <v>40</v>
      </c>
      <c r="R392" s="268" t="s">
        <v>3383</v>
      </c>
      <c r="S392" s="268"/>
      <c r="T392" s="268">
        <v>1</v>
      </c>
      <c r="U392" s="268" t="s">
        <v>4880</v>
      </c>
      <c r="V392" s="269">
        <v>1</v>
      </c>
      <c r="W392" s="269"/>
      <c r="X392" s="268" t="s">
        <v>4881</v>
      </c>
      <c r="Y392" t="s">
        <v>6551</v>
      </c>
      <c r="Z392" t="s">
        <v>6552</v>
      </c>
      <c r="AA392" s="268" t="s">
        <v>4884</v>
      </c>
      <c r="AB392" s="268"/>
      <c r="AC392" s="287">
        <v>1</v>
      </c>
      <c r="AD392" s="287">
        <v>1</v>
      </c>
      <c r="AE392" s="268"/>
      <c r="AF392" s="268"/>
      <c r="AG392" s="290"/>
    </row>
    <row r="393" spans="1:33" s="145" customFormat="1" x14ac:dyDescent="0.15">
      <c r="A393" s="267">
        <v>95201072</v>
      </c>
      <c r="B393" t="s">
        <v>6550</v>
      </c>
      <c r="C393" s="268" t="s">
        <v>6316</v>
      </c>
      <c r="D393" s="293">
        <v>7906</v>
      </c>
      <c r="E393" s="268" t="s">
        <v>4876</v>
      </c>
      <c r="F393" s="268" t="s">
        <v>4877</v>
      </c>
      <c r="G393" s="269">
        <v>2</v>
      </c>
      <c r="H393" s="269">
        <v>0</v>
      </c>
      <c r="I393" s="267">
        <v>34</v>
      </c>
      <c r="J393" s="268" t="s">
        <v>5197</v>
      </c>
      <c r="K393" s="295" t="s">
        <v>5198</v>
      </c>
      <c r="L393" s="295"/>
      <c r="M393" s="268">
        <v>1</v>
      </c>
      <c r="N393" s="268" t="b">
        <v>1</v>
      </c>
      <c r="O393" s="268">
        <v>5</v>
      </c>
      <c r="P393" s="281">
        <v>75</v>
      </c>
      <c r="Q393" s="281">
        <v>100</v>
      </c>
      <c r="R393" s="268" t="s">
        <v>3383</v>
      </c>
      <c r="S393" s="268"/>
      <c r="T393" s="268">
        <v>1</v>
      </c>
      <c r="U393" s="268" t="s">
        <v>4880</v>
      </c>
      <c r="V393" s="269">
        <v>2</v>
      </c>
      <c r="W393" s="269"/>
      <c r="X393" s="268" t="s">
        <v>4881</v>
      </c>
      <c r="Y393" t="s">
        <v>6551</v>
      </c>
      <c r="Z393" t="s">
        <v>6552</v>
      </c>
      <c r="AA393" s="268" t="s">
        <v>4884</v>
      </c>
      <c r="AB393" s="268"/>
      <c r="AC393" s="287">
        <v>1</v>
      </c>
      <c r="AD393" s="287">
        <v>1</v>
      </c>
      <c r="AE393" s="268"/>
      <c r="AF393" s="268"/>
      <c r="AG393" s="290"/>
    </row>
    <row r="394" spans="1:33" s="145" customFormat="1" x14ac:dyDescent="0.15">
      <c r="A394" s="267">
        <v>95201073</v>
      </c>
      <c r="B394" t="s">
        <v>6550</v>
      </c>
      <c r="C394" s="268" t="s">
        <v>6316</v>
      </c>
      <c r="D394" s="293">
        <v>7906</v>
      </c>
      <c r="E394" s="268" t="s">
        <v>4876</v>
      </c>
      <c r="F394" s="268" t="s">
        <v>4877</v>
      </c>
      <c r="G394" s="269">
        <v>3</v>
      </c>
      <c r="H394" s="269">
        <v>0</v>
      </c>
      <c r="I394" s="267">
        <v>34</v>
      </c>
      <c r="J394" s="268" t="s">
        <v>5197</v>
      </c>
      <c r="K394" s="295" t="s">
        <v>5198</v>
      </c>
      <c r="L394" s="295"/>
      <c r="M394" s="268">
        <v>1</v>
      </c>
      <c r="N394" s="268" t="b">
        <v>1</v>
      </c>
      <c r="O394" s="268">
        <v>7</v>
      </c>
      <c r="P394" s="281">
        <v>105</v>
      </c>
      <c r="Q394" s="281">
        <v>140</v>
      </c>
      <c r="R394" s="268" t="s">
        <v>3383</v>
      </c>
      <c r="S394" s="268"/>
      <c r="T394" s="268">
        <v>1</v>
      </c>
      <c r="U394" s="268" t="s">
        <v>4880</v>
      </c>
      <c r="V394" s="269">
        <v>3</v>
      </c>
      <c r="W394" s="269"/>
      <c r="X394" s="268" t="s">
        <v>4881</v>
      </c>
      <c r="Y394" t="s">
        <v>6551</v>
      </c>
      <c r="Z394" t="s">
        <v>6552</v>
      </c>
      <c r="AA394" s="268" t="s">
        <v>4884</v>
      </c>
      <c r="AB394" s="268"/>
      <c r="AC394" s="287">
        <v>1</v>
      </c>
      <c r="AD394" s="287">
        <v>1</v>
      </c>
      <c r="AE394" s="268"/>
      <c r="AF394" s="268"/>
      <c r="AG394" s="290"/>
    </row>
    <row r="395" spans="1:33" s="145" customFormat="1" x14ac:dyDescent="0.15">
      <c r="A395" s="267">
        <v>95201074</v>
      </c>
      <c r="B395" t="s">
        <v>6550</v>
      </c>
      <c r="C395" s="268" t="s">
        <v>6316</v>
      </c>
      <c r="D395" s="293">
        <v>7906</v>
      </c>
      <c r="E395" s="268" t="s">
        <v>4876</v>
      </c>
      <c r="F395" s="268" t="s">
        <v>4877</v>
      </c>
      <c r="G395" s="269">
        <v>4</v>
      </c>
      <c r="H395" s="269">
        <v>0</v>
      </c>
      <c r="I395" s="267">
        <v>34</v>
      </c>
      <c r="J395" s="268" t="s">
        <v>5197</v>
      </c>
      <c r="K395" s="295" t="s">
        <v>5198</v>
      </c>
      <c r="L395" s="295"/>
      <c r="M395" s="268">
        <v>1</v>
      </c>
      <c r="N395" s="268" t="b">
        <v>1</v>
      </c>
      <c r="O395" s="268">
        <v>10</v>
      </c>
      <c r="P395" s="281">
        <v>150</v>
      </c>
      <c r="Q395" s="281">
        <v>200</v>
      </c>
      <c r="R395" s="268" t="s">
        <v>3383</v>
      </c>
      <c r="S395" s="268"/>
      <c r="T395" s="268">
        <v>1</v>
      </c>
      <c r="U395" s="268" t="s">
        <v>4880</v>
      </c>
      <c r="V395" s="269">
        <v>4</v>
      </c>
      <c r="W395" s="269"/>
      <c r="X395" s="268" t="s">
        <v>4881</v>
      </c>
      <c r="Y395" t="s">
        <v>6551</v>
      </c>
      <c r="Z395" t="s">
        <v>6552</v>
      </c>
      <c r="AA395" s="268" t="s">
        <v>4884</v>
      </c>
      <c r="AB395" s="268"/>
      <c r="AC395" s="287">
        <v>1</v>
      </c>
      <c r="AD395" s="287">
        <v>1</v>
      </c>
      <c r="AE395" s="268"/>
      <c r="AF395" s="268"/>
      <c r="AG395" s="290"/>
    </row>
    <row r="396" spans="1:33" s="145" customFormat="1" x14ac:dyDescent="0.15">
      <c r="A396" s="267">
        <v>95201075</v>
      </c>
      <c r="B396" t="s">
        <v>6550</v>
      </c>
      <c r="C396" s="268" t="s">
        <v>6316</v>
      </c>
      <c r="D396" s="293">
        <v>7906</v>
      </c>
      <c r="E396" s="268" t="s">
        <v>4876</v>
      </c>
      <c r="F396" s="268" t="s">
        <v>4877</v>
      </c>
      <c r="G396" s="269">
        <v>5</v>
      </c>
      <c r="H396" s="269">
        <v>0</v>
      </c>
      <c r="I396" s="267">
        <v>34</v>
      </c>
      <c r="J396" s="268" t="s">
        <v>5197</v>
      </c>
      <c r="K396" s="295" t="s">
        <v>5198</v>
      </c>
      <c r="L396" s="295"/>
      <c r="M396" s="268">
        <v>1</v>
      </c>
      <c r="N396" s="268" t="b">
        <v>1</v>
      </c>
      <c r="O396" s="268">
        <v>12</v>
      </c>
      <c r="P396" s="281">
        <v>180</v>
      </c>
      <c r="Q396" s="281">
        <v>240</v>
      </c>
      <c r="R396" s="268" t="s">
        <v>3383</v>
      </c>
      <c r="S396" s="268"/>
      <c r="T396" s="268">
        <v>1</v>
      </c>
      <c r="U396" s="268" t="s">
        <v>4880</v>
      </c>
      <c r="V396" s="269">
        <v>5</v>
      </c>
      <c r="W396" s="269"/>
      <c r="X396" s="268" t="s">
        <v>4881</v>
      </c>
      <c r="Y396" t="s">
        <v>6551</v>
      </c>
      <c r="Z396" t="s">
        <v>6552</v>
      </c>
      <c r="AA396" s="268" t="s">
        <v>4884</v>
      </c>
      <c r="AB396" s="268"/>
      <c r="AC396" s="287">
        <v>1</v>
      </c>
      <c r="AD396" s="287">
        <v>1</v>
      </c>
      <c r="AE396" s="268"/>
      <c r="AF396" s="268"/>
      <c r="AG396" s="290"/>
    </row>
    <row r="397" spans="1:33" s="145" customFormat="1" x14ac:dyDescent="0.15">
      <c r="A397" s="271">
        <v>95201076</v>
      </c>
      <c r="B397" t="s">
        <v>6550</v>
      </c>
      <c r="C397" s="268" t="s">
        <v>6316</v>
      </c>
      <c r="D397" s="272">
        <v>7906</v>
      </c>
      <c r="E397" s="272" t="s">
        <v>4876</v>
      </c>
      <c r="F397" s="272" t="s">
        <v>4877</v>
      </c>
      <c r="G397" s="294">
        <v>6</v>
      </c>
      <c r="H397" s="273">
        <v>0</v>
      </c>
      <c r="I397" s="283">
        <v>34</v>
      </c>
      <c r="J397" s="284" t="s">
        <v>5197</v>
      </c>
      <c r="K397" s="285" t="s">
        <v>5198</v>
      </c>
      <c r="L397" s="285"/>
      <c r="M397" s="272">
        <v>1</v>
      </c>
      <c r="N397" s="272" t="b">
        <v>1</v>
      </c>
      <c r="O397" s="272">
        <v>25</v>
      </c>
      <c r="P397" s="281">
        <v>375</v>
      </c>
      <c r="Q397" s="281">
        <v>500</v>
      </c>
      <c r="R397" s="272" t="s">
        <v>3383</v>
      </c>
      <c r="S397" s="272"/>
      <c r="T397" s="272">
        <v>1</v>
      </c>
      <c r="U397" s="272" t="s">
        <v>4880</v>
      </c>
      <c r="V397" s="273">
        <v>6</v>
      </c>
      <c r="W397" s="273"/>
      <c r="X397" s="272" t="s">
        <v>4881</v>
      </c>
      <c r="Y397" t="s">
        <v>6551</v>
      </c>
      <c r="Z397" t="s">
        <v>6552</v>
      </c>
      <c r="AA397" s="272" t="s">
        <v>4884</v>
      </c>
      <c r="AB397" s="272"/>
      <c r="AC397" s="289">
        <v>1</v>
      </c>
      <c r="AD397" s="289">
        <v>1</v>
      </c>
      <c r="AE397" s="272"/>
      <c r="AF397" s="272"/>
      <c r="AG397" s="296"/>
    </row>
    <row r="398" spans="1:33" s="145" customFormat="1" x14ac:dyDescent="0.15">
      <c r="A398" s="270">
        <v>95201077</v>
      </c>
      <c r="B398" t="s">
        <v>6550</v>
      </c>
      <c r="C398" s="268" t="s">
        <v>6316</v>
      </c>
      <c r="D398" s="268">
        <v>7906</v>
      </c>
      <c r="E398" s="268" t="s">
        <v>4876</v>
      </c>
      <c r="F398" s="268" t="s">
        <v>4877</v>
      </c>
      <c r="G398" s="269">
        <v>7</v>
      </c>
      <c r="H398" s="269">
        <v>0</v>
      </c>
      <c r="I398" s="267">
        <v>34</v>
      </c>
      <c r="J398" s="282" t="s">
        <v>5197</v>
      </c>
      <c r="K398" s="279" t="s">
        <v>5198</v>
      </c>
      <c r="L398" s="279"/>
      <c r="M398" s="268">
        <v>1</v>
      </c>
      <c r="N398" s="268" t="b">
        <v>1</v>
      </c>
      <c r="O398" s="268">
        <v>38</v>
      </c>
      <c r="P398" s="281">
        <v>570</v>
      </c>
      <c r="Q398" s="281">
        <v>760</v>
      </c>
      <c r="R398" s="268" t="s">
        <v>3383</v>
      </c>
      <c r="S398" s="268"/>
      <c r="T398" s="268">
        <v>1</v>
      </c>
      <c r="U398" s="268" t="s">
        <v>4880</v>
      </c>
      <c r="V398" s="269">
        <v>7</v>
      </c>
      <c r="W398" s="269"/>
      <c r="X398" s="268" t="s">
        <v>4881</v>
      </c>
      <c r="Y398" t="s">
        <v>6551</v>
      </c>
      <c r="Z398" t="s">
        <v>6552</v>
      </c>
      <c r="AA398" s="268" t="s">
        <v>4884</v>
      </c>
      <c r="AB398" s="268"/>
      <c r="AC398" s="287">
        <v>1</v>
      </c>
      <c r="AD398" s="287">
        <v>1</v>
      </c>
      <c r="AE398" s="268"/>
      <c r="AF398" s="268"/>
      <c r="AG398" s="290"/>
    </row>
    <row r="399" spans="1:33" s="258" customFormat="1" x14ac:dyDescent="0.15">
      <c r="A399" s="271">
        <v>95201078</v>
      </c>
      <c r="B399" t="s">
        <v>6553</v>
      </c>
      <c r="C399" s="268" t="s">
        <v>6316</v>
      </c>
      <c r="D399" s="272">
        <v>5081</v>
      </c>
      <c r="E399" s="272" t="s">
        <v>4876</v>
      </c>
      <c r="F399" s="272" t="s">
        <v>4877</v>
      </c>
      <c r="G399" s="269">
        <v>6</v>
      </c>
      <c r="H399" s="273">
        <v>0</v>
      </c>
      <c r="I399" s="283">
        <v>34</v>
      </c>
      <c r="J399" s="284" t="s">
        <v>5197</v>
      </c>
      <c r="K399" s="285" t="s">
        <v>5198</v>
      </c>
      <c r="L399" s="272" t="s">
        <v>44</v>
      </c>
      <c r="M399" s="272">
        <v>1</v>
      </c>
      <c r="N399" s="272" t="b">
        <v>1</v>
      </c>
      <c r="O399" s="272">
        <v>51</v>
      </c>
      <c r="P399" s="281">
        <v>765</v>
      </c>
      <c r="Q399" s="281">
        <v>1020</v>
      </c>
      <c r="R399" s="272" t="s">
        <v>3383</v>
      </c>
      <c r="S399" s="272"/>
      <c r="T399" s="272">
        <v>1</v>
      </c>
      <c r="U399" s="272" t="s">
        <v>4880</v>
      </c>
      <c r="V399" s="273">
        <v>10</v>
      </c>
      <c r="W399" s="273"/>
      <c r="X399" s="272" t="s">
        <v>4881</v>
      </c>
      <c r="Y399" t="s">
        <v>6551</v>
      </c>
      <c r="Z399" t="s">
        <v>6552</v>
      </c>
      <c r="AA399" s="272" t="s">
        <v>4884</v>
      </c>
      <c r="AB399" s="272"/>
      <c r="AC399" s="289">
        <v>1</v>
      </c>
      <c r="AD399" s="289">
        <v>1</v>
      </c>
      <c r="AE399" s="289"/>
      <c r="AF399" s="272"/>
      <c r="AG399" s="272"/>
    </row>
    <row r="400" spans="1:33" s="258" customFormat="1" x14ac:dyDescent="0.15">
      <c r="A400" s="271">
        <v>95201079</v>
      </c>
      <c r="B400" t="s">
        <v>6554</v>
      </c>
      <c r="C400" s="268" t="s">
        <v>6316</v>
      </c>
      <c r="D400" s="272">
        <v>5081</v>
      </c>
      <c r="E400" s="272" t="s">
        <v>4876</v>
      </c>
      <c r="F400" s="272" t="s">
        <v>4877</v>
      </c>
      <c r="G400" s="269">
        <v>6</v>
      </c>
      <c r="H400" s="273">
        <v>0</v>
      </c>
      <c r="I400" s="283">
        <v>34</v>
      </c>
      <c r="J400" s="284" t="s">
        <v>5197</v>
      </c>
      <c r="K400" s="285" t="s">
        <v>5198</v>
      </c>
      <c r="L400" s="272" t="s">
        <v>4887</v>
      </c>
      <c r="M400" s="272">
        <v>1</v>
      </c>
      <c r="N400" s="272" t="b">
        <v>1</v>
      </c>
      <c r="O400" s="272">
        <v>64</v>
      </c>
      <c r="P400" s="281">
        <v>960</v>
      </c>
      <c r="Q400" s="281">
        <v>1280</v>
      </c>
      <c r="R400" s="272" t="s">
        <v>3383</v>
      </c>
      <c r="S400" s="272"/>
      <c r="T400" s="272">
        <v>1</v>
      </c>
      <c r="U400" s="272" t="s">
        <v>4880</v>
      </c>
      <c r="V400" s="273">
        <v>10</v>
      </c>
      <c r="W400" s="273"/>
      <c r="X400" s="272" t="s">
        <v>4881</v>
      </c>
      <c r="Y400" t="s">
        <v>6551</v>
      </c>
      <c r="Z400" t="s">
        <v>6552</v>
      </c>
      <c r="AA400" s="272" t="s">
        <v>4884</v>
      </c>
      <c r="AB400" s="272"/>
      <c r="AC400" s="289">
        <v>1</v>
      </c>
      <c r="AD400" s="289">
        <v>1</v>
      </c>
      <c r="AE400" s="289"/>
      <c r="AF400" s="272"/>
      <c r="AG400" s="272"/>
    </row>
    <row r="401" spans="1:33" s="258" customFormat="1" x14ac:dyDescent="0.15">
      <c r="A401" s="271">
        <v>95201080</v>
      </c>
      <c r="B401" t="s">
        <v>6555</v>
      </c>
      <c r="C401" s="268" t="s">
        <v>6316</v>
      </c>
      <c r="D401" s="272">
        <v>5081</v>
      </c>
      <c r="E401" s="272" t="s">
        <v>4876</v>
      </c>
      <c r="F401" s="272" t="s">
        <v>4877</v>
      </c>
      <c r="G401" s="269">
        <v>7</v>
      </c>
      <c r="H401" s="273">
        <v>0</v>
      </c>
      <c r="I401" s="283">
        <v>34</v>
      </c>
      <c r="J401" s="284" t="s">
        <v>5197</v>
      </c>
      <c r="K401" s="285" t="s">
        <v>5198</v>
      </c>
      <c r="L401" s="272" t="s">
        <v>4889</v>
      </c>
      <c r="M401" s="272">
        <v>1</v>
      </c>
      <c r="N401" s="272" t="b">
        <v>1</v>
      </c>
      <c r="O401" s="272">
        <v>77</v>
      </c>
      <c r="P401" s="281">
        <v>1155</v>
      </c>
      <c r="Q401" s="281">
        <v>1540</v>
      </c>
      <c r="R401" s="272" t="s">
        <v>3383</v>
      </c>
      <c r="S401" s="272"/>
      <c r="T401" s="272">
        <v>1</v>
      </c>
      <c r="U401" s="272" t="s">
        <v>4880</v>
      </c>
      <c r="V401" s="273">
        <v>10</v>
      </c>
      <c r="W401" s="273"/>
      <c r="X401" s="272" t="s">
        <v>4881</v>
      </c>
      <c r="Y401" t="s">
        <v>6551</v>
      </c>
      <c r="Z401" t="s">
        <v>6552</v>
      </c>
      <c r="AA401" s="272" t="s">
        <v>4884</v>
      </c>
      <c r="AB401" s="272"/>
      <c r="AC401" s="289">
        <v>1</v>
      </c>
      <c r="AD401" s="289">
        <v>1</v>
      </c>
      <c r="AE401" s="289"/>
      <c r="AF401" s="272"/>
      <c r="AG401" s="272"/>
    </row>
    <row r="402" spans="1:33" s="145" customFormat="1" x14ac:dyDescent="0.15">
      <c r="A402" s="267">
        <v>95201081</v>
      </c>
      <c r="B402" t="s">
        <v>6556</v>
      </c>
      <c r="C402" s="268" t="s">
        <v>6316</v>
      </c>
      <c r="D402" s="293">
        <v>7906</v>
      </c>
      <c r="E402" s="268" t="s">
        <v>4876</v>
      </c>
      <c r="F402" s="268" t="s">
        <v>4877</v>
      </c>
      <c r="G402" s="269">
        <v>1</v>
      </c>
      <c r="H402" s="269">
        <v>0</v>
      </c>
      <c r="I402" s="267">
        <v>34</v>
      </c>
      <c r="J402" s="268" t="s">
        <v>5205</v>
      </c>
      <c r="K402" s="295" t="s">
        <v>5206</v>
      </c>
      <c r="L402" s="295"/>
      <c r="M402" s="268">
        <v>1</v>
      </c>
      <c r="N402" s="268" t="b">
        <v>1</v>
      </c>
      <c r="O402" s="268">
        <v>200</v>
      </c>
      <c r="P402" s="281">
        <v>3000</v>
      </c>
      <c r="Q402" s="281">
        <v>4000</v>
      </c>
      <c r="R402" s="268" t="s">
        <v>3383</v>
      </c>
      <c r="S402" s="268"/>
      <c r="T402" s="268">
        <v>1</v>
      </c>
      <c r="U402" s="268" t="s">
        <v>4880</v>
      </c>
      <c r="V402" s="269">
        <v>1</v>
      </c>
      <c r="W402" s="269"/>
      <c r="X402" s="268" t="s">
        <v>4881</v>
      </c>
      <c r="Y402" t="s">
        <v>6557</v>
      </c>
      <c r="Z402" t="s">
        <v>6558</v>
      </c>
      <c r="AA402" s="268" t="s">
        <v>4884</v>
      </c>
      <c r="AB402" s="268"/>
      <c r="AC402" s="287">
        <v>1</v>
      </c>
      <c r="AD402" s="287">
        <v>1</v>
      </c>
      <c r="AE402" s="268"/>
      <c r="AF402" s="268"/>
      <c r="AG402" s="290"/>
    </row>
    <row r="403" spans="1:33" s="145" customFormat="1" x14ac:dyDescent="0.15">
      <c r="A403" s="267">
        <v>95201082</v>
      </c>
      <c r="B403" t="s">
        <v>6556</v>
      </c>
      <c r="C403" s="268" t="s">
        <v>6316</v>
      </c>
      <c r="D403" s="293">
        <v>7906</v>
      </c>
      <c r="E403" s="268" t="s">
        <v>4876</v>
      </c>
      <c r="F403" s="268" t="s">
        <v>4877</v>
      </c>
      <c r="G403" s="269">
        <v>2</v>
      </c>
      <c r="H403" s="269">
        <v>0</v>
      </c>
      <c r="I403" s="267">
        <v>34</v>
      </c>
      <c r="J403" s="268" t="s">
        <v>5205</v>
      </c>
      <c r="K403" s="295" t="s">
        <v>5206</v>
      </c>
      <c r="L403" s="295"/>
      <c r="M403" s="268">
        <v>1</v>
      </c>
      <c r="N403" s="268" t="b">
        <v>1</v>
      </c>
      <c r="O403" s="268">
        <v>500</v>
      </c>
      <c r="P403" s="281">
        <v>7500</v>
      </c>
      <c r="Q403" s="281">
        <v>10000</v>
      </c>
      <c r="R403" s="268" t="s">
        <v>3383</v>
      </c>
      <c r="S403" s="268"/>
      <c r="T403" s="268">
        <v>1</v>
      </c>
      <c r="U403" s="268" t="s">
        <v>4880</v>
      </c>
      <c r="V403" s="269">
        <v>2</v>
      </c>
      <c r="W403" s="269"/>
      <c r="X403" s="268" t="s">
        <v>4881</v>
      </c>
      <c r="Y403" t="s">
        <v>6557</v>
      </c>
      <c r="Z403" t="s">
        <v>6558</v>
      </c>
      <c r="AA403" s="268" t="s">
        <v>4884</v>
      </c>
      <c r="AB403" s="268"/>
      <c r="AC403" s="287">
        <v>1</v>
      </c>
      <c r="AD403" s="287">
        <v>1</v>
      </c>
      <c r="AE403" s="268"/>
      <c r="AF403" s="268"/>
      <c r="AG403" s="290"/>
    </row>
    <row r="404" spans="1:33" s="145" customFormat="1" x14ac:dyDescent="0.15">
      <c r="A404" s="267">
        <v>95201083</v>
      </c>
      <c r="B404" t="s">
        <v>6556</v>
      </c>
      <c r="C404" s="268" t="s">
        <v>6316</v>
      </c>
      <c r="D404" s="293">
        <v>7906</v>
      </c>
      <c r="E404" s="268" t="s">
        <v>4876</v>
      </c>
      <c r="F404" s="268" t="s">
        <v>4877</v>
      </c>
      <c r="G404" s="269">
        <v>3</v>
      </c>
      <c r="H404" s="269">
        <v>0</v>
      </c>
      <c r="I404" s="267">
        <v>34</v>
      </c>
      <c r="J404" s="268" t="s">
        <v>5205</v>
      </c>
      <c r="K404" s="295" t="s">
        <v>5206</v>
      </c>
      <c r="L404" s="295"/>
      <c r="M404" s="268">
        <v>1</v>
      </c>
      <c r="N404" s="268" t="b">
        <v>1</v>
      </c>
      <c r="O404" s="268">
        <v>700</v>
      </c>
      <c r="P404" s="281">
        <v>10500</v>
      </c>
      <c r="Q404" s="281">
        <v>14000</v>
      </c>
      <c r="R404" s="268" t="s">
        <v>3383</v>
      </c>
      <c r="S404" s="268"/>
      <c r="T404" s="268">
        <v>1</v>
      </c>
      <c r="U404" s="268" t="s">
        <v>4880</v>
      </c>
      <c r="V404" s="269">
        <v>3</v>
      </c>
      <c r="W404" s="269"/>
      <c r="X404" s="268" t="s">
        <v>4881</v>
      </c>
      <c r="Y404" t="s">
        <v>6557</v>
      </c>
      <c r="Z404" t="s">
        <v>6558</v>
      </c>
      <c r="AA404" s="268" t="s">
        <v>4884</v>
      </c>
      <c r="AB404" s="268"/>
      <c r="AC404" s="287">
        <v>1</v>
      </c>
      <c r="AD404" s="287">
        <v>1</v>
      </c>
      <c r="AE404" s="268"/>
      <c r="AF404" s="268"/>
      <c r="AG404" s="290"/>
    </row>
    <row r="405" spans="1:33" s="145" customFormat="1" x14ac:dyDescent="0.15">
      <c r="A405" s="267">
        <v>95201084</v>
      </c>
      <c r="B405" t="s">
        <v>6556</v>
      </c>
      <c r="C405" s="268" t="s">
        <v>6316</v>
      </c>
      <c r="D405" s="293">
        <v>7906</v>
      </c>
      <c r="E405" s="268" t="s">
        <v>4876</v>
      </c>
      <c r="F405" s="268" t="s">
        <v>4877</v>
      </c>
      <c r="G405" s="269">
        <v>4</v>
      </c>
      <c r="H405" s="269">
        <v>0</v>
      </c>
      <c r="I405" s="267">
        <v>34</v>
      </c>
      <c r="J405" s="268" t="s">
        <v>5205</v>
      </c>
      <c r="K405" s="295" t="s">
        <v>5206</v>
      </c>
      <c r="L405" s="295"/>
      <c r="M405" s="268">
        <v>1</v>
      </c>
      <c r="N405" s="268" t="b">
        <v>1</v>
      </c>
      <c r="O405" s="268">
        <v>1000</v>
      </c>
      <c r="P405" s="281">
        <v>15000</v>
      </c>
      <c r="Q405" s="281">
        <v>20000</v>
      </c>
      <c r="R405" s="268" t="s">
        <v>3383</v>
      </c>
      <c r="S405" s="268"/>
      <c r="T405" s="268">
        <v>1</v>
      </c>
      <c r="U405" s="268" t="s">
        <v>4880</v>
      </c>
      <c r="V405" s="269">
        <v>4</v>
      </c>
      <c r="W405" s="269"/>
      <c r="X405" s="268" t="s">
        <v>4881</v>
      </c>
      <c r="Y405" t="s">
        <v>6557</v>
      </c>
      <c r="Z405" t="s">
        <v>6558</v>
      </c>
      <c r="AA405" s="268" t="s">
        <v>4884</v>
      </c>
      <c r="AB405" s="268"/>
      <c r="AC405" s="287">
        <v>1</v>
      </c>
      <c r="AD405" s="287">
        <v>1</v>
      </c>
      <c r="AE405" s="268"/>
      <c r="AF405" s="268"/>
      <c r="AG405" s="290"/>
    </row>
    <row r="406" spans="1:33" s="145" customFormat="1" x14ac:dyDescent="0.15">
      <c r="A406" s="267">
        <v>95201085</v>
      </c>
      <c r="B406" t="s">
        <v>6556</v>
      </c>
      <c r="C406" s="268" t="s">
        <v>6316</v>
      </c>
      <c r="D406" s="293">
        <v>7906</v>
      </c>
      <c r="E406" s="268" t="s">
        <v>4876</v>
      </c>
      <c r="F406" s="268" t="s">
        <v>4877</v>
      </c>
      <c r="G406" s="269">
        <v>5</v>
      </c>
      <c r="H406" s="269">
        <v>0</v>
      </c>
      <c r="I406" s="267">
        <v>34</v>
      </c>
      <c r="J406" s="268" t="s">
        <v>5205</v>
      </c>
      <c r="K406" s="295" t="s">
        <v>5206</v>
      </c>
      <c r="L406" s="295"/>
      <c r="M406" s="268">
        <v>1</v>
      </c>
      <c r="N406" s="268" t="b">
        <v>1</v>
      </c>
      <c r="O406" s="268">
        <v>1200</v>
      </c>
      <c r="P406" s="281">
        <v>18000</v>
      </c>
      <c r="Q406" s="281">
        <v>24000</v>
      </c>
      <c r="R406" s="268" t="s">
        <v>3383</v>
      </c>
      <c r="S406" s="268"/>
      <c r="T406" s="268">
        <v>1</v>
      </c>
      <c r="U406" s="268" t="s">
        <v>4880</v>
      </c>
      <c r="V406" s="269">
        <v>5</v>
      </c>
      <c r="W406" s="269"/>
      <c r="X406" s="268" t="s">
        <v>4881</v>
      </c>
      <c r="Y406" t="s">
        <v>6557</v>
      </c>
      <c r="Z406" t="s">
        <v>6558</v>
      </c>
      <c r="AA406" s="268" t="s">
        <v>4884</v>
      </c>
      <c r="AB406" s="268"/>
      <c r="AC406" s="287">
        <v>1</v>
      </c>
      <c r="AD406" s="287">
        <v>1</v>
      </c>
      <c r="AE406" s="268"/>
      <c r="AF406" s="268"/>
      <c r="AG406" s="290"/>
    </row>
    <row r="407" spans="1:33" s="145" customFormat="1" x14ac:dyDescent="0.15">
      <c r="A407" s="270">
        <v>95201086</v>
      </c>
      <c r="B407" t="s">
        <v>6556</v>
      </c>
      <c r="C407" s="268" t="s">
        <v>6316</v>
      </c>
      <c r="D407" s="268">
        <v>7906</v>
      </c>
      <c r="E407" s="268" t="s">
        <v>4876</v>
      </c>
      <c r="F407" s="268" t="s">
        <v>4877</v>
      </c>
      <c r="G407" s="269">
        <v>7</v>
      </c>
      <c r="H407" s="269">
        <v>0</v>
      </c>
      <c r="I407" s="267">
        <v>34</v>
      </c>
      <c r="J407" s="282" t="s">
        <v>5205</v>
      </c>
      <c r="K407" s="279" t="s">
        <v>5206</v>
      </c>
      <c r="L407" s="279"/>
      <c r="M407" s="268">
        <v>1</v>
      </c>
      <c r="N407" s="268" t="b">
        <v>1</v>
      </c>
      <c r="O407" s="268">
        <v>2500</v>
      </c>
      <c r="P407" s="281">
        <v>37500</v>
      </c>
      <c r="Q407" s="281">
        <v>50000</v>
      </c>
      <c r="R407" s="268" t="s">
        <v>3383</v>
      </c>
      <c r="S407" s="268"/>
      <c r="T407" s="268">
        <v>1</v>
      </c>
      <c r="U407" s="268" t="s">
        <v>4880</v>
      </c>
      <c r="V407" s="269">
        <v>7</v>
      </c>
      <c r="W407" s="269"/>
      <c r="X407" s="268" t="s">
        <v>4881</v>
      </c>
      <c r="Y407" t="s">
        <v>6557</v>
      </c>
      <c r="Z407" t="s">
        <v>6558</v>
      </c>
      <c r="AA407" s="268" t="s">
        <v>4884</v>
      </c>
      <c r="AB407" s="268"/>
      <c r="AC407" s="287">
        <v>1</v>
      </c>
      <c r="AD407" s="287">
        <v>1</v>
      </c>
      <c r="AE407" s="268"/>
      <c r="AF407" s="268"/>
      <c r="AG407" s="290"/>
    </row>
    <row r="408" spans="1:33" s="145" customFormat="1" x14ac:dyDescent="0.15">
      <c r="A408" s="270">
        <v>95201087</v>
      </c>
      <c r="B408" t="s">
        <v>6556</v>
      </c>
      <c r="C408" s="268" t="s">
        <v>6316</v>
      </c>
      <c r="D408" s="268">
        <v>7906</v>
      </c>
      <c r="E408" s="268" t="s">
        <v>4876</v>
      </c>
      <c r="F408" s="268" t="s">
        <v>4877</v>
      </c>
      <c r="G408" s="269">
        <v>6</v>
      </c>
      <c r="H408" s="269">
        <v>0</v>
      </c>
      <c r="I408" s="267">
        <v>34</v>
      </c>
      <c r="J408" s="282" t="s">
        <v>5205</v>
      </c>
      <c r="K408" s="279" t="s">
        <v>5206</v>
      </c>
      <c r="L408" s="279"/>
      <c r="M408" s="268">
        <v>1</v>
      </c>
      <c r="N408" s="268" t="b">
        <v>1</v>
      </c>
      <c r="O408" s="268">
        <v>3800</v>
      </c>
      <c r="P408" s="281">
        <v>57000</v>
      </c>
      <c r="Q408" s="281">
        <v>76000</v>
      </c>
      <c r="R408" s="268" t="s">
        <v>3383</v>
      </c>
      <c r="S408" s="268"/>
      <c r="T408" s="268">
        <v>1</v>
      </c>
      <c r="U408" s="268" t="s">
        <v>4880</v>
      </c>
      <c r="V408" s="269">
        <v>6</v>
      </c>
      <c r="W408" s="269"/>
      <c r="X408" s="268" t="s">
        <v>4881</v>
      </c>
      <c r="Y408" t="s">
        <v>6557</v>
      </c>
      <c r="Z408" t="s">
        <v>6558</v>
      </c>
      <c r="AA408" s="268" t="s">
        <v>4884</v>
      </c>
      <c r="AB408" s="268"/>
      <c r="AC408" s="287">
        <v>1</v>
      </c>
      <c r="AD408" s="287">
        <v>1</v>
      </c>
      <c r="AE408" s="268"/>
      <c r="AF408" s="268"/>
      <c r="AG408" s="290"/>
    </row>
    <row r="409" spans="1:33" s="258" customFormat="1" x14ac:dyDescent="0.15">
      <c r="A409" s="271">
        <v>95201088</v>
      </c>
      <c r="B409" t="s">
        <v>6559</v>
      </c>
      <c r="C409" s="268" t="s">
        <v>6316</v>
      </c>
      <c r="D409" s="272">
        <v>5081</v>
      </c>
      <c r="E409" s="272" t="s">
        <v>4876</v>
      </c>
      <c r="F409" s="272" t="s">
        <v>4877</v>
      </c>
      <c r="G409" s="269">
        <v>6</v>
      </c>
      <c r="H409" s="273">
        <v>0</v>
      </c>
      <c r="I409" s="283">
        <v>34</v>
      </c>
      <c r="J409" s="284" t="s">
        <v>5205</v>
      </c>
      <c r="K409" s="285" t="s">
        <v>5206</v>
      </c>
      <c r="L409" s="272" t="s">
        <v>44</v>
      </c>
      <c r="M409" s="272">
        <v>1</v>
      </c>
      <c r="N409" s="272" t="b">
        <v>1</v>
      </c>
      <c r="O409" s="272">
        <v>51</v>
      </c>
      <c r="P409" s="281">
        <v>765</v>
      </c>
      <c r="Q409" s="281">
        <v>1020</v>
      </c>
      <c r="R409" s="272" t="s">
        <v>3383</v>
      </c>
      <c r="S409" s="272"/>
      <c r="T409" s="272">
        <v>1</v>
      </c>
      <c r="U409" s="272" t="s">
        <v>4880</v>
      </c>
      <c r="V409" s="273">
        <v>10</v>
      </c>
      <c r="W409" s="273"/>
      <c r="X409" s="272" t="s">
        <v>4881</v>
      </c>
      <c r="Y409" t="s">
        <v>6557</v>
      </c>
      <c r="Z409" t="s">
        <v>6558</v>
      </c>
      <c r="AA409" s="272" t="s">
        <v>4884</v>
      </c>
      <c r="AB409" s="272"/>
      <c r="AC409" s="289">
        <v>1</v>
      </c>
      <c r="AD409" s="289">
        <v>1</v>
      </c>
      <c r="AE409" s="289"/>
      <c r="AF409" s="272"/>
      <c r="AG409" s="272"/>
    </row>
    <row r="410" spans="1:33" s="258" customFormat="1" x14ac:dyDescent="0.15">
      <c r="A410" s="271">
        <v>95201089</v>
      </c>
      <c r="B410" t="s">
        <v>6560</v>
      </c>
      <c r="C410" s="268" t="s">
        <v>6316</v>
      </c>
      <c r="D410" s="272">
        <v>5081</v>
      </c>
      <c r="E410" s="272" t="s">
        <v>4876</v>
      </c>
      <c r="F410" s="272" t="s">
        <v>4877</v>
      </c>
      <c r="G410" s="269">
        <v>6</v>
      </c>
      <c r="H410" s="273">
        <v>0</v>
      </c>
      <c r="I410" s="283">
        <v>34</v>
      </c>
      <c r="J410" s="284" t="s">
        <v>5205</v>
      </c>
      <c r="K410" s="285" t="s">
        <v>5206</v>
      </c>
      <c r="L410" s="272" t="s">
        <v>4887</v>
      </c>
      <c r="M410" s="272">
        <v>1</v>
      </c>
      <c r="N410" s="272" t="b">
        <v>1</v>
      </c>
      <c r="O410" s="272">
        <v>64</v>
      </c>
      <c r="P410" s="281">
        <v>960</v>
      </c>
      <c r="Q410" s="281">
        <v>1280</v>
      </c>
      <c r="R410" s="272" t="s">
        <v>3383</v>
      </c>
      <c r="S410" s="272"/>
      <c r="T410" s="272">
        <v>1</v>
      </c>
      <c r="U410" s="272" t="s">
        <v>4880</v>
      </c>
      <c r="V410" s="273">
        <v>10</v>
      </c>
      <c r="W410" s="273"/>
      <c r="X410" s="272" t="s">
        <v>4881</v>
      </c>
      <c r="Y410" t="s">
        <v>6557</v>
      </c>
      <c r="Z410" t="s">
        <v>6558</v>
      </c>
      <c r="AA410" s="272" t="s">
        <v>4884</v>
      </c>
      <c r="AB410" s="272"/>
      <c r="AC410" s="289">
        <v>1</v>
      </c>
      <c r="AD410" s="289">
        <v>1</v>
      </c>
      <c r="AE410" s="289"/>
      <c r="AF410" s="272"/>
      <c r="AG410" s="272"/>
    </row>
    <row r="411" spans="1:33" s="258" customFormat="1" x14ac:dyDescent="0.15">
      <c r="A411" s="271">
        <v>95201090</v>
      </c>
      <c r="B411" t="s">
        <v>6561</v>
      </c>
      <c r="C411" s="268" t="s">
        <v>6316</v>
      </c>
      <c r="D411" s="272">
        <v>5081</v>
      </c>
      <c r="E411" s="272" t="s">
        <v>4876</v>
      </c>
      <c r="F411" s="272" t="s">
        <v>4877</v>
      </c>
      <c r="G411" s="269">
        <v>7</v>
      </c>
      <c r="H411" s="273">
        <v>0</v>
      </c>
      <c r="I411" s="283">
        <v>34</v>
      </c>
      <c r="J411" s="284" t="s">
        <v>5205</v>
      </c>
      <c r="K411" s="285" t="s">
        <v>5206</v>
      </c>
      <c r="L411" s="272" t="s">
        <v>4889</v>
      </c>
      <c r="M411" s="272">
        <v>1</v>
      </c>
      <c r="N411" s="272" t="b">
        <v>1</v>
      </c>
      <c r="O411" s="272">
        <v>77</v>
      </c>
      <c r="P411" s="281">
        <v>1155</v>
      </c>
      <c r="Q411" s="281">
        <v>1540</v>
      </c>
      <c r="R411" s="272" t="s">
        <v>3383</v>
      </c>
      <c r="S411" s="272"/>
      <c r="T411" s="272">
        <v>1</v>
      </c>
      <c r="U411" s="272" t="s">
        <v>4880</v>
      </c>
      <c r="V411" s="273">
        <v>10</v>
      </c>
      <c r="W411" s="273"/>
      <c r="X411" s="272" t="s">
        <v>4881</v>
      </c>
      <c r="Y411" t="s">
        <v>6557</v>
      </c>
      <c r="Z411" t="s">
        <v>6558</v>
      </c>
      <c r="AA411" s="272" t="s">
        <v>4884</v>
      </c>
      <c r="AB411" s="272"/>
      <c r="AC411" s="289">
        <v>1</v>
      </c>
      <c r="AD411" s="289">
        <v>1</v>
      </c>
      <c r="AE411" s="289"/>
      <c r="AF411" s="272"/>
      <c r="AG411" s="272"/>
    </row>
    <row r="412" spans="1:33" s="145" customFormat="1" x14ac:dyDescent="0.15">
      <c r="A412" s="267">
        <v>95201091</v>
      </c>
      <c r="B412" t="s">
        <v>6562</v>
      </c>
      <c r="C412" s="268" t="s">
        <v>6316</v>
      </c>
      <c r="D412" s="293">
        <v>7906</v>
      </c>
      <c r="E412" s="268" t="s">
        <v>4876</v>
      </c>
      <c r="F412" s="268" t="s">
        <v>4877</v>
      </c>
      <c r="G412" s="269">
        <v>1</v>
      </c>
      <c r="H412" s="269">
        <v>0</v>
      </c>
      <c r="I412" s="267">
        <v>34</v>
      </c>
      <c r="J412" s="268" t="s">
        <v>5213</v>
      </c>
      <c r="K412" s="295" t="s">
        <v>5214</v>
      </c>
      <c r="L412" s="295"/>
      <c r="M412" s="268">
        <v>1</v>
      </c>
      <c r="N412" s="268" t="b">
        <v>1</v>
      </c>
      <c r="O412" s="268">
        <v>200</v>
      </c>
      <c r="P412" s="281">
        <v>3000</v>
      </c>
      <c r="Q412" s="281">
        <v>4000</v>
      </c>
      <c r="R412" s="268" t="s">
        <v>3383</v>
      </c>
      <c r="S412" s="268"/>
      <c r="T412" s="268">
        <v>1</v>
      </c>
      <c r="U412" s="268" t="s">
        <v>4880</v>
      </c>
      <c r="V412" s="269">
        <v>1</v>
      </c>
      <c r="W412" s="269"/>
      <c r="X412" s="268" t="s">
        <v>4881</v>
      </c>
      <c r="Y412" t="s">
        <v>6563</v>
      </c>
      <c r="Z412" t="s">
        <v>6564</v>
      </c>
      <c r="AA412" s="268" t="s">
        <v>4884</v>
      </c>
      <c r="AB412" s="268"/>
      <c r="AC412" s="287">
        <v>1</v>
      </c>
      <c r="AD412" s="287">
        <v>1</v>
      </c>
      <c r="AE412" s="268"/>
      <c r="AF412" s="268"/>
      <c r="AG412" s="290"/>
    </row>
    <row r="413" spans="1:33" s="145" customFormat="1" x14ac:dyDescent="0.15">
      <c r="A413" s="267">
        <v>95201092</v>
      </c>
      <c r="B413" t="s">
        <v>6562</v>
      </c>
      <c r="C413" s="268" t="s">
        <v>6316</v>
      </c>
      <c r="D413" s="293">
        <v>7906</v>
      </c>
      <c r="E413" s="268" t="s">
        <v>4876</v>
      </c>
      <c r="F413" s="268" t="s">
        <v>4877</v>
      </c>
      <c r="G413" s="269">
        <v>2</v>
      </c>
      <c r="H413" s="269">
        <v>0</v>
      </c>
      <c r="I413" s="267">
        <v>34</v>
      </c>
      <c r="J413" s="268" t="s">
        <v>5213</v>
      </c>
      <c r="K413" s="295" t="s">
        <v>5214</v>
      </c>
      <c r="L413" s="295"/>
      <c r="M413" s="268">
        <v>1</v>
      </c>
      <c r="N413" s="268" t="b">
        <v>1</v>
      </c>
      <c r="O413" s="268">
        <v>500</v>
      </c>
      <c r="P413" s="281">
        <v>7500</v>
      </c>
      <c r="Q413" s="281">
        <v>10000</v>
      </c>
      <c r="R413" s="268" t="s">
        <v>3383</v>
      </c>
      <c r="S413" s="268"/>
      <c r="T413" s="268">
        <v>1</v>
      </c>
      <c r="U413" s="268" t="s">
        <v>4880</v>
      </c>
      <c r="V413" s="269">
        <v>2</v>
      </c>
      <c r="W413" s="269"/>
      <c r="X413" s="268" t="s">
        <v>4881</v>
      </c>
      <c r="Y413" t="s">
        <v>6563</v>
      </c>
      <c r="Z413" t="s">
        <v>6564</v>
      </c>
      <c r="AA413" s="268" t="s">
        <v>4884</v>
      </c>
      <c r="AB413" s="268"/>
      <c r="AC413" s="287">
        <v>1</v>
      </c>
      <c r="AD413" s="287">
        <v>1</v>
      </c>
      <c r="AE413" s="268"/>
      <c r="AF413" s="268"/>
      <c r="AG413" s="290"/>
    </row>
    <row r="414" spans="1:33" s="145" customFormat="1" x14ac:dyDescent="0.15">
      <c r="A414" s="267">
        <v>95201093</v>
      </c>
      <c r="B414" t="s">
        <v>6562</v>
      </c>
      <c r="C414" s="268" t="s">
        <v>6316</v>
      </c>
      <c r="D414" s="293">
        <v>7906</v>
      </c>
      <c r="E414" s="268" t="s">
        <v>4876</v>
      </c>
      <c r="F414" s="268" t="s">
        <v>4877</v>
      </c>
      <c r="G414" s="269">
        <v>3</v>
      </c>
      <c r="H414" s="269">
        <v>0</v>
      </c>
      <c r="I414" s="267">
        <v>34</v>
      </c>
      <c r="J414" s="268" t="s">
        <v>5213</v>
      </c>
      <c r="K414" s="295" t="s">
        <v>5214</v>
      </c>
      <c r="L414" s="295"/>
      <c r="M414" s="268">
        <v>1</v>
      </c>
      <c r="N414" s="268" t="b">
        <v>1</v>
      </c>
      <c r="O414" s="268">
        <v>700</v>
      </c>
      <c r="P414" s="281">
        <v>10500</v>
      </c>
      <c r="Q414" s="281">
        <v>14000</v>
      </c>
      <c r="R414" s="268" t="s">
        <v>3383</v>
      </c>
      <c r="S414" s="268"/>
      <c r="T414" s="268">
        <v>1</v>
      </c>
      <c r="U414" s="268" t="s">
        <v>4880</v>
      </c>
      <c r="V414" s="269">
        <v>3</v>
      </c>
      <c r="W414" s="269"/>
      <c r="X414" s="268" t="s">
        <v>4881</v>
      </c>
      <c r="Y414" t="s">
        <v>6563</v>
      </c>
      <c r="Z414" t="s">
        <v>6564</v>
      </c>
      <c r="AA414" s="268" t="s">
        <v>4884</v>
      </c>
      <c r="AB414" s="268"/>
      <c r="AC414" s="287">
        <v>1</v>
      </c>
      <c r="AD414" s="287">
        <v>1</v>
      </c>
      <c r="AE414" s="268"/>
      <c r="AF414" s="268"/>
      <c r="AG414" s="290"/>
    </row>
    <row r="415" spans="1:33" s="145" customFormat="1" x14ac:dyDescent="0.15">
      <c r="A415" s="267">
        <v>95201094</v>
      </c>
      <c r="B415" t="s">
        <v>6562</v>
      </c>
      <c r="C415" s="268" t="s">
        <v>6316</v>
      </c>
      <c r="D415" s="293">
        <v>7906</v>
      </c>
      <c r="E415" s="268" t="s">
        <v>4876</v>
      </c>
      <c r="F415" s="268" t="s">
        <v>4877</v>
      </c>
      <c r="G415" s="269">
        <v>4</v>
      </c>
      <c r="H415" s="269">
        <v>0</v>
      </c>
      <c r="I415" s="267">
        <v>34</v>
      </c>
      <c r="J415" s="268" t="s">
        <v>5213</v>
      </c>
      <c r="K415" s="295" t="s">
        <v>5214</v>
      </c>
      <c r="L415" s="295"/>
      <c r="M415" s="268">
        <v>1</v>
      </c>
      <c r="N415" s="268" t="b">
        <v>1</v>
      </c>
      <c r="O415" s="268">
        <v>1000</v>
      </c>
      <c r="P415" s="281">
        <v>15000</v>
      </c>
      <c r="Q415" s="281">
        <v>20000</v>
      </c>
      <c r="R415" s="268" t="s">
        <v>3383</v>
      </c>
      <c r="S415" s="268"/>
      <c r="T415" s="268">
        <v>1</v>
      </c>
      <c r="U415" s="268" t="s">
        <v>4880</v>
      </c>
      <c r="V415" s="269">
        <v>4</v>
      </c>
      <c r="W415" s="269"/>
      <c r="X415" s="268" t="s">
        <v>4881</v>
      </c>
      <c r="Y415" t="s">
        <v>6563</v>
      </c>
      <c r="Z415" t="s">
        <v>6564</v>
      </c>
      <c r="AA415" s="268" t="s">
        <v>4884</v>
      </c>
      <c r="AB415" s="268"/>
      <c r="AC415" s="287">
        <v>1</v>
      </c>
      <c r="AD415" s="287">
        <v>1</v>
      </c>
      <c r="AE415" s="268"/>
      <c r="AF415" s="268"/>
      <c r="AG415" s="290"/>
    </row>
    <row r="416" spans="1:33" s="145" customFormat="1" x14ac:dyDescent="0.15">
      <c r="A416" s="267">
        <v>95201095</v>
      </c>
      <c r="B416" t="s">
        <v>6562</v>
      </c>
      <c r="C416" s="268" t="s">
        <v>6316</v>
      </c>
      <c r="D416" s="293">
        <v>7906</v>
      </c>
      <c r="E416" s="268" t="s">
        <v>4876</v>
      </c>
      <c r="F416" s="268" t="s">
        <v>4877</v>
      </c>
      <c r="G416" s="269">
        <v>5</v>
      </c>
      <c r="H416" s="269">
        <v>0</v>
      </c>
      <c r="I416" s="267">
        <v>34</v>
      </c>
      <c r="J416" s="268" t="s">
        <v>5213</v>
      </c>
      <c r="K416" s="295" t="s">
        <v>5214</v>
      </c>
      <c r="L416" s="295"/>
      <c r="M416" s="268">
        <v>1</v>
      </c>
      <c r="N416" s="268" t="b">
        <v>1</v>
      </c>
      <c r="O416" s="268">
        <v>1200</v>
      </c>
      <c r="P416" s="281">
        <v>18000</v>
      </c>
      <c r="Q416" s="281">
        <v>24000</v>
      </c>
      <c r="R416" s="268" t="s">
        <v>3383</v>
      </c>
      <c r="S416" s="268"/>
      <c r="T416" s="268">
        <v>1</v>
      </c>
      <c r="U416" s="268" t="s">
        <v>4880</v>
      </c>
      <c r="V416" s="269">
        <v>5</v>
      </c>
      <c r="W416" s="269"/>
      <c r="X416" s="268" t="s">
        <v>4881</v>
      </c>
      <c r="Y416" t="s">
        <v>6563</v>
      </c>
      <c r="Z416" t="s">
        <v>6564</v>
      </c>
      <c r="AA416" s="268" t="s">
        <v>4884</v>
      </c>
      <c r="AB416" s="268"/>
      <c r="AC416" s="287">
        <v>1</v>
      </c>
      <c r="AD416" s="287">
        <v>1</v>
      </c>
      <c r="AE416" s="268"/>
      <c r="AF416" s="268"/>
      <c r="AG416" s="290"/>
    </row>
    <row r="417" spans="1:33" s="145" customFormat="1" x14ac:dyDescent="0.15">
      <c r="A417" s="270">
        <v>95201096</v>
      </c>
      <c r="B417" t="s">
        <v>6562</v>
      </c>
      <c r="C417" s="268" t="s">
        <v>6316</v>
      </c>
      <c r="D417" s="268">
        <v>7906</v>
      </c>
      <c r="E417" s="268" t="s">
        <v>4876</v>
      </c>
      <c r="F417" s="268" t="s">
        <v>4877</v>
      </c>
      <c r="G417" s="269">
        <v>7</v>
      </c>
      <c r="H417" s="269">
        <v>0</v>
      </c>
      <c r="I417" s="267">
        <v>34</v>
      </c>
      <c r="J417" s="282" t="s">
        <v>5213</v>
      </c>
      <c r="K417" s="279" t="s">
        <v>5214</v>
      </c>
      <c r="L417" s="279"/>
      <c r="M417" s="268">
        <v>1</v>
      </c>
      <c r="N417" s="268" t="b">
        <v>1</v>
      </c>
      <c r="O417" s="268">
        <v>2500</v>
      </c>
      <c r="P417" s="281">
        <v>37500</v>
      </c>
      <c r="Q417" s="281">
        <v>50000</v>
      </c>
      <c r="R417" s="268" t="s">
        <v>3383</v>
      </c>
      <c r="S417" s="268"/>
      <c r="T417" s="268">
        <v>1</v>
      </c>
      <c r="U417" s="268" t="s">
        <v>4880</v>
      </c>
      <c r="V417" s="269">
        <v>7</v>
      </c>
      <c r="W417" s="269"/>
      <c r="X417" s="268" t="s">
        <v>4881</v>
      </c>
      <c r="Y417" t="s">
        <v>6563</v>
      </c>
      <c r="Z417" t="s">
        <v>6564</v>
      </c>
      <c r="AA417" s="268" t="s">
        <v>4884</v>
      </c>
      <c r="AB417" s="268"/>
      <c r="AC417" s="287">
        <v>1</v>
      </c>
      <c r="AD417" s="287">
        <v>1</v>
      </c>
      <c r="AE417" s="268"/>
      <c r="AF417" s="268"/>
      <c r="AG417" s="290"/>
    </row>
    <row r="418" spans="1:33" s="145" customFormat="1" x14ac:dyDescent="0.15">
      <c r="A418" s="270">
        <v>95201097</v>
      </c>
      <c r="B418" t="s">
        <v>6562</v>
      </c>
      <c r="C418" s="268" t="s">
        <v>6316</v>
      </c>
      <c r="D418" s="268">
        <v>7906</v>
      </c>
      <c r="E418" s="268" t="s">
        <v>4876</v>
      </c>
      <c r="F418" s="268" t="s">
        <v>4877</v>
      </c>
      <c r="G418" s="269">
        <v>6</v>
      </c>
      <c r="H418" s="269">
        <v>0</v>
      </c>
      <c r="I418" s="267">
        <v>34</v>
      </c>
      <c r="J418" s="282" t="s">
        <v>5213</v>
      </c>
      <c r="K418" s="279" t="s">
        <v>5214</v>
      </c>
      <c r="L418" s="279"/>
      <c r="M418" s="268">
        <v>1</v>
      </c>
      <c r="N418" s="268" t="b">
        <v>1</v>
      </c>
      <c r="O418" s="268">
        <v>3800</v>
      </c>
      <c r="P418" s="281">
        <v>57000</v>
      </c>
      <c r="Q418" s="281">
        <v>76000</v>
      </c>
      <c r="R418" s="268" t="s">
        <v>3383</v>
      </c>
      <c r="S418" s="268"/>
      <c r="T418" s="268">
        <v>1</v>
      </c>
      <c r="U418" s="268" t="s">
        <v>4880</v>
      </c>
      <c r="V418" s="269">
        <v>6</v>
      </c>
      <c r="W418" s="269"/>
      <c r="X418" s="268" t="s">
        <v>4881</v>
      </c>
      <c r="Y418" t="s">
        <v>6563</v>
      </c>
      <c r="Z418" t="s">
        <v>6564</v>
      </c>
      <c r="AA418" s="268" t="s">
        <v>4884</v>
      </c>
      <c r="AB418" s="268"/>
      <c r="AC418" s="287">
        <v>1</v>
      </c>
      <c r="AD418" s="287">
        <v>1</v>
      </c>
      <c r="AE418" s="268"/>
      <c r="AF418" s="268"/>
      <c r="AG418" s="290"/>
    </row>
    <row r="419" spans="1:33" s="258" customFormat="1" x14ac:dyDescent="0.15">
      <c r="A419" s="271">
        <v>95201098</v>
      </c>
      <c r="B419" t="s">
        <v>6565</v>
      </c>
      <c r="C419" s="268" t="s">
        <v>6316</v>
      </c>
      <c r="D419" s="272">
        <v>5081</v>
      </c>
      <c r="E419" s="272" t="s">
        <v>4876</v>
      </c>
      <c r="F419" s="272" t="s">
        <v>4877</v>
      </c>
      <c r="G419" s="269">
        <v>6</v>
      </c>
      <c r="H419" s="273">
        <v>0</v>
      </c>
      <c r="I419" s="283">
        <v>34</v>
      </c>
      <c r="J419" s="284" t="s">
        <v>5213</v>
      </c>
      <c r="K419" s="285" t="s">
        <v>5214</v>
      </c>
      <c r="L419" s="272" t="s">
        <v>44</v>
      </c>
      <c r="M419" s="272">
        <v>1</v>
      </c>
      <c r="N419" s="272" t="b">
        <v>1</v>
      </c>
      <c r="O419" s="272">
        <v>51</v>
      </c>
      <c r="P419" s="281">
        <v>765</v>
      </c>
      <c r="Q419" s="281">
        <v>1020</v>
      </c>
      <c r="R419" s="272" t="s">
        <v>3383</v>
      </c>
      <c r="S419" s="272"/>
      <c r="T419" s="272">
        <v>1</v>
      </c>
      <c r="U419" s="272" t="s">
        <v>4880</v>
      </c>
      <c r="V419" s="273">
        <v>10</v>
      </c>
      <c r="W419" s="273"/>
      <c r="X419" s="272" t="s">
        <v>4881</v>
      </c>
      <c r="Y419" t="s">
        <v>6563</v>
      </c>
      <c r="Z419" t="s">
        <v>6564</v>
      </c>
      <c r="AA419" s="272" t="s">
        <v>4884</v>
      </c>
      <c r="AB419" s="272"/>
      <c r="AC419" s="289">
        <v>1</v>
      </c>
      <c r="AD419" s="289">
        <v>1</v>
      </c>
      <c r="AE419" s="289"/>
      <c r="AF419" s="272"/>
      <c r="AG419" s="272"/>
    </row>
    <row r="420" spans="1:33" s="258" customFormat="1" x14ac:dyDescent="0.15">
      <c r="A420" s="271">
        <v>95201099</v>
      </c>
      <c r="B420" t="s">
        <v>6566</v>
      </c>
      <c r="C420" s="268" t="s">
        <v>6316</v>
      </c>
      <c r="D420" s="272">
        <v>5081</v>
      </c>
      <c r="E420" s="272" t="s">
        <v>4876</v>
      </c>
      <c r="F420" s="272" t="s">
        <v>4877</v>
      </c>
      <c r="G420" s="269">
        <v>6</v>
      </c>
      <c r="H420" s="273">
        <v>0</v>
      </c>
      <c r="I420" s="283">
        <v>34</v>
      </c>
      <c r="J420" s="284" t="s">
        <v>5213</v>
      </c>
      <c r="K420" s="285" t="s">
        <v>5214</v>
      </c>
      <c r="L420" s="272" t="s">
        <v>4887</v>
      </c>
      <c r="M420" s="272">
        <v>1</v>
      </c>
      <c r="N420" s="272" t="b">
        <v>1</v>
      </c>
      <c r="O420" s="272">
        <v>64</v>
      </c>
      <c r="P420" s="281">
        <v>960</v>
      </c>
      <c r="Q420" s="281">
        <v>1280</v>
      </c>
      <c r="R420" s="272" t="s">
        <v>3383</v>
      </c>
      <c r="S420" s="272"/>
      <c r="T420" s="272">
        <v>1</v>
      </c>
      <c r="U420" s="272" t="s">
        <v>4880</v>
      </c>
      <c r="V420" s="273">
        <v>10</v>
      </c>
      <c r="W420" s="273"/>
      <c r="X420" s="272" t="s">
        <v>4881</v>
      </c>
      <c r="Y420" t="s">
        <v>6563</v>
      </c>
      <c r="Z420" t="s">
        <v>6564</v>
      </c>
      <c r="AA420" s="272" t="s">
        <v>4884</v>
      </c>
      <c r="AB420" s="272"/>
      <c r="AC420" s="289">
        <v>1</v>
      </c>
      <c r="AD420" s="289">
        <v>1</v>
      </c>
      <c r="AE420" s="289"/>
      <c r="AF420" s="272"/>
      <c r="AG420" s="272"/>
    </row>
    <row r="421" spans="1:33" s="258" customFormat="1" x14ac:dyDescent="0.15">
      <c r="A421" s="271">
        <v>95201100</v>
      </c>
      <c r="B421" t="s">
        <v>6567</v>
      </c>
      <c r="C421" s="268" t="s">
        <v>6316</v>
      </c>
      <c r="D421" s="272">
        <v>5081</v>
      </c>
      <c r="E421" s="272" t="s">
        <v>4876</v>
      </c>
      <c r="F421" s="272" t="s">
        <v>4877</v>
      </c>
      <c r="G421" s="269">
        <v>7</v>
      </c>
      <c r="H421" s="273">
        <v>0</v>
      </c>
      <c r="I421" s="283">
        <v>34</v>
      </c>
      <c r="J421" s="284" t="s">
        <v>5213</v>
      </c>
      <c r="K421" s="285" t="s">
        <v>5214</v>
      </c>
      <c r="L421" s="272" t="s">
        <v>4889</v>
      </c>
      <c r="M421" s="272">
        <v>1</v>
      </c>
      <c r="N421" s="272" t="b">
        <v>1</v>
      </c>
      <c r="O421" s="272">
        <v>77</v>
      </c>
      <c r="P421" s="281">
        <v>1155</v>
      </c>
      <c r="Q421" s="281">
        <v>1540</v>
      </c>
      <c r="R421" s="272" t="s">
        <v>3383</v>
      </c>
      <c r="S421" s="272"/>
      <c r="T421" s="272">
        <v>1</v>
      </c>
      <c r="U421" s="272" t="s">
        <v>4880</v>
      </c>
      <c r="V421" s="273">
        <v>10</v>
      </c>
      <c r="W421" s="273"/>
      <c r="X421" s="272" t="s">
        <v>4881</v>
      </c>
      <c r="Y421" t="s">
        <v>6563</v>
      </c>
      <c r="Z421" t="s">
        <v>6564</v>
      </c>
      <c r="AA421" s="272" t="s">
        <v>4884</v>
      </c>
      <c r="AB421" s="272"/>
      <c r="AC421" s="289">
        <v>1</v>
      </c>
      <c r="AD421" s="289">
        <v>1</v>
      </c>
      <c r="AE421" s="289"/>
      <c r="AF421" s="272"/>
      <c r="AG421" s="272"/>
    </row>
    <row r="422" spans="1:33" s="145" customFormat="1" x14ac:dyDescent="0.15">
      <c r="A422" s="267">
        <v>95201101</v>
      </c>
      <c r="B422" t="s">
        <v>6568</v>
      </c>
      <c r="C422" s="268" t="s">
        <v>6316</v>
      </c>
      <c r="D422" s="293">
        <v>7906</v>
      </c>
      <c r="E422" s="268" t="s">
        <v>4876</v>
      </c>
      <c r="F422" s="268" t="s">
        <v>4877</v>
      </c>
      <c r="G422" s="269">
        <v>1</v>
      </c>
      <c r="H422" s="269">
        <v>0</v>
      </c>
      <c r="I422" s="267">
        <v>34</v>
      </c>
      <c r="J422" s="268" t="s">
        <v>5221</v>
      </c>
      <c r="K422" s="295" t="s">
        <v>5222</v>
      </c>
      <c r="L422" s="295"/>
      <c r="M422" s="268">
        <v>1</v>
      </c>
      <c r="N422" s="268" t="b">
        <v>1</v>
      </c>
      <c r="O422" s="268">
        <v>2</v>
      </c>
      <c r="P422" s="281">
        <v>30</v>
      </c>
      <c r="Q422" s="281">
        <v>40</v>
      </c>
      <c r="R422" s="268" t="s">
        <v>3383</v>
      </c>
      <c r="S422" s="268"/>
      <c r="T422" s="268">
        <v>1</v>
      </c>
      <c r="U422" s="268" t="s">
        <v>4880</v>
      </c>
      <c r="V422" s="269">
        <v>1</v>
      </c>
      <c r="W422" s="269"/>
      <c r="X422" s="268" t="s">
        <v>4881</v>
      </c>
      <c r="Y422" t="s">
        <v>6569</v>
      </c>
      <c r="Z422" t="s">
        <v>6570</v>
      </c>
      <c r="AA422" s="268" t="s">
        <v>4884</v>
      </c>
      <c r="AB422" s="268"/>
      <c r="AC422" s="287">
        <v>1</v>
      </c>
      <c r="AD422" s="287">
        <v>1</v>
      </c>
      <c r="AE422" s="268"/>
      <c r="AF422" s="268"/>
      <c r="AG422" s="290"/>
    </row>
    <row r="423" spans="1:33" s="145" customFormat="1" x14ac:dyDescent="0.15">
      <c r="A423" s="267">
        <v>95201102</v>
      </c>
      <c r="B423" t="s">
        <v>6568</v>
      </c>
      <c r="C423" s="268" t="s">
        <v>6316</v>
      </c>
      <c r="D423" s="293">
        <v>7906</v>
      </c>
      <c r="E423" s="268" t="s">
        <v>4876</v>
      </c>
      <c r="F423" s="268" t="s">
        <v>4877</v>
      </c>
      <c r="G423" s="269">
        <v>2</v>
      </c>
      <c r="H423" s="269">
        <v>0</v>
      </c>
      <c r="I423" s="267">
        <v>34</v>
      </c>
      <c r="J423" s="268" t="s">
        <v>5221</v>
      </c>
      <c r="K423" s="295" t="s">
        <v>5222</v>
      </c>
      <c r="L423" s="295"/>
      <c r="M423" s="268">
        <v>1</v>
      </c>
      <c r="N423" s="268" t="b">
        <v>1</v>
      </c>
      <c r="O423" s="268">
        <v>5</v>
      </c>
      <c r="P423" s="281">
        <v>75</v>
      </c>
      <c r="Q423" s="281">
        <v>100</v>
      </c>
      <c r="R423" s="268" t="s">
        <v>3383</v>
      </c>
      <c r="S423" s="268"/>
      <c r="T423" s="268">
        <v>1</v>
      </c>
      <c r="U423" s="268" t="s">
        <v>4880</v>
      </c>
      <c r="V423" s="269">
        <v>2</v>
      </c>
      <c r="W423" s="269"/>
      <c r="X423" s="268" t="s">
        <v>4881</v>
      </c>
      <c r="Y423" t="s">
        <v>6569</v>
      </c>
      <c r="Z423" t="s">
        <v>6570</v>
      </c>
      <c r="AA423" s="268" t="s">
        <v>4884</v>
      </c>
      <c r="AB423" s="268"/>
      <c r="AC423" s="287">
        <v>1</v>
      </c>
      <c r="AD423" s="287">
        <v>1</v>
      </c>
      <c r="AE423" s="268"/>
      <c r="AF423" s="268"/>
      <c r="AG423" s="290"/>
    </row>
    <row r="424" spans="1:33" s="145" customFormat="1" x14ac:dyDescent="0.15">
      <c r="A424" s="267">
        <v>95201103</v>
      </c>
      <c r="B424" t="s">
        <v>6568</v>
      </c>
      <c r="C424" s="268" t="s">
        <v>6316</v>
      </c>
      <c r="D424" s="293">
        <v>7906</v>
      </c>
      <c r="E424" s="268" t="s">
        <v>4876</v>
      </c>
      <c r="F424" s="268" t="s">
        <v>4877</v>
      </c>
      <c r="G424" s="269">
        <v>3</v>
      </c>
      <c r="H424" s="269">
        <v>0</v>
      </c>
      <c r="I424" s="267">
        <v>34</v>
      </c>
      <c r="J424" s="268" t="s">
        <v>5221</v>
      </c>
      <c r="K424" s="295" t="s">
        <v>5222</v>
      </c>
      <c r="L424" s="295"/>
      <c r="M424" s="268">
        <v>1</v>
      </c>
      <c r="N424" s="268" t="b">
        <v>1</v>
      </c>
      <c r="O424" s="268">
        <v>7</v>
      </c>
      <c r="P424" s="281">
        <v>105</v>
      </c>
      <c r="Q424" s="281">
        <v>140</v>
      </c>
      <c r="R424" s="268" t="s">
        <v>3383</v>
      </c>
      <c r="S424" s="268"/>
      <c r="T424" s="268">
        <v>1</v>
      </c>
      <c r="U424" s="268" t="s">
        <v>4880</v>
      </c>
      <c r="V424" s="269">
        <v>3</v>
      </c>
      <c r="W424" s="269"/>
      <c r="X424" s="268" t="s">
        <v>4881</v>
      </c>
      <c r="Y424" t="s">
        <v>6569</v>
      </c>
      <c r="Z424" t="s">
        <v>6570</v>
      </c>
      <c r="AA424" s="268" t="s">
        <v>4884</v>
      </c>
      <c r="AB424" s="268"/>
      <c r="AC424" s="287">
        <v>1</v>
      </c>
      <c r="AD424" s="287">
        <v>1</v>
      </c>
      <c r="AE424" s="268"/>
      <c r="AF424" s="268"/>
      <c r="AG424" s="290"/>
    </row>
    <row r="425" spans="1:33" s="145" customFormat="1" x14ac:dyDescent="0.15">
      <c r="A425" s="267">
        <v>95201104</v>
      </c>
      <c r="B425" t="s">
        <v>6568</v>
      </c>
      <c r="C425" s="268" t="s">
        <v>6316</v>
      </c>
      <c r="D425" s="293">
        <v>7906</v>
      </c>
      <c r="E425" s="268" t="s">
        <v>4876</v>
      </c>
      <c r="F425" s="268" t="s">
        <v>4877</v>
      </c>
      <c r="G425" s="269">
        <v>4</v>
      </c>
      <c r="H425" s="269">
        <v>0</v>
      </c>
      <c r="I425" s="267">
        <v>34</v>
      </c>
      <c r="J425" s="268" t="s">
        <v>5221</v>
      </c>
      <c r="K425" s="295" t="s">
        <v>5222</v>
      </c>
      <c r="L425" s="295"/>
      <c r="M425" s="268">
        <v>1</v>
      </c>
      <c r="N425" s="268" t="b">
        <v>1</v>
      </c>
      <c r="O425" s="268">
        <v>10</v>
      </c>
      <c r="P425" s="281">
        <v>150</v>
      </c>
      <c r="Q425" s="281">
        <v>200</v>
      </c>
      <c r="R425" s="268" t="s">
        <v>3383</v>
      </c>
      <c r="S425" s="268"/>
      <c r="T425" s="268">
        <v>1</v>
      </c>
      <c r="U425" s="268" t="s">
        <v>4880</v>
      </c>
      <c r="V425" s="269">
        <v>4</v>
      </c>
      <c r="W425" s="269"/>
      <c r="X425" s="268" t="s">
        <v>4881</v>
      </c>
      <c r="Y425" t="s">
        <v>6569</v>
      </c>
      <c r="Z425" t="s">
        <v>6570</v>
      </c>
      <c r="AA425" s="268" t="s">
        <v>4884</v>
      </c>
      <c r="AB425" s="268"/>
      <c r="AC425" s="287">
        <v>1</v>
      </c>
      <c r="AD425" s="287">
        <v>1</v>
      </c>
      <c r="AE425" s="268"/>
      <c r="AF425" s="268"/>
      <c r="AG425" s="290"/>
    </row>
    <row r="426" spans="1:33" s="145" customFormat="1" x14ac:dyDescent="0.15">
      <c r="A426" s="267">
        <v>95201105</v>
      </c>
      <c r="B426" t="s">
        <v>6568</v>
      </c>
      <c r="C426" s="268" t="s">
        <v>6316</v>
      </c>
      <c r="D426" s="293">
        <v>7906</v>
      </c>
      <c r="E426" s="268" t="s">
        <v>4876</v>
      </c>
      <c r="F426" s="268" t="s">
        <v>4877</v>
      </c>
      <c r="G426" s="269">
        <v>5</v>
      </c>
      <c r="H426" s="269">
        <v>0</v>
      </c>
      <c r="I426" s="267">
        <v>34</v>
      </c>
      <c r="J426" s="268" t="s">
        <v>5221</v>
      </c>
      <c r="K426" s="295" t="s">
        <v>5222</v>
      </c>
      <c r="L426" s="295"/>
      <c r="M426" s="268">
        <v>1</v>
      </c>
      <c r="N426" s="268" t="b">
        <v>1</v>
      </c>
      <c r="O426" s="268">
        <v>12</v>
      </c>
      <c r="P426" s="281">
        <v>180</v>
      </c>
      <c r="Q426" s="281">
        <v>240</v>
      </c>
      <c r="R426" s="268" t="s">
        <v>3383</v>
      </c>
      <c r="S426" s="268"/>
      <c r="T426" s="268">
        <v>1</v>
      </c>
      <c r="U426" s="268" t="s">
        <v>4880</v>
      </c>
      <c r="V426" s="269">
        <v>5</v>
      </c>
      <c r="W426" s="269"/>
      <c r="X426" s="268" t="s">
        <v>4881</v>
      </c>
      <c r="Y426" t="s">
        <v>6569</v>
      </c>
      <c r="Z426" t="s">
        <v>6570</v>
      </c>
      <c r="AA426" s="268" t="s">
        <v>4884</v>
      </c>
      <c r="AB426" s="268"/>
      <c r="AC426" s="287">
        <v>1</v>
      </c>
      <c r="AD426" s="287">
        <v>1</v>
      </c>
      <c r="AE426" s="268"/>
      <c r="AF426" s="268"/>
      <c r="AG426" s="290"/>
    </row>
    <row r="427" spans="1:33" s="145" customFormat="1" x14ac:dyDescent="0.15">
      <c r="A427" s="271">
        <v>95201106</v>
      </c>
      <c r="B427" t="s">
        <v>6568</v>
      </c>
      <c r="C427" s="268" t="s">
        <v>6316</v>
      </c>
      <c r="D427" s="272">
        <v>7906</v>
      </c>
      <c r="E427" s="272" t="s">
        <v>4876</v>
      </c>
      <c r="F427" s="272" t="s">
        <v>4877</v>
      </c>
      <c r="G427" s="294">
        <v>6</v>
      </c>
      <c r="H427" s="273">
        <v>0</v>
      </c>
      <c r="I427" s="283">
        <v>34</v>
      </c>
      <c r="J427" s="284" t="s">
        <v>5221</v>
      </c>
      <c r="K427" s="285" t="s">
        <v>5222</v>
      </c>
      <c r="L427" s="285"/>
      <c r="M427" s="272">
        <v>1</v>
      </c>
      <c r="N427" s="272" t="b">
        <v>1</v>
      </c>
      <c r="O427" s="272">
        <v>25</v>
      </c>
      <c r="P427" s="281">
        <v>375</v>
      </c>
      <c r="Q427" s="281">
        <v>500</v>
      </c>
      <c r="R427" s="272" t="s">
        <v>3383</v>
      </c>
      <c r="S427" s="272"/>
      <c r="T427" s="272">
        <v>1</v>
      </c>
      <c r="U427" s="272" t="s">
        <v>4880</v>
      </c>
      <c r="V427" s="273">
        <v>6</v>
      </c>
      <c r="W427" s="273"/>
      <c r="X427" s="272" t="s">
        <v>4881</v>
      </c>
      <c r="Y427" t="s">
        <v>6569</v>
      </c>
      <c r="Z427" t="s">
        <v>6570</v>
      </c>
      <c r="AA427" s="272" t="s">
        <v>4884</v>
      </c>
      <c r="AB427" s="272"/>
      <c r="AC427" s="289">
        <v>1</v>
      </c>
      <c r="AD427" s="289">
        <v>1</v>
      </c>
      <c r="AE427" s="272"/>
      <c r="AF427" s="272"/>
      <c r="AG427" s="296"/>
    </row>
    <row r="428" spans="1:33" s="145" customFormat="1" x14ac:dyDescent="0.15">
      <c r="A428" s="270">
        <v>95201107</v>
      </c>
      <c r="B428" t="s">
        <v>6568</v>
      </c>
      <c r="C428" s="268" t="s">
        <v>6316</v>
      </c>
      <c r="D428" s="268">
        <v>7906</v>
      </c>
      <c r="E428" s="268" t="s">
        <v>4876</v>
      </c>
      <c r="F428" s="268" t="s">
        <v>4877</v>
      </c>
      <c r="G428" s="269">
        <v>7</v>
      </c>
      <c r="H428" s="269">
        <v>0</v>
      </c>
      <c r="I428" s="267">
        <v>34</v>
      </c>
      <c r="J428" s="282" t="s">
        <v>5221</v>
      </c>
      <c r="K428" s="279" t="s">
        <v>5222</v>
      </c>
      <c r="L428" s="279"/>
      <c r="M428" s="268">
        <v>1</v>
      </c>
      <c r="N428" s="268" t="b">
        <v>1</v>
      </c>
      <c r="O428" s="268">
        <v>38</v>
      </c>
      <c r="P428" s="281">
        <v>570</v>
      </c>
      <c r="Q428" s="281">
        <v>760</v>
      </c>
      <c r="R428" s="268" t="s">
        <v>3383</v>
      </c>
      <c r="S428" s="268"/>
      <c r="T428" s="268">
        <v>1</v>
      </c>
      <c r="U428" s="268" t="s">
        <v>4880</v>
      </c>
      <c r="V428" s="269">
        <v>7</v>
      </c>
      <c r="W428" s="269"/>
      <c r="X428" s="268" t="s">
        <v>4881</v>
      </c>
      <c r="Y428" t="s">
        <v>6569</v>
      </c>
      <c r="Z428" t="s">
        <v>6570</v>
      </c>
      <c r="AA428" s="268" t="s">
        <v>4884</v>
      </c>
      <c r="AB428" s="268"/>
      <c r="AC428" s="287">
        <v>1</v>
      </c>
      <c r="AD428" s="287">
        <v>1</v>
      </c>
      <c r="AE428" s="268"/>
      <c r="AF428" s="268"/>
      <c r="AG428" s="290"/>
    </row>
    <row r="429" spans="1:33" s="258" customFormat="1" x14ac:dyDescent="0.15">
      <c r="A429" s="271">
        <v>95201108</v>
      </c>
      <c r="B429" t="s">
        <v>6571</v>
      </c>
      <c r="C429" s="268" t="s">
        <v>6316</v>
      </c>
      <c r="D429" s="272">
        <v>5081</v>
      </c>
      <c r="E429" s="272" t="s">
        <v>4876</v>
      </c>
      <c r="F429" s="272" t="s">
        <v>4877</v>
      </c>
      <c r="G429" s="269">
        <v>6</v>
      </c>
      <c r="H429" s="273">
        <v>1</v>
      </c>
      <c r="I429" s="283">
        <v>34</v>
      </c>
      <c r="J429" s="284" t="s">
        <v>5221</v>
      </c>
      <c r="K429" s="285" t="s">
        <v>5222</v>
      </c>
      <c r="L429" s="272" t="s">
        <v>44</v>
      </c>
      <c r="M429" s="272">
        <v>1</v>
      </c>
      <c r="N429" s="272" t="b">
        <v>1</v>
      </c>
      <c r="O429" s="272">
        <v>51</v>
      </c>
      <c r="P429" s="281">
        <v>765</v>
      </c>
      <c r="Q429" s="281">
        <v>1020</v>
      </c>
      <c r="R429" s="272" t="s">
        <v>3383</v>
      </c>
      <c r="S429" s="272"/>
      <c r="T429" s="272">
        <v>1</v>
      </c>
      <c r="U429" s="272" t="s">
        <v>4880</v>
      </c>
      <c r="V429" s="273">
        <v>10</v>
      </c>
      <c r="W429" s="273"/>
      <c r="X429" s="272" t="s">
        <v>4881</v>
      </c>
      <c r="Y429" t="s">
        <v>6569</v>
      </c>
      <c r="Z429" t="s">
        <v>6570</v>
      </c>
      <c r="AA429" s="272" t="s">
        <v>4884</v>
      </c>
      <c r="AB429" s="272"/>
      <c r="AC429" s="289">
        <v>1</v>
      </c>
      <c r="AD429" s="289">
        <v>1</v>
      </c>
      <c r="AE429" s="289"/>
      <c r="AF429" s="272"/>
      <c r="AG429" s="272"/>
    </row>
    <row r="430" spans="1:33" s="258" customFormat="1" x14ac:dyDescent="0.15">
      <c r="A430" s="271">
        <v>95201109</v>
      </c>
      <c r="B430" t="s">
        <v>6572</v>
      </c>
      <c r="C430" s="268" t="s">
        <v>6316</v>
      </c>
      <c r="D430" s="272">
        <v>5081</v>
      </c>
      <c r="E430" s="272" t="s">
        <v>4876</v>
      </c>
      <c r="F430" s="272" t="s">
        <v>4877</v>
      </c>
      <c r="G430" s="269">
        <v>6</v>
      </c>
      <c r="H430" s="273">
        <v>1</v>
      </c>
      <c r="I430" s="283">
        <v>34</v>
      </c>
      <c r="J430" s="284" t="s">
        <v>5221</v>
      </c>
      <c r="K430" s="285" t="s">
        <v>5222</v>
      </c>
      <c r="L430" s="272" t="s">
        <v>4887</v>
      </c>
      <c r="M430" s="272">
        <v>1</v>
      </c>
      <c r="N430" s="272" t="b">
        <v>1</v>
      </c>
      <c r="O430" s="272">
        <v>64</v>
      </c>
      <c r="P430" s="281">
        <v>960</v>
      </c>
      <c r="Q430" s="281">
        <v>1280</v>
      </c>
      <c r="R430" s="272" t="s">
        <v>3383</v>
      </c>
      <c r="S430" s="272"/>
      <c r="T430" s="272">
        <v>1</v>
      </c>
      <c r="U430" s="272" t="s">
        <v>4880</v>
      </c>
      <c r="V430" s="273">
        <v>10</v>
      </c>
      <c r="W430" s="273"/>
      <c r="X430" s="272" t="s">
        <v>4881</v>
      </c>
      <c r="Y430" t="s">
        <v>6569</v>
      </c>
      <c r="Z430" t="s">
        <v>6570</v>
      </c>
      <c r="AA430" s="272" t="s">
        <v>4884</v>
      </c>
      <c r="AB430" s="272"/>
      <c r="AC430" s="289">
        <v>1</v>
      </c>
      <c r="AD430" s="289">
        <v>1</v>
      </c>
      <c r="AE430" s="289"/>
      <c r="AF430" s="272"/>
      <c r="AG430" s="272"/>
    </row>
    <row r="431" spans="1:33" s="258" customFormat="1" x14ac:dyDescent="0.15">
      <c r="A431" s="271">
        <v>95201110</v>
      </c>
      <c r="B431" t="s">
        <v>6573</v>
      </c>
      <c r="C431" s="268" t="s">
        <v>6316</v>
      </c>
      <c r="D431" s="272">
        <v>5081</v>
      </c>
      <c r="E431" s="272" t="s">
        <v>4876</v>
      </c>
      <c r="F431" s="272" t="s">
        <v>4877</v>
      </c>
      <c r="G431" s="269">
        <v>7</v>
      </c>
      <c r="H431" s="273">
        <v>0</v>
      </c>
      <c r="I431" s="283">
        <v>34</v>
      </c>
      <c r="J431" s="284" t="s">
        <v>5221</v>
      </c>
      <c r="K431" s="285" t="s">
        <v>5222</v>
      </c>
      <c r="L431" s="272" t="s">
        <v>4889</v>
      </c>
      <c r="M431" s="272">
        <v>1</v>
      </c>
      <c r="N431" s="272" t="b">
        <v>1</v>
      </c>
      <c r="O431" s="272">
        <v>77</v>
      </c>
      <c r="P431" s="281">
        <v>1155</v>
      </c>
      <c r="Q431" s="281">
        <v>1540</v>
      </c>
      <c r="R431" s="272" t="s">
        <v>3383</v>
      </c>
      <c r="S431" s="272"/>
      <c r="T431" s="272">
        <v>1</v>
      </c>
      <c r="U431" s="272" t="s">
        <v>4880</v>
      </c>
      <c r="V431" s="273">
        <v>10</v>
      </c>
      <c r="W431" s="273"/>
      <c r="X431" s="272" t="s">
        <v>4881</v>
      </c>
      <c r="Y431" t="s">
        <v>6569</v>
      </c>
      <c r="Z431" t="s">
        <v>6570</v>
      </c>
      <c r="AA431" s="272" t="s">
        <v>4884</v>
      </c>
      <c r="AB431" s="272"/>
      <c r="AC431" s="289">
        <v>1</v>
      </c>
      <c r="AD431" s="289">
        <v>1</v>
      </c>
      <c r="AE431" s="289"/>
      <c r="AF431" s="272"/>
      <c r="AG431" s="272"/>
    </row>
    <row r="432" spans="1:33" s="145" customFormat="1" x14ac:dyDescent="0.15">
      <c r="A432" s="267">
        <v>95201111</v>
      </c>
      <c r="B432" t="s">
        <v>6574</v>
      </c>
      <c r="C432" s="268" t="s">
        <v>6316</v>
      </c>
      <c r="D432" s="293">
        <v>7906</v>
      </c>
      <c r="E432" s="268" t="s">
        <v>4876</v>
      </c>
      <c r="F432" s="268" t="s">
        <v>4877</v>
      </c>
      <c r="G432" s="269">
        <v>1</v>
      </c>
      <c r="H432" s="269">
        <v>0</v>
      </c>
      <c r="I432" s="267">
        <v>34</v>
      </c>
      <c r="J432" s="268" t="s">
        <v>5229</v>
      </c>
      <c r="K432" s="295" t="s">
        <v>5230</v>
      </c>
      <c r="L432" s="295"/>
      <c r="M432" s="268">
        <v>1</v>
      </c>
      <c r="N432" s="268" t="b">
        <v>1</v>
      </c>
      <c r="O432" s="268">
        <v>2</v>
      </c>
      <c r="P432" s="281">
        <v>30</v>
      </c>
      <c r="Q432" s="281">
        <v>40</v>
      </c>
      <c r="R432" s="268" t="s">
        <v>3383</v>
      </c>
      <c r="S432" s="268"/>
      <c r="T432" s="268">
        <v>1</v>
      </c>
      <c r="U432" s="268" t="s">
        <v>4880</v>
      </c>
      <c r="V432" s="269">
        <v>1</v>
      </c>
      <c r="W432" s="269"/>
      <c r="X432" s="268" t="s">
        <v>4881</v>
      </c>
      <c r="Y432" t="s">
        <v>6575</v>
      </c>
      <c r="Z432" t="s">
        <v>6576</v>
      </c>
      <c r="AA432" s="268" t="s">
        <v>4884</v>
      </c>
      <c r="AB432" s="268"/>
      <c r="AC432" s="287">
        <v>1</v>
      </c>
      <c r="AD432" s="287">
        <v>1</v>
      </c>
      <c r="AE432" s="268"/>
      <c r="AF432" s="268"/>
      <c r="AG432" s="290"/>
    </row>
    <row r="433" spans="1:33" s="145" customFormat="1" x14ac:dyDescent="0.15">
      <c r="A433" s="267">
        <v>95201112</v>
      </c>
      <c r="B433" t="s">
        <v>6574</v>
      </c>
      <c r="C433" s="268" t="s">
        <v>6316</v>
      </c>
      <c r="D433" s="293">
        <v>7906</v>
      </c>
      <c r="E433" s="268" t="s">
        <v>4876</v>
      </c>
      <c r="F433" s="268" t="s">
        <v>4877</v>
      </c>
      <c r="G433" s="269">
        <v>2</v>
      </c>
      <c r="H433" s="269">
        <v>0</v>
      </c>
      <c r="I433" s="267">
        <v>34</v>
      </c>
      <c r="J433" s="268" t="s">
        <v>5229</v>
      </c>
      <c r="K433" s="295" t="s">
        <v>5230</v>
      </c>
      <c r="L433" s="295"/>
      <c r="M433" s="268">
        <v>1</v>
      </c>
      <c r="N433" s="268" t="b">
        <v>1</v>
      </c>
      <c r="O433" s="268">
        <v>5</v>
      </c>
      <c r="P433" s="281">
        <v>75</v>
      </c>
      <c r="Q433" s="281">
        <v>100</v>
      </c>
      <c r="R433" s="268" t="s">
        <v>3383</v>
      </c>
      <c r="S433" s="268"/>
      <c r="T433" s="268">
        <v>1</v>
      </c>
      <c r="U433" s="268" t="s">
        <v>4880</v>
      </c>
      <c r="V433" s="269">
        <v>2</v>
      </c>
      <c r="W433" s="269"/>
      <c r="X433" s="268" t="s">
        <v>4881</v>
      </c>
      <c r="Y433" t="s">
        <v>6575</v>
      </c>
      <c r="Z433" t="s">
        <v>6576</v>
      </c>
      <c r="AA433" s="268" t="s">
        <v>4884</v>
      </c>
      <c r="AB433" s="268"/>
      <c r="AC433" s="287">
        <v>1</v>
      </c>
      <c r="AD433" s="287">
        <v>1</v>
      </c>
      <c r="AE433" s="268"/>
      <c r="AF433" s="268"/>
      <c r="AG433" s="290"/>
    </row>
    <row r="434" spans="1:33" s="145" customFormat="1" x14ac:dyDescent="0.15">
      <c r="A434" s="267">
        <v>95201113</v>
      </c>
      <c r="B434" t="s">
        <v>6574</v>
      </c>
      <c r="C434" s="268" t="s">
        <v>6316</v>
      </c>
      <c r="D434" s="293">
        <v>7906</v>
      </c>
      <c r="E434" s="268" t="s">
        <v>4876</v>
      </c>
      <c r="F434" s="268" t="s">
        <v>4877</v>
      </c>
      <c r="G434" s="269">
        <v>3</v>
      </c>
      <c r="H434" s="269">
        <v>0</v>
      </c>
      <c r="I434" s="267">
        <v>34</v>
      </c>
      <c r="J434" s="268" t="s">
        <v>5229</v>
      </c>
      <c r="K434" s="295" t="s">
        <v>5230</v>
      </c>
      <c r="L434" s="295"/>
      <c r="M434" s="268">
        <v>1</v>
      </c>
      <c r="N434" s="268" t="b">
        <v>1</v>
      </c>
      <c r="O434" s="268">
        <v>7</v>
      </c>
      <c r="P434" s="281">
        <v>105</v>
      </c>
      <c r="Q434" s="281">
        <v>140</v>
      </c>
      <c r="R434" s="268" t="s">
        <v>3383</v>
      </c>
      <c r="S434" s="268"/>
      <c r="T434" s="268">
        <v>1</v>
      </c>
      <c r="U434" s="268" t="s">
        <v>4880</v>
      </c>
      <c r="V434" s="269">
        <v>3</v>
      </c>
      <c r="W434" s="269"/>
      <c r="X434" s="268" t="s">
        <v>4881</v>
      </c>
      <c r="Y434" t="s">
        <v>6575</v>
      </c>
      <c r="Z434" t="s">
        <v>6576</v>
      </c>
      <c r="AA434" s="268" t="s">
        <v>4884</v>
      </c>
      <c r="AB434" s="268"/>
      <c r="AC434" s="287">
        <v>1</v>
      </c>
      <c r="AD434" s="287">
        <v>1</v>
      </c>
      <c r="AE434" s="268"/>
      <c r="AF434" s="268"/>
      <c r="AG434" s="290"/>
    </row>
    <row r="435" spans="1:33" s="145" customFormat="1" x14ac:dyDescent="0.15">
      <c r="A435" s="267">
        <v>95201114</v>
      </c>
      <c r="B435" t="s">
        <v>6574</v>
      </c>
      <c r="C435" s="268" t="s">
        <v>6316</v>
      </c>
      <c r="D435" s="293">
        <v>7906</v>
      </c>
      <c r="E435" s="268" t="s">
        <v>4876</v>
      </c>
      <c r="F435" s="268" t="s">
        <v>4877</v>
      </c>
      <c r="G435" s="269">
        <v>4</v>
      </c>
      <c r="H435" s="269">
        <v>0</v>
      </c>
      <c r="I435" s="267">
        <v>34</v>
      </c>
      <c r="J435" s="268" t="s">
        <v>5229</v>
      </c>
      <c r="K435" s="295" t="s">
        <v>5230</v>
      </c>
      <c r="L435" s="295"/>
      <c r="M435" s="268">
        <v>1</v>
      </c>
      <c r="N435" s="268" t="b">
        <v>1</v>
      </c>
      <c r="O435" s="268">
        <v>10</v>
      </c>
      <c r="P435" s="281">
        <v>150</v>
      </c>
      <c r="Q435" s="281">
        <v>200</v>
      </c>
      <c r="R435" s="268" t="s">
        <v>3383</v>
      </c>
      <c r="S435" s="268"/>
      <c r="T435" s="268">
        <v>1</v>
      </c>
      <c r="U435" s="268" t="s">
        <v>4880</v>
      </c>
      <c r="V435" s="269">
        <v>4</v>
      </c>
      <c r="W435" s="269"/>
      <c r="X435" s="268" t="s">
        <v>4881</v>
      </c>
      <c r="Y435" t="s">
        <v>6575</v>
      </c>
      <c r="Z435" t="s">
        <v>6576</v>
      </c>
      <c r="AA435" s="268" t="s">
        <v>4884</v>
      </c>
      <c r="AB435" s="268"/>
      <c r="AC435" s="287">
        <v>1</v>
      </c>
      <c r="AD435" s="287">
        <v>1</v>
      </c>
      <c r="AE435" s="268"/>
      <c r="AF435" s="268"/>
      <c r="AG435" s="290"/>
    </row>
    <row r="436" spans="1:33" s="145" customFormat="1" x14ac:dyDescent="0.15">
      <c r="A436" s="267">
        <v>95201115</v>
      </c>
      <c r="B436" t="s">
        <v>6574</v>
      </c>
      <c r="C436" s="268" t="s">
        <v>6316</v>
      </c>
      <c r="D436" s="293">
        <v>7906</v>
      </c>
      <c r="E436" s="268" t="s">
        <v>4876</v>
      </c>
      <c r="F436" s="268" t="s">
        <v>4877</v>
      </c>
      <c r="G436" s="269">
        <v>5</v>
      </c>
      <c r="H436" s="269">
        <v>0</v>
      </c>
      <c r="I436" s="267">
        <v>34</v>
      </c>
      <c r="J436" s="268" t="s">
        <v>5229</v>
      </c>
      <c r="K436" s="295" t="s">
        <v>5230</v>
      </c>
      <c r="L436" s="295"/>
      <c r="M436" s="268">
        <v>1</v>
      </c>
      <c r="N436" s="268" t="b">
        <v>1</v>
      </c>
      <c r="O436" s="268">
        <v>12</v>
      </c>
      <c r="P436" s="281">
        <v>180</v>
      </c>
      <c r="Q436" s="281">
        <v>240</v>
      </c>
      <c r="R436" s="268" t="s">
        <v>3383</v>
      </c>
      <c r="S436" s="268"/>
      <c r="T436" s="268">
        <v>1</v>
      </c>
      <c r="U436" s="268" t="s">
        <v>4880</v>
      </c>
      <c r="V436" s="269">
        <v>5</v>
      </c>
      <c r="W436" s="269"/>
      <c r="X436" s="268" t="s">
        <v>4881</v>
      </c>
      <c r="Y436" t="s">
        <v>6575</v>
      </c>
      <c r="Z436" t="s">
        <v>6576</v>
      </c>
      <c r="AA436" s="268" t="s">
        <v>4884</v>
      </c>
      <c r="AB436" s="268"/>
      <c r="AC436" s="287">
        <v>1</v>
      </c>
      <c r="AD436" s="287">
        <v>1</v>
      </c>
      <c r="AE436" s="268"/>
      <c r="AF436" s="268"/>
      <c r="AG436" s="290"/>
    </row>
    <row r="437" spans="1:33" s="145" customFormat="1" x14ac:dyDescent="0.15">
      <c r="A437" s="271">
        <v>95201116</v>
      </c>
      <c r="B437" t="s">
        <v>6574</v>
      </c>
      <c r="C437" s="268" t="s">
        <v>6316</v>
      </c>
      <c r="D437" s="272">
        <v>7906</v>
      </c>
      <c r="E437" s="272" t="s">
        <v>4876</v>
      </c>
      <c r="F437" s="272" t="s">
        <v>4877</v>
      </c>
      <c r="G437" s="294">
        <v>6</v>
      </c>
      <c r="H437" s="273">
        <v>0</v>
      </c>
      <c r="I437" s="283">
        <v>34</v>
      </c>
      <c r="J437" s="284" t="s">
        <v>5229</v>
      </c>
      <c r="K437" s="285" t="s">
        <v>5230</v>
      </c>
      <c r="L437" s="285"/>
      <c r="M437" s="272">
        <v>1</v>
      </c>
      <c r="N437" s="272" t="b">
        <v>1</v>
      </c>
      <c r="O437" s="272">
        <v>25</v>
      </c>
      <c r="P437" s="281">
        <v>375</v>
      </c>
      <c r="Q437" s="281">
        <v>500</v>
      </c>
      <c r="R437" s="272" t="s">
        <v>3383</v>
      </c>
      <c r="S437" s="272"/>
      <c r="T437" s="272">
        <v>1</v>
      </c>
      <c r="U437" s="272" t="s">
        <v>4880</v>
      </c>
      <c r="V437" s="273">
        <v>6</v>
      </c>
      <c r="W437" s="273"/>
      <c r="X437" s="272" t="s">
        <v>4881</v>
      </c>
      <c r="Y437" t="s">
        <v>6575</v>
      </c>
      <c r="Z437" t="s">
        <v>6576</v>
      </c>
      <c r="AA437" s="272" t="s">
        <v>4884</v>
      </c>
      <c r="AB437" s="272"/>
      <c r="AC437" s="289">
        <v>1</v>
      </c>
      <c r="AD437" s="289">
        <v>1</v>
      </c>
      <c r="AE437" s="272"/>
      <c r="AF437" s="272"/>
      <c r="AG437" s="296"/>
    </row>
    <row r="438" spans="1:33" s="145" customFormat="1" x14ac:dyDescent="0.15">
      <c r="A438" s="270">
        <v>95201117</v>
      </c>
      <c r="B438" t="s">
        <v>6574</v>
      </c>
      <c r="C438" s="268" t="s">
        <v>6316</v>
      </c>
      <c r="D438" s="268">
        <v>7906</v>
      </c>
      <c r="E438" s="268" t="s">
        <v>4876</v>
      </c>
      <c r="F438" s="268" t="s">
        <v>4877</v>
      </c>
      <c r="G438" s="269">
        <v>7</v>
      </c>
      <c r="H438" s="269">
        <v>0</v>
      </c>
      <c r="I438" s="267">
        <v>34</v>
      </c>
      <c r="J438" s="282" t="s">
        <v>5229</v>
      </c>
      <c r="K438" s="279" t="s">
        <v>5230</v>
      </c>
      <c r="L438" s="279"/>
      <c r="M438" s="268">
        <v>1</v>
      </c>
      <c r="N438" s="268" t="b">
        <v>1</v>
      </c>
      <c r="O438" s="268">
        <v>38</v>
      </c>
      <c r="P438" s="281">
        <v>570</v>
      </c>
      <c r="Q438" s="281">
        <v>760</v>
      </c>
      <c r="R438" s="268" t="s">
        <v>3383</v>
      </c>
      <c r="S438" s="268"/>
      <c r="T438" s="268">
        <v>1</v>
      </c>
      <c r="U438" s="268" t="s">
        <v>4880</v>
      </c>
      <c r="V438" s="269">
        <v>7</v>
      </c>
      <c r="W438" s="269"/>
      <c r="X438" s="268" t="s">
        <v>4881</v>
      </c>
      <c r="Y438" t="s">
        <v>6575</v>
      </c>
      <c r="Z438" t="s">
        <v>6576</v>
      </c>
      <c r="AA438" s="268" t="s">
        <v>4884</v>
      </c>
      <c r="AB438" s="268"/>
      <c r="AC438" s="287">
        <v>1</v>
      </c>
      <c r="AD438" s="287">
        <v>1</v>
      </c>
      <c r="AE438" s="268"/>
      <c r="AF438" s="268"/>
      <c r="AG438" s="290"/>
    </row>
    <row r="439" spans="1:33" s="258" customFormat="1" x14ac:dyDescent="0.15">
      <c r="A439" s="271">
        <v>95201118</v>
      </c>
      <c r="B439" t="s">
        <v>6577</v>
      </c>
      <c r="C439" s="268" t="s">
        <v>6316</v>
      </c>
      <c r="D439" s="272">
        <v>5081</v>
      </c>
      <c r="E439" s="272" t="s">
        <v>4876</v>
      </c>
      <c r="F439" s="272" t="s">
        <v>4877</v>
      </c>
      <c r="G439" s="269">
        <v>6</v>
      </c>
      <c r="H439" s="273">
        <v>1</v>
      </c>
      <c r="I439" s="283">
        <v>34</v>
      </c>
      <c r="J439" s="284" t="s">
        <v>5229</v>
      </c>
      <c r="K439" s="285" t="s">
        <v>5230</v>
      </c>
      <c r="L439" s="272" t="s">
        <v>44</v>
      </c>
      <c r="M439" s="272">
        <v>1</v>
      </c>
      <c r="N439" s="272" t="b">
        <v>1</v>
      </c>
      <c r="O439" s="272">
        <v>51</v>
      </c>
      <c r="P439" s="281">
        <v>765</v>
      </c>
      <c r="Q439" s="281">
        <v>1020</v>
      </c>
      <c r="R439" s="272" t="s">
        <v>3383</v>
      </c>
      <c r="S439" s="272"/>
      <c r="T439" s="272">
        <v>1</v>
      </c>
      <c r="U439" s="272" t="s">
        <v>4880</v>
      </c>
      <c r="V439" s="273">
        <v>10</v>
      </c>
      <c r="W439" s="273"/>
      <c r="X439" s="272" t="s">
        <v>4881</v>
      </c>
      <c r="Y439" t="s">
        <v>6575</v>
      </c>
      <c r="Z439" t="s">
        <v>6576</v>
      </c>
      <c r="AA439" s="272" t="s">
        <v>4884</v>
      </c>
      <c r="AB439" s="272"/>
      <c r="AC439" s="289">
        <v>1</v>
      </c>
      <c r="AD439" s="289">
        <v>1</v>
      </c>
      <c r="AE439" s="289"/>
      <c r="AF439" s="272"/>
      <c r="AG439" s="272"/>
    </row>
    <row r="440" spans="1:33" s="258" customFormat="1" x14ac:dyDescent="0.15">
      <c r="A440" s="271">
        <v>95201119</v>
      </c>
      <c r="B440" t="s">
        <v>6578</v>
      </c>
      <c r="C440" s="268" t="s">
        <v>6316</v>
      </c>
      <c r="D440" s="272">
        <v>5081</v>
      </c>
      <c r="E440" s="272" t="s">
        <v>4876</v>
      </c>
      <c r="F440" s="272" t="s">
        <v>4877</v>
      </c>
      <c r="G440" s="269">
        <v>6</v>
      </c>
      <c r="H440" s="273">
        <v>1</v>
      </c>
      <c r="I440" s="283">
        <v>34</v>
      </c>
      <c r="J440" s="284" t="s">
        <v>5229</v>
      </c>
      <c r="K440" s="285" t="s">
        <v>5230</v>
      </c>
      <c r="L440" s="272" t="s">
        <v>4887</v>
      </c>
      <c r="M440" s="272">
        <v>1</v>
      </c>
      <c r="N440" s="272" t="b">
        <v>1</v>
      </c>
      <c r="O440" s="272">
        <v>64</v>
      </c>
      <c r="P440" s="281">
        <v>960</v>
      </c>
      <c r="Q440" s="281">
        <v>1280</v>
      </c>
      <c r="R440" s="272" t="s">
        <v>3383</v>
      </c>
      <c r="S440" s="272"/>
      <c r="T440" s="272">
        <v>1</v>
      </c>
      <c r="U440" s="272" t="s">
        <v>4880</v>
      </c>
      <c r="V440" s="273">
        <v>10</v>
      </c>
      <c r="W440" s="273"/>
      <c r="X440" s="272" t="s">
        <v>4881</v>
      </c>
      <c r="Y440" t="s">
        <v>6575</v>
      </c>
      <c r="Z440" t="s">
        <v>6576</v>
      </c>
      <c r="AA440" s="272" t="s">
        <v>4884</v>
      </c>
      <c r="AB440" s="272"/>
      <c r="AC440" s="289">
        <v>1</v>
      </c>
      <c r="AD440" s="289">
        <v>1</v>
      </c>
      <c r="AE440" s="289"/>
      <c r="AF440" s="272"/>
      <c r="AG440" s="272"/>
    </row>
    <row r="441" spans="1:33" s="258" customFormat="1" x14ac:dyDescent="0.15">
      <c r="A441" s="271">
        <v>95201120</v>
      </c>
      <c r="B441" t="s">
        <v>6579</v>
      </c>
      <c r="C441" s="268" t="s">
        <v>6316</v>
      </c>
      <c r="D441" s="272">
        <v>5081</v>
      </c>
      <c r="E441" s="272" t="s">
        <v>4876</v>
      </c>
      <c r="F441" s="272" t="s">
        <v>4877</v>
      </c>
      <c r="G441" s="269">
        <v>7</v>
      </c>
      <c r="H441" s="273">
        <v>0</v>
      </c>
      <c r="I441" s="283">
        <v>34</v>
      </c>
      <c r="J441" s="284" t="s">
        <v>5229</v>
      </c>
      <c r="K441" s="285" t="s">
        <v>5230</v>
      </c>
      <c r="L441" s="272" t="s">
        <v>4889</v>
      </c>
      <c r="M441" s="272">
        <v>1</v>
      </c>
      <c r="N441" s="272" t="b">
        <v>1</v>
      </c>
      <c r="O441" s="272">
        <v>77</v>
      </c>
      <c r="P441" s="281">
        <v>1155</v>
      </c>
      <c r="Q441" s="281">
        <v>1540</v>
      </c>
      <c r="R441" s="272" t="s">
        <v>3383</v>
      </c>
      <c r="S441" s="272"/>
      <c r="T441" s="272">
        <v>1</v>
      </c>
      <c r="U441" s="272" t="s">
        <v>4880</v>
      </c>
      <c r="V441" s="273">
        <v>10</v>
      </c>
      <c r="W441" s="273"/>
      <c r="X441" s="272" t="s">
        <v>4881</v>
      </c>
      <c r="Y441" t="s">
        <v>6575</v>
      </c>
      <c r="Z441" t="s">
        <v>6576</v>
      </c>
      <c r="AA441" s="272" t="s">
        <v>4884</v>
      </c>
      <c r="AB441" s="272"/>
      <c r="AC441" s="289">
        <v>1</v>
      </c>
      <c r="AD441" s="289">
        <v>1</v>
      </c>
      <c r="AE441" s="289"/>
      <c r="AF441" s="272"/>
      <c r="AG441" s="272"/>
    </row>
    <row r="442" spans="1:33" s="145" customFormat="1" x14ac:dyDescent="0.15">
      <c r="A442" s="267">
        <v>95201121</v>
      </c>
      <c r="B442" t="s">
        <v>6580</v>
      </c>
      <c r="C442" s="268" t="s">
        <v>6316</v>
      </c>
      <c r="D442" s="293">
        <v>7906</v>
      </c>
      <c r="E442" s="268" t="s">
        <v>4876</v>
      </c>
      <c r="F442" s="268" t="s">
        <v>4877</v>
      </c>
      <c r="G442" s="269">
        <v>1</v>
      </c>
      <c r="H442" s="269">
        <v>0</v>
      </c>
      <c r="I442" s="267">
        <v>34</v>
      </c>
      <c r="J442" s="268" t="s">
        <v>5237</v>
      </c>
      <c r="K442" s="295" t="s">
        <v>5238</v>
      </c>
      <c r="L442" s="295"/>
      <c r="M442" s="268">
        <v>1</v>
      </c>
      <c r="N442" s="268" t="b">
        <v>1</v>
      </c>
      <c r="O442" s="268">
        <v>200</v>
      </c>
      <c r="P442" s="281">
        <v>3000</v>
      </c>
      <c r="Q442" s="281">
        <v>4000</v>
      </c>
      <c r="R442" s="268" t="s">
        <v>3383</v>
      </c>
      <c r="S442" s="268"/>
      <c r="T442" s="268">
        <v>1</v>
      </c>
      <c r="U442" s="268" t="s">
        <v>4880</v>
      </c>
      <c r="V442" s="269">
        <v>1</v>
      </c>
      <c r="W442" s="269"/>
      <c r="X442" s="268" t="s">
        <v>4881</v>
      </c>
      <c r="Y442" t="s">
        <v>6581</v>
      </c>
      <c r="Z442" t="s">
        <v>6582</v>
      </c>
      <c r="AA442" s="268" t="s">
        <v>4884</v>
      </c>
      <c r="AB442" s="268"/>
      <c r="AC442" s="287">
        <v>1</v>
      </c>
      <c r="AD442" s="287">
        <v>1</v>
      </c>
      <c r="AE442" s="268"/>
      <c r="AF442" s="268"/>
      <c r="AG442" s="290"/>
    </row>
    <row r="443" spans="1:33" s="145" customFormat="1" x14ac:dyDescent="0.15">
      <c r="A443" s="267">
        <v>95201122</v>
      </c>
      <c r="B443" t="s">
        <v>6580</v>
      </c>
      <c r="C443" s="268" t="s">
        <v>6316</v>
      </c>
      <c r="D443" s="293">
        <v>7906</v>
      </c>
      <c r="E443" s="268" t="s">
        <v>4876</v>
      </c>
      <c r="F443" s="268" t="s">
        <v>4877</v>
      </c>
      <c r="G443" s="269">
        <v>2</v>
      </c>
      <c r="H443" s="269">
        <v>0</v>
      </c>
      <c r="I443" s="267">
        <v>34</v>
      </c>
      <c r="J443" s="268" t="s">
        <v>5237</v>
      </c>
      <c r="K443" s="295" t="s">
        <v>5238</v>
      </c>
      <c r="L443" s="295"/>
      <c r="M443" s="268">
        <v>1</v>
      </c>
      <c r="N443" s="268" t="b">
        <v>1</v>
      </c>
      <c r="O443" s="268">
        <v>500</v>
      </c>
      <c r="P443" s="281">
        <v>7500</v>
      </c>
      <c r="Q443" s="281">
        <v>10000</v>
      </c>
      <c r="R443" s="268" t="s">
        <v>3383</v>
      </c>
      <c r="S443" s="268"/>
      <c r="T443" s="268">
        <v>1</v>
      </c>
      <c r="U443" s="268" t="s">
        <v>4880</v>
      </c>
      <c r="V443" s="269">
        <v>2</v>
      </c>
      <c r="W443" s="269"/>
      <c r="X443" s="268" t="s">
        <v>4881</v>
      </c>
      <c r="Y443" t="s">
        <v>6581</v>
      </c>
      <c r="Z443" t="s">
        <v>6582</v>
      </c>
      <c r="AA443" s="268" t="s">
        <v>4884</v>
      </c>
      <c r="AB443" s="268"/>
      <c r="AC443" s="287">
        <v>1</v>
      </c>
      <c r="AD443" s="287">
        <v>1</v>
      </c>
      <c r="AE443" s="268"/>
      <c r="AF443" s="268"/>
      <c r="AG443" s="290"/>
    </row>
    <row r="444" spans="1:33" s="145" customFormat="1" x14ac:dyDescent="0.15">
      <c r="A444" s="267">
        <v>95201123</v>
      </c>
      <c r="B444" t="s">
        <v>6580</v>
      </c>
      <c r="C444" s="268" t="s">
        <v>6316</v>
      </c>
      <c r="D444" s="293">
        <v>7906</v>
      </c>
      <c r="E444" s="268" t="s">
        <v>4876</v>
      </c>
      <c r="F444" s="268" t="s">
        <v>4877</v>
      </c>
      <c r="G444" s="269">
        <v>3</v>
      </c>
      <c r="H444" s="269">
        <v>0</v>
      </c>
      <c r="I444" s="267">
        <v>34</v>
      </c>
      <c r="J444" s="268" t="s">
        <v>5237</v>
      </c>
      <c r="K444" s="295" t="s">
        <v>5238</v>
      </c>
      <c r="L444" s="295"/>
      <c r="M444" s="268">
        <v>1</v>
      </c>
      <c r="N444" s="268" t="b">
        <v>1</v>
      </c>
      <c r="O444" s="268">
        <v>700</v>
      </c>
      <c r="P444" s="281">
        <v>10500</v>
      </c>
      <c r="Q444" s="281">
        <v>14000</v>
      </c>
      <c r="R444" s="268" t="s">
        <v>3383</v>
      </c>
      <c r="S444" s="268"/>
      <c r="T444" s="268">
        <v>1</v>
      </c>
      <c r="U444" s="268" t="s">
        <v>4880</v>
      </c>
      <c r="V444" s="269">
        <v>3</v>
      </c>
      <c r="W444" s="269"/>
      <c r="X444" s="268" t="s">
        <v>4881</v>
      </c>
      <c r="Y444" t="s">
        <v>6581</v>
      </c>
      <c r="Z444" t="s">
        <v>6582</v>
      </c>
      <c r="AA444" s="268" t="s">
        <v>4884</v>
      </c>
      <c r="AB444" s="268"/>
      <c r="AC444" s="287">
        <v>1</v>
      </c>
      <c r="AD444" s="287">
        <v>1</v>
      </c>
      <c r="AE444" s="268"/>
      <c r="AF444" s="268"/>
      <c r="AG444" s="290"/>
    </row>
    <row r="445" spans="1:33" s="145" customFormat="1" x14ac:dyDescent="0.15">
      <c r="A445" s="267">
        <v>95201124</v>
      </c>
      <c r="B445" t="s">
        <v>6580</v>
      </c>
      <c r="C445" s="268" t="s">
        <v>6316</v>
      </c>
      <c r="D445" s="293">
        <v>7906</v>
      </c>
      <c r="E445" s="268" t="s">
        <v>4876</v>
      </c>
      <c r="F445" s="268" t="s">
        <v>4877</v>
      </c>
      <c r="G445" s="269">
        <v>4</v>
      </c>
      <c r="H445" s="269">
        <v>0</v>
      </c>
      <c r="I445" s="267">
        <v>34</v>
      </c>
      <c r="J445" s="268" t="s">
        <v>5237</v>
      </c>
      <c r="K445" s="295" t="s">
        <v>5238</v>
      </c>
      <c r="L445" s="295"/>
      <c r="M445" s="268">
        <v>1</v>
      </c>
      <c r="N445" s="268" t="b">
        <v>1</v>
      </c>
      <c r="O445" s="268">
        <v>1000</v>
      </c>
      <c r="P445" s="281">
        <v>15000</v>
      </c>
      <c r="Q445" s="281">
        <v>20000</v>
      </c>
      <c r="R445" s="268" t="s">
        <v>3383</v>
      </c>
      <c r="S445" s="268"/>
      <c r="T445" s="268">
        <v>1</v>
      </c>
      <c r="U445" s="268" t="s">
        <v>4880</v>
      </c>
      <c r="V445" s="269">
        <v>4</v>
      </c>
      <c r="W445" s="269"/>
      <c r="X445" s="268" t="s">
        <v>4881</v>
      </c>
      <c r="Y445" t="s">
        <v>6581</v>
      </c>
      <c r="Z445" t="s">
        <v>6582</v>
      </c>
      <c r="AA445" s="268" t="s">
        <v>4884</v>
      </c>
      <c r="AB445" s="268"/>
      <c r="AC445" s="287">
        <v>1</v>
      </c>
      <c r="AD445" s="287">
        <v>1</v>
      </c>
      <c r="AE445" s="268"/>
      <c r="AF445" s="268"/>
      <c r="AG445" s="290"/>
    </row>
    <row r="446" spans="1:33" s="145" customFormat="1" x14ac:dyDescent="0.15">
      <c r="A446" s="267">
        <v>95201125</v>
      </c>
      <c r="B446" t="s">
        <v>6580</v>
      </c>
      <c r="C446" s="268" t="s">
        <v>6316</v>
      </c>
      <c r="D446" s="293">
        <v>7906</v>
      </c>
      <c r="E446" s="268" t="s">
        <v>4876</v>
      </c>
      <c r="F446" s="268" t="s">
        <v>4877</v>
      </c>
      <c r="G446" s="269">
        <v>5</v>
      </c>
      <c r="H446" s="269">
        <v>0</v>
      </c>
      <c r="I446" s="267">
        <v>34</v>
      </c>
      <c r="J446" s="268" t="s">
        <v>5237</v>
      </c>
      <c r="K446" s="295" t="s">
        <v>5238</v>
      </c>
      <c r="L446" s="295"/>
      <c r="M446" s="268">
        <v>1</v>
      </c>
      <c r="N446" s="268" t="b">
        <v>1</v>
      </c>
      <c r="O446" s="268">
        <v>1200</v>
      </c>
      <c r="P446" s="281">
        <v>18000</v>
      </c>
      <c r="Q446" s="281">
        <v>24000</v>
      </c>
      <c r="R446" s="268" t="s">
        <v>3383</v>
      </c>
      <c r="S446" s="268"/>
      <c r="T446" s="268">
        <v>1</v>
      </c>
      <c r="U446" s="268" t="s">
        <v>4880</v>
      </c>
      <c r="V446" s="269">
        <v>5</v>
      </c>
      <c r="W446" s="269"/>
      <c r="X446" s="268" t="s">
        <v>4881</v>
      </c>
      <c r="Y446" t="s">
        <v>6581</v>
      </c>
      <c r="Z446" t="s">
        <v>6582</v>
      </c>
      <c r="AA446" s="268" t="s">
        <v>4884</v>
      </c>
      <c r="AB446" s="268"/>
      <c r="AC446" s="287">
        <v>1</v>
      </c>
      <c r="AD446" s="287">
        <v>1</v>
      </c>
      <c r="AE446" s="268"/>
      <c r="AF446" s="268"/>
      <c r="AG446" s="290"/>
    </row>
    <row r="447" spans="1:33" s="145" customFormat="1" x14ac:dyDescent="0.15">
      <c r="A447" s="270">
        <v>95201126</v>
      </c>
      <c r="B447" t="s">
        <v>6580</v>
      </c>
      <c r="C447" s="268" t="s">
        <v>6316</v>
      </c>
      <c r="D447" s="268">
        <v>7906</v>
      </c>
      <c r="E447" s="268" t="s">
        <v>4876</v>
      </c>
      <c r="F447" s="268" t="s">
        <v>4877</v>
      </c>
      <c r="G447" s="269">
        <v>7</v>
      </c>
      <c r="H447" s="269">
        <v>0</v>
      </c>
      <c r="I447" s="267">
        <v>34</v>
      </c>
      <c r="J447" s="282" t="s">
        <v>5237</v>
      </c>
      <c r="K447" s="279" t="s">
        <v>5238</v>
      </c>
      <c r="L447" s="279"/>
      <c r="M447" s="268">
        <v>1</v>
      </c>
      <c r="N447" s="268" t="b">
        <v>1</v>
      </c>
      <c r="O447" s="268">
        <v>2500</v>
      </c>
      <c r="P447" s="281">
        <v>37500</v>
      </c>
      <c r="Q447" s="281">
        <v>50000</v>
      </c>
      <c r="R447" s="268" t="s">
        <v>3383</v>
      </c>
      <c r="S447" s="268"/>
      <c r="T447" s="268">
        <v>1</v>
      </c>
      <c r="U447" s="268" t="s">
        <v>4880</v>
      </c>
      <c r="V447" s="269">
        <v>7</v>
      </c>
      <c r="W447" s="269"/>
      <c r="X447" s="268" t="s">
        <v>4881</v>
      </c>
      <c r="Y447" t="s">
        <v>6581</v>
      </c>
      <c r="Z447" t="s">
        <v>6582</v>
      </c>
      <c r="AA447" s="268" t="s">
        <v>4884</v>
      </c>
      <c r="AB447" s="268"/>
      <c r="AC447" s="287">
        <v>1</v>
      </c>
      <c r="AD447" s="287">
        <v>1</v>
      </c>
      <c r="AE447" s="268"/>
      <c r="AF447" s="268"/>
      <c r="AG447" s="290"/>
    </row>
    <row r="448" spans="1:33" s="145" customFormat="1" x14ac:dyDescent="0.15">
      <c r="A448" s="270">
        <v>95201127</v>
      </c>
      <c r="B448" t="s">
        <v>6580</v>
      </c>
      <c r="C448" s="268" t="s">
        <v>6316</v>
      </c>
      <c r="D448" s="268">
        <v>7906</v>
      </c>
      <c r="E448" s="268" t="s">
        <v>4876</v>
      </c>
      <c r="F448" s="268" t="s">
        <v>4877</v>
      </c>
      <c r="G448" s="269">
        <v>6</v>
      </c>
      <c r="H448" s="269">
        <v>0</v>
      </c>
      <c r="I448" s="267">
        <v>34</v>
      </c>
      <c r="J448" s="282" t="s">
        <v>5237</v>
      </c>
      <c r="K448" s="279" t="s">
        <v>5238</v>
      </c>
      <c r="L448" s="279"/>
      <c r="M448" s="268">
        <v>1</v>
      </c>
      <c r="N448" s="268" t="b">
        <v>1</v>
      </c>
      <c r="O448" s="268">
        <v>3800</v>
      </c>
      <c r="P448" s="281">
        <v>57000</v>
      </c>
      <c r="Q448" s="281">
        <v>76000</v>
      </c>
      <c r="R448" s="268" t="s">
        <v>3383</v>
      </c>
      <c r="S448" s="268"/>
      <c r="T448" s="268">
        <v>1</v>
      </c>
      <c r="U448" s="268" t="s">
        <v>4880</v>
      </c>
      <c r="V448" s="269">
        <v>6</v>
      </c>
      <c r="W448" s="269"/>
      <c r="X448" s="268" t="s">
        <v>4881</v>
      </c>
      <c r="Y448" t="s">
        <v>6581</v>
      </c>
      <c r="Z448" t="s">
        <v>6582</v>
      </c>
      <c r="AA448" s="268" t="s">
        <v>4884</v>
      </c>
      <c r="AB448" s="268"/>
      <c r="AC448" s="287">
        <v>1</v>
      </c>
      <c r="AD448" s="287">
        <v>1</v>
      </c>
      <c r="AE448" s="268"/>
      <c r="AF448" s="268"/>
      <c r="AG448" s="290"/>
    </row>
    <row r="449" spans="1:33" s="258" customFormat="1" x14ac:dyDescent="0.15">
      <c r="A449" s="271">
        <v>95201128</v>
      </c>
      <c r="B449" t="s">
        <v>6583</v>
      </c>
      <c r="C449" s="268" t="s">
        <v>6316</v>
      </c>
      <c r="D449" s="272">
        <v>5081</v>
      </c>
      <c r="E449" s="272" t="s">
        <v>4876</v>
      </c>
      <c r="F449" s="272" t="s">
        <v>4877</v>
      </c>
      <c r="G449" s="269">
        <v>6</v>
      </c>
      <c r="H449" s="273">
        <v>0</v>
      </c>
      <c r="I449" s="283">
        <v>34</v>
      </c>
      <c r="J449" s="284" t="s">
        <v>5237</v>
      </c>
      <c r="K449" s="285" t="s">
        <v>5238</v>
      </c>
      <c r="L449" s="272" t="s">
        <v>44</v>
      </c>
      <c r="M449" s="272">
        <v>1</v>
      </c>
      <c r="N449" s="272" t="b">
        <v>1</v>
      </c>
      <c r="O449" s="272">
        <v>51</v>
      </c>
      <c r="P449" s="281">
        <v>765</v>
      </c>
      <c r="Q449" s="281">
        <v>1020</v>
      </c>
      <c r="R449" s="272" t="s">
        <v>3383</v>
      </c>
      <c r="S449" s="272"/>
      <c r="T449" s="272">
        <v>1</v>
      </c>
      <c r="U449" s="272" t="s">
        <v>4880</v>
      </c>
      <c r="V449" s="273">
        <v>10</v>
      </c>
      <c r="W449" s="273"/>
      <c r="X449" s="272" t="s">
        <v>4881</v>
      </c>
      <c r="Y449" t="s">
        <v>6581</v>
      </c>
      <c r="Z449" t="s">
        <v>6582</v>
      </c>
      <c r="AA449" s="272" t="s">
        <v>4884</v>
      </c>
      <c r="AB449" s="272"/>
      <c r="AC449" s="289">
        <v>1</v>
      </c>
      <c r="AD449" s="289">
        <v>1</v>
      </c>
      <c r="AE449" s="289"/>
      <c r="AF449" s="272"/>
      <c r="AG449" s="272"/>
    </row>
    <row r="450" spans="1:33" s="258" customFormat="1" x14ac:dyDescent="0.15">
      <c r="A450" s="271">
        <v>95201129</v>
      </c>
      <c r="B450" t="s">
        <v>6584</v>
      </c>
      <c r="C450" s="268" t="s">
        <v>6316</v>
      </c>
      <c r="D450" s="272">
        <v>5081</v>
      </c>
      <c r="E450" s="272" t="s">
        <v>4876</v>
      </c>
      <c r="F450" s="272" t="s">
        <v>4877</v>
      </c>
      <c r="G450" s="269">
        <v>6</v>
      </c>
      <c r="H450" s="273">
        <v>0</v>
      </c>
      <c r="I450" s="283">
        <v>34</v>
      </c>
      <c r="J450" s="284" t="s">
        <v>5237</v>
      </c>
      <c r="K450" s="285" t="s">
        <v>5238</v>
      </c>
      <c r="L450" s="272" t="s">
        <v>4887</v>
      </c>
      <c r="M450" s="272">
        <v>1</v>
      </c>
      <c r="N450" s="272" t="b">
        <v>1</v>
      </c>
      <c r="O450" s="272">
        <v>64</v>
      </c>
      <c r="P450" s="281">
        <v>960</v>
      </c>
      <c r="Q450" s="281">
        <v>1280</v>
      </c>
      <c r="R450" s="272" t="s">
        <v>3383</v>
      </c>
      <c r="S450" s="272"/>
      <c r="T450" s="272">
        <v>1</v>
      </c>
      <c r="U450" s="272" t="s">
        <v>4880</v>
      </c>
      <c r="V450" s="273">
        <v>10</v>
      </c>
      <c r="W450" s="273"/>
      <c r="X450" s="272" t="s">
        <v>4881</v>
      </c>
      <c r="Y450" t="s">
        <v>6581</v>
      </c>
      <c r="Z450" t="s">
        <v>6582</v>
      </c>
      <c r="AA450" s="272" t="s">
        <v>4884</v>
      </c>
      <c r="AB450" s="272"/>
      <c r="AC450" s="289">
        <v>1</v>
      </c>
      <c r="AD450" s="289">
        <v>1</v>
      </c>
      <c r="AE450" s="289"/>
      <c r="AF450" s="272"/>
      <c r="AG450" s="272"/>
    </row>
    <row r="451" spans="1:33" s="258" customFormat="1" x14ac:dyDescent="0.15">
      <c r="A451" s="271">
        <v>95201130</v>
      </c>
      <c r="B451" t="s">
        <v>6585</v>
      </c>
      <c r="C451" s="268" t="s">
        <v>6316</v>
      </c>
      <c r="D451" s="272">
        <v>5081</v>
      </c>
      <c r="E451" s="272" t="s">
        <v>4876</v>
      </c>
      <c r="F451" s="272" t="s">
        <v>4877</v>
      </c>
      <c r="G451" s="269">
        <v>7</v>
      </c>
      <c r="H451" s="273">
        <v>0</v>
      </c>
      <c r="I451" s="283">
        <v>34</v>
      </c>
      <c r="J451" s="284" t="s">
        <v>5237</v>
      </c>
      <c r="K451" s="285" t="s">
        <v>5238</v>
      </c>
      <c r="L451" s="272" t="s">
        <v>4889</v>
      </c>
      <c r="M451" s="272">
        <v>1</v>
      </c>
      <c r="N451" s="272" t="b">
        <v>1</v>
      </c>
      <c r="O451" s="272">
        <v>77</v>
      </c>
      <c r="P451" s="281">
        <v>1155</v>
      </c>
      <c r="Q451" s="281">
        <v>1540</v>
      </c>
      <c r="R451" s="272" t="s">
        <v>3383</v>
      </c>
      <c r="S451" s="272"/>
      <c r="T451" s="272">
        <v>1</v>
      </c>
      <c r="U451" s="272" t="s">
        <v>4880</v>
      </c>
      <c r="V451" s="273">
        <v>10</v>
      </c>
      <c r="W451" s="273"/>
      <c r="X451" s="272" t="s">
        <v>4881</v>
      </c>
      <c r="Y451" t="s">
        <v>6581</v>
      </c>
      <c r="Z451" t="s">
        <v>6582</v>
      </c>
      <c r="AA451" s="272" t="s">
        <v>4884</v>
      </c>
      <c r="AB451" s="272"/>
      <c r="AC451" s="289">
        <v>1</v>
      </c>
      <c r="AD451" s="289">
        <v>1</v>
      </c>
      <c r="AE451" s="289"/>
      <c r="AF451" s="272"/>
      <c r="AG451" s="272"/>
    </row>
    <row r="452" spans="1:33" s="145" customFormat="1" x14ac:dyDescent="0.15">
      <c r="A452" s="267">
        <v>95201131</v>
      </c>
      <c r="B452" t="s">
        <v>6586</v>
      </c>
      <c r="C452" s="268" t="s">
        <v>6316</v>
      </c>
      <c r="D452" s="293">
        <v>7906</v>
      </c>
      <c r="E452" s="268" t="s">
        <v>4876</v>
      </c>
      <c r="F452" s="268" t="s">
        <v>4877</v>
      </c>
      <c r="G452" s="269">
        <v>1</v>
      </c>
      <c r="H452" s="269">
        <v>0</v>
      </c>
      <c r="I452" s="267">
        <v>34</v>
      </c>
      <c r="J452" s="268" t="s">
        <v>5245</v>
      </c>
      <c r="K452" s="295" t="s">
        <v>5246</v>
      </c>
      <c r="L452" s="295"/>
      <c r="M452" s="268">
        <v>1</v>
      </c>
      <c r="N452" s="268" t="b">
        <v>1</v>
      </c>
      <c r="O452" s="268">
        <v>200</v>
      </c>
      <c r="P452" s="281">
        <v>3000</v>
      </c>
      <c r="Q452" s="281">
        <v>4000</v>
      </c>
      <c r="R452" s="268" t="s">
        <v>3383</v>
      </c>
      <c r="S452" s="268"/>
      <c r="T452" s="268">
        <v>1</v>
      </c>
      <c r="U452" s="268" t="s">
        <v>4880</v>
      </c>
      <c r="V452" s="269">
        <v>1</v>
      </c>
      <c r="W452" s="269"/>
      <c r="X452" s="268" t="s">
        <v>4881</v>
      </c>
      <c r="Y452" t="s">
        <v>6587</v>
      </c>
      <c r="Z452" t="s">
        <v>6588</v>
      </c>
      <c r="AA452" s="268" t="s">
        <v>4884</v>
      </c>
      <c r="AB452" s="268"/>
      <c r="AC452" s="287">
        <v>1</v>
      </c>
      <c r="AD452" s="287">
        <v>1</v>
      </c>
      <c r="AE452" s="268"/>
      <c r="AF452" s="268"/>
      <c r="AG452" s="290"/>
    </row>
    <row r="453" spans="1:33" s="145" customFormat="1" x14ac:dyDescent="0.15">
      <c r="A453" s="267">
        <v>95201132</v>
      </c>
      <c r="B453" t="s">
        <v>6586</v>
      </c>
      <c r="C453" s="268" t="s">
        <v>6316</v>
      </c>
      <c r="D453" s="293">
        <v>7906</v>
      </c>
      <c r="E453" s="268" t="s">
        <v>4876</v>
      </c>
      <c r="F453" s="268" t="s">
        <v>4877</v>
      </c>
      <c r="G453" s="269">
        <v>2</v>
      </c>
      <c r="H453" s="269">
        <v>0</v>
      </c>
      <c r="I453" s="267">
        <v>34</v>
      </c>
      <c r="J453" s="268" t="s">
        <v>5245</v>
      </c>
      <c r="K453" s="295" t="s">
        <v>5246</v>
      </c>
      <c r="L453" s="295"/>
      <c r="M453" s="268">
        <v>1</v>
      </c>
      <c r="N453" s="268" t="b">
        <v>1</v>
      </c>
      <c r="O453" s="268">
        <v>500</v>
      </c>
      <c r="P453" s="281">
        <v>7500</v>
      </c>
      <c r="Q453" s="281">
        <v>10000</v>
      </c>
      <c r="R453" s="268" t="s">
        <v>3383</v>
      </c>
      <c r="S453" s="268"/>
      <c r="T453" s="268">
        <v>1</v>
      </c>
      <c r="U453" s="268" t="s">
        <v>4880</v>
      </c>
      <c r="V453" s="269">
        <v>2</v>
      </c>
      <c r="W453" s="269"/>
      <c r="X453" s="268" t="s">
        <v>4881</v>
      </c>
      <c r="Y453" t="s">
        <v>6587</v>
      </c>
      <c r="Z453" t="s">
        <v>6588</v>
      </c>
      <c r="AA453" s="268" t="s">
        <v>4884</v>
      </c>
      <c r="AB453" s="268"/>
      <c r="AC453" s="287">
        <v>1</v>
      </c>
      <c r="AD453" s="287">
        <v>1</v>
      </c>
      <c r="AE453" s="268"/>
      <c r="AF453" s="268"/>
      <c r="AG453" s="290"/>
    </row>
    <row r="454" spans="1:33" s="145" customFormat="1" x14ac:dyDescent="0.15">
      <c r="A454" s="267">
        <v>95201133</v>
      </c>
      <c r="B454" t="s">
        <v>6586</v>
      </c>
      <c r="C454" s="268" t="s">
        <v>6316</v>
      </c>
      <c r="D454" s="293">
        <v>7906</v>
      </c>
      <c r="E454" s="268" t="s">
        <v>4876</v>
      </c>
      <c r="F454" s="268" t="s">
        <v>4877</v>
      </c>
      <c r="G454" s="269">
        <v>3</v>
      </c>
      <c r="H454" s="269">
        <v>0</v>
      </c>
      <c r="I454" s="267">
        <v>34</v>
      </c>
      <c r="J454" s="268" t="s">
        <v>5245</v>
      </c>
      <c r="K454" s="295" t="s">
        <v>5246</v>
      </c>
      <c r="L454" s="295"/>
      <c r="M454" s="268">
        <v>1</v>
      </c>
      <c r="N454" s="268" t="b">
        <v>1</v>
      </c>
      <c r="O454" s="268">
        <v>700</v>
      </c>
      <c r="P454" s="281">
        <v>10500</v>
      </c>
      <c r="Q454" s="281">
        <v>14000</v>
      </c>
      <c r="R454" s="268" t="s">
        <v>3383</v>
      </c>
      <c r="S454" s="268"/>
      <c r="T454" s="268">
        <v>1</v>
      </c>
      <c r="U454" s="268" t="s">
        <v>4880</v>
      </c>
      <c r="V454" s="269">
        <v>3</v>
      </c>
      <c r="W454" s="269"/>
      <c r="X454" s="268" t="s">
        <v>4881</v>
      </c>
      <c r="Y454" t="s">
        <v>6587</v>
      </c>
      <c r="Z454" t="s">
        <v>6588</v>
      </c>
      <c r="AA454" s="268" t="s">
        <v>4884</v>
      </c>
      <c r="AB454" s="268"/>
      <c r="AC454" s="287">
        <v>1</v>
      </c>
      <c r="AD454" s="287">
        <v>1</v>
      </c>
      <c r="AE454" s="268"/>
      <c r="AF454" s="268"/>
      <c r="AG454" s="290"/>
    </row>
    <row r="455" spans="1:33" s="145" customFormat="1" x14ac:dyDescent="0.15">
      <c r="A455" s="267">
        <v>95201134</v>
      </c>
      <c r="B455" t="s">
        <v>6586</v>
      </c>
      <c r="C455" s="268" t="s">
        <v>6316</v>
      </c>
      <c r="D455" s="293">
        <v>7906</v>
      </c>
      <c r="E455" s="268" t="s">
        <v>4876</v>
      </c>
      <c r="F455" s="268" t="s">
        <v>4877</v>
      </c>
      <c r="G455" s="269">
        <v>4</v>
      </c>
      <c r="H455" s="269">
        <v>0</v>
      </c>
      <c r="I455" s="267">
        <v>34</v>
      </c>
      <c r="J455" s="268" t="s">
        <v>5245</v>
      </c>
      <c r="K455" s="295" t="s">
        <v>5246</v>
      </c>
      <c r="L455" s="295"/>
      <c r="M455" s="268">
        <v>1</v>
      </c>
      <c r="N455" s="268" t="b">
        <v>1</v>
      </c>
      <c r="O455" s="268">
        <v>1000</v>
      </c>
      <c r="P455" s="281">
        <v>15000</v>
      </c>
      <c r="Q455" s="281">
        <v>20000</v>
      </c>
      <c r="R455" s="268" t="s">
        <v>3383</v>
      </c>
      <c r="S455" s="268"/>
      <c r="T455" s="268">
        <v>1</v>
      </c>
      <c r="U455" s="268" t="s">
        <v>4880</v>
      </c>
      <c r="V455" s="269">
        <v>4</v>
      </c>
      <c r="W455" s="269"/>
      <c r="X455" s="268" t="s">
        <v>4881</v>
      </c>
      <c r="Y455" t="s">
        <v>6587</v>
      </c>
      <c r="Z455" t="s">
        <v>6588</v>
      </c>
      <c r="AA455" s="268" t="s">
        <v>4884</v>
      </c>
      <c r="AB455" s="268"/>
      <c r="AC455" s="287">
        <v>1</v>
      </c>
      <c r="AD455" s="287">
        <v>1</v>
      </c>
      <c r="AE455" s="268"/>
      <c r="AF455" s="268"/>
      <c r="AG455" s="290"/>
    </row>
    <row r="456" spans="1:33" s="145" customFormat="1" x14ac:dyDescent="0.15">
      <c r="A456" s="267">
        <v>95201135</v>
      </c>
      <c r="B456" t="s">
        <v>6586</v>
      </c>
      <c r="C456" s="268" t="s">
        <v>6316</v>
      </c>
      <c r="D456" s="293">
        <v>7906</v>
      </c>
      <c r="E456" s="268" t="s">
        <v>4876</v>
      </c>
      <c r="F456" s="268" t="s">
        <v>4877</v>
      </c>
      <c r="G456" s="269">
        <v>5</v>
      </c>
      <c r="H456" s="269">
        <v>0</v>
      </c>
      <c r="I456" s="267">
        <v>34</v>
      </c>
      <c r="J456" s="268" t="s">
        <v>5245</v>
      </c>
      <c r="K456" s="295" t="s">
        <v>5246</v>
      </c>
      <c r="L456" s="295"/>
      <c r="M456" s="268">
        <v>1</v>
      </c>
      <c r="N456" s="268" t="b">
        <v>1</v>
      </c>
      <c r="O456" s="268">
        <v>1200</v>
      </c>
      <c r="P456" s="281">
        <v>18000</v>
      </c>
      <c r="Q456" s="281">
        <v>24000</v>
      </c>
      <c r="R456" s="268" t="s">
        <v>3383</v>
      </c>
      <c r="S456" s="268"/>
      <c r="T456" s="268">
        <v>1</v>
      </c>
      <c r="U456" s="268" t="s">
        <v>4880</v>
      </c>
      <c r="V456" s="269">
        <v>5</v>
      </c>
      <c r="W456" s="269"/>
      <c r="X456" s="268" t="s">
        <v>4881</v>
      </c>
      <c r="Y456" t="s">
        <v>6587</v>
      </c>
      <c r="Z456" t="s">
        <v>6588</v>
      </c>
      <c r="AA456" s="268" t="s">
        <v>4884</v>
      </c>
      <c r="AB456" s="268"/>
      <c r="AC456" s="287">
        <v>1</v>
      </c>
      <c r="AD456" s="287">
        <v>1</v>
      </c>
      <c r="AE456" s="268"/>
      <c r="AF456" s="268"/>
      <c r="AG456" s="290"/>
    </row>
    <row r="457" spans="1:33" s="145" customFormat="1" x14ac:dyDescent="0.15">
      <c r="A457" s="270">
        <v>95201136</v>
      </c>
      <c r="B457" t="s">
        <v>6586</v>
      </c>
      <c r="C457" s="268" t="s">
        <v>6316</v>
      </c>
      <c r="D457" s="268">
        <v>7906</v>
      </c>
      <c r="E457" s="268" t="s">
        <v>4876</v>
      </c>
      <c r="F457" s="268" t="s">
        <v>4877</v>
      </c>
      <c r="G457" s="269">
        <v>7</v>
      </c>
      <c r="H457" s="269">
        <v>0</v>
      </c>
      <c r="I457" s="267">
        <v>34</v>
      </c>
      <c r="J457" s="282" t="s">
        <v>5245</v>
      </c>
      <c r="K457" s="279" t="s">
        <v>5246</v>
      </c>
      <c r="L457" s="279"/>
      <c r="M457" s="268">
        <v>1</v>
      </c>
      <c r="N457" s="268" t="b">
        <v>1</v>
      </c>
      <c r="O457" s="268">
        <v>2500</v>
      </c>
      <c r="P457" s="281">
        <v>37500</v>
      </c>
      <c r="Q457" s="281">
        <v>50000</v>
      </c>
      <c r="R457" s="268" t="s">
        <v>3383</v>
      </c>
      <c r="S457" s="268"/>
      <c r="T457" s="268">
        <v>1</v>
      </c>
      <c r="U457" s="268" t="s">
        <v>4880</v>
      </c>
      <c r="V457" s="269">
        <v>7</v>
      </c>
      <c r="W457" s="269"/>
      <c r="X457" s="268" t="s">
        <v>4881</v>
      </c>
      <c r="Y457" t="s">
        <v>6587</v>
      </c>
      <c r="Z457" t="s">
        <v>6588</v>
      </c>
      <c r="AA457" s="268" t="s">
        <v>4884</v>
      </c>
      <c r="AB457" s="268"/>
      <c r="AC457" s="287">
        <v>1</v>
      </c>
      <c r="AD457" s="287">
        <v>1</v>
      </c>
      <c r="AE457" s="268"/>
      <c r="AF457" s="268"/>
      <c r="AG457" s="290"/>
    </row>
    <row r="458" spans="1:33" s="145" customFormat="1" x14ac:dyDescent="0.15">
      <c r="A458" s="270">
        <v>95201137</v>
      </c>
      <c r="B458" t="s">
        <v>6586</v>
      </c>
      <c r="C458" s="268" t="s">
        <v>6316</v>
      </c>
      <c r="D458" s="268">
        <v>7906</v>
      </c>
      <c r="E458" s="268" t="s">
        <v>4876</v>
      </c>
      <c r="F458" s="268" t="s">
        <v>4877</v>
      </c>
      <c r="G458" s="269">
        <v>6</v>
      </c>
      <c r="H458" s="269">
        <v>0</v>
      </c>
      <c r="I458" s="267">
        <v>34</v>
      </c>
      <c r="J458" s="282" t="s">
        <v>5245</v>
      </c>
      <c r="K458" s="279" t="s">
        <v>5246</v>
      </c>
      <c r="L458" s="279"/>
      <c r="M458" s="268">
        <v>1</v>
      </c>
      <c r="N458" s="268" t="b">
        <v>1</v>
      </c>
      <c r="O458" s="268">
        <v>3800</v>
      </c>
      <c r="P458" s="281">
        <v>57000</v>
      </c>
      <c r="Q458" s="281">
        <v>76000</v>
      </c>
      <c r="R458" s="268" t="s">
        <v>3383</v>
      </c>
      <c r="S458" s="268"/>
      <c r="T458" s="268">
        <v>1</v>
      </c>
      <c r="U458" s="268" t="s">
        <v>4880</v>
      </c>
      <c r="V458" s="269">
        <v>6</v>
      </c>
      <c r="W458" s="269"/>
      <c r="X458" s="268" t="s">
        <v>4881</v>
      </c>
      <c r="Y458" t="s">
        <v>6587</v>
      </c>
      <c r="Z458" t="s">
        <v>6588</v>
      </c>
      <c r="AA458" s="268" t="s">
        <v>4884</v>
      </c>
      <c r="AB458" s="268"/>
      <c r="AC458" s="287">
        <v>1</v>
      </c>
      <c r="AD458" s="287">
        <v>1</v>
      </c>
      <c r="AE458" s="268"/>
      <c r="AF458" s="268"/>
      <c r="AG458" s="290"/>
    </row>
    <row r="459" spans="1:33" s="258" customFormat="1" x14ac:dyDescent="0.15">
      <c r="A459" s="271">
        <v>95201138</v>
      </c>
      <c r="B459" t="s">
        <v>6589</v>
      </c>
      <c r="C459" s="268" t="s">
        <v>6316</v>
      </c>
      <c r="D459" s="272">
        <v>5081</v>
      </c>
      <c r="E459" s="272" t="s">
        <v>4876</v>
      </c>
      <c r="F459" s="272" t="s">
        <v>4877</v>
      </c>
      <c r="G459" s="269">
        <v>6</v>
      </c>
      <c r="H459" s="273">
        <v>0</v>
      </c>
      <c r="I459" s="283">
        <v>34</v>
      </c>
      <c r="J459" s="284" t="s">
        <v>5245</v>
      </c>
      <c r="K459" s="285" t="s">
        <v>5246</v>
      </c>
      <c r="L459" s="272" t="s">
        <v>44</v>
      </c>
      <c r="M459" s="272">
        <v>1</v>
      </c>
      <c r="N459" s="272" t="b">
        <v>1</v>
      </c>
      <c r="O459" s="272">
        <v>51</v>
      </c>
      <c r="P459" s="281">
        <v>765</v>
      </c>
      <c r="Q459" s="281">
        <v>1020</v>
      </c>
      <c r="R459" s="272" t="s">
        <v>3383</v>
      </c>
      <c r="S459" s="272"/>
      <c r="T459" s="272">
        <v>1</v>
      </c>
      <c r="U459" s="272" t="s">
        <v>4880</v>
      </c>
      <c r="V459" s="273">
        <v>10</v>
      </c>
      <c r="W459" s="273"/>
      <c r="X459" s="272" t="s">
        <v>4881</v>
      </c>
      <c r="Y459" t="s">
        <v>6587</v>
      </c>
      <c r="Z459" t="s">
        <v>6588</v>
      </c>
      <c r="AA459" s="272" t="s">
        <v>4884</v>
      </c>
      <c r="AB459" s="272"/>
      <c r="AC459" s="289">
        <v>1</v>
      </c>
      <c r="AD459" s="289">
        <v>1</v>
      </c>
      <c r="AE459" s="289"/>
      <c r="AF459" s="272"/>
      <c r="AG459" s="272"/>
    </row>
    <row r="460" spans="1:33" s="258" customFormat="1" x14ac:dyDescent="0.15">
      <c r="A460" s="271">
        <v>95201139</v>
      </c>
      <c r="B460" t="s">
        <v>6590</v>
      </c>
      <c r="C460" s="268" t="s">
        <v>6316</v>
      </c>
      <c r="D460" s="272">
        <v>5081</v>
      </c>
      <c r="E460" s="272" t="s">
        <v>4876</v>
      </c>
      <c r="F460" s="272" t="s">
        <v>4877</v>
      </c>
      <c r="G460" s="269">
        <v>6</v>
      </c>
      <c r="H460" s="273">
        <v>0</v>
      </c>
      <c r="I460" s="283">
        <v>34</v>
      </c>
      <c r="J460" s="284" t="s">
        <v>5245</v>
      </c>
      <c r="K460" s="285" t="s">
        <v>5246</v>
      </c>
      <c r="L460" s="272" t="s">
        <v>4887</v>
      </c>
      <c r="M460" s="272">
        <v>1</v>
      </c>
      <c r="N460" s="272" t="b">
        <v>1</v>
      </c>
      <c r="O460" s="272">
        <v>64</v>
      </c>
      <c r="P460" s="281">
        <v>960</v>
      </c>
      <c r="Q460" s="281">
        <v>1280</v>
      </c>
      <c r="R460" s="272" t="s">
        <v>3383</v>
      </c>
      <c r="S460" s="272"/>
      <c r="T460" s="272">
        <v>1</v>
      </c>
      <c r="U460" s="272" t="s">
        <v>4880</v>
      </c>
      <c r="V460" s="273">
        <v>10</v>
      </c>
      <c r="W460" s="273"/>
      <c r="X460" s="272" t="s">
        <v>4881</v>
      </c>
      <c r="Y460" t="s">
        <v>6587</v>
      </c>
      <c r="Z460" t="s">
        <v>6588</v>
      </c>
      <c r="AA460" s="272" t="s">
        <v>4884</v>
      </c>
      <c r="AB460" s="272"/>
      <c r="AC460" s="289">
        <v>1</v>
      </c>
      <c r="AD460" s="289">
        <v>1</v>
      </c>
      <c r="AE460" s="289"/>
      <c r="AF460" s="272"/>
      <c r="AG460" s="272"/>
    </row>
    <row r="461" spans="1:33" s="258" customFormat="1" x14ac:dyDescent="0.15">
      <c r="A461" s="271">
        <v>95201140</v>
      </c>
      <c r="B461" t="s">
        <v>6591</v>
      </c>
      <c r="C461" s="268" t="s">
        <v>6316</v>
      </c>
      <c r="D461" s="272">
        <v>5081</v>
      </c>
      <c r="E461" s="272" t="s">
        <v>4876</v>
      </c>
      <c r="F461" s="272" t="s">
        <v>4877</v>
      </c>
      <c r="G461" s="269">
        <v>7</v>
      </c>
      <c r="H461" s="273">
        <v>0</v>
      </c>
      <c r="I461" s="283">
        <v>34</v>
      </c>
      <c r="J461" s="284" t="s">
        <v>5245</v>
      </c>
      <c r="K461" s="285" t="s">
        <v>5246</v>
      </c>
      <c r="L461" s="272" t="s">
        <v>4889</v>
      </c>
      <c r="M461" s="272">
        <v>1</v>
      </c>
      <c r="N461" s="272" t="b">
        <v>1</v>
      </c>
      <c r="O461" s="272">
        <v>77</v>
      </c>
      <c r="P461" s="281">
        <v>1155</v>
      </c>
      <c r="Q461" s="281">
        <v>1540</v>
      </c>
      <c r="R461" s="272" t="s">
        <v>3383</v>
      </c>
      <c r="S461" s="272"/>
      <c r="T461" s="272">
        <v>1</v>
      </c>
      <c r="U461" s="272" t="s">
        <v>4880</v>
      </c>
      <c r="V461" s="273">
        <v>10</v>
      </c>
      <c r="W461" s="273"/>
      <c r="X461" s="272" t="s">
        <v>4881</v>
      </c>
      <c r="Y461" t="s">
        <v>6587</v>
      </c>
      <c r="Z461" t="s">
        <v>6588</v>
      </c>
      <c r="AA461" s="272" t="s">
        <v>4884</v>
      </c>
      <c r="AB461" s="272"/>
      <c r="AC461" s="289">
        <v>1</v>
      </c>
      <c r="AD461" s="289">
        <v>1</v>
      </c>
      <c r="AE461" s="289"/>
      <c r="AF461" s="272"/>
      <c r="AG461" s="272"/>
    </row>
    <row r="462" spans="1:33" s="145" customFormat="1" x14ac:dyDescent="0.15">
      <c r="A462" s="267">
        <v>95201141</v>
      </c>
      <c r="B462" t="s">
        <v>6592</v>
      </c>
      <c r="C462" s="268" t="s">
        <v>6316</v>
      </c>
      <c r="D462" s="293">
        <v>7906</v>
      </c>
      <c r="E462" s="268" t="s">
        <v>4876</v>
      </c>
      <c r="F462" s="268" t="s">
        <v>4877</v>
      </c>
      <c r="G462" s="269">
        <v>1</v>
      </c>
      <c r="H462" s="269">
        <v>0</v>
      </c>
      <c r="I462" s="267">
        <v>34</v>
      </c>
      <c r="J462" s="268" t="s">
        <v>5253</v>
      </c>
      <c r="K462" s="295" t="s">
        <v>5254</v>
      </c>
      <c r="L462" s="295"/>
      <c r="M462" s="268">
        <v>1</v>
      </c>
      <c r="N462" s="268" t="b">
        <v>1</v>
      </c>
      <c r="O462" s="268">
        <v>2</v>
      </c>
      <c r="P462" s="281">
        <v>30</v>
      </c>
      <c r="Q462" s="281">
        <v>40</v>
      </c>
      <c r="R462" s="268" t="s">
        <v>3383</v>
      </c>
      <c r="S462" s="268"/>
      <c r="T462" s="268">
        <v>1</v>
      </c>
      <c r="U462" s="268" t="s">
        <v>4880</v>
      </c>
      <c r="V462" s="269">
        <v>1</v>
      </c>
      <c r="W462" s="269"/>
      <c r="X462" s="268" t="s">
        <v>4881</v>
      </c>
      <c r="Y462" t="s">
        <v>6593</v>
      </c>
      <c r="Z462" t="s">
        <v>6594</v>
      </c>
      <c r="AA462" s="268" t="s">
        <v>4884</v>
      </c>
      <c r="AB462" s="268"/>
      <c r="AC462" s="287">
        <v>1</v>
      </c>
      <c r="AD462" s="287">
        <v>1</v>
      </c>
      <c r="AE462" s="268"/>
      <c r="AF462" s="268"/>
      <c r="AG462" s="290"/>
    </row>
    <row r="463" spans="1:33" s="145" customFormat="1" x14ac:dyDescent="0.15">
      <c r="A463" s="267">
        <v>95201142</v>
      </c>
      <c r="B463" t="s">
        <v>6592</v>
      </c>
      <c r="C463" s="268" t="s">
        <v>6316</v>
      </c>
      <c r="D463" s="293">
        <v>7906</v>
      </c>
      <c r="E463" s="268" t="s">
        <v>4876</v>
      </c>
      <c r="F463" s="268" t="s">
        <v>4877</v>
      </c>
      <c r="G463" s="269">
        <v>2</v>
      </c>
      <c r="H463" s="269">
        <v>0</v>
      </c>
      <c r="I463" s="267">
        <v>34</v>
      </c>
      <c r="J463" s="268" t="s">
        <v>5253</v>
      </c>
      <c r="K463" s="295" t="s">
        <v>5254</v>
      </c>
      <c r="L463" s="295"/>
      <c r="M463" s="268">
        <v>1</v>
      </c>
      <c r="N463" s="268" t="b">
        <v>1</v>
      </c>
      <c r="O463" s="268">
        <v>5</v>
      </c>
      <c r="P463" s="281">
        <v>75</v>
      </c>
      <c r="Q463" s="281">
        <v>100</v>
      </c>
      <c r="R463" s="268" t="s">
        <v>3383</v>
      </c>
      <c r="S463" s="268"/>
      <c r="T463" s="268">
        <v>1</v>
      </c>
      <c r="U463" s="268" t="s">
        <v>4880</v>
      </c>
      <c r="V463" s="269">
        <v>2</v>
      </c>
      <c r="W463" s="269"/>
      <c r="X463" s="268" t="s">
        <v>4881</v>
      </c>
      <c r="Y463" t="s">
        <v>6593</v>
      </c>
      <c r="Z463" t="s">
        <v>6594</v>
      </c>
      <c r="AA463" s="268" t="s">
        <v>4884</v>
      </c>
      <c r="AB463" s="268"/>
      <c r="AC463" s="287">
        <v>1</v>
      </c>
      <c r="AD463" s="287">
        <v>1</v>
      </c>
      <c r="AE463" s="268"/>
      <c r="AF463" s="268"/>
      <c r="AG463" s="290"/>
    </row>
    <row r="464" spans="1:33" s="145" customFormat="1" x14ac:dyDescent="0.15">
      <c r="A464" s="267">
        <v>95201143</v>
      </c>
      <c r="B464" t="s">
        <v>6592</v>
      </c>
      <c r="C464" s="268" t="s">
        <v>6316</v>
      </c>
      <c r="D464" s="293">
        <v>7906</v>
      </c>
      <c r="E464" s="268" t="s">
        <v>4876</v>
      </c>
      <c r="F464" s="268" t="s">
        <v>4877</v>
      </c>
      <c r="G464" s="269">
        <v>3</v>
      </c>
      <c r="H464" s="269">
        <v>0</v>
      </c>
      <c r="I464" s="267">
        <v>34</v>
      </c>
      <c r="J464" s="268" t="s">
        <v>5253</v>
      </c>
      <c r="K464" s="295" t="s">
        <v>5254</v>
      </c>
      <c r="L464" s="295"/>
      <c r="M464" s="268">
        <v>1</v>
      </c>
      <c r="N464" s="268" t="b">
        <v>1</v>
      </c>
      <c r="O464" s="268">
        <v>7</v>
      </c>
      <c r="P464" s="281">
        <v>105</v>
      </c>
      <c r="Q464" s="281">
        <v>140</v>
      </c>
      <c r="R464" s="268" t="s">
        <v>3383</v>
      </c>
      <c r="S464" s="268"/>
      <c r="T464" s="268">
        <v>1</v>
      </c>
      <c r="U464" s="268" t="s">
        <v>4880</v>
      </c>
      <c r="V464" s="269">
        <v>3</v>
      </c>
      <c r="W464" s="269"/>
      <c r="X464" s="268" t="s">
        <v>4881</v>
      </c>
      <c r="Y464" t="s">
        <v>6593</v>
      </c>
      <c r="Z464" t="s">
        <v>6594</v>
      </c>
      <c r="AA464" s="268" t="s">
        <v>4884</v>
      </c>
      <c r="AB464" s="268"/>
      <c r="AC464" s="287">
        <v>1</v>
      </c>
      <c r="AD464" s="287">
        <v>1</v>
      </c>
      <c r="AE464" s="268"/>
      <c r="AF464" s="268"/>
      <c r="AG464" s="290"/>
    </row>
    <row r="465" spans="1:33" s="145" customFormat="1" x14ac:dyDescent="0.15">
      <c r="A465" s="267">
        <v>95201144</v>
      </c>
      <c r="B465" t="s">
        <v>6592</v>
      </c>
      <c r="C465" s="268" t="s">
        <v>6316</v>
      </c>
      <c r="D465" s="293">
        <v>7906</v>
      </c>
      <c r="E465" s="268" t="s">
        <v>4876</v>
      </c>
      <c r="F465" s="268" t="s">
        <v>4877</v>
      </c>
      <c r="G465" s="269">
        <v>4</v>
      </c>
      <c r="H465" s="269">
        <v>0</v>
      </c>
      <c r="I465" s="267">
        <v>34</v>
      </c>
      <c r="J465" s="268" t="s">
        <v>5253</v>
      </c>
      <c r="K465" s="295" t="s">
        <v>5254</v>
      </c>
      <c r="L465" s="295"/>
      <c r="M465" s="268">
        <v>1</v>
      </c>
      <c r="N465" s="268" t="b">
        <v>1</v>
      </c>
      <c r="O465" s="268">
        <v>10</v>
      </c>
      <c r="P465" s="281">
        <v>150</v>
      </c>
      <c r="Q465" s="281">
        <v>200</v>
      </c>
      <c r="R465" s="268" t="s">
        <v>3383</v>
      </c>
      <c r="S465" s="268"/>
      <c r="T465" s="268">
        <v>1</v>
      </c>
      <c r="U465" s="268" t="s">
        <v>4880</v>
      </c>
      <c r="V465" s="269">
        <v>4</v>
      </c>
      <c r="W465" s="269"/>
      <c r="X465" s="268" t="s">
        <v>4881</v>
      </c>
      <c r="Y465" t="s">
        <v>6593</v>
      </c>
      <c r="Z465" t="s">
        <v>6594</v>
      </c>
      <c r="AA465" s="268" t="s">
        <v>4884</v>
      </c>
      <c r="AB465" s="268"/>
      <c r="AC465" s="287">
        <v>1</v>
      </c>
      <c r="AD465" s="287">
        <v>1</v>
      </c>
      <c r="AE465" s="268"/>
      <c r="AF465" s="268"/>
      <c r="AG465" s="290"/>
    </row>
    <row r="466" spans="1:33" s="145" customFormat="1" x14ac:dyDescent="0.15">
      <c r="A466" s="267">
        <v>95201145</v>
      </c>
      <c r="B466" t="s">
        <v>6592</v>
      </c>
      <c r="C466" s="268" t="s">
        <v>6316</v>
      </c>
      <c r="D466" s="293">
        <v>7906</v>
      </c>
      <c r="E466" s="268" t="s">
        <v>4876</v>
      </c>
      <c r="F466" s="268" t="s">
        <v>4877</v>
      </c>
      <c r="G466" s="269">
        <v>5</v>
      </c>
      <c r="H466" s="269">
        <v>0</v>
      </c>
      <c r="I466" s="267">
        <v>34</v>
      </c>
      <c r="J466" s="268" t="s">
        <v>5253</v>
      </c>
      <c r="K466" s="295" t="s">
        <v>5254</v>
      </c>
      <c r="L466" s="295"/>
      <c r="M466" s="268">
        <v>1</v>
      </c>
      <c r="N466" s="268" t="b">
        <v>1</v>
      </c>
      <c r="O466" s="268">
        <v>12</v>
      </c>
      <c r="P466" s="281">
        <v>180</v>
      </c>
      <c r="Q466" s="281">
        <v>240</v>
      </c>
      <c r="R466" s="268" t="s">
        <v>3383</v>
      </c>
      <c r="S466" s="268"/>
      <c r="T466" s="268">
        <v>1</v>
      </c>
      <c r="U466" s="268" t="s">
        <v>4880</v>
      </c>
      <c r="V466" s="269">
        <v>5</v>
      </c>
      <c r="W466" s="269"/>
      <c r="X466" s="268" t="s">
        <v>4881</v>
      </c>
      <c r="Y466" t="s">
        <v>6593</v>
      </c>
      <c r="Z466" t="s">
        <v>6594</v>
      </c>
      <c r="AA466" s="268" t="s">
        <v>4884</v>
      </c>
      <c r="AB466" s="268"/>
      <c r="AC466" s="287">
        <v>1</v>
      </c>
      <c r="AD466" s="287">
        <v>1</v>
      </c>
      <c r="AE466" s="268"/>
      <c r="AF466" s="268"/>
      <c r="AG466" s="290"/>
    </row>
    <row r="467" spans="1:33" s="145" customFormat="1" x14ac:dyDescent="0.15">
      <c r="A467" s="270">
        <v>95201146</v>
      </c>
      <c r="B467" t="s">
        <v>6592</v>
      </c>
      <c r="C467" s="268" t="s">
        <v>6316</v>
      </c>
      <c r="D467" s="268">
        <v>7906</v>
      </c>
      <c r="E467" s="268" t="s">
        <v>4876</v>
      </c>
      <c r="F467" s="268" t="s">
        <v>4877</v>
      </c>
      <c r="G467" s="269">
        <v>6</v>
      </c>
      <c r="H467" s="269">
        <v>0</v>
      </c>
      <c r="I467" s="267">
        <v>34</v>
      </c>
      <c r="J467" s="282" t="s">
        <v>5253</v>
      </c>
      <c r="K467" s="279" t="s">
        <v>5254</v>
      </c>
      <c r="L467" s="279"/>
      <c r="M467" s="268">
        <v>1</v>
      </c>
      <c r="N467" s="268" t="b">
        <v>1</v>
      </c>
      <c r="O467" s="268">
        <v>25</v>
      </c>
      <c r="P467" s="281">
        <v>375</v>
      </c>
      <c r="Q467" s="281">
        <v>500</v>
      </c>
      <c r="R467" s="268" t="s">
        <v>3383</v>
      </c>
      <c r="S467" s="268"/>
      <c r="T467" s="268">
        <v>1</v>
      </c>
      <c r="U467" s="268" t="s">
        <v>4880</v>
      </c>
      <c r="V467" s="269">
        <v>6</v>
      </c>
      <c r="W467" s="269"/>
      <c r="X467" s="268" t="s">
        <v>4881</v>
      </c>
      <c r="Y467" t="s">
        <v>6593</v>
      </c>
      <c r="Z467" t="s">
        <v>6594</v>
      </c>
      <c r="AA467" s="268" t="s">
        <v>4884</v>
      </c>
      <c r="AB467" s="268"/>
      <c r="AC467" s="287">
        <v>1</v>
      </c>
      <c r="AD467" s="287">
        <v>1</v>
      </c>
      <c r="AE467" s="268"/>
      <c r="AF467" s="268"/>
      <c r="AG467" s="290"/>
    </row>
    <row r="468" spans="1:33" s="145" customFormat="1" x14ac:dyDescent="0.15">
      <c r="A468" s="270">
        <v>95201147</v>
      </c>
      <c r="B468" t="s">
        <v>6592</v>
      </c>
      <c r="C468" s="268" t="s">
        <v>6316</v>
      </c>
      <c r="D468" s="268">
        <v>7906</v>
      </c>
      <c r="E468" s="268" t="s">
        <v>4876</v>
      </c>
      <c r="F468" s="268" t="s">
        <v>4877</v>
      </c>
      <c r="G468" s="269">
        <v>7</v>
      </c>
      <c r="H468" s="269">
        <v>0</v>
      </c>
      <c r="I468" s="267">
        <v>34</v>
      </c>
      <c r="J468" s="282" t="s">
        <v>5253</v>
      </c>
      <c r="K468" s="279" t="s">
        <v>5254</v>
      </c>
      <c r="L468" s="279"/>
      <c r="M468" s="268">
        <v>1</v>
      </c>
      <c r="N468" s="268" t="b">
        <v>1</v>
      </c>
      <c r="O468" s="268">
        <v>38</v>
      </c>
      <c r="P468" s="281">
        <v>570</v>
      </c>
      <c r="Q468" s="281">
        <v>760</v>
      </c>
      <c r="R468" s="268" t="s">
        <v>3383</v>
      </c>
      <c r="S468" s="268"/>
      <c r="T468" s="268">
        <v>1</v>
      </c>
      <c r="U468" s="268" t="s">
        <v>4880</v>
      </c>
      <c r="V468" s="269">
        <v>7</v>
      </c>
      <c r="W468" s="269"/>
      <c r="X468" s="268" t="s">
        <v>4881</v>
      </c>
      <c r="Y468" t="s">
        <v>6593</v>
      </c>
      <c r="Z468" t="s">
        <v>6594</v>
      </c>
      <c r="AA468" s="268" t="s">
        <v>4884</v>
      </c>
      <c r="AB468" s="268"/>
      <c r="AC468" s="287">
        <v>1</v>
      </c>
      <c r="AD468" s="287">
        <v>1</v>
      </c>
      <c r="AE468" s="268"/>
      <c r="AF468" s="268"/>
      <c r="AG468" s="290"/>
    </row>
    <row r="469" spans="1:33" s="258" customFormat="1" x14ac:dyDescent="0.15">
      <c r="A469" s="271">
        <v>95201148</v>
      </c>
      <c r="B469" t="s">
        <v>6595</v>
      </c>
      <c r="C469" s="268" t="s">
        <v>6316</v>
      </c>
      <c r="D469" s="272">
        <v>5081</v>
      </c>
      <c r="E469" s="272" t="s">
        <v>4876</v>
      </c>
      <c r="F469" s="272" t="s">
        <v>4877</v>
      </c>
      <c r="G469" s="269">
        <v>6</v>
      </c>
      <c r="H469" s="273">
        <v>0</v>
      </c>
      <c r="I469" s="283">
        <v>34</v>
      </c>
      <c r="J469" s="284" t="s">
        <v>5253</v>
      </c>
      <c r="K469" s="285" t="s">
        <v>5254</v>
      </c>
      <c r="L469" s="272" t="s">
        <v>44</v>
      </c>
      <c r="M469" s="272">
        <v>1</v>
      </c>
      <c r="N469" s="272" t="b">
        <v>1</v>
      </c>
      <c r="O469" s="272">
        <v>51</v>
      </c>
      <c r="P469" s="281">
        <v>765</v>
      </c>
      <c r="Q469" s="281">
        <v>1020</v>
      </c>
      <c r="R469" s="272" t="s">
        <v>3383</v>
      </c>
      <c r="S469" s="272"/>
      <c r="T469" s="272">
        <v>1</v>
      </c>
      <c r="U469" s="272" t="s">
        <v>4880</v>
      </c>
      <c r="V469" s="273">
        <v>10</v>
      </c>
      <c r="W469" s="273"/>
      <c r="X469" s="272" t="s">
        <v>4881</v>
      </c>
      <c r="Y469" t="s">
        <v>6593</v>
      </c>
      <c r="Z469" t="s">
        <v>6594</v>
      </c>
      <c r="AA469" s="272" t="s">
        <v>4884</v>
      </c>
      <c r="AB469" s="272"/>
      <c r="AC469" s="289">
        <v>1</v>
      </c>
      <c r="AD469" s="289">
        <v>1</v>
      </c>
      <c r="AE469" s="289"/>
      <c r="AF469" s="272"/>
      <c r="AG469" s="272"/>
    </row>
    <row r="470" spans="1:33" s="258" customFormat="1" x14ac:dyDescent="0.15">
      <c r="A470" s="271">
        <v>95201149</v>
      </c>
      <c r="B470" t="s">
        <v>6596</v>
      </c>
      <c r="C470" s="268" t="s">
        <v>6316</v>
      </c>
      <c r="D470" s="272">
        <v>5081</v>
      </c>
      <c r="E470" s="272" t="s">
        <v>4876</v>
      </c>
      <c r="F470" s="272" t="s">
        <v>4877</v>
      </c>
      <c r="G470" s="269">
        <v>6</v>
      </c>
      <c r="H470" s="273">
        <v>0</v>
      </c>
      <c r="I470" s="283">
        <v>34</v>
      </c>
      <c r="J470" s="284" t="s">
        <v>5253</v>
      </c>
      <c r="K470" s="285" t="s">
        <v>5254</v>
      </c>
      <c r="L470" s="272" t="s">
        <v>4887</v>
      </c>
      <c r="M470" s="272">
        <v>1</v>
      </c>
      <c r="N470" s="272" t="b">
        <v>1</v>
      </c>
      <c r="O470" s="272">
        <v>64</v>
      </c>
      <c r="P470" s="281">
        <v>960</v>
      </c>
      <c r="Q470" s="281">
        <v>1280</v>
      </c>
      <c r="R470" s="272" t="s">
        <v>3383</v>
      </c>
      <c r="S470" s="272"/>
      <c r="T470" s="272">
        <v>1</v>
      </c>
      <c r="U470" s="272" t="s">
        <v>4880</v>
      </c>
      <c r="V470" s="273">
        <v>10</v>
      </c>
      <c r="W470" s="273"/>
      <c r="X470" s="272" t="s">
        <v>4881</v>
      </c>
      <c r="Y470" t="s">
        <v>6593</v>
      </c>
      <c r="Z470" t="s">
        <v>6594</v>
      </c>
      <c r="AA470" s="272" t="s">
        <v>4884</v>
      </c>
      <c r="AB470" s="272"/>
      <c r="AC470" s="289">
        <v>1</v>
      </c>
      <c r="AD470" s="289">
        <v>1</v>
      </c>
      <c r="AE470" s="289"/>
      <c r="AF470" s="272"/>
      <c r="AG470" s="272"/>
    </row>
    <row r="471" spans="1:33" s="258" customFormat="1" x14ac:dyDescent="0.15">
      <c r="A471" s="271">
        <v>95201150</v>
      </c>
      <c r="B471" t="s">
        <v>6597</v>
      </c>
      <c r="C471" s="268" t="s">
        <v>6316</v>
      </c>
      <c r="D471" s="272">
        <v>5081</v>
      </c>
      <c r="E471" s="272" t="s">
        <v>4876</v>
      </c>
      <c r="F471" s="272" t="s">
        <v>4877</v>
      </c>
      <c r="G471" s="269">
        <v>7</v>
      </c>
      <c r="H471" s="273">
        <v>0</v>
      </c>
      <c r="I471" s="283">
        <v>34</v>
      </c>
      <c r="J471" s="284" t="s">
        <v>5253</v>
      </c>
      <c r="K471" s="285" t="s">
        <v>5254</v>
      </c>
      <c r="L471" s="272" t="s">
        <v>4889</v>
      </c>
      <c r="M471" s="272">
        <v>1</v>
      </c>
      <c r="N471" s="272" t="b">
        <v>1</v>
      </c>
      <c r="O471" s="272">
        <v>77</v>
      </c>
      <c r="P471" s="281">
        <v>1155</v>
      </c>
      <c r="Q471" s="281">
        <v>1540</v>
      </c>
      <c r="R471" s="272" t="s">
        <v>3383</v>
      </c>
      <c r="S471" s="272"/>
      <c r="T471" s="272">
        <v>1</v>
      </c>
      <c r="U471" s="272" t="s">
        <v>4880</v>
      </c>
      <c r="V471" s="273">
        <v>10</v>
      </c>
      <c r="W471" s="273"/>
      <c r="X471" s="272" t="s">
        <v>4881</v>
      </c>
      <c r="Y471" t="s">
        <v>6593</v>
      </c>
      <c r="Z471" t="s">
        <v>6594</v>
      </c>
      <c r="AA471" s="272" t="s">
        <v>4884</v>
      </c>
      <c r="AB471" s="272"/>
      <c r="AC471" s="289">
        <v>1</v>
      </c>
      <c r="AD471" s="289">
        <v>1</v>
      </c>
      <c r="AE471" s="289"/>
      <c r="AF471" s="272"/>
      <c r="AG471" s="272"/>
    </row>
    <row r="472" spans="1:33" s="145" customFormat="1" x14ac:dyDescent="0.15">
      <c r="A472" s="267">
        <v>95201151</v>
      </c>
      <c r="B472" t="s">
        <v>6598</v>
      </c>
      <c r="C472" s="268" t="s">
        <v>6316</v>
      </c>
      <c r="D472" s="293">
        <v>7906</v>
      </c>
      <c r="E472" s="268" t="s">
        <v>4876</v>
      </c>
      <c r="F472" s="268" t="s">
        <v>4877</v>
      </c>
      <c r="G472" s="269">
        <v>1</v>
      </c>
      <c r="H472" s="269">
        <v>0</v>
      </c>
      <c r="I472" s="267">
        <v>34</v>
      </c>
      <c r="J472" s="268" t="s">
        <v>5261</v>
      </c>
      <c r="K472" s="295" t="s">
        <v>5262</v>
      </c>
      <c r="L472" s="295"/>
      <c r="M472" s="268">
        <v>1</v>
      </c>
      <c r="N472" s="268" t="b">
        <v>1</v>
      </c>
      <c r="O472" s="268">
        <v>2</v>
      </c>
      <c r="P472" s="281">
        <v>30</v>
      </c>
      <c r="Q472" s="281">
        <v>40</v>
      </c>
      <c r="R472" s="268" t="s">
        <v>3383</v>
      </c>
      <c r="S472" s="268"/>
      <c r="T472" s="268">
        <v>1</v>
      </c>
      <c r="U472" s="268" t="s">
        <v>4880</v>
      </c>
      <c r="V472" s="269">
        <v>1</v>
      </c>
      <c r="W472" s="269"/>
      <c r="X472" s="268" t="s">
        <v>4881</v>
      </c>
      <c r="Y472" t="s">
        <v>6599</v>
      </c>
      <c r="Z472" t="s">
        <v>6600</v>
      </c>
      <c r="AA472" s="268" t="s">
        <v>4884</v>
      </c>
      <c r="AB472" s="268"/>
      <c r="AC472" s="287">
        <v>1</v>
      </c>
      <c r="AD472" s="287">
        <v>1</v>
      </c>
      <c r="AE472" s="268"/>
      <c r="AF472" s="268"/>
      <c r="AG472" s="290"/>
    </row>
    <row r="473" spans="1:33" s="145" customFormat="1" x14ac:dyDescent="0.15">
      <c r="A473" s="267">
        <v>95201152</v>
      </c>
      <c r="B473" t="s">
        <v>6598</v>
      </c>
      <c r="C473" s="268" t="s">
        <v>6316</v>
      </c>
      <c r="D473" s="293">
        <v>7906</v>
      </c>
      <c r="E473" s="268" t="s">
        <v>4876</v>
      </c>
      <c r="F473" s="268" t="s">
        <v>4877</v>
      </c>
      <c r="G473" s="269">
        <v>2</v>
      </c>
      <c r="H473" s="269">
        <v>0</v>
      </c>
      <c r="I473" s="267">
        <v>34</v>
      </c>
      <c r="J473" s="268" t="s">
        <v>5261</v>
      </c>
      <c r="K473" s="295" t="s">
        <v>5262</v>
      </c>
      <c r="L473" s="295"/>
      <c r="M473" s="268">
        <v>1</v>
      </c>
      <c r="N473" s="268" t="b">
        <v>1</v>
      </c>
      <c r="O473" s="268">
        <v>5</v>
      </c>
      <c r="P473" s="281">
        <v>75</v>
      </c>
      <c r="Q473" s="281">
        <v>100</v>
      </c>
      <c r="R473" s="268" t="s">
        <v>3383</v>
      </c>
      <c r="S473" s="268"/>
      <c r="T473" s="268">
        <v>1</v>
      </c>
      <c r="U473" s="268" t="s">
        <v>4880</v>
      </c>
      <c r="V473" s="269">
        <v>2</v>
      </c>
      <c r="W473" s="269"/>
      <c r="X473" s="268" t="s">
        <v>4881</v>
      </c>
      <c r="Y473" t="s">
        <v>6599</v>
      </c>
      <c r="Z473" t="s">
        <v>6600</v>
      </c>
      <c r="AA473" s="268" t="s">
        <v>4884</v>
      </c>
      <c r="AB473" s="268"/>
      <c r="AC473" s="287">
        <v>1</v>
      </c>
      <c r="AD473" s="287">
        <v>1</v>
      </c>
      <c r="AE473" s="268"/>
      <c r="AF473" s="268"/>
      <c r="AG473" s="290"/>
    </row>
    <row r="474" spans="1:33" s="145" customFormat="1" x14ac:dyDescent="0.15">
      <c r="A474" s="267">
        <v>95201153</v>
      </c>
      <c r="B474" t="s">
        <v>6598</v>
      </c>
      <c r="C474" s="268" t="s">
        <v>6316</v>
      </c>
      <c r="D474" s="293">
        <v>7906</v>
      </c>
      <c r="E474" s="268" t="s">
        <v>4876</v>
      </c>
      <c r="F474" s="268" t="s">
        <v>4877</v>
      </c>
      <c r="G474" s="269">
        <v>3</v>
      </c>
      <c r="H474" s="269">
        <v>0</v>
      </c>
      <c r="I474" s="267">
        <v>34</v>
      </c>
      <c r="J474" s="268" t="s">
        <v>5261</v>
      </c>
      <c r="K474" s="295" t="s">
        <v>5262</v>
      </c>
      <c r="L474" s="295"/>
      <c r="M474" s="268">
        <v>1</v>
      </c>
      <c r="N474" s="268" t="b">
        <v>1</v>
      </c>
      <c r="O474" s="268">
        <v>7</v>
      </c>
      <c r="P474" s="281">
        <v>105</v>
      </c>
      <c r="Q474" s="281">
        <v>140</v>
      </c>
      <c r="R474" s="268" t="s">
        <v>3383</v>
      </c>
      <c r="S474" s="268"/>
      <c r="T474" s="268">
        <v>1</v>
      </c>
      <c r="U474" s="268" t="s">
        <v>4880</v>
      </c>
      <c r="V474" s="269">
        <v>3</v>
      </c>
      <c r="W474" s="269"/>
      <c r="X474" s="268" t="s">
        <v>4881</v>
      </c>
      <c r="Y474" t="s">
        <v>6599</v>
      </c>
      <c r="Z474" t="s">
        <v>6600</v>
      </c>
      <c r="AA474" s="268" t="s">
        <v>4884</v>
      </c>
      <c r="AB474" s="268"/>
      <c r="AC474" s="287">
        <v>1</v>
      </c>
      <c r="AD474" s="287">
        <v>1</v>
      </c>
      <c r="AE474" s="268"/>
      <c r="AF474" s="268"/>
      <c r="AG474" s="290"/>
    </row>
    <row r="475" spans="1:33" s="145" customFormat="1" x14ac:dyDescent="0.15">
      <c r="A475" s="267">
        <v>95201154</v>
      </c>
      <c r="B475" t="s">
        <v>6598</v>
      </c>
      <c r="C475" s="268" t="s">
        <v>6316</v>
      </c>
      <c r="D475" s="293">
        <v>7906</v>
      </c>
      <c r="E475" s="268" t="s">
        <v>4876</v>
      </c>
      <c r="F475" s="268" t="s">
        <v>4877</v>
      </c>
      <c r="G475" s="269">
        <v>4</v>
      </c>
      <c r="H475" s="269">
        <v>0</v>
      </c>
      <c r="I475" s="267">
        <v>34</v>
      </c>
      <c r="J475" s="268" t="s">
        <v>5261</v>
      </c>
      <c r="K475" s="295" t="s">
        <v>5262</v>
      </c>
      <c r="L475" s="295"/>
      <c r="M475" s="268">
        <v>1</v>
      </c>
      <c r="N475" s="268" t="b">
        <v>1</v>
      </c>
      <c r="O475" s="268">
        <v>10</v>
      </c>
      <c r="P475" s="281">
        <v>150</v>
      </c>
      <c r="Q475" s="281">
        <v>200</v>
      </c>
      <c r="R475" s="268" t="s">
        <v>3383</v>
      </c>
      <c r="S475" s="268"/>
      <c r="T475" s="268">
        <v>1</v>
      </c>
      <c r="U475" s="268" t="s">
        <v>4880</v>
      </c>
      <c r="V475" s="269">
        <v>4</v>
      </c>
      <c r="W475" s="269"/>
      <c r="X475" s="268" t="s">
        <v>4881</v>
      </c>
      <c r="Y475" t="s">
        <v>6599</v>
      </c>
      <c r="Z475" t="s">
        <v>6600</v>
      </c>
      <c r="AA475" s="268" t="s">
        <v>4884</v>
      </c>
      <c r="AB475" s="268"/>
      <c r="AC475" s="287">
        <v>1</v>
      </c>
      <c r="AD475" s="287">
        <v>1</v>
      </c>
      <c r="AE475" s="268"/>
      <c r="AF475" s="268"/>
      <c r="AG475" s="290"/>
    </row>
    <row r="476" spans="1:33" s="145" customFormat="1" x14ac:dyDescent="0.15">
      <c r="A476" s="267">
        <v>95201155</v>
      </c>
      <c r="B476" t="s">
        <v>6598</v>
      </c>
      <c r="C476" s="268" t="s">
        <v>6316</v>
      </c>
      <c r="D476" s="293">
        <v>7906</v>
      </c>
      <c r="E476" s="268" t="s">
        <v>4876</v>
      </c>
      <c r="F476" s="268" t="s">
        <v>4877</v>
      </c>
      <c r="G476" s="269">
        <v>5</v>
      </c>
      <c r="H476" s="269">
        <v>0</v>
      </c>
      <c r="I476" s="267">
        <v>34</v>
      </c>
      <c r="J476" s="268" t="s">
        <v>5261</v>
      </c>
      <c r="K476" s="295" t="s">
        <v>5262</v>
      </c>
      <c r="L476" s="295"/>
      <c r="M476" s="268">
        <v>1</v>
      </c>
      <c r="N476" s="268" t="b">
        <v>1</v>
      </c>
      <c r="O476" s="268">
        <v>12</v>
      </c>
      <c r="P476" s="281">
        <v>180</v>
      </c>
      <c r="Q476" s="281">
        <v>240</v>
      </c>
      <c r="R476" s="268" t="s">
        <v>3383</v>
      </c>
      <c r="S476" s="268"/>
      <c r="T476" s="268">
        <v>1</v>
      </c>
      <c r="U476" s="268" t="s">
        <v>4880</v>
      </c>
      <c r="V476" s="269">
        <v>5</v>
      </c>
      <c r="W476" s="269"/>
      <c r="X476" s="268" t="s">
        <v>4881</v>
      </c>
      <c r="Y476" t="s">
        <v>6599</v>
      </c>
      <c r="Z476" t="s">
        <v>6600</v>
      </c>
      <c r="AA476" s="268" t="s">
        <v>4884</v>
      </c>
      <c r="AB476" s="268"/>
      <c r="AC476" s="287">
        <v>1</v>
      </c>
      <c r="AD476" s="287">
        <v>1</v>
      </c>
      <c r="AE476" s="268"/>
      <c r="AF476" s="268"/>
      <c r="AG476" s="290"/>
    </row>
    <row r="477" spans="1:33" s="145" customFormat="1" x14ac:dyDescent="0.15">
      <c r="A477" s="270">
        <v>95201156</v>
      </c>
      <c r="B477" t="s">
        <v>6598</v>
      </c>
      <c r="C477" s="268" t="s">
        <v>6316</v>
      </c>
      <c r="D477" s="268">
        <v>7906</v>
      </c>
      <c r="E477" s="268" t="s">
        <v>4876</v>
      </c>
      <c r="F477" s="268" t="s">
        <v>4877</v>
      </c>
      <c r="G477" s="269">
        <v>6</v>
      </c>
      <c r="H477" s="269">
        <v>0</v>
      </c>
      <c r="I477" s="267">
        <v>34</v>
      </c>
      <c r="J477" s="282" t="s">
        <v>5261</v>
      </c>
      <c r="K477" s="279" t="s">
        <v>5262</v>
      </c>
      <c r="L477" s="279"/>
      <c r="M477" s="268">
        <v>1</v>
      </c>
      <c r="N477" s="268" t="b">
        <v>1</v>
      </c>
      <c r="O477" s="268">
        <v>25</v>
      </c>
      <c r="P477" s="281">
        <v>375</v>
      </c>
      <c r="Q477" s="281">
        <v>500</v>
      </c>
      <c r="R477" s="268" t="s">
        <v>3383</v>
      </c>
      <c r="S477" s="268"/>
      <c r="T477" s="268">
        <v>1</v>
      </c>
      <c r="U477" s="268" t="s">
        <v>4880</v>
      </c>
      <c r="V477" s="269">
        <v>6</v>
      </c>
      <c r="W477" s="269"/>
      <c r="X477" s="268" t="s">
        <v>4881</v>
      </c>
      <c r="Y477" t="s">
        <v>6599</v>
      </c>
      <c r="Z477" t="s">
        <v>6600</v>
      </c>
      <c r="AA477" s="268" t="s">
        <v>4884</v>
      </c>
      <c r="AB477" s="268"/>
      <c r="AC477" s="287">
        <v>1</v>
      </c>
      <c r="AD477" s="287">
        <v>1</v>
      </c>
      <c r="AE477" s="268"/>
      <c r="AF477" s="268"/>
      <c r="AG477" s="290"/>
    </row>
    <row r="478" spans="1:33" s="145" customFormat="1" x14ac:dyDescent="0.15">
      <c r="A478" s="270">
        <v>95201157</v>
      </c>
      <c r="B478" t="s">
        <v>6598</v>
      </c>
      <c r="C478" s="268" t="s">
        <v>6316</v>
      </c>
      <c r="D478" s="268">
        <v>7906</v>
      </c>
      <c r="E478" s="268" t="s">
        <v>4876</v>
      </c>
      <c r="F478" s="268" t="s">
        <v>4877</v>
      </c>
      <c r="G478" s="269">
        <v>7</v>
      </c>
      <c r="H478" s="269">
        <v>0</v>
      </c>
      <c r="I478" s="267">
        <v>34</v>
      </c>
      <c r="J478" s="282" t="s">
        <v>5261</v>
      </c>
      <c r="K478" s="279" t="s">
        <v>5262</v>
      </c>
      <c r="L478" s="279"/>
      <c r="M478" s="268">
        <v>1</v>
      </c>
      <c r="N478" s="268" t="b">
        <v>1</v>
      </c>
      <c r="O478" s="268">
        <v>38</v>
      </c>
      <c r="P478" s="281">
        <v>570</v>
      </c>
      <c r="Q478" s="281">
        <v>760</v>
      </c>
      <c r="R478" s="268" t="s">
        <v>3383</v>
      </c>
      <c r="S478" s="268"/>
      <c r="T478" s="268">
        <v>1</v>
      </c>
      <c r="U478" s="268" t="s">
        <v>4880</v>
      </c>
      <c r="V478" s="269">
        <v>7</v>
      </c>
      <c r="W478" s="269"/>
      <c r="X478" s="268" t="s">
        <v>4881</v>
      </c>
      <c r="Y478" t="s">
        <v>6599</v>
      </c>
      <c r="Z478" t="s">
        <v>6600</v>
      </c>
      <c r="AA478" s="268" t="s">
        <v>4884</v>
      </c>
      <c r="AB478" s="268"/>
      <c r="AC478" s="287">
        <v>1</v>
      </c>
      <c r="AD478" s="287">
        <v>1</v>
      </c>
      <c r="AE478" s="268"/>
      <c r="AF478" s="268"/>
      <c r="AG478" s="290"/>
    </row>
    <row r="479" spans="1:33" s="258" customFormat="1" x14ac:dyDescent="0.15">
      <c r="A479" s="271">
        <v>95201158</v>
      </c>
      <c r="B479" t="s">
        <v>6601</v>
      </c>
      <c r="C479" s="268" t="s">
        <v>6316</v>
      </c>
      <c r="D479" s="272">
        <v>5081</v>
      </c>
      <c r="E479" s="272" t="s">
        <v>4876</v>
      </c>
      <c r="F479" s="272" t="s">
        <v>4877</v>
      </c>
      <c r="G479" s="269">
        <v>6</v>
      </c>
      <c r="H479" s="273">
        <v>1</v>
      </c>
      <c r="I479" s="283">
        <v>34</v>
      </c>
      <c r="J479" s="284" t="s">
        <v>5261</v>
      </c>
      <c r="K479" s="285" t="s">
        <v>5262</v>
      </c>
      <c r="L479" s="272" t="s">
        <v>44</v>
      </c>
      <c r="M479" s="272">
        <v>1</v>
      </c>
      <c r="N479" s="272" t="b">
        <v>1</v>
      </c>
      <c r="O479" s="272">
        <v>51</v>
      </c>
      <c r="P479" s="281">
        <v>765</v>
      </c>
      <c r="Q479" s="281">
        <v>1020</v>
      </c>
      <c r="R479" s="272" t="s">
        <v>3383</v>
      </c>
      <c r="S479" s="272"/>
      <c r="T479" s="272">
        <v>1</v>
      </c>
      <c r="U479" s="272" t="s">
        <v>4880</v>
      </c>
      <c r="V479" s="273">
        <v>10</v>
      </c>
      <c r="W479" s="273"/>
      <c r="X479" s="272" t="s">
        <v>4881</v>
      </c>
      <c r="Y479" t="s">
        <v>6599</v>
      </c>
      <c r="Z479" t="s">
        <v>6600</v>
      </c>
      <c r="AA479" s="272" t="s">
        <v>4884</v>
      </c>
      <c r="AB479" s="272"/>
      <c r="AC479" s="289">
        <v>1</v>
      </c>
      <c r="AD479" s="289">
        <v>1</v>
      </c>
      <c r="AE479" s="289"/>
      <c r="AF479" s="272"/>
      <c r="AG479" s="272"/>
    </row>
    <row r="480" spans="1:33" s="258" customFormat="1" x14ac:dyDescent="0.15">
      <c r="A480" s="271">
        <v>95201159</v>
      </c>
      <c r="B480" t="s">
        <v>6602</v>
      </c>
      <c r="C480" s="268" t="s">
        <v>6316</v>
      </c>
      <c r="D480" s="272">
        <v>5081</v>
      </c>
      <c r="E480" s="272" t="s">
        <v>4876</v>
      </c>
      <c r="F480" s="272" t="s">
        <v>4877</v>
      </c>
      <c r="G480" s="269">
        <v>6</v>
      </c>
      <c r="H480" s="273">
        <v>1</v>
      </c>
      <c r="I480" s="283">
        <v>34</v>
      </c>
      <c r="J480" s="284" t="s">
        <v>5261</v>
      </c>
      <c r="K480" s="285" t="s">
        <v>5262</v>
      </c>
      <c r="L480" s="272" t="s">
        <v>4887</v>
      </c>
      <c r="M480" s="272">
        <v>1</v>
      </c>
      <c r="N480" s="272" t="b">
        <v>1</v>
      </c>
      <c r="O480" s="272">
        <v>64</v>
      </c>
      <c r="P480" s="281">
        <v>960</v>
      </c>
      <c r="Q480" s="281">
        <v>1280</v>
      </c>
      <c r="R480" s="272" t="s">
        <v>3383</v>
      </c>
      <c r="S480" s="272"/>
      <c r="T480" s="272">
        <v>1</v>
      </c>
      <c r="U480" s="272" t="s">
        <v>4880</v>
      </c>
      <c r="V480" s="273">
        <v>10</v>
      </c>
      <c r="W480" s="273"/>
      <c r="X480" s="272" t="s">
        <v>4881</v>
      </c>
      <c r="Y480" t="s">
        <v>6599</v>
      </c>
      <c r="Z480" t="s">
        <v>6600</v>
      </c>
      <c r="AA480" s="272" t="s">
        <v>4884</v>
      </c>
      <c r="AB480" s="272"/>
      <c r="AC480" s="289">
        <v>1</v>
      </c>
      <c r="AD480" s="289">
        <v>1</v>
      </c>
      <c r="AE480" s="289"/>
      <c r="AF480" s="272"/>
      <c r="AG480" s="272"/>
    </row>
    <row r="481" spans="1:33" s="258" customFormat="1" x14ac:dyDescent="0.15">
      <c r="A481" s="271">
        <v>95201160</v>
      </c>
      <c r="B481" t="s">
        <v>6603</v>
      </c>
      <c r="C481" s="268" t="s">
        <v>6316</v>
      </c>
      <c r="D481" s="272">
        <v>5081</v>
      </c>
      <c r="E481" s="272" t="s">
        <v>4876</v>
      </c>
      <c r="F481" s="272" t="s">
        <v>4877</v>
      </c>
      <c r="G481" s="269">
        <v>7</v>
      </c>
      <c r="H481" s="273">
        <v>0</v>
      </c>
      <c r="I481" s="283">
        <v>34</v>
      </c>
      <c r="J481" s="284" t="s">
        <v>5261</v>
      </c>
      <c r="K481" s="285" t="s">
        <v>5262</v>
      </c>
      <c r="L481" s="272" t="s">
        <v>4889</v>
      </c>
      <c r="M481" s="272">
        <v>1</v>
      </c>
      <c r="N481" s="272" t="b">
        <v>1</v>
      </c>
      <c r="O481" s="272">
        <v>77</v>
      </c>
      <c r="P481" s="281">
        <v>1155</v>
      </c>
      <c r="Q481" s="281">
        <v>1540</v>
      </c>
      <c r="R481" s="272" t="s">
        <v>3383</v>
      </c>
      <c r="S481" s="272"/>
      <c r="T481" s="272">
        <v>1</v>
      </c>
      <c r="U481" s="272" t="s">
        <v>4880</v>
      </c>
      <c r="V481" s="273">
        <v>10</v>
      </c>
      <c r="W481" s="273"/>
      <c r="X481" s="272" t="s">
        <v>4881</v>
      </c>
      <c r="Y481" t="s">
        <v>6599</v>
      </c>
      <c r="Z481" t="s">
        <v>6600</v>
      </c>
      <c r="AA481" s="272" t="s">
        <v>4884</v>
      </c>
      <c r="AB481" s="272"/>
      <c r="AC481" s="289">
        <v>1</v>
      </c>
      <c r="AD481" s="289">
        <v>1</v>
      </c>
      <c r="AE481" s="289"/>
      <c r="AF481" s="272"/>
      <c r="AG481" s="272"/>
    </row>
    <row r="482" spans="1:33" s="145" customFormat="1" x14ac:dyDescent="0.15">
      <c r="A482" s="267">
        <v>95201161</v>
      </c>
      <c r="B482" t="s">
        <v>6604</v>
      </c>
      <c r="C482" s="268" t="s">
        <v>6316</v>
      </c>
      <c r="D482" s="293">
        <v>7906</v>
      </c>
      <c r="E482" s="268" t="s">
        <v>4876</v>
      </c>
      <c r="F482" s="268" t="s">
        <v>4877</v>
      </c>
      <c r="G482" s="269">
        <v>1</v>
      </c>
      <c r="H482" s="269">
        <v>0</v>
      </c>
      <c r="I482" s="267">
        <v>34</v>
      </c>
      <c r="J482" s="268" t="s">
        <v>5269</v>
      </c>
      <c r="K482" s="295" t="s">
        <v>5270</v>
      </c>
      <c r="L482" s="295"/>
      <c r="M482" s="268">
        <v>1</v>
      </c>
      <c r="N482" s="268" t="b">
        <v>1</v>
      </c>
      <c r="O482" s="268">
        <v>2</v>
      </c>
      <c r="P482" s="281">
        <v>30</v>
      </c>
      <c r="Q482" s="281">
        <v>40</v>
      </c>
      <c r="R482" s="268" t="s">
        <v>3383</v>
      </c>
      <c r="S482" s="268"/>
      <c r="T482" s="268">
        <v>1</v>
      </c>
      <c r="U482" s="268" t="s">
        <v>4880</v>
      </c>
      <c r="V482" s="269">
        <v>1</v>
      </c>
      <c r="W482" s="269"/>
      <c r="X482" s="268" t="s">
        <v>4881</v>
      </c>
      <c r="Y482" t="s">
        <v>6605</v>
      </c>
      <c r="Z482" t="s">
        <v>6606</v>
      </c>
      <c r="AA482" s="268" t="s">
        <v>4884</v>
      </c>
      <c r="AB482" s="268"/>
      <c r="AC482" s="287">
        <v>1</v>
      </c>
      <c r="AD482" s="287">
        <v>1</v>
      </c>
      <c r="AE482" s="268"/>
      <c r="AF482" s="268"/>
      <c r="AG482" s="290"/>
    </row>
    <row r="483" spans="1:33" s="145" customFormat="1" x14ac:dyDescent="0.15">
      <c r="A483" s="267">
        <v>95201162</v>
      </c>
      <c r="B483" t="s">
        <v>6604</v>
      </c>
      <c r="C483" s="268" t="s">
        <v>6316</v>
      </c>
      <c r="D483" s="293">
        <v>7906</v>
      </c>
      <c r="E483" s="268" t="s">
        <v>4876</v>
      </c>
      <c r="F483" s="268" t="s">
        <v>4877</v>
      </c>
      <c r="G483" s="269">
        <v>2</v>
      </c>
      <c r="H483" s="269">
        <v>0</v>
      </c>
      <c r="I483" s="267">
        <v>34</v>
      </c>
      <c r="J483" s="268" t="s">
        <v>5269</v>
      </c>
      <c r="K483" s="295" t="s">
        <v>5270</v>
      </c>
      <c r="L483" s="295"/>
      <c r="M483" s="268">
        <v>1</v>
      </c>
      <c r="N483" s="268" t="b">
        <v>1</v>
      </c>
      <c r="O483" s="268">
        <v>5</v>
      </c>
      <c r="P483" s="281">
        <v>75</v>
      </c>
      <c r="Q483" s="281">
        <v>100</v>
      </c>
      <c r="R483" s="268" t="s">
        <v>3383</v>
      </c>
      <c r="S483" s="268"/>
      <c r="T483" s="268">
        <v>1</v>
      </c>
      <c r="U483" s="268" t="s">
        <v>4880</v>
      </c>
      <c r="V483" s="269">
        <v>2</v>
      </c>
      <c r="W483" s="269"/>
      <c r="X483" s="268" t="s">
        <v>4881</v>
      </c>
      <c r="Y483" t="s">
        <v>6605</v>
      </c>
      <c r="Z483" t="s">
        <v>6606</v>
      </c>
      <c r="AA483" s="268" t="s">
        <v>4884</v>
      </c>
      <c r="AB483" s="268"/>
      <c r="AC483" s="287">
        <v>1</v>
      </c>
      <c r="AD483" s="287">
        <v>1</v>
      </c>
      <c r="AE483" s="268"/>
      <c r="AF483" s="268"/>
      <c r="AG483" s="290"/>
    </row>
    <row r="484" spans="1:33" s="145" customFormat="1" x14ac:dyDescent="0.15">
      <c r="A484" s="267">
        <v>95201163</v>
      </c>
      <c r="B484" t="s">
        <v>6604</v>
      </c>
      <c r="C484" s="268" t="s">
        <v>6316</v>
      </c>
      <c r="D484" s="293">
        <v>7906</v>
      </c>
      <c r="E484" s="268" t="s">
        <v>4876</v>
      </c>
      <c r="F484" s="268" t="s">
        <v>4877</v>
      </c>
      <c r="G484" s="269">
        <v>3</v>
      </c>
      <c r="H484" s="269">
        <v>0</v>
      </c>
      <c r="I484" s="267">
        <v>34</v>
      </c>
      <c r="J484" s="268" t="s">
        <v>5269</v>
      </c>
      <c r="K484" s="295" t="s">
        <v>5270</v>
      </c>
      <c r="L484" s="295"/>
      <c r="M484" s="268">
        <v>1</v>
      </c>
      <c r="N484" s="268" t="b">
        <v>1</v>
      </c>
      <c r="O484" s="268">
        <v>7</v>
      </c>
      <c r="P484" s="281">
        <v>105</v>
      </c>
      <c r="Q484" s="281">
        <v>140</v>
      </c>
      <c r="R484" s="268" t="s">
        <v>3383</v>
      </c>
      <c r="S484" s="268"/>
      <c r="T484" s="268">
        <v>1</v>
      </c>
      <c r="U484" s="268" t="s">
        <v>4880</v>
      </c>
      <c r="V484" s="269">
        <v>3</v>
      </c>
      <c r="W484" s="269"/>
      <c r="X484" s="268" t="s">
        <v>4881</v>
      </c>
      <c r="Y484" t="s">
        <v>6605</v>
      </c>
      <c r="Z484" t="s">
        <v>6606</v>
      </c>
      <c r="AA484" s="268" t="s">
        <v>4884</v>
      </c>
      <c r="AB484" s="268"/>
      <c r="AC484" s="287">
        <v>1</v>
      </c>
      <c r="AD484" s="287">
        <v>1</v>
      </c>
      <c r="AE484" s="268"/>
      <c r="AF484" s="268"/>
      <c r="AG484" s="290"/>
    </row>
    <row r="485" spans="1:33" s="145" customFormat="1" x14ac:dyDescent="0.15">
      <c r="A485" s="267">
        <v>95201164</v>
      </c>
      <c r="B485" t="s">
        <v>6604</v>
      </c>
      <c r="C485" s="268" t="s">
        <v>6316</v>
      </c>
      <c r="D485" s="293">
        <v>7906</v>
      </c>
      <c r="E485" s="268" t="s">
        <v>4876</v>
      </c>
      <c r="F485" s="268" t="s">
        <v>4877</v>
      </c>
      <c r="G485" s="269">
        <v>4</v>
      </c>
      <c r="H485" s="269">
        <v>0</v>
      </c>
      <c r="I485" s="267">
        <v>34</v>
      </c>
      <c r="J485" s="268" t="s">
        <v>5269</v>
      </c>
      <c r="K485" s="295" t="s">
        <v>5270</v>
      </c>
      <c r="L485" s="295"/>
      <c r="M485" s="268">
        <v>1</v>
      </c>
      <c r="N485" s="268" t="b">
        <v>1</v>
      </c>
      <c r="O485" s="268">
        <v>10</v>
      </c>
      <c r="P485" s="281">
        <v>150</v>
      </c>
      <c r="Q485" s="281">
        <v>200</v>
      </c>
      <c r="R485" s="268" t="s">
        <v>3383</v>
      </c>
      <c r="S485" s="268"/>
      <c r="T485" s="268">
        <v>1</v>
      </c>
      <c r="U485" s="268" t="s">
        <v>4880</v>
      </c>
      <c r="V485" s="269">
        <v>4</v>
      </c>
      <c r="W485" s="269"/>
      <c r="X485" s="268" t="s">
        <v>4881</v>
      </c>
      <c r="Y485" t="s">
        <v>6605</v>
      </c>
      <c r="Z485" t="s">
        <v>6606</v>
      </c>
      <c r="AA485" s="268" t="s">
        <v>4884</v>
      </c>
      <c r="AB485" s="268"/>
      <c r="AC485" s="287">
        <v>1</v>
      </c>
      <c r="AD485" s="287">
        <v>1</v>
      </c>
      <c r="AE485" s="268"/>
      <c r="AF485" s="268"/>
      <c r="AG485" s="290"/>
    </row>
    <row r="486" spans="1:33" s="145" customFormat="1" x14ac:dyDescent="0.15">
      <c r="A486" s="267">
        <v>95201165</v>
      </c>
      <c r="B486" t="s">
        <v>6604</v>
      </c>
      <c r="C486" s="268" t="s">
        <v>6316</v>
      </c>
      <c r="D486" s="293">
        <v>7906</v>
      </c>
      <c r="E486" s="268" t="s">
        <v>4876</v>
      </c>
      <c r="F486" s="268" t="s">
        <v>4877</v>
      </c>
      <c r="G486" s="269">
        <v>5</v>
      </c>
      <c r="H486" s="269">
        <v>0</v>
      </c>
      <c r="I486" s="267">
        <v>34</v>
      </c>
      <c r="J486" s="268" t="s">
        <v>5269</v>
      </c>
      <c r="K486" s="295" t="s">
        <v>5270</v>
      </c>
      <c r="L486" s="295"/>
      <c r="M486" s="268">
        <v>1</v>
      </c>
      <c r="N486" s="268" t="b">
        <v>1</v>
      </c>
      <c r="O486" s="268">
        <v>12</v>
      </c>
      <c r="P486" s="281">
        <v>180</v>
      </c>
      <c r="Q486" s="281">
        <v>240</v>
      </c>
      <c r="R486" s="268" t="s">
        <v>3383</v>
      </c>
      <c r="S486" s="268"/>
      <c r="T486" s="268">
        <v>1</v>
      </c>
      <c r="U486" s="268" t="s">
        <v>4880</v>
      </c>
      <c r="V486" s="269">
        <v>5</v>
      </c>
      <c r="W486" s="269"/>
      <c r="X486" s="268" t="s">
        <v>4881</v>
      </c>
      <c r="Y486" t="s">
        <v>6605</v>
      </c>
      <c r="Z486" t="s">
        <v>6606</v>
      </c>
      <c r="AA486" s="268" t="s">
        <v>4884</v>
      </c>
      <c r="AB486" s="268"/>
      <c r="AC486" s="287">
        <v>1</v>
      </c>
      <c r="AD486" s="287">
        <v>1</v>
      </c>
      <c r="AE486" s="268"/>
      <c r="AF486" s="268"/>
      <c r="AG486" s="290"/>
    </row>
    <row r="487" spans="1:33" s="258" customFormat="1" x14ac:dyDescent="0.15">
      <c r="A487" s="270">
        <v>95201166</v>
      </c>
      <c r="B487" t="s">
        <v>6604</v>
      </c>
      <c r="C487" s="268" t="s">
        <v>6316</v>
      </c>
      <c r="D487" s="268">
        <v>7906</v>
      </c>
      <c r="E487" s="268" t="s">
        <v>4876</v>
      </c>
      <c r="F487" s="268" t="s">
        <v>4877</v>
      </c>
      <c r="G487" s="269">
        <v>6</v>
      </c>
      <c r="H487" s="269">
        <v>0</v>
      </c>
      <c r="I487" s="267">
        <v>34</v>
      </c>
      <c r="J487" s="282" t="s">
        <v>5269</v>
      </c>
      <c r="K487" s="279" t="s">
        <v>5270</v>
      </c>
      <c r="L487" s="279"/>
      <c r="M487" s="268">
        <v>1</v>
      </c>
      <c r="N487" s="268" t="b">
        <v>1</v>
      </c>
      <c r="O487" s="268">
        <v>25</v>
      </c>
      <c r="P487" s="281">
        <v>375</v>
      </c>
      <c r="Q487" s="281">
        <v>500</v>
      </c>
      <c r="R487" s="268" t="s">
        <v>3383</v>
      </c>
      <c r="S487" s="268"/>
      <c r="T487" s="268">
        <v>1</v>
      </c>
      <c r="U487" s="268" t="s">
        <v>4880</v>
      </c>
      <c r="V487" s="269">
        <v>6</v>
      </c>
      <c r="W487" s="269"/>
      <c r="X487" s="268" t="s">
        <v>4881</v>
      </c>
      <c r="Y487" t="s">
        <v>6605</v>
      </c>
      <c r="Z487" t="s">
        <v>6606</v>
      </c>
      <c r="AA487" s="268" t="s">
        <v>4884</v>
      </c>
      <c r="AB487" s="268"/>
      <c r="AC487" s="287">
        <v>1</v>
      </c>
      <c r="AD487" s="287">
        <v>1</v>
      </c>
      <c r="AE487" s="268"/>
      <c r="AF487" s="268"/>
      <c r="AG487" s="290"/>
    </row>
    <row r="488" spans="1:33" s="145" customFormat="1" x14ac:dyDescent="0.15">
      <c r="A488" s="270">
        <v>95201167</v>
      </c>
      <c r="B488" t="s">
        <v>6604</v>
      </c>
      <c r="C488" s="268" t="s">
        <v>6316</v>
      </c>
      <c r="D488" s="268">
        <v>7906</v>
      </c>
      <c r="E488" s="268" t="s">
        <v>4876</v>
      </c>
      <c r="F488" s="268" t="s">
        <v>4877</v>
      </c>
      <c r="G488" s="269">
        <v>7</v>
      </c>
      <c r="H488" s="269">
        <v>0</v>
      </c>
      <c r="I488" s="267">
        <v>34</v>
      </c>
      <c r="J488" s="282" t="s">
        <v>5269</v>
      </c>
      <c r="K488" s="279" t="s">
        <v>5270</v>
      </c>
      <c r="L488" s="279"/>
      <c r="M488" s="268">
        <v>1</v>
      </c>
      <c r="N488" s="268" t="b">
        <v>1</v>
      </c>
      <c r="O488" s="268">
        <v>38</v>
      </c>
      <c r="P488" s="281">
        <v>570</v>
      </c>
      <c r="Q488" s="281">
        <v>760</v>
      </c>
      <c r="R488" s="268" t="s">
        <v>3383</v>
      </c>
      <c r="S488" s="268"/>
      <c r="T488" s="268">
        <v>1</v>
      </c>
      <c r="U488" s="268" t="s">
        <v>4880</v>
      </c>
      <c r="V488" s="269">
        <v>7</v>
      </c>
      <c r="W488" s="269"/>
      <c r="X488" s="268" t="s">
        <v>4881</v>
      </c>
      <c r="Y488" t="s">
        <v>6605</v>
      </c>
      <c r="Z488" t="s">
        <v>6606</v>
      </c>
      <c r="AA488" s="268" t="s">
        <v>4884</v>
      </c>
      <c r="AB488" s="268"/>
      <c r="AC488" s="287">
        <v>1</v>
      </c>
      <c r="AD488" s="287">
        <v>1</v>
      </c>
      <c r="AE488" s="268"/>
      <c r="AF488" s="268"/>
      <c r="AG488" s="290"/>
    </row>
    <row r="489" spans="1:33" s="258" customFormat="1" x14ac:dyDescent="0.15">
      <c r="A489" s="271">
        <v>95201168</v>
      </c>
      <c r="B489" t="s">
        <v>6607</v>
      </c>
      <c r="C489" s="268" t="s">
        <v>6316</v>
      </c>
      <c r="D489" s="272">
        <v>5081</v>
      </c>
      <c r="E489" s="272" t="s">
        <v>4876</v>
      </c>
      <c r="F489" s="272" t="s">
        <v>4877</v>
      </c>
      <c r="G489" s="269">
        <v>6</v>
      </c>
      <c r="H489" s="273">
        <v>1</v>
      </c>
      <c r="I489" s="283">
        <v>34</v>
      </c>
      <c r="J489" s="284" t="s">
        <v>5269</v>
      </c>
      <c r="K489" s="285" t="s">
        <v>5270</v>
      </c>
      <c r="L489" s="272" t="s">
        <v>44</v>
      </c>
      <c r="M489" s="272">
        <v>1</v>
      </c>
      <c r="N489" s="272" t="b">
        <v>1</v>
      </c>
      <c r="O489" s="272">
        <v>51</v>
      </c>
      <c r="P489" s="281">
        <v>765</v>
      </c>
      <c r="Q489" s="281">
        <v>1020</v>
      </c>
      <c r="R489" s="272" t="s">
        <v>3383</v>
      </c>
      <c r="S489" s="272"/>
      <c r="T489" s="272">
        <v>1</v>
      </c>
      <c r="U489" s="272" t="s">
        <v>4880</v>
      </c>
      <c r="V489" s="273">
        <v>10</v>
      </c>
      <c r="W489" s="273"/>
      <c r="X489" s="272" t="s">
        <v>4881</v>
      </c>
      <c r="Y489" t="s">
        <v>6605</v>
      </c>
      <c r="Z489" t="s">
        <v>6606</v>
      </c>
      <c r="AA489" s="272" t="s">
        <v>4884</v>
      </c>
      <c r="AB489" s="272"/>
      <c r="AC489" s="289">
        <v>1</v>
      </c>
      <c r="AD489" s="289">
        <v>1</v>
      </c>
      <c r="AE489" s="289"/>
      <c r="AF489" s="272"/>
      <c r="AG489" s="272"/>
    </row>
    <row r="490" spans="1:33" s="258" customFormat="1" x14ac:dyDescent="0.15">
      <c r="A490" s="271">
        <v>95201169</v>
      </c>
      <c r="B490" t="s">
        <v>6608</v>
      </c>
      <c r="C490" s="268" t="s">
        <v>6316</v>
      </c>
      <c r="D490" s="272">
        <v>5081</v>
      </c>
      <c r="E490" s="272" t="s">
        <v>4876</v>
      </c>
      <c r="F490" s="272" t="s">
        <v>4877</v>
      </c>
      <c r="G490" s="269">
        <v>6</v>
      </c>
      <c r="H490" s="273">
        <v>1</v>
      </c>
      <c r="I490" s="283">
        <v>34</v>
      </c>
      <c r="J490" s="284" t="s">
        <v>5269</v>
      </c>
      <c r="K490" s="285" t="s">
        <v>5270</v>
      </c>
      <c r="L490" s="272" t="s">
        <v>4887</v>
      </c>
      <c r="M490" s="272">
        <v>1</v>
      </c>
      <c r="N490" s="272" t="b">
        <v>1</v>
      </c>
      <c r="O490" s="272">
        <v>64</v>
      </c>
      <c r="P490" s="281">
        <v>960</v>
      </c>
      <c r="Q490" s="281">
        <v>1280</v>
      </c>
      <c r="R490" s="272" t="s">
        <v>3383</v>
      </c>
      <c r="S490" s="272"/>
      <c r="T490" s="272">
        <v>1</v>
      </c>
      <c r="U490" s="272" t="s">
        <v>4880</v>
      </c>
      <c r="V490" s="273">
        <v>10</v>
      </c>
      <c r="W490" s="273"/>
      <c r="X490" s="272" t="s">
        <v>4881</v>
      </c>
      <c r="Y490" t="s">
        <v>6605</v>
      </c>
      <c r="Z490" t="s">
        <v>6606</v>
      </c>
      <c r="AA490" s="272" t="s">
        <v>4884</v>
      </c>
      <c r="AB490" s="272"/>
      <c r="AC490" s="289">
        <v>1</v>
      </c>
      <c r="AD490" s="289">
        <v>1</v>
      </c>
      <c r="AE490" s="289"/>
      <c r="AF490" s="272"/>
      <c r="AG490" s="272"/>
    </row>
    <row r="491" spans="1:33" s="258" customFormat="1" x14ac:dyDescent="0.15">
      <c r="A491" s="271">
        <v>95201170</v>
      </c>
      <c r="B491" t="s">
        <v>6609</v>
      </c>
      <c r="C491" s="268" t="s">
        <v>6316</v>
      </c>
      <c r="D491" s="272">
        <v>5081</v>
      </c>
      <c r="E491" s="272" t="s">
        <v>4876</v>
      </c>
      <c r="F491" s="272" t="s">
        <v>4877</v>
      </c>
      <c r="G491" s="269">
        <v>7</v>
      </c>
      <c r="H491" s="273">
        <v>0</v>
      </c>
      <c r="I491" s="283">
        <v>34</v>
      </c>
      <c r="J491" s="284" t="s">
        <v>5269</v>
      </c>
      <c r="K491" s="285" t="s">
        <v>5270</v>
      </c>
      <c r="L491" s="272" t="s">
        <v>4889</v>
      </c>
      <c r="M491" s="272">
        <v>1</v>
      </c>
      <c r="N491" s="272" t="b">
        <v>1</v>
      </c>
      <c r="O491" s="272">
        <v>77</v>
      </c>
      <c r="P491" s="281">
        <v>1155</v>
      </c>
      <c r="Q491" s="281">
        <v>1540</v>
      </c>
      <c r="R491" s="272" t="s">
        <v>3383</v>
      </c>
      <c r="S491" s="272"/>
      <c r="T491" s="272">
        <v>1</v>
      </c>
      <c r="U491" s="272" t="s">
        <v>4880</v>
      </c>
      <c r="V491" s="273">
        <v>10</v>
      </c>
      <c r="W491" s="273"/>
      <c r="X491" s="272" t="s">
        <v>4881</v>
      </c>
      <c r="Y491" t="s">
        <v>6605</v>
      </c>
      <c r="Z491" t="s">
        <v>6606</v>
      </c>
      <c r="AA491" s="272" t="s">
        <v>4884</v>
      </c>
      <c r="AB491" s="272"/>
      <c r="AC491" s="289">
        <v>1</v>
      </c>
      <c r="AD491" s="289">
        <v>1</v>
      </c>
      <c r="AE491" s="289"/>
      <c r="AF491" s="272"/>
      <c r="AG491" s="272"/>
    </row>
    <row r="492" spans="1:33" s="145" customFormat="1" x14ac:dyDescent="0.15">
      <c r="A492" s="267">
        <v>95201171</v>
      </c>
      <c r="B492" t="s">
        <v>6610</v>
      </c>
      <c r="C492" s="268" t="s">
        <v>6316</v>
      </c>
      <c r="D492" s="268">
        <v>7906</v>
      </c>
      <c r="E492" s="268" t="s">
        <v>4876</v>
      </c>
      <c r="F492" s="268" t="s">
        <v>4877</v>
      </c>
      <c r="G492" s="269">
        <v>1</v>
      </c>
      <c r="H492" s="269">
        <v>0</v>
      </c>
      <c r="I492" s="267">
        <v>34</v>
      </c>
      <c r="J492" s="282" t="s">
        <v>5277</v>
      </c>
      <c r="K492" s="279" t="s">
        <v>5278</v>
      </c>
      <c r="L492" s="279"/>
      <c r="M492" s="268">
        <v>1</v>
      </c>
      <c r="N492" s="268" t="b">
        <v>1</v>
      </c>
      <c r="O492" s="268">
        <v>2</v>
      </c>
      <c r="P492" s="281">
        <v>30</v>
      </c>
      <c r="Q492" s="281">
        <v>40</v>
      </c>
      <c r="R492" s="268" t="s">
        <v>3383</v>
      </c>
      <c r="S492" s="268"/>
      <c r="T492" s="268">
        <v>1</v>
      </c>
      <c r="U492" s="268" t="s">
        <v>4880</v>
      </c>
      <c r="V492" s="269">
        <v>1</v>
      </c>
      <c r="W492" s="269"/>
      <c r="X492" s="268" t="s">
        <v>4881</v>
      </c>
      <c r="Y492" t="s">
        <v>6611</v>
      </c>
      <c r="Z492" t="s">
        <v>6612</v>
      </c>
      <c r="AA492" s="268" t="s">
        <v>4884</v>
      </c>
      <c r="AB492" s="268"/>
      <c r="AC492" s="287">
        <v>1</v>
      </c>
      <c r="AD492" s="287">
        <v>1</v>
      </c>
      <c r="AE492" s="268"/>
      <c r="AF492" s="268"/>
      <c r="AG492" s="290"/>
    </row>
    <row r="493" spans="1:33" s="145" customFormat="1" x14ac:dyDescent="0.15">
      <c r="A493" s="267">
        <v>95201172</v>
      </c>
      <c r="B493" t="s">
        <v>6610</v>
      </c>
      <c r="C493" s="268" t="s">
        <v>6316</v>
      </c>
      <c r="D493" s="268">
        <v>7906</v>
      </c>
      <c r="E493" s="268" t="s">
        <v>4876</v>
      </c>
      <c r="F493" s="268" t="s">
        <v>4877</v>
      </c>
      <c r="G493" s="269">
        <v>2</v>
      </c>
      <c r="H493" s="269">
        <v>0</v>
      </c>
      <c r="I493" s="267">
        <v>34</v>
      </c>
      <c r="J493" s="282" t="s">
        <v>5277</v>
      </c>
      <c r="K493" s="279" t="s">
        <v>5278</v>
      </c>
      <c r="L493" s="279"/>
      <c r="M493" s="268">
        <v>1</v>
      </c>
      <c r="N493" s="268" t="b">
        <v>1</v>
      </c>
      <c r="O493" s="268">
        <v>5</v>
      </c>
      <c r="P493" s="281">
        <v>75</v>
      </c>
      <c r="Q493" s="281">
        <v>100</v>
      </c>
      <c r="R493" s="268" t="s">
        <v>3383</v>
      </c>
      <c r="S493" s="268"/>
      <c r="T493" s="268">
        <v>1</v>
      </c>
      <c r="U493" s="268" t="s">
        <v>4880</v>
      </c>
      <c r="V493" s="269">
        <v>2</v>
      </c>
      <c r="W493" s="269"/>
      <c r="X493" s="268" t="s">
        <v>4881</v>
      </c>
      <c r="Y493" t="s">
        <v>6611</v>
      </c>
      <c r="Z493" t="s">
        <v>6612</v>
      </c>
      <c r="AA493" s="268" t="s">
        <v>4884</v>
      </c>
      <c r="AB493" s="268"/>
      <c r="AC493" s="287">
        <v>1</v>
      </c>
      <c r="AD493" s="287">
        <v>1</v>
      </c>
      <c r="AE493" s="268"/>
      <c r="AF493" s="268"/>
      <c r="AG493" s="290"/>
    </row>
    <row r="494" spans="1:33" s="145" customFormat="1" x14ac:dyDescent="0.15">
      <c r="A494" s="267">
        <v>95201173</v>
      </c>
      <c r="B494" t="s">
        <v>6610</v>
      </c>
      <c r="C494" s="268" t="s">
        <v>6316</v>
      </c>
      <c r="D494" s="268">
        <v>7906</v>
      </c>
      <c r="E494" s="268" t="s">
        <v>4876</v>
      </c>
      <c r="F494" s="268" t="s">
        <v>4877</v>
      </c>
      <c r="G494" s="269">
        <v>3</v>
      </c>
      <c r="H494" s="269">
        <v>0</v>
      </c>
      <c r="I494" s="267">
        <v>34</v>
      </c>
      <c r="J494" s="282" t="s">
        <v>5277</v>
      </c>
      <c r="K494" s="279" t="s">
        <v>5278</v>
      </c>
      <c r="L494" s="279"/>
      <c r="M494" s="268">
        <v>1</v>
      </c>
      <c r="N494" s="268" t="b">
        <v>1</v>
      </c>
      <c r="O494" s="268">
        <v>7</v>
      </c>
      <c r="P494" s="281">
        <v>105</v>
      </c>
      <c r="Q494" s="281">
        <v>140</v>
      </c>
      <c r="R494" s="268" t="s">
        <v>3383</v>
      </c>
      <c r="S494" s="268"/>
      <c r="T494" s="268">
        <v>1</v>
      </c>
      <c r="U494" s="268" t="s">
        <v>4880</v>
      </c>
      <c r="V494" s="269">
        <v>3</v>
      </c>
      <c r="W494" s="269"/>
      <c r="X494" s="268" t="s">
        <v>4881</v>
      </c>
      <c r="Y494" t="s">
        <v>6611</v>
      </c>
      <c r="Z494" t="s">
        <v>6612</v>
      </c>
      <c r="AA494" s="268" t="s">
        <v>4884</v>
      </c>
      <c r="AB494" s="268"/>
      <c r="AC494" s="287">
        <v>1</v>
      </c>
      <c r="AD494" s="287">
        <v>1</v>
      </c>
      <c r="AE494" s="268"/>
      <c r="AF494" s="268"/>
      <c r="AG494" s="290"/>
    </row>
    <row r="495" spans="1:33" s="145" customFormat="1" x14ac:dyDescent="0.15">
      <c r="A495" s="267">
        <v>95201174</v>
      </c>
      <c r="B495" t="s">
        <v>6610</v>
      </c>
      <c r="C495" s="268" t="s">
        <v>6316</v>
      </c>
      <c r="D495" s="268">
        <v>7906</v>
      </c>
      <c r="E495" s="268" t="s">
        <v>4876</v>
      </c>
      <c r="F495" s="268" t="s">
        <v>4877</v>
      </c>
      <c r="G495" s="269">
        <v>4</v>
      </c>
      <c r="H495" s="269">
        <v>0</v>
      </c>
      <c r="I495" s="267">
        <v>34</v>
      </c>
      <c r="J495" s="282" t="s">
        <v>5277</v>
      </c>
      <c r="K495" s="279" t="s">
        <v>5278</v>
      </c>
      <c r="L495" s="279"/>
      <c r="M495" s="268">
        <v>1</v>
      </c>
      <c r="N495" s="268" t="b">
        <v>1</v>
      </c>
      <c r="O495" s="268">
        <v>10</v>
      </c>
      <c r="P495" s="281">
        <v>150</v>
      </c>
      <c r="Q495" s="281">
        <v>200</v>
      </c>
      <c r="R495" s="268" t="s">
        <v>3383</v>
      </c>
      <c r="S495" s="268"/>
      <c r="T495" s="268">
        <v>1</v>
      </c>
      <c r="U495" s="268" t="s">
        <v>4880</v>
      </c>
      <c r="V495" s="269">
        <v>4</v>
      </c>
      <c r="W495" s="269"/>
      <c r="X495" s="268" t="s">
        <v>4881</v>
      </c>
      <c r="Y495" t="s">
        <v>6611</v>
      </c>
      <c r="Z495" t="s">
        <v>6612</v>
      </c>
      <c r="AA495" s="268" t="s">
        <v>4884</v>
      </c>
      <c r="AB495" s="268"/>
      <c r="AC495" s="287">
        <v>1</v>
      </c>
      <c r="AD495" s="287">
        <v>1</v>
      </c>
      <c r="AE495" s="268"/>
      <c r="AF495" s="268"/>
      <c r="AG495" s="290"/>
    </row>
    <row r="496" spans="1:33" s="145" customFormat="1" x14ac:dyDescent="0.15">
      <c r="A496" s="267">
        <v>95201175</v>
      </c>
      <c r="B496" t="s">
        <v>6610</v>
      </c>
      <c r="C496" s="268" t="s">
        <v>6316</v>
      </c>
      <c r="D496" s="268">
        <v>7906</v>
      </c>
      <c r="E496" s="268" t="s">
        <v>4876</v>
      </c>
      <c r="F496" s="268" t="s">
        <v>4877</v>
      </c>
      <c r="G496" s="269">
        <v>5</v>
      </c>
      <c r="H496" s="269">
        <v>0</v>
      </c>
      <c r="I496" s="267">
        <v>34</v>
      </c>
      <c r="J496" s="282" t="s">
        <v>5277</v>
      </c>
      <c r="K496" s="279" t="s">
        <v>5278</v>
      </c>
      <c r="L496" s="279"/>
      <c r="M496" s="268">
        <v>1</v>
      </c>
      <c r="N496" s="268" t="b">
        <v>1</v>
      </c>
      <c r="O496" s="268">
        <v>12</v>
      </c>
      <c r="P496" s="281">
        <v>180</v>
      </c>
      <c r="Q496" s="281">
        <v>240</v>
      </c>
      <c r="R496" s="268" t="s">
        <v>3383</v>
      </c>
      <c r="S496" s="268"/>
      <c r="T496" s="268">
        <v>1</v>
      </c>
      <c r="U496" s="268" t="s">
        <v>4880</v>
      </c>
      <c r="V496" s="269">
        <v>5</v>
      </c>
      <c r="W496" s="269"/>
      <c r="X496" s="268" t="s">
        <v>4881</v>
      </c>
      <c r="Y496" t="s">
        <v>6611</v>
      </c>
      <c r="Z496" t="s">
        <v>6612</v>
      </c>
      <c r="AA496" s="268" t="s">
        <v>4884</v>
      </c>
      <c r="AB496" s="268"/>
      <c r="AC496" s="287">
        <v>1</v>
      </c>
      <c r="AD496" s="287">
        <v>1</v>
      </c>
      <c r="AE496" s="268"/>
      <c r="AF496" s="268"/>
      <c r="AG496" s="290"/>
    </row>
    <row r="497" spans="1:33" s="145" customFormat="1" x14ac:dyDescent="0.15">
      <c r="A497" s="270">
        <v>95201176</v>
      </c>
      <c r="B497" t="s">
        <v>6610</v>
      </c>
      <c r="C497" s="268" t="s">
        <v>6316</v>
      </c>
      <c r="D497" s="268">
        <v>7906</v>
      </c>
      <c r="E497" s="268" t="s">
        <v>4876</v>
      </c>
      <c r="F497" s="268" t="s">
        <v>4877</v>
      </c>
      <c r="G497" s="269">
        <v>6</v>
      </c>
      <c r="H497" s="269">
        <v>0</v>
      </c>
      <c r="I497" s="267">
        <v>34</v>
      </c>
      <c r="J497" s="282" t="s">
        <v>5277</v>
      </c>
      <c r="K497" s="279" t="s">
        <v>5278</v>
      </c>
      <c r="L497" s="279"/>
      <c r="M497" s="268">
        <v>1</v>
      </c>
      <c r="N497" s="268" t="b">
        <v>1</v>
      </c>
      <c r="O497" s="268">
        <v>25</v>
      </c>
      <c r="P497" s="281">
        <v>375</v>
      </c>
      <c r="Q497" s="281">
        <v>500</v>
      </c>
      <c r="R497" s="268" t="s">
        <v>3383</v>
      </c>
      <c r="S497" s="268"/>
      <c r="T497" s="268">
        <v>1</v>
      </c>
      <c r="U497" s="268" t="s">
        <v>4880</v>
      </c>
      <c r="V497" s="269">
        <v>6</v>
      </c>
      <c r="W497" s="269"/>
      <c r="X497" s="268" t="s">
        <v>4881</v>
      </c>
      <c r="Y497" t="s">
        <v>6611</v>
      </c>
      <c r="Z497" t="s">
        <v>6612</v>
      </c>
      <c r="AA497" s="268" t="s">
        <v>4884</v>
      </c>
      <c r="AB497" s="268"/>
      <c r="AC497" s="287">
        <v>1</v>
      </c>
      <c r="AD497" s="287">
        <v>1</v>
      </c>
      <c r="AE497" s="268"/>
      <c r="AF497" s="268"/>
      <c r="AG497" s="290"/>
    </row>
    <row r="498" spans="1:33" s="145" customFormat="1" x14ac:dyDescent="0.15">
      <c r="A498" s="270">
        <v>95201177</v>
      </c>
      <c r="B498" t="s">
        <v>6610</v>
      </c>
      <c r="C498" s="268" t="s">
        <v>6316</v>
      </c>
      <c r="D498" s="268">
        <v>7906</v>
      </c>
      <c r="E498" s="268" t="s">
        <v>4876</v>
      </c>
      <c r="F498" s="268" t="s">
        <v>4877</v>
      </c>
      <c r="G498" s="269">
        <v>7</v>
      </c>
      <c r="H498" s="269">
        <v>0</v>
      </c>
      <c r="I498" s="267">
        <v>34</v>
      </c>
      <c r="J498" s="282" t="s">
        <v>5277</v>
      </c>
      <c r="K498" s="279" t="s">
        <v>5278</v>
      </c>
      <c r="L498" s="279"/>
      <c r="M498" s="268">
        <v>1</v>
      </c>
      <c r="N498" s="268" t="b">
        <v>1</v>
      </c>
      <c r="O498" s="268">
        <v>38</v>
      </c>
      <c r="P498" s="281">
        <v>570</v>
      </c>
      <c r="Q498" s="281">
        <v>760</v>
      </c>
      <c r="R498" s="268" t="s">
        <v>3383</v>
      </c>
      <c r="S498" s="268"/>
      <c r="T498" s="268">
        <v>1</v>
      </c>
      <c r="U498" s="268" t="s">
        <v>4880</v>
      </c>
      <c r="V498" s="269">
        <v>7</v>
      </c>
      <c r="W498" s="269"/>
      <c r="X498" s="268" t="s">
        <v>4881</v>
      </c>
      <c r="Y498" t="s">
        <v>6611</v>
      </c>
      <c r="Z498" t="s">
        <v>6612</v>
      </c>
      <c r="AA498" s="268" t="s">
        <v>4884</v>
      </c>
      <c r="AB498" s="268"/>
      <c r="AC498" s="287">
        <v>1</v>
      </c>
      <c r="AD498" s="287">
        <v>1</v>
      </c>
      <c r="AE498" s="268"/>
      <c r="AF498" s="268"/>
      <c r="AG498" s="290"/>
    </row>
    <row r="499" spans="1:33" s="258" customFormat="1" x14ac:dyDescent="0.15">
      <c r="A499" s="271">
        <v>95201178</v>
      </c>
      <c r="B499" t="s">
        <v>6613</v>
      </c>
      <c r="C499" s="268" t="s">
        <v>6316</v>
      </c>
      <c r="D499" s="272">
        <v>5081</v>
      </c>
      <c r="E499" s="272" t="s">
        <v>4876</v>
      </c>
      <c r="F499" s="272" t="s">
        <v>4877</v>
      </c>
      <c r="G499" s="269">
        <v>6</v>
      </c>
      <c r="H499" s="273">
        <v>0</v>
      </c>
      <c r="I499" s="283">
        <v>34</v>
      </c>
      <c r="J499" s="284" t="s">
        <v>5277</v>
      </c>
      <c r="K499" s="285" t="s">
        <v>5278</v>
      </c>
      <c r="L499" s="272" t="s">
        <v>44</v>
      </c>
      <c r="M499" s="272">
        <v>1</v>
      </c>
      <c r="N499" s="272" t="b">
        <v>1</v>
      </c>
      <c r="O499" s="272">
        <v>51</v>
      </c>
      <c r="P499" s="281">
        <v>765</v>
      </c>
      <c r="Q499" s="281">
        <v>1020</v>
      </c>
      <c r="R499" s="272" t="s">
        <v>3383</v>
      </c>
      <c r="S499" s="272"/>
      <c r="T499" s="272">
        <v>1</v>
      </c>
      <c r="U499" s="272" t="s">
        <v>4880</v>
      </c>
      <c r="V499" s="273">
        <v>10</v>
      </c>
      <c r="W499" s="273"/>
      <c r="X499" s="272" t="s">
        <v>4881</v>
      </c>
      <c r="Y499" t="s">
        <v>6611</v>
      </c>
      <c r="Z499" t="s">
        <v>6612</v>
      </c>
      <c r="AA499" s="272" t="s">
        <v>4884</v>
      </c>
      <c r="AB499" s="272"/>
      <c r="AC499" s="289">
        <v>1</v>
      </c>
      <c r="AD499" s="289">
        <v>1</v>
      </c>
      <c r="AE499" s="289"/>
      <c r="AF499" s="272"/>
      <c r="AG499" s="272"/>
    </row>
    <row r="500" spans="1:33" s="258" customFormat="1" x14ac:dyDescent="0.15">
      <c r="A500" s="271">
        <v>95201179</v>
      </c>
      <c r="B500" t="s">
        <v>6614</v>
      </c>
      <c r="C500" s="268" t="s">
        <v>6316</v>
      </c>
      <c r="D500" s="272">
        <v>5081</v>
      </c>
      <c r="E500" s="272" t="s">
        <v>4876</v>
      </c>
      <c r="F500" s="272" t="s">
        <v>4877</v>
      </c>
      <c r="G500" s="269">
        <v>6</v>
      </c>
      <c r="H500" s="273">
        <v>0</v>
      </c>
      <c r="I500" s="283">
        <v>34</v>
      </c>
      <c r="J500" s="284" t="s">
        <v>5277</v>
      </c>
      <c r="K500" s="285" t="s">
        <v>5278</v>
      </c>
      <c r="L500" s="272" t="s">
        <v>4887</v>
      </c>
      <c r="M500" s="272">
        <v>1</v>
      </c>
      <c r="N500" s="272" t="b">
        <v>1</v>
      </c>
      <c r="O500" s="272">
        <v>64</v>
      </c>
      <c r="P500" s="281">
        <v>960</v>
      </c>
      <c r="Q500" s="281">
        <v>1280</v>
      </c>
      <c r="R500" s="272" t="s">
        <v>3383</v>
      </c>
      <c r="S500" s="272"/>
      <c r="T500" s="272">
        <v>1</v>
      </c>
      <c r="U500" s="272" t="s">
        <v>4880</v>
      </c>
      <c r="V500" s="273">
        <v>10</v>
      </c>
      <c r="W500" s="273"/>
      <c r="X500" s="272" t="s">
        <v>4881</v>
      </c>
      <c r="Y500" t="s">
        <v>6611</v>
      </c>
      <c r="Z500" t="s">
        <v>6612</v>
      </c>
      <c r="AA500" s="272" t="s">
        <v>4884</v>
      </c>
      <c r="AB500" s="272"/>
      <c r="AC500" s="289">
        <v>1</v>
      </c>
      <c r="AD500" s="289">
        <v>1</v>
      </c>
      <c r="AE500" s="289"/>
      <c r="AF500" s="272"/>
      <c r="AG500" s="272"/>
    </row>
    <row r="501" spans="1:33" s="258" customFormat="1" x14ac:dyDescent="0.15">
      <c r="A501" s="271">
        <v>95201180</v>
      </c>
      <c r="B501" t="s">
        <v>6615</v>
      </c>
      <c r="C501" s="268" t="s">
        <v>6316</v>
      </c>
      <c r="D501" s="272">
        <v>5081</v>
      </c>
      <c r="E501" s="272" t="s">
        <v>4876</v>
      </c>
      <c r="F501" s="272" t="s">
        <v>4877</v>
      </c>
      <c r="G501" s="269">
        <v>7</v>
      </c>
      <c r="H501" s="273">
        <v>0</v>
      </c>
      <c r="I501" s="283">
        <v>34</v>
      </c>
      <c r="J501" s="284" t="s">
        <v>5277</v>
      </c>
      <c r="K501" s="285" t="s">
        <v>5278</v>
      </c>
      <c r="L501" s="272" t="s">
        <v>4889</v>
      </c>
      <c r="M501" s="272">
        <v>1</v>
      </c>
      <c r="N501" s="272" t="b">
        <v>1</v>
      </c>
      <c r="O501" s="272">
        <v>77</v>
      </c>
      <c r="P501" s="281">
        <v>1155</v>
      </c>
      <c r="Q501" s="281">
        <v>1540</v>
      </c>
      <c r="R501" s="272" t="s">
        <v>3383</v>
      </c>
      <c r="S501" s="272"/>
      <c r="T501" s="272">
        <v>1</v>
      </c>
      <c r="U501" s="272" t="s">
        <v>4880</v>
      </c>
      <c r="V501" s="273">
        <v>10</v>
      </c>
      <c r="W501" s="273"/>
      <c r="X501" s="272" t="s">
        <v>4881</v>
      </c>
      <c r="Y501" t="s">
        <v>6611</v>
      </c>
      <c r="Z501" t="s">
        <v>6612</v>
      </c>
      <c r="AA501" s="272" t="s">
        <v>4884</v>
      </c>
      <c r="AB501" s="272"/>
      <c r="AC501" s="289">
        <v>1</v>
      </c>
      <c r="AD501" s="289">
        <v>1</v>
      </c>
      <c r="AE501" s="289"/>
      <c r="AF501" s="272"/>
      <c r="AG501" s="272"/>
    </row>
    <row r="502" spans="1:33" s="145" customFormat="1" x14ac:dyDescent="0.15">
      <c r="A502" s="267">
        <v>95201181</v>
      </c>
      <c r="B502" t="s">
        <v>6616</v>
      </c>
      <c r="C502" s="268" t="s">
        <v>6316</v>
      </c>
      <c r="D502" s="268">
        <v>7906</v>
      </c>
      <c r="E502" s="268" t="s">
        <v>4876</v>
      </c>
      <c r="F502" s="268" t="s">
        <v>4877</v>
      </c>
      <c r="G502" s="269">
        <v>1</v>
      </c>
      <c r="H502" s="269">
        <v>0</v>
      </c>
      <c r="I502" s="267">
        <v>34</v>
      </c>
      <c r="J502" s="282" t="s">
        <v>5285</v>
      </c>
      <c r="K502" s="279" t="s">
        <v>5286</v>
      </c>
      <c r="L502" s="279"/>
      <c r="M502" s="268">
        <v>1</v>
      </c>
      <c r="N502" s="268" t="b">
        <v>1</v>
      </c>
      <c r="O502" s="268">
        <v>2</v>
      </c>
      <c r="P502" s="281">
        <v>30</v>
      </c>
      <c r="Q502" s="281">
        <v>40</v>
      </c>
      <c r="R502" s="268" t="s">
        <v>3383</v>
      </c>
      <c r="S502" s="268"/>
      <c r="T502" s="268">
        <v>1</v>
      </c>
      <c r="U502" s="268" t="s">
        <v>4880</v>
      </c>
      <c r="V502" s="269">
        <v>1</v>
      </c>
      <c r="W502" s="269"/>
      <c r="X502" s="268" t="s">
        <v>4881</v>
      </c>
      <c r="Y502" t="s">
        <v>6617</v>
      </c>
      <c r="Z502" t="s">
        <v>6618</v>
      </c>
      <c r="AA502" s="268" t="s">
        <v>4884</v>
      </c>
      <c r="AB502" s="268"/>
      <c r="AC502" s="287">
        <v>1</v>
      </c>
      <c r="AD502" s="287">
        <v>1</v>
      </c>
      <c r="AE502" s="268"/>
      <c r="AF502" s="268"/>
      <c r="AG502" s="290"/>
    </row>
    <row r="503" spans="1:33" s="145" customFormat="1" x14ac:dyDescent="0.15">
      <c r="A503" s="267">
        <v>95201182</v>
      </c>
      <c r="B503" t="s">
        <v>6616</v>
      </c>
      <c r="C503" s="268" t="s">
        <v>6316</v>
      </c>
      <c r="D503" s="268">
        <v>7906</v>
      </c>
      <c r="E503" s="268" t="s">
        <v>4876</v>
      </c>
      <c r="F503" s="268" t="s">
        <v>4877</v>
      </c>
      <c r="G503" s="269">
        <v>2</v>
      </c>
      <c r="H503" s="269">
        <v>0</v>
      </c>
      <c r="I503" s="267">
        <v>34</v>
      </c>
      <c r="J503" s="282" t="s">
        <v>5285</v>
      </c>
      <c r="K503" s="279" t="s">
        <v>5286</v>
      </c>
      <c r="L503" s="279"/>
      <c r="M503" s="268">
        <v>1</v>
      </c>
      <c r="N503" s="268" t="b">
        <v>1</v>
      </c>
      <c r="O503" s="268">
        <v>5</v>
      </c>
      <c r="P503" s="281">
        <v>75</v>
      </c>
      <c r="Q503" s="281">
        <v>100</v>
      </c>
      <c r="R503" s="268" t="s">
        <v>3383</v>
      </c>
      <c r="S503" s="268"/>
      <c r="T503" s="268">
        <v>1</v>
      </c>
      <c r="U503" s="268" t="s">
        <v>4880</v>
      </c>
      <c r="V503" s="269">
        <v>2</v>
      </c>
      <c r="W503" s="269"/>
      <c r="X503" s="268" t="s">
        <v>4881</v>
      </c>
      <c r="Y503" t="s">
        <v>6617</v>
      </c>
      <c r="Z503" t="s">
        <v>6618</v>
      </c>
      <c r="AA503" s="268" t="s">
        <v>4884</v>
      </c>
      <c r="AB503" s="268"/>
      <c r="AC503" s="287">
        <v>1</v>
      </c>
      <c r="AD503" s="287">
        <v>1</v>
      </c>
      <c r="AE503" s="268"/>
      <c r="AF503" s="268"/>
      <c r="AG503" s="290"/>
    </row>
    <row r="504" spans="1:33" s="145" customFormat="1" x14ac:dyDescent="0.15">
      <c r="A504" s="267">
        <v>95201183</v>
      </c>
      <c r="B504" t="s">
        <v>6616</v>
      </c>
      <c r="C504" s="268" t="s">
        <v>6316</v>
      </c>
      <c r="D504" s="268">
        <v>7906</v>
      </c>
      <c r="E504" s="268" t="s">
        <v>4876</v>
      </c>
      <c r="F504" s="268" t="s">
        <v>4877</v>
      </c>
      <c r="G504" s="269">
        <v>3</v>
      </c>
      <c r="H504" s="269">
        <v>0</v>
      </c>
      <c r="I504" s="267">
        <v>34</v>
      </c>
      <c r="J504" s="282" t="s">
        <v>5285</v>
      </c>
      <c r="K504" s="279" t="s">
        <v>5286</v>
      </c>
      <c r="L504" s="279"/>
      <c r="M504" s="268">
        <v>1</v>
      </c>
      <c r="N504" s="268" t="b">
        <v>1</v>
      </c>
      <c r="O504" s="268">
        <v>7</v>
      </c>
      <c r="P504" s="281">
        <v>105</v>
      </c>
      <c r="Q504" s="281">
        <v>140</v>
      </c>
      <c r="R504" s="268" t="s">
        <v>3383</v>
      </c>
      <c r="S504" s="268"/>
      <c r="T504" s="268">
        <v>1</v>
      </c>
      <c r="U504" s="268" t="s">
        <v>4880</v>
      </c>
      <c r="V504" s="269">
        <v>3</v>
      </c>
      <c r="W504" s="269"/>
      <c r="X504" s="268" t="s">
        <v>4881</v>
      </c>
      <c r="Y504" t="s">
        <v>6617</v>
      </c>
      <c r="Z504" t="s">
        <v>6618</v>
      </c>
      <c r="AA504" s="268" t="s">
        <v>4884</v>
      </c>
      <c r="AB504" s="268"/>
      <c r="AC504" s="287">
        <v>1</v>
      </c>
      <c r="AD504" s="287">
        <v>1</v>
      </c>
      <c r="AE504" s="268"/>
      <c r="AF504" s="268"/>
      <c r="AG504" s="290"/>
    </row>
    <row r="505" spans="1:33" s="145" customFormat="1" x14ac:dyDescent="0.15">
      <c r="A505" s="267">
        <v>95201184</v>
      </c>
      <c r="B505" t="s">
        <v>6616</v>
      </c>
      <c r="C505" s="268" t="s">
        <v>6316</v>
      </c>
      <c r="D505" s="268">
        <v>7906</v>
      </c>
      <c r="E505" s="268" t="s">
        <v>4876</v>
      </c>
      <c r="F505" s="268" t="s">
        <v>4877</v>
      </c>
      <c r="G505" s="269">
        <v>4</v>
      </c>
      <c r="H505" s="269">
        <v>0</v>
      </c>
      <c r="I505" s="267">
        <v>34</v>
      </c>
      <c r="J505" s="282" t="s">
        <v>5285</v>
      </c>
      <c r="K505" s="279" t="s">
        <v>5286</v>
      </c>
      <c r="L505" s="279"/>
      <c r="M505" s="268">
        <v>1</v>
      </c>
      <c r="N505" s="268" t="b">
        <v>1</v>
      </c>
      <c r="O505" s="268">
        <v>10</v>
      </c>
      <c r="P505" s="281">
        <v>150</v>
      </c>
      <c r="Q505" s="281">
        <v>200</v>
      </c>
      <c r="R505" s="268" t="s">
        <v>3383</v>
      </c>
      <c r="S505" s="268"/>
      <c r="T505" s="268">
        <v>1</v>
      </c>
      <c r="U505" s="268" t="s">
        <v>4880</v>
      </c>
      <c r="V505" s="269">
        <v>4</v>
      </c>
      <c r="W505" s="269"/>
      <c r="X505" s="268" t="s">
        <v>4881</v>
      </c>
      <c r="Y505" t="s">
        <v>6617</v>
      </c>
      <c r="Z505" t="s">
        <v>6618</v>
      </c>
      <c r="AA505" s="268" t="s">
        <v>4884</v>
      </c>
      <c r="AB505" s="268"/>
      <c r="AC505" s="287">
        <v>1</v>
      </c>
      <c r="AD505" s="287">
        <v>1</v>
      </c>
      <c r="AE505" s="268"/>
      <c r="AF505" s="268"/>
      <c r="AG505" s="290"/>
    </row>
    <row r="506" spans="1:33" s="145" customFormat="1" x14ac:dyDescent="0.15">
      <c r="A506" s="267">
        <v>95201185</v>
      </c>
      <c r="B506" t="s">
        <v>6616</v>
      </c>
      <c r="C506" s="268" t="s">
        <v>6316</v>
      </c>
      <c r="D506" s="268">
        <v>7906</v>
      </c>
      <c r="E506" s="268" t="s">
        <v>4876</v>
      </c>
      <c r="F506" s="268" t="s">
        <v>4877</v>
      </c>
      <c r="G506" s="269">
        <v>5</v>
      </c>
      <c r="H506" s="269">
        <v>0</v>
      </c>
      <c r="I506" s="267">
        <v>34</v>
      </c>
      <c r="J506" s="282" t="s">
        <v>5285</v>
      </c>
      <c r="K506" s="279" t="s">
        <v>5286</v>
      </c>
      <c r="L506" s="279"/>
      <c r="M506" s="268">
        <v>1</v>
      </c>
      <c r="N506" s="268" t="b">
        <v>1</v>
      </c>
      <c r="O506" s="268">
        <v>12</v>
      </c>
      <c r="P506" s="281">
        <v>180</v>
      </c>
      <c r="Q506" s="281">
        <v>240</v>
      </c>
      <c r="R506" s="268" t="s">
        <v>3383</v>
      </c>
      <c r="S506" s="268"/>
      <c r="T506" s="268">
        <v>1</v>
      </c>
      <c r="U506" s="268" t="s">
        <v>4880</v>
      </c>
      <c r="V506" s="269">
        <v>5</v>
      </c>
      <c r="W506" s="269"/>
      <c r="X506" s="268" t="s">
        <v>4881</v>
      </c>
      <c r="Y506" t="s">
        <v>6617</v>
      </c>
      <c r="Z506" t="s">
        <v>6618</v>
      </c>
      <c r="AA506" s="268" t="s">
        <v>4884</v>
      </c>
      <c r="AB506" s="268"/>
      <c r="AC506" s="287">
        <v>1</v>
      </c>
      <c r="AD506" s="287">
        <v>1</v>
      </c>
      <c r="AE506" s="268"/>
      <c r="AF506" s="268"/>
      <c r="AG506" s="290"/>
    </row>
    <row r="507" spans="1:33" s="145" customFormat="1" x14ac:dyDescent="0.15">
      <c r="A507" s="270">
        <v>95201186</v>
      </c>
      <c r="B507" t="s">
        <v>6616</v>
      </c>
      <c r="C507" s="268" t="s">
        <v>6316</v>
      </c>
      <c r="D507" s="268">
        <v>7906</v>
      </c>
      <c r="E507" s="268" t="s">
        <v>4876</v>
      </c>
      <c r="F507" s="268" t="s">
        <v>4877</v>
      </c>
      <c r="G507" s="269">
        <v>6</v>
      </c>
      <c r="H507" s="269">
        <v>0</v>
      </c>
      <c r="I507" s="267">
        <v>34</v>
      </c>
      <c r="J507" s="282" t="s">
        <v>5285</v>
      </c>
      <c r="K507" s="279" t="s">
        <v>5286</v>
      </c>
      <c r="L507" s="279"/>
      <c r="M507" s="268">
        <v>1</v>
      </c>
      <c r="N507" s="268" t="b">
        <v>1</v>
      </c>
      <c r="O507" s="268">
        <v>25</v>
      </c>
      <c r="P507" s="281">
        <v>375</v>
      </c>
      <c r="Q507" s="281">
        <v>500</v>
      </c>
      <c r="R507" s="268" t="s">
        <v>3383</v>
      </c>
      <c r="S507" s="268"/>
      <c r="T507" s="268">
        <v>1</v>
      </c>
      <c r="U507" s="268" t="s">
        <v>4880</v>
      </c>
      <c r="V507" s="269">
        <v>6</v>
      </c>
      <c r="W507" s="269"/>
      <c r="X507" s="268" t="s">
        <v>4881</v>
      </c>
      <c r="Y507" t="s">
        <v>6617</v>
      </c>
      <c r="Z507" t="s">
        <v>6618</v>
      </c>
      <c r="AA507" s="268" t="s">
        <v>4884</v>
      </c>
      <c r="AB507" s="268"/>
      <c r="AC507" s="287">
        <v>1</v>
      </c>
      <c r="AD507" s="287">
        <v>1</v>
      </c>
      <c r="AE507" s="268"/>
      <c r="AF507" s="268"/>
      <c r="AG507" s="290"/>
    </row>
    <row r="508" spans="1:33" s="145" customFormat="1" x14ac:dyDescent="0.15">
      <c r="A508" s="270">
        <v>95201187</v>
      </c>
      <c r="B508" t="s">
        <v>6616</v>
      </c>
      <c r="C508" s="268" t="s">
        <v>6316</v>
      </c>
      <c r="D508" s="268">
        <v>7906</v>
      </c>
      <c r="E508" s="268" t="s">
        <v>4876</v>
      </c>
      <c r="F508" s="268" t="s">
        <v>4877</v>
      </c>
      <c r="G508" s="269">
        <v>7</v>
      </c>
      <c r="H508" s="269">
        <v>0</v>
      </c>
      <c r="I508" s="267">
        <v>34</v>
      </c>
      <c r="J508" s="282" t="s">
        <v>5285</v>
      </c>
      <c r="K508" s="279" t="s">
        <v>5286</v>
      </c>
      <c r="L508" s="279"/>
      <c r="M508" s="268">
        <v>1</v>
      </c>
      <c r="N508" s="268" t="b">
        <v>1</v>
      </c>
      <c r="O508" s="268">
        <v>38</v>
      </c>
      <c r="P508" s="281">
        <v>570</v>
      </c>
      <c r="Q508" s="281">
        <v>760</v>
      </c>
      <c r="R508" s="268" t="s">
        <v>3383</v>
      </c>
      <c r="S508" s="268"/>
      <c r="T508" s="268">
        <v>1</v>
      </c>
      <c r="U508" s="268" t="s">
        <v>4880</v>
      </c>
      <c r="V508" s="269">
        <v>7</v>
      </c>
      <c r="W508" s="269"/>
      <c r="X508" s="268" t="s">
        <v>4881</v>
      </c>
      <c r="Y508" t="s">
        <v>6617</v>
      </c>
      <c r="Z508" t="s">
        <v>6618</v>
      </c>
      <c r="AA508" s="268" t="s">
        <v>4884</v>
      </c>
      <c r="AB508" s="268"/>
      <c r="AC508" s="287">
        <v>1</v>
      </c>
      <c r="AD508" s="287">
        <v>1</v>
      </c>
      <c r="AE508" s="268"/>
      <c r="AF508" s="268"/>
      <c r="AG508" s="290"/>
    </row>
    <row r="509" spans="1:33" s="258" customFormat="1" x14ac:dyDescent="0.15">
      <c r="A509" s="271">
        <v>95201188</v>
      </c>
      <c r="B509" t="s">
        <v>6619</v>
      </c>
      <c r="C509" s="268" t="s">
        <v>6316</v>
      </c>
      <c r="D509" s="272">
        <v>5081</v>
      </c>
      <c r="E509" s="272" t="s">
        <v>4876</v>
      </c>
      <c r="F509" s="272" t="s">
        <v>4877</v>
      </c>
      <c r="G509" s="269">
        <v>6</v>
      </c>
      <c r="H509" s="273">
        <v>1</v>
      </c>
      <c r="I509" s="283">
        <v>34</v>
      </c>
      <c r="J509" s="284" t="s">
        <v>5285</v>
      </c>
      <c r="K509" s="285" t="s">
        <v>5286</v>
      </c>
      <c r="L509" s="272" t="s">
        <v>44</v>
      </c>
      <c r="M509" s="272">
        <v>1</v>
      </c>
      <c r="N509" s="272" t="b">
        <v>1</v>
      </c>
      <c r="O509" s="272">
        <v>51</v>
      </c>
      <c r="P509" s="281">
        <v>765</v>
      </c>
      <c r="Q509" s="281">
        <v>1020</v>
      </c>
      <c r="R509" s="272" t="s">
        <v>3383</v>
      </c>
      <c r="S509" s="272"/>
      <c r="T509" s="272">
        <v>1</v>
      </c>
      <c r="U509" s="272" t="s">
        <v>4880</v>
      </c>
      <c r="V509" s="273">
        <v>10</v>
      </c>
      <c r="W509" s="273"/>
      <c r="X509" s="272" t="s">
        <v>4881</v>
      </c>
      <c r="Y509" t="s">
        <v>6617</v>
      </c>
      <c r="Z509" t="s">
        <v>6618</v>
      </c>
      <c r="AA509" s="272" t="s">
        <v>4884</v>
      </c>
      <c r="AB509" s="272"/>
      <c r="AC509" s="289">
        <v>1</v>
      </c>
      <c r="AD509" s="289">
        <v>1</v>
      </c>
      <c r="AE509" s="289"/>
      <c r="AF509" s="272"/>
      <c r="AG509" s="272"/>
    </row>
    <row r="510" spans="1:33" s="258" customFormat="1" x14ac:dyDescent="0.15">
      <c r="A510" s="271">
        <v>95201189</v>
      </c>
      <c r="B510" t="s">
        <v>6620</v>
      </c>
      <c r="C510" s="268" t="s">
        <v>6316</v>
      </c>
      <c r="D510" s="272">
        <v>5081</v>
      </c>
      <c r="E510" s="272" t="s">
        <v>4876</v>
      </c>
      <c r="F510" s="272" t="s">
        <v>4877</v>
      </c>
      <c r="G510" s="269">
        <v>6</v>
      </c>
      <c r="H510" s="273">
        <v>1</v>
      </c>
      <c r="I510" s="283">
        <v>34</v>
      </c>
      <c r="J510" s="284" t="s">
        <v>5285</v>
      </c>
      <c r="K510" s="285" t="s">
        <v>5286</v>
      </c>
      <c r="L510" s="272" t="s">
        <v>4887</v>
      </c>
      <c r="M510" s="272">
        <v>1</v>
      </c>
      <c r="N510" s="272" t="b">
        <v>1</v>
      </c>
      <c r="O510" s="272">
        <v>64</v>
      </c>
      <c r="P510" s="281">
        <v>960</v>
      </c>
      <c r="Q510" s="281">
        <v>1280</v>
      </c>
      <c r="R510" s="272" t="s">
        <v>3383</v>
      </c>
      <c r="S510" s="272"/>
      <c r="T510" s="272">
        <v>1</v>
      </c>
      <c r="U510" s="272" t="s">
        <v>4880</v>
      </c>
      <c r="V510" s="273">
        <v>10</v>
      </c>
      <c r="W510" s="273"/>
      <c r="X510" s="272" t="s">
        <v>4881</v>
      </c>
      <c r="Y510" t="s">
        <v>6617</v>
      </c>
      <c r="Z510" t="s">
        <v>6618</v>
      </c>
      <c r="AA510" s="272" t="s">
        <v>4884</v>
      </c>
      <c r="AB510" s="272"/>
      <c r="AC510" s="289">
        <v>1</v>
      </c>
      <c r="AD510" s="289">
        <v>1</v>
      </c>
      <c r="AE510" s="289"/>
      <c r="AF510" s="272"/>
      <c r="AG510" s="272"/>
    </row>
    <row r="511" spans="1:33" s="258" customFormat="1" x14ac:dyDescent="0.15">
      <c r="A511" s="271">
        <v>95201190</v>
      </c>
      <c r="B511" t="s">
        <v>6621</v>
      </c>
      <c r="C511" s="268" t="s">
        <v>6316</v>
      </c>
      <c r="D511" s="272">
        <v>5081</v>
      </c>
      <c r="E511" s="272" t="s">
        <v>4876</v>
      </c>
      <c r="F511" s="272" t="s">
        <v>4877</v>
      </c>
      <c r="G511" s="269">
        <v>7</v>
      </c>
      <c r="H511" s="273">
        <v>0</v>
      </c>
      <c r="I511" s="283">
        <v>34</v>
      </c>
      <c r="J511" s="284" t="s">
        <v>5285</v>
      </c>
      <c r="K511" s="285" t="s">
        <v>5286</v>
      </c>
      <c r="L511" s="272" t="s">
        <v>4889</v>
      </c>
      <c r="M511" s="272">
        <v>1</v>
      </c>
      <c r="N511" s="272" t="b">
        <v>1</v>
      </c>
      <c r="O511" s="272">
        <v>77</v>
      </c>
      <c r="P511" s="281">
        <v>1155</v>
      </c>
      <c r="Q511" s="281">
        <v>1540</v>
      </c>
      <c r="R511" s="272" t="s">
        <v>3383</v>
      </c>
      <c r="S511" s="272"/>
      <c r="T511" s="272">
        <v>1</v>
      </c>
      <c r="U511" s="272" t="s">
        <v>4880</v>
      </c>
      <c r="V511" s="273">
        <v>10</v>
      </c>
      <c r="W511" s="273"/>
      <c r="X511" s="272" t="s">
        <v>4881</v>
      </c>
      <c r="Y511" t="s">
        <v>6617</v>
      </c>
      <c r="Z511" t="s">
        <v>6618</v>
      </c>
      <c r="AA511" s="272" t="s">
        <v>4884</v>
      </c>
      <c r="AB511" s="272"/>
      <c r="AC511" s="289">
        <v>1</v>
      </c>
      <c r="AD511" s="289">
        <v>1</v>
      </c>
      <c r="AE511" s="289"/>
      <c r="AF511" s="272"/>
      <c r="AG511" s="272"/>
    </row>
    <row r="512" spans="1:33" s="145" customFormat="1" x14ac:dyDescent="0.15">
      <c r="A512" s="267">
        <v>95201191</v>
      </c>
      <c r="B512" t="s">
        <v>6622</v>
      </c>
      <c r="C512" s="268" t="s">
        <v>6316</v>
      </c>
      <c r="D512" s="268">
        <v>7906</v>
      </c>
      <c r="E512" s="268" t="s">
        <v>4876</v>
      </c>
      <c r="F512" s="268" t="s">
        <v>4877</v>
      </c>
      <c r="G512" s="269">
        <v>1</v>
      </c>
      <c r="H512" s="269">
        <v>0</v>
      </c>
      <c r="I512" s="267">
        <v>34</v>
      </c>
      <c r="J512" s="282" t="s">
        <v>5293</v>
      </c>
      <c r="K512" s="279" t="s">
        <v>5294</v>
      </c>
      <c r="L512" s="279"/>
      <c r="M512" s="268">
        <v>1</v>
      </c>
      <c r="N512" s="268" t="b">
        <v>1</v>
      </c>
      <c r="O512" s="268">
        <v>2</v>
      </c>
      <c r="P512" s="281">
        <v>30</v>
      </c>
      <c r="Q512" s="281">
        <v>40</v>
      </c>
      <c r="R512" s="268" t="s">
        <v>3383</v>
      </c>
      <c r="S512" s="268"/>
      <c r="T512" s="268">
        <v>1</v>
      </c>
      <c r="U512" s="268" t="s">
        <v>4880</v>
      </c>
      <c r="V512" s="269">
        <v>1</v>
      </c>
      <c r="W512" s="269"/>
      <c r="X512" s="268" t="s">
        <v>4881</v>
      </c>
      <c r="Y512" t="s">
        <v>6617</v>
      </c>
      <c r="Z512" t="s">
        <v>6618</v>
      </c>
      <c r="AA512" s="268" t="s">
        <v>4884</v>
      </c>
      <c r="AB512" s="268"/>
      <c r="AC512" s="287">
        <v>1</v>
      </c>
      <c r="AD512" s="287">
        <v>1</v>
      </c>
      <c r="AE512" s="268"/>
      <c r="AF512" s="268"/>
      <c r="AG512" s="290"/>
    </row>
    <row r="513" spans="1:33" s="145" customFormat="1" x14ac:dyDescent="0.15">
      <c r="A513" s="267">
        <v>95201192</v>
      </c>
      <c r="B513" t="s">
        <v>6622</v>
      </c>
      <c r="C513" s="268" t="s">
        <v>6316</v>
      </c>
      <c r="D513" s="268">
        <v>7906</v>
      </c>
      <c r="E513" s="268" t="s">
        <v>4876</v>
      </c>
      <c r="F513" s="268" t="s">
        <v>4877</v>
      </c>
      <c r="G513" s="269">
        <v>2</v>
      </c>
      <c r="H513" s="269">
        <v>0</v>
      </c>
      <c r="I513" s="267">
        <v>34</v>
      </c>
      <c r="J513" s="282" t="s">
        <v>5293</v>
      </c>
      <c r="K513" s="279" t="s">
        <v>5294</v>
      </c>
      <c r="L513" s="279"/>
      <c r="M513" s="268">
        <v>1</v>
      </c>
      <c r="N513" s="268" t="b">
        <v>1</v>
      </c>
      <c r="O513" s="268">
        <v>5</v>
      </c>
      <c r="P513" s="281">
        <v>75</v>
      </c>
      <c r="Q513" s="281">
        <v>100</v>
      </c>
      <c r="R513" s="268" t="s">
        <v>3383</v>
      </c>
      <c r="S513" s="268"/>
      <c r="T513" s="268">
        <v>1</v>
      </c>
      <c r="U513" s="268" t="s">
        <v>4880</v>
      </c>
      <c r="V513" s="269">
        <v>2</v>
      </c>
      <c r="W513" s="269"/>
      <c r="X513" s="268" t="s">
        <v>4881</v>
      </c>
      <c r="Y513" t="s">
        <v>6617</v>
      </c>
      <c r="Z513" t="s">
        <v>6618</v>
      </c>
      <c r="AA513" s="268" t="s">
        <v>4884</v>
      </c>
      <c r="AB513" s="268"/>
      <c r="AC513" s="287">
        <v>1</v>
      </c>
      <c r="AD513" s="287">
        <v>1</v>
      </c>
      <c r="AE513" s="268"/>
      <c r="AF513" s="268"/>
      <c r="AG513" s="290"/>
    </row>
    <row r="514" spans="1:33" s="145" customFormat="1" x14ac:dyDescent="0.15">
      <c r="A514" s="267">
        <v>95201193</v>
      </c>
      <c r="B514" t="s">
        <v>6622</v>
      </c>
      <c r="C514" s="268" t="s">
        <v>6316</v>
      </c>
      <c r="D514" s="268">
        <v>7906</v>
      </c>
      <c r="E514" s="268" t="s">
        <v>4876</v>
      </c>
      <c r="F514" s="268" t="s">
        <v>4877</v>
      </c>
      <c r="G514" s="269">
        <v>3</v>
      </c>
      <c r="H514" s="269">
        <v>0</v>
      </c>
      <c r="I514" s="267">
        <v>34</v>
      </c>
      <c r="J514" s="282" t="s">
        <v>5293</v>
      </c>
      <c r="K514" s="279" t="s">
        <v>5294</v>
      </c>
      <c r="L514" s="279"/>
      <c r="M514" s="268">
        <v>1</v>
      </c>
      <c r="N514" s="268" t="b">
        <v>1</v>
      </c>
      <c r="O514" s="268">
        <v>7</v>
      </c>
      <c r="P514" s="281">
        <v>105</v>
      </c>
      <c r="Q514" s="281">
        <v>140</v>
      </c>
      <c r="R514" s="268" t="s">
        <v>3383</v>
      </c>
      <c r="S514" s="268"/>
      <c r="T514" s="268">
        <v>1</v>
      </c>
      <c r="U514" s="268" t="s">
        <v>4880</v>
      </c>
      <c r="V514" s="269">
        <v>3</v>
      </c>
      <c r="W514" s="269"/>
      <c r="X514" s="268" t="s">
        <v>4881</v>
      </c>
      <c r="Y514" t="s">
        <v>6617</v>
      </c>
      <c r="Z514" t="s">
        <v>6618</v>
      </c>
      <c r="AA514" s="268" t="s">
        <v>4884</v>
      </c>
      <c r="AB514" s="268"/>
      <c r="AC514" s="287">
        <v>1</v>
      </c>
      <c r="AD514" s="287">
        <v>1</v>
      </c>
      <c r="AE514" s="268"/>
      <c r="AF514" s="268"/>
      <c r="AG514" s="290"/>
    </row>
    <row r="515" spans="1:33" s="145" customFormat="1" x14ac:dyDescent="0.15">
      <c r="A515" s="267">
        <v>95201194</v>
      </c>
      <c r="B515" t="s">
        <v>6622</v>
      </c>
      <c r="C515" s="268" t="s">
        <v>6316</v>
      </c>
      <c r="D515" s="268">
        <v>7906</v>
      </c>
      <c r="E515" s="268" t="s">
        <v>4876</v>
      </c>
      <c r="F515" s="268" t="s">
        <v>4877</v>
      </c>
      <c r="G515" s="269">
        <v>4</v>
      </c>
      <c r="H515" s="269">
        <v>0</v>
      </c>
      <c r="I515" s="267">
        <v>34</v>
      </c>
      <c r="J515" s="282" t="s">
        <v>5293</v>
      </c>
      <c r="K515" s="279" t="s">
        <v>5294</v>
      </c>
      <c r="L515" s="279"/>
      <c r="M515" s="268">
        <v>1</v>
      </c>
      <c r="N515" s="268" t="b">
        <v>1</v>
      </c>
      <c r="O515" s="268">
        <v>10</v>
      </c>
      <c r="P515" s="281">
        <v>150</v>
      </c>
      <c r="Q515" s="281">
        <v>200</v>
      </c>
      <c r="R515" s="268" t="s">
        <v>3383</v>
      </c>
      <c r="S515" s="268"/>
      <c r="T515" s="268">
        <v>1</v>
      </c>
      <c r="U515" s="268" t="s">
        <v>4880</v>
      </c>
      <c r="V515" s="269">
        <v>4</v>
      </c>
      <c r="W515" s="269"/>
      <c r="X515" s="268" t="s">
        <v>4881</v>
      </c>
      <c r="Y515" t="s">
        <v>6617</v>
      </c>
      <c r="Z515" t="s">
        <v>6618</v>
      </c>
      <c r="AA515" s="268" t="s">
        <v>4884</v>
      </c>
      <c r="AB515" s="268"/>
      <c r="AC515" s="287">
        <v>1</v>
      </c>
      <c r="AD515" s="287">
        <v>1</v>
      </c>
      <c r="AE515" s="268"/>
      <c r="AF515" s="268"/>
      <c r="AG515" s="290"/>
    </row>
    <row r="516" spans="1:33" s="145" customFormat="1" x14ac:dyDescent="0.15">
      <c r="A516" s="267">
        <v>95201195</v>
      </c>
      <c r="B516" t="s">
        <v>6622</v>
      </c>
      <c r="C516" s="268" t="s">
        <v>6316</v>
      </c>
      <c r="D516" s="268">
        <v>7906</v>
      </c>
      <c r="E516" s="268" t="s">
        <v>4876</v>
      </c>
      <c r="F516" s="268" t="s">
        <v>4877</v>
      </c>
      <c r="G516" s="269">
        <v>5</v>
      </c>
      <c r="H516" s="269">
        <v>0</v>
      </c>
      <c r="I516" s="267">
        <v>34</v>
      </c>
      <c r="J516" s="282" t="s">
        <v>5293</v>
      </c>
      <c r="K516" s="279" t="s">
        <v>5294</v>
      </c>
      <c r="L516" s="279"/>
      <c r="M516" s="268">
        <v>1</v>
      </c>
      <c r="N516" s="268" t="b">
        <v>1</v>
      </c>
      <c r="O516" s="268">
        <v>12</v>
      </c>
      <c r="P516" s="281">
        <v>180</v>
      </c>
      <c r="Q516" s="281">
        <v>240</v>
      </c>
      <c r="R516" s="268" t="s">
        <v>3383</v>
      </c>
      <c r="S516" s="268"/>
      <c r="T516" s="268">
        <v>1</v>
      </c>
      <c r="U516" s="268" t="s">
        <v>4880</v>
      </c>
      <c r="V516" s="269">
        <v>5</v>
      </c>
      <c r="W516" s="269"/>
      <c r="X516" s="268" t="s">
        <v>4881</v>
      </c>
      <c r="Y516" t="s">
        <v>6617</v>
      </c>
      <c r="Z516" t="s">
        <v>6618</v>
      </c>
      <c r="AA516" s="268" t="s">
        <v>4884</v>
      </c>
      <c r="AB516" s="268"/>
      <c r="AC516" s="287">
        <v>1</v>
      </c>
      <c r="AD516" s="287">
        <v>1</v>
      </c>
      <c r="AE516" s="268"/>
      <c r="AF516" s="268"/>
      <c r="AG516" s="290"/>
    </row>
    <row r="517" spans="1:33" s="145" customFormat="1" x14ac:dyDescent="0.15">
      <c r="A517" s="270">
        <v>95201196</v>
      </c>
      <c r="B517" t="s">
        <v>6622</v>
      </c>
      <c r="C517" s="268" t="s">
        <v>6316</v>
      </c>
      <c r="D517" s="268">
        <v>7906</v>
      </c>
      <c r="E517" s="268" t="s">
        <v>4876</v>
      </c>
      <c r="F517" s="268" t="s">
        <v>4877</v>
      </c>
      <c r="G517" s="269">
        <v>6</v>
      </c>
      <c r="H517" s="269">
        <v>0</v>
      </c>
      <c r="I517" s="267">
        <v>34</v>
      </c>
      <c r="J517" s="282" t="s">
        <v>5293</v>
      </c>
      <c r="K517" s="279" t="s">
        <v>5294</v>
      </c>
      <c r="L517" s="279"/>
      <c r="M517" s="268">
        <v>1</v>
      </c>
      <c r="N517" s="268" t="b">
        <v>1</v>
      </c>
      <c r="O517" s="268">
        <v>25</v>
      </c>
      <c r="P517" s="281">
        <v>375</v>
      </c>
      <c r="Q517" s="281">
        <v>500</v>
      </c>
      <c r="R517" s="268" t="s">
        <v>3383</v>
      </c>
      <c r="S517" s="268"/>
      <c r="T517" s="268">
        <v>1</v>
      </c>
      <c r="U517" s="268" t="s">
        <v>4880</v>
      </c>
      <c r="V517" s="269">
        <v>6</v>
      </c>
      <c r="W517" s="269"/>
      <c r="X517" s="268" t="s">
        <v>4881</v>
      </c>
      <c r="Y517" t="s">
        <v>6617</v>
      </c>
      <c r="Z517" t="s">
        <v>6618</v>
      </c>
      <c r="AA517" s="268" t="s">
        <v>4884</v>
      </c>
      <c r="AB517" s="268"/>
      <c r="AC517" s="287">
        <v>1</v>
      </c>
      <c r="AD517" s="287">
        <v>1</v>
      </c>
      <c r="AE517" s="268"/>
      <c r="AF517" s="268"/>
      <c r="AG517" s="290"/>
    </row>
    <row r="518" spans="1:33" s="145" customFormat="1" x14ac:dyDescent="0.15">
      <c r="A518" s="270">
        <v>95201197</v>
      </c>
      <c r="B518" t="s">
        <v>6622</v>
      </c>
      <c r="C518" s="268" t="s">
        <v>6316</v>
      </c>
      <c r="D518" s="268">
        <v>7906</v>
      </c>
      <c r="E518" s="268" t="s">
        <v>4876</v>
      </c>
      <c r="F518" s="268" t="s">
        <v>4877</v>
      </c>
      <c r="G518" s="269">
        <v>7</v>
      </c>
      <c r="H518" s="269">
        <v>0</v>
      </c>
      <c r="I518" s="267">
        <v>34</v>
      </c>
      <c r="J518" s="282" t="s">
        <v>5293</v>
      </c>
      <c r="K518" s="279" t="s">
        <v>5294</v>
      </c>
      <c r="L518" s="279"/>
      <c r="M518" s="268">
        <v>1</v>
      </c>
      <c r="N518" s="268" t="b">
        <v>1</v>
      </c>
      <c r="O518" s="268">
        <v>38</v>
      </c>
      <c r="P518" s="281">
        <v>570</v>
      </c>
      <c r="Q518" s="281">
        <v>760</v>
      </c>
      <c r="R518" s="268" t="s">
        <v>3383</v>
      </c>
      <c r="S518" s="268"/>
      <c r="T518" s="268">
        <v>1</v>
      </c>
      <c r="U518" s="268" t="s">
        <v>4880</v>
      </c>
      <c r="V518" s="269">
        <v>7</v>
      </c>
      <c r="W518" s="269"/>
      <c r="X518" s="268" t="s">
        <v>4881</v>
      </c>
      <c r="Y518" t="s">
        <v>6617</v>
      </c>
      <c r="Z518" t="s">
        <v>6618</v>
      </c>
      <c r="AA518" s="268" t="s">
        <v>4884</v>
      </c>
      <c r="AB518" s="268"/>
      <c r="AC518" s="287">
        <v>1</v>
      </c>
      <c r="AD518" s="287">
        <v>1</v>
      </c>
      <c r="AE518" s="268"/>
      <c r="AF518" s="268"/>
      <c r="AG518" s="290"/>
    </row>
    <row r="519" spans="1:33" s="258" customFormat="1" x14ac:dyDescent="0.15">
      <c r="A519" s="271">
        <v>95201198</v>
      </c>
      <c r="B519" t="s">
        <v>6623</v>
      </c>
      <c r="C519" s="268" t="s">
        <v>6316</v>
      </c>
      <c r="D519" s="272">
        <v>5081</v>
      </c>
      <c r="E519" s="272" t="s">
        <v>4876</v>
      </c>
      <c r="F519" s="272" t="s">
        <v>4877</v>
      </c>
      <c r="G519" s="269">
        <v>6</v>
      </c>
      <c r="H519" s="273">
        <v>0</v>
      </c>
      <c r="I519" s="283">
        <v>34</v>
      </c>
      <c r="J519" s="284" t="s">
        <v>5293</v>
      </c>
      <c r="K519" s="285" t="s">
        <v>5294</v>
      </c>
      <c r="L519" s="272" t="s">
        <v>44</v>
      </c>
      <c r="M519" s="272">
        <v>1</v>
      </c>
      <c r="N519" s="272" t="b">
        <v>1</v>
      </c>
      <c r="O519" s="272">
        <v>51</v>
      </c>
      <c r="P519" s="281">
        <v>765</v>
      </c>
      <c r="Q519" s="281">
        <v>1020</v>
      </c>
      <c r="R519" s="272" t="s">
        <v>3383</v>
      </c>
      <c r="S519" s="272"/>
      <c r="T519" s="272">
        <v>1</v>
      </c>
      <c r="U519" s="272" t="s">
        <v>4880</v>
      </c>
      <c r="V519" s="273">
        <v>10</v>
      </c>
      <c r="W519" s="273"/>
      <c r="X519" s="272" t="s">
        <v>4881</v>
      </c>
      <c r="Y519" t="s">
        <v>6617</v>
      </c>
      <c r="Z519" t="s">
        <v>6618</v>
      </c>
      <c r="AA519" s="272" t="s">
        <v>4884</v>
      </c>
      <c r="AB519" s="272"/>
      <c r="AC519" s="289">
        <v>1</v>
      </c>
      <c r="AD519" s="289">
        <v>1</v>
      </c>
      <c r="AE519" s="289"/>
      <c r="AF519" s="272"/>
      <c r="AG519" s="272"/>
    </row>
    <row r="520" spans="1:33" s="258" customFormat="1" x14ac:dyDescent="0.15">
      <c r="A520" s="271">
        <v>95201199</v>
      </c>
      <c r="B520" t="s">
        <v>6624</v>
      </c>
      <c r="C520" s="268" t="s">
        <v>6316</v>
      </c>
      <c r="D520" s="272">
        <v>5081</v>
      </c>
      <c r="E520" s="272" t="s">
        <v>4876</v>
      </c>
      <c r="F520" s="272" t="s">
        <v>4877</v>
      </c>
      <c r="G520" s="269">
        <v>6</v>
      </c>
      <c r="H520" s="273">
        <v>0</v>
      </c>
      <c r="I520" s="283">
        <v>34</v>
      </c>
      <c r="J520" s="284" t="s">
        <v>5293</v>
      </c>
      <c r="K520" s="285" t="s">
        <v>5294</v>
      </c>
      <c r="L520" s="272" t="s">
        <v>4887</v>
      </c>
      <c r="M520" s="272">
        <v>1</v>
      </c>
      <c r="N520" s="272" t="b">
        <v>1</v>
      </c>
      <c r="O520" s="272">
        <v>64</v>
      </c>
      <c r="P520" s="281">
        <v>960</v>
      </c>
      <c r="Q520" s="281">
        <v>1280</v>
      </c>
      <c r="R520" s="272" t="s">
        <v>3383</v>
      </c>
      <c r="S520" s="272"/>
      <c r="T520" s="272">
        <v>1</v>
      </c>
      <c r="U520" s="272" t="s">
        <v>4880</v>
      </c>
      <c r="V520" s="273">
        <v>10</v>
      </c>
      <c r="W520" s="273"/>
      <c r="X520" s="272" t="s">
        <v>4881</v>
      </c>
      <c r="Y520" t="s">
        <v>6617</v>
      </c>
      <c r="Z520" t="s">
        <v>6618</v>
      </c>
      <c r="AA520" s="272" t="s">
        <v>4884</v>
      </c>
      <c r="AB520" s="272"/>
      <c r="AC520" s="289">
        <v>1</v>
      </c>
      <c r="AD520" s="289">
        <v>1</v>
      </c>
      <c r="AE520" s="289"/>
      <c r="AF520" s="272"/>
      <c r="AG520" s="272"/>
    </row>
    <row r="521" spans="1:33" s="258" customFormat="1" x14ac:dyDescent="0.15">
      <c r="A521" s="271">
        <v>95201200</v>
      </c>
      <c r="B521" t="s">
        <v>6625</v>
      </c>
      <c r="C521" s="268" t="s">
        <v>6316</v>
      </c>
      <c r="D521" s="272">
        <v>5081</v>
      </c>
      <c r="E521" s="272" t="s">
        <v>4876</v>
      </c>
      <c r="F521" s="272" t="s">
        <v>4877</v>
      </c>
      <c r="G521" s="269">
        <v>7</v>
      </c>
      <c r="H521" s="273">
        <v>0</v>
      </c>
      <c r="I521" s="283">
        <v>34</v>
      </c>
      <c r="J521" s="284" t="s">
        <v>5293</v>
      </c>
      <c r="K521" s="285" t="s">
        <v>5294</v>
      </c>
      <c r="L521" s="272" t="s">
        <v>4889</v>
      </c>
      <c r="M521" s="272">
        <v>1</v>
      </c>
      <c r="N521" s="272" t="b">
        <v>1</v>
      </c>
      <c r="O521" s="272">
        <v>77</v>
      </c>
      <c r="P521" s="281">
        <v>1155</v>
      </c>
      <c r="Q521" s="281">
        <v>1540</v>
      </c>
      <c r="R521" s="272" t="s">
        <v>3383</v>
      </c>
      <c r="S521" s="272"/>
      <c r="T521" s="272">
        <v>1</v>
      </c>
      <c r="U521" s="272" t="s">
        <v>4880</v>
      </c>
      <c r="V521" s="273">
        <v>10</v>
      </c>
      <c r="W521" s="273"/>
      <c r="X521" s="272" t="s">
        <v>4881</v>
      </c>
      <c r="Y521" t="s">
        <v>6617</v>
      </c>
      <c r="Z521" t="s">
        <v>6618</v>
      </c>
      <c r="AA521" s="272" t="s">
        <v>4884</v>
      </c>
      <c r="AB521" s="272"/>
      <c r="AC521" s="289">
        <v>1</v>
      </c>
      <c r="AD521" s="289">
        <v>1</v>
      </c>
      <c r="AE521" s="289"/>
      <c r="AF521" s="272"/>
      <c r="AG521" s="272"/>
    </row>
    <row r="522" spans="1:33" s="145" customFormat="1" x14ac:dyDescent="0.15">
      <c r="A522" s="267">
        <v>95201201</v>
      </c>
      <c r="B522" t="s">
        <v>6626</v>
      </c>
      <c r="C522" s="268" t="s">
        <v>6316</v>
      </c>
      <c r="D522" s="268">
        <v>7906</v>
      </c>
      <c r="E522" s="268" t="s">
        <v>4876</v>
      </c>
      <c r="F522" s="268" t="s">
        <v>4877</v>
      </c>
      <c r="G522" s="269">
        <v>1</v>
      </c>
      <c r="H522" s="269">
        <v>0</v>
      </c>
      <c r="I522" s="267">
        <v>34</v>
      </c>
      <c r="J522" s="282" t="s">
        <v>5299</v>
      </c>
      <c r="K522" s="279" t="s">
        <v>5300</v>
      </c>
      <c r="L522" s="279"/>
      <c r="M522" s="268">
        <v>1</v>
      </c>
      <c r="N522" s="268" t="b">
        <v>1</v>
      </c>
      <c r="O522" s="268">
        <v>2</v>
      </c>
      <c r="P522" s="281">
        <v>30</v>
      </c>
      <c r="Q522" s="281">
        <v>40</v>
      </c>
      <c r="R522" s="268" t="s">
        <v>3383</v>
      </c>
      <c r="S522" s="268"/>
      <c r="T522" s="268">
        <v>1</v>
      </c>
      <c r="U522" s="268" t="s">
        <v>4880</v>
      </c>
      <c r="V522" s="269">
        <v>1</v>
      </c>
      <c r="W522" s="269"/>
      <c r="X522" s="268" t="s">
        <v>4881</v>
      </c>
      <c r="Y522" t="s">
        <v>6627</v>
      </c>
      <c r="Z522" t="s">
        <v>6628</v>
      </c>
      <c r="AA522" s="268" t="s">
        <v>4884</v>
      </c>
      <c r="AB522" s="268"/>
      <c r="AC522" s="287">
        <v>1</v>
      </c>
      <c r="AD522" s="287">
        <v>1</v>
      </c>
      <c r="AE522" s="268"/>
      <c r="AF522" s="268"/>
      <c r="AG522" s="290"/>
    </row>
    <row r="523" spans="1:33" s="145" customFormat="1" x14ac:dyDescent="0.15">
      <c r="A523" s="267">
        <v>95201202</v>
      </c>
      <c r="B523" t="s">
        <v>6626</v>
      </c>
      <c r="C523" s="268" t="s">
        <v>6316</v>
      </c>
      <c r="D523" s="268">
        <v>7906</v>
      </c>
      <c r="E523" s="268" t="s">
        <v>4876</v>
      </c>
      <c r="F523" s="268" t="s">
        <v>4877</v>
      </c>
      <c r="G523" s="269">
        <v>2</v>
      </c>
      <c r="H523" s="269">
        <v>0</v>
      </c>
      <c r="I523" s="267">
        <v>34</v>
      </c>
      <c r="J523" s="282" t="s">
        <v>5299</v>
      </c>
      <c r="K523" s="279" t="s">
        <v>5300</v>
      </c>
      <c r="L523" s="279"/>
      <c r="M523" s="268">
        <v>1</v>
      </c>
      <c r="N523" s="268" t="b">
        <v>1</v>
      </c>
      <c r="O523" s="268">
        <v>5</v>
      </c>
      <c r="P523" s="281">
        <v>75</v>
      </c>
      <c r="Q523" s="281">
        <v>100</v>
      </c>
      <c r="R523" s="268" t="s">
        <v>3383</v>
      </c>
      <c r="S523" s="268"/>
      <c r="T523" s="268">
        <v>1</v>
      </c>
      <c r="U523" s="268" t="s">
        <v>4880</v>
      </c>
      <c r="V523" s="269">
        <v>2</v>
      </c>
      <c r="W523" s="269"/>
      <c r="X523" s="268" t="s">
        <v>4881</v>
      </c>
      <c r="Y523" t="s">
        <v>6627</v>
      </c>
      <c r="Z523" t="s">
        <v>6628</v>
      </c>
      <c r="AA523" s="268" t="s">
        <v>4884</v>
      </c>
      <c r="AB523" s="268"/>
      <c r="AC523" s="287">
        <v>1</v>
      </c>
      <c r="AD523" s="287">
        <v>1</v>
      </c>
      <c r="AE523" s="268"/>
      <c r="AF523" s="268"/>
      <c r="AG523" s="290"/>
    </row>
    <row r="524" spans="1:33" s="145" customFormat="1" x14ac:dyDescent="0.15">
      <c r="A524" s="267">
        <v>95201203</v>
      </c>
      <c r="B524" t="s">
        <v>6626</v>
      </c>
      <c r="C524" s="268" t="s">
        <v>6316</v>
      </c>
      <c r="D524" s="268">
        <v>7906</v>
      </c>
      <c r="E524" s="268" t="s">
        <v>4876</v>
      </c>
      <c r="F524" s="268" t="s">
        <v>4877</v>
      </c>
      <c r="G524" s="269">
        <v>3</v>
      </c>
      <c r="H524" s="269">
        <v>0</v>
      </c>
      <c r="I524" s="267">
        <v>34</v>
      </c>
      <c r="J524" s="282" t="s">
        <v>5299</v>
      </c>
      <c r="K524" s="279" t="s">
        <v>5300</v>
      </c>
      <c r="L524" s="279"/>
      <c r="M524" s="268">
        <v>1</v>
      </c>
      <c r="N524" s="268" t="b">
        <v>1</v>
      </c>
      <c r="O524" s="268">
        <v>7</v>
      </c>
      <c r="P524" s="281">
        <v>105</v>
      </c>
      <c r="Q524" s="281">
        <v>140</v>
      </c>
      <c r="R524" s="268" t="s">
        <v>3383</v>
      </c>
      <c r="S524" s="268"/>
      <c r="T524" s="268">
        <v>1</v>
      </c>
      <c r="U524" s="268" t="s">
        <v>4880</v>
      </c>
      <c r="V524" s="269">
        <v>3</v>
      </c>
      <c r="W524" s="269"/>
      <c r="X524" s="268" t="s">
        <v>4881</v>
      </c>
      <c r="Y524" t="s">
        <v>6627</v>
      </c>
      <c r="Z524" t="s">
        <v>6628</v>
      </c>
      <c r="AA524" s="268" t="s">
        <v>4884</v>
      </c>
      <c r="AB524" s="268"/>
      <c r="AC524" s="287">
        <v>1</v>
      </c>
      <c r="AD524" s="287">
        <v>1</v>
      </c>
      <c r="AE524" s="268"/>
      <c r="AF524" s="268"/>
      <c r="AG524" s="290"/>
    </row>
    <row r="525" spans="1:33" s="145" customFormat="1" x14ac:dyDescent="0.15">
      <c r="A525" s="267">
        <v>95201204</v>
      </c>
      <c r="B525" t="s">
        <v>6626</v>
      </c>
      <c r="C525" s="268" t="s">
        <v>6316</v>
      </c>
      <c r="D525" s="268">
        <v>7906</v>
      </c>
      <c r="E525" s="268" t="s">
        <v>4876</v>
      </c>
      <c r="F525" s="268" t="s">
        <v>4877</v>
      </c>
      <c r="G525" s="269">
        <v>4</v>
      </c>
      <c r="H525" s="269">
        <v>0</v>
      </c>
      <c r="I525" s="267">
        <v>34</v>
      </c>
      <c r="J525" s="282" t="s">
        <v>5299</v>
      </c>
      <c r="K525" s="279" t="s">
        <v>5300</v>
      </c>
      <c r="L525" s="279"/>
      <c r="M525" s="268">
        <v>1</v>
      </c>
      <c r="N525" s="268" t="b">
        <v>1</v>
      </c>
      <c r="O525" s="268">
        <v>10</v>
      </c>
      <c r="P525" s="281">
        <v>150</v>
      </c>
      <c r="Q525" s="281">
        <v>200</v>
      </c>
      <c r="R525" s="268" t="s">
        <v>3383</v>
      </c>
      <c r="S525" s="268"/>
      <c r="T525" s="268">
        <v>1</v>
      </c>
      <c r="U525" s="268" t="s">
        <v>4880</v>
      </c>
      <c r="V525" s="269">
        <v>4</v>
      </c>
      <c r="W525" s="269"/>
      <c r="X525" s="268" t="s">
        <v>4881</v>
      </c>
      <c r="Y525" t="s">
        <v>6627</v>
      </c>
      <c r="Z525" t="s">
        <v>6628</v>
      </c>
      <c r="AA525" s="268" t="s">
        <v>4884</v>
      </c>
      <c r="AB525" s="268"/>
      <c r="AC525" s="287">
        <v>1</v>
      </c>
      <c r="AD525" s="287">
        <v>1</v>
      </c>
      <c r="AE525" s="268"/>
      <c r="AF525" s="268"/>
      <c r="AG525" s="290"/>
    </row>
    <row r="526" spans="1:33" s="145" customFormat="1" x14ac:dyDescent="0.15">
      <c r="A526" s="267">
        <v>95201205</v>
      </c>
      <c r="B526" t="s">
        <v>6626</v>
      </c>
      <c r="C526" s="268" t="s">
        <v>6316</v>
      </c>
      <c r="D526" s="268">
        <v>7906</v>
      </c>
      <c r="E526" s="268" t="s">
        <v>4876</v>
      </c>
      <c r="F526" s="268" t="s">
        <v>4877</v>
      </c>
      <c r="G526" s="269">
        <v>5</v>
      </c>
      <c r="H526" s="269">
        <v>0</v>
      </c>
      <c r="I526" s="267">
        <v>34</v>
      </c>
      <c r="J526" s="282" t="s">
        <v>5299</v>
      </c>
      <c r="K526" s="279" t="s">
        <v>5300</v>
      </c>
      <c r="L526" s="279"/>
      <c r="M526" s="268">
        <v>1</v>
      </c>
      <c r="N526" s="268" t="b">
        <v>1</v>
      </c>
      <c r="O526" s="268">
        <v>12</v>
      </c>
      <c r="P526" s="281">
        <v>180</v>
      </c>
      <c r="Q526" s="281">
        <v>240</v>
      </c>
      <c r="R526" s="268" t="s">
        <v>3383</v>
      </c>
      <c r="S526" s="268"/>
      <c r="T526" s="268">
        <v>1</v>
      </c>
      <c r="U526" s="268" t="s">
        <v>4880</v>
      </c>
      <c r="V526" s="269">
        <v>5</v>
      </c>
      <c r="W526" s="269"/>
      <c r="X526" s="268" t="s">
        <v>4881</v>
      </c>
      <c r="Y526" t="s">
        <v>6627</v>
      </c>
      <c r="Z526" t="s">
        <v>6628</v>
      </c>
      <c r="AA526" s="268" t="s">
        <v>4884</v>
      </c>
      <c r="AB526" s="268"/>
      <c r="AC526" s="287">
        <v>1</v>
      </c>
      <c r="AD526" s="287">
        <v>1</v>
      </c>
      <c r="AE526" s="268"/>
      <c r="AF526" s="268"/>
      <c r="AG526" s="290"/>
    </row>
    <row r="527" spans="1:33" s="145" customFormat="1" x14ac:dyDescent="0.15">
      <c r="A527" s="270">
        <v>95201206</v>
      </c>
      <c r="B527" t="s">
        <v>6626</v>
      </c>
      <c r="C527" s="268" t="s">
        <v>6316</v>
      </c>
      <c r="D527" s="268">
        <v>7906</v>
      </c>
      <c r="E527" s="268" t="s">
        <v>4876</v>
      </c>
      <c r="F527" s="268" t="s">
        <v>4877</v>
      </c>
      <c r="G527" s="269">
        <v>6</v>
      </c>
      <c r="H527" s="269">
        <v>0</v>
      </c>
      <c r="I527" s="267">
        <v>34</v>
      </c>
      <c r="J527" s="282" t="s">
        <v>5299</v>
      </c>
      <c r="K527" s="279" t="s">
        <v>5300</v>
      </c>
      <c r="L527" s="279"/>
      <c r="M527" s="268">
        <v>1</v>
      </c>
      <c r="N527" s="268" t="b">
        <v>1</v>
      </c>
      <c r="O527" s="268">
        <v>25</v>
      </c>
      <c r="P527" s="281">
        <v>375</v>
      </c>
      <c r="Q527" s="281">
        <v>500</v>
      </c>
      <c r="R527" s="268" t="s">
        <v>3383</v>
      </c>
      <c r="S527" s="268"/>
      <c r="T527" s="268">
        <v>1</v>
      </c>
      <c r="U527" s="268" t="s">
        <v>4880</v>
      </c>
      <c r="V527" s="269">
        <v>6</v>
      </c>
      <c r="W527" s="269"/>
      <c r="X527" s="268" t="s">
        <v>4881</v>
      </c>
      <c r="Y527" t="s">
        <v>6627</v>
      </c>
      <c r="Z527" t="s">
        <v>6628</v>
      </c>
      <c r="AA527" s="268" t="s">
        <v>4884</v>
      </c>
      <c r="AB527" s="268"/>
      <c r="AC527" s="287">
        <v>1</v>
      </c>
      <c r="AD527" s="287">
        <v>1</v>
      </c>
      <c r="AE527" s="268"/>
      <c r="AF527" s="268"/>
      <c r="AG527" s="290"/>
    </row>
    <row r="528" spans="1:33" s="145" customFormat="1" x14ac:dyDescent="0.15">
      <c r="A528" s="270">
        <v>95201207</v>
      </c>
      <c r="B528" t="s">
        <v>6626</v>
      </c>
      <c r="C528" s="268" t="s">
        <v>6316</v>
      </c>
      <c r="D528" s="268">
        <v>7906</v>
      </c>
      <c r="E528" s="268" t="s">
        <v>4876</v>
      </c>
      <c r="F528" s="268" t="s">
        <v>4877</v>
      </c>
      <c r="G528" s="269">
        <v>7</v>
      </c>
      <c r="H528" s="269">
        <v>0</v>
      </c>
      <c r="I528" s="267">
        <v>34</v>
      </c>
      <c r="J528" s="282" t="s">
        <v>5299</v>
      </c>
      <c r="K528" s="279" t="s">
        <v>5300</v>
      </c>
      <c r="L528" s="279"/>
      <c r="M528" s="268">
        <v>1</v>
      </c>
      <c r="N528" s="268" t="b">
        <v>1</v>
      </c>
      <c r="O528" s="268">
        <v>38</v>
      </c>
      <c r="P528" s="281">
        <v>570</v>
      </c>
      <c r="Q528" s="281">
        <v>760</v>
      </c>
      <c r="R528" s="268" t="s">
        <v>3383</v>
      </c>
      <c r="S528" s="268"/>
      <c r="T528" s="268">
        <v>1</v>
      </c>
      <c r="U528" s="268" t="s">
        <v>4880</v>
      </c>
      <c r="V528" s="269">
        <v>7</v>
      </c>
      <c r="W528" s="269"/>
      <c r="X528" s="268" t="s">
        <v>4881</v>
      </c>
      <c r="Y528" t="s">
        <v>6627</v>
      </c>
      <c r="Z528" t="s">
        <v>6628</v>
      </c>
      <c r="AA528" s="268" t="s">
        <v>4884</v>
      </c>
      <c r="AB528" s="268"/>
      <c r="AC528" s="287">
        <v>1</v>
      </c>
      <c r="AD528" s="287">
        <v>1</v>
      </c>
      <c r="AE528" s="268"/>
      <c r="AF528" s="268"/>
      <c r="AG528" s="290"/>
    </row>
    <row r="529" spans="1:33" s="258" customFormat="1" x14ac:dyDescent="0.15">
      <c r="A529" s="271">
        <v>95201208</v>
      </c>
      <c r="B529" t="s">
        <v>6629</v>
      </c>
      <c r="C529" s="268" t="s">
        <v>6316</v>
      </c>
      <c r="D529" s="272">
        <v>5081</v>
      </c>
      <c r="E529" s="272" t="s">
        <v>4876</v>
      </c>
      <c r="F529" s="272" t="s">
        <v>4877</v>
      </c>
      <c r="G529" s="269">
        <v>6</v>
      </c>
      <c r="H529" s="273">
        <v>1</v>
      </c>
      <c r="I529" s="283">
        <v>34</v>
      </c>
      <c r="J529" s="284" t="s">
        <v>5299</v>
      </c>
      <c r="K529" s="285" t="s">
        <v>5300</v>
      </c>
      <c r="L529" s="272" t="s">
        <v>44</v>
      </c>
      <c r="M529" s="272">
        <v>1</v>
      </c>
      <c r="N529" s="272" t="b">
        <v>1</v>
      </c>
      <c r="O529" s="272">
        <v>51</v>
      </c>
      <c r="P529" s="281">
        <v>765</v>
      </c>
      <c r="Q529" s="281">
        <v>1020</v>
      </c>
      <c r="R529" s="272" t="s">
        <v>3383</v>
      </c>
      <c r="S529" s="272"/>
      <c r="T529" s="272">
        <v>1</v>
      </c>
      <c r="U529" s="272" t="s">
        <v>4880</v>
      </c>
      <c r="V529" s="273">
        <v>10</v>
      </c>
      <c r="W529" s="273"/>
      <c r="X529" s="272" t="s">
        <v>4881</v>
      </c>
      <c r="Y529" t="s">
        <v>6627</v>
      </c>
      <c r="Z529" t="s">
        <v>6628</v>
      </c>
      <c r="AA529" s="272" t="s">
        <v>4884</v>
      </c>
      <c r="AB529" s="272"/>
      <c r="AC529" s="289">
        <v>1</v>
      </c>
      <c r="AD529" s="289">
        <v>1</v>
      </c>
      <c r="AE529" s="289"/>
      <c r="AF529" s="272"/>
      <c r="AG529" s="272"/>
    </row>
    <row r="530" spans="1:33" s="258" customFormat="1" x14ac:dyDescent="0.15">
      <c r="A530" s="271">
        <v>95201209</v>
      </c>
      <c r="B530" t="s">
        <v>6630</v>
      </c>
      <c r="C530" s="268" t="s">
        <v>6316</v>
      </c>
      <c r="D530" s="272">
        <v>5081</v>
      </c>
      <c r="E530" s="272" t="s">
        <v>4876</v>
      </c>
      <c r="F530" s="272" t="s">
        <v>4877</v>
      </c>
      <c r="G530" s="269">
        <v>6</v>
      </c>
      <c r="H530" s="273">
        <v>1</v>
      </c>
      <c r="I530" s="283">
        <v>34</v>
      </c>
      <c r="J530" s="284" t="s">
        <v>5299</v>
      </c>
      <c r="K530" s="285" t="s">
        <v>5300</v>
      </c>
      <c r="L530" s="272" t="s">
        <v>4887</v>
      </c>
      <c r="M530" s="272">
        <v>1</v>
      </c>
      <c r="N530" s="272" t="b">
        <v>1</v>
      </c>
      <c r="O530" s="272">
        <v>64</v>
      </c>
      <c r="P530" s="281">
        <v>960</v>
      </c>
      <c r="Q530" s="281">
        <v>1280</v>
      </c>
      <c r="R530" s="272" t="s">
        <v>3383</v>
      </c>
      <c r="S530" s="272"/>
      <c r="T530" s="272">
        <v>1</v>
      </c>
      <c r="U530" s="272" t="s">
        <v>4880</v>
      </c>
      <c r="V530" s="273">
        <v>10</v>
      </c>
      <c r="W530" s="273"/>
      <c r="X530" s="272" t="s">
        <v>4881</v>
      </c>
      <c r="Y530" t="s">
        <v>6627</v>
      </c>
      <c r="Z530" t="s">
        <v>6628</v>
      </c>
      <c r="AA530" s="272" t="s">
        <v>4884</v>
      </c>
      <c r="AB530" s="272"/>
      <c r="AC530" s="289">
        <v>1</v>
      </c>
      <c r="AD530" s="289">
        <v>1</v>
      </c>
      <c r="AE530" s="289"/>
      <c r="AF530" s="272"/>
      <c r="AG530" s="272"/>
    </row>
    <row r="531" spans="1:33" s="258" customFormat="1" x14ac:dyDescent="0.15">
      <c r="A531" s="271">
        <v>95201210</v>
      </c>
      <c r="B531" t="s">
        <v>6631</v>
      </c>
      <c r="C531" s="268" t="s">
        <v>6316</v>
      </c>
      <c r="D531" s="272">
        <v>5081</v>
      </c>
      <c r="E531" s="272" t="s">
        <v>4876</v>
      </c>
      <c r="F531" s="272" t="s">
        <v>4877</v>
      </c>
      <c r="G531" s="269">
        <v>7</v>
      </c>
      <c r="H531" s="273">
        <v>0</v>
      </c>
      <c r="I531" s="283">
        <v>34</v>
      </c>
      <c r="J531" s="284" t="s">
        <v>5299</v>
      </c>
      <c r="K531" s="285" t="s">
        <v>5300</v>
      </c>
      <c r="L531" s="272" t="s">
        <v>4889</v>
      </c>
      <c r="M531" s="272">
        <v>1</v>
      </c>
      <c r="N531" s="272" t="b">
        <v>1</v>
      </c>
      <c r="O531" s="272">
        <v>77</v>
      </c>
      <c r="P531" s="281">
        <v>1155</v>
      </c>
      <c r="Q531" s="281">
        <v>1540</v>
      </c>
      <c r="R531" s="272" t="s">
        <v>3383</v>
      </c>
      <c r="S531" s="272"/>
      <c r="T531" s="272">
        <v>1</v>
      </c>
      <c r="U531" s="272" t="s">
        <v>4880</v>
      </c>
      <c r="V531" s="273">
        <v>10</v>
      </c>
      <c r="W531" s="273"/>
      <c r="X531" s="272" t="s">
        <v>4881</v>
      </c>
      <c r="Y531" t="s">
        <v>6627</v>
      </c>
      <c r="Z531" t="s">
        <v>6628</v>
      </c>
      <c r="AA531" s="272" t="s">
        <v>4884</v>
      </c>
      <c r="AB531" s="272"/>
      <c r="AC531" s="289">
        <v>1</v>
      </c>
      <c r="AD531" s="289">
        <v>1</v>
      </c>
      <c r="AE531" s="289"/>
      <c r="AF531" s="272"/>
      <c r="AG531" s="272"/>
    </row>
    <row r="532" spans="1:33" s="145" customFormat="1" x14ac:dyDescent="0.15">
      <c r="A532" s="267">
        <v>95301011</v>
      </c>
      <c r="B532" t="s">
        <v>6632</v>
      </c>
      <c r="C532" s="268" t="s">
        <v>6316</v>
      </c>
      <c r="D532" s="268">
        <v>6901</v>
      </c>
      <c r="E532" s="268" t="s">
        <v>4876</v>
      </c>
      <c r="F532" s="268" t="s">
        <v>4877</v>
      </c>
      <c r="G532" s="269">
        <v>1</v>
      </c>
      <c r="H532" s="269">
        <v>0</v>
      </c>
      <c r="I532" s="267">
        <v>34</v>
      </c>
      <c r="J532" s="282" t="s">
        <v>5308</v>
      </c>
      <c r="K532" s="279" t="s">
        <v>5309</v>
      </c>
      <c r="L532" s="279"/>
      <c r="M532" s="268">
        <v>1</v>
      </c>
      <c r="N532" s="268" t="b">
        <v>1</v>
      </c>
      <c r="O532" s="268">
        <v>2</v>
      </c>
      <c r="P532" s="281">
        <v>30</v>
      </c>
      <c r="Q532" s="281">
        <v>40</v>
      </c>
      <c r="R532" s="268" t="s">
        <v>3383</v>
      </c>
      <c r="S532" s="268"/>
      <c r="T532" s="268">
        <v>1</v>
      </c>
      <c r="U532" s="268" t="s">
        <v>4880</v>
      </c>
      <c r="V532" s="269">
        <v>1</v>
      </c>
      <c r="W532" s="269"/>
      <c r="X532" s="268" t="s">
        <v>4881</v>
      </c>
      <c r="Y532" t="s">
        <v>6633</v>
      </c>
      <c r="Z532" t="s">
        <v>6634</v>
      </c>
      <c r="AA532" s="268" t="s">
        <v>4884</v>
      </c>
      <c r="AB532" s="268"/>
      <c r="AC532" s="287">
        <v>1</v>
      </c>
      <c r="AD532" s="287">
        <v>1</v>
      </c>
      <c r="AE532" s="268"/>
      <c r="AF532" s="268"/>
      <c r="AG532" s="290"/>
    </row>
    <row r="533" spans="1:33" s="145" customFormat="1" x14ac:dyDescent="0.15">
      <c r="A533" s="267">
        <v>95301012</v>
      </c>
      <c r="B533" t="s">
        <v>6632</v>
      </c>
      <c r="C533" s="268" t="s">
        <v>6316</v>
      </c>
      <c r="D533" s="268">
        <v>6901</v>
      </c>
      <c r="E533" s="268" t="s">
        <v>4876</v>
      </c>
      <c r="F533" s="268" t="s">
        <v>4877</v>
      </c>
      <c r="G533" s="269">
        <v>2</v>
      </c>
      <c r="H533" s="269">
        <v>0</v>
      </c>
      <c r="I533" s="267">
        <v>34</v>
      </c>
      <c r="J533" s="282" t="s">
        <v>5308</v>
      </c>
      <c r="K533" s="279" t="s">
        <v>5309</v>
      </c>
      <c r="L533" s="279"/>
      <c r="M533" s="268">
        <v>1</v>
      </c>
      <c r="N533" s="268" t="b">
        <v>1</v>
      </c>
      <c r="O533" s="268">
        <v>5</v>
      </c>
      <c r="P533" s="281">
        <v>75</v>
      </c>
      <c r="Q533" s="281">
        <v>100</v>
      </c>
      <c r="R533" s="268" t="s">
        <v>3383</v>
      </c>
      <c r="S533" s="268"/>
      <c r="T533" s="268">
        <v>1</v>
      </c>
      <c r="U533" s="268" t="s">
        <v>4880</v>
      </c>
      <c r="V533" s="269">
        <v>2</v>
      </c>
      <c r="W533" s="269"/>
      <c r="X533" s="268" t="s">
        <v>4881</v>
      </c>
      <c r="Y533" t="s">
        <v>6633</v>
      </c>
      <c r="Z533" t="s">
        <v>6634</v>
      </c>
      <c r="AA533" s="268" t="s">
        <v>4884</v>
      </c>
      <c r="AB533" s="268"/>
      <c r="AC533" s="287">
        <v>1</v>
      </c>
      <c r="AD533" s="287">
        <v>1</v>
      </c>
      <c r="AE533" s="268"/>
      <c r="AF533" s="268"/>
      <c r="AG533" s="290"/>
    </row>
    <row r="534" spans="1:33" s="145" customFormat="1" x14ac:dyDescent="0.15">
      <c r="A534" s="267">
        <v>95301013</v>
      </c>
      <c r="B534" t="s">
        <v>6632</v>
      </c>
      <c r="C534" s="268" t="s">
        <v>6316</v>
      </c>
      <c r="D534" s="268">
        <v>6901</v>
      </c>
      <c r="E534" s="268" t="s">
        <v>4876</v>
      </c>
      <c r="F534" s="268" t="s">
        <v>4877</v>
      </c>
      <c r="G534" s="269">
        <v>3</v>
      </c>
      <c r="H534" s="269">
        <v>0</v>
      </c>
      <c r="I534" s="267">
        <v>34</v>
      </c>
      <c r="J534" s="282" t="s">
        <v>5308</v>
      </c>
      <c r="K534" s="279" t="s">
        <v>5309</v>
      </c>
      <c r="L534" s="279"/>
      <c r="M534" s="268">
        <v>1</v>
      </c>
      <c r="N534" s="268" t="b">
        <v>1</v>
      </c>
      <c r="O534" s="268">
        <v>7</v>
      </c>
      <c r="P534" s="281">
        <v>105</v>
      </c>
      <c r="Q534" s="281">
        <v>140</v>
      </c>
      <c r="R534" s="268" t="s">
        <v>3383</v>
      </c>
      <c r="S534" s="268"/>
      <c r="T534" s="268">
        <v>1</v>
      </c>
      <c r="U534" s="268" t="s">
        <v>4880</v>
      </c>
      <c r="V534" s="269">
        <v>3</v>
      </c>
      <c r="W534" s="269"/>
      <c r="X534" s="268" t="s">
        <v>4881</v>
      </c>
      <c r="Y534" t="s">
        <v>6633</v>
      </c>
      <c r="Z534" t="s">
        <v>6634</v>
      </c>
      <c r="AA534" s="268" t="s">
        <v>4884</v>
      </c>
      <c r="AB534" s="268"/>
      <c r="AC534" s="287">
        <v>1</v>
      </c>
      <c r="AD534" s="287">
        <v>1</v>
      </c>
      <c r="AE534" s="268"/>
      <c r="AF534" s="268"/>
      <c r="AG534" s="290"/>
    </row>
    <row r="535" spans="1:33" s="145" customFormat="1" x14ac:dyDescent="0.15">
      <c r="A535" s="267">
        <v>95301014</v>
      </c>
      <c r="B535" t="s">
        <v>6632</v>
      </c>
      <c r="C535" s="268" t="s">
        <v>6316</v>
      </c>
      <c r="D535" s="268">
        <v>6901</v>
      </c>
      <c r="E535" s="268" t="s">
        <v>4876</v>
      </c>
      <c r="F535" s="268" t="s">
        <v>4877</v>
      </c>
      <c r="G535" s="269">
        <v>4</v>
      </c>
      <c r="H535" s="269">
        <v>0</v>
      </c>
      <c r="I535" s="267">
        <v>34</v>
      </c>
      <c r="J535" s="282" t="s">
        <v>5308</v>
      </c>
      <c r="K535" s="279" t="s">
        <v>5309</v>
      </c>
      <c r="L535" s="279"/>
      <c r="M535" s="268">
        <v>1</v>
      </c>
      <c r="N535" s="268" t="b">
        <v>1</v>
      </c>
      <c r="O535" s="268">
        <v>10</v>
      </c>
      <c r="P535" s="281">
        <v>150</v>
      </c>
      <c r="Q535" s="281">
        <v>200</v>
      </c>
      <c r="R535" s="268" t="s">
        <v>3383</v>
      </c>
      <c r="S535" s="268"/>
      <c r="T535" s="268">
        <v>1</v>
      </c>
      <c r="U535" s="268" t="s">
        <v>4880</v>
      </c>
      <c r="V535" s="269">
        <v>4</v>
      </c>
      <c r="W535" s="269"/>
      <c r="X535" s="268" t="s">
        <v>4881</v>
      </c>
      <c r="Y535" t="s">
        <v>6633</v>
      </c>
      <c r="Z535" t="s">
        <v>6634</v>
      </c>
      <c r="AA535" s="268" t="s">
        <v>4884</v>
      </c>
      <c r="AB535" s="268"/>
      <c r="AC535" s="287">
        <v>1</v>
      </c>
      <c r="AD535" s="287">
        <v>1</v>
      </c>
      <c r="AE535" s="268"/>
      <c r="AF535" s="268"/>
      <c r="AG535" s="290"/>
    </row>
    <row r="536" spans="1:33" s="145" customFormat="1" x14ac:dyDescent="0.15">
      <c r="A536" s="267">
        <v>95301015</v>
      </c>
      <c r="B536" t="s">
        <v>6632</v>
      </c>
      <c r="C536" s="268" t="s">
        <v>6316</v>
      </c>
      <c r="D536" s="268">
        <v>6901</v>
      </c>
      <c r="E536" s="268" t="s">
        <v>4876</v>
      </c>
      <c r="F536" s="268" t="s">
        <v>4877</v>
      </c>
      <c r="G536" s="269">
        <v>5</v>
      </c>
      <c r="H536" s="269">
        <v>0</v>
      </c>
      <c r="I536" s="267">
        <v>34</v>
      </c>
      <c r="J536" s="282" t="s">
        <v>5308</v>
      </c>
      <c r="K536" s="279" t="s">
        <v>5309</v>
      </c>
      <c r="L536" s="279"/>
      <c r="M536" s="268">
        <v>1</v>
      </c>
      <c r="N536" s="268" t="b">
        <v>1</v>
      </c>
      <c r="O536" s="268">
        <v>12</v>
      </c>
      <c r="P536" s="281">
        <v>180</v>
      </c>
      <c r="Q536" s="281">
        <v>240</v>
      </c>
      <c r="R536" s="268" t="s">
        <v>3383</v>
      </c>
      <c r="S536" s="268"/>
      <c r="T536" s="268">
        <v>1</v>
      </c>
      <c r="U536" s="268" t="s">
        <v>4880</v>
      </c>
      <c r="V536" s="269">
        <v>5</v>
      </c>
      <c r="W536" s="269"/>
      <c r="X536" s="268" t="s">
        <v>4881</v>
      </c>
      <c r="Y536" t="s">
        <v>6633</v>
      </c>
      <c r="Z536" t="s">
        <v>6634</v>
      </c>
      <c r="AA536" s="268" t="s">
        <v>4884</v>
      </c>
      <c r="AB536" s="268"/>
      <c r="AC536" s="287">
        <v>1</v>
      </c>
      <c r="AD536" s="287">
        <v>1</v>
      </c>
      <c r="AE536" s="268"/>
      <c r="AF536" s="268"/>
      <c r="AG536" s="290"/>
    </row>
    <row r="537" spans="1:33" s="145" customFormat="1" x14ac:dyDescent="0.15">
      <c r="A537" s="270">
        <v>95301016</v>
      </c>
      <c r="B537" t="s">
        <v>6632</v>
      </c>
      <c r="C537" s="268" t="s">
        <v>6316</v>
      </c>
      <c r="D537" s="268">
        <v>6901</v>
      </c>
      <c r="E537" s="268" t="s">
        <v>4876</v>
      </c>
      <c r="F537" s="268" t="s">
        <v>4877</v>
      </c>
      <c r="G537" s="269">
        <v>6</v>
      </c>
      <c r="H537" s="269">
        <v>0</v>
      </c>
      <c r="I537" s="267">
        <v>34</v>
      </c>
      <c r="J537" s="282" t="s">
        <v>5308</v>
      </c>
      <c r="K537" s="279" t="s">
        <v>5309</v>
      </c>
      <c r="L537" s="279"/>
      <c r="M537" s="268">
        <v>1</v>
      </c>
      <c r="N537" s="268" t="b">
        <v>1</v>
      </c>
      <c r="O537" s="268">
        <v>25</v>
      </c>
      <c r="P537" s="281">
        <v>375</v>
      </c>
      <c r="Q537" s="281">
        <v>500</v>
      </c>
      <c r="R537" s="268" t="s">
        <v>3383</v>
      </c>
      <c r="S537" s="268"/>
      <c r="T537" s="268">
        <v>1</v>
      </c>
      <c r="U537" s="268" t="s">
        <v>4880</v>
      </c>
      <c r="V537" s="269">
        <v>6</v>
      </c>
      <c r="W537" s="269"/>
      <c r="X537" s="268" t="s">
        <v>4881</v>
      </c>
      <c r="Y537" t="s">
        <v>6633</v>
      </c>
      <c r="Z537" t="s">
        <v>6634</v>
      </c>
      <c r="AA537" s="268" t="s">
        <v>4884</v>
      </c>
      <c r="AB537" s="268"/>
      <c r="AC537" s="287">
        <v>1</v>
      </c>
      <c r="AD537" s="287">
        <v>1</v>
      </c>
      <c r="AE537" s="268"/>
      <c r="AF537" s="268"/>
      <c r="AG537" s="290"/>
    </row>
    <row r="538" spans="1:33" s="145" customFormat="1" x14ac:dyDescent="0.15">
      <c r="A538" s="270">
        <v>95301017</v>
      </c>
      <c r="B538" t="s">
        <v>6632</v>
      </c>
      <c r="C538" s="268" t="s">
        <v>6316</v>
      </c>
      <c r="D538" s="268">
        <v>6901</v>
      </c>
      <c r="E538" s="268" t="s">
        <v>4876</v>
      </c>
      <c r="F538" s="268" t="s">
        <v>4877</v>
      </c>
      <c r="G538" s="269">
        <v>7</v>
      </c>
      <c r="H538" s="269">
        <v>0</v>
      </c>
      <c r="I538" s="267">
        <v>34</v>
      </c>
      <c r="J538" s="282" t="s">
        <v>5308</v>
      </c>
      <c r="K538" s="279" t="s">
        <v>5309</v>
      </c>
      <c r="L538" s="279"/>
      <c r="M538" s="268">
        <v>1</v>
      </c>
      <c r="N538" s="268" t="b">
        <v>1</v>
      </c>
      <c r="O538" s="268">
        <v>38</v>
      </c>
      <c r="P538" s="281">
        <v>570</v>
      </c>
      <c r="Q538" s="281">
        <v>760</v>
      </c>
      <c r="R538" s="268" t="s">
        <v>3383</v>
      </c>
      <c r="S538" s="268"/>
      <c r="T538" s="268">
        <v>1</v>
      </c>
      <c r="U538" s="268" t="s">
        <v>4880</v>
      </c>
      <c r="V538" s="269">
        <v>7</v>
      </c>
      <c r="W538" s="269"/>
      <c r="X538" s="268" t="s">
        <v>4881</v>
      </c>
      <c r="Y538" t="s">
        <v>6633</v>
      </c>
      <c r="Z538" t="s">
        <v>6634</v>
      </c>
      <c r="AA538" s="268" t="s">
        <v>4884</v>
      </c>
      <c r="AB538" s="268"/>
      <c r="AC538" s="287">
        <v>1</v>
      </c>
      <c r="AD538" s="287">
        <v>1</v>
      </c>
      <c r="AE538" s="268"/>
      <c r="AF538" s="268"/>
      <c r="AG538" s="290"/>
    </row>
    <row r="539" spans="1:33" s="258" customFormat="1" x14ac:dyDescent="0.15">
      <c r="A539" s="271">
        <v>95301018</v>
      </c>
      <c r="B539" t="s">
        <v>6635</v>
      </c>
      <c r="C539" s="268" t="s">
        <v>6316</v>
      </c>
      <c r="D539" s="272">
        <v>5081</v>
      </c>
      <c r="E539" s="272" t="s">
        <v>4876</v>
      </c>
      <c r="F539" s="272" t="s">
        <v>4877</v>
      </c>
      <c r="G539" s="269">
        <v>6</v>
      </c>
      <c r="H539" s="273">
        <v>0</v>
      </c>
      <c r="I539" s="283">
        <v>34</v>
      </c>
      <c r="J539" s="284" t="s">
        <v>5308</v>
      </c>
      <c r="K539" s="285" t="s">
        <v>5309</v>
      </c>
      <c r="L539" s="272" t="s">
        <v>44</v>
      </c>
      <c r="M539" s="272">
        <v>1</v>
      </c>
      <c r="N539" s="272" t="b">
        <v>1</v>
      </c>
      <c r="O539" s="272">
        <v>51</v>
      </c>
      <c r="P539" s="281">
        <v>765</v>
      </c>
      <c r="Q539" s="281">
        <v>1020</v>
      </c>
      <c r="R539" s="272" t="s">
        <v>3383</v>
      </c>
      <c r="S539" s="272"/>
      <c r="T539" s="272">
        <v>1</v>
      </c>
      <c r="U539" s="272" t="s">
        <v>4880</v>
      </c>
      <c r="V539" s="273">
        <v>10</v>
      </c>
      <c r="W539" s="273"/>
      <c r="X539" s="272" t="s">
        <v>4881</v>
      </c>
      <c r="Y539" t="s">
        <v>6633</v>
      </c>
      <c r="Z539" t="s">
        <v>6634</v>
      </c>
      <c r="AA539" s="272" t="s">
        <v>4884</v>
      </c>
      <c r="AB539" s="272"/>
      <c r="AC539" s="289">
        <v>1</v>
      </c>
      <c r="AD539" s="289">
        <v>1</v>
      </c>
      <c r="AE539" s="289"/>
      <c r="AF539" s="272"/>
      <c r="AG539" s="272"/>
    </row>
    <row r="540" spans="1:33" s="258" customFormat="1" x14ac:dyDescent="0.15">
      <c r="A540" s="271">
        <v>95301019</v>
      </c>
      <c r="B540" t="s">
        <v>6636</v>
      </c>
      <c r="C540" s="268" t="s">
        <v>6316</v>
      </c>
      <c r="D540" s="272">
        <v>5081</v>
      </c>
      <c r="E540" s="272" t="s">
        <v>4876</v>
      </c>
      <c r="F540" s="272" t="s">
        <v>4877</v>
      </c>
      <c r="G540" s="269">
        <v>6</v>
      </c>
      <c r="H540" s="273">
        <v>0</v>
      </c>
      <c r="I540" s="283">
        <v>34</v>
      </c>
      <c r="J540" s="284" t="s">
        <v>5308</v>
      </c>
      <c r="K540" s="285" t="s">
        <v>5309</v>
      </c>
      <c r="L540" s="272" t="s">
        <v>4887</v>
      </c>
      <c r="M540" s="272">
        <v>1</v>
      </c>
      <c r="N540" s="272" t="b">
        <v>1</v>
      </c>
      <c r="O540" s="272">
        <v>64</v>
      </c>
      <c r="P540" s="281">
        <v>960</v>
      </c>
      <c r="Q540" s="281">
        <v>1280</v>
      </c>
      <c r="R540" s="272" t="s">
        <v>3383</v>
      </c>
      <c r="S540" s="272"/>
      <c r="T540" s="272">
        <v>1</v>
      </c>
      <c r="U540" s="272" t="s">
        <v>4880</v>
      </c>
      <c r="V540" s="273">
        <v>10</v>
      </c>
      <c r="W540" s="273"/>
      <c r="X540" s="272" t="s">
        <v>4881</v>
      </c>
      <c r="Y540" t="s">
        <v>6633</v>
      </c>
      <c r="Z540" t="s">
        <v>6634</v>
      </c>
      <c r="AA540" s="272" t="s">
        <v>4884</v>
      </c>
      <c r="AB540" s="272"/>
      <c r="AC540" s="289">
        <v>1</v>
      </c>
      <c r="AD540" s="289">
        <v>1</v>
      </c>
      <c r="AE540" s="289"/>
      <c r="AF540" s="272"/>
      <c r="AG540" s="272"/>
    </row>
    <row r="541" spans="1:33" s="258" customFormat="1" x14ac:dyDescent="0.15">
      <c r="A541" s="271">
        <v>95301020</v>
      </c>
      <c r="B541" t="s">
        <v>6637</v>
      </c>
      <c r="C541" s="268" t="s">
        <v>6316</v>
      </c>
      <c r="D541" s="272">
        <v>5081</v>
      </c>
      <c r="E541" s="272" t="s">
        <v>4876</v>
      </c>
      <c r="F541" s="272" t="s">
        <v>4877</v>
      </c>
      <c r="G541" s="269">
        <v>7</v>
      </c>
      <c r="H541" s="273">
        <v>0</v>
      </c>
      <c r="I541" s="283">
        <v>34</v>
      </c>
      <c r="J541" s="284" t="s">
        <v>5308</v>
      </c>
      <c r="K541" s="285" t="s">
        <v>5309</v>
      </c>
      <c r="L541" s="272" t="s">
        <v>4889</v>
      </c>
      <c r="M541" s="272">
        <v>1</v>
      </c>
      <c r="N541" s="272" t="b">
        <v>1</v>
      </c>
      <c r="O541" s="272">
        <v>77</v>
      </c>
      <c r="P541" s="281">
        <v>1155</v>
      </c>
      <c r="Q541" s="281">
        <v>1540</v>
      </c>
      <c r="R541" s="272" t="s">
        <v>3383</v>
      </c>
      <c r="S541" s="272"/>
      <c r="T541" s="272">
        <v>1</v>
      </c>
      <c r="U541" s="272" t="s">
        <v>4880</v>
      </c>
      <c r="V541" s="273">
        <v>10</v>
      </c>
      <c r="W541" s="273"/>
      <c r="X541" s="272" t="s">
        <v>4881</v>
      </c>
      <c r="Y541" t="s">
        <v>6633</v>
      </c>
      <c r="Z541" t="s">
        <v>6634</v>
      </c>
      <c r="AA541" s="272" t="s">
        <v>4884</v>
      </c>
      <c r="AB541" s="272"/>
      <c r="AC541" s="289">
        <v>1</v>
      </c>
      <c r="AD541" s="289">
        <v>1</v>
      </c>
      <c r="AE541" s="289"/>
      <c r="AF541" s="272"/>
      <c r="AG541" s="272"/>
    </row>
    <row r="542" spans="1:33" s="145" customFormat="1" x14ac:dyDescent="0.15">
      <c r="A542" s="267">
        <v>95301021</v>
      </c>
      <c r="B542" t="s">
        <v>6638</v>
      </c>
      <c r="C542" s="268" t="s">
        <v>6316</v>
      </c>
      <c r="D542" s="268">
        <v>6901</v>
      </c>
      <c r="E542" s="268" t="s">
        <v>4876</v>
      </c>
      <c r="F542" s="268" t="s">
        <v>4877</v>
      </c>
      <c r="G542" s="269">
        <v>1</v>
      </c>
      <c r="H542" s="269">
        <v>0</v>
      </c>
      <c r="I542" s="267">
        <v>34</v>
      </c>
      <c r="J542" s="282" t="s">
        <v>5316</v>
      </c>
      <c r="K542" s="279" t="s">
        <v>5317</v>
      </c>
      <c r="L542" s="279"/>
      <c r="M542" s="268">
        <v>1</v>
      </c>
      <c r="N542" s="268" t="b">
        <v>1</v>
      </c>
      <c r="O542" s="268">
        <v>2</v>
      </c>
      <c r="P542" s="281">
        <v>30</v>
      </c>
      <c r="Q542" s="281">
        <v>40</v>
      </c>
      <c r="R542" s="268" t="s">
        <v>3383</v>
      </c>
      <c r="S542" s="268"/>
      <c r="T542" s="268">
        <v>1</v>
      </c>
      <c r="U542" s="268" t="s">
        <v>4880</v>
      </c>
      <c r="V542" s="269">
        <v>1</v>
      </c>
      <c r="W542" s="269"/>
      <c r="X542" s="268" t="s">
        <v>4881</v>
      </c>
      <c r="Y542" t="s">
        <v>6639</v>
      </c>
      <c r="Z542" t="s">
        <v>6640</v>
      </c>
      <c r="AA542" s="268" t="s">
        <v>4884</v>
      </c>
      <c r="AB542" s="268"/>
      <c r="AC542" s="287">
        <v>1</v>
      </c>
      <c r="AD542" s="287">
        <v>1</v>
      </c>
      <c r="AE542" s="268"/>
      <c r="AF542" s="268"/>
      <c r="AG542" s="290"/>
    </row>
    <row r="543" spans="1:33" s="145" customFormat="1" x14ac:dyDescent="0.15">
      <c r="A543" s="267">
        <v>95301022</v>
      </c>
      <c r="B543" t="s">
        <v>6638</v>
      </c>
      <c r="C543" s="268" t="s">
        <v>6316</v>
      </c>
      <c r="D543" s="268">
        <v>6901</v>
      </c>
      <c r="E543" s="268" t="s">
        <v>4876</v>
      </c>
      <c r="F543" s="268" t="s">
        <v>4877</v>
      </c>
      <c r="G543" s="269">
        <v>2</v>
      </c>
      <c r="H543" s="269">
        <v>0</v>
      </c>
      <c r="I543" s="267">
        <v>34</v>
      </c>
      <c r="J543" s="282" t="s">
        <v>5316</v>
      </c>
      <c r="K543" s="279" t="s">
        <v>5317</v>
      </c>
      <c r="L543" s="279"/>
      <c r="M543" s="268">
        <v>1</v>
      </c>
      <c r="N543" s="268" t="b">
        <v>1</v>
      </c>
      <c r="O543" s="268">
        <v>5</v>
      </c>
      <c r="P543" s="281">
        <v>75</v>
      </c>
      <c r="Q543" s="281">
        <v>100</v>
      </c>
      <c r="R543" s="268" t="s">
        <v>3383</v>
      </c>
      <c r="S543" s="268"/>
      <c r="T543" s="268">
        <v>1</v>
      </c>
      <c r="U543" s="268" t="s">
        <v>4880</v>
      </c>
      <c r="V543" s="269">
        <v>2</v>
      </c>
      <c r="W543" s="269"/>
      <c r="X543" s="268" t="s">
        <v>4881</v>
      </c>
      <c r="Y543" t="s">
        <v>6639</v>
      </c>
      <c r="Z543" t="s">
        <v>6640</v>
      </c>
      <c r="AA543" s="268" t="s">
        <v>4884</v>
      </c>
      <c r="AB543" s="268"/>
      <c r="AC543" s="287">
        <v>1</v>
      </c>
      <c r="AD543" s="287">
        <v>1</v>
      </c>
      <c r="AE543" s="268"/>
      <c r="AF543" s="268"/>
      <c r="AG543" s="290"/>
    </row>
    <row r="544" spans="1:33" s="145" customFormat="1" x14ac:dyDescent="0.15">
      <c r="A544" s="267">
        <v>95301023</v>
      </c>
      <c r="B544" t="s">
        <v>6638</v>
      </c>
      <c r="C544" s="268" t="s">
        <v>6316</v>
      </c>
      <c r="D544" s="268">
        <v>6901</v>
      </c>
      <c r="E544" s="268" t="s">
        <v>4876</v>
      </c>
      <c r="F544" s="268" t="s">
        <v>4877</v>
      </c>
      <c r="G544" s="269">
        <v>3</v>
      </c>
      <c r="H544" s="269">
        <v>0</v>
      </c>
      <c r="I544" s="267">
        <v>34</v>
      </c>
      <c r="J544" s="282" t="s">
        <v>5316</v>
      </c>
      <c r="K544" s="279" t="s">
        <v>5317</v>
      </c>
      <c r="L544" s="279"/>
      <c r="M544" s="268">
        <v>1</v>
      </c>
      <c r="N544" s="268" t="b">
        <v>1</v>
      </c>
      <c r="O544" s="268">
        <v>7</v>
      </c>
      <c r="P544" s="281">
        <v>105</v>
      </c>
      <c r="Q544" s="281">
        <v>140</v>
      </c>
      <c r="R544" s="268" t="s">
        <v>3383</v>
      </c>
      <c r="S544" s="268"/>
      <c r="T544" s="268">
        <v>1</v>
      </c>
      <c r="U544" s="268" t="s">
        <v>4880</v>
      </c>
      <c r="V544" s="269">
        <v>3</v>
      </c>
      <c r="W544" s="269"/>
      <c r="X544" s="268" t="s">
        <v>4881</v>
      </c>
      <c r="Y544" t="s">
        <v>6639</v>
      </c>
      <c r="Z544" t="s">
        <v>6640</v>
      </c>
      <c r="AA544" s="268" t="s">
        <v>4884</v>
      </c>
      <c r="AB544" s="268"/>
      <c r="AC544" s="287">
        <v>1</v>
      </c>
      <c r="AD544" s="287">
        <v>1</v>
      </c>
      <c r="AE544" s="268"/>
      <c r="AF544" s="268"/>
      <c r="AG544" s="290"/>
    </row>
    <row r="545" spans="1:33" s="145" customFormat="1" x14ac:dyDescent="0.15">
      <c r="A545" s="267">
        <v>95301024</v>
      </c>
      <c r="B545" t="s">
        <v>6638</v>
      </c>
      <c r="C545" s="268" t="s">
        <v>6316</v>
      </c>
      <c r="D545" s="268">
        <v>6901</v>
      </c>
      <c r="E545" s="268" t="s">
        <v>4876</v>
      </c>
      <c r="F545" s="268" t="s">
        <v>4877</v>
      </c>
      <c r="G545" s="269">
        <v>4</v>
      </c>
      <c r="H545" s="269">
        <v>0</v>
      </c>
      <c r="I545" s="267">
        <v>34</v>
      </c>
      <c r="J545" s="282" t="s">
        <v>5316</v>
      </c>
      <c r="K545" s="279" t="s">
        <v>5317</v>
      </c>
      <c r="L545" s="279"/>
      <c r="M545" s="268">
        <v>1</v>
      </c>
      <c r="N545" s="268" t="b">
        <v>1</v>
      </c>
      <c r="O545" s="268">
        <v>10</v>
      </c>
      <c r="P545" s="281">
        <v>150</v>
      </c>
      <c r="Q545" s="281">
        <v>200</v>
      </c>
      <c r="R545" s="268" t="s">
        <v>3383</v>
      </c>
      <c r="S545" s="268"/>
      <c r="T545" s="268">
        <v>1</v>
      </c>
      <c r="U545" s="268" t="s">
        <v>4880</v>
      </c>
      <c r="V545" s="269">
        <v>4</v>
      </c>
      <c r="W545" s="269"/>
      <c r="X545" s="268" t="s">
        <v>4881</v>
      </c>
      <c r="Y545" t="s">
        <v>6639</v>
      </c>
      <c r="Z545" t="s">
        <v>6640</v>
      </c>
      <c r="AA545" s="268" t="s">
        <v>4884</v>
      </c>
      <c r="AB545" s="268"/>
      <c r="AC545" s="287">
        <v>1</v>
      </c>
      <c r="AD545" s="287">
        <v>1</v>
      </c>
      <c r="AE545" s="268"/>
      <c r="AF545" s="268"/>
      <c r="AG545" s="290"/>
    </row>
    <row r="546" spans="1:33" s="145" customFormat="1" x14ac:dyDescent="0.15">
      <c r="A546" s="267">
        <v>95301025</v>
      </c>
      <c r="B546" t="s">
        <v>6638</v>
      </c>
      <c r="C546" s="268" t="s">
        <v>6316</v>
      </c>
      <c r="D546" s="268">
        <v>6901</v>
      </c>
      <c r="E546" s="268" t="s">
        <v>4876</v>
      </c>
      <c r="F546" s="268" t="s">
        <v>4877</v>
      </c>
      <c r="G546" s="269">
        <v>5</v>
      </c>
      <c r="H546" s="269">
        <v>0</v>
      </c>
      <c r="I546" s="267">
        <v>34</v>
      </c>
      <c r="J546" s="282" t="s">
        <v>5316</v>
      </c>
      <c r="K546" s="279" t="s">
        <v>5317</v>
      </c>
      <c r="L546" s="279"/>
      <c r="M546" s="268">
        <v>1</v>
      </c>
      <c r="N546" s="268" t="b">
        <v>1</v>
      </c>
      <c r="O546" s="268">
        <v>12</v>
      </c>
      <c r="P546" s="281">
        <v>180</v>
      </c>
      <c r="Q546" s="281">
        <v>240</v>
      </c>
      <c r="R546" s="268" t="s">
        <v>3383</v>
      </c>
      <c r="S546" s="268"/>
      <c r="T546" s="268">
        <v>1</v>
      </c>
      <c r="U546" s="268" t="s">
        <v>4880</v>
      </c>
      <c r="V546" s="269">
        <v>5</v>
      </c>
      <c r="W546" s="269"/>
      <c r="X546" s="268" t="s">
        <v>4881</v>
      </c>
      <c r="Y546" t="s">
        <v>6639</v>
      </c>
      <c r="Z546" t="s">
        <v>6640</v>
      </c>
      <c r="AA546" s="268" t="s">
        <v>4884</v>
      </c>
      <c r="AB546" s="268"/>
      <c r="AC546" s="287">
        <v>1</v>
      </c>
      <c r="AD546" s="287">
        <v>1</v>
      </c>
      <c r="AE546" s="268"/>
      <c r="AF546" s="268"/>
      <c r="AG546" s="290"/>
    </row>
    <row r="547" spans="1:33" s="145" customFormat="1" x14ac:dyDescent="0.15">
      <c r="A547" s="270">
        <v>95301026</v>
      </c>
      <c r="B547" t="s">
        <v>6638</v>
      </c>
      <c r="C547" s="268" t="s">
        <v>6316</v>
      </c>
      <c r="D547" s="268">
        <v>6901</v>
      </c>
      <c r="E547" s="268" t="s">
        <v>4876</v>
      </c>
      <c r="F547" s="268" t="s">
        <v>4877</v>
      </c>
      <c r="G547" s="269">
        <v>6</v>
      </c>
      <c r="H547" s="269">
        <v>0</v>
      </c>
      <c r="I547" s="267">
        <v>34</v>
      </c>
      <c r="J547" s="282" t="s">
        <v>5316</v>
      </c>
      <c r="K547" s="279" t="s">
        <v>5317</v>
      </c>
      <c r="L547" s="279"/>
      <c r="M547" s="268">
        <v>1</v>
      </c>
      <c r="N547" s="268" t="b">
        <v>1</v>
      </c>
      <c r="O547" s="268">
        <v>25</v>
      </c>
      <c r="P547" s="281">
        <v>375</v>
      </c>
      <c r="Q547" s="281">
        <v>500</v>
      </c>
      <c r="R547" s="268" t="s">
        <v>3383</v>
      </c>
      <c r="S547" s="268"/>
      <c r="T547" s="268">
        <v>1</v>
      </c>
      <c r="U547" s="268" t="s">
        <v>4880</v>
      </c>
      <c r="V547" s="269">
        <v>6</v>
      </c>
      <c r="W547" s="269"/>
      <c r="X547" s="268" t="s">
        <v>4881</v>
      </c>
      <c r="Y547" t="s">
        <v>6639</v>
      </c>
      <c r="Z547" t="s">
        <v>6640</v>
      </c>
      <c r="AA547" s="268" t="s">
        <v>4884</v>
      </c>
      <c r="AB547" s="268"/>
      <c r="AC547" s="287">
        <v>1</v>
      </c>
      <c r="AD547" s="287">
        <v>1</v>
      </c>
      <c r="AE547" s="268"/>
      <c r="AF547" s="268"/>
      <c r="AG547" s="290"/>
    </row>
    <row r="548" spans="1:33" s="145" customFormat="1" x14ac:dyDescent="0.15">
      <c r="A548" s="270">
        <v>95301027</v>
      </c>
      <c r="B548" t="s">
        <v>6638</v>
      </c>
      <c r="C548" s="268" t="s">
        <v>6316</v>
      </c>
      <c r="D548" s="268">
        <v>6901</v>
      </c>
      <c r="E548" s="268" t="s">
        <v>4876</v>
      </c>
      <c r="F548" s="268" t="s">
        <v>4877</v>
      </c>
      <c r="G548" s="269">
        <v>7</v>
      </c>
      <c r="H548" s="269">
        <v>0</v>
      </c>
      <c r="I548" s="267">
        <v>34</v>
      </c>
      <c r="J548" s="282" t="s">
        <v>5316</v>
      </c>
      <c r="K548" s="279" t="s">
        <v>5317</v>
      </c>
      <c r="L548" s="279"/>
      <c r="M548" s="268">
        <v>1</v>
      </c>
      <c r="N548" s="268" t="b">
        <v>1</v>
      </c>
      <c r="O548" s="268">
        <v>38</v>
      </c>
      <c r="P548" s="281">
        <v>570</v>
      </c>
      <c r="Q548" s="281">
        <v>760</v>
      </c>
      <c r="R548" s="268" t="s">
        <v>3383</v>
      </c>
      <c r="S548" s="268"/>
      <c r="T548" s="268">
        <v>1</v>
      </c>
      <c r="U548" s="268" t="s">
        <v>4880</v>
      </c>
      <c r="V548" s="269">
        <v>7</v>
      </c>
      <c r="W548" s="269"/>
      <c r="X548" s="268" t="s">
        <v>4881</v>
      </c>
      <c r="Y548" t="s">
        <v>6639</v>
      </c>
      <c r="Z548" t="s">
        <v>6640</v>
      </c>
      <c r="AA548" s="268" t="s">
        <v>4884</v>
      </c>
      <c r="AB548" s="268"/>
      <c r="AC548" s="287">
        <v>1</v>
      </c>
      <c r="AD548" s="287">
        <v>1</v>
      </c>
      <c r="AE548" s="268"/>
      <c r="AF548" s="268"/>
      <c r="AG548" s="290"/>
    </row>
    <row r="549" spans="1:33" s="258" customFormat="1" x14ac:dyDescent="0.15">
      <c r="A549" s="271">
        <v>95301028</v>
      </c>
      <c r="B549" t="s">
        <v>6641</v>
      </c>
      <c r="C549" s="268" t="s">
        <v>6316</v>
      </c>
      <c r="D549" s="272">
        <v>5081</v>
      </c>
      <c r="E549" s="272" t="s">
        <v>4876</v>
      </c>
      <c r="F549" s="272" t="s">
        <v>4877</v>
      </c>
      <c r="G549" s="269">
        <v>6</v>
      </c>
      <c r="H549" s="273">
        <v>1</v>
      </c>
      <c r="I549" s="283">
        <v>34</v>
      </c>
      <c r="J549" s="284" t="s">
        <v>5316</v>
      </c>
      <c r="K549" s="285" t="s">
        <v>5317</v>
      </c>
      <c r="L549" s="272" t="s">
        <v>44</v>
      </c>
      <c r="M549" s="272">
        <v>1</v>
      </c>
      <c r="N549" s="272" t="b">
        <v>1</v>
      </c>
      <c r="O549" s="272">
        <v>51</v>
      </c>
      <c r="P549" s="281">
        <v>765</v>
      </c>
      <c r="Q549" s="281">
        <v>1020</v>
      </c>
      <c r="R549" s="272" t="s">
        <v>3383</v>
      </c>
      <c r="S549" s="272"/>
      <c r="T549" s="272">
        <v>1</v>
      </c>
      <c r="U549" s="272" t="s">
        <v>4880</v>
      </c>
      <c r="V549" s="273">
        <v>10</v>
      </c>
      <c r="W549" s="273"/>
      <c r="X549" s="272" t="s">
        <v>4881</v>
      </c>
      <c r="Y549" t="s">
        <v>6639</v>
      </c>
      <c r="Z549" t="s">
        <v>6640</v>
      </c>
      <c r="AA549" s="272" t="s">
        <v>4884</v>
      </c>
      <c r="AB549" s="272"/>
      <c r="AC549" s="289">
        <v>1</v>
      </c>
      <c r="AD549" s="289">
        <v>1</v>
      </c>
      <c r="AE549" s="289"/>
      <c r="AF549" s="272"/>
      <c r="AG549" s="272"/>
    </row>
    <row r="550" spans="1:33" s="258" customFormat="1" x14ac:dyDescent="0.15">
      <c r="A550" s="271">
        <v>95301029</v>
      </c>
      <c r="B550" t="s">
        <v>6642</v>
      </c>
      <c r="C550" s="268" t="s">
        <v>6316</v>
      </c>
      <c r="D550" s="272">
        <v>5081</v>
      </c>
      <c r="E550" s="272" t="s">
        <v>4876</v>
      </c>
      <c r="F550" s="272" t="s">
        <v>4877</v>
      </c>
      <c r="G550" s="269">
        <v>6</v>
      </c>
      <c r="H550" s="273">
        <v>1</v>
      </c>
      <c r="I550" s="283">
        <v>34</v>
      </c>
      <c r="J550" s="284" t="s">
        <v>5316</v>
      </c>
      <c r="K550" s="285" t="s">
        <v>5317</v>
      </c>
      <c r="L550" s="272" t="s">
        <v>4887</v>
      </c>
      <c r="M550" s="272">
        <v>1</v>
      </c>
      <c r="N550" s="272" t="b">
        <v>1</v>
      </c>
      <c r="O550" s="272">
        <v>64</v>
      </c>
      <c r="P550" s="281">
        <v>960</v>
      </c>
      <c r="Q550" s="281">
        <v>1280</v>
      </c>
      <c r="R550" s="272" t="s">
        <v>3383</v>
      </c>
      <c r="S550" s="272"/>
      <c r="T550" s="272">
        <v>1</v>
      </c>
      <c r="U550" s="272" t="s">
        <v>4880</v>
      </c>
      <c r="V550" s="273">
        <v>10</v>
      </c>
      <c r="W550" s="273"/>
      <c r="X550" s="272" t="s">
        <v>4881</v>
      </c>
      <c r="Y550" t="s">
        <v>6639</v>
      </c>
      <c r="Z550" t="s">
        <v>6640</v>
      </c>
      <c r="AA550" s="272" t="s">
        <v>4884</v>
      </c>
      <c r="AB550" s="272"/>
      <c r="AC550" s="289">
        <v>1</v>
      </c>
      <c r="AD550" s="289">
        <v>1</v>
      </c>
      <c r="AE550" s="289"/>
      <c r="AF550" s="272"/>
      <c r="AG550" s="272"/>
    </row>
    <row r="551" spans="1:33" s="258" customFormat="1" x14ac:dyDescent="0.15">
      <c r="A551" s="271">
        <v>95301030</v>
      </c>
      <c r="B551" t="s">
        <v>6643</v>
      </c>
      <c r="C551" s="268" t="s">
        <v>6316</v>
      </c>
      <c r="D551" s="272">
        <v>5081</v>
      </c>
      <c r="E551" s="272" t="s">
        <v>4876</v>
      </c>
      <c r="F551" s="272" t="s">
        <v>4877</v>
      </c>
      <c r="G551" s="269">
        <v>7</v>
      </c>
      <c r="H551" s="273">
        <v>0</v>
      </c>
      <c r="I551" s="283">
        <v>34</v>
      </c>
      <c r="J551" s="284" t="s">
        <v>5316</v>
      </c>
      <c r="K551" s="285" t="s">
        <v>5317</v>
      </c>
      <c r="L551" s="272" t="s">
        <v>4889</v>
      </c>
      <c r="M551" s="272">
        <v>1</v>
      </c>
      <c r="N551" s="272" t="b">
        <v>1</v>
      </c>
      <c r="O551" s="272">
        <v>77</v>
      </c>
      <c r="P551" s="281">
        <v>1155</v>
      </c>
      <c r="Q551" s="281">
        <v>1540</v>
      </c>
      <c r="R551" s="272" t="s">
        <v>3383</v>
      </c>
      <c r="S551" s="272"/>
      <c r="T551" s="272">
        <v>1</v>
      </c>
      <c r="U551" s="272" t="s">
        <v>4880</v>
      </c>
      <c r="V551" s="273">
        <v>10</v>
      </c>
      <c r="W551" s="273"/>
      <c r="X551" s="272" t="s">
        <v>4881</v>
      </c>
      <c r="Y551" t="s">
        <v>6639</v>
      </c>
      <c r="Z551" t="s">
        <v>6640</v>
      </c>
      <c r="AA551" s="272" t="s">
        <v>4884</v>
      </c>
      <c r="AB551" s="272"/>
      <c r="AC551" s="289">
        <v>1</v>
      </c>
      <c r="AD551" s="289">
        <v>1</v>
      </c>
      <c r="AE551" s="289"/>
      <c r="AF551" s="272"/>
      <c r="AG551" s="272"/>
    </row>
    <row r="552" spans="1:33" s="145" customFormat="1" x14ac:dyDescent="0.15">
      <c r="A552" s="267">
        <v>95301041</v>
      </c>
      <c r="B552" t="s">
        <v>6644</v>
      </c>
      <c r="C552" s="268" t="s">
        <v>6316</v>
      </c>
      <c r="D552" s="268">
        <v>6901</v>
      </c>
      <c r="E552" s="268" t="s">
        <v>4876</v>
      </c>
      <c r="F552" s="268" t="s">
        <v>4877</v>
      </c>
      <c r="G552" s="269">
        <v>1</v>
      </c>
      <c r="H552" s="269">
        <v>0</v>
      </c>
      <c r="I552" s="267">
        <v>34</v>
      </c>
      <c r="J552" s="282" t="s">
        <v>5324</v>
      </c>
      <c r="K552" s="279" t="s">
        <v>5325</v>
      </c>
      <c r="L552" s="279"/>
      <c r="M552" s="268">
        <v>1</v>
      </c>
      <c r="N552" s="268" t="b">
        <v>1</v>
      </c>
      <c r="O552" s="268">
        <v>2</v>
      </c>
      <c r="P552" s="281">
        <v>30</v>
      </c>
      <c r="Q552" s="281">
        <v>40</v>
      </c>
      <c r="R552" s="268" t="s">
        <v>3383</v>
      </c>
      <c r="S552" s="268"/>
      <c r="T552" s="268">
        <v>1</v>
      </c>
      <c r="U552" s="268" t="s">
        <v>4880</v>
      </c>
      <c r="V552" s="269">
        <v>1</v>
      </c>
      <c r="W552" s="269"/>
      <c r="X552" s="268" t="s">
        <v>4881</v>
      </c>
      <c r="Y552" t="s">
        <v>6645</v>
      </c>
      <c r="Z552" t="s">
        <v>6646</v>
      </c>
      <c r="AA552" s="268" t="s">
        <v>4884</v>
      </c>
      <c r="AB552" s="268"/>
      <c r="AC552" s="287">
        <v>1</v>
      </c>
      <c r="AD552" s="287">
        <v>1</v>
      </c>
      <c r="AE552" s="268"/>
      <c r="AF552" s="268"/>
      <c r="AG552" s="290"/>
    </row>
    <row r="553" spans="1:33" s="145" customFormat="1" x14ac:dyDescent="0.15">
      <c r="A553" s="267">
        <v>95301042</v>
      </c>
      <c r="B553" t="s">
        <v>6644</v>
      </c>
      <c r="C553" s="268" t="s">
        <v>6316</v>
      </c>
      <c r="D553" s="268">
        <v>6901</v>
      </c>
      <c r="E553" s="268" t="s">
        <v>4876</v>
      </c>
      <c r="F553" s="268" t="s">
        <v>4877</v>
      </c>
      <c r="G553" s="269">
        <v>2</v>
      </c>
      <c r="H553" s="269">
        <v>0</v>
      </c>
      <c r="I553" s="267">
        <v>34</v>
      </c>
      <c r="J553" s="282" t="s">
        <v>5324</v>
      </c>
      <c r="K553" s="279" t="s">
        <v>5325</v>
      </c>
      <c r="L553" s="279"/>
      <c r="M553" s="268">
        <v>1</v>
      </c>
      <c r="N553" s="268" t="b">
        <v>1</v>
      </c>
      <c r="O553" s="268">
        <v>5</v>
      </c>
      <c r="P553" s="281">
        <v>75</v>
      </c>
      <c r="Q553" s="281">
        <v>100</v>
      </c>
      <c r="R553" s="268" t="s">
        <v>3383</v>
      </c>
      <c r="S553" s="268"/>
      <c r="T553" s="268">
        <v>1</v>
      </c>
      <c r="U553" s="268" t="s">
        <v>4880</v>
      </c>
      <c r="V553" s="269">
        <v>2</v>
      </c>
      <c r="W553" s="269"/>
      <c r="X553" s="268" t="s">
        <v>4881</v>
      </c>
      <c r="Y553" t="s">
        <v>6645</v>
      </c>
      <c r="Z553" t="s">
        <v>6646</v>
      </c>
      <c r="AA553" s="268" t="s">
        <v>4884</v>
      </c>
      <c r="AB553" s="268"/>
      <c r="AC553" s="287">
        <v>1</v>
      </c>
      <c r="AD553" s="287">
        <v>1</v>
      </c>
      <c r="AE553" s="268"/>
      <c r="AF553" s="268"/>
      <c r="AG553" s="290"/>
    </row>
    <row r="554" spans="1:33" s="145" customFormat="1" x14ac:dyDescent="0.15">
      <c r="A554" s="267">
        <v>95301043</v>
      </c>
      <c r="B554" t="s">
        <v>6644</v>
      </c>
      <c r="C554" s="268" t="s">
        <v>6316</v>
      </c>
      <c r="D554" s="268">
        <v>6901</v>
      </c>
      <c r="E554" s="268" t="s">
        <v>4876</v>
      </c>
      <c r="F554" s="268" t="s">
        <v>4877</v>
      </c>
      <c r="G554" s="269">
        <v>3</v>
      </c>
      <c r="H554" s="269">
        <v>0</v>
      </c>
      <c r="I554" s="267">
        <v>34</v>
      </c>
      <c r="J554" s="282" t="s">
        <v>5324</v>
      </c>
      <c r="K554" s="279" t="s">
        <v>5325</v>
      </c>
      <c r="L554" s="279"/>
      <c r="M554" s="268">
        <v>1</v>
      </c>
      <c r="N554" s="268" t="b">
        <v>1</v>
      </c>
      <c r="O554" s="268">
        <v>7</v>
      </c>
      <c r="P554" s="281">
        <v>105</v>
      </c>
      <c r="Q554" s="281">
        <v>140</v>
      </c>
      <c r="R554" s="268" t="s">
        <v>3383</v>
      </c>
      <c r="S554" s="268"/>
      <c r="T554" s="268">
        <v>1</v>
      </c>
      <c r="U554" s="268" t="s">
        <v>4880</v>
      </c>
      <c r="V554" s="269">
        <v>3</v>
      </c>
      <c r="W554" s="269"/>
      <c r="X554" s="268" t="s">
        <v>4881</v>
      </c>
      <c r="Y554" t="s">
        <v>6645</v>
      </c>
      <c r="Z554" t="s">
        <v>6646</v>
      </c>
      <c r="AA554" s="268" t="s">
        <v>4884</v>
      </c>
      <c r="AB554" s="268"/>
      <c r="AC554" s="287">
        <v>1</v>
      </c>
      <c r="AD554" s="287">
        <v>1</v>
      </c>
      <c r="AE554" s="268"/>
      <c r="AF554" s="268"/>
      <c r="AG554" s="290"/>
    </row>
    <row r="555" spans="1:33" s="145" customFormat="1" x14ac:dyDescent="0.15">
      <c r="A555" s="267">
        <v>95301044</v>
      </c>
      <c r="B555" t="s">
        <v>6644</v>
      </c>
      <c r="C555" s="268" t="s">
        <v>6316</v>
      </c>
      <c r="D555" s="268">
        <v>6901</v>
      </c>
      <c r="E555" s="268" t="s">
        <v>4876</v>
      </c>
      <c r="F555" s="268" t="s">
        <v>4877</v>
      </c>
      <c r="G555" s="269">
        <v>4</v>
      </c>
      <c r="H555" s="269">
        <v>0</v>
      </c>
      <c r="I555" s="267">
        <v>34</v>
      </c>
      <c r="J555" s="282" t="s">
        <v>5324</v>
      </c>
      <c r="K555" s="279" t="s">
        <v>5325</v>
      </c>
      <c r="L555" s="279"/>
      <c r="M555" s="268">
        <v>1</v>
      </c>
      <c r="N555" s="268" t="b">
        <v>1</v>
      </c>
      <c r="O555" s="268">
        <v>10</v>
      </c>
      <c r="P555" s="281">
        <v>150</v>
      </c>
      <c r="Q555" s="281">
        <v>200</v>
      </c>
      <c r="R555" s="268" t="s">
        <v>3383</v>
      </c>
      <c r="S555" s="268"/>
      <c r="T555" s="268">
        <v>1</v>
      </c>
      <c r="U555" s="268" t="s">
        <v>4880</v>
      </c>
      <c r="V555" s="269">
        <v>4</v>
      </c>
      <c r="W555" s="269"/>
      <c r="X555" s="268" t="s">
        <v>4881</v>
      </c>
      <c r="Y555" t="s">
        <v>6645</v>
      </c>
      <c r="Z555" t="s">
        <v>6646</v>
      </c>
      <c r="AA555" s="268" t="s">
        <v>4884</v>
      </c>
      <c r="AB555" s="268"/>
      <c r="AC555" s="287">
        <v>1</v>
      </c>
      <c r="AD555" s="287">
        <v>1</v>
      </c>
      <c r="AE555" s="268"/>
      <c r="AF555" s="268"/>
      <c r="AG555" s="290"/>
    </row>
    <row r="556" spans="1:33" s="145" customFormat="1" x14ac:dyDescent="0.15">
      <c r="A556" s="267">
        <v>95301045</v>
      </c>
      <c r="B556" t="s">
        <v>6644</v>
      </c>
      <c r="C556" s="268" t="s">
        <v>6316</v>
      </c>
      <c r="D556" s="268">
        <v>6901</v>
      </c>
      <c r="E556" s="268" t="s">
        <v>4876</v>
      </c>
      <c r="F556" s="268" t="s">
        <v>4877</v>
      </c>
      <c r="G556" s="269">
        <v>5</v>
      </c>
      <c r="H556" s="269">
        <v>0</v>
      </c>
      <c r="I556" s="267">
        <v>34</v>
      </c>
      <c r="J556" s="282" t="s">
        <v>5324</v>
      </c>
      <c r="K556" s="279" t="s">
        <v>5325</v>
      </c>
      <c r="L556" s="279"/>
      <c r="M556" s="268">
        <v>1</v>
      </c>
      <c r="N556" s="268" t="b">
        <v>1</v>
      </c>
      <c r="O556" s="268">
        <v>12</v>
      </c>
      <c r="P556" s="281">
        <v>180</v>
      </c>
      <c r="Q556" s="281">
        <v>240</v>
      </c>
      <c r="R556" s="268" t="s">
        <v>3383</v>
      </c>
      <c r="S556" s="268"/>
      <c r="T556" s="268">
        <v>1</v>
      </c>
      <c r="U556" s="268" t="s">
        <v>4880</v>
      </c>
      <c r="V556" s="269">
        <v>5</v>
      </c>
      <c r="W556" s="269"/>
      <c r="X556" s="268" t="s">
        <v>4881</v>
      </c>
      <c r="Y556" t="s">
        <v>6645</v>
      </c>
      <c r="Z556" t="s">
        <v>6646</v>
      </c>
      <c r="AA556" s="268" t="s">
        <v>4884</v>
      </c>
      <c r="AB556" s="268"/>
      <c r="AC556" s="287">
        <v>1</v>
      </c>
      <c r="AD556" s="287">
        <v>1</v>
      </c>
      <c r="AE556" s="268"/>
      <c r="AF556" s="268"/>
      <c r="AG556" s="290"/>
    </row>
    <row r="557" spans="1:33" s="145" customFormat="1" x14ac:dyDescent="0.15">
      <c r="A557" s="270">
        <v>95301046</v>
      </c>
      <c r="B557" t="s">
        <v>6644</v>
      </c>
      <c r="C557" s="268" t="s">
        <v>6316</v>
      </c>
      <c r="D557" s="268">
        <v>6901</v>
      </c>
      <c r="E557" s="268" t="s">
        <v>4876</v>
      </c>
      <c r="F557" s="268" t="s">
        <v>4877</v>
      </c>
      <c r="G557" s="269">
        <v>6</v>
      </c>
      <c r="H557" s="269">
        <v>0</v>
      </c>
      <c r="I557" s="267">
        <v>34</v>
      </c>
      <c r="J557" s="282" t="s">
        <v>5324</v>
      </c>
      <c r="K557" s="279" t="s">
        <v>5325</v>
      </c>
      <c r="L557" s="279"/>
      <c r="M557" s="268">
        <v>1</v>
      </c>
      <c r="N557" s="268" t="b">
        <v>1</v>
      </c>
      <c r="O557" s="268">
        <v>25</v>
      </c>
      <c r="P557" s="281">
        <v>375</v>
      </c>
      <c r="Q557" s="281">
        <v>500</v>
      </c>
      <c r="R557" s="268" t="s">
        <v>3383</v>
      </c>
      <c r="S557" s="268"/>
      <c r="T557" s="268">
        <v>1</v>
      </c>
      <c r="U557" s="268" t="s">
        <v>4880</v>
      </c>
      <c r="V557" s="269">
        <v>6</v>
      </c>
      <c r="W557" s="269"/>
      <c r="X557" s="268" t="s">
        <v>4881</v>
      </c>
      <c r="Y557" t="s">
        <v>6645</v>
      </c>
      <c r="Z557" t="s">
        <v>6646</v>
      </c>
      <c r="AA557" s="268" t="s">
        <v>4884</v>
      </c>
      <c r="AB557" s="268"/>
      <c r="AC557" s="287">
        <v>1</v>
      </c>
      <c r="AD557" s="287">
        <v>1</v>
      </c>
      <c r="AE557" s="268"/>
      <c r="AF557" s="268"/>
      <c r="AG557" s="290"/>
    </row>
    <row r="558" spans="1:33" s="145" customFormat="1" x14ac:dyDescent="0.15">
      <c r="A558" s="270">
        <v>95301047</v>
      </c>
      <c r="B558" t="s">
        <v>6644</v>
      </c>
      <c r="C558" s="268" t="s">
        <v>6316</v>
      </c>
      <c r="D558" s="268">
        <v>6901</v>
      </c>
      <c r="E558" s="268" t="s">
        <v>4876</v>
      </c>
      <c r="F558" s="268" t="s">
        <v>4877</v>
      </c>
      <c r="G558" s="269">
        <v>7</v>
      </c>
      <c r="H558" s="269">
        <v>0</v>
      </c>
      <c r="I558" s="267">
        <v>34</v>
      </c>
      <c r="J558" s="282" t="s">
        <v>5324</v>
      </c>
      <c r="K558" s="279" t="s">
        <v>5325</v>
      </c>
      <c r="L558" s="279"/>
      <c r="M558" s="268">
        <v>1</v>
      </c>
      <c r="N558" s="268" t="b">
        <v>1</v>
      </c>
      <c r="O558" s="268">
        <v>38</v>
      </c>
      <c r="P558" s="281">
        <v>570</v>
      </c>
      <c r="Q558" s="281">
        <v>760</v>
      </c>
      <c r="R558" s="268" t="s">
        <v>3383</v>
      </c>
      <c r="S558" s="268"/>
      <c r="T558" s="268">
        <v>1</v>
      </c>
      <c r="U558" s="268" t="s">
        <v>4880</v>
      </c>
      <c r="V558" s="269">
        <v>7</v>
      </c>
      <c r="W558" s="269"/>
      <c r="X558" s="268" t="s">
        <v>4881</v>
      </c>
      <c r="Y558" t="s">
        <v>6645</v>
      </c>
      <c r="Z558" t="s">
        <v>6646</v>
      </c>
      <c r="AA558" s="268" t="s">
        <v>4884</v>
      </c>
      <c r="AB558" s="268"/>
      <c r="AC558" s="287">
        <v>1</v>
      </c>
      <c r="AD558" s="287">
        <v>1</v>
      </c>
      <c r="AE558" s="268"/>
      <c r="AF558" s="268"/>
      <c r="AG558" s="290"/>
    </row>
    <row r="559" spans="1:33" s="258" customFormat="1" x14ac:dyDescent="0.15">
      <c r="A559" s="271">
        <v>95301048</v>
      </c>
      <c r="B559" t="s">
        <v>6647</v>
      </c>
      <c r="C559" s="268" t="s">
        <v>6316</v>
      </c>
      <c r="D559" s="272">
        <v>5081</v>
      </c>
      <c r="E559" s="272" t="s">
        <v>4876</v>
      </c>
      <c r="F559" s="272" t="s">
        <v>4877</v>
      </c>
      <c r="G559" s="269">
        <v>6</v>
      </c>
      <c r="H559" s="273">
        <v>1</v>
      </c>
      <c r="I559" s="283">
        <v>34</v>
      </c>
      <c r="J559" s="284" t="s">
        <v>5324</v>
      </c>
      <c r="K559" s="285" t="s">
        <v>5325</v>
      </c>
      <c r="L559" s="272" t="s">
        <v>44</v>
      </c>
      <c r="M559" s="272">
        <v>1</v>
      </c>
      <c r="N559" s="272" t="b">
        <v>1</v>
      </c>
      <c r="O559" s="272">
        <v>51</v>
      </c>
      <c r="P559" s="281">
        <v>765</v>
      </c>
      <c r="Q559" s="281">
        <v>1020</v>
      </c>
      <c r="R559" s="272" t="s">
        <v>3383</v>
      </c>
      <c r="S559" s="272"/>
      <c r="T559" s="272">
        <v>1</v>
      </c>
      <c r="U559" s="272" t="s">
        <v>4880</v>
      </c>
      <c r="V559" s="273">
        <v>10</v>
      </c>
      <c r="W559" s="273"/>
      <c r="X559" s="272" t="s">
        <v>4881</v>
      </c>
      <c r="Y559" t="s">
        <v>6645</v>
      </c>
      <c r="Z559" t="s">
        <v>6646</v>
      </c>
      <c r="AA559" s="272" t="s">
        <v>4884</v>
      </c>
      <c r="AB559" s="272"/>
      <c r="AC559" s="289">
        <v>1</v>
      </c>
      <c r="AD559" s="289">
        <v>1</v>
      </c>
      <c r="AE559" s="289"/>
      <c r="AF559" s="272"/>
      <c r="AG559" s="272"/>
    </row>
    <row r="560" spans="1:33" s="258" customFormat="1" x14ac:dyDescent="0.15">
      <c r="A560" s="271">
        <v>95301049</v>
      </c>
      <c r="B560" t="s">
        <v>6648</v>
      </c>
      <c r="C560" s="268" t="s">
        <v>6316</v>
      </c>
      <c r="D560" s="272">
        <v>5081</v>
      </c>
      <c r="E560" s="272" t="s">
        <v>4876</v>
      </c>
      <c r="F560" s="272" t="s">
        <v>4877</v>
      </c>
      <c r="G560" s="269">
        <v>6</v>
      </c>
      <c r="H560" s="273">
        <v>1</v>
      </c>
      <c r="I560" s="283">
        <v>34</v>
      </c>
      <c r="J560" s="284" t="s">
        <v>5324</v>
      </c>
      <c r="K560" s="285" t="s">
        <v>5325</v>
      </c>
      <c r="L560" s="272" t="s">
        <v>4887</v>
      </c>
      <c r="M560" s="272">
        <v>1</v>
      </c>
      <c r="N560" s="272" t="b">
        <v>1</v>
      </c>
      <c r="O560" s="272">
        <v>64</v>
      </c>
      <c r="P560" s="281">
        <v>960</v>
      </c>
      <c r="Q560" s="281">
        <v>1280</v>
      </c>
      <c r="R560" s="272" t="s">
        <v>3383</v>
      </c>
      <c r="S560" s="272"/>
      <c r="T560" s="272">
        <v>1</v>
      </c>
      <c r="U560" s="272" t="s">
        <v>4880</v>
      </c>
      <c r="V560" s="273">
        <v>10</v>
      </c>
      <c r="W560" s="273"/>
      <c r="X560" s="272" t="s">
        <v>4881</v>
      </c>
      <c r="Y560" t="s">
        <v>6645</v>
      </c>
      <c r="Z560" t="s">
        <v>6646</v>
      </c>
      <c r="AA560" s="272" t="s">
        <v>4884</v>
      </c>
      <c r="AB560" s="272"/>
      <c r="AC560" s="289">
        <v>1</v>
      </c>
      <c r="AD560" s="289">
        <v>1</v>
      </c>
      <c r="AE560" s="289"/>
      <c r="AF560" s="272"/>
      <c r="AG560" s="272"/>
    </row>
    <row r="561" spans="1:33" s="258" customFormat="1" x14ac:dyDescent="0.15">
      <c r="A561" s="271">
        <v>95301050</v>
      </c>
      <c r="B561" t="s">
        <v>6649</v>
      </c>
      <c r="C561" s="268" t="s">
        <v>6316</v>
      </c>
      <c r="D561" s="272">
        <v>5081</v>
      </c>
      <c r="E561" s="272" t="s">
        <v>4876</v>
      </c>
      <c r="F561" s="272" t="s">
        <v>4877</v>
      </c>
      <c r="G561" s="269">
        <v>7</v>
      </c>
      <c r="H561" s="273">
        <v>0</v>
      </c>
      <c r="I561" s="283">
        <v>34</v>
      </c>
      <c r="J561" s="284" t="s">
        <v>5324</v>
      </c>
      <c r="K561" s="285" t="s">
        <v>5325</v>
      </c>
      <c r="L561" s="272" t="s">
        <v>4889</v>
      </c>
      <c r="M561" s="272">
        <v>1</v>
      </c>
      <c r="N561" s="272" t="b">
        <v>1</v>
      </c>
      <c r="O561" s="272">
        <v>77</v>
      </c>
      <c r="P561" s="281">
        <v>1155</v>
      </c>
      <c r="Q561" s="281">
        <v>1540</v>
      </c>
      <c r="R561" s="272" t="s">
        <v>3383</v>
      </c>
      <c r="S561" s="272"/>
      <c r="T561" s="272">
        <v>1</v>
      </c>
      <c r="U561" s="272" t="s">
        <v>4880</v>
      </c>
      <c r="V561" s="273">
        <v>10</v>
      </c>
      <c r="W561" s="273"/>
      <c r="X561" s="272" t="s">
        <v>4881</v>
      </c>
      <c r="Y561" t="s">
        <v>6645</v>
      </c>
      <c r="Z561" t="s">
        <v>6646</v>
      </c>
      <c r="AA561" s="272" t="s">
        <v>4884</v>
      </c>
      <c r="AB561" s="272"/>
      <c r="AC561" s="289">
        <v>1</v>
      </c>
      <c r="AD561" s="289">
        <v>1</v>
      </c>
      <c r="AE561" s="289"/>
      <c r="AF561" s="272"/>
      <c r="AG561" s="272"/>
    </row>
    <row r="562" spans="1:33" s="145" customFormat="1" x14ac:dyDescent="0.15">
      <c r="A562" s="267">
        <v>95301051</v>
      </c>
      <c r="B562" t="s">
        <v>6650</v>
      </c>
      <c r="C562" s="268" t="s">
        <v>6316</v>
      </c>
      <c r="D562" s="268">
        <v>6901</v>
      </c>
      <c r="E562" s="268" t="s">
        <v>4876</v>
      </c>
      <c r="F562" s="268" t="s">
        <v>4877</v>
      </c>
      <c r="G562" s="269">
        <v>1</v>
      </c>
      <c r="H562" s="269">
        <v>0</v>
      </c>
      <c r="I562" s="267">
        <v>34</v>
      </c>
      <c r="J562" s="282" t="s">
        <v>5332</v>
      </c>
      <c r="K562" s="279" t="s">
        <v>5333</v>
      </c>
      <c r="L562" s="279"/>
      <c r="M562" s="268">
        <v>1</v>
      </c>
      <c r="N562" s="268" t="b">
        <v>1</v>
      </c>
      <c r="O562" s="268">
        <v>2</v>
      </c>
      <c r="P562" s="281">
        <v>30</v>
      </c>
      <c r="Q562" s="281">
        <v>40</v>
      </c>
      <c r="R562" s="268" t="s">
        <v>3383</v>
      </c>
      <c r="S562" s="268"/>
      <c r="T562" s="268">
        <v>1</v>
      </c>
      <c r="U562" s="268" t="s">
        <v>4880</v>
      </c>
      <c r="V562" s="269">
        <v>1</v>
      </c>
      <c r="W562" s="269"/>
      <c r="X562" s="268" t="s">
        <v>4881</v>
      </c>
      <c r="Y562" t="s">
        <v>6651</v>
      </c>
      <c r="Z562" t="s">
        <v>6652</v>
      </c>
      <c r="AA562" s="268" t="s">
        <v>4884</v>
      </c>
      <c r="AB562" s="268"/>
      <c r="AC562" s="287">
        <v>1</v>
      </c>
      <c r="AD562" s="287">
        <v>1</v>
      </c>
      <c r="AE562" s="268"/>
      <c r="AF562" s="268"/>
      <c r="AG562" s="290"/>
    </row>
    <row r="563" spans="1:33" s="145" customFormat="1" x14ac:dyDescent="0.15">
      <c r="A563" s="267">
        <v>95301052</v>
      </c>
      <c r="B563" t="s">
        <v>6650</v>
      </c>
      <c r="C563" s="268" t="s">
        <v>6316</v>
      </c>
      <c r="D563" s="268">
        <v>6901</v>
      </c>
      <c r="E563" s="268" t="s">
        <v>4876</v>
      </c>
      <c r="F563" s="268" t="s">
        <v>4877</v>
      </c>
      <c r="G563" s="269">
        <v>2</v>
      </c>
      <c r="H563" s="269">
        <v>0</v>
      </c>
      <c r="I563" s="267">
        <v>34</v>
      </c>
      <c r="J563" s="282" t="s">
        <v>5332</v>
      </c>
      <c r="K563" s="279" t="s">
        <v>5333</v>
      </c>
      <c r="L563" s="279"/>
      <c r="M563" s="268">
        <v>1</v>
      </c>
      <c r="N563" s="268" t="b">
        <v>1</v>
      </c>
      <c r="O563" s="268">
        <v>5</v>
      </c>
      <c r="P563" s="281">
        <v>75</v>
      </c>
      <c r="Q563" s="281">
        <v>100</v>
      </c>
      <c r="R563" s="268" t="s">
        <v>3383</v>
      </c>
      <c r="S563" s="268"/>
      <c r="T563" s="268">
        <v>1</v>
      </c>
      <c r="U563" s="268" t="s">
        <v>4880</v>
      </c>
      <c r="V563" s="269">
        <v>2</v>
      </c>
      <c r="W563" s="269"/>
      <c r="X563" s="268" t="s">
        <v>4881</v>
      </c>
      <c r="Y563" t="s">
        <v>6651</v>
      </c>
      <c r="Z563" t="s">
        <v>6652</v>
      </c>
      <c r="AA563" s="268" t="s">
        <v>4884</v>
      </c>
      <c r="AB563" s="268"/>
      <c r="AC563" s="287">
        <v>1</v>
      </c>
      <c r="AD563" s="287">
        <v>1</v>
      </c>
      <c r="AE563" s="268"/>
      <c r="AF563" s="268"/>
      <c r="AG563" s="290"/>
    </row>
    <row r="564" spans="1:33" s="145" customFormat="1" x14ac:dyDescent="0.15">
      <c r="A564" s="267">
        <v>95301053</v>
      </c>
      <c r="B564" t="s">
        <v>6650</v>
      </c>
      <c r="C564" s="268" t="s">
        <v>6316</v>
      </c>
      <c r="D564" s="268">
        <v>6901</v>
      </c>
      <c r="E564" s="268" t="s">
        <v>4876</v>
      </c>
      <c r="F564" s="268" t="s">
        <v>4877</v>
      </c>
      <c r="G564" s="269">
        <v>3</v>
      </c>
      <c r="H564" s="269">
        <v>0</v>
      </c>
      <c r="I564" s="267">
        <v>34</v>
      </c>
      <c r="J564" s="282" t="s">
        <v>5332</v>
      </c>
      <c r="K564" s="279" t="s">
        <v>5333</v>
      </c>
      <c r="L564" s="279"/>
      <c r="M564" s="268">
        <v>1</v>
      </c>
      <c r="N564" s="268" t="b">
        <v>1</v>
      </c>
      <c r="O564" s="268">
        <v>7</v>
      </c>
      <c r="P564" s="281">
        <v>105</v>
      </c>
      <c r="Q564" s="281">
        <v>140</v>
      </c>
      <c r="R564" s="268" t="s">
        <v>3383</v>
      </c>
      <c r="S564" s="268"/>
      <c r="T564" s="268">
        <v>1</v>
      </c>
      <c r="U564" s="268" t="s">
        <v>4880</v>
      </c>
      <c r="V564" s="269">
        <v>3</v>
      </c>
      <c r="W564" s="269"/>
      <c r="X564" s="268" t="s">
        <v>4881</v>
      </c>
      <c r="Y564" t="s">
        <v>6651</v>
      </c>
      <c r="Z564" t="s">
        <v>6652</v>
      </c>
      <c r="AA564" s="268" t="s">
        <v>4884</v>
      </c>
      <c r="AB564" s="268"/>
      <c r="AC564" s="287">
        <v>1</v>
      </c>
      <c r="AD564" s="287">
        <v>1</v>
      </c>
      <c r="AE564" s="268"/>
      <c r="AF564" s="268"/>
      <c r="AG564" s="290"/>
    </row>
    <row r="565" spans="1:33" s="145" customFormat="1" x14ac:dyDescent="0.15">
      <c r="A565" s="267">
        <v>95301054</v>
      </c>
      <c r="B565" t="s">
        <v>6650</v>
      </c>
      <c r="C565" s="268" t="s">
        <v>6316</v>
      </c>
      <c r="D565" s="268">
        <v>6901</v>
      </c>
      <c r="E565" s="268" t="s">
        <v>4876</v>
      </c>
      <c r="F565" s="268" t="s">
        <v>4877</v>
      </c>
      <c r="G565" s="269">
        <v>4</v>
      </c>
      <c r="H565" s="269">
        <v>0</v>
      </c>
      <c r="I565" s="267">
        <v>34</v>
      </c>
      <c r="J565" s="282" t="s">
        <v>5332</v>
      </c>
      <c r="K565" s="279" t="s">
        <v>5333</v>
      </c>
      <c r="L565" s="279"/>
      <c r="M565" s="268">
        <v>1</v>
      </c>
      <c r="N565" s="268" t="b">
        <v>1</v>
      </c>
      <c r="O565" s="268">
        <v>10</v>
      </c>
      <c r="P565" s="281">
        <v>150</v>
      </c>
      <c r="Q565" s="281">
        <v>200</v>
      </c>
      <c r="R565" s="268" t="s">
        <v>3383</v>
      </c>
      <c r="S565" s="268"/>
      <c r="T565" s="268">
        <v>1</v>
      </c>
      <c r="U565" s="268" t="s">
        <v>4880</v>
      </c>
      <c r="V565" s="269">
        <v>4</v>
      </c>
      <c r="W565" s="269"/>
      <c r="X565" s="268" t="s">
        <v>4881</v>
      </c>
      <c r="Y565" t="s">
        <v>6651</v>
      </c>
      <c r="Z565" t="s">
        <v>6652</v>
      </c>
      <c r="AA565" s="268" t="s">
        <v>4884</v>
      </c>
      <c r="AB565" s="268"/>
      <c r="AC565" s="287">
        <v>1</v>
      </c>
      <c r="AD565" s="287">
        <v>1</v>
      </c>
      <c r="AE565" s="268"/>
      <c r="AF565" s="268"/>
      <c r="AG565" s="290"/>
    </row>
    <row r="566" spans="1:33" s="145" customFormat="1" x14ac:dyDescent="0.15">
      <c r="A566" s="267">
        <v>95301055</v>
      </c>
      <c r="B566" t="s">
        <v>6650</v>
      </c>
      <c r="C566" s="268" t="s">
        <v>6316</v>
      </c>
      <c r="D566" s="268">
        <v>6901</v>
      </c>
      <c r="E566" s="268" t="s">
        <v>4876</v>
      </c>
      <c r="F566" s="268" t="s">
        <v>4877</v>
      </c>
      <c r="G566" s="269">
        <v>5</v>
      </c>
      <c r="H566" s="269">
        <v>0</v>
      </c>
      <c r="I566" s="267">
        <v>34</v>
      </c>
      <c r="J566" s="282" t="s">
        <v>5332</v>
      </c>
      <c r="K566" s="279" t="s">
        <v>5333</v>
      </c>
      <c r="L566" s="279"/>
      <c r="M566" s="268">
        <v>1</v>
      </c>
      <c r="N566" s="268" t="b">
        <v>1</v>
      </c>
      <c r="O566" s="268">
        <v>12</v>
      </c>
      <c r="P566" s="281">
        <v>180</v>
      </c>
      <c r="Q566" s="281">
        <v>240</v>
      </c>
      <c r="R566" s="268" t="s">
        <v>3383</v>
      </c>
      <c r="S566" s="268"/>
      <c r="T566" s="268">
        <v>1</v>
      </c>
      <c r="U566" s="268" t="s">
        <v>4880</v>
      </c>
      <c r="V566" s="269">
        <v>5</v>
      </c>
      <c r="W566" s="269"/>
      <c r="X566" s="268" t="s">
        <v>4881</v>
      </c>
      <c r="Y566" t="s">
        <v>6651</v>
      </c>
      <c r="Z566" t="s">
        <v>6652</v>
      </c>
      <c r="AA566" s="268" t="s">
        <v>4884</v>
      </c>
      <c r="AB566" s="268"/>
      <c r="AC566" s="287">
        <v>1</v>
      </c>
      <c r="AD566" s="287">
        <v>1</v>
      </c>
      <c r="AE566" s="268"/>
      <c r="AF566" s="268"/>
      <c r="AG566" s="290"/>
    </row>
    <row r="567" spans="1:33" s="145" customFormat="1" x14ac:dyDescent="0.15">
      <c r="A567" s="270">
        <v>95301056</v>
      </c>
      <c r="B567" t="s">
        <v>6650</v>
      </c>
      <c r="C567" s="268" t="s">
        <v>6316</v>
      </c>
      <c r="D567" s="268">
        <v>6901</v>
      </c>
      <c r="E567" s="268" t="s">
        <v>4876</v>
      </c>
      <c r="F567" s="268" t="s">
        <v>4877</v>
      </c>
      <c r="G567" s="269">
        <v>6</v>
      </c>
      <c r="H567" s="269">
        <v>0</v>
      </c>
      <c r="I567" s="267">
        <v>34</v>
      </c>
      <c r="J567" s="282" t="s">
        <v>5332</v>
      </c>
      <c r="K567" s="279" t="s">
        <v>5333</v>
      </c>
      <c r="L567" s="279"/>
      <c r="M567" s="268">
        <v>1</v>
      </c>
      <c r="N567" s="268" t="b">
        <v>1</v>
      </c>
      <c r="O567" s="268">
        <v>25</v>
      </c>
      <c r="P567" s="281">
        <v>375</v>
      </c>
      <c r="Q567" s="281">
        <v>500</v>
      </c>
      <c r="R567" s="268" t="s">
        <v>3383</v>
      </c>
      <c r="S567" s="268"/>
      <c r="T567" s="268">
        <v>1</v>
      </c>
      <c r="U567" s="268" t="s">
        <v>4880</v>
      </c>
      <c r="V567" s="269">
        <v>6</v>
      </c>
      <c r="W567" s="269"/>
      <c r="X567" s="268" t="s">
        <v>4881</v>
      </c>
      <c r="Y567" t="s">
        <v>6651</v>
      </c>
      <c r="Z567" t="s">
        <v>6652</v>
      </c>
      <c r="AA567" s="268" t="s">
        <v>4884</v>
      </c>
      <c r="AB567" s="268"/>
      <c r="AC567" s="287">
        <v>1</v>
      </c>
      <c r="AD567" s="287">
        <v>1</v>
      </c>
      <c r="AE567" s="268"/>
      <c r="AF567" s="268"/>
      <c r="AG567" s="290"/>
    </row>
    <row r="568" spans="1:33" s="145" customFormat="1" x14ac:dyDescent="0.15">
      <c r="A568" s="270">
        <v>95301057</v>
      </c>
      <c r="B568" t="s">
        <v>6650</v>
      </c>
      <c r="C568" s="268" t="s">
        <v>6316</v>
      </c>
      <c r="D568" s="268">
        <v>6901</v>
      </c>
      <c r="E568" s="268" t="s">
        <v>4876</v>
      </c>
      <c r="F568" s="268" t="s">
        <v>4877</v>
      </c>
      <c r="G568" s="269">
        <v>7</v>
      </c>
      <c r="H568" s="269">
        <v>0</v>
      </c>
      <c r="I568" s="267">
        <v>34</v>
      </c>
      <c r="J568" s="282" t="s">
        <v>5332</v>
      </c>
      <c r="K568" s="279" t="s">
        <v>5333</v>
      </c>
      <c r="L568" s="279"/>
      <c r="M568" s="268">
        <v>1</v>
      </c>
      <c r="N568" s="268" t="b">
        <v>1</v>
      </c>
      <c r="O568" s="268">
        <v>38</v>
      </c>
      <c r="P568" s="281">
        <v>570</v>
      </c>
      <c r="Q568" s="281">
        <v>760</v>
      </c>
      <c r="R568" s="268" t="s">
        <v>3383</v>
      </c>
      <c r="S568" s="268"/>
      <c r="T568" s="268">
        <v>1</v>
      </c>
      <c r="U568" s="268" t="s">
        <v>4880</v>
      </c>
      <c r="V568" s="269">
        <v>7</v>
      </c>
      <c r="W568" s="269"/>
      <c r="X568" s="268" t="s">
        <v>4881</v>
      </c>
      <c r="Y568" t="s">
        <v>6651</v>
      </c>
      <c r="Z568" t="s">
        <v>6652</v>
      </c>
      <c r="AA568" s="268" t="s">
        <v>4884</v>
      </c>
      <c r="AB568" s="268"/>
      <c r="AC568" s="287">
        <v>1</v>
      </c>
      <c r="AD568" s="287">
        <v>1</v>
      </c>
      <c r="AE568" s="268"/>
      <c r="AF568" s="268"/>
      <c r="AG568" s="290"/>
    </row>
    <row r="569" spans="1:33" s="258" customFormat="1" x14ac:dyDescent="0.15">
      <c r="A569" s="271">
        <v>95301058</v>
      </c>
      <c r="B569" t="s">
        <v>6653</v>
      </c>
      <c r="C569" s="268" t="s">
        <v>6316</v>
      </c>
      <c r="D569" s="272">
        <v>5081</v>
      </c>
      <c r="E569" s="272" t="s">
        <v>4876</v>
      </c>
      <c r="F569" s="272" t="s">
        <v>4877</v>
      </c>
      <c r="G569" s="269">
        <v>6</v>
      </c>
      <c r="H569" s="273">
        <v>1</v>
      </c>
      <c r="I569" s="283">
        <v>34</v>
      </c>
      <c r="J569" s="284" t="s">
        <v>5332</v>
      </c>
      <c r="K569" s="285" t="s">
        <v>5333</v>
      </c>
      <c r="L569" s="272" t="s">
        <v>44</v>
      </c>
      <c r="M569" s="272">
        <v>1</v>
      </c>
      <c r="N569" s="272" t="b">
        <v>1</v>
      </c>
      <c r="O569" s="272">
        <v>51</v>
      </c>
      <c r="P569" s="281">
        <v>765</v>
      </c>
      <c r="Q569" s="281">
        <v>1020</v>
      </c>
      <c r="R569" s="272" t="s">
        <v>3383</v>
      </c>
      <c r="S569" s="272"/>
      <c r="T569" s="272">
        <v>1</v>
      </c>
      <c r="U569" s="272" t="s">
        <v>4880</v>
      </c>
      <c r="V569" s="273">
        <v>10</v>
      </c>
      <c r="W569" s="273"/>
      <c r="X569" s="272" t="s">
        <v>4881</v>
      </c>
      <c r="Y569" t="s">
        <v>6651</v>
      </c>
      <c r="Z569" t="s">
        <v>6652</v>
      </c>
      <c r="AA569" s="272" t="s">
        <v>4884</v>
      </c>
      <c r="AB569" s="272"/>
      <c r="AC569" s="289">
        <v>1</v>
      </c>
      <c r="AD569" s="289">
        <v>1</v>
      </c>
      <c r="AE569" s="289"/>
      <c r="AF569" s="272"/>
      <c r="AG569" s="272"/>
    </row>
    <row r="570" spans="1:33" s="258" customFormat="1" x14ac:dyDescent="0.15">
      <c r="A570" s="271">
        <v>95301059</v>
      </c>
      <c r="B570" t="s">
        <v>6654</v>
      </c>
      <c r="C570" s="268" t="s">
        <v>6316</v>
      </c>
      <c r="D570" s="272">
        <v>5081</v>
      </c>
      <c r="E570" s="272" t="s">
        <v>4876</v>
      </c>
      <c r="F570" s="272" t="s">
        <v>4877</v>
      </c>
      <c r="G570" s="269">
        <v>6</v>
      </c>
      <c r="H570" s="273">
        <v>1</v>
      </c>
      <c r="I570" s="283">
        <v>34</v>
      </c>
      <c r="J570" s="284" t="s">
        <v>5332</v>
      </c>
      <c r="K570" s="285" t="s">
        <v>5333</v>
      </c>
      <c r="L570" s="272" t="s">
        <v>4887</v>
      </c>
      <c r="M570" s="272">
        <v>1</v>
      </c>
      <c r="N570" s="272" t="b">
        <v>1</v>
      </c>
      <c r="O570" s="272">
        <v>64</v>
      </c>
      <c r="P570" s="281">
        <v>960</v>
      </c>
      <c r="Q570" s="281">
        <v>1280</v>
      </c>
      <c r="R570" s="272" t="s">
        <v>3383</v>
      </c>
      <c r="S570" s="272"/>
      <c r="T570" s="272">
        <v>1</v>
      </c>
      <c r="U570" s="272" t="s">
        <v>4880</v>
      </c>
      <c r="V570" s="273">
        <v>10</v>
      </c>
      <c r="W570" s="273"/>
      <c r="X570" s="272" t="s">
        <v>4881</v>
      </c>
      <c r="Y570" t="s">
        <v>6651</v>
      </c>
      <c r="Z570" t="s">
        <v>6652</v>
      </c>
      <c r="AA570" s="272" t="s">
        <v>4884</v>
      </c>
      <c r="AB570" s="272"/>
      <c r="AC570" s="289">
        <v>1</v>
      </c>
      <c r="AD570" s="289">
        <v>1</v>
      </c>
      <c r="AE570" s="289"/>
      <c r="AF570" s="272"/>
      <c r="AG570" s="272"/>
    </row>
    <row r="571" spans="1:33" s="258" customFormat="1" x14ac:dyDescent="0.15">
      <c r="A571" s="271">
        <v>95301060</v>
      </c>
      <c r="B571" t="s">
        <v>6655</v>
      </c>
      <c r="C571" s="268" t="s">
        <v>6316</v>
      </c>
      <c r="D571" s="272">
        <v>5081</v>
      </c>
      <c r="E571" s="272" t="s">
        <v>4876</v>
      </c>
      <c r="F571" s="272" t="s">
        <v>4877</v>
      </c>
      <c r="G571" s="269">
        <v>7</v>
      </c>
      <c r="H571" s="273">
        <v>0</v>
      </c>
      <c r="I571" s="283">
        <v>34</v>
      </c>
      <c r="J571" s="284" t="s">
        <v>5332</v>
      </c>
      <c r="K571" s="285" t="s">
        <v>5333</v>
      </c>
      <c r="L571" s="272" t="s">
        <v>4889</v>
      </c>
      <c r="M571" s="272">
        <v>1</v>
      </c>
      <c r="N571" s="272" t="b">
        <v>1</v>
      </c>
      <c r="O571" s="272">
        <v>77</v>
      </c>
      <c r="P571" s="281">
        <v>1155</v>
      </c>
      <c r="Q571" s="281">
        <v>1540</v>
      </c>
      <c r="R571" s="272" t="s">
        <v>3383</v>
      </c>
      <c r="S571" s="272"/>
      <c r="T571" s="272">
        <v>1</v>
      </c>
      <c r="U571" s="272" t="s">
        <v>4880</v>
      </c>
      <c r="V571" s="273">
        <v>10</v>
      </c>
      <c r="W571" s="273"/>
      <c r="X571" s="272" t="s">
        <v>4881</v>
      </c>
      <c r="Y571" t="s">
        <v>6651</v>
      </c>
      <c r="Z571" t="s">
        <v>6652</v>
      </c>
      <c r="AA571" s="272" t="s">
        <v>4884</v>
      </c>
      <c r="AB571" s="272"/>
      <c r="AC571" s="289">
        <v>1</v>
      </c>
      <c r="AD571" s="289">
        <v>1</v>
      </c>
      <c r="AE571" s="289"/>
      <c r="AF571" s="272"/>
      <c r="AG571" s="272"/>
    </row>
    <row r="572" spans="1:33" s="145" customFormat="1" x14ac:dyDescent="0.15">
      <c r="A572" s="267">
        <v>95301061</v>
      </c>
      <c r="B572" t="s">
        <v>6656</v>
      </c>
      <c r="C572" s="268" t="s">
        <v>6316</v>
      </c>
      <c r="D572" s="268">
        <v>6906</v>
      </c>
      <c r="E572" s="268" t="s">
        <v>4876</v>
      </c>
      <c r="F572" s="268" t="s">
        <v>4877</v>
      </c>
      <c r="G572" s="269">
        <v>1</v>
      </c>
      <c r="H572" s="269">
        <v>0</v>
      </c>
      <c r="I572" s="267">
        <v>34</v>
      </c>
      <c r="J572" s="282" t="s">
        <v>5340</v>
      </c>
      <c r="K572" s="279" t="s">
        <v>5341</v>
      </c>
      <c r="L572" s="279"/>
      <c r="M572" s="268">
        <v>1</v>
      </c>
      <c r="N572" s="268" t="b">
        <v>1</v>
      </c>
      <c r="O572" s="268">
        <v>2</v>
      </c>
      <c r="P572" s="281">
        <v>30</v>
      </c>
      <c r="Q572" s="281">
        <v>40</v>
      </c>
      <c r="R572" s="268" t="s">
        <v>3383</v>
      </c>
      <c r="S572" s="268"/>
      <c r="T572" s="268">
        <v>1</v>
      </c>
      <c r="U572" s="268" t="s">
        <v>4880</v>
      </c>
      <c r="V572" s="269">
        <v>1</v>
      </c>
      <c r="W572" s="269"/>
      <c r="X572" s="268" t="s">
        <v>4881</v>
      </c>
      <c r="Y572" t="s">
        <v>6657</v>
      </c>
      <c r="Z572" t="s">
        <v>6658</v>
      </c>
      <c r="AA572" s="268" t="s">
        <v>4884</v>
      </c>
      <c r="AB572" s="268"/>
      <c r="AC572" s="287">
        <v>1</v>
      </c>
      <c r="AD572" s="287">
        <v>1</v>
      </c>
      <c r="AE572" s="268"/>
      <c r="AF572" s="268"/>
      <c r="AG572" s="290"/>
    </row>
    <row r="573" spans="1:33" s="145" customFormat="1" x14ac:dyDescent="0.15">
      <c r="A573" s="267">
        <v>95301062</v>
      </c>
      <c r="B573" t="s">
        <v>6656</v>
      </c>
      <c r="C573" s="268" t="s">
        <v>6316</v>
      </c>
      <c r="D573" s="268">
        <v>6906</v>
      </c>
      <c r="E573" s="268" t="s">
        <v>4876</v>
      </c>
      <c r="F573" s="268" t="s">
        <v>4877</v>
      </c>
      <c r="G573" s="269">
        <v>2</v>
      </c>
      <c r="H573" s="269">
        <v>0</v>
      </c>
      <c r="I573" s="267">
        <v>34</v>
      </c>
      <c r="J573" s="282" t="s">
        <v>5340</v>
      </c>
      <c r="K573" s="279" t="s">
        <v>5341</v>
      </c>
      <c r="L573" s="279"/>
      <c r="M573" s="268">
        <v>1</v>
      </c>
      <c r="N573" s="268" t="b">
        <v>1</v>
      </c>
      <c r="O573" s="268">
        <v>5</v>
      </c>
      <c r="P573" s="281">
        <v>75</v>
      </c>
      <c r="Q573" s="281">
        <v>100</v>
      </c>
      <c r="R573" s="268" t="s">
        <v>3383</v>
      </c>
      <c r="S573" s="268"/>
      <c r="T573" s="268">
        <v>1</v>
      </c>
      <c r="U573" s="268" t="s">
        <v>4880</v>
      </c>
      <c r="V573" s="269">
        <v>2</v>
      </c>
      <c r="W573" s="269"/>
      <c r="X573" s="268" t="s">
        <v>4881</v>
      </c>
      <c r="Y573" t="s">
        <v>6657</v>
      </c>
      <c r="Z573" t="s">
        <v>6658</v>
      </c>
      <c r="AA573" s="268" t="s">
        <v>4884</v>
      </c>
      <c r="AB573" s="268"/>
      <c r="AC573" s="287">
        <v>1</v>
      </c>
      <c r="AD573" s="287">
        <v>1</v>
      </c>
      <c r="AE573" s="268"/>
      <c r="AF573" s="268"/>
      <c r="AG573" s="290"/>
    </row>
    <row r="574" spans="1:33" s="145" customFormat="1" x14ac:dyDescent="0.15">
      <c r="A574" s="267">
        <v>95301063</v>
      </c>
      <c r="B574" t="s">
        <v>6656</v>
      </c>
      <c r="C574" s="268" t="s">
        <v>6316</v>
      </c>
      <c r="D574" s="268">
        <v>6906</v>
      </c>
      <c r="E574" s="268" t="s">
        <v>4876</v>
      </c>
      <c r="F574" s="268" t="s">
        <v>4877</v>
      </c>
      <c r="G574" s="269">
        <v>3</v>
      </c>
      <c r="H574" s="269">
        <v>0</v>
      </c>
      <c r="I574" s="267">
        <v>34</v>
      </c>
      <c r="J574" s="282" t="s">
        <v>5340</v>
      </c>
      <c r="K574" s="279" t="s">
        <v>5341</v>
      </c>
      <c r="L574" s="279"/>
      <c r="M574" s="268">
        <v>1</v>
      </c>
      <c r="N574" s="268" t="b">
        <v>1</v>
      </c>
      <c r="O574" s="268">
        <v>7</v>
      </c>
      <c r="P574" s="281">
        <v>105</v>
      </c>
      <c r="Q574" s="281">
        <v>140</v>
      </c>
      <c r="R574" s="268" t="s">
        <v>3383</v>
      </c>
      <c r="S574" s="268"/>
      <c r="T574" s="268">
        <v>1</v>
      </c>
      <c r="U574" s="268" t="s">
        <v>4880</v>
      </c>
      <c r="V574" s="269">
        <v>3</v>
      </c>
      <c r="W574" s="269"/>
      <c r="X574" s="268" t="s">
        <v>4881</v>
      </c>
      <c r="Y574" t="s">
        <v>6659</v>
      </c>
      <c r="Z574" t="s">
        <v>6658</v>
      </c>
      <c r="AA574" s="268" t="s">
        <v>4884</v>
      </c>
      <c r="AB574" s="268"/>
      <c r="AC574" s="287">
        <v>1</v>
      </c>
      <c r="AD574" s="287">
        <v>1</v>
      </c>
      <c r="AE574" s="268"/>
      <c r="AF574" s="268"/>
      <c r="AG574" s="290"/>
    </row>
    <row r="575" spans="1:33" s="145" customFormat="1" x14ac:dyDescent="0.15">
      <c r="A575" s="267">
        <v>95301064</v>
      </c>
      <c r="B575" t="s">
        <v>6656</v>
      </c>
      <c r="C575" s="268" t="s">
        <v>6316</v>
      </c>
      <c r="D575" s="268">
        <v>6906</v>
      </c>
      <c r="E575" s="268" t="s">
        <v>4876</v>
      </c>
      <c r="F575" s="268" t="s">
        <v>4877</v>
      </c>
      <c r="G575" s="269">
        <v>4</v>
      </c>
      <c r="H575" s="269">
        <v>0</v>
      </c>
      <c r="I575" s="267">
        <v>34</v>
      </c>
      <c r="J575" s="282" t="s">
        <v>5340</v>
      </c>
      <c r="K575" s="279" t="s">
        <v>5341</v>
      </c>
      <c r="L575" s="279"/>
      <c r="M575" s="268">
        <v>1</v>
      </c>
      <c r="N575" s="268" t="b">
        <v>1</v>
      </c>
      <c r="O575" s="268">
        <v>10</v>
      </c>
      <c r="P575" s="281">
        <v>150</v>
      </c>
      <c r="Q575" s="281">
        <v>200</v>
      </c>
      <c r="R575" s="268" t="s">
        <v>3383</v>
      </c>
      <c r="S575" s="268"/>
      <c r="T575" s="268">
        <v>1</v>
      </c>
      <c r="U575" s="268" t="s">
        <v>4880</v>
      </c>
      <c r="V575" s="269">
        <v>4</v>
      </c>
      <c r="W575" s="269"/>
      <c r="X575" s="268" t="s">
        <v>4881</v>
      </c>
      <c r="Y575" t="s">
        <v>6657</v>
      </c>
      <c r="Z575" t="s">
        <v>6658</v>
      </c>
      <c r="AA575" s="268" t="s">
        <v>4884</v>
      </c>
      <c r="AB575" s="268"/>
      <c r="AC575" s="287">
        <v>1</v>
      </c>
      <c r="AD575" s="287">
        <v>1</v>
      </c>
      <c r="AE575" s="268"/>
      <c r="AF575" s="268"/>
      <c r="AG575" s="290"/>
    </row>
    <row r="576" spans="1:33" s="145" customFormat="1" x14ac:dyDescent="0.15">
      <c r="A576" s="267">
        <v>95301065</v>
      </c>
      <c r="B576" t="s">
        <v>6656</v>
      </c>
      <c r="C576" s="268" t="s">
        <v>6316</v>
      </c>
      <c r="D576" s="268">
        <v>6906</v>
      </c>
      <c r="E576" s="268" t="s">
        <v>4876</v>
      </c>
      <c r="F576" s="268" t="s">
        <v>4877</v>
      </c>
      <c r="G576" s="269">
        <v>5</v>
      </c>
      <c r="H576" s="269">
        <v>0</v>
      </c>
      <c r="I576" s="267">
        <v>34</v>
      </c>
      <c r="J576" s="282" t="s">
        <v>5340</v>
      </c>
      <c r="K576" s="279" t="s">
        <v>5341</v>
      </c>
      <c r="L576" s="279"/>
      <c r="M576" s="268">
        <v>1</v>
      </c>
      <c r="N576" s="268" t="b">
        <v>1</v>
      </c>
      <c r="O576" s="268">
        <v>12</v>
      </c>
      <c r="P576" s="281">
        <v>180</v>
      </c>
      <c r="Q576" s="281">
        <v>240</v>
      </c>
      <c r="R576" s="268" t="s">
        <v>3383</v>
      </c>
      <c r="S576" s="268"/>
      <c r="T576" s="268">
        <v>1</v>
      </c>
      <c r="U576" s="268" t="s">
        <v>4880</v>
      </c>
      <c r="V576" s="269">
        <v>5</v>
      </c>
      <c r="W576" s="269"/>
      <c r="X576" s="268" t="s">
        <v>4881</v>
      </c>
      <c r="Y576" t="s">
        <v>6657</v>
      </c>
      <c r="Z576" t="s">
        <v>6658</v>
      </c>
      <c r="AA576" s="268" t="s">
        <v>4884</v>
      </c>
      <c r="AB576" s="268"/>
      <c r="AC576" s="287">
        <v>1</v>
      </c>
      <c r="AD576" s="287">
        <v>1</v>
      </c>
      <c r="AE576" s="268"/>
      <c r="AF576" s="268"/>
      <c r="AG576" s="290"/>
    </row>
    <row r="577" spans="1:33" s="145" customFormat="1" x14ac:dyDescent="0.15">
      <c r="A577" s="270">
        <v>95301066</v>
      </c>
      <c r="B577" t="s">
        <v>6656</v>
      </c>
      <c r="C577" s="268" t="s">
        <v>6316</v>
      </c>
      <c r="D577" s="268">
        <v>6906</v>
      </c>
      <c r="E577" s="268" t="s">
        <v>4876</v>
      </c>
      <c r="F577" s="268" t="s">
        <v>4877</v>
      </c>
      <c r="G577" s="269">
        <v>6</v>
      </c>
      <c r="H577" s="269">
        <v>0</v>
      </c>
      <c r="I577" s="267">
        <v>34</v>
      </c>
      <c r="J577" s="282" t="s">
        <v>5340</v>
      </c>
      <c r="K577" s="279" t="s">
        <v>5341</v>
      </c>
      <c r="L577" s="279"/>
      <c r="M577" s="268">
        <v>1</v>
      </c>
      <c r="N577" s="268" t="b">
        <v>1</v>
      </c>
      <c r="O577" s="268">
        <v>25</v>
      </c>
      <c r="P577" s="281">
        <v>375</v>
      </c>
      <c r="Q577" s="281">
        <v>500</v>
      </c>
      <c r="R577" s="268" t="s">
        <v>3383</v>
      </c>
      <c r="S577" s="268"/>
      <c r="T577" s="268">
        <v>1</v>
      </c>
      <c r="U577" s="268" t="s">
        <v>4880</v>
      </c>
      <c r="V577" s="269">
        <v>6</v>
      </c>
      <c r="W577" s="269"/>
      <c r="X577" s="268" t="s">
        <v>4881</v>
      </c>
      <c r="Y577" t="s">
        <v>6657</v>
      </c>
      <c r="Z577" t="s">
        <v>6658</v>
      </c>
      <c r="AA577" s="268" t="s">
        <v>4884</v>
      </c>
      <c r="AB577" s="268"/>
      <c r="AC577" s="287">
        <v>1</v>
      </c>
      <c r="AD577" s="287">
        <v>1</v>
      </c>
      <c r="AE577" s="268"/>
      <c r="AF577" s="268"/>
      <c r="AG577" s="290"/>
    </row>
    <row r="578" spans="1:33" s="145" customFormat="1" x14ac:dyDescent="0.15">
      <c r="A578" s="270">
        <v>95301067</v>
      </c>
      <c r="B578" t="s">
        <v>6656</v>
      </c>
      <c r="C578" s="268" t="s">
        <v>6316</v>
      </c>
      <c r="D578" s="268">
        <v>6906</v>
      </c>
      <c r="E578" s="268" t="s">
        <v>4876</v>
      </c>
      <c r="F578" s="268" t="s">
        <v>4877</v>
      </c>
      <c r="G578" s="269">
        <v>7</v>
      </c>
      <c r="H578" s="269">
        <v>0</v>
      </c>
      <c r="I578" s="267">
        <v>34</v>
      </c>
      <c r="J578" s="282" t="s">
        <v>5340</v>
      </c>
      <c r="K578" s="279" t="s">
        <v>5341</v>
      </c>
      <c r="L578" s="279"/>
      <c r="M578" s="268">
        <v>1</v>
      </c>
      <c r="N578" s="268" t="b">
        <v>1</v>
      </c>
      <c r="O578" s="268">
        <v>38</v>
      </c>
      <c r="P578" s="281">
        <v>570</v>
      </c>
      <c r="Q578" s="281">
        <v>760</v>
      </c>
      <c r="R578" s="268" t="s">
        <v>3383</v>
      </c>
      <c r="S578" s="268"/>
      <c r="T578" s="268">
        <v>1</v>
      </c>
      <c r="U578" s="268" t="s">
        <v>4880</v>
      </c>
      <c r="V578" s="269">
        <v>7</v>
      </c>
      <c r="W578" s="269"/>
      <c r="X578" s="268" t="s">
        <v>4881</v>
      </c>
      <c r="Y578" t="s">
        <v>6657</v>
      </c>
      <c r="Z578" t="s">
        <v>6658</v>
      </c>
      <c r="AA578" s="268" t="s">
        <v>4884</v>
      </c>
      <c r="AB578" s="268"/>
      <c r="AC578" s="287">
        <v>1</v>
      </c>
      <c r="AD578" s="287">
        <v>1</v>
      </c>
      <c r="AE578" s="268"/>
      <c r="AF578" s="268"/>
      <c r="AG578" s="290"/>
    </row>
    <row r="579" spans="1:33" s="145" customFormat="1" x14ac:dyDescent="0.15">
      <c r="A579" s="271">
        <v>95301068</v>
      </c>
      <c r="B579" t="s">
        <v>6660</v>
      </c>
      <c r="C579" s="268" t="s">
        <v>6316</v>
      </c>
      <c r="D579" s="272">
        <v>5081</v>
      </c>
      <c r="E579" s="272" t="s">
        <v>4876</v>
      </c>
      <c r="F579" s="272" t="s">
        <v>4877</v>
      </c>
      <c r="G579" s="269">
        <v>6</v>
      </c>
      <c r="H579" s="273">
        <v>1</v>
      </c>
      <c r="I579" s="283">
        <v>34</v>
      </c>
      <c r="J579" s="284" t="s">
        <v>5340</v>
      </c>
      <c r="K579" s="285" t="s">
        <v>5341</v>
      </c>
      <c r="L579" s="272" t="s">
        <v>44</v>
      </c>
      <c r="M579" s="272">
        <v>1</v>
      </c>
      <c r="N579" s="272" t="b">
        <v>1</v>
      </c>
      <c r="O579" s="272">
        <v>51</v>
      </c>
      <c r="P579" s="281">
        <v>765</v>
      </c>
      <c r="Q579" s="281">
        <v>1020</v>
      </c>
      <c r="R579" s="272" t="s">
        <v>3383</v>
      </c>
      <c r="S579" s="272"/>
      <c r="T579" s="272">
        <v>1</v>
      </c>
      <c r="U579" s="272" t="s">
        <v>4880</v>
      </c>
      <c r="V579" s="273">
        <v>10</v>
      </c>
      <c r="W579" s="273"/>
      <c r="X579" s="272" t="s">
        <v>4881</v>
      </c>
      <c r="Y579" t="s">
        <v>6657</v>
      </c>
      <c r="Z579" t="s">
        <v>6658</v>
      </c>
      <c r="AA579" s="272" t="s">
        <v>4884</v>
      </c>
      <c r="AB579" s="272"/>
      <c r="AC579" s="289">
        <v>1</v>
      </c>
      <c r="AD579" s="289">
        <v>1</v>
      </c>
      <c r="AE579" s="289"/>
      <c r="AF579" s="272"/>
      <c r="AG579" s="272"/>
    </row>
    <row r="580" spans="1:33" s="145" customFormat="1" x14ac:dyDescent="0.15">
      <c r="A580" s="271">
        <v>95301069</v>
      </c>
      <c r="B580" t="s">
        <v>6661</v>
      </c>
      <c r="C580" s="268" t="s">
        <v>6316</v>
      </c>
      <c r="D580" s="272">
        <v>5081</v>
      </c>
      <c r="E580" s="272" t="s">
        <v>4876</v>
      </c>
      <c r="F580" s="272" t="s">
        <v>4877</v>
      </c>
      <c r="G580" s="269">
        <v>6</v>
      </c>
      <c r="H580" s="273">
        <v>1</v>
      </c>
      <c r="I580" s="283">
        <v>34</v>
      </c>
      <c r="J580" s="284" t="s">
        <v>5340</v>
      </c>
      <c r="K580" s="285" t="s">
        <v>5341</v>
      </c>
      <c r="L580" s="272" t="s">
        <v>4887</v>
      </c>
      <c r="M580" s="272">
        <v>1</v>
      </c>
      <c r="N580" s="272" t="b">
        <v>1</v>
      </c>
      <c r="O580" s="272">
        <v>64</v>
      </c>
      <c r="P580" s="281">
        <v>960</v>
      </c>
      <c r="Q580" s="281">
        <v>1280</v>
      </c>
      <c r="R580" s="272" t="s">
        <v>3383</v>
      </c>
      <c r="S580" s="272"/>
      <c r="T580" s="272">
        <v>1</v>
      </c>
      <c r="U580" s="272" t="s">
        <v>4880</v>
      </c>
      <c r="V580" s="273">
        <v>10</v>
      </c>
      <c r="W580" s="273"/>
      <c r="X580" s="272" t="s">
        <v>4881</v>
      </c>
      <c r="Y580" t="s">
        <v>6657</v>
      </c>
      <c r="Z580" t="s">
        <v>6658</v>
      </c>
      <c r="AA580" s="272" t="s">
        <v>4884</v>
      </c>
      <c r="AB580" s="272"/>
      <c r="AC580" s="289">
        <v>1</v>
      </c>
      <c r="AD580" s="289">
        <v>1</v>
      </c>
      <c r="AE580" s="289"/>
      <c r="AF580" s="272"/>
      <c r="AG580" s="272"/>
    </row>
    <row r="581" spans="1:33" s="145" customFormat="1" x14ac:dyDescent="0.15">
      <c r="A581" s="271">
        <v>95301070</v>
      </c>
      <c r="B581" t="s">
        <v>6662</v>
      </c>
      <c r="C581" s="268" t="s">
        <v>6316</v>
      </c>
      <c r="D581" s="272">
        <v>5081</v>
      </c>
      <c r="E581" s="272" t="s">
        <v>4876</v>
      </c>
      <c r="F581" s="272" t="s">
        <v>4877</v>
      </c>
      <c r="G581" s="269">
        <v>7</v>
      </c>
      <c r="H581" s="273">
        <v>0</v>
      </c>
      <c r="I581" s="283">
        <v>34</v>
      </c>
      <c r="J581" s="284" t="s">
        <v>5340</v>
      </c>
      <c r="K581" s="285" t="s">
        <v>5341</v>
      </c>
      <c r="L581" s="272" t="s">
        <v>4889</v>
      </c>
      <c r="M581" s="272">
        <v>1</v>
      </c>
      <c r="N581" s="272" t="b">
        <v>1</v>
      </c>
      <c r="O581" s="272">
        <v>77</v>
      </c>
      <c r="P581" s="281">
        <v>1155</v>
      </c>
      <c r="Q581" s="281">
        <v>1540</v>
      </c>
      <c r="R581" s="272" t="s">
        <v>3383</v>
      </c>
      <c r="S581" s="272"/>
      <c r="T581" s="272">
        <v>1</v>
      </c>
      <c r="U581" s="272" t="s">
        <v>4880</v>
      </c>
      <c r="V581" s="273">
        <v>10</v>
      </c>
      <c r="W581" s="273"/>
      <c r="X581" s="272" t="s">
        <v>4881</v>
      </c>
      <c r="Y581" t="s">
        <v>6657</v>
      </c>
      <c r="Z581" t="s">
        <v>6658</v>
      </c>
      <c r="AA581" s="272" t="s">
        <v>4884</v>
      </c>
      <c r="AB581" s="272"/>
      <c r="AC581" s="289">
        <v>1</v>
      </c>
      <c r="AD581" s="289">
        <v>1</v>
      </c>
      <c r="AE581" s="289"/>
      <c r="AF581" s="272"/>
      <c r="AG581" s="272"/>
    </row>
    <row r="582" spans="1:33" s="145" customFormat="1" ht="15" customHeight="1" x14ac:dyDescent="0.15">
      <c r="A582" s="267">
        <v>95301071</v>
      </c>
      <c r="B582" t="s">
        <v>6663</v>
      </c>
      <c r="C582" s="268" t="s">
        <v>6316</v>
      </c>
      <c r="D582" s="268">
        <v>6901</v>
      </c>
      <c r="E582" s="268" t="s">
        <v>4876</v>
      </c>
      <c r="F582" s="268" t="s">
        <v>4877</v>
      </c>
      <c r="G582" s="269">
        <v>1</v>
      </c>
      <c r="H582" s="269">
        <v>0</v>
      </c>
      <c r="I582" s="267">
        <v>34</v>
      </c>
      <c r="J582" s="282" t="s">
        <v>5348</v>
      </c>
      <c r="K582" s="279" t="s">
        <v>5349</v>
      </c>
      <c r="L582" s="279"/>
      <c r="M582" s="268">
        <v>1</v>
      </c>
      <c r="N582" s="268" t="b">
        <v>1</v>
      </c>
      <c r="O582" s="268">
        <v>2</v>
      </c>
      <c r="P582" s="281">
        <v>30</v>
      </c>
      <c r="Q582" s="281">
        <v>40</v>
      </c>
      <c r="R582" s="268" t="s">
        <v>3383</v>
      </c>
      <c r="S582" s="268"/>
      <c r="T582" s="268">
        <v>1</v>
      </c>
      <c r="U582" s="268" t="s">
        <v>4880</v>
      </c>
      <c r="V582" s="269">
        <v>1</v>
      </c>
      <c r="W582" s="269"/>
      <c r="X582" s="268" t="s">
        <v>4881</v>
      </c>
      <c r="Y582" t="s">
        <v>6664</v>
      </c>
      <c r="Z582" t="s">
        <v>6665</v>
      </c>
      <c r="AA582" s="268" t="s">
        <v>4884</v>
      </c>
      <c r="AB582" s="268"/>
      <c r="AC582" s="287">
        <v>1</v>
      </c>
      <c r="AD582" s="287">
        <v>1</v>
      </c>
      <c r="AE582" s="268"/>
      <c r="AF582" s="268"/>
      <c r="AG582" s="290"/>
    </row>
    <row r="583" spans="1:33" s="145" customFormat="1" ht="15" customHeight="1" x14ac:dyDescent="0.15">
      <c r="A583" s="267">
        <v>95301072</v>
      </c>
      <c r="B583" t="s">
        <v>6663</v>
      </c>
      <c r="C583" s="268" t="s">
        <v>6316</v>
      </c>
      <c r="D583" s="268">
        <v>6901</v>
      </c>
      <c r="E583" s="268" t="s">
        <v>4876</v>
      </c>
      <c r="F583" s="268" t="s">
        <v>4877</v>
      </c>
      <c r="G583" s="269">
        <v>2</v>
      </c>
      <c r="H583" s="269">
        <v>0</v>
      </c>
      <c r="I583" s="267">
        <v>34</v>
      </c>
      <c r="J583" s="282" t="s">
        <v>5348</v>
      </c>
      <c r="K583" s="279" t="s">
        <v>5349</v>
      </c>
      <c r="L583" s="279"/>
      <c r="M583" s="268">
        <v>1</v>
      </c>
      <c r="N583" s="268" t="b">
        <v>1</v>
      </c>
      <c r="O583" s="268">
        <v>5</v>
      </c>
      <c r="P583" s="281">
        <v>75</v>
      </c>
      <c r="Q583" s="281">
        <v>100</v>
      </c>
      <c r="R583" s="268" t="s">
        <v>3383</v>
      </c>
      <c r="S583" s="268"/>
      <c r="T583" s="268">
        <v>1</v>
      </c>
      <c r="U583" s="268" t="s">
        <v>4880</v>
      </c>
      <c r="V583" s="269">
        <v>2</v>
      </c>
      <c r="W583" s="269"/>
      <c r="X583" s="268" t="s">
        <v>4881</v>
      </c>
      <c r="Y583" t="s">
        <v>6664</v>
      </c>
      <c r="Z583" t="s">
        <v>6665</v>
      </c>
      <c r="AA583" s="268" t="s">
        <v>4884</v>
      </c>
      <c r="AB583" s="268"/>
      <c r="AC583" s="287">
        <v>1</v>
      </c>
      <c r="AD583" s="287">
        <v>1</v>
      </c>
      <c r="AE583" s="268"/>
      <c r="AF583" s="268"/>
      <c r="AG583" s="290"/>
    </row>
    <row r="584" spans="1:33" s="145" customFormat="1" ht="15" customHeight="1" x14ac:dyDescent="0.15">
      <c r="A584" s="267">
        <v>95301073</v>
      </c>
      <c r="B584" t="s">
        <v>6663</v>
      </c>
      <c r="C584" s="268" t="s">
        <v>6316</v>
      </c>
      <c r="D584" s="268">
        <v>6901</v>
      </c>
      <c r="E584" s="268" t="s">
        <v>4876</v>
      </c>
      <c r="F584" s="268" t="s">
        <v>4877</v>
      </c>
      <c r="G584" s="269">
        <v>3</v>
      </c>
      <c r="H584" s="269">
        <v>0</v>
      </c>
      <c r="I584" s="267">
        <v>34</v>
      </c>
      <c r="J584" s="282" t="s">
        <v>5348</v>
      </c>
      <c r="K584" s="279" t="s">
        <v>5349</v>
      </c>
      <c r="L584" s="279"/>
      <c r="M584" s="268">
        <v>1</v>
      </c>
      <c r="N584" s="268" t="b">
        <v>1</v>
      </c>
      <c r="O584" s="268">
        <v>7</v>
      </c>
      <c r="P584" s="281">
        <v>105</v>
      </c>
      <c r="Q584" s="281">
        <v>140</v>
      </c>
      <c r="R584" s="268" t="s">
        <v>3383</v>
      </c>
      <c r="S584" s="268"/>
      <c r="T584" s="268">
        <v>1</v>
      </c>
      <c r="U584" s="268" t="s">
        <v>4880</v>
      </c>
      <c r="V584" s="269">
        <v>3</v>
      </c>
      <c r="W584" s="269"/>
      <c r="X584" s="268" t="s">
        <v>4881</v>
      </c>
      <c r="Y584" t="s">
        <v>6664</v>
      </c>
      <c r="Z584" t="s">
        <v>6665</v>
      </c>
      <c r="AA584" s="268" t="s">
        <v>4884</v>
      </c>
      <c r="AB584" s="268"/>
      <c r="AC584" s="287">
        <v>1</v>
      </c>
      <c r="AD584" s="287">
        <v>1</v>
      </c>
      <c r="AE584" s="268"/>
      <c r="AF584" s="268"/>
      <c r="AG584" s="290"/>
    </row>
    <row r="585" spans="1:33" s="145" customFormat="1" ht="15" customHeight="1" x14ac:dyDescent="0.15">
      <c r="A585" s="267">
        <v>95301074</v>
      </c>
      <c r="B585" t="s">
        <v>6663</v>
      </c>
      <c r="C585" s="268" t="s">
        <v>6316</v>
      </c>
      <c r="D585" s="268">
        <v>6901</v>
      </c>
      <c r="E585" s="268" t="s">
        <v>4876</v>
      </c>
      <c r="F585" s="268" t="s">
        <v>4877</v>
      </c>
      <c r="G585" s="269">
        <v>4</v>
      </c>
      <c r="H585" s="269">
        <v>0</v>
      </c>
      <c r="I585" s="267">
        <v>34</v>
      </c>
      <c r="J585" s="282" t="s">
        <v>5348</v>
      </c>
      <c r="K585" s="279" t="s">
        <v>5349</v>
      </c>
      <c r="L585" s="279"/>
      <c r="M585" s="268">
        <v>1</v>
      </c>
      <c r="N585" s="268" t="b">
        <v>1</v>
      </c>
      <c r="O585" s="268">
        <v>10</v>
      </c>
      <c r="P585" s="281">
        <v>150</v>
      </c>
      <c r="Q585" s="281">
        <v>200</v>
      </c>
      <c r="R585" s="268" t="s">
        <v>3383</v>
      </c>
      <c r="S585" s="268"/>
      <c r="T585" s="268">
        <v>1</v>
      </c>
      <c r="U585" s="268" t="s">
        <v>4880</v>
      </c>
      <c r="V585" s="269">
        <v>4</v>
      </c>
      <c r="W585" s="269"/>
      <c r="X585" s="268" t="s">
        <v>4881</v>
      </c>
      <c r="Y585" t="s">
        <v>6664</v>
      </c>
      <c r="Z585" t="s">
        <v>6665</v>
      </c>
      <c r="AA585" s="268" t="s">
        <v>4884</v>
      </c>
      <c r="AB585" s="268"/>
      <c r="AC585" s="287">
        <v>1</v>
      </c>
      <c r="AD585" s="287">
        <v>1</v>
      </c>
      <c r="AE585" s="268"/>
      <c r="AF585" s="268"/>
      <c r="AG585" s="290"/>
    </row>
    <row r="586" spans="1:33" s="145" customFormat="1" ht="15" customHeight="1" x14ac:dyDescent="0.15">
      <c r="A586" s="267">
        <v>95301075</v>
      </c>
      <c r="B586" t="s">
        <v>6663</v>
      </c>
      <c r="C586" s="268" t="s">
        <v>6316</v>
      </c>
      <c r="D586" s="268">
        <v>6901</v>
      </c>
      <c r="E586" s="268" t="s">
        <v>4876</v>
      </c>
      <c r="F586" s="268" t="s">
        <v>4877</v>
      </c>
      <c r="G586" s="269">
        <v>5</v>
      </c>
      <c r="H586" s="269">
        <v>0</v>
      </c>
      <c r="I586" s="267">
        <v>34</v>
      </c>
      <c r="J586" s="282" t="s">
        <v>5348</v>
      </c>
      <c r="K586" s="279" t="s">
        <v>5349</v>
      </c>
      <c r="L586" s="279"/>
      <c r="M586" s="268">
        <v>1</v>
      </c>
      <c r="N586" s="268" t="b">
        <v>1</v>
      </c>
      <c r="O586" s="268">
        <v>12</v>
      </c>
      <c r="P586" s="281">
        <v>180</v>
      </c>
      <c r="Q586" s="281">
        <v>240</v>
      </c>
      <c r="R586" s="268" t="s">
        <v>3383</v>
      </c>
      <c r="S586" s="268"/>
      <c r="T586" s="268">
        <v>1</v>
      </c>
      <c r="U586" s="268" t="s">
        <v>4880</v>
      </c>
      <c r="V586" s="269">
        <v>5</v>
      </c>
      <c r="W586" s="269"/>
      <c r="X586" s="268" t="s">
        <v>4881</v>
      </c>
      <c r="Y586" t="s">
        <v>6664</v>
      </c>
      <c r="Z586" t="s">
        <v>6665</v>
      </c>
      <c r="AA586" s="268" t="s">
        <v>4884</v>
      </c>
      <c r="AB586" s="268"/>
      <c r="AC586" s="287">
        <v>1</v>
      </c>
      <c r="AD586" s="287">
        <v>1</v>
      </c>
      <c r="AE586" s="268"/>
      <c r="AF586" s="268"/>
      <c r="AG586" s="290"/>
    </row>
    <row r="587" spans="1:33" s="145" customFormat="1" ht="15" customHeight="1" x14ac:dyDescent="0.15">
      <c r="A587" s="270">
        <v>95301076</v>
      </c>
      <c r="B587" t="s">
        <v>6663</v>
      </c>
      <c r="C587" s="268" t="s">
        <v>6316</v>
      </c>
      <c r="D587" s="268">
        <v>6901</v>
      </c>
      <c r="E587" s="268" t="s">
        <v>4876</v>
      </c>
      <c r="F587" s="268" t="s">
        <v>4877</v>
      </c>
      <c r="G587" s="269">
        <v>6</v>
      </c>
      <c r="H587" s="269">
        <v>0</v>
      </c>
      <c r="I587" s="267">
        <v>34</v>
      </c>
      <c r="J587" s="282" t="s">
        <v>5348</v>
      </c>
      <c r="K587" s="279" t="s">
        <v>5349</v>
      </c>
      <c r="L587" s="279"/>
      <c r="M587" s="268">
        <v>1</v>
      </c>
      <c r="N587" s="268" t="b">
        <v>1</v>
      </c>
      <c r="O587" s="268">
        <v>25</v>
      </c>
      <c r="P587" s="281">
        <v>375</v>
      </c>
      <c r="Q587" s="281">
        <v>500</v>
      </c>
      <c r="R587" s="268" t="s">
        <v>3383</v>
      </c>
      <c r="S587" s="268"/>
      <c r="T587" s="268">
        <v>1</v>
      </c>
      <c r="U587" s="268" t="s">
        <v>4880</v>
      </c>
      <c r="V587" s="269">
        <v>6</v>
      </c>
      <c r="W587" s="269"/>
      <c r="X587" s="268" t="s">
        <v>4881</v>
      </c>
      <c r="Y587" t="s">
        <v>6664</v>
      </c>
      <c r="Z587" t="s">
        <v>6665</v>
      </c>
      <c r="AA587" s="268" t="s">
        <v>4884</v>
      </c>
      <c r="AB587" s="268"/>
      <c r="AC587" s="287">
        <v>1</v>
      </c>
      <c r="AD587" s="287">
        <v>1</v>
      </c>
      <c r="AE587" s="268"/>
      <c r="AF587" s="268"/>
      <c r="AG587" s="290"/>
    </row>
    <row r="588" spans="1:33" s="145" customFormat="1" ht="15" customHeight="1" x14ac:dyDescent="0.15">
      <c r="A588" s="270">
        <v>95301077</v>
      </c>
      <c r="B588" t="s">
        <v>6663</v>
      </c>
      <c r="C588" s="268" t="s">
        <v>6316</v>
      </c>
      <c r="D588" s="268">
        <v>6901</v>
      </c>
      <c r="E588" s="268" t="s">
        <v>4876</v>
      </c>
      <c r="F588" s="268" t="s">
        <v>4877</v>
      </c>
      <c r="G588" s="269">
        <v>7</v>
      </c>
      <c r="H588" s="269">
        <v>0</v>
      </c>
      <c r="I588" s="267">
        <v>34</v>
      </c>
      <c r="J588" s="282" t="s">
        <v>5348</v>
      </c>
      <c r="K588" s="279" t="s">
        <v>5349</v>
      </c>
      <c r="L588" s="279"/>
      <c r="M588" s="268">
        <v>1</v>
      </c>
      <c r="N588" s="268" t="b">
        <v>1</v>
      </c>
      <c r="O588" s="268">
        <v>38</v>
      </c>
      <c r="P588" s="281">
        <v>570</v>
      </c>
      <c r="Q588" s="281">
        <v>760</v>
      </c>
      <c r="R588" s="268" t="s">
        <v>3383</v>
      </c>
      <c r="S588" s="268"/>
      <c r="T588" s="268">
        <v>1</v>
      </c>
      <c r="U588" s="268" t="s">
        <v>4880</v>
      </c>
      <c r="V588" s="269">
        <v>7</v>
      </c>
      <c r="W588" s="269"/>
      <c r="X588" s="268" t="s">
        <v>4881</v>
      </c>
      <c r="Y588" t="s">
        <v>6664</v>
      </c>
      <c r="Z588" t="s">
        <v>6665</v>
      </c>
      <c r="AA588" s="268" t="s">
        <v>4884</v>
      </c>
      <c r="AB588" s="268"/>
      <c r="AC588" s="287">
        <v>1</v>
      </c>
      <c r="AD588" s="287">
        <v>1</v>
      </c>
      <c r="AE588" s="268"/>
      <c r="AF588" s="268"/>
      <c r="AG588" s="290"/>
    </row>
    <row r="589" spans="1:33" s="145" customFormat="1" ht="15" customHeight="1" x14ac:dyDescent="0.15">
      <c r="A589" s="271">
        <v>95301078</v>
      </c>
      <c r="B589" t="s">
        <v>6666</v>
      </c>
      <c r="C589" s="268" t="s">
        <v>6316</v>
      </c>
      <c r="D589" s="272">
        <v>5081</v>
      </c>
      <c r="E589" s="272" t="s">
        <v>4876</v>
      </c>
      <c r="F589" s="272" t="s">
        <v>4877</v>
      </c>
      <c r="G589" s="269">
        <v>6</v>
      </c>
      <c r="H589" s="273">
        <v>0</v>
      </c>
      <c r="I589" s="283">
        <v>34</v>
      </c>
      <c r="J589" s="284" t="s">
        <v>5348</v>
      </c>
      <c r="K589" s="285" t="s">
        <v>5349</v>
      </c>
      <c r="L589" s="272" t="s">
        <v>44</v>
      </c>
      <c r="M589" s="272">
        <v>1</v>
      </c>
      <c r="N589" s="272" t="b">
        <v>1</v>
      </c>
      <c r="O589" s="272">
        <v>51</v>
      </c>
      <c r="P589" s="281">
        <v>765</v>
      </c>
      <c r="Q589" s="281">
        <v>1020</v>
      </c>
      <c r="R589" s="272" t="s">
        <v>3383</v>
      </c>
      <c r="S589" s="272"/>
      <c r="T589" s="272">
        <v>1</v>
      </c>
      <c r="U589" s="272" t="s">
        <v>4880</v>
      </c>
      <c r="V589" s="273">
        <v>10</v>
      </c>
      <c r="W589" s="273"/>
      <c r="X589" s="272" t="s">
        <v>4881</v>
      </c>
      <c r="Y589" t="s">
        <v>6664</v>
      </c>
      <c r="Z589" t="s">
        <v>6665</v>
      </c>
      <c r="AA589" s="272" t="s">
        <v>4884</v>
      </c>
      <c r="AB589" s="272"/>
      <c r="AC589" s="289">
        <v>1</v>
      </c>
      <c r="AD589" s="289">
        <v>1</v>
      </c>
      <c r="AE589" s="289"/>
      <c r="AF589" s="272"/>
      <c r="AG589" s="272"/>
    </row>
    <row r="590" spans="1:33" s="145" customFormat="1" ht="15" customHeight="1" x14ac:dyDescent="0.15">
      <c r="A590" s="271">
        <v>95301079</v>
      </c>
      <c r="B590" t="s">
        <v>6667</v>
      </c>
      <c r="C590" s="268" t="s">
        <v>6316</v>
      </c>
      <c r="D590" s="272">
        <v>5081</v>
      </c>
      <c r="E590" s="272" t="s">
        <v>4876</v>
      </c>
      <c r="F590" s="272" t="s">
        <v>4877</v>
      </c>
      <c r="G590" s="269">
        <v>6</v>
      </c>
      <c r="H590" s="273">
        <v>0</v>
      </c>
      <c r="I590" s="283">
        <v>34</v>
      </c>
      <c r="J590" s="284" t="s">
        <v>5348</v>
      </c>
      <c r="K590" s="285" t="s">
        <v>5349</v>
      </c>
      <c r="L590" s="272" t="s">
        <v>4887</v>
      </c>
      <c r="M590" s="272">
        <v>1</v>
      </c>
      <c r="N590" s="272" t="b">
        <v>1</v>
      </c>
      <c r="O590" s="272">
        <v>64</v>
      </c>
      <c r="P590" s="281">
        <v>960</v>
      </c>
      <c r="Q590" s="281">
        <v>1280</v>
      </c>
      <c r="R590" s="272" t="s">
        <v>3383</v>
      </c>
      <c r="S590" s="272"/>
      <c r="T590" s="272">
        <v>1</v>
      </c>
      <c r="U590" s="272" t="s">
        <v>4880</v>
      </c>
      <c r="V590" s="273">
        <v>10</v>
      </c>
      <c r="W590" s="273"/>
      <c r="X590" s="272" t="s">
        <v>4881</v>
      </c>
      <c r="Y590" t="s">
        <v>6664</v>
      </c>
      <c r="Z590" t="s">
        <v>6665</v>
      </c>
      <c r="AA590" s="272" t="s">
        <v>4884</v>
      </c>
      <c r="AB590" s="272"/>
      <c r="AC590" s="289">
        <v>1</v>
      </c>
      <c r="AD590" s="289">
        <v>1</v>
      </c>
      <c r="AE590" s="289"/>
      <c r="AF590" s="272"/>
      <c r="AG590" s="272"/>
    </row>
    <row r="591" spans="1:33" s="145" customFormat="1" ht="15" customHeight="1" x14ac:dyDescent="0.15">
      <c r="A591" s="271">
        <v>95301080</v>
      </c>
      <c r="B591" t="s">
        <v>6668</v>
      </c>
      <c r="C591" s="268" t="s">
        <v>6316</v>
      </c>
      <c r="D591" s="272">
        <v>5081</v>
      </c>
      <c r="E591" s="272" t="s">
        <v>4876</v>
      </c>
      <c r="F591" s="272" t="s">
        <v>4877</v>
      </c>
      <c r="G591" s="269">
        <v>7</v>
      </c>
      <c r="H591" s="273">
        <v>0</v>
      </c>
      <c r="I591" s="283">
        <v>34</v>
      </c>
      <c r="J591" s="284" t="s">
        <v>5348</v>
      </c>
      <c r="K591" s="285" t="s">
        <v>5349</v>
      </c>
      <c r="L591" s="272" t="s">
        <v>4889</v>
      </c>
      <c r="M591" s="272">
        <v>1</v>
      </c>
      <c r="N591" s="272" t="b">
        <v>1</v>
      </c>
      <c r="O591" s="272">
        <v>77</v>
      </c>
      <c r="P591" s="281">
        <v>1155</v>
      </c>
      <c r="Q591" s="281">
        <v>1540</v>
      </c>
      <c r="R591" s="272" t="s">
        <v>3383</v>
      </c>
      <c r="S591" s="272"/>
      <c r="T591" s="272">
        <v>1</v>
      </c>
      <c r="U591" s="272" t="s">
        <v>4880</v>
      </c>
      <c r="V591" s="273">
        <v>10</v>
      </c>
      <c r="W591" s="273"/>
      <c r="X591" s="272" t="s">
        <v>4881</v>
      </c>
      <c r="Y591" t="s">
        <v>6669</v>
      </c>
      <c r="Z591" t="s">
        <v>6665</v>
      </c>
      <c r="AA591" s="272" t="s">
        <v>4884</v>
      </c>
      <c r="AB591" s="272"/>
      <c r="AC591" s="289">
        <v>1</v>
      </c>
      <c r="AD591" s="289">
        <v>1</v>
      </c>
      <c r="AE591" s="289"/>
      <c r="AF591" s="272"/>
      <c r="AG591" s="272"/>
    </row>
    <row r="592" spans="1:33" s="145" customFormat="1" ht="15" customHeight="1" x14ac:dyDescent="0.15">
      <c r="A592" s="267">
        <v>95301081</v>
      </c>
      <c r="B592" t="s">
        <v>6670</v>
      </c>
      <c r="C592" s="268" t="s">
        <v>6316</v>
      </c>
      <c r="D592" s="268">
        <v>6901</v>
      </c>
      <c r="E592" s="268" t="s">
        <v>4876</v>
      </c>
      <c r="F592" s="268" t="s">
        <v>4877</v>
      </c>
      <c r="G592" s="269">
        <v>1</v>
      </c>
      <c r="H592" s="269">
        <v>0</v>
      </c>
      <c r="I592" s="267">
        <v>34</v>
      </c>
      <c r="J592" s="282" t="s">
        <v>5356</v>
      </c>
      <c r="K592" s="279" t="s">
        <v>5357</v>
      </c>
      <c r="L592" s="279"/>
      <c r="M592" s="268">
        <v>1</v>
      </c>
      <c r="N592" s="268" t="b">
        <v>1</v>
      </c>
      <c r="O592" s="268">
        <v>2</v>
      </c>
      <c r="P592" s="281">
        <v>30</v>
      </c>
      <c r="Q592" s="281">
        <v>40</v>
      </c>
      <c r="R592" s="268" t="s">
        <v>3383</v>
      </c>
      <c r="S592" s="268"/>
      <c r="T592" s="268">
        <v>1</v>
      </c>
      <c r="U592" s="268" t="s">
        <v>4880</v>
      </c>
      <c r="V592" s="269">
        <v>1</v>
      </c>
      <c r="W592" s="269"/>
      <c r="X592" s="268" t="s">
        <v>4881</v>
      </c>
      <c r="Y592" t="s">
        <v>6669</v>
      </c>
      <c r="Z592" t="s">
        <v>6671</v>
      </c>
      <c r="AA592" s="268" t="s">
        <v>4884</v>
      </c>
      <c r="AB592" s="268"/>
      <c r="AC592" s="287">
        <v>1</v>
      </c>
      <c r="AD592" s="287">
        <v>1</v>
      </c>
      <c r="AE592" s="268"/>
      <c r="AF592" s="268"/>
      <c r="AG592" s="290"/>
    </row>
    <row r="593" spans="1:33" s="145" customFormat="1" ht="15" customHeight="1" x14ac:dyDescent="0.15">
      <c r="A593" s="267">
        <v>95301082</v>
      </c>
      <c r="B593" t="s">
        <v>6670</v>
      </c>
      <c r="C593" s="268" t="s">
        <v>6316</v>
      </c>
      <c r="D593" s="268">
        <v>6901</v>
      </c>
      <c r="E593" s="268" t="s">
        <v>4876</v>
      </c>
      <c r="F593" s="268" t="s">
        <v>4877</v>
      </c>
      <c r="G593" s="269">
        <v>2</v>
      </c>
      <c r="H593" s="269">
        <v>0</v>
      </c>
      <c r="I593" s="267">
        <v>34</v>
      </c>
      <c r="J593" s="282" t="s">
        <v>5356</v>
      </c>
      <c r="K593" s="279" t="s">
        <v>5357</v>
      </c>
      <c r="L593" s="279"/>
      <c r="M593" s="268">
        <v>1</v>
      </c>
      <c r="N593" s="268" t="b">
        <v>1</v>
      </c>
      <c r="O593" s="268">
        <v>5</v>
      </c>
      <c r="P593" s="281">
        <v>75</v>
      </c>
      <c r="Q593" s="281">
        <v>100</v>
      </c>
      <c r="R593" s="268" t="s">
        <v>3383</v>
      </c>
      <c r="S593" s="268"/>
      <c r="T593" s="268">
        <v>1</v>
      </c>
      <c r="U593" s="268" t="s">
        <v>4880</v>
      </c>
      <c r="V593" s="269">
        <v>2</v>
      </c>
      <c r="W593" s="269"/>
      <c r="X593" s="268" t="s">
        <v>4881</v>
      </c>
      <c r="Y593" t="s">
        <v>6669</v>
      </c>
      <c r="Z593" t="s">
        <v>6671</v>
      </c>
      <c r="AA593" s="268" t="s">
        <v>4884</v>
      </c>
      <c r="AB593" s="268"/>
      <c r="AC593" s="287">
        <v>1</v>
      </c>
      <c r="AD593" s="287">
        <v>1</v>
      </c>
      <c r="AE593" s="268"/>
      <c r="AF593" s="268"/>
      <c r="AG593" s="290"/>
    </row>
    <row r="594" spans="1:33" s="259" customFormat="1" ht="15" customHeight="1" x14ac:dyDescent="0.15">
      <c r="A594" s="267">
        <v>95301083</v>
      </c>
      <c r="B594" t="s">
        <v>6670</v>
      </c>
      <c r="C594" s="268" t="s">
        <v>6316</v>
      </c>
      <c r="D594" s="268">
        <v>6901</v>
      </c>
      <c r="E594" s="268" t="s">
        <v>4876</v>
      </c>
      <c r="F594" s="268" t="s">
        <v>4877</v>
      </c>
      <c r="G594" s="269">
        <v>3</v>
      </c>
      <c r="H594" s="269">
        <v>0</v>
      </c>
      <c r="I594" s="267">
        <v>34</v>
      </c>
      <c r="J594" s="282" t="s">
        <v>5356</v>
      </c>
      <c r="K594" s="279" t="s">
        <v>5357</v>
      </c>
      <c r="L594" s="279"/>
      <c r="M594" s="268">
        <v>1</v>
      </c>
      <c r="N594" s="268" t="b">
        <v>1</v>
      </c>
      <c r="O594" s="268">
        <v>7</v>
      </c>
      <c r="P594" s="281">
        <v>105</v>
      </c>
      <c r="Q594" s="281">
        <v>140</v>
      </c>
      <c r="R594" s="268" t="s">
        <v>3383</v>
      </c>
      <c r="S594" s="268"/>
      <c r="T594" s="268">
        <v>1</v>
      </c>
      <c r="U594" s="268" t="s">
        <v>4880</v>
      </c>
      <c r="V594" s="269">
        <v>3</v>
      </c>
      <c r="W594" s="269"/>
      <c r="X594" s="268" t="s">
        <v>4881</v>
      </c>
      <c r="Y594" t="s">
        <v>6669</v>
      </c>
      <c r="Z594" t="s">
        <v>6671</v>
      </c>
      <c r="AA594" s="268" t="s">
        <v>4884</v>
      </c>
      <c r="AB594" s="268"/>
      <c r="AC594" s="287">
        <v>1</v>
      </c>
      <c r="AD594" s="287">
        <v>1</v>
      </c>
      <c r="AE594" s="268"/>
      <c r="AF594" s="268"/>
      <c r="AG594" s="290"/>
    </row>
    <row r="595" spans="1:33" s="259" customFormat="1" ht="15" customHeight="1" x14ac:dyDescent="0.15">
      <c r="A595" s="267">
        <v>95301084</v>
      </c>
      <c r="B595" t="s">
        <v>6670</v>
      </c>
      <c r="C595" s="268" t="s">
        <v>6316</v>
      </c>
      <c r="D595" s="268">
        <v>6901</v>
      </c>
      <c r="E595" s="268" t="s">
        <v>4876</v>
      </c>
      <c r="F595" s="268" t="s">
        <v>4877</v>
      </c>
      <c r="G595" s="269">
        <v>4</v>
      </c>
      <c r="H595" s="269">
        <v>0</v>
      </c>
      <c r="I595" s="267">
        <v>34</v>
      </c>
      <c r="J595" s="282" t="s">
        <v>5356</v>
      </c>
      <c r="K595" s="279" t="s">
        <v>5357</v>
      </c>
      <c r="L595" s="279"/>
      <c r="M595" s="268">
        <v>1</v>
      </c>
      <c r="N595" s="268" t="b">
        <v>1</v>
      </c>
      <c r="O595" s="268">
        <v>10</v>
      </c>
      <c r="P595" s="281">
        <v>150</v>
      </c>
      <c r="Q595" s="281">
        <v>200</v>
      </c>
      <c r="R595" s="268" t="s">
        <v>3383</v>
      </c>
      <c r="S595" s="268"/>
      <c r="T595" s="268">
        <v>1</v>
      </c>
      <c r="U595" s="268" t="s">
        <v>4880</v>
      </c>
      <c r="V595" s="269">
        <v>4</v>
      </c>
      <c r="W595" s="269"/>
      <c r="X595" s="268" t="s">
        <v>4881</v>
      </c>
      <c r="Y595" t="s">
        <v>6669</v>
      </c>
      <c r="Z595" t="s">
        <v>6671</v>
      </c>
      <c r="AA595" s="268" t="s">
        <v>4884</v>
      </c>
      <c r="AB595" s="268"/>
      <c r="AC595" s="287">
        <v>1</v>
      </c>
      <c r="AD595" s="287">
        <v>1</v>
      </c>
      <c r="AE595" s="268"/>
      <c r="AF595" s="268"/>
      <c r="AG595" s="290"/>
    </row>
    <row r="596" spans="1:33" s="259" customFormat="1" ht="15" customHeight="1" x14ac:dyDescent="0.15">
      <c r="A596" s="267">
        <v>95301085</v>
      </c>
      <c r="B596" t="s">
        <v>6670</v>
      </c>
      <c r="C596" s="268" t="s">
        <v>6316</v>
      </c>
      <c r="D596" s="268">
        <v>6901</v>
      </c>
      <c r="E596" s="268" t="s">
        <v>4876</v>
      </c>
      <c r="F596" s="268" t="s">
        <v>4877</v>
      </c>
      <c r="G596" s="269">
        <v>5</v>
      </c>
      <c r="H596" s="269">
        <v>0</v>
      </c>
      <c r="I596" s="267">
        <v>34</v>
      </c>
      <c r="J596" s="282" t="s">
        <v>5356</v>
      </c>
      <c r="K596" s="279" t="s">
        <v>5357</v>
      </c>
      <c r="L596" s="279"/>
      <c r="M596" s="268">
        <v>1</v>
      </c>
      <c r="N596" s="268" t="b">
        <v>1</v>
      </c>
      <c r="O596" s="268">
        <v>12</v>
      </c>
      <c r="P596" s="281">
        <v>180</v>
      </c>
      <c r="Q596" s="281">
        <v>240</v>
      </c>
      <c r="R596" s="268" t="s">
        <v>3383</v>
      </c>
      <c r="S596" s="268"/>
      <c r="T596" s="268">
        <v>1</v>
      </c>
      <c r="U596" s="268" t="s">
        <v>4880</v>
      </c>
      <c r="V596" s="269">
        <v>5</v>
      </c>
      <c r="W596" s="269"/>
      <c r="X596" s="268" t="s">
        <v>4881</v>
      </c>
      <c r="Y596" t="s">
        <v>6669</v>
      </c>
      <c r="Z596" t="s">
        <v>6671</v>
      </c>
      <c r="AA596" s="268" t="s">
        <v>4884</v>
      </c>
      <c r="AB596" s="268"/>
      <c r="AC596" s="287">
        <v>1</v>
      </c>
      <c r="AD596" s="287">
        <v>1</v>
      </c>
      <c r="AE596" s="268"/>
      <c r="AF596" s="268"/>
      <c r="AG596" s="290"/>
    </row>
    <row r="597" spans="1:33" s="259" customFormat="1" ht="15" customHeight="1" x14ac:dyDescent="0.15">
      <c r="A597" s="271">
        <v>95301086</v>
      </c>
      <c r="B597" t="s">
        <v>6670</v>
      </c>
      <c r="C597" s="268" t="s">
        <v>6316</v>
      </c>
      <c r="D597" s="272">
        <v>6901</v>
      </c>
      <c r="E597" s="272" t="s">
        <v>4876</v>
      </c>
      <c r="F597" s="272" t="s">
        <v>4877</v>
      </c>
      <c r="G597" s="294">
        <v>6</v>
      </c>
      <c r="H597" s="273">
        <v>0</v>
      </c>
      <c r="I597" s="283">
        <v>34</v>
      </c>
      <c r="J597" s="284" t="s">
        <v>5356</v>
      </c>
      <c r="K597" s="285" t="s">
        <v>5357</v>
      </c>
      <c r="L597" s="285"/>
      <c r="M597" s="272">
        <v>1</v>
      </c>
      <c r="N597" s="272" t="b">
        <v>1</v>
      </c>
      <c r="O597" s="272">
        <v>25</v>
      </c>
      <c r="P597" s="281">
        <v>375</v>
      </c>
      <c r="Q597" s="281">
        <v>500</v>
      </c>
      <c r="R597" s="272" t="s">
        <v>3383</v>
      </c>
      <c r="S597" s="272"/>
      <c r="T597" s="272">
        <v>1</v>
      </c>
      <c r="U597" s="272" t="s">
        <v>4880</v>
      </c>
      <c r="V597" s="273">
        <v>6</v>
      </c>
      <c r="W597" s="273"/>
      <c r="X597" s="272" t="s">
        <v>4881</v>
      </c>
      <c r="Y597" t="s">
        <v>6669</v>
      </c>
      <c r="Z597" t="s">
        <v>6671</v>
      </c>
      <c r="AA597" s="272" t="s">
        <v>4884</v>
      </c>
      <c r="AB597" s="272"/>
      <c r="AC597" s="289">
        <v>1</v>
      </c>
      <c r="AD597" s="289">
        <v>1</v>
      </c>
      <c r="AE597" s="272"/>
      <c r="AF597" s="272"/>
      <c r="AG597" s="296"/>
    </row>
    <row r="598" spans="1:33" s="259" customFormat="1" ht="15" customHeight="1" x14ac:dyDescent="0.15">
      <c r="A598" s="270">
        <v>95301087</v>
      </c>
      <c r="B598" t="s">
        <v>6670</v>
      </c>
      <c r="C598" s="268" t="s">
        <v>6316</v>
      </c>
      <c r="D598" s="268">
        <v>6901</v>
      </c>
      <c r="E598" s="268" t="s">
        <v>4876</v>
      </c>
      <c r="F598" s="268" t="s">
        <v>4877</v>
      </c>
      <c r="G598" s="269">
        <v>7</v>
      </c>
      <c r="H598" s="269">
        <v>0</v>
      </c>
      <c r="I598" s="267">
        <v>34</v>
      </c>
      <c r="J598" s="282" t="s">
        <v>5356</v>
      </c>
      <c r="K598" s="279" t="s">
        <v>5357</v>
      </c>
      <c r="L598" s="279"/>
      <c r="M598" s="268">
        <v>1</v>
      </c>
      <c r="N598" s="268" t="b">
        <v>1</v>
      </c>
      <c r="O598" s="268">
        <v>38</v>
      </c>
      <c r="P598" s="281">
        <v>570</v>
      </c>
      <c r="Q598" s="281">
        <v>760</v>
      </c>
      <c r="R598" s="268" t="s">
        <v>3383</v>
      </c>
      <c r="S598" s="268"/>
      <c r="T598" s="268">
        <v>1</v>
      </c>
      <c r="U598" s="268" t="s">
        <v>4880</v>
      </c>
      <c r="V598" s="269">
        <v>7</v>
      </c>
      <c r="W598" s="269"/>
      <c r="X598" s="268" t="s">
        <v>4881</v>
      </c>
      <c r="Y598" t="s">
        <v>6669</v>
      </c>
      <c r="Z598" t="s">
        <v>6671</v>
      </c>
      <c r="AA598" s="268" t="s">
        <v>4884</v>
      </c>
      <c r="AB598" s="268"/>
      <c r="AC598" s="287">
        <v>1</v>
      </c>
      <c r="AD598" s="287">
        <v>1</v>
      </c>
      <c r="AE598" s="268"/>
      <c r="AF598" s="268"/>
      <c r="AG598" s="290"/>
    </row>
    <row r="599" spans="1:33" s="259" customFormat="1" ht="15" customHeight="1" x14ac:dyDescent="0.15">
      <c r="A599" s="271">
        <v>95301088</v>
      </c>
      <c r="B599" t="s">
        <v>6672</v>
      </c>
      <c r="C599" s="268" t="s">
        <v>6316</v>
      </c>
      <c r="D599" s="272">
        <v>5081</v>
      </c>
      <c r="E599" s="272" t="s">
        <v>4876</v>
      </c>
      <c r="F599" s="272" t="s">
        <v>4877</v>
      </c>
      <c r="G599" s="269">
        <v>6</v>
      </c>
      <c r="H599" s="273">
        <v>0</v>
      </c>
      <c r="I599" s="283">
        <v>34</v>
      </c>
      <c r="J599" s="284" t="s">
        <v>5356</v>
      </c>
      <c r="K599" s="285" t="s">
        <v>5357</v>
      </c>
      <c r="L599" s="272" t="s">
        <v>44</v>
      </c>
      <c r="M599" s="272">
        <v>1</v>
      </c>
      <c r="N599" s="272" t="b">
        <v>1</v>
      </c>
      <c r="O599" s="272">
        <v>51</v>
      </c>
      <c r="P599" s="281">
        <v>765</v>
      </c>
      <c r="Q599" s="281">
        <v>1020</v>
      </c>
      <c r="R599" s="272" t="s">
        <v>3383</v>
      </c>
      <c r="S599" s="272"/>
      <c r="T599" s="272">
        <v>1</v>
      </c>
      <c r="U599" s="272" t="s">
        <v>4880</v>
      </c>
      <c r="V599" s="273">
        <v>10</v>
      </c>
      <c r="W599" s="273"/>
      <c r="X599" s="272" t="s">
        <v>4881</v>
      </c>
      <c r="Y599" t="s">
        <v>6669</v>
      </c>
      <c r="Z599" t="s">
        <v>6671</v>
      </c>
      <c r="AA599" s="272" t="s">
        <v>4884</v>
      </c>
      <c r="AB599" s="272"/>
      <c r="AC599" s="289">
        <v>1</v>
      </c>
      <c r="AD599" s="289">
        <v>1</v>
      </c>
      <c r="AE599" s="289"/>
      <c r="AF599" s="272"/>
      <c r="AG599" s="272"/>
    </row>
    <row r="600" spans="1:33" s="259" customFormat="1" ht="15" customHeight="1" x14ac:dyDescent="0.15">
      <c r="A600" s="271">
        <v>95301089</v>
      </c>
      <c r="B600" t="s">
        <v>6673</v>
      </c>
      <c r="C600" s="268" t="s">
        <v>6316</v>
      </c>
      <c r="D600" s="272">
        <v>5081</v>
      </c>
      <c r="E600" s="272" t="s">
        <v>4876</v>
      </c>
      <c r="F600" s="272" t="s">
        <v>4877</v>
      </c>
      <c r="G600" s="269">
        <v>6</v>
      </c>
      <c r="H600" s="273">
        <v>0</v>
      </c>
      <c r="I600" s="283">
        <v>34</v>
      </c>
      <c r="J600" s="284" t="s">
        <v>5356</v>
      </c>
      <c r="K600" s="285" t="s">
        <v>5357</v>
      </c>
      <c r="L600" s="272" t="s">
        <v>4887</v>
      </c>
      <c r="M600" s="272">
        <v>1</v>
      </c>
      <c r="N600" s="272" t="b">
        <v>1</v>
      </c>
      <c r="O600" s="272">
        <v>64</v>
      </c>
      <c r="P600" s="281">
        <v>960</v>
      </c>
      <c r="Q600" s="281">
        <v>1280</v>
      </c>
      <c r="R600" s="272" t="s">
        <v>3383</v>
      </c>
      <c r="S600" s="272"/>
      <c r="T600" s="272">
        <v>1</v>
      </c>
      <c r="U600" s="272" t="s">
        <v>4880</v>
      </c>
      <c r="V600" s="273">
        <v>10</v>
      </c>
      <c r="W600" s="273"/>
      <c r="X600" s="272" t="s">
        <v>4881</v>
      </c>
      <c r="Y600" t="s">
        <v>6669</v>
      </c>
      <c r="Z600" t="s">
        <v>6671</v>
      </c>
      <c r="AA600" s="272" t="s">
        <v>4884</v>
      </c>
      <c r="AB600" s="272"/>
      <c r="AC600" s="289">
        <v>1</v>
      </c>
      <c r="AD600" s="289">
        <v>1</v>
      </c>
      <c r="AE600" s="289"/>
      <c r="AF600" s="272"/>
      <c r="AG600" s="272"/>
    </row>
    <row r="601" spans="1:33" s="259" customFormat="1" ht="15" customHeight="1" x14ac:dyDescent="0.15">
      <c r="A601" s="271">
        <v>95301090</v>
      </c>
      <c r="B601" t="s">
        <v>6674</v>
      </c>
      <c r="C601" s="268" t="s">
        <v>6316</v>
      </c>
      <c r="D601" s="272">
        <v>5081</v>
      </c>
      <c r="E601" s="272" t="s">
        <v>4876</v>
      </c>
      <c r="F601" s="272" t="s">
        <v>4877</v>
      </c>
      <c r="G601" s="269">
        <v>7</v>
      </c>
      <c r="H601" s="273">
        <v>0</v>
      </c>
      <c r="I601" s="283">
        <v>34</v>
      </c>
      <c r="J601" s="284" t="s">
        <v>5356</v>
      </c>
      <c r="K601" s="285" t="s">
        <v>5357</v>
      </c>
      <c r="L601" s="272" t="s">
        <v>4889</v>
      </c>
      <c r="M601" s="272">
        <v>1</v>
      </c>
      <c r="N601" s="272" t="b">
        <v>1</v>
      </c>
      <c r="O601" s="272">
        <v>77</v>
      </c>
      <c r="P601" s="281">
        <v>1155</v>
      </c>
      <c r="Q601" s="281">
        <v>1540</v>
      </c>
      <c r="R601" s="272" t="s">
        <v>3383</v>
      </c>
      <c r="S601" s="272"/>
      <c r="T601" s="272">
        <v>1</v>
      </c>
      <c r="U601" s="272" t="s">
        <v>4880</v>
      </c>
      <c r="V601" s="273">
        <v>10</v>
      </c>
      <c r="W601" s="273"/>
      <c r="X601" s="272" t="s">
        <v>4881</v>
      </c>
      <c r="Y601" t="s">
        <v>6675</v>
      </c>
      <c r="Z601" t="s">
        <v>6671</v>
      </c>
      <c r="AA601" s="272" t="s">
        <v>4884</v>
      </c>
      <c r="AB601" s="272"/>
      <c r="AC601" s="289">
        <v>1</v>
      </c>
      <c r="AD601" s="289">
        <v>1</v>
      </c>
      <c r="AE601" s="289"/>
      <c r="AF601" s="272"/>
      <c r="AG601" s="272"/>
    </row>
    <row r="602" spans="1:33" ht="15" customHeight="1" x14ac:dyDescent="0.15">
      <c r="A602" s="267">
        <v>95301091</v>
      </c>
      <c r="B602" t="s">
        <v>6676</v>
      </c>
      <c r="C602" s="268" t="s">
        <v>6316</v>
      </c>
      <c r="D602" s="268">
        <v>6901</v>
      </c>
      <c r="E602" s="268" t="s">
        <v>4876</v>
      </c>
      <c r="F602" s="268" t="s">
        <v>4877</v>
      </c>
      <c r="G602" s="269">
        <v>1</v>
      </c>
      <c r="H602" s="269">
        <v>0</v>
      </c>
      <c r="I602" s="267">
        <v>34</v>
      </c>
      <c r="J602" s="282" t="s">
        <v>5364</v>
      </c>
      <c r="K602" s="279" t="s">
        <v>5365</v>
      </c>
      <c r="L602" s="279"/>
      <c r="M602" s="268">
        <v>1</v>
      </c>
      <c r="N602" s="268" t="b">
        <v>1</v>
      </c>
      <c r="O602" s="268">
        <v>2</v>
      </c>
      <c r="P602" s="281">
        <v>30</v>
      </c>
      <c r="Q602" s="281">
        <v>40</v>
      </c>
      <c r="R602" s="268" t="s">
        <v>3383</v>
      </c>
      <c r="S602" s="268"/>
      <c r="T602" s="268">
        <v>1</v>
      </c>
      <c r="U602" s="268" t="s">
        <v>4880</v>
      </c>
      <c r="V602" s="269">
        <v>1</v>
      </c>
      <c r="W602" s="269"/>
      <c r="X602" s="268" t="s">
        <v>4881</v>
      </c>
      <c r="Y602" t="s">
        <v>6675</v>
      </c>
      <c r="Z602" t="s">
        <v>6677</v>
      </c>
      <c r="AA602" s="268" t="s">
        <v>4884</v>
      </c>
      <c r="AB602" s="268"/>
      <c r="AC602" s="287">
        <v>1</v>
      </c>
      <c r="AD602" s="287">
        <v>1</v>
      </c>
      <c r="AE602" s="268"/>
      <c r="AF602" s="268"/>
      <c r="AG602" s="290"/>
    </row>
    <row r="603" spans="1:33" s="259" customFormat="1" ht="15" customHeight="1" x14ac:dyDescent="0.15">
      <c r="A603" s="267">
        <v>95301092</v>
      </c>
      <c r="B603" t="s">
        <v>6676</v>
      </c>
      <c r="C603" s="268" t="s">
        <v>6316</v>
      </c>
      <c r="D603" s="268">
        <v>6901</v>
      </c>
      <c r="E603" s="268" t="s">
        <v>4876</v>
      </c>
      <c r="F603" s="268" t="s">
        <v>4877</v>
      </c>
      <c r="G603" s="269">
        <v>2</v>
      </c>
      <c r="H603" s="269">
        <v>0</v>
      </c>
      <c r="I603" s="267">
        <v>34</v>
      </c>
      <c r="J603" s="282" t="s">
        <v>5364</v>
      </c>
      <c r="K603" s="279" t="s">
        <v>5365</v>
      </c>
      <c r="L603" s="279"/>
      <c r="M603" s="268">
        <v>1</v>
      </c>
      <c r="N603" s="268" t="b">
        <v>1</v>
      </c>
      <c r="O603" s="268">
        <v>5</v>
      </c>
      <c r="P603" s="281">
        <v>75</v>
      </c>
      <c r="Q603" s="281">
        <v>100</v>
      </c>
      <c r="R603" s="268" t="s">
        <v>3383</v>
      </c>
      <c r="S603" s="268"/>
      <c r="T603" s="268">
        <v>1</v>
      </c>
      <c r="U603" s="268" t="s">
        <v>4880</v>
      </c>
      <c r="V603" s="269">
        <v>2</v>
      </c>
      <c r="W603" s="269"/>
      <c r="X603" s="268" t="s">
        <v>4881</v>
      </c>
      <c r="Y603" t="s">
        <v>6675</v>
      </c>
      <c r="Z603" t="s">
        <v>6677</v>
      </c>
      <c r="AA603" s="268" t="s">
        <v>4884</v>
      </c>
      <c r="AB603" s="268"/>
      <c r="AC603" s="287">
        <v>1</v>
      </c>
      <c r="AD603" s="287">
        <v>1</v>
      </c>
      <c r="AE603" s="268"/>
      <c r="AF603" s="268"/>
      <c r="AG603" s="290"/>
    </row>
    <row r="604" spans="1:33" s="259" customFormat="1" ht="15" customHeight="1" x14ac:dyDescent="0.15">
      <c r="A604" s="267">
        <v>95301093</v>
      </c>
      <c r="B604" t="s">
        <v>6676</v>
      </c>
      <c r="C604" s="268" t="s">
        <v>6316</v>
      </c>
      <c r="D604" s="268">
        <v>6901</v>
      </c>
      <c r="E604" s="268" t="s">
        <v>4876</v>
      </c>
      <c r="F604" s="268" t="s">
        <v>4877</v>
      </c>
      <c r="G604" s="269">
        <v>3</v>
      </c>
      <c r="H604" s="269">
        <v>0</v>
      </c>
      <c r="I604" s="267">
        <v>34</v>
      </c>
      <c r="J604" s="282" t="s">
        <v>5364</v>
      </c>
      <c r="K604" s="279" t="s">
        <v>5365</v>
      </c>
      <c r="L604" s="279"/>
      <c r="M604" s="268">
        <v>1</v>
      </c>
      <c r="N604" s="268" t="b">
        <v>1</v>
      </c>
      <c r="O604" s="268">
        <v>7</v>
      </c>
      <c r="P604" s="281">
        <v>105</v>
      </c>
      <c r="Q604" s="281">
        <v>140</v>
      </c>
      <c r="R604" s="268" t="s">
        <v>3383</v>
      </c>
      <c r="S604" s="268"/>
      <c r="T604" s="268">
        <v>1</v>
      </c>
      <c r="U604" s="268" t="s">
        <v>4880</v>
      </c>
      <c r="V604" s="269">
        <v>3</v>
      </c>
      <c r="W604" s="269"/>
      <c r="X604" s="268" t="s">
        <v>4881</v>
      </c>
      <c r="Y604" t="s">
        <v>6675</v>
      </c>
      <c r="Z604" t="s">
        <v>6677</v>
      </c>
      <c r="AA604" s="268" t="s">
        <v>4884</v>
      </c>
      <c r="AB604" s="268"/>
      <c r="AC604" s="287">
        <v>1</v>
      </c>
      <c r="AD604" s="287">
        <v>1</v>
      </c>
      <c r="AE604" s="268"/>
      <c r="AF604" s="268"/>
      <c r="AG604" s="290"/>
    </row>
    <row r="605" spans="1:33" s="259" customFormat="1" ht="15" customHeight="1" x14ac:dyDescent="0.15">
      <c r="A605" s="267">
        <v>95301094</v>
      </c>
      <c r="B605" t="s">
        <v>6676</v>
      </c>
      <c r="C605" s="268" t="s">
        <v>6316</v>
      </c>
      <c r="D605" s="268">
        <v>6901</v>
      </c>
      <c r="E605" s="268" t="s">
        <v>4876</v>
      </c>
      <c r="F605" s="268" t="s">
        <v>4877</v>
      </c>
      <c r="G605" s="269">
        <v>4</v>
      </c>
      <c r="H605" s="269">
        <v>0</v>
      </c>
      <c r="I605" s="267">
        <v>34</v>
      </c>
      <c r="J605" s="282" t="s">
        <v>5364</v>
      </c>
      <c r="K605" s="279" t="s">
        <v>5365</v>
      </c>
      <c r="L605" s="279"/>
      <c r="M605" s="268">
        <v>1</v>
      </c>
      <c r="N605" s="268" t="b">
        <v>1</v>
      </c>
      <c r="O605" s="268">
        <v>10</v>
      </c>
      <c r="P605" s="281">
        <v>150</v>
      </c>
      <c r="Q605" s="281">
        <v>200</v>
      </c>
      <c r="R605" s="268" t="s">
        <v>3383</v>
      </c>
      <c r="S605" s="268"/>
      <c r="T605" s="268">
        <v>1</v>
      </c>
      <c r="U605" s="268" t="s">
        <v>4880</v>
      </c>
      <c r="V605" s="269">
        <v>4</v>
      </c>
      <c r="W605" s="269"/>
      <c r="X605" s="268" t="s">
        <v>4881</v>
      </c>
      <c r="Y605" t="s">
        <v>6675</v>
      </c>
      <c r="Z605" t="s">
        <v>6677</v>
      </c>
      <c r="AA605" s="268" t="s">
        <v>4884</v>
      </c>
      <c r="AB605" s="268"/>
      <c r="AC605" s="287">
        <v>1</v>
      </c>
      <c r="AD605" s="287">
        <v>1</v>
      </c>
      <c r="AE605" s="268"/>
      <c r="AF605" s="268"/>
      <c r="AG605" s="290"/>
    </row>
    <row r="606" spans="1:33" s="259" customFormat="1" ht="15" customHeight="1" x14ac:dyDescent="0.15">
      <c r="A606" s="267">
        <v>95301095</v>
      </c>
      <c r="B606" t="s">
        <v>6676</v>
      </c>
      <c r="C606" s="268" t="s">
        <v>6316</v>
      </c>
      <c r="D606" s="268">
        <v>6901</v>
      </c>
      <c r="E606" s="268" t="s">
        <v>4876</v>
      </c>
      <c r="F606" s="268" t="s">
        <v>4877</v>
      </c>
      <c r="G606" s="269">
        <v>5</v>
      </c>
      <c r="H606" s="269">
        <v>0</v>
      </c>
      <c r="I606" s="267">
        <v>34</v>
      </c>
      <c r="J606" s="282" t="s">
        <v>5364</v>
      </c>
      <c r="K606" s="279" t="s">
        <v>5365</v>
      </c>
      <c r="L606" s="279"/>
      <c r="M606" s="268">
        <v>1</v>
      </c>
      <c r="N606" s="268" t="b">
        <v>1</v>
      </c>
      <c r="O606" s="268">
        <v>12</v>
      </c>
      <c r="P606" s="281">
        <v>180</v>
      </c>
      <c r="Q606" s="281">
        <v>240</v>
      </c>
      <c r="R606" s="268" t="s">
        <v>3383</v>
      </c>
      <c r="S606" s="268"/>
      <c r="T606" s="268">
        <v>1</v>
      </c>
      <c r="U606" s="268" t="s">
        <v>4880</v>
      </c>
      <c r="V606" s="269">
        <v>5</v>
      </c>
      <c r="W606" s="269"/>
      <c r="X606" s="268" t="s">
        <v>4881</v>
      </c>
      <c r="Y606" t="s">
        <v>6675</v>
      </c>
      <c r="Z606" t="s">
        <v>6677</v>
      </c>
      <c r="AA606" s="268" t="s">
        <v>4884</v>
      </c>
      <c r="AB606" s="268"/>
      <c r="AC606" s="287">
        <v>1</v>
      </c>
      <c r="AD606" s="287">
        <v>1</v>
      </c>
      <c r="AE606" s="268"/>
      <c r="AF606" s="268"/>
      <c r="AG606" s="290"/>
    </row>
    <row r="607" spans="1:33" s="259" customFormat="1" ht="15" customHeight="1" x14ac:dyDescent="0.15">
      <c r="A607" s="270">
        <v>95301096</v>
      </c>
      <c r="B607" t="s">
        <v>6676</v>
      </c>
      <c r="C607" s="268" t="s">
        <v>6316</v>
      </c>
      <c r="D607" s="268">
        <v>6901</v>
      </c>
      <c r="E607" s="268" t="s">
        <v>4876</v>
      </c>
      <c r="F607" s="268" t="s">
        <v>4877</v>
      </c>
      <c r="G607" s="269">
        <v>6</v>
      </c>
      <c r="H607" s="269">
        <v>0</v>
      </c>
      <c r="I607" s="267">
        <v>34</v>
      </c>
      <c r="J607" s="282" t="s">
        <v>5364</v>
      </c>
      <c r="K607" s="279" t="s">
        <v>5365</v>
      </c>
      <c r="L607" s="279"/>
      <c r="M607" s="268">
        <v>1</v>
      </c>
      <c r="N607" s="268" t="b">
        <v>1</v>
      </c>
      <c r="O607" s="268">
        <v>25</v>
      </c>
      <c r="P607" s="281">
        <v>375</v>
      </c>
      <c r="Q607" s="281">
        <v>500</v>
      </c>
      <c r="R607" s="268" t="s">
        <v>3383</v>
      </c>
      <c r="S607" s="268"/>
      <c r="T607" s="268">
        <v>1</v>
      </c>
      <c r="U607" s="268" t="s">
        <v>4880</v>
      </c>
      <c r="V607" s="269">
        <v>6</v>
      </c>
      <c r="W607" s="269"/>
      <c r="X607" s="268" t="s">
        <v>4881</v>
      </c>
      <c r="Y607" t="s">
        <v>6675</v>
      </c>
      <c r="Z607" t="s">
        <v>6677</v>
      </c>
      <c r="AA607" s="268" t="s">
        <v>4884</v>
      </c>
      <c r="AB607" s="268"/>
      <c r="AC607" s="287">
        <v>1</v>
      </c>
      <c r="AD607" s="287">
        <v>1</v>
      </c>
      <c r="AE607" s="268"/>
      <c r="AF607" s="268"/>
      <c r="AG607" s="290"/>
    </row>
    <row r="608" spans="1:33" s="259" customFormat="1" ht="15" customHeight="1" x14ac:dyDescent="0.15">
      <c r="A608" s="270">
        <v>95301097</v>
      </c>
      <c r="B608" t="s">
        <v>6676</v>
      </c>
      <c r="C608" s="268" t="s">
        <v>6316</v>
      </c>
      <c r="D608" s="268">
        <v>6901</v>
      </c>
      <c r="E608" s="268" t="s">
        <v>4876</v>
      </c>
      <c r="F608" s="268" t="s">
        <v>4877</v>
      </c>
      <c r="G608" s="269">
        <v>7</v>
      </c>
      <c r="H608" s="269">
        <v>0</v>
      </c>
      <c r="I608" s="267">
        <v>34</v>
      </c>
      <c r="J608" s="282" t="s">
        <v>5364</v>
      </c>
      <c r="K608" s="279" t="s">
        <v>5365</v>
      </c>
      <c r="L608" s="279"/>
      <c r="M608" s="268">
        <v>1</v>
      </c>
      <c r="N608" s="268" t="b">
        <v>1</v>
      </c>
      <c r="O608" s="268">
        <v>38</v>
      </c>
      <c r="P608" s="281">
        <v>570</v>
      </c>
      <c r="Q608" s="281">
        <v>760</v>
      </c>
      <c r="R608" s="268" t="s">
        <v>3383</v>
      </c>
      <c r="S608" s="268"/>
      <c r="T608" s="268">
        <v>1</v>
      </c>
      <c r="U608" s="268" t="s">
        <v>4880</v>
      </c>
      <c r="V608" s="269">
        <v>7</v>
      </c>
      <c r="W608" s="269"/>
      <c r="X608" s="268" t="s">
        <v>4881</v>
      </c>
      <c r="Y608" t="s">
        <v>6675</v>
      </c>
      <c r="Z608" t="s">
        <v>6677</v>
      </c>
      <c r="AA608" s="268" t="s">
        <v>4884</v>
      </c>
      <c r="AB608" s="268"/>
      <c r="AC608" s="287">
        <v>1</v>
      </c>
      <c r="AD608" s="287">
        <v>1</v>
      </c>
      <c r="AE608" s="268"/>
      <c r="AF608" s="268"/>
      <c r="AG608" s="290"/>
    </row>
    <row r="609" spans="1:33" s="259" customFormat="1" ht="15" customHeight="1" x14ac:dyDescent="0.15">
      <c r="A609" s="271">
        <v>95301098</v>
      </c>
      <c r="B609" t="s">
        <v>6678</v>
      </c>
      <c r="C609" s="268" t="s">
        <v>6316</v>
      </c>
      <c r="D609" s="272">
        <v>5081</v>
      </c>
      <c r="E609" s="272" t="s">
        <v>4876</v>
      </c>
      <c r="F609" s="272" t="s">
        <v>4877</v>
      </c>
      <c r="G609" s="269">
        <v>6</v>
      </c>
      <c r="H609" s="273">
        <v>1</v>
      </c>
      <c r="I609" s="283">
        <v>34</v>
      </c>
      <c r="J609" s="284" t="s">
        <v>5364</v>
      </c>
      <c r="K609" s="285" t="s">
        <v>5365</v>
      </c>
      <c r="L609" s="272" t="s">
        <v>44</v>
      </c>
      <c r="M609" s="272">
        <v>1</v>
      </c>
      <c r="N609" s="272" t="b">
        <v>1</v>
      </c>
      <c r="O609" s="272">
        <v>51</v>
      </c>
      <c r="P609" s="281">
        <v>765</v>
      </c>
      <c r="Q609" s="281">
        <v>1020</v>
      </c>
      <c r="R609" s="272" t="s">
        <v>3383</v>
      </c>
      <c r="S609" s="272"/>
      <c r="T609" s="272">
        <v>1</v>
      </c>
      <c r="U609" s="272" t="s">
        <v>4880</v>
      </c>
      <c r="V609" s="273">
        <v>10</v>
      </c>
      <c r="W609" s="273"/>
      <c r="X609" s="272" t="s">
        <v>4881</v>
      </c>
      <c r="Y609" t="s">
        <v>6675</v>
      </c>
      <c r="Z609" t="s">
        <v>6677</v>
      </c>
      <c r="AA609" s="272" t="s">
        <v>4884</v>
      </c>
      <c r="AB609" s="272"/>
      <c r="AC609" s="289">
        <v>1</v>
      </c>
      <c r="AD609" s="289">
        <v>1</v>
      </c>
      <c r="AE609" s="289"/>
      <c r="AF609" s="272"/>
      <c r="AG609" s="272"/>
    </row>
    <row r="610" spans="1:33" s="259" customFormat="1" ht="15" customHeight="1" x14ac:dyDescent="0.15">
      <c r="A610" s="271">
        <v>95301099</v>
      </c>
      <c r="B610" t="s">
        <v>6679</v>
      </c>
      <c r="C610" s="268" t="s">
        <v>6316</v>
      </c>
      <c r="D610" s="272">
        <v>5081</v>
      </c>
      <c r="E610" s="272" t="s">
        <v>4876</v>
      </c>
      <c r="F610" s="272" t="s">
        <v>4877</v>
      </c>
      <c r="G610" s="269">
        <v>6</v>
      </c>
      <c r="H610" s="273">
        <v>1</v>
      </c>
      <c r="I610" s="283">
        <v>34</v>
      </c>
      <c r="J610" s="284" t="s">
        <v>5364</v>
      </c>
      <c r="K610" s="285" t="s">
        <v>5365</v>
      </c>
      <c r="L610" s="272" t="s">
        <v>4887</v>
      </c>
      <c r="M610" s="272">
        <v>1</v>
      </c>
      <c r="N610" s="272" t="b">
        <v>1</v>
      </c>
      <c r="O610" s="272">
        <v>64</v>
      </c>
      <c r="P610" s="281">
        <v>960</v>
      </c>
      <c r="Q610" s="281">
        <v>1280</v>
      </c>
      <c r="R610" s="272" t="s">
        <v>3383</v>
      </c>
      <c r="S610" s="272"/>
      <c r="T610" s="272">
        <v>1</v>
      </c>
      <c r="U610" s="272" t="s">
        <v>4880</v>
      </c>
      <c r="V610" s="273">
        <v>10</v>
      </c>
      <c r="W610" s="273"/>
      <c r="X610" s="272" t="s">
        <v>4881</v>
      </c>
      <c r="Y610" t="s">
        <v>6675</v>
      </c>
      <c r="Z610" t="s">
        <v>6677</v>
      </c>
      <c r="AA610" s="272" t="s">
        <v>4884</v>
      </c>
      <c r="AB610" s="272"/>
      <c r="AC610" s="289">
        <v>1</v>
      </c>
      <c r="AD610" s="289">
        <v>1</v>
      </c>
      <c r="AE610" s="289"/>
      <c r="AF610" s="272"/>
      <c r="AG610" s="272"/>
    </row>
    <row r="611" spans="1:33" s="259" customFormat="1" ht="15" customHeight="1" x14ac:dyDescent="0.15">
      <c r="A611" s="271">
        <v>95301100</v>
      </c>
      <c r="B611" t="s">
        <v>6680</v>
      </c>
      <c r="C611" s="268" t="s">
        <v>6316</v>
      </c>
      <c r="D611" s="272">
        <v>5081</v>
      </c>
      <c r="E611" s="272" t="s">
        <v>4876</v>
      </c>
      <c r="F611" s="272" t="s">
        <v>4877</v>
      </c>
      <c r="G611" s="269">
        <v>7</v>
      </c>
      <c r="H611" s="273">
        <v>0</v>
      </c>
      <c r="I611" s="283">
        <v>34</v>
      </c>
      <c r="J611" s="284" t="s">
        <v>5364</v>
      </c>
      <c r="K611" s="285" t="s">
        <v>5365</v>
      </c>
      <c r="L611" s="272" t="s">
        <v>4889</v>
      </c>
      <c r="M611" s="272">
        <v>1</v>
      </c>
      <c r="N611" s="272" t="b">
        <v>1</v>
      </c>
      <c r="O611" s="272">
        <v>77</v>
      </c>
      <c r="P611" s="281">
        <v>1155</v>
      </c>
      <c r="Q611" s="281">
        <v>1540</v>
      </c>
      <c r="R611" s="272" t="s">
        <v>3383</v>
      </c>
      <c r="S611" s="272"/>
      <c r="T611" s="272">
        <v>1</v>
      </c>
      <c r="U611" s="272" t="s">
        <v>4880</v>
      </c>
      <c r="V611" s="273">
        <v>10</v>
      </c>
      <c r="W611" s="273"/>
      <c r="X611" s="272" t="s">
        <v>4881</v>
      </c>
      <c r="Y611" t="s">
        <v>6681</v>
      </c>
      <c r="Z611" t="s">
        <v>6677</v>
      </c>
      <c r="AA611" s="272" t="s">
        <v>4884</v>
      </c>
      <c r="AB611" s="272"/>
      <c r="AC611" s="289">
        <v>1</v>
      </c>
      <c r="AD611" s="289">
        <v>1</v>
      </c>
      <c r="AE611" s="289"/>
      <c r="AF611" s="272"/>
      <c r="AG611" s="272"/>
    </row>
    <row r="612" spans="1:33" s="259" customFormat="1" ht="15" customHeight="1" x14ac:dyDescent="0.15">
      <c r="A612" s="267">
        <v>95301101</v>
      </c>
      <c r="B612" t="s">
        <v>6682</v>
      </c>
      <c r="C612" s="268" t="s">
        <v>6316</v>
      </c>
      <c r="D612" s="268">
        <v>6901</v>
      </c>
      <c r="E612" s="268" t="s">
        <v>4876</v>
      </c>
      <c r="F612" s="268" t="s">
        <v>4877</v>
      </c>
      <c r="G612" s="269">
        <v>1</v>
      </c>
      <c r="H612" s="269">
        <v>0</v>
      </c>
      <c r="I612" s="267">
        <v>34</v>
      </c>
      <c r="J612" s="282" t="s">
        <v>5372</v>
      </c>
      <c r="K612" s="279" t="s">
        <v>5373</v>
      </c>
      <c r="L612" s="279"/>
      <c r="M612" s="268">
        <v>1</v>
      </c>
      <c r="N612" s="268" t="b">
        <v>1</v>
      </c>
      <c r="O612" s="268">
        <v>2</v>
      </c>
      <c r="P612" s="281">
        <v>30</v>
      </c>
      <c r="Q612" s="281">
        <v>40</v>
      </c>
      <c r="R612" s="268" t="s">
        <v>3383</v>
      </c>
      <c r="S612" s="268"/>
      <c r="T612" s="268">
        <v>1</v>
      </c>
      <c r="U612" s="268" t="s">
        <v>4880</v>
      </c>
      <c r="V612" s="269">
        <v>1</v>
      </c>
      <c r="W612" s="269"/>
      <c r="X612" s="268" t="s">
        <v>4881</v>
      </c>
      <c r="Y612" t="s">
        <v>6681</v>
      </c>
      <c r="Z612" t="s">
        <v>6683</v>
      </c>
      <c r="AA612" s="268" t="s">
        <v>4884</v>
      </c>
      <c r="AB612" s="268"/>
      <c r="AC612" s="287">
        <v>1</v>
      </c>
      <c r="AD612" s="287">
        <v>1</v>
      </c>
      <c r="AE612" s="268"/>
      <c r="AF612" s="268"/>
      <c r="AG612" s="290"/>
    </row>
    <row r="613" spans="1:33" s="259" customFormat="1" ht="15" customHeight="1" x14ac:dyDescent="0.15">
      <c r="A613" s="267">
        <v>95301102</v>
      </c>
      <c r="B613" t="s">
        <v>6682</v>
      </c>
      <c r="C613" s="268" t="s">
        <v>6316</v>
      </c>
      <c r="D613" s="268">
        <v>6901</v>
      </c>
      <c r="E613" s="268" t="s">
        <v>4876</v>
      </c>
      <c r="F613" s="268" t="s">
        <v>4877</v>
      </c>
      <c r="G613" s="269">
        <v>2</v>
      </c>
      <c r="H613" s="269">
        <v>0</v>
      </c>
      <c r="I613" s="267">
        <v>34</v>
      </c>
      <c r="J613" s="282" t="s">
        <v>5372</v>
      </c>
      <c r="K613" s="279" t="s">
        <v>5373</v>
      </c>
      <c r="L613" s="279"/>
      <c r="M613" s="268">
        <v>1</v>
      </c>
      <c r="N613" s="268" t="b">
        <v>1</v>
      </c>
      <c r="O613" s="268">
        <v>5</v>
      </c>
      <c r="P613" s="281">
        <v>75</v>
      </c>
      <c r="Q613" s="281">
        <v>100</v>
      </c>
      <c r="R613" s="268" t="s">
        <v>3383</v>
      </c>
      <c r="S613" s="268"/>
      <c r="T613" s="268">
        <v>1</v>
      </c>
      <c r="U613" s="268" t="s">
        <v>4880</v>
      </c>
      <c r="V613" s="269">
        <v>2</v>
      </c>
      <c r="W613" s="269"/>
      <c r="X613" s="268" t="s">
        <v>4881</v>
      </c>
      <c r="Y613" t="s">
        <v>6681</v>
      </c>
      <c r="Z613" t="s">
        <v>6683</v>
      </c>
      <c r="AA613" s="268" t="s">
        <v>4884</v>
      </c>
      <c r="AB613" s="268"/>
      <c r="AC613" s="287">
        <v>1</v>
      </c>
      <c r="AD613" s="287">
        <v>1</v>
      </c>
      <c r="AE613" s="268"/>
      <c r="AF613" s="268"/>
      <c r="AG613" s="290"/>
    </row>
    <row r="614" spans="1:33" s="259" customFormat="1" ht="15" customHeight="1" x14ac:dyDescent="0.15">
      <c r="A614" s="267">
        <v>95301103</v>
      </c>
      <c r="B614" t="s">
        <v>6682</v>
      </c>
      <c r="C614" s="268" t="s">
        <v>6316</v>
      </c>
      <c r="D614" s="268">
        <v>6901</v>
      </c>
      <c r="E614" s="268" t="s">
        <v>4876</v>
      </c>
      <c r="F614" s="268" t="s">
        <v>4877</v>
      </c>
      <c r="G614" s="269">
        <v>3</v>
      </c>
      <c r="H614" s="269">
        <v>0</v>
      </c>
      <c r="I614" s="267">
        <v>34</v>
      </c>
      <c r="J614" s="282" t="s">
        <v>5372</v>
      </c>
      <c r="K614" s="279" t="s">
        <v>5373</v>
      </c>
      <c r="L614" s="279"/>
      <c r="M614" s="268">
        <v>1</v>
      </c>
      <c r="N614" s="268" t="b">
        <v>1</v>
      </c>
      <c r="O614" s="268">
        <v>7</v>
      </c>
      <c r="P614" s="281">
        <v>105</v>
      </c>
      <c r="Q614" s="281">
        <v>140</v>
      </c>
      <c r="R614" s="268" t="s">
        <v>3383</v>
      </c>
      <c r="S614" s="268"/>
      <c r="T614" s="268">
        <v>1</v>
      </c>
      <c r="U614" s="268" t="s">
        <v>4880</v>
      </c>
      <c r="V614" s="269">
        <v>3</v>
      </c>
      <c r="W614" s="269"/>
      <c r="X614" s="268" t="s">
        <v>4881</v>
      </c>
      <c r="Y614" t="s">
        <v>6681</v>
      </c>
      <c r="Z614" t="s">
        <v>6683</v>
      </c>
      <c r="AA614" s="268" t="s">
        <v>4884</v>
      </c>
      <c r="AB614" s="268"/>
      <c r="AC614" s="287">
        <v>1</v>
      </c>
      <c r="AD614" s="287">
        <v>1</v>
      </c>
      <c r="AE614" s="268"/>
      <c r="AF614" s="268"/>
      <c r="AG614" s="290"/>
    </row>
    <row r="615" spans="1:33" s="259" customFormat="1" ht="15" customHeight="1" x14ac:dyDescent="0.15">
      <c r="A615" s="267">
        <v>95301104</v>
      </c>
      <c r="B615" t="s">
        <v>6682</v>
      </c>
      <c r="C615" s="268" t="s">
        <v>6316</v>
      </c>
      <c r="D615" s="268">
        <v>6901</v>
      </c>
      <c r="E615" s="268" t="s">
        <v>4876</v>
      </c>
      <c r="F615" s="268" t="s">
        <v>4877</v>
      </c>
      <c r="G615" s="269">
        <v>4</v>
      </c>
      <c r="H615" s="269">
        <v>0</v>
      </c>
      <c r="I615" s="267">
        <v>34</v>
      </c>
      <c r="J615" s="282" t="s">
        <v>5372</v>
      </c>
      <c r="K615" s="279" t="s">
        <v>5373</v>
      </c>
      <c r="L615" s="279"/>
      <c r="M615" s="268">
        <v>1</v>
      </c>
      <c r="N615" s="268" t="b">
        <v>1</v>
      </c>
      <c r="O615" s="268">
        <v>10</v>
      </c>
      <c r="P615" s="281">
        <v>150</v>
      </c>
      <c r="Q615" s="281">
        <v>200</v>
      </c>
      <c r="R615" s="268" t="s">
        <v>3383</v>
      </c>
      <c r="S615" s="268"/>
      <c r="T615" s="268">
        <v>1</v>
      </c>
      <c r="U615" s="268" t="s">
        <v>4880</v>
      </c>
      <c r="V615" s="269">
        <v>4</v>
      </c>
      <c r="W615" s="269"/>
      <c r="X615" s="268" t="s">
        <v>4881</v>
      </c>
      <c r="Y615" t="s">
        <v>6681</v>
      </c>
      <c r="Z615" t="s">
        <v>6683</v>
      </c>
      <c r="AA615" s="268" t="s">
        <v>4884</v>
      </c>
      <c r="AB615" s="268"/>
      <c r="AC615" s="287">
        <v>1</v>
      </c>
      <c r="AD615" s="287">
        <v>1</v>
      </c>
      <c r="AE615" s="268"/>
      <c r="AF615" s="268"/>
      <c r="AG615" s="290"/>
    </row>
    <row r="616" spans="1:33" s="259" customFormat="1" ht="15" customHeight="1" x14ac:dyDescent="0.15">
      <c r="A616" s="267">
        <v>95301105</v>
      </c>
      <c r="B616" t="s">
        <v>6682</v>
      </c>
      <c r="C616" s="268" t="s">
        <v>6316</v>
      </c>
      <c r="D616" s="268">
        <v>6901</v>
      </c>
      <c r="E616" s="268" t="s">
        <v>4876</v>
      </c>
      <c r="F616" s="268" t="s">
        <v>4877</v>
      </c>
      <c r="G616" s="269">
        <v>5</v>
      </c>
      <c r="H616" s="269">
        <v>0</v>
      </c>
      <c r="I616" s="267">
        <v>34</v>
      </c>
      <c r="J616" s="282" t="s">
        <v>5372</v>
      </c>
      <c r="K616" s="279" t="s">
        <v>5373</v>
      </c>
      <c r="L616" s="279"/>
      <c r="M616" s="268">
        <v>1</v>
      </c>
      <c r="N616" s="268" t="b">
        <v>1</v>
      </c>
      <c r="O616" s="268">
        <v>12</v>
      </c>
      <c r="P616" s="281">
        <v>180</v>
      </c>
      <c r="Q616" s="281">
        <v>240</v>
      </c>
      <c r="R616" s="268" t="s">
        <v>3383</v>
      </c>
      <c r="S616" s="268"/>
      <c r="T616" s="268">
        <v>1</v>
      </c>
      <c r="U616" s="268" t="s">
        <v>4880</v>
      </c>
      <c r="V616" s="269">
        <v>5</v>
      </c>
      <c r="W616" s="269"/>
      <c r="X616" s="268" t="s">
        <v>4881</v>
      </c>
      <c r="Y616" t="s">
        <v>6681</v>
      </c>
      <c r="Z616" t="s">
        <v>6683</v>
      </c>
      <c r="AA616" s="268" t="s">
        <v>4884</v>
      </c>
      <c r="AB616" s="268"/>
      <c r="AC616" s="287">
        <v>1</v>
      </c>
      <c r="AD616" s="287">
        <v>1</v>
      </c>
      <c r="AE616" s="268"/>
      <c r="AF616" s="268"/>
      <c r="AG616" s="290"/>
    </row>
    <row r="617" spans="1:33" s="259" customFormat="1" ht="15" customHeight="1" x14ac:dyDescent="0.15">
      <c r="A617" s="270">
        <v>95301106</v>
      </c>
      <c r="B617" t="s">
        <v>6682</v>
      </c>
      <c r="C617" s="268" t="s">
        <v>6316</v>
      </c>
      <c r="D617" s="268">
        <v>6901</v>
      </c>
      <c r="E617" s="268" t="s">
        <v>4876</v>
      </c>
      <c r="F617" s="268" t="s">
        <v>4877</v>
      </c>
      <c r="G617" s="269">
        <v>6</v>
      </c>
      <c r="H617" s="269">
        <v>0</v>
      </c>
      <c r="I617" s="267">
        <v>34</v>
      </c>
      <c r="J617" s="282" t="s">
        <v>5372</v>
      </c>
      <c r="K617" s="279" t="s">
        <v>5373</v>
      </c>
      <c r="L617" s="279"/>
      <c r="M617" s="268">
        <v>1</v>
      </c>
      <c r="N617" s="268" t="b">
        <v>1</v>
      </c>
      <c r="O617" s="268">
        <v>25</v>
      </c>
      <c r="P617" s="281">
        <v>375</v>
      </c>
      <c r="Q617" s="281">
        <v>500</v>
      </c>
      <c r="R617" s="268" t="s">
        <v>3383</v>
      </c>
      <c r="S617" s="268"/>
      <c r="T617" s="268">
        <v>1</v>
      </c>
      <c r="U617" s="268" t="s">
        <v>4880</v>
      </c>
      <c r="V617" s="269">
        <v>6</v>
      </c>
      <c r="W617" s="269"/>
      <c r="X617" s="268" t="s">
        <v>4881</v>
      </c>
      <c r="Y617" t="s">
        <v>6681</v>
      </c>
      <c r="Z617" t="s">
        <v>6683</v>
      </c>
      <c r="AA617" s="268" t="s">
        <v>4884</v>
      </c>
      <c r="AB617" s="268"/>
      <c r="AC617" s="287">
        <v>1</v>
      </c>
      <c r="AD617" s="287">
        <v>1</v>
      </c>
      <c r="AE617" s="268"/>
      <c r="AF617" s="268"/>
      <c r="AG617" s="290"/>
    </row>
    <row r="618" spans="1:33" s="259" customFormat="1" ht="15" customHeight="1" x14ac:dyDescent="0.15">
      <c r="A618" s="270">
        <v>95301107</v>
      </c>
      <c r="B618" t="s">
        <v>6682</v>
      </c>
      <c r="C618" s="268" t="s">
        <v>6316</v>
      </c>
      <c r="D618" s="268">
        <v>6901</v>
      </c>
      <c r="E618" s="268" t="s">
        <v>4876</v>
      </c>
      <c r="F618" s="268" t="s">
        <v>4877</v>
      </c>
      <c r="G618" s="269">
        <v>7</v>
      </c>
      <c r="H618" s="269">
        <v>0</v>
      </c>
      <c r="I618" s="267">
        <v>34</v>
      </c>
      <c r="J618" s="282" t="s">
        <v>5372</v>
      </c>
      <c r="K618" s="279" t="s">
        <v>5373</v>
      </c>
      <c r="L618" s="279"/>
      <c r="M618" s="268">
        <v>1</v>
      </c>
      <c r="N618" s="268" t="b">
        <v>1</v>
      </c>
      <c r="O618" s="268">
        <v>38</v>
      </c>
      <c r="P618" s="281">
        <v>570</v>
      </c>
      <c r="Q618" s="281">
        <v>760</v>
      </c>
      <c r="R618" s="268" t="s">
        <v>3383</v>
      </c>
      <c r="S618" s="268"/>
      <c r="T618" s="268">
        <v>1</v>
      </c>
      <c r="U618" s="268" t="s">
        <v>4880</v>
      </c>
      <c r="V618" s="269">
        <v>7</v>
      </c>
      <c r="W618" s="269"/>
      <c r="X618" s="268" t="s">
        <v>4881</v>
      </c>
      <c r="Y618" t="s">
        <v>6681</v>
      </c>
      <c r="Z618" t="s">
        <v>6683</v>
      </c>
      <c r="AA618" s="268" t="s">
        <v>4884</v>
      </c>
      <c r="AB618" s="268"/>
      <c r="AC618" s="287">
        <v>1</v>
      </c>
      <c r="AD618" s="287">
        <v>1</v>
      </c>
      <c r="AE618" s="268"/>
      <c r="AF618" s="268"/>
      <c r="AG618" s="290"/>
    </row>
    <row r="619" spans="1:33" s="259" customFormat="1" ht="15" customHeight="1" x14ac:dyDescent="0.15">
      <c r="A619" s="271">
        <v>95301108</v>
      </c>
      <c r="B619" t="s">
        <v>6684</v>
      </c>
      <c r="C619" s="268" t="s">
        <v>6316</v>
      </c>
      <c r="D619" s="272">
        <v>5081</v>
      </c>
      <c r="E619" s="272" t="s">
        <v>4876</v>
      </c>
      <c r="F619" s="272" t="s">
        <v>4877</v>
      </c>
      <c r="G619" s="269">
        <v>6</v>
      </c>
      <c r="H619" s="273">
        <v>0</v>
      </c>
      <c r="I619" s="283">
        <v>34</v>
      </c>
      <c r="J619" s="284" t="s">
        <v>5372</v>
      </c>
      <c r="K619" s="285" t="s">
        <v>5373</v>
      </c>
      <c r="L619" s="272" t="s">
        <v>44</v>
      </c>
      <c r="M619" s="272">
        <v>1</v>
      </c>
      <c r="N619" s="272" t="b">
        <v>1</v>
      </c>
      <c r="O619" s="272">
        <v>51</v>
      </c>
      <c r="P619" s="281">
        <v>765</v>
      </c>
      <c r="Q619" s="281">
        <v>1020</v>
      </c>
      <c r="R619" s="272" t="s">
        <v>3383</v>
      </c>
      <c r="S619" s="272"/>
      <c r="T619" s="272">
        <v>1</v>
      </c>
      <c r="U619" s="272" t="s">
        <v>4880</v>
      </c>
      <c r="V619" s="273">
        <v>10</v>
      </c>
      <c r="W619" s="273"/>
      <c r="X619" s="272" t="s">
        <v>4881</v>
      </c>
      <c r="Y619" t="s">
        <v>6681</v>
      </c>
      <c r="Z619" t="s">
        <v>6683</v>
      </c>
      <c r="AA619" s="272" t="s">
        <v>4884</v>
      </c>
      <c r="AB619" s="272"/>
      <c r="AC619" s="289">
        <v>1</v>
      </c>
      <c r="AD619" s="289">
        <v>1</v>
      </c>
      <c r="AE619" s="289"/>
      <c r="AF619" s="272"/>
      <c r="AG619" s="272"/>
    </row>
    <row r="620" spans="1:33" s="259" customFormat="1" ht="15" customHeight="1" x14ac:dyDescent="0.15">
      <c r="A620" s="271">
        <v>95301109</v>
      </c>
      <c r="B620" t="s">
        <v>6685</v>
      </c>
      <c r="C620" s="268" t="s">
        <v>6316</v>
      </c>
      <c r="D620" s="272">
        <v>5081</v>
      </c>
      <c r="E620" s="272" t="s">
        <v>4876</v>
      </c>
      <c r="F620" s="272" t="s">
        <v>4877</v>
      </c>
      <c r="G620" s="269">
        <v>6</v>
      </c>
      <c r="H620" s="273">
        <v>0</v>
      </c>
      <c r="I620" s="283">
        <v>34</v>
      </c>
      <c r="J620" s="284" t="s">
        <v>5372</v>
      </c>
      <c r="K620" s="285" t="s">
        <v>5373</v>
      </c>
      <c r="L620" s="272" t="s">
        <v>4887</v>
      </c>
      <c r="M620" s="272">
        <v>1</v>
      </c>
      <c r="N620" s="272" t="b">
        <v>1</v>
      </c>
      <c r="O620" s="272">
        <v>64</v>
      </c>
      <c r="P620" s="281">
        <v>960</v>
      </c>
      <c r="Q620" s="281">
        <v>1280</v>
      </c>
      <c r="R620" s="272" t="s">
        <v>3383</v>
      </c>
      <c r="S620" s="272"/>
      <c r="T620" s="272">
        <v>1</v>
      </c>
      <c r="U620" s="272" t="s">
        <v>4880</v>
      </c>
      <c r="V620" s="273">
        <v>10</v>
      </c>
      <c r="W620" s="273"/>
      <c r="X620" s="272" t="s">
        <v>4881</v>
      </c>
      <c r="Y620" t="s">
        <v>6681</v>
      </c>
      <c r="Z620" t="s">
        <v>6683</v>
      </c>
      <c r="AA620" s="272" t="s">
        <v>4884</v>
      </c>
      <c r="AB620" s="272"/>
      <c r="AC620" s="289">
        <v>1</v>
      </c>
      <c r="AD620" s="289">
        <v>1</v>
      </c>
      <c r="AE620" s="289"/>
      <c r="AF620" s="272"/>
      <c r="AG620" s="272"/>
    </row>
    <row r="621" spans="1:33" s="259" customFormat="1" ht="15" customHeight="1" x14ac:dyDescent="0.15">
      <c r="A621" s="271">
        <v>95301110</v>
      </c>
      <c r="B621" t="s">
        <v>6686</v>
      </c>
      <c r="C621" s="268" t="s">
        <v>6316</v>
      </c>
      <c r="D621" s="272">
        <v>5081</v>
      </c>
      <c r="E621" s="272" t="s">
        <v>4876</v>
      </c>
      <c r="F621" s="272" t="s">
        <v>4877</v>
      </c>
      <c r="G621" s="269">
        <v>7</v>
      </c>
      <c r="H621" s="273">
        <v>0</v>
      </c>
      <c r="I621" s="283">
        <v>34</v>
      </c>
      <c r="J621" s="284" t="s">
        <v>5372</v>
      </c>
      <c r="K621" s="285" t="s">
        <v>5373</v>
      </c>
      <c r="L621" s="272" t="s">
        <v>4889</v>
      </c>
      <c r="M621" s="272">
        <v>1</v>
      </c>
      <c r="N621" s="272" t="b">
        <v>1</v>
      </c>
      <c r="O621" s="272">
        <v>77</v>
      </c>
      <c r="P621" s="281">
        <v>1155</v>
      </c>
      <c r="Q621" s="281">
        <v>1540</v>
      </c>
      <c r="R621" s="272" t="s">
        <v>3383</v>
      </c>
      <c r="S621" s="272"/>
      <c r="T621" s="272">
        <v>1</v>
      </c>
      <c r="U621" s="272" t="s">
        <v>4880</v>
      </c>
      <c r="V621" s="273">
        <v>10</v>
      </c>
      <c r="W621" s="273"/>
      <c r="X621" s="272" t="s">
        <v>4881</v>
      </c>
      <c r="Y621" t="s">
        <v>6687</v>
      </c>
      <c r="Z621" t="s">
        <v>6683</v>
      </c>
      <c r="AA621" s="272" t="s">
        <v>4884</v>
      </c>
      <c r="AB621" s="272"/>
      <c r="AC621" s="289">
        <v>1</v>
      </c>
      <c r="AD621" s="289">
        <v>1</v>
      </c>
      <c r="AE621" s="289"/>
      <c r="AF621" s="272"/>
      <c r="AG621" s="272"/>
    </row>
    <row r="622" spans="1:33" s="259" customFormat="1" ht="15" customHeight="1" x14ac:dyDescent="0.15">
      <c r="A622" s="267">
        <v>95301111</v>
      </c>
      <c r="B622" t="s">
        <v>6688</v>
      </c>
      <c r="C622" s="268" t="s">
        <v>6316</v>
      </c>
      <c r="D622" s="268">
        <v>6901</v>
      </c>
      <c r="E622" s="268" t="s">
        <v>4876</v>
      </c>
      <c r="F622" s="268" t="s">
        <v>4877</v>
      </c>
      <c r="G622" s="269">
        <v>1</v>
      </c>
      <c r="H622" s="269">
        <v>0</v>
      </c>
      <c r="I622" s="267">
        <v>34</v>
      </c>
      <c r="J622" s="282" t="s">
        <v>5380</v>
      </c>
      <c r="K622" s="279" t="s">
        <v>5381</v>
      </c>
      <c r="L622" s="279"/>
      <c r="M622" s="268">
        <v>1</v>
      </c>
      <c r="N622" s="268" t="b">
        <v>1</v>
      </c>
      <c r="O622" s="268">
        <v>200</v>
      </c>
      <c r="P622" s="281">
        <v>3000</v>
      </c>
      <c r="Q622" s="281">
        <v>4000</v>
      </c>
      <c r="R622" s="268" t="s">
        <v>3383</v>
      </c>
      <c r="S622" s="268"/>
      <c r="T622" s="268">
        <v>1</v>
      </c>
      <c r="U622" s="268" t="s">
        <v>4880</v>
      </c>
      <c r="V622" s="269">
        <v>1</v>
      </c>
      <c r="W622" s="269"/>
      <c r="X622" s="268" t="s">
        <v>4881</v>
      </c>
      <c r="Y622" t="s">
        <v>6687</v>
      </c>
      <c r="Z622" t="s">
        <v>6689</v>
      </c>
      <c r="AA622" s="268" t="s">
        <v>4884</v>
      </c>
      <c r="AB622" s="268"/>
      <c r="AC622" s="287">
        <v>1</v>
      </c>
      <c r="AD622" s="287">
        <v>1</v>
      </c>
      <c r="AE622" s="268"/>
      <c r="AF622" s="268"/>
      <c r="AG622" s="290"/>
    </row>
    <row r="623" spans="1:33" s="259" customFormat="1" ht="15" customHeight="1" x14ac:dyDescent="0.15">
      <c r="A623" s="267">
        <v>95301112</v>
      </c>
      <c r="B623" t="s">
        <v>6688</v>
      </c>
      <c r="C623" s="268" t="s">
        <v>6316</v>
      </c>
      <c r="D623" s="268">
        <v>6901</v>
      </c>
      <c r="E623" s="268" t="s">
        <v>4876</v>
      </c>
      <c r="F623" s="268" t="s">
        <v>4877</v>
      </c>
      <c r="G623" s="269">
        <v>2</v>
      </c>
      <c r="H623" s="269">
        <v>0</v>
      </c>
      <c r="I623" s="267">
        <v>34</v>
      </c>
      <c r="J623" s="282" t="s">
        <v>5380</v>
      </c>
      <c r="K623" s="279" t="s">
        <v>5381</v>
      </c>
      <c r="L623" s="279"/>
      <c r="M623" s="268">
        <v>1</v>
      </c>
      <c r="N623" s="268" t="b">
        <v>1</v>
      </c>
      <c r="O623" s="268">
        <v>500</v>
      </c>
      <c r="P623" s="281">
        <v>7500</v>
      </c>
      <c r="Q623" s="281">
        <v>10000</v>
      </c>
      <c r="R623" s="268" t="s">
        <v>3383</v>
      </c>
      <c r="S623" s="268"/>
      <c r="T623" s="268">
        <v>1</v>
      </c>
      <c r="U623" s="268" t="s">
        <v>4880</v>
      </c>
      <c r="V623" s="269">
        <v>2</v>
      </c>
      <c r="W623" s="269"/>
      <c r="X623" s="268" t="s">
        <v>4881</v>
      </c>
      <c r="Y623" t="s">
        <v>6687</v>
      </c>
      <c r="Z623" t="s">
        <v>6689</v>
      </c>
      <c r="AA623" s="268" t="s">
        <v>4884</v>
      </c>
      <c r="AB623" s="268"/>
      <c r="AC623" s="287">
        <v>1</v>
      </c>
      <c r="AD623" s="287">
        <v>1</v>
      </c>
      <c r="AE623" s="268"/>
      <c r="AF623" s="268"/>
      <c r="AG623" s="290"/>
    </row>
    <row r="624" spans="1:33" s="259" customFormat="1" ht="15" customHeight="1" x14ac:dyDescent="0.15">
      <c r="A624" s="267">
        <v>95301113</v>
      </c>
      <c r="B624" t="s">
        <v>6688</v>
      </c>
      <c r="C624" s="268" t="s">
        <v>6316</v>
      </c>
      <c r="D624" s="268">
        <v>6901</v>
      </c>
      <c r="E624" s="268" t="s">
        <v>4876</v>
      </c>
      <c r="F624" s="268" t="s">
        <v>4877</v>
      </c>
      <c r="G624" s="269">
        <v>3</v>
      </c>
      <c r="H624" s="269">
        <v>0</v>
      </c>
      <c r="I624" s="267">
        <v>34</v>
      </c>
      <c r="J624" s="282" t="s">
        <v>5380</v>
      </c>
      <c r="K624" s="279" t="s">
        <v>5381</v>
      </c>
      <c r="L624" s="279"/>
      <c r="M624" s="268">
        <v>1</v>
      </c>
      <c r="N624" s="268" t="b">
        <v>1</v>
      </c>
      <c r="O624" s="268">
        <v>700</v>
      </c>
      <c r="P624" s="281">
        <v>10500</v>
      </c>
      <c r="Q624" s="281">
        <v>14000</v>
      </c>
      <c r="R624" s="268" t="s">
        <v>3383</v>
      </c>
      <c r="S624" s="268"/>
      <c r="T624" s="268">
        <v>1</v>
      </c>
      <c r="U624" s="268" t="s">
        <v>4880</v>
      </c>
      <c r="V624" s="269">
        <v>3</v>
      </c>
      <c r="W624" s="269"/>
      <c r="X624" s="268" t="s">
        <v>4881</v>
      </c>
      <c r="Y624" t="s">
        <v>6687</v>
      </c>
      <c r="Z624" t="s">
        <v>6689</v>
      </c>
      <c r="AA624" s="268" t="s">
        <v>4884</v>
      </c>
      <c r="AB624" s="268"/>
      <c r="AC624" s="287">
        <v>1</v>
      </c>
      <c r="AD624" s="287">
        <v>1</v>
      </c>
      <c r="AE624" s="268"/>
      <c r="AF624" s="268"/>
      <c r="AG624" s="290"/>
    </row>
    <row r="625" spans="1:33" s="259" customFormat="1" ht="15" customHeight="1" x14ac:dyDescent="0.15">
      <c r="A625" s="267">
        <v>95301114</v>
      </c>
      <c r="B625" t="s">
        <v>6688</v>
      </c>
      <c r="C625" s="268" t="s">
        <v>6316</v>
      </c>
      <c r="D625" s="268">
        <v>6901</v>
      </c>
      <c r="E625" s="268" t="s">
        <v>4876</v>
      </c>
      <c r="F625" s="268" t="s">
        <v>4877</v>
      </c>
      <c r="G625" s="269">
        <v>4</v>
      </c>
      <c r="H625" s="269">
        <v>0</v>
      </c>
      <c r="I625" s="267">
        <v>34</v>
      </c>
      <c r="J625" s="282" t="s">
        <v>5380</v>
      </c>
      <c r="K625" s="279" t="s">
        <v>5381</v>
      </c>
      <c r="L625" s="279"/>
      <c r="M625" s="268">
        <v>1</v>
      </c>
      <c r="N625" s="268" t="b">
        <v>1</v>
      </c>
      <c r="O625" s="268">
        <v>1000</v>
      </c>
      <c r="P625" s="281">
        <v>15000</v>
      </c>
      <c r="Q625" s="281">
        <v>20000</v>
      </c>
      <c r="R625" s="268" t="s">
        <v>3383</v>
      </c>
      <c r="S625" s="268"/>
      <c r="T625" s="268">
        <v>1</v>
      </c>
      <c r="U625" s="268" t="s">
        <v>4880</v>
      </c>
      <c r="V625" s="269">
        <v>4</v>
      </c>
      <c r="W625" s="269"/>
      <c r="X625" s="268" t="s">
        <v>4881</v>
      </c>
      <c r="Y625" t="s">
        <v>6687</v>
      </c>
      <c r="Z625" t="s">
        <v>6689</v>
      </c>
      <c r="AA625" s="268" t="s">
        <v>4884</v>
      </c>
      <c r="AB625" s="268"/>
      <c r="AC625" s="287">
        <v>1</v>
      </c>
      <c r="AD625" s="287">
        <v>1</v>
      </c>
      <c r="AE625" s="268"/>
      <c r="AF625" s="268"/>
      <c r="AG625" s="290"/>
    </row>
    <row r="626" spans="1:33" s="259" customFormat="1" ht="15" customHeight="1" x14ac:dyDescent="0.15">
      <c r="A626" s="267">
        <v>95301115</v>
      </c>
      <c r="B626" t="s">
        <v>6688</v>
      </c>
      <c r="C626" s="268" t="s">
        <v>6316</v>
      </c>
      <c r="D626" s="268">
        <v>6901</v>
      </c>
      <c r="E626" s="268" t="s">
        <v>4876</v>
      </c>
      <c r="F626" s="268" t="s">
        <v>4877</v>
      </c>
      <c r="G626" s="269">
        <v>5</v>
      </c>
      <c r="H626" s="269">
        <v>0</v>
      </c>
      <c r="I626" s="267">
        <v>34</v>
      </c>
      <c r="J626" s="282" t="s">
        <v>5380</v>
      </c>
      <c r="K626" s="279" t="s">
        <v>5381</v>
      </c>
      <c r="L626" s="279"/>
      <c r="M626" s="268">
        <v>1</v>
      </c>
      <c r="N626" s="268" t="b">
        <v>1</v>
      </c>
      <c r="O626" s="268">
        <v>1200</v>
      </c>
      <c r="P626" s="281">
        <v>18000</v>
      </c>
      <c r="Q626" s="281">
        <v>24000</v>
      </c>
      <c r="R626" s="268" t="s">
        <v>3383</v>
      </c>
      <c r="S626" s="268"/>
      <c r="T626" s="268">
        <v>1</v>
      </c>
      <c r="U626" s="268" t="s">
        <v>4880</v>
      </c>
      <c r="V626" s="269">
        <v>5</v>
      </c>
      <c r="W626" s="269"/>
      <c r="X626" s="268" t="s">
        <v>4881</v>
      </c>
      <c r="Y626" t="s">
        <v>6687</v>
      </c>
      <c r="Z626" t="s">
        <v>6689</v>
      </c>
      <c r="AA626" s="268" t="s">
        <v>4884</v>
      </c>
      <c r="AB626" s="268"/>
      <c r="AC626" s="287">
        <v>1</v>
      </c>
      <c r="AD626" s="287">
        <v>1</v>
      </c>
      <c r="AE626" s="268"/>
      <c r="AF626" s="268"/>
      <c r="AG626" s="290"/>
    </row>
    <row r="627" spans="1:33" s="259" customFormat="1" ht="15" customHeight="1" x14ac:dyDescent="0.15">
      <c r="A627" s="270">
        <v>95301116</v>
      </c>
      <c r="B627" t="s">
        <v>6688</v>
      </c>
      <c r="C627" s="268" t="s">
        <v>6316</v>
      </c>
      <c r="D627" s="268">
        <v>6901</v>
      </c>
      <c r="E627" s="268" t="s">
        <v>4876</v>
      </c>
      <c r="F627" s="268" t="s">
        <v>4877</v>
      </c>
      <c r="G627" s="269">
        <v>7</v>
      </c>
      <c r="H627" s="269">
        <v>0</v>
      </c>
      <c r="I627" s="267">
        <v>34</v>
      </c>
      <c r="J627" s="282" t="s">
        <v>5380</v>
      </c>
      <c r="K627" s="279" t="s">
        <v>5381</v>
      </c>
      <c r="L627" s="279"/>
      <c r="M627" s="268">
        <v>1</v>
      </c>
      <c r="N627" s="268" t="b">
        <v>1</v>
      </c>
      <c r="O627" s="268">
        <v>2500</v>
      </c>
      <c r="P627" s="281">
        <v>37500</v>
      </c>
      <c r="Q627" s="281">
        <v>50000</v>
      </c>
      <c r="R627" s="268" t="s">
        <v>3383</v>
      </c>
      <c r="S627" s="268"/>
      <c r="T627" s="268">
        <v>1</v>
      </c>
      <c r="U627" s="268" t="s">
        <v>4880</v>
      </c>
      <c r="V627" s="269">
        <v>7</v>
      </c>
      <c r="W627" s="269"/>
      <c r="X627" s="268" t="s">
        <v>4881</v>
      </c>
      <c r="Y627" t="s">
        <v>6687</v>
      </c>
      <c r="Z627" t="s">
        <v>6689</v>
      </c>
      <c r="AA627" s="268" t="s">
        <v>4884</v>
      </c>
      <c r="AB627" s="268"/>
      <c r="AC627" s="287">
        <v>1</v>
      </c>
      <c r="AD627" s="287">
        <v>1</v>
      </c>
      <c r="AE627" s="268"/>
      <c r="AF627" s="268"/>
      <c r="AG627" s="290"/>
    </row>
    <row r="628" spans="1:33" s="259" customFormat="1" ht="15" customHeight="1" x14ac:dyDescent="0.15">
      <c r="A628" s="270">
        <v>95301117</v>
      </c>
      <c r="B628" t="s">
        <v>6688</v>
      </c>
      <c r="C628" s="268" t="s">
        <v>6316</v>
      </c>
      <c r="D628" s="268">
        <v>6901</v>
      </c>
      <c r="E628" s="268" t="s">
        <v>4876</v>
      </c>
      <c r="F628" s="268" t="s">
        <v>4877</v>
      </c>
      <c r="G628" s="269">
        <v>6</v>
      </c>
      <c r="H628" s="269">
        <v>0</v>
      </c>
      <c r="I628" s="267">
        <v>34</v>
      </c>
      <c r="J628" s="282" t="s">
        <v>5380</v>
      </c>
      <c r="K628" s="279" t="s">
        <v>5381</v>
      </c>
      <c r="L628" s="279"/>
      <c r="M628" s="268">
        <v>1</v>
      </c>
      <c r="N628" s="268" t="b">
        <v>1</v>
      </c>
      <c r="O628" s="268">
        <v>3800</v>
      </c>
      <c r="P628" s="281">
        <v>57000</v>
      </c>
      <c r="Q628" s="281">
        <v>76000</v>
      </c>
      <c r="R628" s="268" t="s">
        <v>3383</v>
      </c>
      <c r="S628" s="268"/>
      <c r="T628" s="268">
        <v>1</v>
      </c>
      <c r="U628" s="268" t="s">
        <v>4880</v>
      </c>
      <c r="V628" s="269">
        <v>6</v>
      </c>
      <c r="W628" s="269"/>
      <c r="X628" s="268" t="s">
        <v>4881</v>
      </c>
      <c r="Y628" t="s">
        <v>6687</v>
      </c>
      <c r="Z628" t="s">
        <v>6689</v>
      </c>
      <c r="AA628" s="268" t="s">
        <v>4884</v>
      </c>
      <c r="AB628" s="268"/>
      <c r="AC628" s="287">
        <v>1</v>
      </c>
      <c r="AD628" s="287">
        <v>1</v>
      </c>
      <c r="AE628" s="268"/>
      <c r="AF628" s="268"/>
      <c r="AG628" s="290"/>
    </row>
    <row r="629" spans="1:33" s="259" customFormat="1" ht="15" customHeight="1" x14ac:dyDescent="0.15">
      <c r="A629" s="271">
        <v>95301118</v>
      </c>
      <c r="B629" t="s">
        <v>6690</v>
      </c>
      <c r="C629" s="268" t="s">
        <v>6316</v>
      </c>
      <c r="D629" s="272">
        <v>5081</v>
      </c>
      <c r="E629" s="272" t="s">
        <v>4876</v>
      </c>
      <c r="F629" s="272" t="s">
        <v>4877</v>
      </c>
      <c r="G629" s="269">
        <v>6</v>
      </c>
      <c r="H629" s="273">
        <v>0</v>
      </c>
      <c r="I629" s="283">
        <v>34</v>
      </c>
      <c r="J629" s="284" t="s">
        <v>5380</v>
      </c>
      <c r="K629" s="285" t="s">
        <v>5381</v>
      </c>
      <c r="L629" s="272" t="s">
        <v>44</v>
      </c>
      <c r="M629" s="272">
        <v>1</v>
      </c>
      <c r="N629" s="272" t="b">
        <v>1</v>
      </c>
      <c r="O629" s="272">
        <v>51</v>
      </c>
      <c r="P629" s="281">
        <v>765</v>
      </c>
      <c r="Q629" s="281">
        <v>1020</v>
      </c>
      <c r="R629" s="272" t="s">
        <v>3383</v>
      </c>
      <c r="S629" s="272"/>
      <c r="T629" s="272">
        <v>1</v>
      </c>
      <c r="U629" s="272" t="s">
        <v>4880</v>
      </c>
      <c r="V629" s="273">
        <v>10</v>
      </c>
      <c r="W629" s="273"/>
      <c r="X629" s="272" t="s">
        <v>4881</v>
      </c>
      <c r="Y629" t="s">
        <v>6687</v>
      </c>
      <c r="Z629" t="s">
        <v>6689</v>
      </c>
      <c r="AA629" s="272" t="s">
        <v>4884</v>
      </c>
      <c r="AB629" s="272"/>
      <c r="AC629" s="289">
        <v>1</v>
      </c>
      <c r="AD629" s="289">
        <v>1</v>
      </c>
      <c r="AE629" s="289"/>
      <c r="AF629" s="272"/>
      <c r="AG629" s="272"/>
    </row>
    <row r="630" spans="1:33" s="259" customFormat="1" ht="15" customHeight="1" x14ac:dyDescent="0.15">
      <c r="A630" s="271">
        <v>95301119</v>
      </c>
      <c r="B630" t="s">
        <v>6691</v>
      </c>
      <c r="C630" s="268" t="s">
        <v>6316</v>
      </c>
      <c r="D630" s="272">
        <v>5081</v>
      </c>
      <c r="E630" s="272" t="s">
        <v>4876</v>
      </c>
      <c r="F630" s="272" t="s">
        <v>4877</v>
      </c>
      <c r="G630" s="269">
        <v>6</v>
      </c>
      <c r="H630" s="273">
        <v>0</v>
      </c>
      <c r="I630" s="283">
        <v>34</v>
      </c>
      <c r="J630" s="284" t="s">
        <v>5380</v>
      </c>
      <c r="K630" s="285" t="s">
        <v>5381</v>
      </c>
      <c r="L630" s="272" t="s">
        <v>4887</v>
      </c>
      <c r="M630" s="272">
        <v>1</v>
      </c>
      <c r="N630" s="272" t="b">
        <v>1</v>
      </c>
      <c r="O630" s="272">
        <v>64</v>
      </c>
      <c r="P630" s="281">
        <v>960</v>
      </c>
      <c r="Q630" s="281">
        <v>1280</v>
      </c>
      <c r="R630" s="272" t="s">
        <v>3383</v>
      </c>
      <c r="S630" s="272"/>
      <c r="T630" s="272">
        <v>1</v>
      </c>
      <c r="U630" s="272" t="s">
        <v>4880</v>
      </c>
      <c r="V630" s="273">
        <v>10</v>
      </c>
      <c r="W630" s="273"/>
      <c r="X630" s="272" t="s">
        <v>4881</v>
      </c>
      <c r="Y630" t="s">
        <v>6687</v>
      </c>
      <c r="Z630" t="s">
        <v>6689</v>
      </c>
      <c r="AA630" s="272" t="s">
        <v>4884</v>
      </c>
      <c r="AB630" s="272"/>
      <c r="AC630" s="289">
        <v>1</v>
      </c>
      <c r="AD630" s="289">
        <v>1</v>
      </c>
      <c r="AE630" s="289"/>
      <c r="AF630" s="272"/>
      <c r="AG630" s="272"/>
    </row>
    <row r="631" spans="1:33" s="259" customFormat="1" ht="15" customHeight="1" x14ac:dyDescent="0.15">
      <c r="A631" s="271">
        <v>95301120</v>
      </c>
      <c r="B631" t="s">
        <v>6692</v>
      </c>
      <c r="C631" s="268" t="s">
        <v>6316</v>
      </c>
      <c r="D631" s="272">
        <v>5081</v>
      </c>
      <c r="E631" s="272" t="s">
        <v>4876</v>
      </c>
      <c r="F631" s="272" t="s">
        <v>4877</v>
      </c>
      <c r="G631" s="269">
        <v>7</v>
      </c>
      <c r="H631" s="273">
        <v>0</v>
      </c>
      <c r="I631" s="283">
        <v>34</v>
      </c>
      <c r="J631" s="284" t="s">
        <v>5380</v>
      </c>
      <c r="K631" s="285" t="s">
        <v>5381</v>
      </c>
      <c r="L631" s="272" t="s">
        <v>4889</v>
      </c>
      <c r="M631" s="272">
        <v>1</v>
      </c>
      <c r="N631" s="272" t="b">
        <v>1</v>
      </c>
      <c r="O631" s="272">
        <v>77</v>
      </c>
      <c r="P631" s="281">
        <v>1155</v>
      </c>
      <c r="Q631" s="281">
        <v>1540</v>
      </c>
      <c r="R631" s="272" t="s">
        <v>3383</v>
      </c>
      <c r="S631" s="272"/>
      <c r="T631" s="272">
        <v>1</v>
      </c>
      <c r="U631" s="272" t="s">
        <v>4880</v>
      </c>
      <c r="V631" s="273">
        <v>10</v>
      </c>
      <c r="W631" s="273"/>
      <c r="X631" s="272" t="s">
        <v>4881</v>
      </c>
      <c r="Y631" t="s">
        <v>6693</v>
      </c>
      <c r="Z631" t="s">
        <v>6689</v>
      </c>
      <c r="AA631" s="272" t="s">
        <v>4884</v>
      </c>
      <c r="AB631" s="272"/>
      <c r="AC631" s="289">
        <v>1</v>
      </c>
      <c r="AD631" s="289">
        <v>1</v>
      </c>
      <c r="AE631" s="289"/>
      <c r="AF631" s="272"/>
      <c r="AG631" s="272"/>
    </row>
    <row r="632" spans="1:33" s="259" customFormat="1" ht="15" customHeight="1" x14ac:dyDescent="0.15">
      <c r="A632" s="267">
        <v>95301121</v>
      </c>
      <c r="B632" t="s">
        <v>6694</v>
      </c>
      <c r="C632" s="268" t="s">
        <v>6316</v>
      </c>
      <c r="D632" s="268">
        <v>6901</v>
      </c>
      <c r="E632" s="268" t="s">
        <v>4876</v>
      </c>
      <c r="F632" s="268" t="s">
        <v>4877</v>
      </c>
      <c r="G632" s="269">
        <v>1</v>
      </c>
      <c r="H632" s="269">
        <v>0</v>
      </c>
      <c r="I632" s="267">
        <v>34</v>
      </c>
      <c r="J632" s="282" t="s">
        <v>5388</v>
      </c>
      <c r="K632" s="279" t="s">
        <v>5389</v>
      </c>
      <c r="L632" s="279"/>
      <c r="M632" s="268">
        <v>1</v>
      </c>
      <c r="N632" s="268" t="b">
        <v>1</v>
      </c>
      <c r="O632" s="268">
        <v>2</v>
      </c>
      <c r="P632" s="281">
        <v>30</v>
      </c>
      <c r="Q632" s="281">
        <v>40</v>
      </c>
      <c r="R632" s="268" t="s">
        <v>3383</v>
      </c>
      <c r="S632" s="268"/>
      <c r="T632" s="268">
        <v>1</v>
      </c>
      <c r="U632" s="268" t="s">
        <v>4880</v>
      </c>
      <c r="V632" s="269">
        <v>1</v>
      </c>
      <c r="W632" s="269"/>
      <c r="X632" s="268" t="s">
        <v>4881</v>
      </c>
      <c r="Y632" t="s">
        <v>6693</v>
      </c>
      <c r="Z632" t="s">
        <v>6695</v>
      </c>
      <c r="AA632" s="268" t="s">
        <v>4884</v>
      </c>
      <c r="AB632" s="268"/>
      <c r="AC632" s="287">
        <v>1</v>
      </c>
      <c r="AD632" s="287">
        <v>1</v>
      </c>
      <c r="AE632" s="268"/>
      <c r="AF632" s="268"/>
      <c r="AG632" s="290"/>
    </row>
    <row r="633" spans="1:33" s="259" customFormat="1" ht="15" customHeight="1" x14ac:dyDescent="0.15">
      <c r="A633" s="267">
        <v>95301122</v>
      </c>
      <c r="B633" t="s">
        <v>6694</v>
      </c>
      <c r="C633" s="268" t="s">
        <v>6316</v>
      </c>
      <c r="D633" s="268">
        <v>6901</v>
      </c>
      <c r="E633" s="268" t="s">
        <v>4876</v>
      </c>
      <c r="F633" s="268" t="s">
        <v>4877</v>
      </c>
      <c r="G633" s="269">
        <v>2</v>
      </c>
      <c r="H633" s="269">
        <v>0</v>
      </c>
      <c r="I633" s="267">
        <v>34</v>
      </c>
      <c r="J633" s="282" t="s">
        <v>5388</v>
      </c>
      <c r="K633" s="279" t="s">
        <v>5389</v>
      </c>
      <c r="L633" s="279"/>
      <c r="M633" s="268">
        <v>1</v>
      </c>
      <c r="N633" s="268" t="b">
        <v>1</v>
      </c>
      <c r="O633" s="268">
        <v>5</v>
      </c>
      <c r="P633" s="281">
        <v>75</v>
      </c>
      <c r="Q633" s="281">
        <v>100</v>
      </c>
      <c r="R633" s="268" t="s">
        <v>3383</v>
      </c>
      <c r="S633" s="268"/>
      <c r="T633" s="268">
        <v>1</v>
      </c>
      <c r="U633" s="268" t="s">
        <v>4880</v>
      </c>
      <c r="V633" s="269">
        <v>2</v>
      </c>
      <c r="W633" s="269"/>
      <c r="X633" s="268" t="s">
        <v>4881</v>
      </c>
      <c r="Y633" t="s">
        <v>6693</v>
      </c>
      <c r="Z633" t="s">
        <v>6695</v>
      </c>
      <c r="AA633" s="268" t="s">
        <v>4884</v>
      </c>
      <c r="AB633" s="268"/>
      <c r="AC633" s="287">
        <v>1</v>
      </c>
      <c r="AD633" s="287">
        <v>1</v>
      </c>
      <c r="AE633" s="268"/>
      <c r="AF633" s="268"/>
      <c r="AG633" s="290"/>
    </row>
    <row r="634" spans="1:33" s="259" customFormat="1" ht="15" customHeight="1" x14ac:dyDescent="0.15">
      <c r="A634" s="267">
        <v>95301123</v>
      </c>
      <c r="B634" t="s">
        <v>6694</v>
      </c>
      <c r="C634" s="268" t="s">
        <v>6316</v>
      </c>
      <c r="D634" s="268">
        <v>6901</v>
      </c>
      <c r="E634" s="268" t="s">
        <v>4876</v>
      </c>
      <c r="F634" s="268" t="s">
        <v>4877</v>
      </c>
      <c r="G634" s="269">
        <v>3</v>
      </c>
      <c r="H634" s="269">
        <v>0</v>
      </c>
      <c r="I634" s="267">
        <v>34</v>
      </c>
      <c r="J634" s="282" t="s">
        <v>5388</v>
      </c>
      <c r="K634" s="279" t="s">
        <v>5389</v>
      </c>
      <c r="L634" s="279"/>
      <c r="M634" s="268">
        <v>1</v>
      </c>
      <c r="N634" s="268" t="b">
        <v>1</v>
      </c>
      <c r="O634" s="268">
        <v>7</v>
      </c>
      <c r="P634" s="281">
        <v>105</v>
      </c>
      <c r="Q634" s="281">
        <v>140</v>
      </c>
      <c r="R634" s="268" t="s">
        <v>3383</v>
      </c>
      <c r="S634" s="268"/>
      <c r="T634" s="268">
        <v>1</v>
      </c>
      <c r="U634" s="268" t="s">
        <v>4880</v>
      </c>
      <c r="V634" s="269">
        <v>3</v>
      </c>
      <c r="W634" s="269"/>
      <c r="X634" s="268" t="s">
        <v>4881</v>
      </c>
      <c r="Y634" t="s">
        <v>6693</v>
      </c>
      <c r="Z634" t="s">
        <v>6695</v>
      </c>
      <c r="AA634" s="268" t="s">
        <v>4884</v>
      </c>
      <c r="AB634" s="268"/>
      <c r="AC634" s="287">
        <v>1</v>
      </c>
      <c r="AD634" s="287">
        <v>1</v>
      </c>
      <c r="AE634" s="268"/>
      <c r="AF634" s="268"/>
      <c r="AG634" s="290"/>
    </row>
    <row r="635" spans="1:33" s="259" customFormat="1" ht="15" customHeight="1" x14ac:dyDescent="0.15">
      <c r="A635" s="267">
        <v>95301124</v>
      </c>
      <c r="B635" t="s">
        <v>6694</v>
      </c>
      <c r="C635" s="268" t="s">
        <v>6316</v>
      </c>
      <c r="D635" s="268">
        <v>6901</v>
      </c>
      <c r="E635" s="268" t="s">
        <v>4876</v>
      </c>
      <c r="F635" s="268" t="s">
        <v>4877</v>
      </c>
      <c r="G635" s="269">
        <v>4</v>
      </c>
      <c r="H635" s="269">
        <v>0</v>
      </c>
      <c r="I635" s="267">
        <v>34</v>
      </c>
      <c r="J635" s="282" t="s">
        <v>5388</v>
      </c>
      <c r="K635" s="279" t="s">
        <v>5389</v>
      </c>
      <c r="L635" s="279"/>
      <c r="M635" s="268">
        <v>1</v>
      </c>
      <c r="N635" s="268" t="b">
        <v>1</v>
      </c>
      <c r="O635" s="268">
        <v>10</v>
      </c>
      <c r="P635" s="281">
        <v>150</v>
      </c>
      <c r="Q635" s="281">
        <v>200</v>
      </c>
      <c r="R635" s="268" t="s">
        <v>3383</v>
      </c>
      <c r="S635" s="268"/>
      <c r="T635" s="268">
        <v>1</v>
      </c>
      <c r="U635" s="268" t="s">
        <v>4880</v>
      </c>
      <c r="V635" s="269">
        <v>4</v>
      </c>
      <c r="W635" s="269"/>
      <c r="X635" s="268" t="s">
        <v>4881</v>
      </c>
      <c r="Y635" t="s">
        <v>6693</v>
      </c>
      <c r="Z635" t="s">
        <v>6695</v>
      </c>
      <c r="AA635" s="268" t="s">
        <v>4884</v>
      </c>
      <c r="AB635" s="268"/>
      <c r="AC635" s="287">
        <v>1</v>
      </c>
      <c r="AD635" s="287">
        <v>1</v>
      </c>
      <c r="AE635" s="268"/>
      <c r="AF635" s="268"/>
      <c r="AG635" s="290"/>
    </row>
    <row r="636" spans="1:33" s="259" customFormat="1" ht="15" customHeight="1" x14ac:dyDescent="0.15">
      <c r="A636" s="267">
        <v>95301125</v>
      </c>
      <c r="B636" t="s">
        <v>6694</v>
      </c>
      <c r="C636" s="268" t="s">
        <v>6316</v>
      </c>
      <c r="D636" s="268">
        <v>6901</v>
      </c>
      <c r="E636" s="268" t="s">
        <v>4876</v>
      </c>
      <c r="F636" s="268" t="s">
        <v>4877</v>
      </c>
      <c r="G636" s="269">
        <v>5</v>
      </c>
      <c r="H636" s="269">
        <v>0</v>
      </c>
      <c r="I636" s="267">
        <v>34</v>
      </c>
      <c r="J636" s="282" t="s">
        <v>5388</v>
      </c>
      <c r="K636" s="279" t="s">
        <v>5389</v>
      </c>
      <c r="L636" s="279"/>
      <c r="M636" s="268">
        <v>1</v>
      </c>
      <c r="N636" s="268" t="b">
        <v>1</v>
      </c>
      <c r="O636" s="268">
        <v>12</v>
      </c>
      <c r="P636" s="281">
        <v>180</v>
      </c>
      <c r="Q636" s="281">
        <v>240</v>
      </c>
      <c r="R636" s="268" t="s">
        <v>3383</v>
      </c>
      <c r="S636" s="268"/>
      <c r="T636" s="268">
        <v>1</v>
      </c>
      <c r="U636" s="268" t="s">
        <v>4880</v>
      </c>
      <c r="V636" s="269">
        <v>5</v>
      </c>
      <c r="W636" s="269"/>
      <c r="X636" s="268" t="s">
        <v>4881</v>
      </c>
      <c r="Y636" t="s">
        <v>6693</v>
      </c>
      <c r="Z636" t="s">
        <v>6695</v>
      </c>
      <c r="AA636" s="268" t="s">
        <v>4884</v>
      </c>
      <c r="AB636" s="268"/>
      <c r="AC636" s="287">
        <v>1</v>
      </c>
      <c r="AD636" s="287">
        <v>1</v>
      </c>
      <c r="AE636" s="268"/>
      <c r="AF636" s="268"/>
      <c r="AG636" s="290"/>
    </row>
    <row r="637" spans="1:33" s="259" customFormat="1" ht="15" customHeight="1" x14ac:dyDescent="0.15">
      <c r="A637" s="270">
        <v>95301126</v>
      </c>
      <c r="B637" t="s">
        <v>6694</v>
      </c>
      <c r="C637" s="268" t="s">
        <v>6316</v>
      </c>
      <c r="D637" s="268">
        <v>6901</v>
      </c>
      <c r="E637" s="268" t="s">
        <v>4876</v>
      </c>
      <c r="F637" s="268" t="s">
        <v>4877</v>
      </c>
      <c r="G637" s="269">
        <v>6</v>
      </c>
      <c r="H637" s="269">
        <v>0</v>
      </c>
      <c r="I637" s="267">
        <v>34</v>
      </c>
      <c r="J637" s="282" t="s">
        <v>5388</v>
      </c>
      <c r="K637" s="279" t="s">
        <v>5389</v>
      </c>
      <c r="L637" s="279"/>
      <c r="M637" s="268">
        <v>1</v>
      </c>
      <c r="N637" s="268" t="b">
        <v>1</v>
      </c>
      <c r="O637" s="268">
        <v>25</v>
      </c>
      <c r="P637" s="281">
        <v>375</v>
      </c>
      <c r="Q637" s="281">
        <v>500</v>
      </c>
      <c r="R637" s="268" t="s">
        <v>3383</v>
      </c>
      <c r="S637" s="268"/>
      <c r="T637" s="268">
        <v>1</v>
      </c>
      <c r="U637" s="268" t="s">
        <v>4880</v>
      </c>
      <c r="V637" s="269">
        <v>6</v>
      </c>
      <c r="W637" s="269"/>
      <c r="X637" s="268" t="s">
        <v>4881</v>
      </c>
      <c r="Y637" t="s">
        <v>6693</v>
      </c>
      <c r="Z637" t="s">
        <v>6695</v>
      </c>
      <c r="AA637" s="268" t="s">
        <v>4884</v>
      </c>
      <c r="AB637" s="268"/>
      <c r="AC637" s="287">
        <v>1</v>
      </c>
      <c r="AD637" s="287">
        <v>1</v>
      </c>
      <c r="AE637" s="268"/>
      <c r="AF637" s="268"/>
      <c r="AG637" s="290"/>
    </row>
    <row r="638" spans="1:33" s="259" customFormat="1" ht="15" customHeight="1" x14ac:dyDescent="0.15">
      <c r="A638" s="270">
        <v>95301127</v>
      </c>
      <c r="B638" t="s">
        <v>6694</v>
      </c>
      <c r="C638" s="268" t="s">
        <v>6316</v>
      </c>
      <c r="D638" s="268">
        <v>6901</v>
      </c>
      <c r="E638" s="268" t="s">
        <v>4876</v>
      </c>
      <c r="F638" s="268" t="s">
        <v>4877</v>
      </c>
      <c r="G638" s="269">
        <v>7</v>
      </c>
      <c r="H638" s="269">
        <v>0</v>
      </c>
      <c r="I638" s="267">
        <v>34</v>
      </c>
      <c r="J638" s="282" t="s">
        <v>5388</v>
      </c>
      <c r="K638" s="279" t="s">
        <v>5389</v>
      </c>
      <c r="L638" s="279"/>
      <c r="M638" s="268">
        <v>1</v>
      </c>
      <c r="N638" s="268" t="b">
        <v>1</v>
      </c>
      <c r="O638" s="268">
        <v>38</v>
      </c>
      <c r="P638" s="281">
        <v>570</v>
      </c>
      <c r="Q638" s="281">
        <v>760</v>
      </c>
      <c r="R638" s="268" t="s">
        <v>3383</v>
      </c>
      <c r="S638" s="268"/>
      <c r="T638" s="268">
        <v>1</v>
      </c>
      <c r="U638" s="268" t="s">
        <v>4880</v>
      </c>
      <c r="V638" s="269">
        <v>7</v>
      </c>
      <c r="W638" s="269"/>
      <c r="X638" s="268" t="s">
        <v>4881</v>
      </c>
      <c r="Y638" t="s">
        <v>6693</v>
      </c>
      <c r="Z638" t="s">
        <v>6695</v>
      </c>
      <c r="AA638" s="268" t="s">
        <v>4884</v>
      </c>
      <c r="AB638" s="268"/>
      <c r="AC638" s="287">
        <v>1</v>
      </c>
      <c r="AD638" s="287">
        <v>1</v>
      </c>
      <c r="AE638" s="268"/>
      <c r="AF638" s="268"/>
      <c r="AG638" s="290"/>
    </row>
    <row r="639" spans="1:33" s="259" customFormat="1" ht="15" customHeight="1" x14ac:dyDescent="0.15">
      <c r="A639" s="271">
        <v>95301128</v>
      </c>
      <c r="B639" t="s">
        <v>6696</v>
      </c>
      <c r="C639" s="268" t="s">
        <v>6316</v>
      </c>
      <c r="D639" s="272">
        <v>5081</v>
      </c>
      <c r="E639" s="272" t="s">
        <v>4876</v>
      </c>
      <c r="F639" s="272" t="s">
        <v>4877</v>
      </c>
      <c r="G639" s="269">
        <v>6</v>
      </c>
      <c r="H639" s="273">
        <v>0</v>
      </c>
      <c r="I639" s="283">
        <v>34</v>
      </c>
      <c r="J639" s="284" t="s">
        <v>5388</v>
      </c>
      <c r="K639" s="285" t="s">
        <v>5389</v>
      </c>
      <c r="L639" s="272" t="s">
        <v>44</v>
      </c>
      <c r="M639" s="272">
        <v>1</v>
      </c>
      <c r="N639" s="272" t="b">
        <v>1</v>
      </c>
      <c r="O639" s="272">
        <v>51</v>
      </c>
      <c r="P639" s="281">
        <v>765</v>
      </c>
      <c r="Q639" s="281">
        <v>1020</v>
      </c>
      <c r="R639" s="272" t="s">
        <v>3383</v>
      </c>
      <c r="S639" s="272"/>
      <c r="T639" s="272">
        <v>1</v>
      </c>
      <c r="U639" s="272" t="s">
        <v>4880</v>
      </c>
      <c r="V639" s="273">
        <v>10</v>
      </c>
      <c r="W639" s="273"/>
      <c r="X639" s="272" t="s">
        <v>4881</v>
      </c>
      <c r="Y639" t="s">
        <v>6693</v>
      </c>
      <c r="Z639" t="s">
        <v>6695</v>
      </c>
      <c r="AA639" s="272" t="s">
        <v>4884</v>
      </c>
      <c r="AB639" s="272"/>
      <c r="AC639" s="289">
        <v>1</v>
      </c>
      <c r="AD639" s="289">
        <v>1</v>
      </c>
      <c r="AE639" s="289"/>
      <c r="AF639" s="272"/>
      <c r="AG639" s="272"/>
    </row>
    <row r="640" spans="1:33" s="259" customFormat="1" ht="15" customHeight="1" x14ac:dyDescent="0.15">
      <c r="A640" s="271">
        <v>95301129</v>
      </c>
      <c r="B640" t="s">
        <v>6697</v>
      </c>
      <c r="C640" s="268" t="s">
        <v>6316</v>
      </c>
      <c r="D640" s="272">
        <v>5081</v>
      </c>
      <c r="E640" s="272" t="s">
        <v>4876</v>
      </c>
      <c r="F640" s="272" t="s">
        <v>4877</v>
      </c>
      <c r="G640" s="269">
        <v>6</v>
      </c>
      <c r="H640" s="273">
        <v>0</v>
      </c>
      <c r="I640" s="283">
        <v>34</v>
      </c>
      <c r="J640" s="284" t="s">
        <v>5388</v>
      </c>
      <c r="K640" s="285" t="s">
        <v>5389</v>
      </c>
      <c r="L640" s="272" t="s">
        <v>4887</v>
      </c>
      <c r="M640" s="272">
        <v>1</v>
      </c>
      <c r="N640" s="272" t="b">
        <v>1</v>
      </c>
      <c r="O640" s="272">
        <v>64</v>
      </c>
      <c r="P640" s="281">
        <v>960</v>
      </c>
      <c r="Q640" s="281">
        <v>1280</v>
      </c>
      <c r="R640" s="272" t="s">
        <v>3383</v>
      </c>
      <c r="S640" s="272"/>
      <c r="T640" s="272">
        <v>1</v>
      </c>
      <c r="U640" s="272" t="s">
        <v>4880</v>
      </c>
      <c r="V640" s="273">
        <v>10</v>
      </c>
      <c r="W640" s="273"/>
      <c r="X640" s="272" t="s">
        <v>4881</v>
      </c>
      <c r="Y640" t="s">
        <v>6693</v>
      </c>
      <c r="Z640" t="s">
        <v>6695</v>
      </c>
      <c r="AA640" s="272" t="s">
        <v>4884</v>
      </c>
      <c r="AB640" s="272"/>
      <c r="AC640" s="289">
        <v>1</v>
      </c>
      <c r="AD640" s="289">
        <v>1</v>
      </c>
      <c r="AE640" s="289"/>
      <c r="AF640" s="272"/>
      <c r="AG640" s="272"/>
    </row>
    <row r="641" spans="1:33" s="260" customFormat="1" ht="15" customHeight="1" x14ac:dyDescent="0.15">
      <c r="A641" s="271">
        <v>95301130</v>
      </c>
      <c r="B641" t="s">
        <v>6698</v>
      </c>
      <c r="C641" s="268" t="s">
        <v>6316</v>
      </c>
      <c r="D641" s="272">
        <v>5081</v>
      </c>
      <c r="E641" s="272" t="s">
        <v>4876</v>
      </c>
      <c r="F641" s="272" t="s">
        <v>4877</v>
      </c>
      <c r="G641" s="269">
        <v>7</v>
      </c>
      <c r="H641" s="273">
        <v>0</v>
      </c>
      <c r="I641" s="283">
        <v>34</v>
      </c>
      <c r="J641" s="284" t="s">
        <v>5388</v>
      </c>
      <c r="K641" s="285" t="s">
        <v>5389</v>
      </c>
      <c r="L641" s="272" t="s">
        <v>4889</v>
      </c>
      <c r="M641" s="272">
        <v>1</v>
      </c>
      <c r="N641" s="272" t="b">
        <v>1</v>
      </c>
      <c r="O641" s="272">
        <v>77</v>
      </c>
      <c r="P641" s="281">
        <v>1155</v>
      </c>
      <c r="Q641" s="281">
        <v>1540</v>
      </c>
      <c r="R641" s="272" t="s">
        <v>3383</v>
      </c>
      <c r="S641" s="272"/>
      <c r="T641" s="272">
        <v>1</v>
      </c>
      <c r="U641" s="272" t="s">
        <v>4880</v>
      </c>
      <c r="V641" s="273">
        <v>10</v>
      </c>
      <c r="W641" s="273"/>
      <c r="X641" s="272" t="s">
        <v>4881</v>
      </c>
      <c r="Y641" t="s">
        <v>6699</v>
      </c>
      <c r="Z641" t="s">
        <v>6695</v>
      </c>
      <c r="AA641" s="272" t="s">
        <v>4884</v>
      </c>
      <c r="AB641" s="272"/>
      <c r="AC641" s="289">
        <v>1</v>
      </c>
      <c r="AD641" s="289">
        <v>1</v>
      </c>
      <c r="AE641" s="289"/>
      <c r="AF641" s="272"/>
      <c r="AG641" s="272"/>
    </row>
    <row r="642" spans="1:33" s="260" customFormat="1" ht="15" customHeight="1" x14ac:dyDescent="0.15">
      <c r="A642" s="267">
        <v>95301131</v>
      </c>
      <c r="B642" t="s">
        <v>6700</v>
      </c>
      <c r="C642" s="268" t="s">
        <v>6316</v>
      </c>
      <c r="D642" s="280">
        <v>6901</v>
      </c>
      <c r="E642" s="268" t="s">
        <v>4876</v>
      </c>
      <c r="F642" s="268" t="s">
        <v>4877</v>
      </c>
      <c r="G642" s="269">
        <v>1</v>
      </c>
      <c r="H642" s="269">
        <v>0</v>
      </c>
      <c r="I642" s="267">
        <v>34</v>
      </c>
      <c r="J642" s="282" t="s">
        <v>5396</v>
      </c>
      <c r="K642" s="279" t="s">
        <v>5397</v>
      </c>
      <c r="L642" s="279"/>
      <c r="M642" s="268">
        <v>1</v>
      </c>
      <c r="N642" s="268" t="b">
        <v>1</v>
      </c>
      <c r="O642" s="268">
        <v>2</v>
      </c>
      <c r="P642" s="281">
        <v>30</v>
      </c>
      <c r="Q642" s="281">
        <v>40</v>
      </c>
      <c r="R642" s="268" t="s">
        <v>3383</v>
      </c>
      <c r="S642" s="268"/>
      <c r="T642" s="268">
        <v>1</v>
      </c>
      <c r="U642" s="268" t="s">
        <v>4880</v>
      </c>
      <c r="V642" s="269">
        <v>1</v>
      </c>
      <c r="W642" s="269"/>
      <c r="X642" s="268" t="s">
        <v>4881</v>
      </c>
      <c r="Y642" t="s">
        <v>6699</v>
      </c>
      <c r="Z642" t="s">
        <v>6701</v>
      </c>
      <c r="AA642" s="268" t="s">
        <v>4884</v>
      </c>
      <c r="AB642" s="268"/>
      <c r="AC642" s="287">
        <v>1</v>
      </c>
      <c r="AD642" s="287">
        <v>1</v>
      </c>
      <c r="AE642" s="268"/>
      <c r="AF642" s="268"/>
      <c r="AG642" s="290"/>
    </row>
    <row r="643" spans="1:33" s="259" customFormat="1" ht="15" customHeight="1" x14ac:dyDescent="0.15">
      <c r="A643" s="267">
        <v>95301132</v>
      </c>
      <c r="B643" t="s">
        <v>6700</v>
      </c>
      <c r="C643" s="268" t="s">
        <v>6316</v>
      </c>
      <c r="D643" s="280">
        <v>6901</v>
      </c>
      <c r="E643" s="268" t="s">
        <v>4876</v>
      </c>
      <c r="F643" s="268" t="s">
        <v>4877</v>
      </c>
      <c r="G643" s="269">
        <v>2</v>
      </c>
      <c r="H643" s="269">
        <v>0</v>
      </c>
      <c r="I643" s="267">
        <v>34</v>
      </c>
      <c r="J643" s="282" t="s">
        <v>5396</v>
      </c>
      <c r="K643" s="279" t="s">
        <v>5397</v>
      </c>
      <c r="L643" s="279"/>
      <c r="M643" s="268">
        <v>1</v>
      </c>
      <c r="N643" s="268" t="b">
        <v>1</v>
      </c>
      <c r="O643" s="268">
        <v>5</v>
      </c>
      <c r="P643" s="281">
        <v>75</v>
      </c>
      <c r="Q643" s="281">
        <v>100</v>
      </c>
      <c r="R643" s="268" t="s">
        <v>3383</v>
      </c>
      <c r="S643" s="268"/>
      <c r="T643" s="268">
        <v>1</v>
      </c>
      <c r="U643" s="268" t="s">
        <v>4880</v>
      </c>
      <c r="V643" s="269">
        <v>2</v>
      </c>
      <c r="W643" s="269"/>
      <c r="X643" s="268" t="s">
        <v>4881</v>
      </c>
      <c r="Y643" t="s">
        <v>6699</v>
      </c>
      <c r="Z643" t="s">
        <v>6701</v>
      </c>
      <c r="AA643" s="268" t="s">
        <v>4884</v>
      </c>
      <c r="AB643" s="268"/>
      <c r="AC643" s="287">
        <v>1</v>
      </c>
      <c r="AD643" s="287">
        <v>1</v>
      </c>
      <c r="AE643" s="268"/>
      <c r="AF643" s="268"/>
      <c r="AG643" s="290"/>
    </row>
    <row r="644" spans="1:33" s="259" customFormat="1" ht="15" customHeight="1" x14ac:dyDescent="0.15">
      <c r="A644" s="267">
        <v>95301133</v>
      </c>
      <c r="B644" t="s">
        <v>6700</v>
      </c>
      <c r="C644" s="268" t="s">
        <v>6316</v>
      </c>
      <c r="D644" s="280">
        <v>6901</v>
      </c>
      <c r="E644" s="268" t="s">
        <v>4876</v>
      </c>
      <c r="F644" s="268" t="s">
        <v>4877</v>
      </c>
      <c r="G644" s="269">
        <v>3</v>
      </c>
      <c r="H644" s="269">
        <v>0</v>
      </c>
      <c r="I644" s="267">
        <v>34</v>
      </c>
      <c r="J644" s="282" t="s">
        <v>5396</v>
      </c>
      <c r="K644" s="279" t="s">
        <v>5397</v>
      </c>
      <c r="L644" s="279"/>
      <c r="M644" s="268">
        <v>1</v>
      </c>
      <c r="N644" s="268" t="b">
        <v>1</v>
      </c>
      <c r="O644" s="268">
        <v>7</v>
      </c>
      <c r="P644" s="281">
        <v>105</v>
      </c>
      <c r="Q644" s="281">
        <v>140</v>
      </c>
      <c r="R644" s="268" t="s">
        <v>3383</v>
      </c>
      <c r="S644" s="268"/>
      <c r="T644" s="268">
        <v>1</v>
      </c>
      <c r="U644" s="268" t="s">
        <v>4880</v>
      </c>
      <c r="V644" s="269">
        <v>3</v>
      </c>
      <c r="W644" s="269"/>
      <c r="X644" s="268" t="s">
        <v>4881</v>
      </c>
      <c r="Y644" t="s">
        <v>6699</v>
      </c>
      <c r="Z644" t="s">
        <v>6701</v>
      </c>
      <c r="AA644" s="268" t="s">
        <v>4884</v>
      </c>
      <c r="AB644" s="268"/>
      <c r="AC644" s="287">
        <v>1</v>
      </c>
      <c r="AD644" s="287">
        <v>1</v>
      </c>
      <c r="AE644" s="268"/>
      <c r="AF644" s="268"/>
      <c r="AG644" s="290"/>
    </row>
    <row r="645" spans="1:33" s="259" customFormat="1" ht="15" customHeight="1" x14ac:dyDescent="0.15">
      <c r="A645" s="267">
        <v>95301134</v>
      </c>
      <c r="B645" t="s">
        <v>6700</v>
      </c>
      <c r="C645" s="268" t="s">
        <v>6316</v>
      </c>
      <c r="D645" s="280">
        <v>6901</v>
      </c>
      <c r="E645" s="268" t="s">
        <v>4876</v>
      </c>
      <c r="F645" s="268" t="s">
        <v>4877</v>
      </c>
      <c r="G645" s="269">
        <v>4</v>
      </c>
      <c r="H645" s="269">
        <v>0</v>
      </c>
      <c r="I645" s="267">
        <v>34</v>
      </c>
      <c r="J645" s="282" t="s">
        <v>5396</v>
      </c>
      <c r="K645" s="279" t="s">
        <v>5397</v>
      </c>
      <c r="L645" s="279"/>
      <c r="M645" s="268">
        <v>1</v>
      </c>
      <c r="N645" s="268" t="b">
        <v>1</v>
      </c>
      <c r="O645" s="268">
        <v>10</v>
      </c>
      <c r="P645" s="281">
        <v>150</v>
      </c>
      <c r="Q645" s="281">
        <v>200</v>
      </c>
      <c r="R645" s="268" t="s">
        <v>3383</v>
      </c>
      <c r="S645" s="268"/>
      <c r="T645" s="268">
        <v>1</v>
      </c>
      <c r="U645" s="268" t="s">
        <v>4880</v>
      </c>
      <c r="V645" s="305">
        <v>4</v>
      </c>
      <c r="W645" s="305"/>
      <c r="X645" s="268" t="s">
        <v>4881</v>
      </c>
      <c r="Y645" t="s">
        <v>6699</v>
      </c>
      <c r="Z645" t="s">
        <v>6701</v>
      </c>
      <c r="AA645" s="268" t="s">
        <v>4884</v>
      </c>
      <c r="AB645" s="268"/>
      <c r="AC645" s="287">
        <v>1</v>
      </c>
      <c r="AD645" s="287">
        <v>1</v>
      </c>
      <c r="AE645" s="268"/>
      <c r="AF645" s="268"/>
      <c r="AG645" s="290"/>
    </row>
    <row r="646" spans="1:33" s="259" customFormat="1" ht="15" customHeight="1" x14ac:dyDescent="0.15">
      <c r="A646" s="267">
        <v>95301135</v>
      </c>
      <c r="B646" t="s">
        <v>6700</v>
      </c>
      <c r="C646" s="268" t="s">
        <v>6316</v>
      </c>
      <c r="D646" s="268">
        <v>6901</v>
      </c>
      <c r="E646" s="268" t="s">
        <v>4876</v>
      </c>
      <c r="F646" s="268" t="s">
        <v>4877</v>
      </c>
      <c r="G646" s="269">
        <v>5</v>
      </c>
      <c r="H646" s="269">
        <v>0</v>
      </c>
      <c r="I646" s="267">
        <v>34</v>
      </c>
      <c r="J646" s="282" t="s">
        <v>5396</v>
      </c>
      <c r="K646" s="279" t="s">
        <v>5397</v>
      </c>
      <c r="L646" s="279"/>
      <c r="M646" s="268">
        <v>1</v>
      </c>
      <c r="N646" s="268" t="b">
        <v>1</v>
      </c>
      <c r="O646" s="268">
        <v>12</v>
      </c>
      <c r="P646" s="281">
        <v>180</v>
      </c>
      <c r="Q646" s="281">
        <v>240</v>
      </c>
      <c r="R646" s="268" t="s">
        <v>3383</v>
      </c>
      <c r="S646" s="268"/>
      <c r="T646" s="268">
        <v>1</v>
      </c>
      <c r="U646" s="268" t="s">
        <v>4880</v>
      </c>
      <c r="V646" s="305">
        <v>5</v>
      </c>
      <c r="W646" s="305"/>
      <c r="X646" s="268" t="s">
        <v>4881</v>
      </c>
      <c r="Y646" t="s">
        <v>6699</v>
      </c>
      <c r="Z646" t="s">
        <v>6701</v>
      </c>
      <c r="AA646" s="268" t="s">
        <v>4884</v>
      </c>
      <c r="AB646" s="268"/>
      <c r="AC646" s="287">
        <v>1</v>
      </c>
      <c r="AD646" s="287">
        <v>1</v>
      </c>
      <c r="AE646" s="268"/>
      <c r="AF646" s="268"/>
      <c r="AG646" s="290"/>
    </row>
    <row r="647" spans="1:33" s="259" customFormat="1" ht="15" customHeight="1" x14ac:dyDescent="0.15">
      <c r="A647" s="267">
        <v>95301136</v>
      </c>
      <c r="B647" t="s">
        <v>6700</v>
      </c>
      <c r="C647" s="268" t="s">
        <v>6316</v>
      </c>
      <c r="D647" s="268">
        <v>6901</v>
      </c>
      <c r="E647" s="268" t="s">
        <v>4876</v>
      </c>
      <c r="F647" s="268" t="s">
        <v>4877</v>
      </c>
      <c r="G647" s="269">
        <v>6</v>
      </c>
      <c r="H647" s="269">
        <v>0</v>
      </c>
      <c r="I647" s="267">
        <v>34</v>
      </c>
      <c r="J647" s="282" t="s">
        <v>5396</v>
      </c>
      <c r="K647" s="279" t="s">
        <v>5397</v>
      </c>
      <c r="L647" s="279"/>
      <c r="M647" s="268">
        <v>1</v>
      </c>
      <c r="N647" s="268" t="b">
        <v>1</v>
      </c>
      <c r="O647" s="268">
        <v>25</v>
      </c>
      <c r="P647" s="281">
        <v>375</v>
      </c>
      <c r="Q647" s="281">
        <v>500</v>
      </c>
      <c r="R647" s="268" t="s">
        <v>3383</v>
      </c>
      <c r="S647" s="268"/>
      <c r="T647" s="268">
        <v>1</v>
      </c>
      <c r="U647" s="268" t="s">
        <v>4880</v>
      </c>
      <c r="V647" s="305">
        <v>6</v>
      </c>
      <c r="W647" s="305"/>
      <c r="X647" s="268" t="s">
        <v>4881</v>
      </c>
      <c r="Y647" t="s">
        <v>6699</v>
      </c>
      <c r="Z647" t="s">
        <v>6701</v>
      </c>
      <c r="AA647" s="268" t="s">
        <v>4884</v>
      </c>
      <c r="AB647" s="268"/>
      <c r="AC647" s="287">
        <v>1</v>
      </c>
      <c r="AD647" s="287">
        <v>1</v>
      </c>
      <c r="AE647" s="268"/>
      <c r="AF647" s="268"/>
      <c r="AG647" s="290"/>
    </row>
    <row r="648" spans="1:33" s="259" customFormat="1" ht="15" customHeight="1" x14ac:dyDescent="0.15">
      <c r="A648" s="267">
        <v>95301137</v>
      </c>
      <c r="B648" t="s">
        <v>6700</v>
      </c>
      <c r="C648" s="268" t="s">
        <v>6316</v>
      </c>
      <c r="D648" s="280">
        <v>6901</v>
      </c>
      <c r="E648" s="268" t="s">
        <v>4876</v>
      </c>
      <c r="F648" s="268" t="s">
        <v>4877</v>
      </c>
      <c r="G648" s="269">
        <v>7</v>
      </c>
      <c r="H648" s="269">
        <v>0</v>
      </c>
      <c r="I648" s="267">
        <v>34</v>
      </c>
      <c r="J648" s="282" t="s">
        <v>5396</v>
      </c>
      <c r="K648" s="279" t="s">
        <v>5397</v>
      </c>
      <c r="L648" s="279"/>
      <c r="M648" s="268">
        <v>1</v>
      </c>
      <c r="N648" s="268" t="b">
        <v>1</v>
      </c>
      <c r="O648" s="268">
        <v>38</v>
      </c>
      <c r="P648" s="281">
        <v>570</v>
      </c>
      <c r="Q648" s="281">
        <v>760</v>
      </c>
      <c r="R648" s="268" t="s">
        <v>3383</v>
      </c>
      <c r="S648" s="268"/>
      <c r="T648" s="268">
        <v>1</v>
      </c>
      <c r="U648" s="268" t="s">
        <v>4880</v>
      </c>
      <c r="V648" s="268">
        <v>7</v>
      </c>
      <c r="W648" s="268"/>
      <c r="X648" s="268" t="s">
        <v>4881</v>
      </c>
      <c r="Y648" t="s">
        <v>6699</v>
      </c>
      <c r="Z648" t="s">
        <v>6701</v>
      </c>
      <c r="AA648" s="268" t="s">
        <v>4884</v>
      </c>
      <c r="AB648" s="268"/>
      <c r="AC648" s="287">
        <v>1</v>
      </c>
      <c r="AD648" s="287">
        <v>1</v>
      </c>
      <c r="AE648" s="268"/>
      <c r="AF648" s="268"/>
      <c r="AG648" s="290"/>
    </row>
    <row r="649" spans="1:33" s="259" customFormat="1" ht="15" customHeight="1" x14ac:dyDescent="0.15">
      <c r="A649" s="267">
        <v>95301138</v>
      </c>
      <c r="B649" t="s">
        <v>6702</v>
      </c>
      <c r="C649" s="268" t="s">
        <v>6316</v>
      </c>
      <c r="D649" s="280">
        <v>5081</v>
      </c>
      <c r="E649" s="268" t="s">
        <v>4876</v>
      </c>
      <c r="F649" s="268" t="s">
        <v>4877</v>
      </c>
      <c r="G649" s="269">
        <v>6</v>
      </c>
      <c r="H649" s="269">
        <v>1</v>
      </c>
      <c r="I649" s="267">
        <v>34</v>
      </c>
      <c r="J649" s="282" t="s">
        <v>5396</v>
      </c>
      <c r="K649" s="279" t="s">
        <v>5397</v>
      </c>
      <c r="L649" s="279" t="s">
        <v>44</v>
      </c>
      <c r="M649" s="268">
        <v>1</v>
      </c>
      <c r="N649" s="268" t="b">
        <v>1</v>
      </c>
      <c r="O649" s="268">
        <v>51</v>
      </c>
      <c r="P649" s="281">
        <v>765</v>
      </c>
      <c r="Q649" s="281">
        <v>1020</v>
      </c>
      <c r="R649" s="268" t="s">
        <v>3383</v>
      </c>
      <c r="S649" s="268"/>
      <c r="T649" s="268">
        <v>1</v>
      </c>
      <c r="U649" s="268" t="s">
        <v>4880</v>
      </c>
      <c r="V649" s="268">
        <v>10</v>
      </c>
      <c r="W649" s="268"/>
      <c r="X649" s="268" t="s">
        <v>4881</v>
      </c>
      <c r="Y649" t="s">
        <v>6699</v>
      </c>
      <c r="Z649" t="s">
        <v>6701</v>
      </c>
      <c r="AA649" s="268" t="s">
        <v>4884</v>
      </c>
      <c r="AB649" s="268"/>
      <c r="AC649" s="287">
        <v>1</v>
      </c>
      <c r="AD649" s="287">
        <v>1</v>
      </c>
      <c r="AE649" s="268"/>
      <c r="AF649" s="268"/>
      <c r="AG649" s="290"/>
    </row>
    <row r="650" spans="1:33" s="259" customFormat="1" ht="15" customHeight="1" x14ac:dyDescent="0.15">
      <c r="A650" s="267">
        <v>95301139</v>
      </c>
      <c r="B650" t="s">
        <v>6703</v>
      </c>
      <c r="C650" s="268" t="s">
        <v>6316</v>
      </c>
      <c r="D650" s="280">
        <v>5081</v>
      </c>
      <c r="E650" s="268" t="s">
        <v>4876</v>
      </c>
      <c r="F650" s="268" t="s">
        <v>4877</v>
      </c>
      <c r="G650" s="269">
        <v>6</v>
      </c>
      <c r="H650" s="269">
        <v>1</v>
      </c>
      <c r="I650" s="267">
        <v>34</v>
      </c>
      <c r="J650" s="282" t="s">
        <v>5396</v>
      </c>
      <c r="K650" s="279" t="s">
        <v>5397</v>
      </c>
      <c r="L650" s="279" t="s">
        <v>4887</v>
      </c>
      <c r="M650" s="268">
        <v>1</v>
      </c>
      <c r="N650" s="268" t="b">
        <v>1</v>
      </c>
      <c r="O650" s="268">
        <v>64</v>
      </c>
      <c r="P650" s="281">
        <v>960</v>
      </c>
      <c r="Q650" s="281">
        <v>1280</v>
      </c>
      <c r="R650" s="268" t="s">
        <v>3383</v>
      </c>
      <c r="S650" s="268"/>
      <c r="T650" s="268">
        <v>1</v>
      </c>
      <c r="U650" s="268" t="s">
        <v>4880</v>
      </c>
      <c r="V650" s="268">
        <v>10</v>
      </c>
      <c r="W650" s="268"/>
      <c r="X650" s="268" t="s">
        <v>4881</v>
      </c>
      <c r="Y650" t="s">
        <v>6699</v>
      </c>
      <c r="Z650" t="s">
        <v>6701</v>
      </c>
      <c r="AA650" s="268" t="s">
        <v>4884</v>
      </c>
      <c r="AB650" s="268"/>
      <c r="AC650" s="287">
        <v>1</v>
      </c>
      <c r="AD650" s="287">
        <v>1</v>
      </c>
      <c r="AE650" s="268"/>
      <c r="AF650" s="268"/>
      <c r="AG650" s="290"/>
    </row>
    <row r="651" spans="1:33" s="259" customFormat="1" ht="15" customHeight="1" x14ac:dyDescent="0.15">
      <c r="A651" s="267">
        <v>95301140</v>
      </c>
      <c r="B651" t="s">
        <v>6704</v>
      </c>
      <c r="C651" s="268" t="s">
        <v>6316</v>
      </c>
      <c r="D651" s="280">
        <v>5081</v>
      </c>
      <c r="E651" s="268" t="s">
        <v>4876</v>
      </c>
      <c r="F651" s="268" t="s">
        <v>4877</v>
      </c>
      <c r="G651" s="269">
        <v>7</v>
      </c>
      <c r="H651" s="269">
        <v>0</v>
      </c>
      <c r="I651" s="267">
        <v>34</v>
      </c>
      <c r="J651" s="282" t="s">
        <v>5396</v>
      </c>
      <c r="K651" s="279" t="s">
        <v>5397</v>
      </c>
      <c r="L651" s="279" t="s">
        <v>4889</v>
      </c>
      <c r="M651" s="268">
        <v>1</v>
      </c>
      <c r="N651" s="268" t="b">
        <v>1</v>
      </c>
      <c r="O651" s="268">
        <v>77</v>
      </c>
      <c r="P651" s="281">
        <v>1155</v>
      </c>
      <c r="Q651" s="281">
        <v>1540</v>
      </c>
      <c r="R651" s="268" t="s">
        <v>3383</v>
      </c>
      <c r="S651" s="268"/>
      <c r="T651" s="268">
        <v>1</v>
      </c>
      <c r="U651" s="268" t="s">
        <v>4880</v>
      </c>
      <c r="V651" s="268">
        <v>10</v>
      </c>
      <c r="W651" s="268"/>
      <c r="X651" s="268" t="s">
        <v>4881</v>
      </c>
      <c r="Y651" t="s">
        <v>6705</v>
      </c>
      <c r="Z651" t="s">
        <v>6701</v>
      </c>
      <c r="AA651" s="268" t="s">
        <v>4884</v>
      </c>
      <c r="AB651" s="268"/>
      <c r="AC651" s="287">
        <v>1</v>
      </c>
      <c r="AD651" s="287">
        <v>1</v>
      </c>
      <c r="AE651" s="268"/>
      <c r="AF651" s="268"/>
      <c r="AG651" s="290"/>
    </row>
    <row r="652" spans="1:33" s="259" customFormat="1" ht="15" customHeight="1" x14ac:dyDescent="0.15">
      <c r="A652" s="267">
        <v>95301141</v>
      </c>
      <c r="B652" t="s">
        <v>6706</v>
      </c>
      <c r="C652" s="268" t="s">
        <v>6316</v>
      </c>
      <c r="D652" s="268">
        <v>6901</v>
      </c>
      <c r="E652" s="268" t="s">
        <v>4876</v>
      </c>
      <c r="F652" s="268" t="s">
        <v>4877</v>
      </c>
      <c r="G652" s="269">
        <v>1</v>
      </c>
      <c r="H652" s="269">
        <v>0</v>
      </c>
      <c r="I652" s="267">
        <v>34</v>
      </c>
      <c r="J652" s="282" t="s">
        <v>5404</v>
      </c>
      <c r="K652" s="279" t="s">
        <v>5405</v>
      </c>
      <c r="L652" s="279"/>
      <c r="M652" s="268">
        <v>1</v>
      </c>
      <c r="N652" s="268" t="b">
        <v>1</v>
      </c>
      <c r="O652" s="268">
        <v>2</v>
      </c>
      <c r="P652" s="281">
        <v>30</v>
      </c>
      <c r="Q652" s="281">
        <v>40</v>
      </c>
      <c r="R652" s="268" t="s">
        <v>3383</v>
      </c>
      <c r="S652" s="268"/>
      <c r="T652" s="268">
        <v>1</v>
      </c>
      <c r="U652" s="268" t="s">
        <v>4880</v>
      </c>
      <c r="V652" s="268">
        <v>1</v>
      </c>
      <c r="W652" s="268"/>
      <c r="X652" s="268" t="s">
        <v>4881</v>
      </c>
      <c r="Y652" t="s">
        <v>6705</v>
      </c>
      <c r="Z652" t="s">
        <v>6707</v>
      </c>
      <c r="AA652" s="268" t="s">
        <v>4884</v>
      </c>
      <c r="AB652" s="268"/>
      <c r="AC652" s="287">
        <v>1</v>
      </c>
      <c r="AD652" s="287">
        <v>1</v>
      </c>
      <c r="AE652" s="268"/>
      <c r="AF652" s="268"/>
      <c r="AG652" s="290"/>
    </row>
    <row r="653" spans="1:33" s="259" customFormat="1" ht="15" customHeight="1" x14ac:dyDescent="0.15">
      <c r="A653" s="267">
        <v>95301142</v>
      </c>
      <c r="B653" t="s">
        <v>6706</v>
      </c>
      <c r="C653" s="268" t="s">
        <v>6316</v>
      </c>
      <c r="D653" s="268">
        <v>6901</v>
      </c>
      <c r="E653" s="268" t="s">
        <v>4876</v>
      </c>
      <c r="F653" s="268" t="s">
        <v>4877</v>
      </c>
      <c r="G653" s="269">
        <v>2</v>
      </c>
      <c r="H653" s="269">
        <v>0</v>
      </c>
      <c r="I653" s="267">
        <v>34</v>
      </c>
      <c r="J653" s="282" t="s">
        <v>5404</v>
      </c>
      <c r="K653" s="279" t="s">
        <v>5405</v>
      </c>
      <c r="L653" s="279"/>
      <c r="M653" s="268">
        <v>1</v>
      </c>
      <c r="N653" s="268" t="b">
        <v>1</v>
      </c>
      <c r="O653" s="268">
        <v>5</v>
      </c>
      <c r="P653" s="281">
        <v>75</v>
      </c>
      <c r="Q653" s="281">
        <v>100</v>
      </c>
      <c r="R653" s="268" t="s">
        <v>3383</v>
      </c>
      <c r="S653" s="268"/>
      <c r="T653" s="268">
        <v>1</v>
      </c>
      <c r="U653" s="268" t="s">
        <v>4880</v>
      </c>
      <c r="V653" s="268">
        <v>2</v>
      </c>
      <c r="W653" s="268"/>
      <c r="X653" s="268" t="s">
        <v>4881</v>
      </c>
      <c r="Y653" t="s">
        <v>6705</v>
      </c>
      <c r="Z653" t="s">
        <v>6707</v>
      </c>
      <c r="AA653" s="268" t="s">
        <v>4884</v>
      </c>
      <c r="AB653" s="268"/>
      <c r="AC653" s="287">
        <v>1</v>
      </c>
      <c r="AD653" s="287">
        <v>1</v>
      </c>
      <c r="AE653" s="268"/>
      <c r="AF653" s="268"/>
      <c r="AG653" s="290"/>
    </row>
    <row r="654" spans="1:33" s="259" customFormat="1" ht="15" customHeight="1" x14ac:dyDescent="0.15">
      <c r="A654" s="267">
        <v>95301143</v>
      </c>
      <c r="B654" t="s">
        <v>6706</v>
      </c>
      <c r="C654" s="268" t="s">
        <v>6316</v>
      </c>
      <c r="D654" s="268">
        <v>6901</v>
      </c>
      <c r="E654" s="268" t="s">
        <v>4876</v>
      </c>
      <c r="F654" s="268" t="s">
        <v>4877</v>
      </c>
      <c r="G654" s="269">
        <v>3</v>
      </c>
      <c r="H654" s="269">
        <v>0</v>
      </c>
      <c r="I654" s="267">
        <v>34</v>
      </c>
      <c r="J654" s="282" t="s">
        <v>5404</v>
      </c>
      <c r="K654" s="279" t="s">
        <v>5405</v>
      </c>
      <c r="L654" s="279"/>
      <c r="M654" s="268">
        <v>1</v>
      </c>
      <c r="N654" s="268" t="b">
        <v>1</v>
      </c>
      <c r="O654" s="268">
        <v>7</v>
      </c>
      <c r="P654" s="281">
        <v>105</v>
      </c>
      <c r="Q654" s="281">
        <v>140</v>
      </c>
      <c r="R654" s="268" t="s">
        <v>3383</v>
      </c>
      <c r="S654" s="268"/>
      <c r="T654" s="268">
        <v>1</v>
      </c>
      <c r="U654" s="268" t="s">
        <v>4880</v>
      </c>
      <c r="V654" s="268">
        <v>3</v>
      </c>
      <c r="W654" s="268"/>
      <c r="X654" s="268" t="s">
        <v>4881</v>
      </c>
      <c r="Y654" t="s">
        <v>6705</v>
      </c>
      <c r="Z654" t="s">
        <v>6707</v>
      </c>
      <c r="AA654" s="268" t="s">
        <v>4884</v>
      </c>
      <c r="AB654" s="268"/>
      <c r="AC654" s="287">
        <v>1</v>
      </c>
      <c r="AD654" s="287">
        <v>1</v>
      </c>
      <c r="AE654" s="268"/>
      <c r="AF654" s="268"/>
      <c r="AG654" s="290"/>
    </row>
    <row r="655" spans="1:33" s="259" customFormat="1" ht="15" customHeight="1" x14ac:dyDescent="0.15">
      <c r="A655" s="267">
        <v>95301144</v>
      </c>
      <c r="B655" t="s">
        <v>6706</v>
      </c>
      <c r="C655" s="268" t="s">
        <v>6316</v>
      </c>
      <c r="D655" s="268">
        <v>6901</v>
      </c>
      <c r="E655" s="268" t="s">
        <v>4876</v>
      </c>
      <c r="F655" s="268" t="s">
        <v>4877</v>
      </c>
      <c r="G655" s="269">
        <v>4</v>
      </c>
      <c r="H655" s="269">
        <v>0</v>
      </c>
      <c r="I655" s="267">
        <v>34</v>
      </c>
      <c r="J655" s="282" t="s">
        <v>5404</v>
      </c>
      <c r="K655" s="279" t="s">
        <v>5405</v>
      </c>
      <c r="L655" s="279"/>
      <c r="M655" s="268">
        <v>1</v>
      </c>
      <c r="N655" s="268" t="b">
        <v>1</v>
      </c>
      <c r="O655" s="268">
        <v>10</v>
      </c>
      <c r="P655" s="281">
        <v>150</v>
      </c>
      <c r="Q655" s="281">
        <v>200</v>
      </c>
      <c r="R655" s="268" t="s">
        <v>3383</v>
      </c>
      <c r="S655" s="268"/>
      <c r="T655" s="268">
        <v>1</v>
      </c>
      <c r="U655" s="268" t="s">
        <v>4880</v>
      </c>
      <c r="V655" s="268">
        <v>4</v>
      </c>
      <c r="W655" s="268"/>
      <c r="X655" s="268" t="s">
        <v>4881</v>
      </c>
      <c r="Y655" t="s">
        <v>6705</v>
      </c>
      <c r="Z655" t="s">
        <v>6707</v>
      </c>
      <c r="AA655" s="268" t="s">
        <v>4884</v>
      </c>
      <c r="AB655" s="268"/>
      <c r="AC655" s="287">
        <v>1</v>
      </c>
      <c r="AD655" s="287">
        <v>1</v>
      </c>
      <c r="AE655" s="268"/>
      <c r="AF655" s="268"/>
      <c r="AG655" s="290"/>
    </row>
    <row r="656" spans="1:33" s="260" customFormat="1" ht="15" customHeight="1" x14ac:dyDescent="0.15">
      <c r="A656" s="267">
        <v>95301145</v>
      </c>
      <c r="B656" t="s">
        <v>6706</v>
      </c>
      <c r="C656" s="268" t="s">
        <v>6316</v>
      </c>
      <c r="D656" s="290">
        <v>6901</v>
      </c>
      <c r="E656" s="268" t="s">
        <v>4876</v>
      </c>
      <c r="F656" s="268" t="s">
        <v>4877</v>
      </c>
      <c r="G656" s="269">
        <v>5</v>
      </c>
      <c r="H656" s="269">
        <v>0</v>
      </c>
      <c r="I656" s="267">
        <v>34</v>
      </c>
      <c r="J656" s="282" t="s">
        <v>5404</v>
      </c>
      <c r="K656" s="279" t="s">
        <v>5405</v>
      </c>
      <c r="L656" s="279"/>
      <c r="M656" s="268">
        <v>1</v>
      </c>
      <c r="N656" s="268" t="b">
        <v>1</v>
      </c>
      <c r="O656" s="268">
        <v>12</v>
      </c>
      <c r="P656" s="281">
        <v>180</v>
      </c>
      <c r="Q656" s="281">
        <v>240</v>
      </c>
      <c r="R656" s="268" t="s">
        <v>3383</v>
      </c>
      <c r="S656" s="268"/>
      <c r="T656" s="268">
        <v>1</v>
      </c>
      <c r="U656" s="268" t="s">
        <v>4880</v>
      </c>
      <c r="V656" s="268">
        <v>5</v>
      </c>
      <c r="W656" s="268"/>
      <c r="X656" s="268" t="s">
        <v>4881</v>
      </c>
      <c r="Y656" t="s">
        <v>6705</v>
      </c>
      <c r="Z656" t="s">
        <v>6707</v>
      </c>
      <c r="AA656" s="268" t="s">
        <v>4884</v>
      </c>
      <c r="AB656" s="268"/>
      <c r="AC656" s="287">
        <v>1</v>
      </c>
      <c r="AD656" s="287">
        <v>1</v>
      </c>
      <c r="AE656" s="268"/>
      <c r="AF656" s="268"/>
      <c r="AG656" s="290"/>
    </row>
    <row r="657" spans="1:33" s="259" customFormat="1" ht="15" customHeight="1" x14ac:dyDescent="0.15">
      <c r="A657" s="267">
        <v>95301146</v>
      </c>
      <c r="B657" t="s">
        <v>6706</v>
      </c>
      <c r="C657" s="268" t="s">
        <v>6316</v>
      </c>
      <c r="D657" s="290">
        <v>6901</v>
      </c>
      <c r="E657" s="268" t="s">
        <v>4876</v>
      </c>
      <c r="F657" s="268" t="s">
        <v>4877</v>
      </c>
      <c r="G657" s="269">
        <v>6</v>
      </c>
      <c r="H657" s="269">
        <v>0</v>
      </c>
      <c r="I657" s="267">
        <v>34</v>
      </c>
      <c r="J657" s="282" t="s">
        <v>5404</v>
      </c>
      <c r="K657" s="279" t="s">
        <v>5405</v>
      </c>
      <c r="L657" s="279"/>
      <c r="M657" s="268">
        <v>1</v>
      </c>
      <c r="N657" s="268" t="b">
        <v>1</v>
      </c>
      <c r="O657" s="268">
        <v>25</v>
      </c>
      <c r="P657" s="281">
        <v>375</v>
      </c>
      <c r="Q657" s="281">
        <v>500</v>
      </c>
      <c r="R657" s="268" t="s">
        <v>3383</v>
      </c>
      <c r="S657" s="268"/>
      <c r="T657" s="268">
        <v>1</v>
      </c>
      <c r="U657" s="268" t="s">
        <v>4880</v>
      </c>
      <c r="V657" s="268">
        <v>6</v>
      </c>
      <c r="W657" s="268"/>
      <c r="X657" s="268" t="s">
        <v>4881</v>
      </c>
      <c r="Y657" t="s">
        <v>6705</v>
      </c>
      <c r="Z657" t="s">
        <v>6707</v>
      </c>
      <c r="AA657" s="268" t="s">
        <v>4884</v>
      </c>
      <c r="AB657" s="268"/>
      <c r="AC657" s="287">
        <v>1</v>
      </c>
      <c r="AD657" s="287">
        <v>1</v>
      </c>
      <c r="AE657" s="268"/>
      <c r="AF657" s="268"/>
      <c r="AG657" s="290"/>
    </row>
    <row r="658" spans="1:33" s="260" customFormat="1" ht="15" customHeight="1" x14ac:dyDescent="0.15">
      <c r="A658" s="267">
        <v>95301147</v>
      </c>
      <c r="B658" t="s">
        <v>6706</v>
      </c>
      <c r="C658" s="268" t="s">
        <v>6316</v>
      </c>
      <c r="D658" s="268">
        <v>6901</v>
      </c>
      <c r="E658" s="268" t="s">
        <v>4876</v>
      </c>
      <c r="F658" s="268" t="s">
        <v>4877</v>
      </c>
      <c r="G658" s="269">
        <v>7</v>
      </c>
      <c r="H658" s="269">
        <v>0</v>
      </c>
      <c r="I658" s="267">
        <v>34</v>
      </c>
      <c r="J658" s="282" t="s">
        <v>5404</v>
      </c>
      <c r="K658" s="279" t="s">
        <v>5405</v>
      </c>
      <c r="L658" s="279"/>
      <c r="M658" s="268">
        <v>1</v>
      </c>
      <c r="N658" s="268" t="b">
        <v>1</v>
      </c>
      <c r="O658" s="268">
        <v>38</v>
      </c>
      <c r="P658" s="281">
        <v>570</v>
      </c>
      <c r="Q658" s="281">
        <v>760</v>
      </c>
      <c r="R658" s="268" t="s">
        <v>3383</v>
      </c>
      <c r="S658" s="268"/>
      <c r="T658" s="268">
        <v>1</v>
      </c>
      <c r="U658" s="268" t="s">
        <v>4880</v>
      </c>
      <c r="V658" s="268">
        <v>7</v>
      </c>
      <c r="W658" s="268"/>
      <c r="X658" s="268" t="s">
        <v>4881</v>
      </c>
      <c r="Y658" t="s">
        <v>6705</v>
      </c>
      <c r="Z658" t="s">
        <v>6707</v>
      </c>
      <c r="AA658" s="268" t="s">
        <v>4884</v>
      </c>
      <c r="AB658" s="268"/>
      <c r="AC658" s="287">
        <v>1</v>
      </c>
      <c r="AD658" s="287">
        <v>1</v>
      </c>
      <c r="AE658" s="268"/>
      <c r="AF658" s="268"/>
      <c r="AG658" s="290"/>
    </row>
    <row r="659" spans="1:33" s="259" customFormat="1" ht="15" customHeight="1" x14ac:dyDescent="0.15">
      <c r="A659" s="267">
        <v>95301148</v>
      </c>
      <c r="B659" t="s">
        <v>6708</v>
      </c>
      <c r="C659" s="268" t="s">
        <v>6316</v>
      </c>
      <c r="D659" s="290">
        <v>5081</v>
      </c>
      <c r="E659" s="268" t="s">
        <v>4876</v>
      </c>
      <c r="F659" s="268" t="s">
        <v>4877</v>
      </c>
      <c r="G659" s="269">
        <v>6</v>
      </c>
      <c r="H659" s="269">
        <v>1</v>
      </c>
      <c r="I659" s="267">
        <v>34</v>
      </c>
      <c r="J659" s="282" t="s">
        <v>5404</v>
      </c>
      <c r="K659" s="279" t="s">
        <v>5405</v>
      </c>
      <c r="L659" s="279" t="s">
        <v>44</v>
      </c>
      <c r="M659" s="268">
        <v>1</v>
      </c>
      <c r="N659" s="268" t="b">
        <v>1</v>
      </c>
      <c r="O659" s="268">
        <v>51</v>
      </c>
      <c r="P659" s="281">
        <v>765</v>
      </c>
      <c r="Q659" s="281">
        <v>1020</v>
      </c>
      <c r="R659" s="268" t="s">
        <v>3383</v>
      </c>
      <c r="S659" s="268"/>
      <c r="T659" s="268">
        <v>1</v>
      </c>
      <c r="U659" s="268" t="s">
        <v>4880</v>
      </c>
      <c r="V659" s="268">
        <v>10</v>
      </c>
      <c r="W659" s="268"/>
      <c r="X659" s="268" t="s">
        <v>4881</v>
      </c>
      <c r="Y659" t="s">
        <v>6705</v>
      </c>
      <c r="Z659" t="s">
        <v>6707</v>
      </c>
      <c r="AA659" s="268" t="s">
        <v>4884</v>
      </c>
      <c r="AB659" s="268"/>
      <c r="AC659" s="287">
        <v>1</v>
      </c>
      <c r="AD659" s="287">
        <v>1</v>
      </c>
      <c r="AE659" s="268"/>
      <c r="AF659" s="268"/>
      <c r="AG659" s="290"/>
    </row>
    <row r="660" spans="1:33" s="259" customFormat="1" ht="15" customHeight="1" x14ac:dyDescent="0.15">
      <c r="A660" s="267">
        <v>95301149</v>
      </c>
      <c r="B660" t="s">
        <v>6709</v>
      </c>
      <c r="C660" s="268" t="s">
        <v>6316</v>
      </c>
      <c r="D660" s="290">
        <v>5081</v>
      </c>
      <c r="E660" s="268" t="s">
        <v>4876</v>
      </c>
      <c r="F660" s="268" t="s">
        <v>4877</v>
      </c>
      <c r="G660" s="269">
        <v>6</v>
      </c>
      <c r="H660" s="269">
        <v>1</v>
      </c>
      <c r="I660" s="267">
        <v>34</v>
      </c>
      <c r="J660" s="282" t="s">
        <v>5404</v>
      </c>
      <c r="K660" s="279" t="s">
        <v>5405</v>
      </c>
      <c r="L660" s="279" t="s">
        <v>4887</v>
      </c>
      <c r="M660" s="268">
        <v>1</v>
      </c>
      <c r="N660" s="268" t="b">
        <v>1</v>
      </c>
      <c r="O660" s="268">
        <v>64</v>
      </c>
      <c r="P660" s="281">
        <v>960</v>
      </c>
      <c r="Q660" s="281">
        <v>1280</v>
      </c>
      <c r="R660" s="268" t="s">
        <v>3383</v>
      </c>
      <c r="S660" s="268"/>
      <c r="T660" s="268">
        <v>1</v>
      </c>
      <c r="U660" s="268" t="s">
        <v>4880</v>
      </c>
      <c r="V660" s="268">
        <v>10</v>
      </c>
      <c r="W660" s="268"/>
      <c r="X660" s="268" t="s">
        <v>4881</v>
      </c>
      <c r="Y660" t="s">
        <v>6705</v>
      </c>
      <c r="Z660" t="s">
        <v>6707</v>
      </c>
      <c r="AA660" s="268" t="s">
        <v>4884</v>
      </c>
      <c r="AB660" s="268"/>
      <c r="AC660" s="287">
        <v>1</v>
      </c>
      <c r="AD660" s="287">
        <v>1</v>
      </c>
      <c r="AE660" s="268"/>
      <c r="AF660" s="268"/>
      <c r="AG660" s="290"/>
    </row>
    <row r="661" spans="1:33" s="259" customFormat="1" ht="15" customHeight="1" x14ac:dyDescent="0.15">
      <c r="A661" s="267">
        <v>95301150</v>
      </c>
      <c r="B661" t="s">
        <v>6710</v>
      </c>
      <c r="C661" s="268" t="s">
        <v>6316</v>
      </c>
      <c r="D661" s="268">
        <v>5081</v>
      </c>
      <c r="E661" s="268" t="s">
        <v>4876</v>
      </c>
      <c r="F661" s="268" t="s">
        <v>4877</v>
      </c>
      <c r="G661" s="269">
        <v>7</v>
      </c>
      <c r="H661" s="269">
        <v>0</v>
      </c>
      <c r="I661" s="267">
        <v>34</v>
      </c>
      <c r="J661" s="282" t="s">
        <v>5404</v>
      </c>
      <c r="K661" s="279" t="s">
        <v>5405</v>
      </c>
      <c r="L661" s="279" t="s">
        <v>4889</v>
      </c>
      <c r="M661" s="268">
        <v>1</v>
      </c>
      <c r="N661" s="268" t="b">
        <v>1</v>
      </c>
      <c r="O661" s="268">
        <v>77</v>
      </c>
      <c r="P661" s="281">
        <v>1155</v>
      </c>
      <c r="Q661" s="281">
        <v>1540</v>
      </c>
      <c r="R661" s="268" t="s">
        <v>3383</v>
      </c>
      <c r="S661" s="268"/>
      <c r="T661" s="268">
        <v>1</v>
      </c>
      <c r="U661" s="268" t="s">
        <v>4880</v>
      </c>
      <c r="V661" s="268">
        <v>10</v>
      </c>
      <c r="W661" s="268"/>
      <c r="X661" s="268" t="s">
        <v>4881</v>
      </c>
      <c r="Y661" t="s">
        <v>6711</v>
      </c>
      <c r="Z661" t="s">
        <v>6707</v>
      </c>
      <c r="AA661" s="268" t="s">
        <v>4884</v>
      </c>
      <c r="AB661" s="268"/>
      <c r="AC661" s="287">
        <v>1</v>
      </c>
      <c r="AD661" s="287">
        <v>1</v>
      </c>
      <c r="AE661" s="268"/>
      <c r="AF661" s="268"/>
      <c r="AG661" s="290"/>
    </row>
    <row r="662" spans="1:33" s="259" customFormat="1" ht="15" customHeight="1" x14ac:dyDescent="0.15">
      <c r="A662" s="267">
        <v>95301151</v>
      </c>
      <c r="B662" t="s">
        <v>6712</v>
      </c>
      <c r="C662" s="268" t="s">
        <v>6316</v>
      </c>
      <c r="D662" s="290">
        <v>6901</v>
      </c>
      <c r="E662" s="268" t="s">
        <v>4876</v>
      </c>
      <c r="F662" s="268" t="s">
        <v>4877</v>
      </c>
      <c r="G662" s="269">
        <v>1</v>
      </c>
      <c r="H662" s="269">
        <v>0</v>
      </c>
      <c r="I662" s="267">
        <v>34</v>
      </c>
      <c r="J662" s="282" t="s">
        <v>5412</v>
      </c>
      <c r="K662" s="279" t="s">
        <v>5413</v>
      </c>
      <c r="L662" s="279"/>
      <c r="M662" s="268">
        <v>1</v>
      </c>
      <c r="N662" s="268" t="b">
        <v>1</v>
      </c>
      <c r="O662" s="268">
        <v>2</v>
      </c>
      <c r="P662" s="281">
        <v>30</v>
      </c>
      <c r="Q662" s="281">
        <v>40</v>
      </c>
      <c r="R662" s="268" t="s">
        <v>3383</v>
      </c>
      <c r="S662" s="268"/>
      <c r="T662" s="268">
        <v>1</v>
      </c>
      <c r="U662" s="268" t="s">
        <v>4880</v>
      </c>
      <c r="V662" s="268">
        <v>1</v>
      </c>
      <c r="W662" s="268"/>
      <c r="X662" s="268" t="s">
        <v>4881</v>
      </c>
      <c r="Y662" t="s">
        <v>6711</v>
      </c>
      <c r="Z662" t="s">
        <v>6713</v>
      </c>
      <c r="AA662" s="268" t="s">
        <v>4884</v>
      </c>
      <c r="AB662" s="268"/>
      <c r="AC662" s="287">
        <v>1</v>
      </c>
      <c r="AD662" s="287">
        <v>1</v>
      </c>
      <c r="AE662" s="268"/>
      <c r="AF662" s="268"/>
      <c r="AG662" s="290"/>
    </row>
    <row r="663" spans="1:33" s="259" customFormat="1" ht="15" customHeight="1" x14ac:dyDescent="0.15">
      <c r="A663" s="267">
        <v>95301152</v>
      </c>
      <c r="B663" t="s">
        <v>6712</v>
      </c>
      <c r="C663" s="268" t="s">
        <v>6316</v>
      </c>
      <c r="D663" s="297">
        <v>6901</v>
      </c>
      <c r="E663" s="268" t="s">
        <v>4876</v>
      </c>
      <c r="F663" s="268" t="s">
        <v>4877</v>
      </c>
      <c r="G663" s="269">
        <v>2</v>
      </c>
      <c r="H663" s="269">
        <v>0</v>
      </c>
      <c r="I663" s="267">
        <v>34</v>
      </c>
      <c r="J663" s="282" t="s">
        <v>5412</v>
      </c>
      <c r="K663" s="279" t="s">
        <v>5413</v>
      </c>
      <c r="L663" s="279"/>
      <c r="M663" s="268">
        <v>1</v>
      </c>
      <c r="N663" s="268" t="b">
        <v>1</v>
      </c>
      <c r="O663" s="268">
        <v>5</v>
      </c>
      <c r="P663" s="281">
        <v>75</v>
      </c>
      <c r="Q663" s="281">
        <v>100</v>
      </c>
      <c r="R663" s="268" t="s">
        <v>3383</v>
      </c>
      <c r="S663" s="268"/>
      <c r="T663" s="268">
        <v>1</v>
      </c>
      <c r="U663" s="268" t="s">
        <v>4880</v>
      </c>
      <c r="V663" s="268">
        <v>2</v>
      </c>
      <c r="W663" s="268"/>
      <c r="X663" s="268" t="s">
        <v>4881</v>
      </c>
      <c r="Y663" t="s">
        <v>6711</v>
      </c>
      <c r="Z663" t="s">
        <v>6713</v>
      </c>
      <c r="AA663" s="268" t="s">
        <v>4884</v>
      </c>
      <c r="AB663" s="268"/>
      <c r="AC663" s="287">
        <v>1</v>
      </c>
      <c r="AD663" s="287">
        <v>1</v>
      </c>
      <c r="AE663" s="268"/>
      <c r="AF663" s="268"/>
      <c r="AG663" s="290"/>
    </row>
    <row r="664" spans="1:33" s="259" customFormat="1" ht="15" customHeight="1" x14ac:dyDescent="0.15">
      <c r="A664" s="267">
        <v>95301153</v>
      </c>
      <c r="B664" t="s">
        <v>6712</v>
      </c>
      <c r="C664" s="268" t="s">
        <v>6316</v>
      </c>
      <c r="D664" s="290">
        <v>6901</v>
      </c>
      <c r="E664" s="268" t="s">
        <v>4876</v>
      </c>
      <c r="F664" s="268" t="s">
        <v>4877</v>
      </c>
      <c r="G664" s="269">
        <v>3</v>
      </c>
      <c r="H664" s="269">
        <v>0</v>
      </c>
      <c r="I664" s="267">
        <v>34</v>
      </c>
      <c r="J664" s="282" t="s">
        <v>5412</v>
      </c>
      <c r="K664" s="279" t="s">
        <v>5413</v>
      </c>
      <c r="L664" s="279"/>
      <c r="M664" s="268">
        <v>1</v>
      </c>
      <c r="N664" s="268" t="b">
        <v>1</v>
      </c>
      <c r="O664" s="268">
        <v>7</v>
      </c>
      <c r="P664" s="281">
        <v>105</v>
      </c>
      <c r="Q664" s="281">
        <v>140</v>
      </c>
      <c r="R664" s="268" t="s">
        <v>3383</v>
      </c>
      <c r="S664" s="268"/>
      <c r="T664" s="268">
        <v>1</v>
      </c>
      <c r="U664" s="268" t="s">
        <v>4880</v>
      </c>
      <c r="V664" s="268">
        <v>3</v>
      </c>
      <c r="W664" s="268"/>
      <c r="X664" s="268" t="s">
        <v>4881</v>
      </c>
      <c r="Y664" t="s">
        <v>6711</v>
      </c>
      <c r="Z664" t="s">
        <v>6713</v>
      </c>
      <c r="AA664" s="268" t="s">
        <v>4884</v>
      </c>
      <c r="AB664" s="268"/>
      <c r="AC664" s="287">
        <v>1</v>
      </c>
      <c r="AD664" s="287">
        <v>1</v>
      </c>
      <c r="AE664" s="268"/>
      <c r="AF664" s="268"/>
      <c r="AG664" s="290"/>
    </row>
    <row r="665" spans="1:33" s="259" customFormat="1" ht="15" customHeight="1" x14ac:dyDescent="0.15">
      <c r="A665" s="267">
        <v>95301154</v>
      </c>
      <c r="B665" t="s">
        <v>6712</v>
      </c>
      <c r="C665" s="268" t="s">
        <v>6316</v>
      </c>
      <c r="D665" s="290">
        <v>6901</v>
      </c>
      <c r="E665" s="268" t="s">
        <v>4876</v>
      </c>
      <c r="F665" s="268" t="s">
        <v>4877</v>
      </c>
      <c r="G665" s="269">
        <v>4</v>
      </c>
      <c r="H665" s="269">
        <v>0</v>
      </c>
      <c r="I665" s="267">
        <v>34</v>
      </c>
      <c r="J665" s="282" t="s">
        <v>5412</v>
      </c>
      <c r="K665" s="279" t="s">
        <v>5413</v>
      </c>
      <c r="L665" s="279"/>
      <c r="M665" s="268">
        <v>1</v>
      </c>
      <c r="N665" s="268" t="b">
        <v>1</v>
      </c>
      <c r="O665" s="268">
        <v>10</v>
      </c>
      <c r="P665" s="281">
        <v>150</v>
      </c>
      <c r="Q665" s="281">
        <v>200</v>
      </c>
      <c r="R665" s="268" t="s">
        <v>3383</v>
      </c>
      <c r="S665" s="268"/>
      <c r="T665" s="268">
        <v>1</v>
      </c>
      <c r="U665" s="268" t="s">
        <v>4880</v>
      </c>
      <c r="V665" s="268">
        <v>4</v>
      </c>
      <c r="W665" s="268"/>
      <c r="X665" s="268" t="s">
        <v>4881</v>
      </c>
      <c r="Y665" t="s">
        <v>6711</v>
      </c>
      <c r="Z665" t="s">
        <v>6713</v>
      </c>
      <c r="AA665" s="268" t="s">
        <v>4884</v>
      </c>
      <c r="AB665" s="268"/>
      <c r="AC665" s="287">
        <v>1</v>
      </c>
      <c r="AD665" s="287">
        <v>1</v>
      </c>
      <c r="AE665" s="268"/>
      <c r="AF665" s="268"/>
      <c r="AG665" s="290"/>
    </row>
    <row r="666" spans="1:33" s="259" customFormat="1" ht="15" customHeight="1" x14ac:dyDescent="0.15">
      <c r="A666" s="267">
        <v>95301155</v>
      </c>
      <c r="B666" t="s">
        <v>6712</v>
      </c>
      <c r="C666" s="268" t="s">
        <v>6316</v>
      </c>
      <c r="D666" s="268">
        <v>6901</v>
      </c>
      <c r="E666" s="268" t="s">
        <v>4876</v>
      </c>
      <c r="F666" s="268" t="s">
        <v>4877</v>
      </c>
      <c r="G666" s="269">
        <v>5</v>
      </c>
      <c r="H666" s="269">
        <v>0</v>
      </c>
      <c r="I666" s="267">
        <v>34</v>
      </c>
      <c r="J666" s="282" t="s">
        <v>5412</v>
      </c>
      <c r="K666" s="279" t="s">
        <v>5413</v>
      </c>
      <c r="L666" s="279"/>
      <c r="M666" s="268">
        <v>1</v>
      </c>
      <c r="N666" s="268" t="b">
        <v>1</v>
      </c>
      <c r="O666" s="268">
        <v>12</v>
      </c>
      <c r="P666" s="281">
        <v>180</v>
      </c>
      <c r="Q666" s="281">
        <v>240</v>
      </c>
      <c r="R666" s="268" t="s">
        <v>3383</v>
      </c>
      <c r="S666" s="268"/>
      <c r="T666" s="268">
        <v>1</v>
      </c>
      <c r="U666" s="268" t="s">
        <v>4880</v>
      </c>
      <c r="V666" s="268">
        <v>5</v>
      </c>
      <c r="W666" s="268"/>
      <c r="X666" s="268" t="s">
        <v>4881</v>
      </c>
      <c r="Y666" t="s">
        <v>6711</v>
      </c>
      <c r="Z666" t="s">
        <v>6713</v>
      </c>
      <c r="AA666" s="268" t="s">
        <v>4884</v>
      </c>
      <c r="AB666" s="268"/>
      <c r="AC666" s="287">
        <v>1</v>
      </c>
      <c r="AD666" s="287">
        <v>1</v>
      </c>
      <c r="AE666" s="268"/>
      <c r="AF666" s="268"/>
      <c r="AG666" s="290"/>
    </row>
    <row r="667" spans="1:33" s="259" customFormat="1" ht="15" customHeight="1" x14ac:dyDescent="0.15">
      <c r="A667" s="267">
        <v>95301156</v>
      </c>
      <c r="B667" t="s">
        <v>6712</v>
      </c>
      <c r="C667" s="268" t="s">
        <v>6316</v>
      </c>
      <c r="D667" s="290">
        <v>6901</v>
      </c>
      <c r="E667" s="268" t="s">
        <v>4876</v>
      </c>
      <c r="F667" s="268" t="s">
        <v>4877</v>
      </c>
      <c r="G667" s="269">
        <v>6</v>
      </c>
      <c r="H667" s="269">
        <v>0</v>
      </c>
      <c r="I667" s="267">
        <v>34</v>
      </c>
      <c r="J667" s="282" t="s">
        <v>5412</v>
      </c>
      <c r="K667" s="279" t="s">
        <v>5413</v>
      </c>
      <c r="L667" s="279"/>
      <c r="M667" s="268">
        <v>1</v>
      </c>
      <c r="N667" s="268" t="b">
        <v>1</v>
      </c>
      <c r="O667" s="268">
        <v>25</v>
      </c>
      <c r="P667" s="281">
        <v>375</v>
      </c>
      <c r="Q667" s="281">
        <v>500</v>
      </c>
      <c r="R667" s="268" t="s">
        <v>3383</v>
      </c>
      <c r="S667" s="268"/>
      <c r="T667" s="268">
        <v>1</v>
      </c>
      <c r="U667" s="268" t="s">
        <v>4880</v>
      </c>
      <c r="V667" s="268">
        <v>6</v>
      </c>
      <c r="W667" s="268"/>
      <c r="X667" s="268" t="s">
        <v>4881</v>
      </c>
      <c r="Y667" t="s">
        <v>6711</v>
      </c>
      <c r="Z667" t="s">
        <v>6713</v>
      </c>
      <c r="AA667" s="268" t="s">
        <v>4884</v>
      </c>
      <c r="AB667" s="268"/>
      <c r="AC667" s="287">
        <v>1</v>
      </c>
      <c r="AD667" s="287">
        <v>1</v>
      </c>
      <c r="AE667" s="268"/>
      <c r="AF667" s="268"/>
      <c r="AG667" s="290"/>
    </row>
    <row r="668" spans="1:33" s="259" customFormat="1" ht="15" customHeight="1" x14ac:dyDescent="0.15">
      <c r="A668" s="267">
        <v>95301157</v>
      </c>
      <c r="B668" t="s">
        <v>6712</v>
      </c>
      <c r="C668" s="268" t="s">
        <v>6316</v>
      </c>
      <c r="D668" s="290">
        <v>6901</v>
      </c>
      <c r="E668" s="268" t="s">
        <v>4876</v>
      </c>
      <c r="F668" s="268" t="s">
        <v>4877</v>
      </c>
      <c r="G668" s="269">
        <v>7</v>
      </c>
      <c r="H668" s="269">
        <v>0</v>
      </c>
      <c r="I668" s="267">
        <v>34</v>
      </c>
      <c r="J668" s="282" t="s">
        <v>5412</v>
      </c>
      <c r="K668" s="279" t="s">
        <v>5413</v>
      </c>
      <c r="L668" s="279"/>
      <c r="M668" s="268">
        <v>1</v>
      </c>
      <c r="N668" s="268" t="b">
        <v>1</v>
      </c>
      <c r="O668" s="268">
        <v>38</v>
      </c>
      <c r="P668" s="281">
        <v>570</v>
      </c>
      <c r="Q668" s="281">
        <v>760</v>
      </c>
      <c r="R668" s="268" t="s">
        <v>3383</v>
      </c>
      <c r="S668" s="268"/>
      <c r="T668" s="268">
        <v>1</v>
      </c>
      <c r="U668" s="268" t="s">
        <v>4880</v>
      </c>
      <c r="V668" s="268">
        <v>7</v>
      </c>
      <c r="W668" s="268"/>
      <c r="X668" s="268" t="s">
        <v>4881</v>
      </c>
      <c r="Y668" t="s">
        <v>6711</v>
      </c>
      <c r="Z668" t="s">
        <v>6713</v>
      </c>
      <c r="AA668" s="268" t="s">
        <v>4884</v>
      </c>
      <c r="AB668" s="268"/>
      <c r="AC668" s="287">
        <v>1</v>
      </c>
      <c r="AD668" s="287">
        <v>1</v>
      </c>
      <c r="AE668" s="268"/>
      <c r="AF668" s="268"/>
      <c r="AG668" s="290"/>
    </row>
    <row r="669" spans="1:33" s="260" customFormat="1" ht="15" customHeight="1" x14ac:dyDescent="0.15">
      <c r="A669" s="267">
        <v>95301158</v>
      </c>
      <c r="B669" t="s">
        <v>6714</v>
      </c>
      <c r="C669" s="268" t="s">
        <v>6316</v>
      </c>
      <c r="D669" s="268">
        <v>5081</v>
      </c>
      <c r="E669" s="268" t="s">
        <v>4876</v>
      </c>
      <c r="F669" s="268" t="s">
        <v>4877</v>
      </c>
      <c r="G669" s="269">
        <v>6</v>
      </c>
      <c r="H669" s="269">
        <v>1</v>
      </c>
      <c r="I669" s="267">
        <v>34</v>
      </c>
      <c r="J669" s="301" t="s">
        <v>5412</v>
      </c>
      <c r="K669" s="279" t="s">
        <v>5413</v>
      </c>
      <c r="L669" s="279" t="s">
        <v>44</v>
      </c>
      <c r="M669" s="268">
        <v>1</v>
      </c>
      <c r="N669" s="268" t="b">
        <v>1</v>
      </c>
      <c r="O669" s="268">
        <v>51</v>
      </c>
      <c r="P669" s="281">
        <v>765</v>
      </c>
      <c r="Q669" s="281">
        <v>1020</v>
      </c>
      <c r="R669" s="268" t="s">
        <v>3383</v>
      </c>
      <c r="S669" s="268"/>
      <c r="T669" s="268">
        <v>1</v>
      </c>
      <c r="U669" s="268" t="s">
        <v>4880</v>
      </c>
      <c r="V669" s="268">
        <v>10</v>
      </c>
      <c r="W669" s="268"/>
      <c r="X669" s="268" t="s">
        <v>4881</v>
      </c>
      <c r="Y669" t="s">
        <v>6711</v>
      </c>
      <c r="Z669" t="s">
        <v>6713</v>
      </c>
      <c r="AA669" s="268" t="s">
        <v>4884</v>
      </c>
      <c r="AB669" s="268"/>
      <c r="AC669" s="287">
        <v>1</v>
      </c>
      <c r="AD669" s="287">
        <v>1</v>
      </c>
      <c r="AE669" s="268"/>
      <c r="AF669" s="268"/>
      <c r="AG669" s="290"/>
    </row>
    <row r="670" spans="1:33" s="261" customFormat="1" ht="15" customHeight="1" x14ac:dyDescent="0.15">
      <c r="A670" s="267">
        <v>95301159</v>
      </c>
      <c r="B670" t="s">
        <v>6715</v>
      </c>
      <c r="C670" s="268" t="s">
        <v>6316</v>
      </c>
      <c r="D670" s="268">
        <v>5081</v>
      </c>
      <c r="E670" s="268" t="s">
        <v>4876</v>
      </c>
      <c r="F670" s="268" t="s">
        <v>4877</v>
      </c>
      <c r="G670" s="269">
        <v>6</v>
      </c>
      <c r="H670" s="269">
        <v>1</v>
      </c>
      <c r="I670" s="267">
        <v>34</v>
      </c>
      <c r="J670" s="301" t="s">
        <v>5412</v>
      </c>
      <c r="K670" s="279" t="s">
        <v>5413</v>
      </c>
      <c r="L670" s="279" t="s">
        <v>4887</v>
      </c>
      <c r="M670" s="268">
        <v>1</v>
      </c>
      <c r="N670" s="268" t="b">
        <v>1</v>
      </c>
      <c r="O670" s="268">
        <v>64</v>
      </c>
      <c r="P670" s="281">
        <v>960</v>
      </c>
      <c r="Q670" s="281">
        <v>1280</v>
      </c>
      <c r="R670" s="268" t="s">
        <v>3383</v>
      </c>
      <c r="S670" s="268"/>
      <c r="T670" s="268">
        <v>1</v>
      </c>
      <c r="U670" s="268" t="s">
        <v>4880</v>
      </c>
      <c r="V670" s="268">
        <v>10</v>
      </c>
      <c r="W670" s="268"/>
      <c r="X670" s="268" t="s">
        <v>4881</v>
      </c>
      <c r="Y670" t="s">
        <v>6711</v>
      </c>
      <c r="Z670" t="s">
        <v>6713</v>
      </c>
      <c r="AA670" s="268" t="s">
        <v>4884</v>
      </c>
      <c r="AB670" s="268"/>
      <c r="AC670" s="287">
        <v>1</v>
      </c>
      <c r="AD670" s="287">
        <v>1</v>
      </c>
      <c r="AE670" s="268"/>
      <c r="AF670" s="268"/>
      <c r="AG670" s="290"/>
    </row>
    <row r="671" spans="1:33" s="261" customFormat="1" ht="15" customHeight="1" x14ac:dyDescent="0.15">
      <c r="A671" s="267">
        <v>95301160</v>
      </c>
      <c r="B671" t="s">
        <v>6716</v>
      </c>
      <c r="C671" s="268" t="s">
        <v>6316</v>
      </c>
      <c r="D671" s="268">
        <v>5081</v>
      </c>
      <c r="E671" s="268" t="s">
        <v>4876</v>
      </c>
      <c r="F671" s="268" t="s">
        <v>4877</v>
      </c>
      <c r="G671" s="269">
        <v>7</v>
      </c>
      <c r="H671" s="269">
        <v>0</v>
      </c>
      <c r="I671" s="267">
        <v>34</v>
      </c>
      <c r="J671" s="301" t="s">
        <v>5412</v>
      </c>
      <c r="K671" s="279" t="s">
        <v>5413</v>
      </c>
      <c r="L671" s="279" t="s">
        <v>4889</v>
      </c>
      <c r="M671" s="268">
        <v>1</v>
      </c>
      <c r="N671" s="268" t="b">
        <v>1</v>
      </c>
      <c r="O671" s="268">
        <v>77</v>
      </c>
      <c r="P671" s="281">
        <v>1155</v>
      </c>
      <c r="Q671" s="281">
        <v>1540</v>
      </c>
      <c r="R671" s="268" t="s">
        <v>3383</v>
      </c>
      <c r="S671" s="268"/>
      <c r="T671" s="268">
        <v>1</v>
      </c>
      <c r="U671" s="268" t="s">
        <v>4880</v>
      </c>
      <c r="V671" s="268">
        <v>10</v>
      </c>
      <c r="W671" s="268"/>
      <c r="X671" s="268" t="s">
        <v>4881</v>
      </c>
      <c r="Y671" t="s">
        <v>6711</v>
      </c>
      <c r="Z671" t="s">
        <v>6713</v>
      </c>
      <c r="AA671" s="268" t="s">
        <v>4884</v>
      </c>
      <c r="AB671" s="268"/>
      <c r="AC671" s="287">
        <v>1</v>
      </c>
      <c r="AD671" s="287">
        <v>1</v>
      </c>
      <c r="AE671" s="268"/>
      <c r="AF671" s="268"/>
      <c r="AG671" s="290"/>
    </row>
    <row r="672" spans="1:33" s="261" customFormat="1" ht="15" customHeight="1" x14ac:dyDescent="0.15">
      <c r="A672" s="267">
        <v>95301161</v>
      </c>
      <c r="B672" t="s">
        <v>6717</v>
      </c>
      <c r="C672" s="268" t="s">
        <v>6316</v>
      </c>
      <c r="D672" s="268">
        <v>6901</v>
      </c>
      <c r="E672" s="268" t="s">
        <v>4876</v>
      </c>
      <c r="F672" s="268" t="s">
        <v>4877</v>
      </c>
      <c r="G672" s="269">
        <v>1</v>
      </c>
      <c r="H672" s="269">
        <v>0</v>
      </c>
      <c r="I672" s="267">
        <v>34</v>
      </c>
      <c r="J672" s="301" t="s">
        <v>5420</v>
      </c>
      <c r="K672" s="279" t="s">
        <v>5421</v>
      </c>
      <c r="L672" s="279"/>
      <c r="M672" s="268">
        <v>1</v>
      </c>
      <c r="N672" s="268" t="b">
        <v>1</v>
      </c>
      <c r="O672" s="268">
        <v>2</v>
      </c>
      <c r="P672" s="281">
        <v>30</v>
      </c>
      <c r="Q672" s="281">
        <v>40</v>
      </c>
      <c r="R672" s="268" t="s">
        <v>3383</v>
      </c>
      <c r="S672" s="268"/>
      <c r="T672" s="268">
        <v>1</v>
      </c>
      <c r="U672" s="268" t="s">
        <v>4880</v>
      </c>
      <c r="V672" s="268">
        <v>1</v>
      </c>
      <c r="W672" s="268"/>
      <c r="X672" s="268" t="s">
        <v>4881</v>
      </c>
      <c r="Y672" t="s">
        <v>6711</v>
      </c>
      <c r="Z672" t="s">
        <v>6713</v>
      </c>
      <c r="AA672" s="268" t="s">
        <v>4884</v>
      </c>
      <c r="AB672" s="268"/>
      <c r="AC672" s="287">
        <v>1</v>
      </c>
      <c r="AD672" s="287">
        <v>1</v>
      </c>
      <c r="AE672" s="268"/>
      <c r="AF672" s="268"/>
      <c r="AG672" s="290"/>
    </row>
    <row r="673" spans="1:33" s="261" customFormat="1" ht="15" customHeight="1" x14ac:dyDescent="0.15">
      <c r="A673" s="267">
        <v>95301162</v>
      </c>
      <c r="B673" t="s">
        <v>6717</v>
      </c>
      <c r="C673" s="268" t="s">
        <v>6316</v>
      </c>
      <c r="D673" s="268">
        <v>6901</v>
      </c>
      <c r="E673" s="268" t="s">
        <v>4876</v>
      </c>
      <c r="F673" s="268" t="s">
        <v>4877</v>
      </c>
      <c r="G673" s="269">
        <v>2</v>
      </c>
      <c r="H673" s="269">
        <v>0</v>
      </c>
      <c r="I673" s="267">
        <v>34</v>
      </c>
      <c r="J673" s="301" t="s">
        <v>5420</v>
      </c>
      <c r="K673" s="279" t="s">
        <v>5421</v>
      </c>
      <c r="L673" s="279"/>
      <c r="M673" s="268">
        <v>1</v>
      </c>
      <c r="N673" s="268" t="b">
        <v>1</v>
      </c>
      <c r="O673" s="268">
        <v>5</v>
      </c>
      <c r="P673" s="281">
        <v>75</v>
      </c>
      <c r="Q673" s="281">
        <v>100</v>
      </c>
      <c r="R673" s="268" t="s">
        <v>3383</v>
      </c>
      <c r="S673" s="268"/>
      <c r="T673" s="268">
        <v>1</v>
      </c>
      <c r="U673" s="268" t="s">
        <v>4880</v>
      </c>
      <c r="V673" s="268">
        <v>2</v>
      </c>
      <c r="W673" s="268"/>
      <c r="X673" s="268" t="s">
        <v>4881</v>
      </c>
      <c r="Y673" t="s">
        <v>6711</v>
      </c>
      <c r="Z673" t="s">
        <v>6713</v>
      </c>
      <c r="AA673" s="268" t="s">
        <v>4884</v>
      </c>
      <c r="AB673" s="268"/>
      <c r="AC673" s="287">
        <v>1</v>
      </c>
      <c r="AD673" s="287">
        <v>1</v>
      </c>
      <c r="AE673" s="268"/>
      <c r="AF673" s="268"/>
      <c r="AG673" s="290"/>
    </row>
    <row r="674" spans="1:33" s="261" customFormat="1" ht="15" customHeight="1" x14ac:dyDescent="0.15">
      <c r="A674" s="267">
        <v>95301163</v>
      </c>
      <c r="B674" t="s">
        <v>6717</v>
      </c>
      <c r="C674" s="268" t="s">
        <v>6316</v>
      </c>
      <c r="D674" s="268">
        <v>6901</v>
      </c>
      <c r="E674" s="268" t="s">
        <v>4876</v>
      </c>
      <c r="F674" s="268" t="s">
        <v>4877</v>
      </c>
      <c r="G674" s="269">
        <v>3</v>
      </c>
      <c r="H674" s="269">
        <v>0</v>
      </c>
      <c r="I674" s="267">
        <v>34</v>
      </c>
      <c r="J674" s="301" t="s">
        <v>5420</v>
      </c>
      <c r="K674" s="279" t="s">
        <v>5421</v>
      </c>
      <c r="L674" s="279"/>
      <c r="M674" s="268">
        <v>1</v>
      </c>
      <c r="N674" s="268" t="b">
        <v>1</v>
      </c>
      <c r="O674" s="268">
        <v>7</v>
      </c>
      <c r="P674" s="281">
        <v>105</v>
      </c>
      <c r="Q674" s="281">
        <v>140</v>
      </c>
      <c r="R674" s="268" t="s">
        <v>3383</v>
      </c>
      <c r="S674" s="268"/>
      <c r="T674" s="268">
        <v>1</v>
      </c>
      <c r="U674" s="268" t="s">
        <v>4880</v>
      </c>
      <c r="V674" s="268">
        <v>3</v>
      </c>
      <c r="W674" s="268"/>
      <c r="X674" s="268" t="s">
        <v>4881</v>
      </c>
      <c r="Y674" t="s">
        <v>6711</v>
      </c>
      <c r="Z674" t="s">
        <v>6713</v>
      </c>
      <c r="AA674" s="268" t="s">
        <v>4884</v>
      </c>
      <c r="AB674" s="268"/>
      <c r="AC674" s="287">
        <v>1</v>
      </c>
      <c r="AD674" s="287">
        <v>1</v>
      </c>
      <c r="AE674" s="268"/>
      <c r="AF674" s="268"/>
      <c r="AG674" s="290"/>
    </row>
    <row r="675" spans="1:33" s="261" customFormat="1" ht="15" customHeight="1" x14ac:dyDescent="0.15">
      <c r="A675" s="267">
        <v>95301164</v>
      </c>
      <c r="B675" t="s">
        <v>6717</v>
      </c>
      <c r="C675" s="268" t="s">
        <v>6316</v>
      </c>
      <c r="D675" s="268">
        <v>6901</v>
      </c>
      <c r="E675" s="268" t="s">
        <v>4876</v>
      </c>
      <c r="F675" s="268" t="s">
        <v>4877</v>
      </c>
      <c r="G675" s="269">
        <v>4</v>
      </c>
      <c r="H675" s="269">
        <v>0</v>
      </c>
      <c r="I675" s="267">
        <v>34</v>
      </c>
      <c r="J675" s="301" t="s">
        <v>5420</v>
      </c>
      <c r="K675" s="279" t="s">
        <v>5421</v>
      </c>
      <c r="L675" s="279"/>
      <c r="M675" s="268">
        <v>1</v>
      </c>
      <c r="N675" s="268" t="b">
        <v>1</v>
      </c>
      <c r="O675" s="268">
        <v>10</v>
      </c>
      <c r="P675" s="281">
        <v>150</v>
      </c>
      <c r="Q675" s="281">
        <v>200</v>
      </c>
      <c r="R675" s="268" t="s">
        <v>3383</v>
      </c>
      <c r="S675" s="268"/>
      <c r="T675" s="268">
        <v>1</v>
      </c>
      <c r="U675" s="268" t="s">
        <v>4880</v>
      </c>
      <c r="V675" s="268">
        <v>4</v>
      </c>
      <c r="W675" s="268"/>
      <c r="X675" s="268" t="s">
        <v>4881</v>
      </c>
      <c r="Y675" t="s">
        <v>6711</v>
      </c>
      <c r="Z675" t="s">
        <v>6713</v>
      </c>
      <c r="AA675" s="268" t="s">
        <v>4884</v>
      </c>
      <c r="AB675" s="268"/>
      <c r="AC675" s="287">
        <v>1</v>
      </c>
      <c r="AD675" s="287">
        <v>1</v>
      </c>
      <c r="AE675" s="268"/>
      <c r="AF675" s="268"/>
      <c r="AG675" s="290"/>
    </row>
    <row r="676" spans="1:33" s="261" customFormat="1" ht="15" customHeight="1" x14ac:dyDescent="0.15">
      <c r="A676" s="267">
        <v>95301165</v>
      </c>
      <c r="B676" t="s">
        <v>6717</v>
      </c>
      <c r="C676" s="268" t="s">
        <v>6316</v>
      </c>
      <c r="D676" s="268">
        <v>6901</v>
      </c>
      <c r="E676" s="268" t="s">
        <v>4876</v>
      </c>
      <c r="F676" s="268" t="s">
        <v>4877</v>
      </c>
      <c r="G676" s="269">
        <v>5</v>
      </c>
      <c r="H676" s="269">
        <v>0</v>
      </c>
      <c r="I676" s="267">
        <v>34</v>
      </c>
      <c r="J676" s="301" t="s">
        <v>5420</v>
      </c>
      <c r="K676" s="279" t="s">
        <v>5421</v>
      </c>
      <c r="L676" s="279"/>
      <c r="M676" s="268">
        <v>1</v>
      </c>
      <c r="N676" s="268" t="b">
        <v>1</v>
      </c>
      <c r="O676" s="268">
        <v>12</v>
      </c>
      <c r="P676" s="281">
        <v>180</v>
      </c>
      <c r="Q676" s="281">
        <v>240</v>
      </c>
      <c r="R676" s="268" t="s">
        <v>3383</v>
      </c>
      <c r="S676" s="268"/>
      <c r="T676" s="268">
        <v>1</v>
      </c>
      <c r="U676" s="268" t="s">
        <v>4880</v>
      </c>
      <c r="V676" s="268">
        <v>5</v>
      </c>
      <c r="W676" s="268"/>
      <c r="X676" s="268" t="s">
        <v>4881</v>
      </c>
      <c r="Y676" t="s">
        <v>6711</v>
      </c>
      <c r="Z676" t="s">
        <v>6713</v>
      </c>
      <c r="AA676" s="268" t="s">
        <v>4884</v>
      </c>
      <c r="AB676" s="268"/>
      <c r="AC676" s="287">
        <v>1</v>
      </c>
      <c r="AD676" s="287">
        <v>1</v>
      </c>
      <c r="AE676" s="268"/>
      <c r="AF676" s="268"/>
      <c r="AG676" s="290"/>
    </row>
    <row r="677" spans="1:33" s="261" customFormat="1" ht="15" customHeight="1" x14ac:dyDescent="0.15">
      <c r="A677" s="267">
        <v>95301166</v>
      </c>
      <c r="B677" t="s">
        <v>6717</v>
      </c>
      <c r="C677" s="268" t="s">
        <v>6316</v>
      </c>
      <c r="D677" s="268">
        <v>6901</v>
      </c>
      <c r="E677" s="268" t="s">
        <v>4876</v>
      </c>
      <c r="F677" s="268" t="s">
        <v>4877</v>
      </c>
      <c r="G677" s="269">
        <v>6</v>
      </c>
      <c r="H677" s="269">
        <v>0</v>
      </c>
      <c r="I677" s="267">
        <v>34</v>
      </c>
      <c r="J677" s="301" t="s">
        <v>5420</v>
      </c>
      <c r="K677" s="279" t="s">
        <v>5421</v>
      </c>
      <c r="L677" s="279"/>
      <c r="M677" s="268">
        <v>1</v>
      </c>
      <c r="N677" s="268" t="b">
        <v>1</v>
      </c>
      <c r="O677" s="268">
        <v>25</v>
      </c>
      <c r="P677" s="281">
        <v>375</v>
      </c>
      <c r="Q677" s="281">
        <v>500</v>
      </c>
      <c r="R677" s="268" t="s">
        <v>3383</v>
      </c>
      <c r="S677" s="268"/>
      <c r="T677" s="268">
        <v>1</v>
      </c>
      <c r="U677" s="268" t="s">
        <v>4880</v>
      </c>
      <c r="V677" s="268">
        <v>6</v>
      </c>
      <c r="W677" s="268"/>
      <c r="X677" s="268" t="s">
        <v>4881</v>
      </c>
      <c r="Y677" t="s">
        <v>6711</v>
      </c>
      <c r="Z677" t="s">
        <v>6713</v>
      </c>
      <c r="AA677" s="268" t="s">
        <v>4884</v>
      </c>
      <c r="AB677" s="268"/>
      <c r="AC677" s="287">
        <v>1</v>
      </c>
      <c r="AD677" s="287">
        <v>1</v>
      </c>
      <c r="AE677" s="268"/>
      <c r="AF677" s="268"/>
      <c r="AG677" s="290"/>
    </row>
    <row r="678" spans="1:33" s="261" customFormat="1" ht="15" customHeight="1" x14ac:dyDescent="0.15">
      <c r="A678" s="267">
        <v>95301167</v>
      </c>
      <c r="B678" t="s">
        <v>6717</v>
      </c>
      <c r="C678" s="268" t="s">
        <v>6316</v>
      </c>
      <c r="D678" s="268">
        <v>6901</v>
      </c>
      <c r="E678" s="269" t="s">
        <v>4876</v>
      </c>
      <c r="F678" s="268" t="s">
        <v>4877</v>
      </c>
      <c r="G678" s="269">
        <v>7</v>
      </c>
      <c r="H678" s="269">
        <v>0</v>
      </c>
      <c r="I678" s="279" t="s">
        <v>5422</v>
      </c>
      <c r="J678" s="268" t="s">
        <v>5420</v>
      </c>
      <c r="K678" s="268">
        <v>3011601</v>
      </c>
      <c r="L678" s="268"/>
      <c r="M678" s="268">
        <v>1</v>
      </c>
      <c r="N678" s="268" t="b">
        <v>1</v>
      </c>
      <c r="O678" s="268">
        <v>38</v>
      </c>
      <c r="P678" s="281">
        <v>570</v>
      </c>
      <c r="Q678" s="281">
        <v>760</v>
      </c>
      <c r="R678" s="268" t="s">
        <v>3383</v>
      </c>
      <c r="S678" s="268"/>
      <c r="T678" s="268">
        <v>1</v>
      </c>
      <c r="U678" s="268" t="s">
        <v>4880</v>
      </c>
      <c r="V678" s="278">
        <v>7</v>
      </c>
      <c r="W678" s="278"/>
      <c r="X678" s="268" t="s">
        <v>4881</v>
      </c>
      <c r="Y678" t="s">
        <v>6711</v>
      </c>
      <c r="Z678" t="s">
        <v>6713</v>
      </c>
      <c r="AA678" s="268" t="s">
        <v>4884</v>
      </c>
      <c r="AB678" s="290"/>
      <c r="AC678" s="287">
        <v>1</v>
      </c>
      <c r="AD678" s="287">
        <v>1</v>
      </c>
      <c r="AE678" s="268"/>
      <c r="AF678" s="268"/>
      <c r="AG678" s="290"/>
    </row>
    <row r="679" spans="1:33" s="261" customFormat="1" ht="15" customHeight="1" x14ac:dyDescent="0.15">
      <c r="A679" s="267">
        <v>95301168</v>
      </c>
      <c r="B679" t="s">
        <v>6718</v>
      </c>
      <c r="C679" s="268" t="s">
        <v>6316</v>
      </c>
      <c r="D679" s="268">
        <v>5081</v>
      </c>
      <c r="E679" s="269" t="s">
        <v>4876</v>
      </c>
      <c r="F679" s="268" t="s">
        <v>4877</v>
      </c>
      <c r="G679" s="269">
        <v>6</v>
      </c>
      <c r="H679" s="269">
        <v>0</v>
      </c>
      <c r="I679" s="279" t="s">
        <v>5422</v>
      </c>
      <c r="J679" s="268" t="s">
        <v>5420</v>
      </c>
      <c r="K679" s="268">
        <v>3011601</v>
      </c>
      <c r="L679" s="268" t="s">
        <v>44</v>
      </c>
      <c r="M679" s="268">
        <v>1</v>
      </c>
      <c r="N679" s="268" t="b">
        <v>1</v>
      </c>
      <c r="O679" s="268">
        <v>51</v>
      </c>
      <c r="P679" s="281">
        <v>765</v>
      </c>
      <c r="Q679" s="281">
        <v>1020</v>
      </c>
      <c r="R679" s="268" t="s">
        <v>3383</v>
      </c>
      <c r="S679" s="268"/>
      <c r="T679" s="268">
        <v>1</v>
      </c>
      <c r="U679" s="268" t="s">
        <v>4880</v>
      </c>
      <c r="V679" s="278">
        <v>10</v>
      </c>
      <c r="W679" s="278"/>
      <c r="X679" s="268" t="s">
        <v>4881</v>
      </c>
      <c r="Y679" t="s">
        <v>6711</v>
      </c>
      <c r="Z679" t="s">
        <v>6713</v>
      </c>
      <c r="AA679" s="268" t="s">
        <v>4884</v>
      </c>
      <c r="AB679" s="290"/>
      <c r="AC679" s="287">
        <v>1</v>
      </c>
      <c r="AD679" s="287">
        <v>1</v>
      </c>
      <c r="AE679" s="268"/>
      <c r="AF679" s="268"/>
      <c r="AG679" s="290"/>
    </row>
    <row r="680" spans="1:33" s="261" customFormat="1" ht="15" customHeight="1" x14ac:dyDescent="0.15">
      <c r="A680" s="267">
        <v>95301169</v>
      </c>
      <c r="B680" t="s">
        <v>6719</v>
      </c>
      <c r="C680" s="268" t="s">
        <v>6316</v>
      </c>
      <c r="D680" s="268">
        <v>5081</v>
      </c>
      <c r="E680" s="268" t="s">
        <v>4876</v>
      </c>
      <c r="F680" s="268" t="s">
        <v>4877</v>
      </c>
      <c r="G680" s="269">
        <v>6</v>
      </c>
      <c r="H680" s="269">
        <v>0</v>
      </c>
      <c r="I680" s="267">
        <v>34</v>
      </c>
      <c r="J680" s="301" t="s">
        <v>5420</v>
      </c>
      <c r="K680" s="279" t="s">
        <v>5421</v>
      </c>
      <c r="L680" s="279" t="s">
        <v>4887</v>
      </c>
      <c r="M680" s="268">
        <v>1</v>
      </c>
      <c r="N680" s="268" t="b">
        <v>1</v>
      </c>
      <c r="O680" s="268">
        <v>64</v>
      </c>
      <c r="P680" s="281">
        <v>960</v>
      </c>
      <c r="Q680" s="281">
        <v>1280</v>
      </c>
      <c r="R680" s="268" t="s">
        <v>3383</v>
      </c>
      <c r="S680" s="268"/>
      <c r="T680" s="268">
        <v>1</v>
      </c>
      <c r="U680" s="268" t="s">
        <v>4880</v>
      </c>
      <c r="V680" s="268">
        <v>10</v>
      </c>
      <c r="W680" s="268"/>
      <c r="X680" s="268" t="s">
        <v>4881</v>
      </c>
      <c r="Y680" t="s">
        <v>6711</v>
      </c>
      <c r="Z680" t="s">
        <v>6713</v>
      </c>
      <c r="AA680" s="268" t="s">
        <v>4884</v>
      </c>
      <c r="AB680" s="268"/>
      <c r="AC680" s="287">
        <v>1</v>
      </c>
      <c r="AD680" s="287">
        <v>1</v>
      </c>
      <c r="AE680" s="268"/>
      <c r="AF680" s="268"/>
      <c r="AG680" s="290"/>
    </row>
    <row r="681" spans="1:33" s="261" customFormat="1" ht="15" customHeight="1" x14ac:dyDescent="0.15">
      <c r="A681" s="267">
        <v>95301170</v>
      </c>
      <c r="B681" t="s">
        <v>6720</v>
      </c>
      <c r="C681" s="268" t="s">
        <v>6316</v>
      </c>
      <c r="D681" s="268">
        <v>5081</v>
      </c>
      <c r="E681" s="268" t="s">
        <v>4876</v>
      </c>
      <c r="F681" s="268" t="s">
        <v>4877</v>
      </c>
      <c r="G681" s="269">
        <v>7</v>
      </c>
      <c r="H681" s="269">
        <v>0</v>
      </c>
      <c r="I681" s="267">
        <v>34</v>
      </c>
      <c r="J681" s="301" t="s">
        <v>5420</v>
      </c>
      <c r="K681" s="279" t="s">
        <v>5421</v>
      </c>
      <c r="L681" s="279" t="s">
        <v>4889</v>
      </c>
      <c r="M681" s="268">
        <v>1</v>
      </c>
      <c r="N681" s="268" t="b">
        <v>1</v>
      </c>
      <c r="O681" s="268">
        <v>77</v>
      </c>
      <c r="P681" s="281">
        <v>1155</v>
      </c>
      <c r="Q681" s="281">
        <v>1540</v>
      </c>
      <c r="R681" s="268" t="s">
        <v>3383</v>
      </c>
      <c r="S681" s="268"/>
      <c r="T681" s="268">
        <v>1</v>
      </c>
      <c r="U681" s="268" t="s">
        <v>4880</v>
      </c>
      <c r="V681" s="268">
        <v>10</v>
      </c>
      <c r="W681" s="268"/>
      <c r="X681" s="268" t="s">
        <v>4881</v>
      </c>
      <c r="Y681" t="s">
        <v>6721</v>
      </c>
      <c r="Z681" t="s">
        <v>6713</v>
      </c>
      <c r="AA681" s="268" t="s">
        <v>4884</v>
      </c>
      <c r="AB681" s="268"/>
      <c r="AC681" s="287">
        <v>1</v>
      </c>
      <c r="AD681" s="287">
        <v>1</v>
      </c>
      <c r="AE681" s="268"/>
      <c r="AF681" s="268"/>
      <c r="AG681" s="290"/>
    </row>
    <row r="682" spans="1:33" s="261" customFormat="1" ht="15" customHeight="1" x14ac:dyDescent="0.15">
      <c r="A682" s="267">
        <v>95301171</v>
      </c>
      <c r="B682" t="s">
        <v>6722</v>
      </c>
      <c r="C682" s="268" t="s">
        <v>6316</v>
      </c>
      <c r="D682" s="268">
        <v>6901</v>
      </c>
      <c r="E682" s="268" t="s">
        <v>4876</v>
      </c>
      <c r="F682" s="268" t="s">
        <v>4877</v>
      </c>
      <c r="G682" s="269">
        <v>1</v>
      </c>
      <c r="H682" s="269">
        <v>0</v>
      </c>
      <c r="I682" s="267">
        <v>34</v>
      </c>
      <c r="J682" s="301" t="s">
        <v>5427</v>
      </c>
      <c r="K682" s="279" t="s">
        <v>5428</v>
      </c>
      <c r="L682" s="279"/>
      <c r="M682" s="268">
        <v>1</v>
      </c>
      <c r="N682" s="268" t="b">
        <v>1</v>
      </c>
      <c r="O682" s="268">
        <v>2</v>
      </c>
      <c r="P682" s="281">
        <v>30</v>
      </c>
      <c r="Q682" s="281">
        <v>40</v>
      </c>
      <c r="R682" s="268" t="s">
        <v>3383</v>
      </c>
      <c r="S682" s="268"/>
      <c r="T682" s="268">
        <v>1</v>
      </c>
      <c r="U682" s="268" t="s">
        <v>4880</v>
      </c>
      <c r="V682" s="268">
        <v>1</v>
      </c>
      <c r="W682" s="268"/>
      <c r="X682" s="268" t="s">
        <v>4881</v>
      </c>
      <c r="Y682" t="s">
        <v>6721</v>
      </c>
      <c r="Z682" t="s">
        <v>6723</v>
      </c>
      <c r="AA682" s="268" t="s">
        <v>4884</v>
      </c>
      <c r="AB682" s="268"/>
      <c r="AC682" s="287">
        <v>1</v>
      </c>
      <c r="AD682" s="287">
        <v>1</v>
      </c>
      <c r="AE682" s="268"/>
      <c r="AF682" s="268"/>
      <c r="AG682" s="290"/>
    </row>
    <row r="683" spans="1:33" s="261" customFormat="1" ht="15" customHeight="1" x14ac:dyDescent="0.15">
      <c r="A683" s="267">
        <v>95301172</v>
      </c>
      <c r="B683" t="s">
        <v>6722</v>
      </c>
      <c r="C683" s="268" t="s">
        <v>6316</v>
      </c>
      <c r="D683" s="268">
        <v>6901</v>
      </c>
      <c r="E683" s="268" t="s">
        <v>4876</v>
      </c>
      <c r="F683" s="268" t="s">
        <v>4877</v>
      </c>
      <c r="G683" s="269">
        <v>2</v>
      </c>
      <c r="H683" s="269">
        <v>0</v>
      </c>
      <c r="I683" s="267">
        <v>34</v>
      </c>
      <c r="J683" s="301" t="s">
        <v>5427</v>
      </c>
      <c r="K683" s="279" t="s">
        <v>5428</v>
      </c>
      <c r="L683" s="279"/>
      <c r="M683" s="268">
        <v>1</v>
      </c>
      <c r="N683" s="268" t="b">
        <v>1</v>
      </c>
      <c r="O683" s="268">
        <v>5</v>
      </c>
      <c r="P683" s="281">
        <v>75</v>
      </c>
      <c r="Q683" s="281">
        <v>100</v>
      </c>
      <c r="R683" s="268" t="s">
        <v>3383</v>
      </c>
      <c r="S683" s="268"/>
      <c r="T683" s="268">
        <v>1</v>
      </c>
      <c r="U683" s="268" t="s">
        <v>4880</v>
      </c>
      <c r="V683" s="268">
        <v>2</v>
      </c>
      <c r="W683" s="268"/>
      <c r="X683" s="268" t="s">
        <v>4881</v>
      </c>
      <c r="Y683" t="s">
        <v>6721</v>
      </c>
      <c r="Z683" t="s">
        <v>6723</v>
      </c>
      <c r="AA683" s="268" t="s">
        <v>4884</v>
      </c>
      <c r="AB683" s="268"/>
      <c r="AC683" s="287">
        <v>1</v>
      </c>
      <c r="AD683" s="287">
        <v>1</v>
      </c>
      <c r="AE683" s="268"/>
      <c r="AF683" s="268"/>
      <c r="AG683" s="290"/>
    </row>
    <row r="684" spans="1:33" s="261" customFormat="1" ht="15" customHeight="1" x14ac:dyDescent="0.15">
      <c r="A684" s="267">
        <v>95301173</v>
      </c>
      <c r="B684" t="s">
        <v>6722</v>
      </c>
      <c r="C684" s="268" t="s">
        <v>6316</v>
      </c>
      <c r="D684" s="268">
        <v>6901</v>
      </c>
      <c r="E684" s="268" t="s">
        <v>4876</v>
      </c>
      <c r="F684" s="268" t="s">
        <v>4877</v>
      </c>
      <c r="G684" s="269">
        <v>3</v>
      </c>
      <c r="H684" s="269">
        <v>0</v>
      </c>
      <c r="I684" s="267">
        <v>34</v>
      </c>
      <c r="J684" s="301" t="s">
        <v>5427</v>
      </c>
      <c r="K684" s="279" t="s">
        <v>5428</v>
      </c>
      <c r="L684" s="279"/>
      <c r="M684" s="268">
        <v>1</v>
      </c>
      <c r="N684" s="268" t="b">
        <v>1</v>
      </c>
      <c r="O684" s="268">
        <v>7</v>
      </c>
      <c r="P684" s="281">
        <v>105</v>
      </c>
      <c r="Q684" s="281">
        <v>140</v>
      </c>
      <c r="R684" s="268" t="s">
        <v>3383</v>
      </c>
      <c r="S684" s="268"/>
      <c r="T684" s="268">
        <v>1</v>
      </c>
      <c r="U684" s="268" t="s">
        <v>4880</v>
      </c>
      <c r="V684" s="268">
        <v>3</v>
      </c>
      <c r="W684" s="268"/>
      <c r="X684" s="268" t="s">
        <v>4881</v>
      </c>
      <c r="Y684" t="s">
        <v>6721</v>
      </c>
      <c r="Z684" t="s">
        <v>6723</v>
      </c>
      <c r="AA684" s="268" t="s">
        <v>4884</v>
      </c>
      <c r="AB684" s="268"/>
      <c r="AC684" s="287">
        <v>1</v>
      </c>
      <c r="AD684" s="287">
        <v>1</v>
      </c>
      <c r="AE684" s="268"/>
      <c r="AF684" s="268"/>
      <c r="AG684" s="290"/>
    </row>
    <row r="685" spans="1:33" s="261" customFormat="1" ht="15" customHeight="1" x14ac:dyDescent="0.15">
      <c r="A685" s="267">
        <v>95301174</v>
      </c>
      <c r="B685" t="s">
        <v>6722</v>
      </c>
      <c r="C685" s="268" t="s">
        <v>6316</v>
      </c>
      <c r="D685" s="268">
        <v>6901</v>
      </c>
      <c r="E685" s="268" t="s">
        <v>4876</v>
      </c>
      <c r="F685" s="268" t="s">
        <v>4877</v>
      </c>
      <c r="G685" s="269">
        <v>4</v>
      </c>
      <c r="H685" s="269">
        <v>0</v>
      </c>
      <c r="I685" s="267">
        <v>34</v>
      </c>
      <c r="J685" s="301" t="s">
        <v>5427</v>
      </c>
      <c r="K685" s="279" t="s">
        <v>5428</v>
      </c>
      <c r="L685" s="279"/>
      <c r="M685" s="268">
        <v>1</v>
      </c>
      <c r="N685" s="268" t="b">
        <v>1</v>
      </c>
      <c r="O685" s="268">
        <v>10</v>
      </c>
      <c r="P685" s="281">
        <v>150</v>
      </c>
      <c r="Q685" s="281">
        <v>200</v>
      </c>
      <c r="R685" s="268" t="s">
        <v>3383</v>
      </c>
      <c r="S685" s="268"/>
      <c r="T685" s="268">
        <v>1</v>
      </c>
      <c r="U685" s="268" t="s">
        <v>4880</v>
      </c>
      <c r="V685" s="268">
        <v>4</v>
      </c>
      <c r="W685" s="268"/>
      <c r="X685" s="268" t="s">
        <v>4881</v>
      </c>
      <c r="Y685" t="s">
        <v>6721</v>
      </c>
      <c r="Z685" t="s">
        <v>6723</v>
      </c>
      <c r="AA685" s="268" t="s">
        <v>4884</v>
      </c>
      <c r="AB685" s="268"/>
      <c r="AC685" s="287">
        <v>1</v>
      </c>
      <c r="AD685" s="287">
        <v>1</v>
      </c>
      <c r="AE685" s="268"/>
      <c r="AF685" s="268"/>
      <c r="AG685" s="290"/>
    </row>
    <row r="686" spans="1:33" s="261" customFormat="1" ht="15" customHeight="1" x14ac:dyDescent="0.15">
      <c r="A686" s="267">
        <v>95301175</v>
      </c>
      <c r="B686" t="s">
        <v>6722</v>
      </c>
      <c r="C686" s="268" t="s">
        <v>6316</v>
      </c>
      <c r="D686" s="268">
        <v>6901</v>
      </c>
      <c r="E686" s="268" t="s">
        <v>4876</v>
      </c>
      <c r="F686" s="268" t="s">
        <v>4877</v>
      </c>
      <c r="G686" s="269">
        <v>5</v>
      </c>
      <c r="H686" s="269">
        <v>0</v>
      </c>
      <c r="I686" s="267">
        <v>34</v>
      </c>
      <c r="J686" s="301" t="s">
        <v>5427</v>
      </c>
      <c r="K686" s="279" t="s">
        <v>5428</v>
      </c>
      <c r="L686" s="279"/>
      <c r="M686" s="268">
        <v>1</v>
      </c>
      <c r="N686" s="268" t="b">
        <v>1</v>
      </c>
      <c r="O686" s="268">
        <v>12</v>
      </c>
      <c r="P686" s="281">
        <v>180</v>
      </c>
      <c r="Q686" s="281">
        <v>240</v>
      </c>
      <c r="R686" s="268" t="s">
        <v>3383</v>
      </c>
      <c r="S686" s="268"/>
      <c r="T686" s="268">
        <v>1</v>
      </c>
      <c r="U686" s="268" t="s">
        <v>4880</v>
      </c>
      <c r="V686" s="268">
        <v>5</v>
      </c>
      <c r="W686" s="268"/>
      <c r="X686" s="268" t="s">
        <v>4881</v>
      </c>
      <c r="Y686" t="s">
        <v>6721</v>
      </c>
      <c r="Z686" t="s">
        <v>6723</v>
      </c>
      <c r="AA686" s="268" t="s">
        <v>4884</v>
      </c>
      <c r="AB686" s="268"/>
      <c r="AC686" s="287">
        <v>1</v>
      </c>
      <c r="AD686" s="287">
        <v>1</v>
      </c>
      <c r="AE686" s="268"/>
      <c r="AF686" s="268"/>
      <c r="AG686" s="290"/>
    </row>
    <row r="687" spans="1:33" s="261" customFormat="1" ht="15" customHeight="1" x14ac:dyDescent="0.15">
      <c r="A687" s="267">
        <v>95301176</v>
      </c>
      <c r="B687" t="s">
        <v>6722</v>
      </c>
      <c r="C687" s="268" t="s">
        <v>6316</v>
      </c>
      <c r="D687" s="268">
        <v>6901</v>
      </c>
      <c r="E687" s="268" t="s">
        <v>4876</v>
      </c>
      <c r="F687" s="268" t="s">
        <v>4877</v>
      </c>
      <c r="G687" s="269">
        <v>6</v>
      </c>
      <c r="H687" s="269">
        <v>0</v>
      </c>
      <c r="I687" s="267">
        <v>34</v>
      </c>
      <c r="J687" s="301" t="s">
        <v>5427</v>
      </c>
      <c r="K687" s="279" t="s">
        <v>5428</v>
      </c>
      <c r="L687" s="279"/>
      <c r="M687" s="268">
        <v>1</v>
      </c>
      <c r="N687" s="268" t="b">
        <v>1</v>
      </c>
      <c r="O687" s="268">
        <v>25</v>
      </c>
      <c r="P687" s="281">
        <v>375</v>
      </c>
      <c r="Q687" s="281">
        <v>500</v>
      </c>
      <c r="R687" s="268" t="s">
        <v>3383</v>
      </c>
      <c r="S687" s="268"/>
      <c r="T687" s="268">
        <v>1</v>
      </c>
      <c r="U687" s="268" t="s">
        <v>4880</v>
      </c>
      <c r="V687" s="268">
        <v>6</v>
      </c>
      <c r="W687" s="268"/>
      <c r="X687" s="268" t="s">
        <v>4881</v>
      </c>
      <c r="Y687" t="s">
        <v>6721</v>
      </c>
      <c r="Z687" t="s">
        <v>6723</v>
      </c>
      <c r="AA687" s="268" t="s">
        <v>4884</v>
      </c>
      <c r="AB687" s="268"/>
      <c r="AC687" s="287">
        <v>1</v>
      </c>
      <c r="AD687" s="287">
        <v>1</v>
      </c>
      <c r="AE687" s="268"/>
      <c r="AF687" s="268"/>
      <c r="AG687" s="290"/>
    </row>
    <row r="688" spans="1:33" s="261" customFormat="1" ht="15" customHeight="1" x14ac:dyDescent="0.15">
      <c r="A688" s="267">
        <v>95301177</v>
      </c>
      <c r="B688" t="s">
        <v>6722</v>
      </c>
      <c r="C688" s="268" t="s">
        <v>6316</v>
      </c>
      <c r="D688" s="268">
        <v>6901</v>
      </c>
      <c r="E688" s="269" t="s">
        <v>4876</v>
      </c>
      <c r="F688" s="268" t="s">
        <v>4877</v>
      </c>
      <c r="G688" s="269">
        <v>7</v>
      </c>
      <c r="H688" s="269">
        <v>0</v>
      </c>
      <c r="I688" s="279" t="s">
        <v>5422</v>
      </c>
      <c r="J688" s="301" t="s">
        <v>5427</v>
      </c>
      <c r="K688" s="279" t="s">
        <v>5428</v>
      </c>
      <c r="L688" s="268"/>
      <c r="M688" s="268">
        <v>1</v>
      </c>
      <c r="N688" s="268" t="b">
        <v>1</v>
      </c>
      <c r="O688" s="268">
        <v>38</v>
      </c>
      <c r="P688" s="281">
        <v>570</v>
      </c>
      <c r="Q688" s="281">
        <v>760</v>
      </c>
      <c r="R688" s="268" t="s">
        <v>3383</v>
      </c>
      <c r="S688" s="268"/>
      <c r="T688" s="268">
        <v>1</v>
      </c>
      <c r="U688" s="268" t="s">
        <v>4880</v>
      </c>
      <c r="V688" s="278">
        <v>7</v>
      </c>
      <c r="W688" s="278"/>
      <c r="X688" s="268" t="s">
        <v>4881</v>
      </c>
      <c r="Y688" t="s">
        <v>6721</v>
      </c>
      <c r="Z688" t="s">
        <v>6723</v>
      </c>
      <c r="AA688" s="268" t="s">
        <v>4884</v>
      </c>
      <c r="AB688" s="290"/>
      <c r="AC688" s="287">
        <v>1</v>
      </c>
      <c r="AD688" s="287">
        <v>1</v>
      </c>
      <c r="AE688" s="268"/>
      <c r="AF688" s="268"/>
      <c r="AG688" s="290"/>
    </row>
    <row r="689" spans="1:33" s="261" customFormat="1" ht="15" customHeight="1" x14ac:dyDescent="0.15">
      <c r="A689" s="267">
        <v>95301178</v>
      </c>
      <c r="B689" t="s">
        <v>6724</v>
      </c>
      <c r="C689" s="268" t="s">
        <v>6316</v>
      </c>
      <c r="D689" s="268">
        <v>5081</v>
      </c>
      <c r="E689" s="269" t="s">
        <v>4876</v>
      </c>
      <c r="F689" s="268" t="s">
        <v>4877</v>
      </c>
      <c r="G689" s="269">
        <v>6</v>
      </c>
      <c r="H689" s="269">
        <v>0</v>
      </c>
      <c r="I689" s="279" t="s">
        <v>5422</v>
      </c>
      <c r="J689" s="301" t="s">
        <v>5427</v>
      </c>
      <c r="K689" s="279" t="s">
        <v>5428</v>
      </c>
      <c r="L689" s="268" t="s">
        <v>44</v>
      </c>
      <c r="M689" s="268">
        <v>1</v>
      </c>
      <c r="N689" s="268" t="b">
        <v>1</v>
      </c>
      <c r="O689" s="268">
        <v>51</v>
      </c>
      <c r="P689" s="281">
        <v>765</v>
      </c>
      <c r="Q689" s="281">
        <v>1020</v>
      </c>
      <c r="R689" s="268" t="s">
        <v>3383</v>
      </c>
      <c r="S689" s="268"/>
      <c r="T689" s="268">
        <v>1</v>
      </c>
      <c r="U689" s="268" t="s">
        <v>4880</v>
      </c>
      <c r="V689" s="278">
        <v>10</v>
      </c>
      <c r="W689" s="278"/>
      <c r="X689" s="268" t="s">
        <v>4881</v>
      </c>
      <c r="Y689" t="s">
        <v>6721</v>
      </c>
      <c r="Z689" t="s">
        <v>6723</v>
      </c>
      <c r="AA689" s="268" t="s">
        <v>4884</v>
      </c>
      <c r="AB689" s="290"/>
      <c r="AC689" s="287">
        <v>1</v>
      </c>
      <c r="AD689" s="287">
        <v>1</v>
      </c>
      <c r="AE689" s="268"/>
      <c r="AF689" s="268"/>
      <c r="AG689" s="290"/>
    </row>
    <row r="690" spans="1:33" s="261" customFormat="1" ht="15" customHeight="1" x14ac:dyDescent="0.15">
      <c r="A690" s="267">
        <v>95301179</v>
      </c>
      <c r="B690" t="s">
        <v>6725</v>
      </c>
      <c r="C690" s="268" t="s">
        <v>6316</v>
      </c>
      <c r="D690" s="268">
        <v>5081</v>
      </c>
      <c r="E690" s="268" t="s">
        <v>4876</v>
      </c>
      <c r="F690" s="268" t="s">
        <v>4877</v>
      </c>
      <c r="G690" s="269">
        <v>6</v>
      </c>
      <c r="H690" s="269">
        <v>0</v>
      </c>
      <c r="I690" s="267">
        <v>34</v>
      </c>
      <c r="J690" s="301" t="s">
        <v>5427</v>
      </c>
      <c r="K690" s="279" t="s">
        <v>5428</v>
      </c>
      <c r="L690" s="279" t="s">
        <v>4887</v>
      </c>
      <c r="M690" s="268">
        <v>1</v>
      </c>
      <c r="N690" s="268" t="b">
        <v>1</v>
      </c>
      <c r="O690" s="268">
        <v>64</v>
      </c>
      <c r="P690" s="281">
        <v>960</v>
      </c>
      <c r="Q690" s="281">
        <v>1280</v>
      </c>
      <c r="R690" s="268" t="s">
        <v>3383</v>
      </c>
      <c r="S690" s="268"/>
      <c r="T690" s="268">
        <v>1</v>
      </c>
      <c r="U690" s="268" t="s">
        <v>4880</v>
      </c>
      <c r="V690" s="268">
        <v>10</v>
      </c>
      <c r="W690" s="268"/>
      <c r="X690" s="268" t="s">
        <v>4881</v>
      </c>
      <c r="Y690" t="s">
        <v>6721</v>
      </c>
      <c r="Z690" t="s">
        <v>6723</v>
      </c>
      <c r="AA690" s="268" t="s">
        <v>4884</v>
      </c>
      <c r="AB690" s="268"/>
      <c r="AC690" s="287">
        <v>1</v>
      </c>
      <c r="AD690" s="287">
        <v>1</v>
      </c>
      <c r="AE690" s="268"/>
      <c r="AF690" s="268"/>
      <c r="AG690" s="290"/>
    </row>
    <row r="691" spans="1:33" s="260" customFormat="1" ht="15" customHeight="1" x14ac:dyDescent="0.15">
      <c r="A691" s="267">
        <v>95301180</v>
      </c>
      <c r="B691" t="s">
        <v>6726</v>
      </c>
      <c r="C691" s="268" t="s">
        <v>6316</v>
      </c>
      <c r="D691" s="268">
        <v>5081</v>
      </c>
      <c r="E691" s="268" t="s">
        <v>4876</v>
      </c>
      <c r="F691" s="268" t="s">
        <v>4877</v>
      </c>
      <c r="G691" s="269">
        <v>7</v>
      </c>
      <c r="H691" s="269">
        <v>0</v>
      </c>
      <c r="I691" s="267">
        <v>34</v>
      </c>
      <c r="J691" s="301" t="s">
        <v>5427</v>
      </c>
      <c r="K691" s="279" t="s">
        <v>5428</v>
      </c>
      <c r="L691" s="279" t="s">
        <v>4889</v>
      </c>
      <c r="M691" s="268">
        <v>1</v>
      </c>
      <c r="N691" s="268" t="b">
        <v>1</v>
      </c>
      <c r="O691" s="268">
        <v>77</v>
      </c>
      <c r="P691" s="281">
        <v>1155</v>
      </c>
      <c r="Q691" s="281">
        <v>1540</v>
      </c>
      <c r="R691" s="268" t="s">
        <v>3383</v>
      </c>
      <c r="S691" s="268"/>
      <c r="T691" s="268">
        <v>1</v>
      </c>
      <c r="U691" s="268" t="s">
        <v>4880</v>
      </c>
      <c r="V691" s="268">
        <v>10</v>
      </c>
      <c r="W691" s="268"/>
      <c r="X691" s="268" t="s">
        <v>4881</v>
      </c>
      <c r="Y691" t="s">
        <v>6721</v>
      </c>
      <c r="Z691" t="s">
        <v>6723</v>
      </c>
      <c r="AA691" s="268" t="s">
        <v>4884</v>
      </c>
      <c r="AB691" s="268"/>
      <c r="AC691" s="287">
        <v>1</v>
      </c>
      <c r="AD691" s="287">
        <v>1</v>
      </c>
      <c r="AE691" s="268"/>
      <c r="AF691" s="268"/>
      <c r="AG691" s="290"/>
    </row>
    <row r="692" spans="1:33" s="261" customFormat="1" ht="15" customHeight="1" x14ac:dyDescent="0.15">
      <c r="A692" s="267">
        <v>95501002</v>
      </c>
      <c r="B692" t="s">
        <v>6727</v>
      </c>
      <c r="C692" s="268" t="s">
        <v>6316</v>
      </c>
      <c r="D692" s="268">
        <v>3082</v>
      </c>
      <c r="E692" s="268" t="s">
        <v>4876</v>
      </c>
      <c r="F692" s="268" t="s">
        <v>5435</v>
      </c>
      <c r="G692" s="269">
        <v>2</v>
      </c>
      <c r="H692" s="269">
        <v>1</v>
      </c>
      <c r="I692" s="267">
        <v>34</v>
      </c>
      <c r="J692" s="301" t="s">
        <v>5436</v>
      </c>
      <c r="K692" s="279" t="s">
        <v>5437</v>
      </c>
      <c r="L692" s="279"/>
      <c r="M692" s="268">
        <v>99</v>
      </c>
      <c r="N692" s="268" t="b">
        <v>1</v>
      </c>
      <c r="O692" s="268">
        <v>2</v>
      </c>
      <c r="P692" s="281">
        <v>30</v>
      </c>
      <c r="Q692" s="281">
        <v>40</v>
      </c>
      <c r="R692" s="268" t="s">
        <v>3383</v>
      </c>
      <c r="S692" s="268"/>
      <c r="T692" s="268">
        <v>1</v>
      </c>
      <c r="U692" s="268" t="s">
        <v>4880</v>
      </c>
      <c r="V692" s="268">
        <v>0</v>
      </c>
      <c r="W692" s="268"/>
      <c r="X692" s="268" t="s">
        <v>4881</v>
      </c>
      <c r="Y692" t="s">
        <v>6728</v>
      </c>
      <c r="Z692" t="s">
        <v>6729</v>
      </c>
      <c r="AA692" s="268" t="s">
        <v>5440</v>
      </c>
      <c r="AB692" s="268"/>
      <c r="AC692" s="287">
        <v>1</v>
      </c>
      <c r="AD692" s="287">
        <v>1</v>
      </c>
      <c r="AE692" s="268"/>
      <c r="AF692" s="268"/>
      <c r="AG692" s="290"/>
    </row>
    <row r="693" spans="1:33" s="261" customFormat="1" ht="15" customHeight="1" x14ac:dyDescent="0.15">
      <c r="A693" s="267">
        <v>95501011</v>
      </c>
      <c r="B693" t="s">
        <v>6730</v>
      </c>
      <c r="C693" s="268" t="s">
        <v>6316</v>
      </c>
      <c r="D693" s="268">
        <v>3081</v>
      </c>
      <c r="E693" s="268" t="s">
        <v>4876</v>
      </c>
      <c r="F693" s="268" t="s">
        <v>5435</v>
      </c>
      <c r="G693" s="269">
        <v>2</v>
      </c>
      <c r="H693" s="269">
        <v>1</v>
      </c>
      <c r="I693" s="267">
        <v>34</v>
      </c>
      <c r="J693" s="302" t="s">
        <v>5442</v>
      </c>
      <c r="K693" s="279" t="s">
        <v>5443</v>
      </c>
      <c r="L693" s="279"/>
      <c r="M693" s="268">
        <v>99</v>
      </c>
      <c r="N693" s="268" t="b">
        <v>1</v>
      </c>
      <c r="O693" s="268">
        <v>2</v>
      </c>
      <c r="P693" s="281">
        <v>30</v>
      </c>
      <c r="Q693" s="281">
        <v>40</v>
      </c>
      <c r="R693" s="268" t="s">
        <v>3383</v>
      </c>
      <c r="S693" s="268"/>
      <c r="T693" s="268">
        <v>1</v>
      </c>
      <c r="U693" s="268" t="s">
        <v>4880</v>
      </c>
      <c r="V693" s="268">
        <v>0</v>
      </c>
      <c r="W693" s="268"/>
      <c r="X693" s="268" t="s">
        <v>4881</v>
      </c>
      <c r="Y693" t="s">
        <v>6731</v>
      </c>
      <c r="Z693" t="s">
        <v>6732</v>
      </c>
      <c r="AA693" s="268" t="s">
        <v>5440</v>
      </c>
      <c r="AB693" s="268"/>
      <c r="AC693" s="287">
        <v>1</v>
      </c>
      <c r="AD693" s="287">
        <v>1</v>
      </c>
      <c r="AE693" s="268"/>
      <c r="AF693" s="268"/>
      <c r="AG693" s="290"/>
    </row>
    <row r="694" spans="1:33" s="261" customFormat="1" ht="15" customHeight="1" x14ac:dyDescent="0.15">
      <c r="A694" s="267">
        <v>95502002</v>
      </c>
      <c r="B694" t="s">
        <v>6733</v>
      </c>
      <c r="C694" s="268" t="s">
        <v>6316</v>
      </c>
      <c r="D694" s="268">
        <v>3072</v>
      </c>
      <c r="E694" s="268" t="s">
        <v>4876</v>
      </c>
      <c r="F694" s="268" t="s">
        <v>5435</v>
      </c>
      <c r="G694" s="269">
        <v>2</v>
      </c>
      <c r="H694" s="269">
        <v>1</v>
      </c>
      <c r="I694" s="267">
        <v>34</v>
      </c>
      <c r="J694" s="301" t="s">
        <v>5447</v>
      </c>
      <c r="K694" s="279" t="s">
        <v>5448</v>
      </c>
      <c r="L694" s="279"/>
      <c r="M694" s="268">
        <v>99</v>
      </c>
      <c r="N694" s="268" t="b">
        <v>1</v>
      </c>
      <c r="O694" s="268">
        <v>2</v>
      </c>
      <c r="P694" s="281">
        <v>30</v>
      </c>
      <c r="Q694" s="281">
        <v>40</v>
      </c>
      <c r="R694" s="268" t="s">
        <v>3383</v>
      </c>
      <c r="S694" s="268"/>
      <c r="T694" s="268">
        <v>1</v>
      </c>
      <c r="U694" s="268" t="s">
        <v>4880</v>
      </c>
      <c r="V694" s="268">
        <v>0</v>
      </c>
      <c r="W694" s="268"/>
      <c r="X694" s="268" t="s">
        <v>4881</v>
      </c>
      <c r="Y694" t="s">
        <v>6734</v>
      </c>
      <c r="Z694" t="s">
        <v>6735</v>
      </c>
      <c r="AA694" s="268" t="s">
        <v>5440</v>
      </c>
      <c r="AB694" s="268"/>
      <c r="AC694" s="287">
        <v>1</v>
      </c>
      <c r="AD694" s="287">
        <v>1</v>
      </c>
      <c r="AE694" s="268"/>
      <c r="AF694" s="268"/>
      <c r="AG694" s="290"/>
    </row>
    <row r="695" spans="1:33" s="261" customFormat="1" ht="15" customHeight="1" x14ac:dyDescent="0.15">
      <c r="A695" s="267">
        <v>95502011</v>
      </c>
      <c r="B695" t="s">
        <v>6736</v>
      </c>
      <c r="C695" s="268" t="s">
        <v>6316</v>
      </c>
      <c r="D695" s="268">
        <v>3071</v>
      </c>
      <c r="E695" s="268" t="s">
        <v>4876</v>
      </c>
      <c r="F695" s="268" t="s">
        <v>5435</v>
      </c>
      <c r="G695" s="269">
        <v>2</v>
      </c>
      <c r="H695" s="269">
        <v>1</v>
      </c>
      <c r="I695" s="267">
        <v>34</v>
      </c>
      <c r="J695" s="302" t="s">
        <v>5452</v>
      </c>
      <c r="K695" s="279" t="s">
        <v>5453</v>
      </c>
      <c r="L695" s="279"/>
      <c r="M695" s="268">
        <v>99</v>
      </c>
      <c r="N695" s="268" t="b">
        <v>1</v>
      </c>
      <c r="O695" s="268">
        <v>2</v>
      </c>
      <c r="P695" s="281">
        <v>30</v>
      </c>
      <c r="Q695" s="281">
        <v>40</v>
      </c>
      <c r="R695" s="268" t="s">
        <v>3383</v>
      </c>
      <c r="S695" s="268"/>
      <c r="T695" s="268">
        <v>1</v>
      </c>
      <c r="U695" s="268" t="s">
        <v>4880</v>
      </c>
      <c r="V695" s="268">
        <v>0</v>
      </c>
      <c r="W695" s="268"/>
      <c r="X695" s="268" t="s">
        <v>4881</v>
      </c>
      <c r="Y695" t="s">
        <v>6737</v>
      </c>
      <c r="Z695" t="s">
        <v>6738</v>
      </c>
      <c r="AA695" s="268" t="s">
        <v>5440</v>
      </c>
      <c r="AB695" s="268"/>
      <c r="AC695" s="287">
        <v>1</v>
      </c>
      <c r="AD695" s="287">
        <v>1</v>
      </c>
      <c r="AE695" s="268"/>
      <c r="AF695" s="268"/>
      <c r="AG695" s="290"/>
    </row>
    <row r="696" spans="1:33" s="261" customFormat="1" ht="15" customHeight="1" x14ac:dyDescent="0.15">
      <c r="A696" s="267">
        <v>95503002</v>
      </c>
      <c r="B696" t="s">
        <v>6739</v>
      </c>
      <c r="C696" s="268" t="s">
        <v>6316</v>
      </c>
      <c r="D696" s="268">
        <v>3062</v>
      </c>
      <c r="E696" s="268" t="s">
        <v>4876</v>
      </c>
      <c r="F696" s="268" t="s">
        <v>5435</v>
      </c>
      <c r="G696" s="269">
        <v>2</v>
      </c>
      <c r="H696" s="269">
        <v>1</v>
      </c>
      <c r="I696" s="267">
        <v>34</v>
      </c>
      <c r="J696" s="301" t="s">
        <v>5457</v>
      </c>
      <c r="K696" s="279"/>
      <c r="L696" s="279"/>
      <c r="M696" s="268">
        <v>99</v>
      </c>
      <c r="N696" s="268" t="b">
        <v>1</v>
      </c>
      <c r="O696" s="268">
        <v>2</v>
      </c>
      <c r="P696" s="281">
        <v>30</v>
      </c>
      <c r="Q696" s="281">
        <v>40</v>
      </c>
      <c r="R696" s="268" t="s">
        <v>3383</v>
      </c>
      <c r="S696" s="268"/>
      <c r="T696" s="268">
        <v>1</v>
      </c>
      <c r="U696" s="268" t="s">
        <v>4880</v>
      </c>
      <c r="V696" s="268">
        <v>0</v>
      </c>
      <c r="W696" s="268"/>
      <c r="X696" s="268" t="s">
        <v>4881</v>
      </c>
      <c r="Y696" t="s">
        <v>6740</v>
      </c>
      <c r="Z696" t="s">
        <v>6741</v>
      </c>
      <c r="AA696" s="268" t="s">
        <v>5440</v>
      </c>
      <c r="AB696" s="268"/>
      <c r="AC696" s="287">
        <v>1</v>
      </c>
      <c r="AD696" s="287">
        <v>1</v>
      </c>
      <c r="AE696" s="268"/>
      <c r="AF696" s="268"/>
      <c r="AG696" s="290"/>
    </row>
    <row r="697" spans="1:33" s="262" customFormat="1" ht="15" customHeight="1" x14ac:dyDescent="0.15">
      <c r="A697" s="267">
        <v>95503011</v>
      </c>
      <c r="B697" t="s">
        <v>6742</v>
      </c>
      <c r="C697" s="268" t="s">
        <v>6316</v>
      </c>
      <c r="D697" s="268">
        <v>3061</v>
      </c>
      <c r="E697" s="268" t="s">
        <v>4876</v>
      </c>
      <c r="F697" s="268" t="s">
        <v>5435</v>
      </c>
      <c r="G697" s="269">
        <v>2</v>
      </c>
      <c r="H697" s="269">
        <v>1</v>
      </c>
      <c r="I697" s="267">
        <v>34</v>
      </c>
      <c r="J697" s="302" t="s">
        <v>5461</v>
      </c>
      <c r="K697" s="279" t="s">
        <v>5462</v>
      </c>
      <c r="L697" s="279"/>
      <c r="M697" s="268">
        <v>99</v>
      </c>
      <c r="N697" s="268" t="b">
        <v>1</v>
      </c>
      <c r="O697" s="268">
        <v>2</v>
      </c>
      <c r="P697" s="281">
        <v>30</v>
      </c>
      <c r="Q697" s="281">
        <v>40</v>
      </c>
      <c r="R697" s="268" t="s">
        <v>3383</v>
      </c>
      <c r="S697" s="268"/>
      <c r="T697" s="268">
        <v>1</v>
      </c>
      <c r="U697" s="268" t="s">
        <v>4880</v>
      </c>
      <c r="V697" s="268">
        <v>0</v>
      </c>
      <c r="W697" s="268"/>
      <c r="X697" s="268" t="s">
        <v>4881</v>
      </c>
      <c r="Y697" t="s">
        <v>6743</v>
      </c>
      <c r="Z697" t="s">
        <v>6744</v>
      </c>
      <c r="AA697" s="268" t="s">
        <v>5440</v>
      </c>
      <c r="AB697" s="268"/>
      <c r="AC697" s="287">
        <v>1</v>
      </c>
      <c r="AD697" s="287">
        <v>1</v>
      </c>
      <c r="AE697" s="268"/>
      <c r="AF697" s="268"/>
      <c r="AG697" s="290"/>
    </row>
    <row r="698" spans="1:33" s="262" customFormat="1" ht="15" customHeight="1" x14ac:dyDescent="0.15">
      <c r="A698" s="267">
        <v>95504002</v>
      </c>
      <c r="B698" t="s">
        <v>6745</v>
      </c>
      <c r="C698" s="268" t="s">
        <v>6316</v>
      </c>
      <c r="D698" s="268">
        <v>3052</v>
      </c>
      <c r="E698" s="268" t="s">
        <v>4876</v>
      </c>
      <c r="F698" s="268" t="s">
        <v>5435</v>
      </c>
      <c r="G698" s="269">
        <v>2</v>
      </c>
      <c r="H698" s="269">
        <v>1</v>
      </c>
      <c r="I698" s="267">
        <v>34</v>
      </c>
      <c r="J698" s="301" t="s">
        <v>5466</v>
      </c>
      <c r="K698" s="279" t="s">
        <v>5467</v>
      </c>
      <c r="L698" s="279"/>
      <c r="M698" s="268">
        <v>99</v>
      </c>
      <c r="N698" s="268" t="b">
        <v>1</v>
      </c>
      <c r="O698" s="268">
        <v>2</v>
      </c>
      <c r="P698" s="281">
        <v>30</v>
      </c>
      <c r="Q698" s="281">
        <v>40</v>
      </c>
      <c r="R698" s="268" t="s">
        <v>3383</v>
      </c>
      <c r="S698" s="268"/>
      <c r="T698" s="268">
        <v>1</v>
      </c>
      <c r="U698" s="268" t="s">
        <v>4880</v>
      </c>
      <c r="V698" s="268">
        <v>0</v>
      </c>
      <c r="W698" s="268"/>
      <c r="X698" s="268" t="s">
        <v>4881</v>
      </c>
      <c r="Y698" t="s">
        <v>6746</v>
      </c>
      <c r="Z698" t="s">
        <v>6747</v>
      </c>
      <c r="AA698" s="268" t="s">
        <v>5440</v>
      </c>
      <c r="AB698" s="268"/>
      <c r="AC698" s="287">
        <v>1</v>
      </c>
      <c r="AD698" s="287">
        <v>1</v>
      </c>
      <c r="AE698" s="268"/>
      <c r="AF698" s="268"/>
      <c r="AG698" s="290"/>
    </row>
    <row r="699" spans="1:33" s="262" customFormat="1" ht="15" customHeight="1" x14ac:dyDescent="0.15">
      <c r="A699" s="267">
        <v>95504011</v>
      </c>
      <c r="B699" t="s">
        <v>6748</v>
      </c>
      <c r="C699" s="268" t="s">
        <v>6316</v>
      </c>
      <c r="D699" s="268">
        <v>3051</v>
      </c>
      <c r="E699" s="268" t="s">
        <v>4876</v>
      </c>
      <c r="F699" s="268" t="s">
        <v>5435</v>
      </c>
      <c r="G699" s="269">
        <v>2</v>
      </c>
      <c r="H699" s="269">
        <v>1</v>
      </c>
      <c r="I699" s="267">
        <v>34</v>
      </c>
      <c r="J699" s="302" t="s">
        <v>5471</v>
      </c>
      <c r="K699" s="279" t="s">
        <v>5472</v>
      </c>
      <c r="L699" s="279"/>
      <c r="M699" s="268">
        <v>99</v>
      </c>
      <c r="N699" s="268" t="b">
        <v>1</v>
      </c>
      <c r="O699" s="268">
        <v>2</v>
      </c>
      <c r="P699" s="281">
        <v>30</v>
      </c>
      <c r="Q699" s="281">
        <v>40</v>
      </c>
      <c r="R699" s="268" t="s">
        <v>3383</v>
      </c>
      <c r="S699" s="268"/>
      <c r="T699" s="268">
        <v>1</v>
      </c>
      <c r="U699" s="268" t="s">
        <v>4880</v>
      </c>
      <c r="V699" s="268">
        <v>0</v>
      </c>
      <c r="W699" s="268"/>
      <c r="X699" s="268" t="s">
        <v>4881</v>
      </c>
      <c r="Y699" t="s">
        <v>6749</v>
      </c>
      <c r="Z699" t="s">
        <v>6750</v>
      </c>
      <c r="AA699" s="268" t="s">
        <v>5440</v>
      </c>
      <c r="AB699" s="268"/>
      <c r="AC699" s="287">
        <v>1</v>
      </c>
      <c r="AD699" s="287">
        <v>1</v>
      </c>
      <c r="AE699" s="268"/>
      <c r="AF699" s="268"/>
      <c r="AG699" s="290"/>
    </row>
    <row r="700" spans="1:33" s="262" customFormat="1" ht="15" customHeight="1" x14ac:dyDescent="0.15">
      <c r="A700" s="267">
        <v>95505002</v>
      </c>
      <c r="B700" t="s">
        <v>6751</v>
      </c>
      <c r="C700" s="268" t="s">
        <v>6316</v>
      </c>
      <c r="D700" s="268">
        <v>3042</v>
      </c>
      <c r="E700" s="268" t="s">
        <v>4876</v>
      </c>
      <c r="F700" s="268" t="s">
        <v>5435</v>
      </c>
      <c r="G700" s="269">
        <v>2</v>
      </c>
      <c r="H700" s="269">
        <v>1</v>
      </c>
      <c r="I700" s="267">
        <v>34</v>
      </c>
      <c r="J700" s="301" t="s">
        <v>5476</v>
      </c>
      <c r="K700" s="279" t="s">
        <v>5477</v>
      </c>
      <c r="L700" s="279"/>
      <c r="M700" s="268">
        <v>99</v>
      </c>
      <c r="N700" s="268" t="b">
        <v>1</v>
      </c>
      <c r="O700" s="268">
        <v>2</v>
      </c>
      <c r="P700" s="281">
        <v>30</v>
      </c>
      <c r="Q700" s="281">
        <v>40</v>
      </c>
      <c r="R700" s="268" t="s">
        <v>3383</v>
      </c>
      <c r="S700" s="268"/>
      <c r="T700" s="268">
        <v>1</v>
      </c>
      <c r="U700" s="268" t="s">
        <v>4880</v>
      </c>
      <c r="V700" s="268">
        <v>0</v>
      </c>
      <c r="W700" s="268"/>
      <c r="X700" s="268" t="s">
        <v>4881</v>
      </c>
      <c r="Y700" t="s">
        <v>6752</v>
      </c>
      <c r="Z700" t="s">
        <v>6753</v>
      </c>
      <c r="AA700" s="268" t="s">
        <v>5440</v>
      </c>
      <c r="AB700" s="268"/>
      <c r="AC700" s="287">
        <v>1</v>
      </c>
      <c r="AD700" s="287">
        <v>1</v>
      </c>
      <c r="AE700" s="268"/>
      <c r="AF700" s="268"/>
      <c r="AG700" s="290"/>
    </row>
    <row r="701" spans="1:33" s="262" customFormat="1" ht="15" customHeight="1" x14ac:dyDescent="0.15">
      <c r="A701" s="267">
        <v>95505011</v>
      </c>
      <c r="B701" t="s">
        <v>6754</v>
      </c>
      <c r="C701" s="268" t="s">
        <v>6316</v>
      </c>
      <c r="D701" s="268">
        <v>3041</v>
      </c>
      <c r="E701" s="268" t="s">
        <v>4876</v>
      </c>
      <c r="F701" s="268" t="s">
        <v>5435</v>
      </c>
      <c r="G701" s="269">
        <v>2</v>
      </c>
      <c r="H701" s="269">
        <v>1</v>
      </c>
      <c r="I701" s="267">
        <v>34</v>
      </c>
      <c r="J701" s="302" t="s">
        <v>5481</v>
      </c>
      <c r="K701" s="279" t="s">
        <v>5482</v>
      </c>
      <c r="L701" s="279"/>
      <c r="M701" s="268">
        <v>99</v>
      </c>
      <c r="N701" s="268" t="b">
        <v>1</v>
      </c>
      <c r="O701" s="268">
        <v>2</v>
      </c>
      <c r="P701" s="281">
        <v>30</v>
      </c>
      <c r="Q701" s="281">
        <v>40</v>
      </c>
      <c r="R701" s="268" t="s">
        <v>3383</v>
      </c>
      <c r="S701" s="268"/>
      <c r="T701" s="268">
        <v>1</v>
      </c>
      <c r="U701" s="268" t="s">
        <v>4880</v>
      </c>
      <c r="V701" s="268">
        <v>0</v>
      </c>
      <c r="W701" s="268"/>
      <c r="X701" s="268" t="s">
        <v>4881</v>
      </c>
      <c r="Y701" t="s">
        <v>6755</v>
      </c>
      <c r="Z701" t="s">
        <v>6756</v>
      </c>
      <c r="AA701" s="268" t="s">
        <v>5440</v>
      </c>
      <c r="AB701" s="268"/>
      <c r="AC701" s="287">
        <v>1</v>
      </c>
      <c r="AD701" s="287">
        <v>1</v>
      </c>
      <c r="AE701" s="268"/>
      <c r="AF701" s="268"/>
      <c r="AG701" s="290"/>
    </row>
    <row r="702" spans="1:33" s="262" customFormat="1" ht="15" customHeight="1" x14ac:dyDescent="0.15">
      <c r="A702" s="267">
        <v>95506002</v>
      </c>
      <c r="B702" t="s">
        <v>6757</v>
      </c>
      <c r="C702" s="268" t="s">
        <v>6316</v>
      </c>
      <c r="D702" s="268">
        <v>3032</v>
      </c>
      <c r="E702" s="268" t="s">
        <v>4876</v>
      </c>
      <c r="F702" s="268" t="s">
        <v>5435</v>
      </c>
      <c r="G702" s="269">
        <v>2</v>
      </c>
      <c r="H702" s="269">
        <v>1</v>
      </c>
      <c r="I702" s="267">
        <v>34</v>
      </c>
      <c r="J702" s="301" t="s">
        <v>5486</v>
      </c>
      <c r="K702" s="279" t="s">
        <v>5487</v>
      </c>
      <c r="L702" s="279"/>
      <c r="M702" s="268">
        <v>99</v>
      </c>
      <c r="N702" s="268" t="b">
        <v>1</v>
      </c>
      <c r="O702" s="268">
        <v>2</v>
      </c>
      <c r="P702" s="281">
        <v>30</v>
      </c>
      <c r="Q702" s="281">
        <v>40</v>
      </c>
      <c r="R702" s="268" t="s">
        <v>3383</v>
      </c>
      <c r="S702" s="268"/>
      <c r="T702" s="268">
        <v>1</v>
      </c>
      <c r="U702" s="268" t="s">
        <v>4880</v>
      </c>
      <c r="V702" s="268">
        <v>0</v>
      </c>
      <c r="W702" s="268"/>
      <c r="X702" s="268" t="s">
        <v>4881</v>
      </c>
      <c r="Y702" t="s">
        <v>6758</v>
      </c>
      <c r="Z702" t="s">
        <v>6759</v>
      </c>
      <c r="AA702" s="268" t="s">
        <v>5440</v>
      </c>
      <c r="AB702" s="268"/>
      <c r="AC702" s="287">
        <v>1</v>
      </c>
      <c r="AD702" s="287">
        <v>1</v>
      </c>
      <c r="AE702" s="268"/>
      <c r="AF702" s="268"/>
      <c r="AG702" s="290"/>
    </row>
    <row r="703" spans="1:33" s="261" customFormat="1" ht="15" customHeight="1" x14ac:dyDescent="0.15">
      <c r="A703" s="267">
        <v>95506011</v>
      </c>
      <c r="B703" t="s">
        <v>6760</v>
      </c>
      <c r="C703" s="268" t="s">
        <v>6316</v>
      </c>
      <c r="D703" s="268">
        <v>3031</v>
      </c>
      <c r="E703" s="268" t="s">
        <v>4876</v>
      </c>
      <c r="F703" s="268" t="s">
        <v>5435</v>
      </c>
      <c r="G703" s="269">
        <v>2</v>
      </c>
      <c r="H703" s="269">
        <v>1</v>
      </c>
      <c r="I703" s="267">
        <v>34</v>
      </c>
      <c r="J703" s="302" t="s">
        <v>5491</v>
      </c>
      <c r="K703" s="279" t="s">
        <v>5492</v>
      </c>
      <c r="L703" s="279"/>
      <c r="M703" s="268">
        <v>99</v>
      </c>
      <c r="N703" s="268" t="b">
        <v>1</v>
      </c>
      <c r="O703" s="268">
        <v>2</v>
      </c>
      <c r="P703" s="281">
        <v>30</v>
      </c>
      <c r="Q703" s="281">
        <v>40</v>
      </c>
      <c r="R703" s="268" t="s">
        <v>3383</v>
      </c>
      <c r="S703" s="268"/>
      <c r="T703" s="268">
        <v>1</v>
      </c>
      <c r="U703" s="268" t="s">
        <v>4880</v>
      </c>
      <c r="V703" s="268">
        <v>0</v>
      </c>
      <c r="W703" s="268"/>
      <c r="X703" s="268" t="s">
        <v>4881</v>
      </c>
      <c r="Y703" t="s">
        <v>6761</v>
      </c>
      <c r="Z703" t="s">
        <v>6762</v>
      </c>
      <c r="AA703" s="268" t="s">
        <v>5440</v>
      </c>
      <c r="AB703" s="268"/>
      <c r="AC703" s="287">
        <v>1</v>
      </c>
      <c r="AD703" s="287">
        <v>1</v>
      </c>
      <c r="AE703" s="268"/>
      <c r="AF703" s="268"/>
      <c r="AG703" s="290"/>
    </row>
    <row r="704" spans="1:33" s="261" customFormat="1" ht="15" customHeight="1" x14ac:dyDescent="0.15">
      <c r="A704" s="298">
        <v>95509002</v>
      </c>
      <c r="B704" t="s">
        <v>6763</v>
      </c>
      <c r="C704" s="268" t="s">
        <v>6316</v>
      </c>
      <c r="D704" s="299">
        <v>3022</v>
      </c>
      <c r="E704" s="299" t="s">
        <v>4876</v>
      </c>
      <c r="F704" s="299" t="s">
        <v>5435</v>
      </c>
      <c r="G704" s="300">
        <v>2</v>
      </c>
      <c r="H704" s="300">
        <v>1</v>
      </c>
      <c r="I704" s="298">
        <v>34</v>
      </c>
      <c r="J704" s="303" t="s">
        <v>5496</v>
      </c>
      <c r="K704" s="304" t="s">
        <v>5497</v>
      </c>
      <c r="L704" s="304"/>
      <c r="M704" s="299">
        <v>99</v>
      </c>
      <c r="N704" s="299" t="b">
        <v>1</v>
      </c>
      <c r="O704" s="299">
        <v>2</v>
      </c>
      <c r="P704" s="281">
        <v>30</v>
      </c>
      <c r="Q704" s="281">
        <v>40</v>
      </c>
      <c r="R704" s="299" t="s">
        <v>3383</v>
      </c>
      <c r="S704" s="299"/>
      <c r="T704" s="299">
        <v>1</v>
      </c>
      <c r="U704" s="299" t="s">
        <v>4880</v>
      </c>
      <c r="V704" s="299">
        <v>0</v>
      </c>
      <c r="W704" s="299"/>
      <c r="X704" s="299" t="s">
        <v>4881</v>
      </c>
      <c r="Y704" t="s">
        <v>6764</v>
      </c>
      <c r="Z704" t="s">
        <v>6765</v>
      </c>
      <c r="AA704" s="299" t="s">
        <v>5440</v>
      </c>
      <c r="AB704" s="299"/>
      <c r="AC704" s="306">
        <v>1</v>
      </c>
      <c r="AD704" s="306">
        <v>1</v>
      </c>
      <c r="AE704" s="299"/>
      <c r="AF704" s="299"/>
      <c r="AG704" s="307"/>
    </row>
    <row r="705" spans="1:33" s="261" customFormat="1" ht="15" customHeight="1" x14ac:dyDescent="0.15">
      <c r="A705" s="298">
        <v>95509011</v>
      </c>
      <c r="B705" t="s">
        <v>6766</v>
      </c>
      <c r="C705" s="268" t="s">
        <v>6316</v>
      </c>
      <c r="D705" s="308">
        <v>3021</v>
      </c>
      <c r="E705" s="299" t="s">
        <v>4876</v>
      </c>
      <c r="F705" s="299" t="s">
        <v>5435</v>
      </c>
      <c r="G705" s="300">
        <v>2</v>
      </c>
      <c r="H705" s="300">
        <v>1</v>
      </c>
      <c r="I705" s="298">
        <v>34</v>
      </c>
      <c r="J705" s="303" t="s">
        <v>5501</v>
      </c>
      <c r="K705" s="315" t="s">
        <v>5502</v>
      </c>
      <c r="L705" s="315"/>
      <c r="M705" s="299">
        <v>99</v>
      </c>
      <c r="N705" s="299" t="b">
        <v>1</v>
      </c>
      <c r="O705" s="299">
        <v>2</v>
      </c>
      <c r="P705" s="281">
        <v>30</v>
      </c>
      <c r="Q705" s="281">
        <v>40</v>
      </c>
      <c r="R705" s="299" t="s">
        <v>3383</v>
      </c>
      <c r="S705" s="299"/>
      <c r="T705" s="299">
        <v>1</v>
      </c>
      <c r="U705" s="299" t="s">
        <v>4880</v>
      </c>
      <c r="V705" s="299">
        <v>0</v>
      </c>
      <c r="W705" s="299"/>
      <c r="X705" s="299" t="s">
        <v>4881</v>
      </c>
      <c r="Y705" t="s">
        <v>6767</v>
      </c>
      <c r="Z705" t="s">
        <v>6768</v>
      </c>
      <c r="AA705" s="299" t="s">
        <v>5440</v>
      </c>
      <c r="AB705" s="299"/>
      <c r="AC705" s="306">
        <v>1</v>
      </c>
      <c r="AD705" s="306">
        <v>1</v>
      </c>
      <c r="AE705" s="299"/>
      <c r="AF705" s="299"/>
      <c r="AG705" s="307"/>
    </row>
    <row r="706" spans="1:33" s="261" customFormat="1" ht="15" customHeight="1" x14ac:dyDescent="0.15">
      <c r="A706" s="298">
        <v>95510002</v>
      </c>
      <c r="B706" t="s">
        <v>6769</v>
      </c>
      <c r="C706" s="268" t="s">
        <v>6316</v>
      </c>
      <c r="D706" s="308">
        <v>3012</v>
      </c>
      <c r="E706" s="299" t="s">
        <v>4876</v>
      </c>
      <c r="F706" s="299" t="s">
        <v>5435</v>
      </c>
      <c r="G706" s="300">
        <v>2</v>
      </c>
      <c r="H706" s="300">
        <v>1</v>
      </c>
      <c r="I706" s="298">
        <v>34</v>
      </c>
      <c r="J706" s="303" t="s">
        <v>5506</v>
      </c>
      <c r="K706" s="315" t="s">
        <v>5507</v>
      </c>
      <c r="L706" s="315"/>
      <c r="M706" s="299">
        <v>99</v>
      </c>
      <c r="N706" s="299" t="b">
        <v>1</v>
      </c>
      <c r="O706" s="299">
        <v>2</v>
      </c>
      <c r="P706" s="281">
        <v>30</v>
      </c>
      <c r="Q706" s="281">
        <v>40</v>
      </c>
      <c r="R706" s="299" t="s">
        <v>3383</v>
      </c>
      <c r="S706" s="299"/>
      <c r="T706" s="299">
        <v>1</v>
      </c>
      <c r="U706" s="299" t="s">
        <v>4880</v>
      </c>
      <c r="V706" s="299">
        <v>0</v>
      </c>
      <c r="W706" s="299"/>
      <c r="X706" s="299" t="s">
        <v>4881</v>
      </c>
      <c r="Y706" t="s">
        <v>6770</v>
      </c>
      <c r="Z706" t="s">
        <v>6771</v>
      </c>
      <c r="AA706" s="299" t="s">
        <v>5440</v>
      </c>
      <c r="AB706" s="299"/>
      <c r="AC706" s="306">
        <v>1</v>
      </c>
      <c r="AD706" s="306">
        <v>1</v>
      </c>
      <c r="AE706" s="299"/>
      <c r="AF706" s="299"/>
      <c r="AG706" s="307"/>
    </row>
    <row r="707" spans="1:33" x14ac:dyDescent="0.15">
      <c r="A707" s="298">
        <v>95510011</v>
      </c>
      <c r="B707" t="s">
        <v>6772</v>
      </c>
      <c r="C707" s="268" t="s">
        <v>6316</v>
      </c>
      <c r="D707" s="308">
        <v>3011</v>
      </c>
      <c r="E707" s="299" t="s">
        <v>4876</v>
      </c>
      <c r="F707" s="299" t="s">
        <v>5435</v>
      </c>
      <c r="G707" s="300">
        <v>2</v>
      </c>
      <c r="H707" s="300">
        <v>1</v>
      </c>
      <c r="I707" s="298">
        <v>34</v>
      </c>
      <c r="J707" s="303" t="s">
        <v>5511</v>
      </c>
      <c r="K707" s="315" t="s">
        <v>5512</v>
      </c>
      <c r="L707" s="315"/>
      <c r="M707" s="299">
        <v>99</v>
      </c>
      <c r="N707" s="299" t="b">
        <v>1</v>
      </c>
      <c r="O707" s="299">
        <v>2</v>
      </c>
      <c r="P707" s="281">
        <v>30</v>
      </c>
      <c r="Q707" s="281">
        <v>40</v>
      </c>
      <c r="R707" s="299" t="s">
        <v>3383</v>
      </c>
      <c r="S707" s="299"/>
      <c r="T707" s="299">
        <v>1</v>
      </c>
      <c r="U707" s="299" t="s">
        <v>4880</v>
      </c>
      <c r="V707" s="299">
        <v>0</v>
      </c>
      <c r="W707" s="299"/>
      <c r="X707" s="299" t="s">
        <v>4881</v>
      </c>
      <c r="Y707" t="s">
        <v>6773</v>
      </c>
      <c r="Z707" t="s">
        <v>6774</v>
      </c>
      <c r="AA707" s="299" t="s">
        <v>5440</v>
      </c>
      <c r="AB707" s="299"/>
      <c r="AC707" s="306">
        <v>1</v>
      </c>
      <c r="AD707" s="306">
        <v>1</v>
      </c>
      <c r="AE707" s="299"/>
      <c r="AF707" s="299"/>
      <c r="AG707" s="307"/>
    </row>
    <row r="708" spans="1:33" x14ac:dyDescent="0.15">
      <c r="A708" s="298">
        <v>95511002</v>
      </c>
      <c r="B708" t="s">
        <v>6775</v>
      </c>
      <c r="C708" s="268" t="s">
        <v>6316</v>
      </c>
      <c r="D708" s="308">
        <v>3012</v>
      </c>
      <c r="E708" s="299" t="s">
        <v>4876</v>
      </c>
      <c r="F708" s="299" t="s">
        <v>5435</v>
      </c>
      <c r="G708" s="300">
        <v>2</v>
      </c>
      <c r="H708" s="300">
        <v>1</v>
      </c>
      <c r="I708" s="298">
        <v>34</v>
      </c>
      <c r="J708" s="303" t="s">
        <v>5516</v>
      </c>
      <c r="K708" s="315" t="s">
        <v>5517</v>
      </c>
      <c r="L708" s="315"/>
      <c r="M708" s="299">
        <v>99</v>
      </c>
      <c r="N708" s="299" t="b">
        <v>1</v>
      </c>
      <c r="O708" s="299">
        <v>2</v>
      </c>
      <c r="P708" s="281">
        <v>30</v>
      </c>
      <c r="Q708" s="281">
        <v>40</v>
      </c>
      <c r="R708" s="299" t="s">
        <v>3383</v>
      </c>
      <c r="S708" s="299"/>
      <c r="T708" s="299">
        <v>1</v>
      </c>
      <c r="U708" s="299" t="s">
        <v>4880</v>
      </c>
      <c r="V708" s="299">
        <v>0</v>
      </c>
      <c r="W708" s="299"/>
      <c r="X708" s="299" t="s">
        <v>4881</v>
      </c>
      <c r="Y708" t="s">
        <v>6776</v>
      </c>
      <c r="Z708" t="s">
        <v>6777</v>
      </c>
      <c r="AA708" s="299" t="s">
        <v>5440</v>
      </c>
      <c r="AB708" s="299"/>
      <c r="AC708" s="306">
        <v>1</v>
      </c>
      <c r="AD708" s="306">
        <v>1</v>
      </c>
      <c r="AE708" s="299"/>
      <c r="AF708" s="299"/>
      <c r="AG708" s="307"/>
    </row>
    <row r="709" spans="1:33" x14ac:dyDescent="0.15">
      <c r="A709" s="298">
        <v>95511011</v>
      </c>
      <c r="B709" t="s">
        <v>6778</v>
      </c>
      <c r="C709" s="268" t="s">
        <v>6316</v>
      </c>
      <c r="D709" s="308">
        <v>3011</v>
      </c>
      <c r="E709" s="299" t="s">
        <v>4876</v>
      </c>
      <c r="F709" s="299" t="s">
        <v>5435</v>
      </c>
      <c r="G709" s="300">
        <v>2</v>
      </c>
      <c r="H709" s="300">
        <v>1</v>
      </c>
      <c r="I709" s="298">
        <v>34</v>
      </c>
      <c r="J709" s="303" t="s">
        <v>5521</v>
      </c>
      <c r="K709" s="315" t="s">
        <v>5522</v>
      </c>
      <c r="L709" s="315"/>
      <c r="M709" s="299">
        <v>99</v>
      </c>
      <c r="N709" s="299" t="b">
        <v>1</v>
      </c>
      <c r="O709" s="299">
        <v>2</v>
      </c>
      <c r="P709" s="281">
        <v>30</v>
      </c>
      <c r="Q709" s="281">
        <v>40</v>
      </c>
      <c r="R709" s="299" t="s">
        <v>3383</v>
      </c>
      <c r="S709" s="299"/>
      <c r="T709" s="299">
        <v>1</v>
      </c>
      <c r="U709" s="299" t="s">
        <v>4880</v>
      </c>
      <c r="V709" s="299">
        <v>0</v>
      </c>
      <c r="W709" s="299"/>
      <c r="X709" s="299" t="s">
        <v>4881</v>
      </c>
      <c r="Y709" t="s">
        <v>6779</v>
      </c>
      <c r="Z709" t="s">
        <v>6780</v>
      </c>
      <c r="AA709" s="299" t="s">
        <v>5440</v>
      </c>
      <c r="AB709" s="299"/>
      <c r="AC709" s="306">
        <v>1</v>
      </c>
      <c r="AD709" s="306">
        <v>1</v>
      </c>
      <c r="AE709" s="299"/>
      <c r="AF709" s="299"/>
      <c r="AG709" s="307"/>
    </row>
    <row r="710" spans="1:33" x14ac:dyDescent="0.15">
      <c r="A710" s="298">
        <v>95512002</v>
      </c>
      <c r="B710" t="s">
        <v>6781</v>
      </c>
      <c r="C710" s="268" t="s">
        <v>6316</v>
      </c>
      <c r="D710" s="308">
        <v>3012</v>
      </c>
      <c r="E710" s="299" t="s">
        <v>4876</v>
      </c>
      <c r="F710" s="299" t="s">
        <v>5435</v>
      </c>
      <c r="G710" s="300">
        <v>2</v>
      </c>
      <c r="H710" s="300">
        <v>1</v>
      </c>
      <c r="I710" s="298">
        <v>34</v>
      </c>
      <c r="J710" s="303" t="s">
        <v>5526</v>
      </c>
      <c r="K710" s="315" t="s">
        <v>5527</v>
      </c>
      <c r="L710" s="315"/>
      <c r="M710" s="299">
        <v>99</v>
      </c>
      <c r="N710" s="299" t="b">
        <v>1</v>
      </c>
      <c r="O710" s="299">
        <v>2</v>
      </c>
      <c r="P710" s="281">
        <v>30</v>
      </c>
      <c r="Q710" s="281">
        <v>40</v>
      </c>
      <c r="R710" s="299" t="s">
        <v>3383</v>
      </c>
      <c r="S710" s="299"/>
      <c r="T710" s="299">
        <v>1</v>
      </c>
      <c r="U710" s="299" t="s">
        <v>4880</v>
      </c>
      <c r="V710" s="299">
        <v>0</v>
      </c>
      <c r="W710" s="299"/>
      <c r="X710" s="299" t="s">
        <v>4881</v>
      </c>
      <c r="Y710" t="s">
        <v>6782</v>
      </c>
      <c r="Z710" t="s">
        <v>6783</v>
      </c>
      <c r="AA710" s="299" t="s">
        <v>5440</v>
      </c>
      <c r="AB710" s="299"/>
      <c r="AC710" s="306">
        <v>1</v>
      </c>
      <c r="AD710" s="306">
        <v>1</v>
      </c>
      <c r="AE710" s="299"/>
      <c r="AF710" s="299"/>
      <c r="AG710" s="307"/>
    </row>
    <row r="711" spans="1:33" x14ac:dyDescent="0.15">
      <c r="A711" s="298">
        <v>95512011</v>
      </c>
      <c r="B711" t="s">
        <v>6784</v>
      </c>
      <c r="C711" s="268" t="s">
        <v>6316</v>
      </c>
      <c r="D711" s="308">
        <v>3011</v>
      </c>
      <c r="E711" s="299" t="s">
        <v>4876</v>
      </c>
      <c r="F711" s="299" t="s">
        <v>5435</v>
      </c>
      <c r="G711" s="300">
        <v>2</v>
      </c>
      <c r="H711" s="300">
        <v>1</v>
      </c>
      <c r="I711" s="298">
        <v>34</v>
      </c>
      <c r="J711" s="303" t="s">
        <v>5531</v>
      </c>
      <c r="K711" s="315" t="s">
        <v>5532</v>
      </c>
      <c r="L711" s="315"/>
      <c r="M711" s="299">
        <v>99</v>
      </c>
      <c r="N711" s="299" t="b">
        <v>1</v>
      </c>
      <c r="O711" s="299">
        <v>2</v>
      </c>
      <c r="P711" s="281">
        <v>30</v>
      </c>
      <c r="Q711" s="281">
        <v>40</v>
      </c>
      <c r="R711" s="299" t="s">
        <v>3383</v>
      </c>
      <c r="S711" s="299"/>
      <c r="T711" s="299">
        <v>1</v>
      </c>
      <c r="U711" s="299" t="s">
        <v>4880</v>
      </c>
      <c r="V711" s="299">
        <v>0</v>
      </c>
      <c r="W711" s="299"/>
      <c r="X711" s="299" t="s">
        <v>4881</v>
      </c>
      <c r="Y711" t="s">
        <v>6785</v>
      </c>
      <c r="Z711" t="s">
        <v>6786</v>
      </c>
      <c r="AA711" s="299" t="s">
        <v>5440</v>
      </c>
      <c r="AB711" s="299"/>
      <c r="AC711" s="306">
        <v>1</v>
      </c>
      <c r="AD711" s="306">
        <v>1</v>
      </c>
      <c r="AE711" s="299"/>
      <c r="AF711" s="299"/>
      <c r="AG711" s="307"/>
    </row>
    <row r="712" spans="1:33" x14ac:dyDescent="0.15">
      <c r="A712" s="298">
        <v>95513002</v>
      </c>
      <c r="B712" t="s">
        <v>6787</v>
      </c>
      <c r="C712" s="268" t="s">
        <v>6316</v>
      </c>
      <c r="D712" s="281">
        <v>3012</v>
      </c>
      <c r="E712" s="281" t="s">
        <v>4876</v>
      </c>
      <c r="F712" s="281" t="s">
        <v>5435</v>
      </c>
      <c r="G712" s="300">
        <v>2</v>
      </c>
      <c r="H712" s="309">
        <v>1</v>
      </c>
      <c r="I712" s="316">
        <v>34</v>
      </c>
      <c r="J712" s="303" t="s">
        <v>5536</v>
      </c>
      <c r="K712" s="317" t="s">
        <v>5537</v>
      </c>
      <c r="L712" s="317"/>
      <c r="M712" s="281">
        <v>99</v>
      </c>
      <c r="N712" s="281" t="b">
        <v>1</v>
      </c>
      <c r="O712" s="281">
        <v>2</v>
      </c>
      <c r="P712" s="281">
        <v>30</v>
      </c>
      <c r="Q712" s="281">
        <v>40</v>
      </c>
      <c r="R712" s="281" t="s">
        <v>3383</v>
      </c>
      <c r="S712" s="281"/>
      <c r="T712" s="281">
        <v>1</v>
      </c>
      <c r="U712" s="281" t="s">
        <v>4880</v>
      </c>
      <c r="V712" s="281">
        <v>0</v>
      </c>
      <c r="W712" s="281"/>
      <c r="X712" s="281" t="s">
        <v>4881</v>
      </c>
      <c r="Y712" t="s">
        <v>6788</v>
      </c>
      <c r="Z712" t="s">
        <v>6789</v>
      </c>
      <c r="AA712" s="281" t="s">
        <v>5440</v>
      </c>
      <c r="AB712" s="281"/>
      <c r="AC712" s="320">
        <v>1</v>
      </c>
      <c r="AD712" s="320">
        <v>1</v>
      </c>
      <c r="AE712" s="281"/>
      <c r="AF712" s="281"/>
      <c r="AG712" s="288"/>
    </row>
    <row r="713" spans="1:33" x14ac:dyDescent="0.15">
      <c r="A713" s="298">
        <v>95513011</v>
      </c>
      <c r="B713" t="s">
        <v>6790</v>
      </c>
      <c r="C713" s="268" t="s">
        <v>6316</v>
      </c>
      <c r="D713" s="308">
        <v>3011</v>
      </c>
      <c r="E713" s="299" t="s">
        <v>4876</v>
      </c>
      <c r="F713" s="299" t="s">
        <v>5435</v>
      </c>
      <c r="G713" s="300">
        <v>2</v>
      </c>
      <c r="H713" s="300">
        <v>1</v>
      </c>
      <c r="I713" s="298">
        <v>34</v>
      </c>
      <c r="J713" s="303" t="s">
        <v>5541</v>
      </c>
      <c r="K713" s="315" t="s">
        <v>5542</v>
      </c>
      <c r="L713" s="315"/>
      <c r="M713" s="299">
        <v>99</v>
      </c>
      <c r="N713" s="299" t="b">
        <v>1</v>
      </c>
      <c r="O713" s="299">
        <v>2</v>
      </c>
      <c r="P713" s="281">
        <v>30</v>
      </c>
      <c r="Q713" s="281">
        <v>40</v>
      </c>
      <c r="R713" s="299" t="s">
        <v>3383</v>
      </c>
      <c r="S713" s="299"/>
      <c r="T713" s="299">
        <v>1</v>
      </c>
      <c r="U713" s="299" t="s">
        <v>4880</v>
      </c>
      <c r="V713" s="299">
        <v>0</v>
      </c>
      <c r="W713" s="299"/>
      <c r="X713" s="299" t="s">
        <v>4881</v>
      </c>
      <c r="Y713" t="s">
        <v>6791</v>
      </c>
      <c r="Z713" t="s">
        <v>6792</v>
      </c>
      <c r="AA713" s="299" t="s">
        <v>5440</v>
      </c>
      <c r="AB713" s="299"/>
      <c r="AC713" s="306">
        <v>1</v>
      </c>
      <c r="AD713" s="306">
        <v>1</v>
      </c>
      <c r="AE713" s="299"/>
      <c r="AF713" s="299"/>
      <c r="AG713" s="307"/>
    </row>
    <row r="714" spans="1:33" x14ac:dyDescent="0.15">
      <c r="A714" s="298">
        <v>95514002</v>
      </c>
      <c r="B714" t="s">
        <v>6793</v>
      </c>
      <c r="C714" s="268" t="s">
        <v>6316</v>
      </c>
      <c r="D714" s="308">
        <v>3012</v>
      </c>
      <c r="E714" s="299" t="s">
        <v>4876</v>
      </c>
      <c r="F714" s="299" t="s">
        <v>5435</v>
      </c>
      <c r="G714" s="300">
        <v>2</v>
      </c>
      <c r="H714" s="300">
        <v>1</v>
      </c>
      <c r="I714" s="298">
        <v>34</v>
      </c>
      <c r="J714" s="303" t="s">
        <v>5546</v>
      </c>
      <c r="K714" s="315" t="s">
        <v>5547</v>
      </c>
      <c r="L714" s="315"/>
      <c r="M714" s="299">
        <v>99</v>
      </c>
      <c r="N714" s="299" t="b">
        <v>1</v>
      </c>
      <c r="O714" s="299">
        <v>2</v>
      </c>
      <c r="P714" s="281">
        <v>30</v>
      </c>
      <c r="Q714" s="281">
        <v>40</v>
      </c>
      <c r="R714" s="299" t="s">
        <v>3383</v>
      </c>
      <c r="S714" s="299"/>
      <c r="T714" s="299">
        <v>1</v>
      </c>
      <c r="U714" s="299" t="s">
        <v>4880</v>
      </c>
      <c r="V714" s="299">
        <v>0</v>
      </c>
      <c r="W714" s="299"/>
      <c r="X714" s="299" t="s">
        <v>4881</v>
      </c>
      <c r="Y714" t="s">
        <v>6794</v>
      </c>
      <c r="Z714" t="s">
        <v>6795</v>
      </c>
      <c r="AA714" s="299" t="s">
        <v>5440</v>
      </c>
      <c r="AB714" s="299"/>
      <c r="AC714" s="306">
        <v>1</v>
      </c>
      <c r="AD714" s="306">
        <v>1</v>
      </c>
      <c r="AE714" s="299"/>
      <c r="AF714" s="299"/>
      <c r="AG714" s="307"/>
    </row>
    <row r="715" spans="1:33" x14ac:dyDescent="0.15">
      <c r="A715" s="298">
        <v>95514011</v>
      </c>
      <c r="B715" t="s">
        <v>6796</v>
      </c>
      <c r="C715" s="268" t="s">
        <v>6316</v>
      </c>
      <c r="D715" s="308">
        <v>3011</v>
      </c>
      <c r="E715" s="299" t="s">
        <v>4876</v>
      </c>
      <c r="F715" s="299" t="s">
        <v>5435</v>
      </c>
      <c r="G715" s="300">
        <v>2</v>
      </c>
      <c r="H715" s="300">
        <v>1</v>
      </c>
      <c r="I715" s="298">
        <v>34</v>
      </c>
      <c r="J715" s="303" t="s">
        <v>5551</v>
      </c>
      <c r="K715" s="315" t="s">
        <v>5552</v>
      </c>
      <c r="L715" s="315"/>
      <c r="M715" s="299">
        <v>99</v>
      </c>
      <c r="N715" s="299" t="b">
        <v>1</v>
      </c>
      <c r="O715" s="299">
        <v>2</v>
      </c>
      <c r="P715" s="281">
        <v>30</v>
      </c>
      <c r="Q715" s="281">
        <v>40</v>
      </c>
      <c r="R715" s="299" t="s">
        <v>3383</v>
      </c>
      <c r="S715" s="299"/>
      <c r="T715" s="299">
        <v>1</v>
      </c>
      <c r="U715" s="299" t="s">
        <v>4880</v>
      </c>
      <c r="V715" s="299">
        <v>0</v>
      </c>
      <c r="W715" s="299"/>
      <c r="X715" s="299" t="s">
        <v>4881</v>
      </c>
      <c r="Y715" t="s">
        <v>6797</v>
      </c>
      <c r="Z715" t="s">
        <v>6798</v>
      </c>
      <c r="AA715" s="299" t="s">
        <v>5440</v>
      </c>
      <c r="AB715" s="299"/>
      <c r="AC715" s="306">
        <v>1</v>
      </c>
      <c r="AD715" s="306">
        <v>1</v>
      </c>
      <c r="AE715" s="299"/>
      <c r="AF715" s="299"/>
      <c r="AG715" s="307"/>
    </row>
    <row r="716" spans="1:33" x14ac:dyDescent="0.15">
      <c r="A716" s="298">
        <v>95515002</v>
      </c>
      <c r="B716" t="s">
        <v>6799</v>
      </c>
      <c r="C716" s="268" t="s">
        <v>6316</v>
      </c>
      <c r="D716" s="308">
        <v>3012</v>
      </c>
      <c r="E716" s="299" t="s">
        <v>4876</v>
      </c>
      <c r="F716" s="299" t="s">
        <v>5435</v>
      </c>
      <c r="G716" s="300">
        <v>2</v>
      </c>
      <c r="H716" s="300">
        <v>1</v>
      </c>
      <c r="I716" s="298">
        <v>34</v>
      </c>
      <c r="J716" s="303" t="s">
        <v>5556</v>
      </c>
      <c r="K716" s="315" t="s">
        <v>5557</v>
      </c>
      <c r="L716" s="315"/>
      <c r="M716" s="299">
        <v>99</v>
      </c>
      <c r="N716" s="299" t="b">
        <v>1</v>
      </c>
      <c r="O716" s="299">
        <v>2</v>
      </c>
      <c r="P716" s="281">
        <v>30</v>
      </c>
      <c r="Q716" s="281">
        <v>40</v>
      </c>
      <c r="R716" s="299" t="s">
        <v>3383</v>
      </c>
      <c r="S716" s="299"/>
      <c r="T716" s="299">
        <v>1</v>
      </c>
      <c r="U716" s="299" t="s">
        <v>4880</v>
      </c>
      <c r="V716" s="299">
        <v>0</v>
      </c>
      <c r="W716" s="299"/>
      <c r="X716" s="299" t="s">
        <v>4881</v>
      </c>
      <c r="Y716" t="s">
        <v>6800</v>
      </c>
      <c r="Z716" t="s">
        <v>6801</v>
      </c>
      <c r="AA716" s="299" t="s">
        <v>5440</v>
      </c>
      <c r="AB716" s="299"/>
      <c r="AC716" s="306">
        <v>1</v>
      </c>
      <c r="AD716" s="306">
        <v>1</v>
      </c>
      <c r="AE716" s="299"/>
      <c r="AF716" s="299"/>
      <c r="AG716" s="307"/>
    </row>
    <row r="717" spans="1:33" x14ac:dyDescent="0.15">
      <c r="A717" s="298">
        <v>95515011</v>
      </c>
      <c r="B717" t="s">
        <v>6802</v>
      </c>
      <c r="C717" s="268" t="s">
        <v>6316</v>
      </c>
      <c r="D717" s="308">
        <v>3011</v>
      </c>
      <c r="E717" s="299" t="s">
        <v>4876</v>
      </c>
      <c r="F717" s="299" t="s">
        <v>5435</v>
      </c>
      <c r="G717" s="300">
        <v>2</v>
      </c>
      <c r="H717" s="300">
        <v>1</v>
      </c>
      <c r="I717" s="298">
        <v>34</v>
      </c>
      <c r="J717" s="303" t="s">
        <v>5561</v>
      </c>
      <c r="K717" s="315" t="s">
        <v>5562</v>
      </c>
      <c r="L717" s="315"/>
      <c r="M717" s="299">
        <v>99</v>
      </c>
      <c r="N717" s="299" t="b">
        <v>1</v>
      </c>
      <c r="O717" s="299">
        <v>2</v>
      </c>
      <c r="P717" s="281">
        <v>30</v>
      </c>
      <c r="Q717" s="281">
        <v>40</v>
      </c>
      <c r="R717" s="299" t="s">
        <v>3383</v>
      </c>
      <c r="S717" s="299"/>
      <c r="T717" s="299">
        <v>1</v>
      </c>
      <c r="U717" s="299" t="s">
        <v>4880</v>
      </c>
      <c r="V717" s="299">
        <v>0</v>
      </c>
      <c r="W717" s="299"/>
      <c r="X717" s="299" t="s">
        <v>4881</v>
      </c>
      <c r="Y717" t="s">
        <v>6803</v>
      </c>
      <c r="Z717" t="s">
        <v>6804</v>
      </c>
      <c r="AA717" s="299" t="s">
        <v>5440</v>
      </c>
      <c r="AB717" s="299"/>
      <c r="AC717" s="306">
        <v>1</v>
      </c>
      <c r="AD717" s="306">
        <v>1</v>
      </c>
      <c r="AE717" s="299"/>
      <c r="AF717" s="299"/>
      <c r="AG717" s="307"/>
    </row>
    <row r="718" spans="1:33" x14ac:dyDescent="0.15">
      <c r="A718" s="298">
        <v>95901001</v>
      </c>
      <c r="B718" t="s">
        <v>6805</v>
      </c>
      <c r="C718" s="268" t="s">
        <v>6316</v>
      </c>
      <c r="D718" s="308">
        <v>4007</v>
      </c>
      <c r="E718" s="299" t="s">
        <v>4876</v>
      </c>
      <c r="F718" s="299" t="s">
        <v>5566</v>
      </c>
      <c r="G718" s="300">
        <v>2</v>
      </c>
      <c r="H718" s="300">
        <v>1</v>
      </c>
      <c r="I718" s="298">
        <v>34</v>
      </c>
      <c r="J718" s="303" t="s">
        <v>5567</v>
      </c>
      <c r="K718" s="315"/>
      <c r="L718" s="315"/>
      <c r="M718" s="299">
        <v>99</v>
      </c>
      <c r="N718" s="299" t="b">
        <v>1</v>
      </c>
      <c r="O718" s="299">
        <v>5</v>
      </c>
      <c r="P718" s="281">
        <v>75</v>
      </c>
      <c r="Q718" s="281">
        <v>100</v>
      </c>
      <c r="R718" s="299" t="s">
        <v>3383</v>
      </c>
      <c r="S718" s="299"/>
      <c r="T718" s="299">
        <v>1</v>
      </c>
      <c r="U718" s="299" t="s">
        <v>4880</v>
      </c>
      <c r="V718" s="299">
        <v>0</v>
      </c>
      <c r="W718" s="299"/>
      <c r="X718" s="299" t="s">
        <v>4881</v>
      </c>
      <c r="Y718" t="s">
        <v>6806</v>
      </c>
      <c r="Z718" t="s">
        <v>6807</v>
      </c>
      <c r="AA718" s="299" t="s">
        <v>5570</v>
      </c>
      <c r="AB718" s="299"/>
      <c r="AC718" s="306">
        <v>1</v>
      </c>
      <c r="AD718" s="306">
        <v>1</v>
      </c>
      <c r="AE718" s="299"/>
      <c r="AF718" s="299"/>
      <c r="AG718" s="307"/>
    </row>
    <row r="719" spans="1:33" x14ac:dyDescent="0.15">
      <c r="A719" s="298">
        <v>95901002</v>
      </c>
      <c r="B719" t="s">
        <v>6808</v>
      </c>
      <c r="C719" s="268" t="s">
        <v>6316</v>
      </c>
      <c r="D719" s="308">
        <v>4007</v>
      </c>
      <c r="E719" s="299" t="s">
        <v>4876</v>
      </c>
      <c r="F719" s="299" t="s">
        <v>5566</v>
      </c>
      <c r="G719" s="300">
        <v>2</v>
      </c>
      <c r="H719" s="300">
        <v>1</v>
      </c>
      <c r="I719" s="298">
        <v>34</v>
      </c>
      <c r="J719" s="303" t="s">
        <v>5572</v>
      </c>
      <c r="K719" s="315"/>
      <c r="L719" s="315"/>
      <c r="M719" s="299">
        <v>99</v>
      </c>
      <c r="N719" s="299" t="b">
        <v>1</v>
      </c>
      <c r="O719" s="299">
        <v>5</v>
      </c>
      <c r="P719" s="281">
        <v>75</v>
      </c>
      <c r="Q719" s="281">
        <v>100</v>
      </c>
      <c r="R719" s="299" t="s">
        <v>3383</v>
      </c>
      <c r="S719" s="299"/>
      <c r="T719" s="299">
        <v>1</v>
      </c>
      <c r="U719" s="299" t="s">
        <v>4880</v>
      </c>
      <c r="V719" s="299">
        <v>0</v>
      </c>
      <c r="W719" s="299"/>
      <c r="X719" s="299" t="s">
        <v>4881</v>
      </c>
      <c r="Y719" t="s">
        <v>6809</v>
      </c>
      <c r="Z719" t="s">
        <v>6810</v>
      </c>
      <c r="AA719" s="299" t="s">
        <v>5570</v>
      </c>
      <c r="AB719" s="299"/>
      <c r="AC719" s="306">
        <v>1</v>
      </c>
      <c r="AD719" s="306">
        <v>1</v>
      </c>
      <c r="AE719" s="299"/>
      <c r="AF719" s="299"/>
      <c r="AG719" s="307"/>
    </row>
    <row r="720" spans="1:33" x14ac:dyDescent="0.15">
      <c r="A720" s="298">
        <v>95902001</v>
      </c>
      <c r="B720" t="s">
        <v>6811</v>
      </c>
      <c r="C720" s="268" t="s">
        <v>6316</v>
      </c>
      <c r="D720" s="299">
        <v>4006</v>
      </c>
      <c r="E720" s="299" t="s">
        <v>4876</v>
      </c>
      <c r="F720" s="299" t="s">
        <v>5566</v>
      </c>
      <c r="G720" s="300">
        <v>2</v>
      </c>
      <c r="H720" s="300">
        <v>1</v>
      </c>
      <c r="I720" s="298">
        <v>34</v>
      </c>
      <c r="J720" s="303" t="s">
        <v>5576</v>
      </c>
      <c r="K720" s="304"/>
      <c r="L720" s="304"/>
      <c r="M720" s="299">
        <v>99</v>
      </c>
      <c r="N720" s="299" t="b">
        <v>1</v>
      </c>
      <c r="O720" s="299">
        <v>5</v>
      </c>
      <c r="P720" s="281">
        <v>75</v>
      </c>
      <c r="Q720" s="281">
        <v>100</v>
      </c>
      <c r="R720" s="299" t="s">
        <v>3383</v>
      </c>
      <c r="S720" s="299"/>
      <c r="T720" s="299">
        <v>1</v>
      </c>
      <c r="U720" s="299" t="s">
        <v>4880</v>
      </c>
      <c r="V720" s="299">
        <v>0</v>
      </c>
      <c r="W720" s="299"/>
      <c r="X720" s="299" t="s">
        <v>4881</v>
      </c>
      <c r="Y720" t="s">
        <v>6812</v>
      </c>
      <c r="Z720" t="s">
        <v>6813</v>
      </c>
      <c r="AA720" s="299" t="s">
        <v>5570</v>
      </c>
      <c r="AB720" s="299"/>
      <c r="AC720" s="306">
        <v>1</v>
      </c>
      <c r="AD720" s="306">
        <v>1</v>
      </c>
      <c r="AE720" s="299"/>
      <c r="AF720" s="299"/>
      <c r="AG720" s="307"/>
    </row>
    <row r="721" spans="1:33" x14ac:dyDescent="0.15">
      <c r="A721" s="310">
        <v>95902002</v>
      </c>
      <c r="B721" t="s">
        <v>6814</v>
      </c>
      <c r="C721" s="268" t="s">
        <v>6316</v>
      </c>
      <c r="D721" s="311">
        <v>4006</v>
      </c>
      <c r="E721" s="312" t="s">
        <v>4876</v>
      </c>
      <c r="F721" s="312" t="s">
        <v>5566</v>
      </c>
      <c r="G721" s="313">
        <v>2</v>
      </c>
      <c r="H721" s="313">
        <v>1</v>
      </c>
      <c r="I721" s="310">
        <v>34</v>
      </c>
      <c r="J721" s="318" t="s">
        <v>5580</v>
      </c>
      <c r="K721" s="319"/>
      <c r="L721" s="319"/>
      <c r="M721" s="312">
        <v>99</v>
      </c>
      <c r="N721" s="312" t="b">
        <v>1</v>
      </c>
      <c r="O721" s="312">
        <v>5</v>
      </c>
      <c r="P721" s="281">
        <v>75</v>
      </c>
      <c r="Q721" s="281">
        <v>100</v>
      </c>
      <c r="R721" s="312" t="s">
        <v>3383</v>
      </c>
      <c r="S721" s="312"/>
      <c r="T721" s="312">
        <v>1</v>
      </c>
      <c r="U721" s="312" t="s">
        <v>4880</v>
      </c>
      <c r="V721" s="312">
        <v>0</v>
      </c>
      <c r="W721" s="312"/>
      <c r="X721" s="312" t="s">
        <v>4881</v>
      </c>
      <c r="Y721" t="s">
        <v>6815</v>
      </c>
      <c r="Z721" t="s">
        <v>6816</v>
      </c>
      <c r="AA721" s="312" t="s">
        <v>5570</v>
      </c>
      <c r="AB721" s="312"/>
      <c r="AC721" s="321">
        <v>1</v>
      </c>
      <c r="AD721" s="321">
        <v>1</v>
      </c>
      <c r="AE721" s="312"/>
      <c r="AF721" s="312"/>
      <c r="AG721" s="322"/>
    </row>
    <row r="722" spans="1:33" x14ac:dyDescent="0.15">
      <c r="A722" s="310">
        <v>95903001</v>
      </c>
      <c r="B722" t="s">
        <v>6817</v>
      </c>
      <c r="C722" s="268" t="s">
        <v>6316</v>
      </c>
      <c r="D722" s="311">
        <v>4005</v>
      </c>
      <c r="E722" s="312" t="s">
        <v>4876</v>
      </c>
      <c r="F722" s="312" t="s">
        <v>5566</v>
      </c>
      <c r="G722" s="313">
        <v>2</v>
      </c>
      <c r="H722" s="313">
        <v>1</v>
      </c>
      <c r="I722" s="310">
        <v>34</v>
      </c>
      <c r="J722" s="318" t="s">
        <v>5584</v>
      </c>
      <c r="K722" s="319"/>
      <c r="L722" s="319"/>
      <c r="M722" s="312">
        <v>99</v>
      </c>
      <c r="N722" s="312" t="b">
        <v>1</v>
      </c>
      <c r="O722" s="312">
        <v>5</v>
      </c>
      <c r="P722" s="281">
        <v>75</v>
      </c>
      <c r="Q722" s="281">
        <v>100</v>
      </c>
      <c r="R722" s="312" t="s">
        <v>3383</v>
      </c>
      <c r="S722" s="312"/>
      <c r="T722" s="312">
        <v>1</v>
      </c>
      <c r="U722" s="312" t="s">
        <v>4880</v>
      </c>
      <c r="V722" s="312">
        <v>0</v>
      </c>
      <c r="W722" s="312"/>
      <c r="X722" s="312" t="s">
        <v>4881</v>
      </c>
      <c r="Y722" t="s">
        <v>6818</v>
      </c>
      <c r="Z722" t="s">
        <v>6819</v>
      </c>
      <c r="AA722" s="312" t="s">
        <v>5570</v>
      </c>
      <c r="AB722" s="312"/>
      <c r="AC722" s="321">
        <v>1</v>
      </c>
      <c r="AD722" s="321">
        <v>1</v>
      </c>
      <c r="AE722" s="312"/>
      <c r="AF722" s="312"/>
      <c r="AG722" s="322"/>
    </row>
    <row r="723" spans="1:33" x14ac:dyDescent="0.15">
      <c r="A723" s="298">
        <v>95903002</v>
      </c>
      <c r="B723" t="s">
        <v>6820</v>
      </c>
      <c r="C723" s="268" t="s">
        <v>6316</v>
      </c>
      <c r="D723" s="308">
        <v>4005</v>
      </c>
      <c r="E723" s="299" t="s">
        <v>4876</v>
      </c>
      <c r="F723" s="299" t="s">
        <v>5566</v>
      </c>
      <c r="G723" s="300">
        <v>2</v>
      </c>
      <c r="H723" s="300">
        <v>1</v>
      </c>
      <c r="I723" s="298">
        <v>34</v>
      </c>
      <c r="J723" s="303" t="s">
        <v>5588</v>
      </c>
      <c r="K723" s="315"/>
      <c r="L723" s="315"/>
      <c r="M723" s="299">
        <v>99</v>
      </c>
      <c r="N723" s="299" t="b">
        <v>1</v>
      </c>
      <c r="O723" s="299">
        <v>5</v>
      </c>
      <c r="P723" s="281">
        <v>75</v>
      </c>
      <c r="Q723" s="281">
        <v>100</v>
      </c>
      <c r="R723" s="299" t="s">
        <v>3383</v>
      </c>
      <c r="S723" s="299"/>
      <c r="T723" s="299">
        <v>1</v>
      </c>
      <c r="U723" s="299" t="s">
        <v>4880</v>
      </c>
      <c r="V723" s="299">
        <v>0</v>
      </c>
      <c r="W723" s="299"/>
      <c r="X723" s="299" t="s">
        <v>4881</v>
      </c>
      <c r="Y723" t="s">
        <v>6821</v>
      </c>
      <c r="Z723" t="s">
        <v>6822</v>
      </c>
      <c r="AA723" s="299" t="s">
        <v>5570</v>
      </c>
      <c r="AB723" s="299"/>
      <c r="AC723" s="306">
        <v>1</v>
      </c>
      <c r="AD723" s="306">
        <v>1</v>
      </c>
      <c r="AE723" s="299"/>
      <c r="AF723" s="299"/>
      <c r="AG723" s="307"/>
    </row>
    <row r="724" spans="1:33" x14ac:dyDescent="0.15">
      <c r="A724" s="298">
        <v>95904002</v>
      </c>
      <c r="B724" t="s">
        <v>6823</v>
      </c>
      <c r="C724" s="268" t="s">
        <v>6316</v>
      </c>
      <c r="D724" s="308">
        <v>4004</v>
      </c>
      <c r="E724" s="299" t="s">
        <v>4876</v>
      </c>
      <c r="F724" s="299" t="s">
        <v>5566</v>
      </c>
      <c r="G724" s="300">
        <v>2</v>
      </c>
      <c r="H724" s="300">
        <v>1</v>
      </c>
      <c r="I724" s="298">
        <v>34</v>
      </c>
      <c r="J724" s="303" t="s">
        <v>5592</v>
      </c>
      <c r="K724" s="315"/>
      <c r="L724" s="315"/>
      <c r="M724" s="299">
        <v>99</v>
      </c>
      <c r="N724" s="299" t="b">
        <v>1</v>
      </c>
      <c r="O724" s="299">
        <v>5</v>
      </c>
      <c r="P724" s="281">
        <v>75</v>
      </c>
      <c r="Q724" s="281">
        <v>100</v>
      </c>
      <c r="R724" s="299" t="s">
        <v>3383</v>
      </c>
      <c r="S724" s="299"/>
      <c r="T724" s="299">
        <v>1</v>
      </c>
      <c r="U724" s="299" t="s">
        <v>4880</v>
      </c>
      <c r="V724" s="299">
        <v>0</v>
      </c>
      <c r="W724" s="299"/>
      <c r="X724" s="299" t="s">
        <v>4881</v>
      </c>
      <c r="Y724" t="s">
        <v>6824</v>
      </c>
      <c r="Z724" t="s">
        <v>6825</v>
      </c>
      <c r="AA724" s="299" t="s">
        <v>5570</v>
      </c>
      <c r="AB724" s="299"/>
      <c r="AC724" s="306">
        <v>1</v>
      </c>
      <c r="AD724" s="306">
        <v>1</v>
      </c>
      <c r="AE724" s="299"/>
      <c r="AF724" s="299"/>
      <c r="AG724" s="307"/>
    </row>
    <row r="725" spans="1:33" x14ac:dyDescent="0.15">
      <c r="A725" s="298">
        <v>95904001</v>
      </c>
      <c r="B725" t="s">
        <v>6826</v>
      </c>
      <c r="C725" s="268" t="s">
        <v>6316</v>
      </c>
      <c r="D725" s="308">
        <v>4004</v>
      </c>
      <c r="E725" s="299" t="s">
        <v>4876</v>
      </c>
      <c r="F725" s="299" t="s">
        <v>5566</v>
      </c>
      <c r="G725" s="300">
        <v>2</v>
      </c>
      <c r="H725" s="300">
        <v>1</v>
      </c>
      <c r="I725" s="298">
        <v>34</v>
      </c>
      <c r="J725" s="303" t="s">
        <v>5596</v>
      </c>
      <c r="K725" s="315"/>
      <c r="L725" s="315"/>
      <c r="M725" s="299">
        <v>99</v>
      </c>
      <c r="N725" s="299" t="b">
        <v>1</v>
      </c>
      <c r="O725" s="299">
        <v>5</v>
      </c>
      <c r="P725" s="281">
        <v>75</v>
      </c>
      <c r="Q725" s="281">
        <v>100</v>
      </c>
      <c r="R725" s="299" t="s">
        <v>3383</v>
      </c>
      <c r="S725" s="299"/>
      <c r="T725" s="299">
        <v>1</v>
      </c>
      <c r="U725" s="299" t="s">
        <v>4880</v>
      </c>
      <c r="V725" s="299">
        <v>0</v>
      </c>
      <c r="W725" s="299"/>
      <c r="X725" s="299" t="s">
        <v>4881</v>
      </c>
      <c r="Y725" t="s">
        <v>6827</v>
      </c>
      <c r="Z725" t="s">
        <v>6828</v>
      </c>
      <c r="AA725" s="299" t="s">
        <v>5570</v>
      </c>
      <c r="AB725" s="299"/>
      <c r="AC725" s="306">
        <v>1</v>
      </c>
      <c r="AD725" s="306">
        <v>1</v>
      </c>
      <c r="AE725" s="299"/>
      <c r="AF725" s="299"/>
      <c r="AG725" s="307"/>
    </row>
    <row r="726" spans="1:33" x14ac:dyDescent="0.15">
      <c r="A726" s="298">
        <v>95905002</v>
      </c>
      <c r="B726" t="s">
        <v>6829</v>
      </c>
      <c r="C726" s="268" t="s">
        <v>6316</v>
      </c>
      <c r="D726" s="308">
        <v>4003</v>
      </c>
      <c r="E726" s="299" t="s">
        <v>4876</v>
      </c>
      <c r="F726" s="299" t="s">
        <v>5566</v>
      </c>
      <c r="G726" s="300">
        <v>2</v>
      </c>
      <c r="H726" s="300">
        <v>1</v>
      </c>
      <c r="I726" s="298">
        <v>34</v>
      </c>
      <c r="J726" s="303" t="s">
        <v>5600</v>
      </c>
      <c r="K726" s="315"/>
      <c r="L726" s="315"/>
      <c r="M726" s="299">
        <v>99</v>
      </c>
      <c r="N726" s="299" t="b">
        <v>1</v>
      </c>
      <c r="O726" s="299">
        <v>5</v>
      </c>
      <c r="P726" s="281">
        <v>75</v>
      </c>
      <c r="Q726" s="281">
        <v>100</v>
      </c>
      <c r="R726" s="299" t="s">
        <v>3383</v>
      </c>
      <c r="S726" s="299"/>
      <c r="T726" s="299">
        <v>1</v>
      </c>
      <c r="U726" s="299" t="s">
        <v>4880</v>
      </c>
      <c r="V726" s="299">
        <v>0</v>
      </c>
      <c r="W726" s="299"/>
      <c r="X726" s="299" t="s">
        <v>4881</v>
      </c>
      <c r="Y726" t="s">
        <v>6830</v>
      </c>
      <c r="Z726" t="s">
        <v>6831</v>
      </c>
      <c r="AA726" s="299" t="s">
        <v>5570</v>
      </c>
      <c r="AB726" s="299"/>
      <c r="AC726" s="306">
        <v>1</v>
      </c>
      <c r="AD726" s="306">
        <v>1</v>
      </c>
      <c r="AE726" s="299"/>
      <c r="AF726" s="299"/>
      <c r="AG726" s="307"/>
    </row>
    <row r="727" spans="1:33" x14ac:dyDescent="0.15">
      <c r="A727" s="298">
        <v>95905001</v>
      </c>
      <c r="B727" t="s">
        <v>6832</v>
      </c>
      <c r="C727" s="268" t="s">
        <v>6316</v>
      </c>
      <c r="D727" s="308">
        <v>4003</v>
      </c>
      <c r="E727" s="299" t="s">
        <v>4876</v>
      </c>
      <c r="F727" s="299" t="s">
        <v>5566</v>
      </c>
      <c r="G727" s="300">
        <v>2</v>
      </c>
      <c r="H727" s="300">
        <v>1</v>
      </c>
      <c r="I727" s="298">
        <v>34</v>
      </c>
      <c r="J727" s="303" t="s">
        <v>5604</v>
      </c>
      <c r="K727" s="315"/>
      <c r="L727" s="315"/>
      <c r="M727" s="299">
        <v>99</v>
      </c>
      <c r="N727" s="299" t="b">
        <v>1</v>
      </c>
      <c r="O727" s="299">
        <v>5</v>
      </c>
      <c r="P727" s="281">
        <v>75</v>
      </c>
      <c r="Q727" s="281">
        <v>100</v>
      </c>
      <c r="R727" s="299" t="s">
        <v>3383</v>
      </c>
      <c r="S727" s="299"/>
      <c r="T727" s="299">
        <v>1</v>
      </c>
      <c r="U727" s="299" t="s">
        <v>4880</v>
      </c>
      <c r="V727" s="299">
        <v>0</v>
      </c>
      <c r="W727" s="299"/>
      <c r="X727" s="299" t="s">
        <v>4881</v>
      </c>
      <c r="Y727" t="s">
        <v>6833</v>
      </c>
      <c r="Z727" t="s">
        <v>6834</v>
      </c>
      <c r="AA727" s="299" t="s">
        <v>5570</v>
      </c>
      <c r="AB727" s="299"/>
      <c r="AC727" s="306">
        <v>1</v>
      </c>
      <c r="AD727" s="306">
        <v>1</v>
      </c>
      <c r="AE727" s="299"/>
      <c r="AF727" s="299"/>
      <c r="AG727" s="307"/>
    </row>
    <row r="728" spans="1:33" x14ac:dyDescent="0.15">
      <c r="A728" s="298">
        <v>95906001</v>
      </c>
      <c r="B728" t="s">
        <v>6835</v>
      </c>
      <c r="C728" s="268" t="s">
        <v>6316</v>
      </c>
      <c r="D728" s="299">
        <v>4003</v>
      </c>
      <c r="E728" s="299" t="s">
        <v>4876</v>
      </c>
      <c r="F728" s="299" t="s">
        <v>5566</v>
      </c>
      <c r="G728" s="300">
        <v>2</v>
      </c>
      <c r="H728" s="300">
        <v>1</v>
      </c>
      <c r="I728" s="298">
        <v>34</v>
      </c>
      <c r="J728" s="303" t="s">
        <v>5608</v>
      </c>
      <c r="K728" s="304"/>
      <c r="L728" s="304"/>
      <c r="M728" s="299">
        <v>99</v>
      </c>
      <c r="N728" s="299" t="b">
        <v>1</v>
      </c>
      <c r="O728" s="299">
        <v>5</v>
      </c>
      <c r="P728" s="281">
        <v>75</v>
      </c>
      <c r="Q728" s="281">
        <v>100</v>
      </c>
      <c r="R728" s="299" t="s">
        <v>3383</v>
      </c>
      <c r="S728" s="299"/>
      <c r="T728" s="299">
        <v>1</v>
      </c>
      <c r="U728" s="299" t="s">
        <v>4880</v>
      </c>
      <c r="V728" s="299">
        <v>0</v>
      </c>
      <c r="W728" s="299"/>
      <c r="X728" s="299" t="s">
        <v>4881</v>
      </c>
      <c r="Y728" t="s">
        <v>6836</v>
      </c>
      <c r="Z728" t="s">
        <v>6837</v>
      </c>
      <c r="AA728" s="299" t="s">
        <v>5570</v>
      </c>
      <c r="AB728" s="299"/>
      <c r="AC728" s="306">
        <v>1</v>
      </c>
      <c r="AD728" s="306">
        <v>1</v>
      </c>
      <c r="AE728" s="299"/>
      <c r="AF728" s="299"/>
      <c r="AG728" s="307"/>
    </row>
    <row r="729" spans="1:33" x14ac:dyDescent="0.15">
      <c r="A729" s="298">
        <v>95906002</v>
      </c>
      <c r="B729" t="s">
        <v>6838</v>
      </c>
      <c r="C729" s="268" t="s">
        <v>6316</v>
      </c>
      <c r="D729" s="308">
        <v>4003</v>
      </c>
      <c r="E729" s="299" t="s">
        <v>4876</v>
      </c>
      <c r="F729" s="299" t="s">
        <v>5566</v>
      </c>
      <c r="G729" s="300">
        <v>2</v>
      </c>
      <c r="H729" s="300">
        <v>1</v>
      </c>
      <c r="I729" s="298">
        <v>34</v>
      </c>
      <c r="J729" s="303" t="s">
        <v>5612</v>
      </c>
      <c r="K729" s="315"/>
      <c r="L729" s="315"/>
      <c r="M729" s="299">
        <v>99</v>
      </c>
      <c r="N729" s="299" t="b">
        <v>1</v>
      </c>
      <c r="O729" s="299">
        <v>5</v>
      </c>
      <c r="P729" s="281">
        <v>75</v>
      </c>
      <c r="Q729" s="281">
        <v>100</v>
      </c>
      <c r="R729" s="299" t="s">
        <v>3383</v>
      </c>
      <c r="S729" s="299"/>
      <c r="T729" s="299">
        <v>1</v>
      </c>
      <c r="U729" s="299" t="s">
        <v>4880</v>
      </c>
      <c r="V729" s="299">
        <v>0</v>
      </c>
      <c r="W729" s="299"/>
      <c r="X729" s="299" t="s">
        <v>4881</v>
      </c>
      <c r="Y729" t="s">
        <v>6839</v>
      </c>
      <c r="Z729" t="s">
        <v>6840</v>
      </c>
      <c r="AA729" s="299" t="s">
        <v>5570</v>
      </c>
      <c r="AB729" s="299"/>
      <c r="AC729" s="306">
        <v>1</v>
      </c>
      <c r="AD729" s="306">
        <v>1</v>
      </c>
      <c r="AE729" s="299"/>
      <c r="AF729" s="299"/>
      <c r="AG729" s="307"/>
    </row>
    <row r="730" spans="1:33" x14ac:dyDescent="0.15">
      <c r="A730" s="298">
        <v>95909001</v>
      </c>
      <c r="B730" t="s">
        <v>6841</v>
      </c>
      <c r="C730" s="268" t="s">
        <v>6316</v>
      </c>
      <c r="D730" s="308">
        <v>4002</v>
      </c>
      <c r="E730" s="299" t="s">
        <v>4876</v>
      </c>
      <c r="F730" s="299" t="s">
        <v>5566</v>
      </c>
      <c r="G730" s="300">
        <v>2</v>
      </c>
      <c r="H730" s="300">
        <v>1</v>
      </c>
      <c r="I730" s="298">
        <v>34</v>
      </c>
      <c r="J730" s="303" t="s">
        <v>5616</v>
      </c>
      <c r="K730" s="315"/>
      <c r="L730" s="315"/>
      <c r="M730" s="299">
        <v>99</v>
      </c>
      <c r="N730" s="299" t="b">
        <v>1</v>
      </c>
      <c r="O730" s="299">
        <v>5</v>
      </c>
      <c r="P730" s="281">
        <v>75</v>
      </c>
      <c r="Q730" s="281">
        <v>100</v>
      </c>
      <c r="R730" s="299" t="s">
        <v>3383</v>
      </c>
      <c r="S730" s="299"/>
      <c r="T730" s="299">
        <v>1</v>
      </c>
      <c r="U730" s="299" t="s">
        <v>4880</v>
      </c>
      <c r="V730" s="299">
        <v>0</v>
      </c>
      <c r="W730" s="299"/>
      <c r="X730" s="299" t="s">
        <v>4881</v>
      </c>
      <c r="Y730" t="s">
        <v>6842</v>
      </c>
      <c r="Z730" t="s">
        <v>6843</v>
      </c>
      <c r="AA730" s="299" t="s">
        <v>5570</v>
      </c>
      <c r="AB730" s="299"/>
      <c r="AC730" s="306">
        <v>1</v>
      </c>
      <c r="AD730" s="306">
        <v>1</v>
      </c>
      <c r="AE730" s="299"/>
      <c r="AF730" s="299"/>
      <c r="AG730" s="307"/>
    </row>
    <row r="731" spans="1:33" x14ac:dyDescent="0.15">
      <c r="A731" s="298">
        <v>95909002</v>
      </c>
      <c r="B731" t="s">
        <v>6844</v>
      </c>
      <c r="C731" s="268" t="s">
        <v>6316</v>
      </c>
      <c r="D731" s="308">
        <v>4002</v>
      </c>
      <c r="E731" s="299" t="s">
        <v>4876</v>
      </c>
      <c r="F731" s="299" t="s">
        <v>5566</v>
      </c>
      <c r="G731" s="300">
        <v>2</v>
      </c>
      <c r="H731" s="300">
        <v>1</v>
      </c>
      <c r="I731" s="298">
        <v>34</v>
      </c>
      <c r="J731" s="303" t="s">
        <v>5620</v>
      </c>
      <c r="K731" s="315"/>
      <c r="L731" s="315"/>
      <c r="M731" s="299">
        <v>99</v>
      </c>
      <c r="N731" s="299" t="b">
        <v>1</v>
      </c>
      <c r="O731" s="299">
        <v>5</v>
      </c>
      <c r="P731" s="281">
        <v>75</v>
      </c>
      <c r="Q731" s="281">
        <v>100</v>
      </c>
      <c r="R731" s="299" t="s">
        <v>3383</v>
      </c>
      <c r="S731" s="299"/>
      <c r="T731" s="299">
        <v>1</v>
      </c>
      <c r="U731" s="299" t="s">
        <v>4880</v>
      </c>
      <c r="V731" s="299">
        <v>0</v>
      </c>
      <c r="W731" s="299"/>
      <c r="X731" s="299" t="s">
        <v>4881</v>
      </c>
      <c r="Y731" t="s">
        <v>6845</v>
      </c>
      <c r="Z731" t="s">
        <v>6846</v>
      </c>
      <c r="AA731" s="299" t="s">
        <v>5570</v>
      </c>
      <c r="AB731" s="299"/>
      <c r="AC731" s="306">
        <v>1</v>
      </c>
      <c r="AD731" s="306">
        <v>1</v>
      </c>
      <c r="AE731" s="299"/>
      <c r="AF731" s="299"/>
      <c r="AG731" s="307"/>
    </row>
    <row r="732" spans="1:33" x14ac:dyDescent="0.15">
      <c r="A732" s="298">
        <v>95910001</v>
      </c>
      <c r="B732" t="s">
        <v>6847</v>
      </c>
      <c r="C732" s="268" t="s">
        <v>6316</v>
      </c>
      <c r="D732" s="308">
        <v>4001</v>
      </c>
      <c r="E732" s="299" t="s">
        <v>4876</v>
      </c>
      <c r="F732" s="299" t="s">
        <v>5566</v>
      </c>
      <c r="G732" s="300">
        <v>2</v>
      </c>
      <c r="H732" s="300">
        <v>1</v>
      </c>
      <c r="I732" s="298">
        <v>34</v>
      </c>
      <c r="J732" s="303" t="s">
        <v>5624</v>
      </c>
      <c r="K732" s="315"/>
      <c r="L732" s="315"/>
      <c r="M732" s="299">
        <v>99</v>
      </c>
      <c r="N732" s="299" t="b">
        <v>1</v>
      </c>
      <c r="O732" s="299">
        <v>5</v>
      </c>
      <c r="P732" s="281">
        <v>75</v>
      </c>
      <c r="Q732" s="281">
        <v>100</v>
      </c>
      <c r="R732" s="299" t="s">
        <v>3383</v>
      </c>
      <c r="S732" s="299"/>
      <c r="T732" s="299">
        <v>1</v>
      </c>
      <c r="U732" s="299" t="s">
        <v>4880</v>
      </c>
      <c r="V732" s="299">
        <v>0</v>
      </c>
      <c r="W732" s="299"/>
      <c r="X732" s="299" t="s">
        <v>4881</v>
      </c>
      <c r="Y732" t="s">
        <v>6848</v>
      </c>
      <c r="Z732" t="s">
        <v>6849</v>
      </c>
      <c r="AA732" s="299" t="s">
        <v>5570</v>
      </c>
      <c r="AB732" s="299"/>
      <c r="AC732" s="306">
        <v>1</v>
      </c>
      <c r="AD732" s="306">
        <v>1</v>
      </c>
      <c r="AE732" s="299"/>
      <c r="AF732" s="299"/>
      <c r="AG732" s="307"/>
    </row>
    <row r="733" spans="1:33" x14ac:dyDescent="0.15">
      <c r="A733" s="298">
        <v>95910002</v>
      </c>
      <c r="B733" t="s">
        <v>6850</v>
      </c>
      <c r="C733" s="268" t="s">
        <v>6316</v>
      </c>
      <c r="D733" s="308">
        <v>4001</v>
      </c>
      <c r="E733" s="299" t="s">
        <v>4876</v>
      </c>
      <c r="F733" s="299" t="s">
        <v>5566</v>
      </c>
      <c r="G733" s="300">
        <v>2</v>
      </c>
      <c r="H733" s="300">
        <v>1</v>
      </c>
      <c r="I733" s="298">
        <v>34</v>
      </c>
      <c r="J733" s="303" t="s">
        <v>5628</v>
      </c>
      <c r="K733" s="315"/>
      <c r="L733" s="315"/>
      <c r="M733" s="299">
        <v>99</v>
      </c>
      <c r="N733" s="299" t="b">
        <v>1</v>
      </c>
      <c r="O733" s="299">
        <v>5</v>
      </c>
      <c r="P733" s="281">
        <v>75</v>
      </c>
      <c r="Q733" s="281">
        <v>100</v>
      </c>
      <c r="R733" s="299" t="s">
        <v>3383</v>
      </c>
      <c r="S733" s="299"/>
      <c r="T733" s="299">
        <v>1</v>
      </c>
      <c r="U733" s="299" t="s">
        <v>4880</v>
      </c>
      <c r="V733" s="299">
        <v>0</v>
      </c>
      <c r="W733" s="299"/>
      <c r="X733" s="299" t="s">
        <v>4881</v>
      </c>
      <c r="Y733" t="s">
        <v>6851</v>
      </c>
      <c r="Z733" t="s">
        <v>6852</v>
      </c>
      <c r="AA733" s="299" t="s">
        <v>5570</v>
      </c>
      <c r="AB733" s="299"/>
      <c r="AC733" s="306">
        <v>1</v>
      </c>
      <c r="AD733" s="306">
        <v>1</v>
      </c>
      <c r="AE733" s="299"/>
      <c r="AF733" s="299"/>
      <c r="AG733" s="307"/>
    </row>
    <row r="734" spans="1:33" x14ac:dyDescent="0.15">
      <c r="A734" s="298">
        <v>95911001</v>
      </c>
      <c r="B734" t="s">
        <v>6853</v>
      </c>
      <c r="C734" s="268" t="s">
        <v>6316</v>
      </c>
      <c r="D734" s="308">
        <v>4001</v>
      </c>
      <c r="E734" s="299" t="s">
        <v>4876</v>
      </c>
      <c r="F734" s="299" t="s">
        <v>5566</v>
      </c>
      <c r="G734" s="300">
        <v>2</v>
      </c>
      <c r="H734" s="300">
        <v>1</v>
      </c>
      <c r="I734" s="298">
        <v>34</v>
      </c>
      <c r="J734" s="303" t="s">
        <v>5632</v>
      </c>
      <c r="K734" s="315"/>
      <c r="L734" s="315"/>
      <c r="M734" s="299">
        <v>99</v>
      </c>
      <c r="N734" s="299" t="b">
        <v>1</v>
      </c>
      <c r="O734" s="299">
        <v>5</v>
      </c>
      <c r="P734" s="281">
        <v>75</v>
      </c>
      <c r="Q734" s="281">
        <v>100</v>
      </c>
      <c r="R734" s="299" t="s">
        <v>3383</v>
      </c>
      <c r="S734" s="299"/>
      <c r="T734" s="299">
        <v>1</v>
      </c>
      <c r="U734" s="299" t="s">
        <v>4880</v>
      </c>
      <c r="V734" s="299">
        <v>0</v>
      </c>
      <c r="W734" s="299"/>
      <c r="X734" s="299" t="s">
        <v>4881</v>
      </c>
      <c r="Y734" t="s">
        <v>6854</v>
      </c>
      <c r="Z734" t="s">
        <v>6855</v>
      </c>
      <c r="AA734" s="299" t="s">
        <v>5570</v>
      </c>
      <c r="AB734" s="299"/>
      <c r="AC734" s="306">
        <v>1</v>
      </c>
      <c r="AD734" s="306">
        <v>1</v>
      </c>
      <c r="AE734" s="299"/>
      <c r="AF734" s="299"/>
      <c r="AG734" s="307"/>
    </row>
    <row r="735" spans="1:33" x14ac:dyDescent="0.15">
      <c r="A735" s="298">
        <v>95911002</v>
      </c>
      <c r="B735" t="s">
        <v>6856</v>
      </c>
      <c r="C735" s="268" t="s">
        <v>6316</v>
      </c>
      <c r="D735" s="308">
        <v>4001</v>
      </c>
      <c r="E735" s="299" t="s">
        <v>4876</v>
      </c>
      <c r="F735" s="299" t="s">
        <v>5566</v>
      </c>
      <c r="G735" s="300">
        <v>2</v>
      </c>
      <c r="H735" s="300">
        <v>1</v>
      </c>
      <c r="I735" s="298">
        <v>34</v>
      </c>
      <c r="J735" s="303" t="s">
        <v>5636</v>
      </c>
      <c r="K735" s="315"/>
      <c r="L735" s="315"/>
      <c r="M735" s="299">
        <v>99</v>
      </c>
      <c r="N735" s="299" t="b">
        <v>1</v>
      </c>
      <c r="O735" s="299">
        <v>5</v>
      </c>
      <c r="P735" s="281">
        <v>75</v>
      </c>
      <c r="Q735" s="281">
        <v>100</v>
      </c>
      <c r="R735" s="299" t="s">
        <v>3383</v>
      </c>
      <c r="S735" s="299"/>
      <c r="T735" s="299">
        <v>1</v>
      </c>
      <c r="U735" s="299" t="s">
        <v>4880</v>
      </c>
      <c r="V735" s="299">
        <v>0</v>
      </c>
      <c r="W735" s="299"/>
      <c r="X735" s="299" t="s">
        <v>4881</v>
      </c>
      <c r="Y735" t="s">
        <v>6857</v>
      </c>
      <c r="Z735" t="s">
        <v>6858</v>
      </c>
      <c r="AA735" s="299" t="s">
        <v>5570</v>
      </c>
      <c r="AB735" s="299"/>
      <c r="AC735" s="306">
        <v>1</v>
      </c>
      <c r="AD735" s="306">
        <v>1</v>
      </c>
      <c r="AE735" s="299"/>
      <c r="AF735" s="299"/>
      <c r="AG735" s="307"/>
    </row>
    <row r="736" spans="1:33" x14ac:dyDescent="0.15">
      <c r="A736" s="310">
        <v>95912001</v>
      </c>
      <c r="B736" t="s">
        <v>6859</v>
      </c>
      <c r="C736" s="268" t="s">
        <v>6316</v>
      </c>
      <c r="D736" s="311">
        <v>4008</v>
      </c>
      <c r="E736" s="312" t="s">
        <v>4876</v>
      </c>
      <c r="F736" s="312" t="s">
        <v>5566</v>
      </c>
      <c r="G736" s="313">
        <v>2</v>
      </c>
      <c r="H736" s="313">
        <v>1</v>
      </c>
      <c r="I736" s="310">
        <v>34</v>
      </c>
      <c r="J736" s="318" t="s">
        <v>5640</v>
      </c>
      <c r="K736" s="319"/>
      <c r="L736" s="319"/>
      <c r="M736" s="312">
        <v>99</v>
      </c>
      <c r="N736" s="312" t="b">
        <v>1</v>
      </c>
      <c r="O736" s="312">
        <v>5</v>
      </c>
      <c r="P736" s="281">
        <v>75</v>
      </c>
      <c r="Q736" s="281">
        <v>100</v>
      </c>
      <c r="R736" s="312" t="s">
        <v>3383</v>
      </c>
      <c r="S736" s="312"/>
      <c r="T736" s="312">
        <v>1</v>
      </c>
      <c r="U736" s="312" t="s">
        <v>4880</v>
      </c>
      <c r="V736" s="312">
        <v>0</v>
      </c>
      <c r="W736" s="312"/>
      <c r="X736" s="312" t="s">
        <v>4881</v>
      </c>
      <c r="Y736" t="s">
        <v>6860</v>
      </c>
      <c r="Z736" t="s">
        <v>6861</v>
      </c>
      <c r="AA736" s="312" t="s">
        <v>5570</v>
      </c>
      <c r="AB736" s="312"/>
      <c r="AC736" s="321">
        <v>1</v>
      </c>
      <c r="AD736" s="321">
        <v>1</v>
      </c>
      <c r="AE736" s="312"/>
      <c r="AF736" s="312"/>
      <c r="AG736" s="322"/>
    </row>
    <row r="737" spans="1:33" x14ac:dyDescent="0.15">
      <c r="A737" s="298">
        <v>95912002</v>
      </c>
      <c r="B737" t="s">
        <v>6862</v>
      </c>
      <c r="C737" s="268" t="s">
        <v>6316</v>
      </c>
      <c r="D737" s="308">
        <v>4008</v>
      </c>
      <c r="E737" s="299" t="s">
        <v>4876</v>
      </c>
      <c r="F737" s="299" t="s">
        <v>5566</v>
      </c>
      <c r="G737" s="300">
        <v>2</v>
      </c>
      <c r="H737" s="300">
        <v>1</v>
      </c>
      <c r="I737" s="298">
        <v>34</v>
      </c>
      <c r="J737" s="303" t="s">
        <v>5644</v>
      </c>
      <c r="K737" s="315"/>
      <c r="L737" s="315"/>
      <c r="M737" s="299">
        <v>99</v>
      </c>
      <c r="N737" s="299" t="b">
        <v>1</v>
      </c>
      <c r="O737" s="299">
        <v>5</v>
      </c>
      <c r="P737" s="281">
        <v>75</v>
      </c>
      <c r="Q737" s="281">
        <v>100</v>
      </c>
      <c r="R737" s="299" t="s">
        <v>3383</v>
      </c>
      <c r="S737" s="299"/>
      <c r="T737" s="299">
        <v>1</v>
      </c>
      <c r="U737" s="299" t="s">
        <v>4880</v>
      </c>
      <c r="V737" s="299">
        <v>0</v>
      </c>
      <c r="W737" s="299"/>
      <c r="X737" s="299" t="s">
        <v>4881</v>
      </c>
      <c r="Y737" t="s">
        <v>6863</v>
      </c>
      <c r="Z737" t="s">
        <v>6864</v>
      </c>
      <c r="AA737" s="299" t="s">
        <v>5570</v>
      </c>
      <c r="AB737" s="299"/>
      <c r="AC737" s="306">
        <v>1</v>
      </c>
      <c r="AD737" s="306">
        <v>1</v>
      </c>
      <c r="AE737" s="299"/>
      <c r="AF737" s="299"/>
      <c r="AG737" s="307"/>
    </row>
    <row r="738" spans="1:33" x14ac:dyDescent="0.15">
      <c r="A738" s="310">
        <v>95913001</v>
      </c>
      <c r="B738" t="s">
        <v>6865</v>
      </c>
      <c r="C738" s="268" t="s">
        <v>6316</v>
      </c>
      <c r="D738" s="311">
        <v>4008</v>
      </c>
      <c r="E738" s="312" t="s">
        <v>4876</v>
      </c>
      <c r="F738" s="312" t="s">
        <v>5566</v>
      </c>
      <c r="G738" s="313">
        <v>2</v>
      </c>
      <c r="H738" s="313">
        <v>1</v>
      </c>
      <c r="I738" s="310">
        <v>34</v>
      </c>
      <c r="J738" s="318" t="s">
        <v>5648</v>
      </c>
      <c r="K738" s="319"/>
      <c r="L738" s="319"/>
      <c r="M738" s="312">
        <v>99</v>
      </c>
      <c r="N738" s="312" t="b">
        <v>1</v>
      </c>
      <c r="O738" s="312">
        <v>5</v>
      </c>
      <c r="P738" s="281">
        <v>75</v>
      </c>
      <c r="Q738" s="281">
        <v>100</v>
      </c>
      <c r="R738" s="312" t="s">
        <v>3383</v>
      </c>
      <c r="S738" s="312"/>
      <c r="T738" s="312">
        <v>1</v>
      </c>
      <c r="U738" s="312" t="s">
        <v>4880</v>
      </c>
      <c r="V738" s="312">
        <v>0</v>
      </c>
      <c r="W738" s="312"/>
      <c r="X738" s="312" t="s">
        <v>4881</v>
      </c>
      <c r="Y738" t="s">
        <v>6866</v>
      </c>
      <c r="Z738" t="s">
        <v>6867</v>
      </c>
      <c r="AA738" s="312" t="s">
        <v>5570</v>
      </c>
      <c r="AB738" s="312"/>
      <c r="AC738" s="321">
        <v>1</v>
      </c>
      <c r="AD738" s="321">
        <v>1</v>
      </c>
      <c r="AE738" s="312"/>
      <c r="AF738" s="312"/>
      <c r="AG738" s="322"/>
    </row>
    <row r="739" spans="1:33" x14ac:dyDescent="0.15">
      <c r="A739" s="298">
        <v>95913002</v>
      </c>
      <c r="B739" t="s">
        <v>6868</v>
      </c>
      <c r="C739" s="268" t="s">
        <v>6316</v>
      </c>
      <c r="D739" s="308">
        <v>4008</v>
      </c>
      <c r="E739" s="299" t="s">
        <v>4876</v>
      </c>
      <c r="F739" s="299" t="s">
        <v>5566</v>
      </c>
      <c r="G739" s="300">
        <v>2</v>
      </c>
      <c r="H739" s="300">
        <v>1</v>
      </c>
      <c r="I739" s="298">
        <v>34</v>
      </c>
      <c r="J739" s="303" t="s">
        <v>5652</v>
      </c>
      <c r="K739" s="315"/>
      <c r="L739" s="315"/>
      <c r="M739" s="299">
        <v>99</v>
      </c>
      <c r="N739" s="299" t="b">
        <v>1</v>
      </c>
      <c r="O739" s="299">
        <v>5</v>
      </c>
      <c r="P739" s="281">
        <v>75</v>
      </c>
      <c r="Q739" s="281">
        <v>100</v>
      </c>
      <c r="R739" s="299" t="s">
        <v>3383</v>
      </c>
      <c r="S739" s="299"/>
      <c r="T739" s="299">
        <v>1</v>
      </c>
      <c r="U739" s="299" t="s">
        <v>4880</v>
      </c>
      <c r="V739" s="299">
        <v>0</v>
      </c>
      <c r="W739" s="299"/>
      <c r="X739" s="299" t="s">
        <v>4881</v>
      </c>
      <c r="Y739" t="s">
        <v>6869</v>
      </c>
      <c r="Z739" t="s">
        <v>6870</v>
      </c>
      <c r="AA739" s="299" t="s">
        <v>5570</v>
      </c>
      <c r="AB739" s="299"/>
      <c r="AC739" s="306">
        <v>1</v>
      </c>
      <c r="AD739" s="306">
        <v>1</v>
      </c>
      <c r="AE739" s="299"/>
      <c r="AF739" s="299"/>
      <c r="AG739" s="307"/>
    </row>
    <row r="740" spans="1:33" x14ac:dyDescent="0.15">
      <c r="A740" s="298">
        <v>95914001</v>
      </c>
      <c r="B740" t="s">
        <v>6871</v>
      </c>
      <c r="C740" s="268" t="s">
        <v>6316</v>
      </c>
      <c r="D740" s="308">
        <v>3011</v>
      </c>
      <c r="E740" s="299" t="s">
        <v>4876</v>
      </c>
      <c r="F740" s="299" t="s">
        <v>5566</v>
      </c>
      <c r="G740" s="300">
        <v>2</v>
      </c>
      <c r="H740" s="300">
        <v>1</v>
      </c>
      <c r="I740" s="298">
        <v>34</v>
      </c>
      <c r="J740" s="303" t="s">
        <v>5656</v>
      </c>
      <c r="K740" s="315"/>
      <c r="L740" s="315"/>
      <c r="M740" s="299">
        <v>99</v>
      </c>
      <c r="N740" s="299" t="b">
        <v>1</v>
      </c>
      <c r="O740" s="299">
        <v>5</v>
      </c>
      <c r="P740" s="281">
        <v>75</v>
      </c>
      <c r="Q740" s="281">
        <v>100</v>
      </c>
      <c r="R740" s="299" t="s">
        <v>3383</v>
      </c>
      <c r="S740" s="299"/>
      <c r="T740" s="299">
        <v>1</v>
      </c>
      <c r="U740" s="299" t="s">
        <v>4880</v>
      </c>
      <c r="V740" s="299">
        <v>0</v>
      </c>
      <c r="W740" s="299"/>
      <c r="X740" s="299" t="s">
        <v>4881</v>
      </c>
      <c r="Y740" t="s">
        <v>6872</v>
      </c>
      <c r="Z740" t="s">
        <v>6873</v>
      </c>
      <c r="AA740" s="299" t="s">
        <v>5570</v>
      </c>
      <c r="AB740" s="299"/>
      <c r="AC740" s="306">
        <v>1</v>
      </c>
      <c r="AD740" s="306">
        <v>1</v>
      </c>
      <c r="AE740" s="299"/>
      <c r="AF740" s="299"/>
      <c r="AG740" s="307"/>
    </row>
    <row r="741" spans="1:33" x14ac:dyDescent="0.15">
      <c r="A741" s="298">
        <v>95914002</v>
      </c>
      <c r="B741" t="s">
        <v>6874</v>
      </c>
      <c r="C741" s="268" t="s">
        <v>6316</v>
      </c>
      <c r="D741" s="308">
        <v>3012</v>
      </c>
      <c r="E741" s="299" t="s">
        <v>4876</v>
      </c>
      <c r="F741" s="299" t="s">
        <v>5566</v>
      </c>
      <c r="G741" s="300">
        <v>2</v>
      </c>
      <c r="H741" s="300">
        <v>1</v>
      </c>
      <c r="I741" s="298">
        <v>34</v>
      </c>
      <c r="J741" s="303" t="s">
        <v>5660</v>
      </c>
      <c r="K741" s="315"/>
      <c r="L741" s="315"/>
      <c r="M741" s="299">
        <v>99</v>
      </c>
      <c r="N741" s="299" t="b">
        <v>1</v>
      </c>
      <c r="O741" s="299">
        <v>5</v>
      </c>
      <c r="P741" s="281">
        <v>75</v>
      </c>
      <c r="Q741" s="281">
        <v>100</v>
      </c>
      <c r="R741" s="299" t="s">
        <v>3383</v>
      </c>
      <c r="S741" s="299"/>
      <c r="T741" s="299">
        <v>1</v>
      </c>
      <c r="U741" s="299" t="s">
        <v>4880</v>
      </c>
      <c r="V741" s="299">
        <v>0</v>
      </c>
      <c r="W741" s="299"/>
      <c r="X741" s="299" t="s">
        <v>4881</v>
      </c>
      <c r="Y741" t="s">
        <v>6875</v>
      </c>
      <c r="Z741" t="s">
        <v>6876</v>
      </c>
      <c r="AA741" s="299" t="s">
        <v>5570</v>
      </c>
      <c r="AB741" s="299"/>
      <c r="AC741" s="306">
        <v>1</v>
      </c>
      <c r="AD741" s="306">
        <v>1</v>
      </c>
      <c r="AE741" s="299"/>
      <c r="AF741" s="299"/>
      <c r="AG741" s="307"/>
    </row>
    <row r="742" spans="1:33" x14ac:dyDescent="0.15">
      <c r="A742" s="298">
        <v>95915001</v>
      </c>
      <c r="B742" t="s">
        <v>6877</v>
      </c>
      <c r="C742" s="268" t="s">
        <v>6316</v>
      </c>
      <c r="D742" s="308">
        <v>3011</v>
      </c>
      <c r="E742" s="299" t="s">
        <v>4876</v>
      </c>
      <c r="F742" s="299" t="s">
        <v>5566</v>
      </c>
      <c r="G742" s="300">
        <v>2</v>
      </c>
      <c r="H742" s="300">
        <v>1</v>
      </c>
      <c r="I742" s="298">
        <v>34</v>
      </c>
      <c r="J742" s="303" t="s">
        <v>5664</v>
      </c>
      <c r="K742" s="315"/>
      <c r="L742" s="315"/>
      <c r="M742" s="299">
        <v>99</v>
      </c>
      <c r="N742" s="299" t="b">
        <v>1</v>
      </c>
      <c r="O742" s="299">
        <v>5</v>
      </c>
      <c r="P742" s="281">
        <v>75</v>
      </c>
      <c r="Q742" s="281">
        <v>100</v>
      </c>
      <c r="R742" s="299" t="s">
        <v>3383</v>
      </c>
      <c r="S742" s="299"/>
      <c r="T742" s="299">
        <v>1</v>
      </c>
      <c r="U742" s="299" t="s">
        <v>4880</v>
      </c>
      <c r="V742" s="299">
        <v>0</v>
      </c>
      <c r="W742" s="299"/>
      <c r="X742" s="299" t="s">
        <v>4881</v>
      </c>
      <c r="Y742" t="s">
        <v>6878</v>
      </c>
      <c r="Z742" t="s">
        <v>6879</v>
      </c>
      <c r="AA742" s="299" t="s">
        <v>5570</v>
      </c>
      <c r="AB742" s="299"/>
      <c r="AC742" s="306">
        <v>1</v>
      </c>
      <c r="AD742" s="306">
        <v>1</v>
      </c>
      <c r="AE742" s="299"/>
      <c r="AF742" s="299"/>
      <c r="AG742" s="307"/>
    </row>
    <row r="743" spans="1:33" x14ac:dyDescent="0.15">
      <c r="A743" s="298">
        <v>95915002</v>
      </c>
      <c r="B743" t="s">
        <v>6880</v>
      </c>
      <c r="C743" s="268" t="s">
        <v>6316</v>
      </c>
      <c r="D743" s="299">
        <v>3012</v>
      </c>
      <c r="E743" s="299" t="s">
        <v>4876</v>
      </c>
      <c r="F743" s="299" t="s">
        <v>5566</v>
      </c>
      <c r="G743" s="300">
        <v>2</v>
      </c>
      <c r="H743" s="300">
        <v>1</v>
      </c>
      <c r="I743" s="298">
        <v>34</v>
      </c>
      <c r="J743" s="303" t="s">
        <v>5668</v>
      </c>
      <c r="K743" s="304"/>
      <c r="L743" s="304"/>
      <c r="M743" s="299">
        <v>99</v>
      </c>
      <c r="N743" s="299" t="b">
        <v>1</v>
      </c>
      <c r="O743" s="299">
        <v>5</v>
      </c>
      <c r="P743" s="281">
        <v>75</v>
      </c>
      <c r="Q743" s="281">
        <v>100</v>
      </c>
      <c r="R743" s="299" t="s">
        <v>3383</v>
      </c>
      <c r="S743" s="299"/>
      <c r="T743" s="299">
        <v>1</v>
      </c>
      <c r="U743" s="299" t="s">
        <v>4880</v>
      </c>
      <c r="V743" s="299">
        <v>0</v>
      </c>
      <c r="W743" s="299"/>
      <c r="X743" s="299" t="s">
        <v>4881</v>
      </c>
      <c r="Y743" t="s">
        <v>6881</v>
      </c>
      <c r="Z743" t="s">
        <v>6882</v>
      </c>
      <c r="AA743" s="299" t="s">
        <v>5570</v>
      </c>
      <c r="AB743" s="299"/>
      <c r="AC743" s="306">
        <v>1</v>
      </c>
      <c r="AD743" s="306">
        <v>1</v>
      </c>
      <c r="AE743" s="299"/>
      <c r="AF743" s="299"/>
      <c r="AG743" s="307"/>
    </row>
    <row r="744" spans="1:33" x14ac:dyDescent="0.15">
      <c r="A744" s="298">
        <v>98020201</v>
      </c>
      <c r="B744" t="s">
        <v>6883</v>
      </c>
      <c r="C744" s="268" t="s">
        <v>6316</v>
      </c>
      <c r="D744" s="308">
        <v>8201</v>
      </c>
      <c r="E744" s="299" t="s">
        <v>4876</v>
      </c>
      <c r="F744" s="299" t="s">
        <v>5672</v>
      </c>
      <c r="G744" s="300">
        <v>6</v>
      </c>
      <c r="H744" s="300">
        <v>0</v>
      </c>
      <c r="I744" s="298">
        <v>34</v>
      </c>
      <c r="J744" s="303" t="s">
        <v>5673</v>
      </c>
      <c r="K744" s="315"/>
      <c r="L744" s="315"/>
      <c r="M744" s="299">
        <v>99</v>
      </c>
      <c r="N744" s="299" t="b">
        <v>1</v>
      </c>
      <c r="O744" s="299">
        <v>7</v>
      </c>
      <c r="P744" s="281">
        <v>105</v>
      </c>
      <c r="Q744" s="281">
        <v>140</v>
      </c>
      <c r="R744" s="299" t="s">
        <v>3383</v>
      </c>
      <c r="S744" s="299"/>
      <c r="T744" s="299">
        <v>1</v>
      </c>
      <c r="U744" s="299" t="s">
        <v>4880</v>
      </c>
      <c r="V744" s="299">
        <v>0</v>
      </c>
      <c r="W744" s="299"/>
      <c r="X744" s="299" t="s">
        <v>4881</v>
      </c>
      <c r="Y744" t="s">
        <v>6884</v>
      </c>
      <c r="Z744" t="s">
        <v>6885</v>
      </c>
      <c r="AA744" s="299" t="s">
        <v>3993</v>
      </c>
      <c r="AB744" s="299"/>
      <c r="AC744" s="306">
        <v>1</v>
      </c>
      <c r="AD744" s="306">
        <v>1</v>
      </c>
      <c r="AE744" s="299"/>
      <c r="AF744" s="299"/>
      <c r="AG744" s="307">
        <v>8020201</v>
      </c>
    </row>
    <row r="745" spans="1:33" x14ac:dyDescent="0.15">
      <c r="A745" s="298">
        <v>98020202</v>
      </c>
      <c r="B745" t="s">
        <v>6886</v>
      </c>
      <c r="C745" s="268" t="s">
        <v>6316</v>
      </c>
      <c r="D745" s="308">
        <v>8201</v>
      </c>
      <c r="E745" s="299" t="s">
        <v>4876</v>
      </c>
      <c r="F745" s="299" t="s">
        <v>5672</v>
      </c>
      <c r="G745" s="300">
        <v>6</v>
      </c>
      <c r="H745" s="300">
        <v>0</v>
      </c>
      <c r="I745" s="298">
        <v>34</v>
      </c>
      <c r="J745" s="303" t="s">
        <v>5677</v>
      </c>
      <c r="K745" s="315"/>
      <c r="L745" s="315"/>
      <c r="M745" s="299">
        <v>99</v>
      </c>
      <c r="N745" s="299" t="b">
        <v>1</v>
      </c>
      <c r="O745" s="299">
        <v>7</v>
      </c>
      <c r="P745" s="281">
        <v>105</v>
      </c>
      <c r="Q745" s="281">
        <v>140</v>
      </c>
      <c r="R745" s="299" t="s">
        <v>3383</v>
      </c>
      <c r="S745" s="299"/>
      <c r="T745" s="299">
        <v>1</v>
      </c>
      <c r="U745" s="299" t="s">
        <v>4880</v>
      </c>
      <c r="V745" s="299">
        <v>0</v>
      </c>
      <c r="W745" s="299"/>
      <c r="X745" s="299" t="s">
        <v>4881</v>
      </c>
      <c r="Y745" t="s">
        <v>6887</v>
      </c>
      <c r="Z745" t="s">
        <v>6888</v>
      </c>
      <c r="AA745" s="299" t="s">
        <v>3993</v>
      </c>
      <c r="AB745" s="299"/>
      <c r="AC745" s="306">
        <v>1</v>
      </c>
      <c r="AD745" s="306">
        <v>1</v>
      </c>
      <c r="AE745" s="299"/>
      <c r="AF745" s="299"/>
      <c r="AG745" s="307">
        <v>8020202</v>
      </c>
    </row>
    <row r="746" spans="1:33" x14ac:dyDescent="0.15">
      <c r="A746" s="298">
        <v>98020203</v>
      </c>
      <c r="B746" t="s">
        <v>6889</v>
      </c>
      <c r="C746" s="268" t="s">
        <v>6316</v>
      </c>
      <c r="D746" s="308">
        <v>8201</v>
      </c>
      <c r="E746" s="299" t="s">
        <v>4876</v>
      </c>
      <c r="F746" s="299" t="s">
        <v>5672</v>
      </c>
      <c r="G746" s="300">
        <v>6</v>
      </c>
      <c r="H746" s="300">
        <v>0</v>
      </c>
      <c r="I746" s="298">
        <v>34</v>
      </c>
      <c r="J746" s="303" t="s">
        <v>5681</v>
      </c>
      <c r="K746" s="315"/>
      <c r="L746" s="315"/>
      <c r="M746" s="299">
        <v>99</v>
      </c>
      <c r="N746" s="299" t="b">
        <v>1</v>
      </c>
      <c r="O746" s="299">
        <v>7</v>
      </c>
      <c r="P746" s="281">
        <v>105</v>
      </c>
      <c r="Q746" s="281">
        <v>140</v>
      </c>
      <c r="R746" s="299" t="s">
        <v>3383</v>
      </c>
      <c r="S746" s="299"/>
      <c r="T746" s="299">
        <v>1</v>
      </c>
      <c r="U746" s="299" t="s">
        <v>4880</v>
      </c>
      <c r="V746" s="299">
        <v>0</v>
      </c>
      <c r="W746" s="299"/>
      <c r="X746" s="299" t="s">
        <v>4881</v>
      </c>
      <c r="Y746" t="s">
        <v>6890</v>
      </c>
      <c r="Z746" t="s">
        <v>6891</v>
      </c>
      <c r="AA746" s="299" t="s">
        <v>3993</v>
      </c>
      <c r="AB746" s="299"/>
      <c r="AC746" s="306">
        <v>1</v>
      </c>
      <c r="AD746" s="306">
        <v>1</v>
      </c>
      <c r="AE746" s="299"/>
      <c r="AF746" s="299"/>
      <c r="AG746" s="307">
        <v>8020203</v>
      </c>
    </row>
    <row r="747" spans="1:33" x14ac:dyDescent="0.15">
      <c r="A747" s="298">
        <v>98020204</v>
      </c>
      <c r="B747" t="s">
        <v>6892</v>
      </c>
      <c r="C747" s="268" t="s">
        <v>6316</v>
      </c>
      <c r="D747" s="308">
        <v>8201</v>
      </c>
      <c r="E747" s="299" t="s">
        <v>4876</v>
      </c>
      <c r="F747" s="299" t="s">
        <v>5672</v>
      </c>
      <c r="G747" s="300">
        <v>6</v>
      </c>
      <c r="H747" s="300">
        <v>0</v>
      </c>
      <c r="I747" s="298">
        <v>34</v>
      </c>
      <c r="J747" s="303" t="s">
        <v>5685</v>
      </c>
      <c r="K747" s="315"/>
      <c r="L747" s="315"/>
      <c r="M747" s="299">
        <v>99</v>
      </c>
      <c r="N747" s="299" t="b">
        <v>1</v>
      </c>
      <c r="O747" s="299">
        <v>7</v>
      </c>
      <c r="P747" s="281">
        <v>105</v>
      </c>
      <c r="Q747" s="281">
        <v>140</v>
      </c>
      <c r="R747" s="299" t="s">
        <v>3383</v>
      </c>
      <c r="S747" s="299"/>
      <c r="T747" s="299">
        <v>1</v>
      </c>
      <c r="U747" s="299" t="s">
        <v>4880</v>
      </c>
      <c r="V747" s="299">
        <v>0</v>
      </c>
      <c r="W747" s="299"/>
      <c r="X747" s="299" t="s">
        <v>4881</v>
      </c>
      <c r="Y747" t="s">
        <v>6893</v>
      </c>
      <c r="Z747" t="s">
        <v>6894</v>
      </c>
      <c r="AA747" s="299" t="s">
        <v>3993</v>
      </c>
      <c r="AB747" s="299"/>
      <c r="AC747" s="306">
        <v>1</v>
      </c>
      <c r="AD747" s="306">
        <v>1</v>
      </c>
      <c r="AE747" s="299"/>
      <c r="AF747" s="299"/>
      <c r="AG747" s="307">
        <v>8020204</v>
      </c>
    </row>
    <row r="748" spans="1:33" x14ac:dyDescent="0.15">
      <c r="A748" s="298">
        <v>98020301</v>
      </c>
      <c r="B748" t="s">
        <v>6895</v>
      </c>
      <c r="C748" s="268" t="s">
        <v>6316</v>
      </c>
      <c r="D748" s="308">
        <v>8202</v>
      </c>
      <c r="E748" s="299" t="s">
        <v>4876</v>
      </c>
      <c r="F748" s="299" t="s">
        <v>5672</v>
      </c>
      <c r="G748" s="300">
        <v>6</v>
      </c>
      <c r="H748" s="300">
        <v>0</v>
      </c>
      <c r="I748" s="298">
        <v>34</v>
      </c>
      <c r="J748" s="303" t="s">
        <v>5689</v>
      </c>
      <c r="K748" s="315"/>
      <c r="L748" s="315"/>
      <c r="M748" s="299">
        <v>99</v>
      </c>
      <c r="N748" s="299" t="b">
        <v>1</v>
      </c>
      <c r="O748" s="299">
        <v>7</v>
      </c>
      <c r="P748" s="281">
        <v>105</v>
      </c>
      <c r="Q748" s="281">
        <v>140</v>
      </c>
      <c r="R748" s="299" t="s">
        <v>3383</v>
      </c>
      <c r="S748" s="299"/>
      <c r="T748" s="299">
        <v>1</v>
      </c>
      <c r="U748" s="299" t="s">
        <v>4880</v>
      </c>
      <c r="V748" s="299">
        <v>0</v>
      </c>
      <c r="W748" s="299"/>
      <c r="X748" s="299" t="s">
        <v>4881</v>
      </c>
      <c r="Y748" t="s">
        <v>6896</v>
      </c>
      <c r="Z748" t="s">
        <v>6897</v>
      </c>
      <c r="AA748" s="299" t="s">
        <v>3993</v>
      </c>
      <c r="AB748" s="299"/>
      <c r="AC748" s="306">
        <v>1</v>
      </c>
      <c r="AD748" s="306">
        <v>1</v>
      </c>
      <c r="AE748" s="299"/>
      <c r="AF748" s="299"/>
      <c r="AG748" s="307">
        <v>8020301</v>
      </c>
    </row>
    <row r="749" spans="1:33" x14ac:dyDescent="0.15">
      <c r="A749" s="310">
        <v>98020302</v>
      </c>
      <c r="B749" t="s">
        <v>6898</v>
      </c>
      <c r="C749" s="268" t="s">
        <v>6316</v>
      </c>
      <c r="D749" s="311">
        <v>8202</v>
      </c>
      <c r="E749" s="312" t="s">
        <v>4876</v>
      </c>
      <c r="F749" s="312" t="s">
        <v>5672</v>
      </c>
      <c r="G749" s="313">
        <v>6</v>
      </c>
      <c r="H749" s="313">
        <v>0</v>
      </c>
      <c r="I749" s="310">
        <v>34</v>
      </c>
      <c r="J749" s="318" t="s">
        <v>5693</v>
      </c>
      <c r="K749" s="319"/>
      <c r="L749" s="319"/>
      <c r="M749" s="312">
        <v>99</v>
      </c>
      <c r="N749" s="312" t="b">
        <v>1</v>
      </c>
      <c r="O749" s="312">
        <v>7</v>
      </c>
      <c r="P749" s="281">
        <v>105</v>
      </c>
      <c r="Q749" s="281">
        <v>140</v>
      </c>
      <c r="R749" s="312" t="s">
        <v>3383</v>
      </c>
      <c r="S749" s="312"/>
      <c r="T749" s="312">
        <v>1</v>
      </c>
      <c r="U749" s="312" t="s">
        <v>4880</v>
      </c>
      <c r="V749" s="312">
        <v>0</v>
      </c>
      <c r="W749" s="312"/>
      <c r="X749" s="312" t="s">
        <v>4881</v>
      </c>
      <c r="Y749" t="s">
        <v>6899</v>
      </c>
      <c r="Z749" t="s">
        <v>6900</v>
      </c>
      <c r="AA749" s="312" t="s">
        <v>3993</v>
      </c>
      <c r="AB749" s="312"/>
      <c r="AC749" s="321">
        <v>1</v>
      </c>
      <c r="AD749" s="321">
        <v>1</v>
      </c>
      <c r="AE749" s="312"/>
      <c r="AF749" s="312"/>
      <c r="AG749" s="322">
        <v>8020302</v>
      </c>
    </row>
    <row r="750" spans="1:33" x14ac:dyDescent="0.15">
      <c r="A750" s="298">
        <v>98020303</v>
      </c>
      <c r="B750" t="s">
        <v>6901</v>
      </c>
      <c r="C750" s="268" t="s">
        <v>6316</v>
      </c>
      <c r="D750" s="308">
        <v>8202</v>
      </c>
      <c r="E750" s="299" t="s">
        <v>4876</v>
      </c>
      <c r="F750" s="299" t="s">
        <v>5672</v>
      </c>
      <c r="G750" s="300">
        <v>6</v>
      </c>
      <c r="H750" s="300">
        <v>0</v>
      </c>
      <c r="I750" s="298">
        <v>34</v>
      </c>
      <c r="J750" s="303" t="s">
        <v>5697</v>
      </c>
      <c r="K750" s="315"/>
      <c r="L750" s="315"/>
      <c r="M750" s="299">
        <v>99</v>
      </c>
      <c r="N750" s="299" t="b">
        <v>1</v>
      </c>
      <c r="O750" s="299">
        <v>7</v>
      </c>
      <c r="P750" s="281">
        <v>105</v>
      </c>
      <c r="Q750" s="281">
        <v>140</v>
      </c>
      <c r="R750" s="299" t="s">
        <v>3383</v>
      </c>
      <c r="S750" s="299"/>
      <c r="T750" s="299">
        <v>1</v>
      </c>
      <c r="U750" s="299" t="s">
        <v>4880</v>
      </c>
      <c r="V750" s="299">
        <v>0</v>
      </c>
      <c r="W750" s="299"/>
      <c r="X750" s="299" t="s">
        <v>4881</v>
      </c>
      <c r="Y750" t="s">
        <v>6902</v>
      </c>
      <c r="Z750" t="s">
        <v>6903</v>
      </c>
      <c r="AA750" s="299" t="s">
        <v>3993</v>
      </c>
      <c r="AB750" s="299"/>
      <c r="AC750" s="306">
        <v>1</v>
      </c>
      <c r="AD750" s="306">
        <v>1</v>
      </c>
      <c r="AE750" s="299"/>
      <c r="AF750" s="299"/>
      <c r="AG750" s="307">
        <v>8020303</v>
      </c>
    </row>
    <row r="751" spans="1:33" x14ac:dyDescent="0.15">
      <c r="A751" s="298">
        <v>98020304</v>
      </c>
      <c r="B751" t="s">
        <v>6904</v>
      </c>
      <c r="C751" s="268" t="s">
        <v>6316</v>
      </c>
      <c r="D751" s="299">
        <v>8202</v>
      </c>
      <c r="E751" s="299" t="s">
        <v>4876</v>
      </c>
      <c r="F751" s="299" t="s">
        <v>5672</v>
      </c>
      <c r="G751" s="300">
        <v>6</v>
      </c>
      <c r="H751" s="300">
        <v>0</v>
      </c>
      <c r="I751" s="298">
        <v>34</v>
      </c>
      <c r="J751" s="303" t="s">
        <v>5701</v>
      </c>
      <c r="K751" s="304"/>
      <c r="L751" s="304"/>
      <c r="M751" s="299">
        <v>99</v>
      </c>
      <c r="N751" s="299" t="b">
        <v>1</v>
      </c>
      <c r="O751" s="299">
        <v>7</v>
      </c>
      <c r="P751" s="281">
        <v>105</v>
      </c>
      <c r="Q751" s="281">
        <v>140</v>
      </c>
      <c r="R751" s="299" t="s">
        <v>3383</v>
      </c>
      <c r="S751" s="299"/>
      <c r="T751" s="299">
        <v>1</v>
      </c>
      <c r="U751" s="299" t="s">
        <v>4880</v>
      </c>
      <c r="V751" s="299">
        <v>0</v>
      </c>
      <c r="W751" s="299"/>
      <c r="X751" s="299" t="s">
        <v>4881</v>
      </c>
      <c r="Y751" t="s">
        <v>6905</v>
      </c>
      <c r="Z751" t="s">
        <v>6906</v>
      </c>
      <c r="AA751" s="299" t="s">
        <v>3993</v>
      </c>
      <c r="AB751" s="299"/>
      <c r="AC751" s="306">
        <v>1</v>
      </c>
      <c r="AD751" s="306">
        <v>1</v>
      </c>
      <c r="AE751" s="299"/>
      <c r="AF751" s="299"/>
      <c r="AG751" s="307">
        <v>8020304</v>
      </c>
    </row>
    <row r="752" spans="1:33" x14ac:dyDescent="0.15">
      <c r="A752" s="298">
        <v>98020401</v>
      </c>
      <c r="B752" t="s">
        <v>6907</v>
      </c>
      <c r="C752" s="268" t="s">
        <v>6316</v>
      </c>
      <c r="D752" s="308">
        <v>8201</v>
      </c>
      <c r="E752" s="299" t="s">
        <v>4876</v>
      </c>
      <c r="F752" s="299" t="s">
        <v>5672</v>
      </c>
      <c r="G752" s="300">
        <v>6</v>
      </c>
      <c r="H752" s="300">
        <v>0</v>
      </c>
      <c r="I752" s="298">
        <v>34</v>
      </c>
      <c r="J752" s="303" t="s">
        <v>5704</v>
      </c>
      <c r="K752" s="315"/>
      <c r="L752" s="315"/>
      <c r="M752" s="299">
        <v>99</v>
      </c>
      <c r="N752" s="299" t="b">
        <v>1</v>
      </c>
      <c r="O752" s="299">
        <v>7</v>
      </c>
      <c r="P752" s="281">
        <v>105</v>
      </c>
      <c r="Q752" s="281">
        <v>140</v>
      </c>
      <c r="R752" s="299" t="s">
        <v>3383</v>
      </c>
      <c r="S752" s="299"/>
      <c r="T752" s="299">
        <v>1</v>
      </c>
      <c r="U752" s="299" t="s">
        <v>4880</v>
      </c>
      <c r="V752" s="299">
        <v>0</v>
      </c>
      <c r="W752" s="299"/>
      <c r="X752" s="299" t="s">
        <v>4881</v>
      </c>
      <c r="Y752" t="s">
        <v>6908</v>
      </c>
      <c r="Z752" t="s">
        <v>6909</v>
      </c>
      <c r="AA752" s="299" t="s">
        <v>3993</v>
      </c>
      <c r="AB752" s="299"/>
      <c r="AC752" s="306">
        <v>1</v>
      </c>
      <c r="AD752" s="306">
        <v>1</v>
      </c>
      <c r="AE752" s="299"/>
      <c r="AF752" s="299"/>
      <c r="AG752" s="307">
        <v>8020401</v>
      </c>
    </row>
    <row r="753" spans="1:33" x14ac:dyDescent="0.15">
      <c r="A753" s="298">
        <v>98020402</v>
      </c>
      <c r="B753" t="s">
        <v>6910</v>
      </c>
      <c r="C753" s="268" t="s">
        <v>6316</v>
      </c>
      <c r="D753" s="308">
        <v>8201</v>
      </c>
      <c r="E753" s="299" t="s">
        <v>4876</v>
      </c>
      <c r="F753" s="299" t="s">
        <v>5672</v>
      </c>
      <c r="G753" s="300">
        <v>6</v>
      </c>
      <c r="H753" s="300">
        <v>0</v>
      </c>
      <c r="I753" s="298">
        <v>34</v>
      </c>
      <c r="J753" s="303" t="s">
        <v>5708</v>
      </c>
      <c r="K753" s="315"/>
      <c r="L753" s="315"/>
      <c r="M753" s="299">
        <v>99</v>
      </c>
      <c r="N753" s="299" t="b">
        <v>1</v>
      </c>
      <c r="O753" s="299">
        <v>7</v>
      </c>
      <c r="P753" s="281">
        <v>105</v>
      </c>
      <c r="Q753" s="281">
        <v>140</v>
      </c>
      <c r="R753" s="299" t="s">
        <v>3383</v>
      </c>
      <c r="S753" s="299"/>
      <c r="T753" s="299">
        <v>1</v>
      </c>
      <c r="U753" s="299" t="s">
        <v>4880</v>
      </c>
      <c r="V753" s="299">
        <v>0</v>
      </c>
      <c r="W753" s="299"/>
      <c r="X753" s="299" t="s">
        <v>4881</v>
      </c>
      <c r="Y753" t="s">
        <v>6911</v>
      </c>
      <c r="Z753" t="s">
        <v>6912</v>
      </c>
      <c r="AA753" s="299" t="s">
        <v>3993</v>
      </c>
      <c r="AB753" s="299"/>
      <c r="AC753" s="306">
        <v>1</v>
      </c>
      <c r="AD753" s="306">
        <v>1</v>
      </c>
      <c r="AE753" s="299"/>
      <c r="AF753" s="299"/>
      <c r="AG753" s="307">
        <v>8020402</v>
      </c>
    </row>
    <row r="754" spans="1:33" x14ac:dyDescent="0.15">
      <c r="A754" s="298">
        <v>98020403</v>
      </c>
      <c r="B754" t="s">
        <v>6913</v>
      </c>
      <c r="C754" s="268" t="s">
        <v>6316</v>
      </c>
      <c r="D754" s="308">
        <v>8201</v>
      </c>
      <c r="E754" s="299" t="s">
        <v>4876</v>
      </c>
      <c r="F754" s="299" t="s">
        <v>5672</v>
      </c>
      <c r="G754" s="300">
        <v>6</v>
      </c>
      <c r="H754" s="300">
        <v>0</v>
      </c>
      <c r="I754" s="298">
        <v>34</v>
      </c>
      <c r="J754" s="303" t="s">
        <v>5712</v>
      </c>
      <c r="K754" s="315"/>
      <c r="L754" s="315"/>
      <c r="M754" s="299">
        <v>99</v>
      </c>
      <c r="N754" s="299" t="b">
        <v>1</v>
      </c>
      <c r="O754" s="299">
        <v>7</v>
      </c>
      <c r="P754" s="281">
        <v>105</v>
      </c>
      <c r="Q754" s="281">
        <v>140</v>
      </c>
      <c r="R754" s="299" t="s">
        <v>3383</v>
      </c>
      <c r="S754" s="299"/>
      <c r="T754" s="299">
        <v>1</v>
      </c>
      <c r="U754" s="299" t="s">
        <v>4880</v>
      </c>
      <c r="V754" s="299">
        <v>0</v>
      </c>
      <c r="W754" s="299"/>
      <c r="X754" s="299" t="s">
        <v>4881</v>
      </c>
      <c r="Y754" t="s">
        <v>6914</v>
      </c>
      <c r="Z754" t="s">
        <v>6915</v>
      </c>
      <c r="AA754" s="299" t="s">
        <v>3993</v>
      </c>
      <c r="AB754" s="299"/>
      <c r="AC754" s="306">
        <v>1</v>
      </c>
      <c r="AD754" s="306">
        <v>1</v>
      </c>
      <c r="AE754" s="299"/>
      <c r="AF754" s="299"/>
      <c r="AG754" s="307">
        <v>8020403</v>
      </c>
    </row>
    <row r="755" spans="1:33" x14ac:dyDescent="0.15">
      <c r="A755" s="298">
        <v>98020404</v>
      </c>
      <c r="B755" t="s">
        <v>6916</v>
      </c>
      <c r="C755" s="268" t="s">
        <v>6316</v>
      </c>
      <c r="D755" s="308">
        <v>8201</v>
      </c>
      <c r="E755" s="299" t="s">
        <v>4876</v>
      </c>
      <c r="F755" s="299" t="s">
        <v>5672</v>
      </c>
      <c r="G755" s="300">
        <v>6</v>
      </c>
      <c r="H755" s="300">
        <v>0</v>
      </c>
      <c r="I755" s="298">
        <v>34</v>
      </c>
      <c r="J755" s="303" t="s">
        <v>5716</v>
      </c>
      <c r="K755" s="315"/>
      <c r="L755" s="315"/>
      <c r="M755" s="299">
        <v>99</v>
      </c>
      <c r="N755" s="299" t="b">
        <v>1</v>
      </c>
      <c r="O755" s="299">
        <v>7</v>
      </c>
      <c r="P755" s="281">
        <v>105</v>
      </c>
      <c r="Q755" s="281">
        <v>140</v>
      </c>
      <c r="R755" s="299" t="s">
        <v>3383</v>
      </c>
      <c r="S755" s="299"/>
      <c r="T755" s="299">
        <v>1</v>
      </c>
      <c r="U755" s="299" t="s">
        <v>4880</v>
      </c>
      <c r="V755" s="299">
        <v>0</v>
      </c>
      <c r="W755" s="299"/>
      <c r="X755" s="299" t="s">
        <v>4881</v>
      </c>
      <c r="Y755" t="s">
        <v>6917</v>
      </c>
      <c r="Z755" t="s">
        <v>6918</v>
      </c>
      <c r="AA755" s="299" t="s">
        <v>3993</v>
      </c>
      <c r="AB755" s="299"/>
      <c r="AC755" s="306">
        <v>1</v>
      </c>
      <c r="AD755" s="306">
        <v>1</v>
      </c>
      <c r="AE755" s="299"/>
      <c r="AF755" s="299"/>
      <c r="AG755" s="307">
        <v>8020404</v>
      </c>
    </row>
    <row r="756" spans="1:33" x14ac:dyDescent="0.15">
      <c r="A756" s="314">
        <v>98020701</v>
      </c>
      <c r="B756" t="s">
        <v>6919</v>
      </c>
      <c r="C756" s="268" t="s">
        <v>6316</v>
      </c>
      <c r="D756" s="147">
        <v>8202</v>
      </c>
      <c r="E756" s="147" t="s">
        <v>4876</v>
      </c>
      <c r="F756" s="147" t="s">
        <v>5672</v>
      </c>
      <c r="G756" s="147">
        <v>6</v>
      </c>
      <c r="H756" s="147">
        <v>0</v>
      </c>
      <c r="I756" s="147">
        <v>34</v>
      </c>
      <c r="J756" s="147" t="str">
        <f>"2;"&amp;AG756</f>
        <v>2;8020701</v>
      </c>
      <c r="M756" s="147">
        <v>99</v>
      </c>
      <c r="N756" s="147" t="b">
        <v>1</v>
      </c>
      <c r="O756" s="147">
        <v>7</v>
      </c>
      <c r="P756" s="281">
        <v>105</v>
      </c>
      <c r="Q756" s="281">
        <v>140</v>
      </c>
      <c r="R756" s="147" t="s">
        <v>3383</v>
      </c>
      <c r="T756" s="147">
        <v>1</v>
      </c>
      <c r="U756" s="147" t="s">
        <v>4880</v>
      </c>
      <c r="V756" s="147">
        <v>0</v>
      </c>
      <c r="X756" s="147" t="s">
        <v>4881</v>
      </c>
      <c r="Y756" t="s">
        <v>6920</v>
      </c>
      <c r="Z756" t="s">
        <v>6921</v>
      </c>
      <c r="AA756" s="147" t="s">
        <v>3993</v>
      </c>
      <c r="AC756" s="147">
        <v>1</v>
      </c>
      <c r="AD756" s="147">
        <v>1</v>
      </c>
      <c r="AG756" s="147">
        <v>8020701</v>
      </c>
    </row>
    <row r="757" spans="1:33" x14ac:dyDescent="0.15">
      <c r="A757" s="314">
        <v>98020702</v>
      </c>
      <c r="B757" t="s">
        <v>6922</v>
      </c>
      <c r="C757" s="268" t="s">
        <v>6316</v>
      </c>
      <c r="D757" s="147">
        <v>8201</v>
      </c>
      <c r="E757" s="147" t="s">
        <v>4876</v>
      </c>
      <c r="F757" s="147" t="s">
        <v>5672</v>
      </c>
      <c r="G757" s="147">
        <v>6</v>
      </c>
      <c r="H757" s="147">
        <v>0</v>
      </c>
      <c r="I757" s="147">
        <v>34</v>
      </c>
      <c r="J757" s="147" t="str">
        <f>"2;"&amp;AG757</f>
        <v>2;8020702</v>
      </c>
      <c r="M757" s="147">
        <v>99</v>
      </c>
      <c r="N757" s="147" t="b">
        <v>1</v>
      </c>
      <c r="O757" s="147">
        <v>7</v>
      </c>
      <c r="P757" s="281">
        <v>105</v>
      </c>
      <c r="Q757" s="281">
        <v>140</v>
      </c>
      <c r="R757" s="147" t="s">
        <v>3383</v>
      </c>
      <c r="T757" s="147">
        <v>1</v>
      </c>
      <c r="U757" s="147" t="s">
        <v>4880</v>
      </c>
      <c r="V757" s="147">
        <v>0</v>
      </c>
      <c r="X757" s="147" t="s">
        <v>4881</v>
      </c>
      <c r="Y757" t="s">
        <v>6923</v>
      </c>
      <c r="Z757" t="s">
        <v>6924</v>
      </c>
      <c r="AA757" s="147" t="s">
        <v>3993</v>
      </c>
      <c r="AC757" s="147">
        <v>1</v>
      </c>
      <c r="AD757" s="147">
        <v>1</v>
      </c>
      <c r="AG757" s="147">
        <v>8020702</v>
      </c>
    </row>
    <row r="758" spans="1:33" x14ac:dyDescent="0.15">
      <c r="A758" s="298">
        <v>98050101</v>
      </c>
      <c r="B758" t="s">
        <v>6925</v>
      </c>
      <c r="C758" s="268" t="s">
        <v>6316</v>
      </c>
      <c r="D758" s="308">
        <v>8202</v>
      </c>
      <c r="E758" s="299" t="s">
        <v>4876</v>
      </c>
      <c r="F758" s="299" t="s">
        <v>5672</v>
      </c>
      <c r="G758" s="300">
        <v>6</v>
      </c>
      <c r="H758" s="300">
        <v>0</v>
      </c>
      <c r="I758" s="298">
        <v>34</v>
      </c>
      <c r="J758" s="303" t="s">
        <v>5724</v>
      </c>
      <c r="K758" s="315"/>
      <c r="L758" s="315"/>
      <c r="M758" s="299">
        <v>99</v>
      </c>
      <c r="N758" s="299" t="b">
        <v>1</v>
      </c>
      <c r="O758" s="299">
        <v>7</v>
      </c>
      <c r="P758" s="281">
        <v>105</v>
      </c>
      <c r="Q758" s="281">
        <v>140</v>
      </c>
      <c r="R758" s="299" t="s">
        <v>3383</v>
      </c>
      <c r="S758" s="299"/>
      <c r="T758" s="299">
        <v>1</v>
      </c>
      <c r="U758" s="299" t="s">
        <v>4880</v>
      </c>
      <c r="V758" s="299">
        <v>0</v>
      </c>
      <c r="W758" s="299"/>
      <c r="X758" s="299" t="s">
        <v>4881</v>
      </c>
      <c r="Y758" t="s">
        <v>6926</v>
      </c>
      <c r="Z758" t="s">
        <v>6927</v>
      </c>
      <c r="AA758" s="299" t="s">
        <v>3993</v>
      </c>
      <c r="AB758" s="299"/>
      <c r="AC758" s="306">
        <v>1</v>
      </c>
      <c r="AD758" s="306">
        <v>1</v>
      </c>
      <c r="AE758" s="299"/>
      <c r="AF758" s="299"/>
      <c r="AG758" s="307">
        <v>8050101</v>
      </c>
    </row>
    <row r="759" spans="1:33" x14ac:dyDescent="0.15">
      <c r="A759" s="298">
        <v>98050102</v>
      </c>
      <c r="B759" t="s">
        <v>6928</v>
      </c>
      <c r="C759" s="268" t="s">
        <v>6316</v>
      </c>
      <c r="D759" s="308">
        <v>8202</v>
      </c>
      <c r="E759" s="299" t="s">
        <v>4876</v>
      </c>
      <c r="F759" s="299" t="s">
        <v>5672</v>
      </c>
      <c r="G759" s="300">
        <v>6</v>
      </c>
      <c r="H759" s="300">
        <v>0</v>
      </c>
      <c r="I759" s="298">
        <v>34</v>
      </c>
      <c r="J759" s="303" t="s">
        <v>5728</v>
      </c>
      <c r="K759" s="315"/>
      <c r="L759" s="315"/>
      <c r="M759" s="299">
        <v>99</v>
      </c>
      <c r="N759" s="299" t="b">
        <v>1</v>
      </c>
      <c r="O759" s="299">
        <v>7</v>
      </c>
      <c r="P759" s="281">
        <v>105</v>
      </c>
      <c r="Q759" s="281">
        <v>140</v>
      </c>
      <c r="R759" s="299" t="s">
        <v>3383</v>
      </c>
      <c r="S759" s="299"/>
      <c r="T759" s="299">
        <v>1</v>
      </c>
      <c r="U759" s="299" t="s">
        <v>4880</v>
      </c>
      <c r="V759" s="299">
        <v>0</v>
      </c>
      <c r="W759" s="299"/>
      <c r="X759" s="299" t="s">
        <v>4881</v>
      </c>
      <c r="Y759" t="s">
        <v>6929</v>
      </c>
      <c r="Z759" t="s">
        <v>6930</v>
      </c>
      <c r="AA759" s="299" t="s">
        <v>3993</v>
      </c>
      <c r="AB759" s="299"/>
      <c r="AC759" s="306">
        <v>1</v>
      </c>
      <c r="AD759" s="306">
        <v>1</v>
      </c>
      <c r="AE759" s="299"/>
      <c r="AF759" s="299"/>
      <c r="AG759" s="307">
        <v>8050102</v>
      </c>
    </row>
    <row r="760" spans="1:33" x14ac:dyDescent="0.15">
      <c r="A760" s="298">
        <v>98050103</v>
      </c>
      <c r="B760" t="s">
        <v>6931</v>
      </c>
      <c r="C760" s="268" t="s">
        <v>6316</v>
      </c>
      <c r="D760" s="308">
        <v>8202</v>
      </c>
      <c r="E760" s="299" t="s">
        <v>4876</v>
      </c>
      <c r="F760" s="299" t="s">
        <v>5672</v>
      </c>
      <c r="G760" s="300">
        <v>6</v>
      </c>
      <c r="H760" s="300">
        <v>0</v>
      </c>
      <c r="I760" s="298">
        <v>34</v>
      </c>
      <c r="J760" s="303" t="s">
        <v>5732</v>
      </c>
      <c r="K760" s="315"/>
      <c r="L760" s="315"/>
      <c r="M760" s="299">
        <v>99</v>
      </c>
      <c r="N760" s="299" t="b">
        <v>1</v>
      </c>
      <c r="O760" s="299">
        <v>7</v>
      </c>
      <c r="P760" s="281">
        <v>105</v>
      </c>
      <c r="Q760" s="281">
        <v>140</v>
      </c>
      <c r="R760" s="299" t="s">
        <v>3383</v>
      </c>
      <c r="S760" s="299"/>
      <c r="T760" s="299">
        <v>1</v>
      </c>
      <c r="U760" s="299" t="s">
        <v>4880</v>
      </c>
      <c r="V760" s="299">
        <v>0</v>
      </c>
      <c r="W760" s="299"/>
      <c r="X760" s="299" t="s">
        <v>4881</v>
      </c>
      <c r="Y760" t="s">
        <v>6932</v>
      </c>
      <c r="Z760" t="s">
        <v>6933</v>
      </c>
      <c r="AA760" s="299" t="s">
        <v>3993</v>
      </c>
      <c r="AB760" s="299"/>
      <c r="AC760" s="306">
        <v>1</v>
      </c>
      <c r="AD760" s="306">
        <v>1</v>
      </c>
      <c r="AE760" s="299"/>
      <c r="AF760" s="299"/>
      <c r="AG760" s="307">
        <v>8050103</v>
      </c>
    </row>
    <row r="761" spans="1:33" x14ac:dyDescent="0.15">
      <c r="A761" s="298">
        <v>98050104</v>
      </c>
      <c r="B761" t="s">
        <v>6934</v>
      </c>
      <c r="C761" s="268" t="s">
        <v>6316</v>
      </c>
      <c r="D761" s="308">
        <v>8202</v>
      </c>
      <c r="E761" s="299" t="s">
        <v>4876</v>
      </c>
      <c r="F761" s="299" t="s">
        <v>5672</v>
      </c>
      <c r="G761" s="300">
        <v>6</v>
      </c>
      <c r="H761" s="300">
        <v>0</v>
      </c>
      <c r="I761" s="298">
        <v>34</v>
      </c>
      <c r="J761" s="303" t="s">
        <v>5736</v>
      </c>
      <c r="K761" s="315"/>
      <c r="L761" s="315"/>
      <c r="M761" s="299">
        <v>99</v>
      </c>
      <c r="N761" s="299" t="b">
        <v>1</v>
      </c>
      <c r="O761" s="299">
        <v>7</v>
      </c>
      <c r="P761" s="281">
        <v>105</v>
      </c>
      <c r="Q761" s="281">
        <v>140</v>
      </c>
      <c r="R761" s="299" t="s">
        <v>3383</v>
      </c>
      <c r="S761" s="299"/>
      <c r="T761" s="299">
        <v>1</v>
      </c>
      <c r="U761" s="299" t="s">
        <v>4880</v>
      </c>
      <c r="V761" s="299">
        <v>0</v>
      </c>
      <c r="W761" s="299"/>
      <c r="X761" s="299" t="s">
        <v>4881</v>
      </c>
      <c r="Y761" t="s">
        <v>6935</v>
      </c>
      <c r="Z761" t="s">
        <v>6936</v>
      </c>
      <c r="AA761" s="299" t="s">
        <v>3993</v>
      </c>
      <c r="AB761" s="299"/>
      <c r="AC761" s="306">
        <v>1</v>
      </c>
      <c r="AD761" s="306">
        <v>1</v>
      </c>
      <c r="AE761" s="299"/>
      <c r="AF761" s="299"/>
      <c r="AG761" s="307">
        <v>8050104</v>
      </c>
    </row>
    <row r="762" spans="1:33" x14ac:dyDescent="0.15">
      <c r="A762" s="298">
        <v>98050105</v>
      </c>
      <c r="B762" t="s">
        <v>6937</v>
      </c>
      <c r="C762" s="268" t="s">
        <v>6316</v>
      </c>
      <c r="D762" s="308">
        <v>8201</v>
      </c>
      <c r="E762" s="299" t="s">
        <v>4876</v>
      </c>
      <c r="F762" s="299" t="s">
        <v>5672</v>
      </c>
      <c r="G762" s="300">
        <v>6</v>
      </c>
      <c r="H762" s="300">
        <v>0</v>
      </c>
      <c r="I762" s="298">
        <v>34</v>
      </c>
      <c r="J762" s="303" t="s">
        <v>5740</v>
      </c>
      <c r="K762" s="315"/>
      <c r="L762" s="315"/>
      <c r="M762" s="299">
        <v>99</v>
      </c>
      <c r="N762" s="299" t="b">
        <v>1</v>
      </c>
      <c r="O762" s="299">
        <v>7</v>
      </c>
      <c r="P762" s="281">
        <v>105</v>
      </c>
      <c r="Q762" s="281">
        <v>140</v>
      </c>
      <c r="R762" s="299" t="s">
        <v>3383</v>
      </c>
      <c r="S762" s="299"/>
      <c r="T762" s="299">
        <v>1</v>
      </c>
      <c r="U762" s="299" t="s">
        <v>4880</v>
      </c>
      <c r="V762" s="299">
        <v>0</v>
      </c>
      <c r="W762" s="299"/>
      <c r="X762" s="299" t="s">
        <v>4881</v>
      </c>
      <c r="Y762" t="s">
        <v>6938</v>
      </c>
      <c r="Z762" t="s">
        <v>6939</v>
      </c>
      <c r="AA762" s="299" t="s">
        <v>3993</v>
      </c>
      <c r="AB762" s="299"/>
      <c r="AC762" s="306">
        <v>1</v>
      </c>
      <c r="AD762" s="306">
        <v>1</v>
      </c>
      <c r="AE762" s="299"/>
      <c r="AF762" s="299"/>
      <c r="AG762" s="307">
        <v>8050105</v>
      </c>
    </row>
    <row r="763" spans="1:33" x14ac:dyDescent="0.15">
      <c r="A763" s="298">
        <v>98040101</v>
      </c>
      <c r="B763" t="s">
        <v>6940</v>
      </c>
      <c r="C763" s="268" t="s">
        <v>6316</v>
      </c>
      <c r="D763" s="308">
        <v>8201</v>
      </c>
      <c r="E763" s="299" t="s">
        <v>4876</v>
      </c>
      <c r="F763" s="299" t="s">
        <v>5672</v>
      </c>
      <c r="G763" s="300">
        <v>6</v>
      </c>
      <c r="H763" s="300">
        <v>0</v>
      </c>
      <c r="I763" s="298">
        <v>34</v>
      </c>
      <c r="J763" s="303" t="s">
        <v>5743</v>
      </c>
      <c r="K763" s="315"/>
      <c r="L763" s="315"/>
      <c r="M763" s="299">
        <v>99</v>
      </c>
      <c r="N763" s="299" t="b">
        <v>1</v>
      </c>
      <c r="O763" s="299">
        <v>7</v>
      </c>
      <c r="P763" s="281">
        <v>105</v>
      </c>
      <c r="Q763" s="281">
        <v>140</v>
      </c>
      <c r="R763" s="299" t="s">
        <v>3383</v>
      </c>
      <c r="S763" s="299"/>
      <c r="T763" s="299">
        <v>1</v>
      </c>
      <c r="U763" s="299" t="s">
        <v>4880</v>
      </c>
      <c r="V763" s="299">
        <v>0</v>
      </c>
      <c r="W763" s="299"/>
      <c r="X763" s="299" t="s">
        <v>4881</v>
      </c>
      <c r="Y763" t="s">
        <v>6941</v>
      </c>
      <c r="Z763" t="s">
        <v>6942</v>
      </c>
      <c r="AA763" s="299" t="s">
        <v>3993</v>
      </c>
      <c r="AB763" s="299"/>
      <c r="AC763" s="306">
        <v>1</v>
      </c>
      <c r="AD763" s="306">
        <v>1</v>
      </c>
      <c r="AE763" s="299"/>
      <c r="AF763" s="299"/>
      <c r="AG763" s="307">
        <v>8040101</v>
      </c>
    </row>
    <row r="764" spans="1:33" x14ac:dyDescent="0.15">
      <c r="A764" s="298">
        <v>98040102</v>
      </c>
      <c r="B764" t="s">
        <v>6943</v>
      </c>
      <c r="C764" s="268" t="s">
        <v>6316</v>
      </c>
      <c r="D764" s="308">
        <v>8202</v>
      </c>
      <c r="E764" s="299" t="s">
        <v>4876</v>
      </c>
      <c r="F764" s="299" t="s">
        <v>5672</v>
      </c>
      <c r="G764" s="300">
        <v>6</v>
      </c>
      <c r="H764" s="300">
        <v>0</v>
      </c>
      <c r="I764" s="298">
        <v>34</v>
      </c>
      <c r="J764" s="303" t="s">
        <v>5747</v>
      </c>
      <c r="K764" s="315"/>
      <c r="L764" s="315"/>
      <c r="M764" s="299">
        <v>99</v>
      </c>
      <c r="N764" s="299" t="b">
        <v>1</v>
      </c>
      <c r="O764" s="299">
        <v>7</v>
      </c>
      <c r="P764" s="281">
        <v>105</v>
      </c>
      <c r="Q764" s="281">
        <v>140</v>
      </c>
      <c r="R764" s="299" t="s">
        <v>3383</v>
      </c>
      <c r="S764" s="299"/>
      <c r="T764" s="299">
        <v>1</v>
      </c>
      <c r="U764" s="299" t="s">
        <v>4880</v>
      </c>
      <c r="V764" s="299">
        <v>0</v>
      </c>
      <c r="W764" s="299"/>
      <c r="X764" s="299" t="s">
        <v>4881</v>
      </c>
      <c r="Y764" t="s">
        <v>6887</v>
      </c>
      <c r="Z764" t="s">
        <v>6944</v>
      </c>
      <c r="AA764" s="299" t="s">
        <v>3993</v>
      </c>
      <c r="AB764" s="299"/>
      <c r="AC764" s="306">
        <v>1</v>
      </c>
      <c r="AD764" s="306">
        <v>1</v>
      </c>
      <c r="AE764" s="299"/>
      <c r="AF764" s="299"/>
      <c r="AG764" s="307">
        <v>8040102</v>
      </c>
    </row>
    <row r="765" spans="1:33" x14ac:dyDescent="0.15">
      <c r="A765" s="298">
        <v>98040103</v>
      </c>
      <c r="B765" t="s">
        <v>6945</v>
      </c>
      <c r="C765" s="268" t="s">
        <v>6316</v>
      </c>
      <c r="D765" s="308">
        <v>8202</v>
      </c>
      <c r="E765" s="299" t="s">
        <v>4876</v>
      </c>
      <c r="F765" s="299" t="s">
        <v>5672</v>
      </c>
      <c r="G765" s="300">
        <v>6</v>
      </c>
      <c r="H765" s="300">
        <v>0</v>
      </c>
      <c r="I765" s="298">
        <v>34</v>
      </c>
      <c r="J765" s="303" t="s">
        <v>5751</v>
      </c>
      <c r="K765" s="315"/>
      <c r="L765" s="315"/>
      <c r="M765" s="299">
        <v>99</v>
      </c>
      <c r="N765" s="299" t="b">
        <v>1</v>
      </c>
      <c r="O765" s="299">
        <v>7</v>
      </c>
      <c r="P765" s="281">
        <v>105</v>
      </c>
      <c r="Q765" s="281">
        <v>140</v>
      </c>
      <c r="R765" s="299" t="s">
        <v>3383</v>
      </c>
      <c r="S765" s="299"/>
      <c r="T765" s="299">
        <v>1</v>
      </c>
      <c r="U765" s="299" t="s">
        <v>4880</v>
      </c>
      <c r="V765" s="299">
        <v>0</v>
      </c>
      <c r="W765" s="299"/>
      <c r="X765" s="299" t="s">
        <v>4881</v>
      </c>
      <c r="Y765" t="s">
        <v>6946</v>
      </c>
      <c r="Z765" t="s">
        <v>6947</v>
      </c>
      <c r="AA765" s="299" t="s">
        <v>3993</v>
      </c>
      <c r="AB765" s="299"/>
      <c r="AC765" s="306">
        <v>1</v>
      </c>
      <c r="AD765" s="306">
        <v>1</v>
      </c>
      <c r="AE765" s="299"/>
      <c r="AF765" s="299"/>
      <c r="AG765" s="307">
        <v>8040103</v>
      </c>
    </row>
    <row r="766" spans="1:33" x14ac:dyDescent="0.15">
      <c r="A766" s="298">
        <v>98040104</v>
      </c>
      <c r="B766" t="s">
        <v>6948</v>
      </c>
      <c r="C766" s="268" t="s">
        <v>6316</v>
      </c>
      <c r="D766" s="308">
        <v>8202</v>
      </c>
      <c r="E766" s="299" t="s">
        <v>4876</v>
      </c>
      <c r="F766" s="299" t="s">
        <v>5672</v>
      </c>
      <c r="G766" s="300">
        <v>6</v>
      </c>
      <c r="H766" s="300">
        <v>0</v>
      </c>
      <c r="I766" s="298">
        <v>34</v>
      </c>
      <c r="J766" s="303" t="s">
        <v>5755</v>
      </c>
      <c r="K766" s="315"/>
      <c r="L766" s="315"/>
      <c r="M766" s="299">
        <v>99</v>
      </c>
      <c r="N766" s="299" t="b">
        <v>1</v>
      </c>
      <c r="O766" s="299">
        <v>7</v>
      </c>
      <c r="P766" s="281">
        <v>105</v>
      </c>
      <c r="Q766" s="281">
        <v>140</v>
      </c>
      <c r="R766" s="299" t="s">
        <v>3383</v>
      </c>
      <c r="S766" s="299"/>
      <c r="T766" s="299">
        <v>1</v>
      </c>
      <c r="U766" s="299" t="s">
        <v>4880</v>
      </c>
      <c r="V766" s="299">
        <v>0</v>
      </c>
      <c r="W766" s="299"/>
      <c r="X766" s="299" t="s">
        <v>4881</v>
      </c>
      <c r="Y766" t="s">
        <v>6949</v>
      </c>
      <c r="Z766" t="s">
        <v>6950</v>
      </c>
      <c r="AA766" s="299" t="s">
        <v>3993</v>
      </c>
      <c r="AB766" s="299"/>
      <c r="AC766" s="306">
        <v>1</v>
      </c>
      <c r="AD766" s="306">
        <v>1</v>
      </c>
      <c r="AE766" s="299"/>
      <c r="AF766" s="299"/>
      <c r="AG766" s="307">
        <v>8040104</v>
      </c>
    </row>
    <row r="767" spans="1:33" x14ac:dyDescent="0.15">
      <c r="A767" s="298">
        <v>98060101</v>
      </c>
      <c r="B767" t="s">
        <v>6951</v>
      </c>
      <c r="C767" s="268" t="s">
        <v>6316</v>
      </c>
      <c r="D767" s="308">
        <v>8202</v>
      </c>
      <c r="E767" s="299" t="s">
        <v>4876</v>
      </c>
      <c r="F767" s="299" t="s">
        <v>5672</v>
      </c>
      <c r="G767" s="300">
        <v>6</v>
      </c>
      <c r="H767" s="300">
        <v>0</v>
      </c>
      <c r="I767" s="298">
        <v>34</v>
      </c>
      <c r="J767" s="303" t="s">
        <v>5759</v>
      </c>
      <c r="K767" s="315"/>
      <c r="L767" s="315"/>
      <c r="M767" s="299">
        <v>99</v>
      </c>
      <c r="N767" s="299" t="b">
        <v>1</v>
      </c>
      <c r="O767" s="299">
        <v>7</v>
      </c>
      <c r="P767" s="281">
        <v>105</v>
      </c>
      <c r="Q767" s="281">
        <v>140</v>
      </c>
      <c r="R767" s="299" t="s">
        <v>3383</v>
      </c>
      <c r="S767" s="299"/>
      <c r="T767" s="299">
        <v>1</v>
      </c>
      <c r="U767" s="299" t="s">
        <v>4880</v>
      </c>
      <c r="V767" s="299">
        <v>0</v>
      </c>
      <c r="W767" s="299"/>
      <c r="X767" s="299" t="s">
        <v>4881</v>
      </c>
      <c r="Y767" t="s">
        <v>6952</v>
      </c>
      <c r="Z767" t="s">
        <v>6953</v>
      </c>
      <c r="AA767" s="299" t="s">
        <v>3993</v>
      </c>
      <c r="AB767" s="299"/>
      <c r="AC767" s="306">
        <v>1</v>
      </c>
      <c r="AD767" s="306">
        <v>1</v>
      </c>
      <c r="AE767" s="299"/>
      <c r="AF767" s="299"/>
      <c r="AG767" s="307">
        <v>8060101</v>
      </c>
    </row>
    <row r="768" spans="1:33" x14ac:dyDescent="0.15">
      <c r="A768" s="298">
        <v>98060102</v>
      </c>
      <c r="B768" t="s">
        <v>6954</v>
      </c>
      <c r="C768" s="268" t="s">
        <v>6316</v>
      </c>
      <c r="D768" s="299">
        <v>8201</v>
      </c>
      <c r="E768" s="299" t="s">
        <v>4876</v>
      </c>
      <c r="F768" s="299" t="s">
        <v>5672</v>
      </c>
      <c r="G768" s="300">
        <v>6</v>
      </c>
      <c r="H768" s="300">
        <v>0</v>
      </c>
      <c r="I768" s="298">
        <v>34</v>
      </c>
      <c r="J768" s="303" t="s">
        <v>5763</v>
      </c>
      <c r="K768" s="304"/>
      <c r="L768" s="304"/>
      <c r="M768" s="299">
        <v>99</v>
      </c>
      <c r="N768" s="299" t="b">
        <v>1</v>
      </c>
      <c r="O768" s="299">
        <v>7</v>
      </c>
      <c r="P768" s="281">
        <v>105</v>
      </c>
      <c r="Q768" s="281">
        <v>140</v>
      </c>
      <c r="R768" s="299" t="s">
        <v>3383</v>
      </c>
      <c r="S768" s="299"/>
      <c r="T768" s="299">
        <v>1</v>
      </c>
      <c r="U768" s="299" t="s">
        <v>4880</v>
      </c>
      <c r="V768" s="299">
        <v>0</v>
      </c>
      <c r="W768" s="299"/>
      <c r="X768" s="299" t="s">
        <v>4881</v>
      </c>
      <c r="Y768" t="s">
        <v>6955</v>
      </c>
      <c r="Z768" t="s">
        <v>6956</v>
      </c>
      <c r="AA768" s="299" t="s">
        <v>3993</v>
      </c>
      <c r="AB768" s="299"/>
      <c r="AC768" s="306">
        <v>1</v>
      </c>
      <c r="AD768" s="306">
        <v>1</v>
      </c>
      <c r="AE768" s="299"/>
      <c r="AF768" s="299"/>
      <c r="AG768" s="307">
        <v>8060102</v>
      </c>
    </row>
    <row r="769" spans="1:33" x14ac:dyDescent="0.15">
      <c r="A769" s="298">
        <v>98060103</v>
      </c>
      <c r="B769" t="s">
        <v>6957</v>
      </c>
      <c r="C769" s="268" t="s">
        <v>6316</v>
      </c>
      <c r="D769" s="308">
        <v>8201</v>
      </c>
      <c r="E769" s="299" t="s">
        <v>4876</v>
      </c>
      <c r="F769" s="299" t="s">
        <v>5672</v>
      </c>
      <c r="G769" s="300">
        <v>6</v>
      </c>
      <c r="H769" s="300">
        <v>0</v>
      </c>
      <c r="I769" s="298">
        <v>34</v>
      </c>
      <c r="J769" s="303" t="s">
        <v>5767</v>
      </c>
      <c r="K769" s="315"/>
      <c r="L769" s="315"/>
      <c r="M769" s="299">
        <v>99</v>
      </c>
      <c r="N769" s="299" t="b">
        <v>1</v>
      </c>
      <c r="O769" s="299">
        <v>7</v>
      </c>
      <c r="P769" s="281">
        <v>105</v>
      </c>
      <c r="Q769" s="281">
        <v>140</v>
      </c>
      <c r="R769" s="299" t="s">
        <v>3383</v>
      </c>
      <c r="S769" s="299"/>
      <c r="T769" s="299">
        <v>1</v>
      </c>
      <c r="U769" s="299" t="s">
        <v>4880</v>
      </c>
      <c r="V769" s="299">
        <v>0</v>
      </c>
      <c r="W769" s="299"/>
      <c r="X769" s="299" t="s">
        <v>4881</v>
      </c>
      <c r="Y769" t="s">
        <v>6958</v>
      </c>
      <c r="Z769" t="s">
        <v>6959</v>
      </c>
      <c r="AA769" s="299" t="s">
        <v>3993</v>
      </c>
      <c r="AB769" s="299"/>
      <c r="AC769" s="306">
        <v>1</v>
      </c>
      <c r="AD769" s="306">
        <v>1</v>
      </c>
      <c r="AE769" s="299"/>
      <c r="AF769" s="299"/>
      <c r="AG769" s="307">
        <v>8060103</v>
      </c>
    </row>
    <row r="770" spans="1:33" x14ac:dyDescent="0.15">
      <c r="A770" s="298">
        <v>98060104</v>
      </c>
      <c r="B770" t="s">
        <v>6960</v>
      </c>
      <c r="C770" s="268" t="s">
        <v>6316</v>
      </c>
      <c r="D770" s="308">
        <v>8201</v>
      </c>
      <c r="E770" s="299" t="s">
        <v>4876</v>
      </c>
      <c r="F770" s="299" t="s">
        <v>5672</v>
      </c>
      <c r="G770" s="300">
        <v>6</v>
      </c>
      <c r="H770" s="300">
        <v>0</v>
      </c>
      <c r="I770" s="298">
        <v>34</v>
      </c>
      <c r="J770" s="303" t="s">
        <v>5771</v>
      </c>
      <c r="K770" s="315"/>
      <c r="L770" s="315"/>
      <c r="M770" s="299">
        <v>99</v>
      </c>
      <c r="N770" s="299" t="b">
        <v>1</v>
      </c>
      <c r="O770" s="299">
        <v>7</v>
      </c>
      <c r="P770" s="281">
        <v>105</v>
      </c>
      <c r="Q770" s="281">
        <v>140</v>
      </c>
      <c r="R770" s="299" t="s">
        <v>3383</v>
      </c>
      <c r="S770" s="299"/>
      <c r="T770" s="299">
        <v>1</v>
      </c>
      <c r="U770" s="299" t="s">
        <v>4880</v>
      </c>
      <c r="V770" s="299">
        <v>0</v>
      </c>
      <c r="W770" s="299"/>
      <c r="X770" s="299" t="s">
        <v>4881</v>
      </c>
      <c r="Y770" t="s">
        <v>6961</v>
      </c>
      <c r="Z770" t="s">
        <v>6962</v>
      </c>
      <c r="AA770" s="299" t="s">
        <v>3993</v>
      </c>
      <c r="AB770" s="299"/>
      <c r="AC770" s="306">
        <v>1</v>
      </c>
      <c r="AD770" s="306">
        <v>1</v>
      </c>
      <c r="AE770" s="299"/>
      <c r="AF770" s="299"/>
      <c r="AG770" s="307">
        <v>8060104</v>
      </c>
    </row>
    <row r="771" spans="1:33" x14ac:dyDescent="0.15">
      <c r="A771" s="298">
        <v>98060105</v>
      </c>
      <c r="B771" t="s">
        <v>6963</v>
      </c>
      <c r="C771" s="268" t="s">
        <v>6316</v>
      </c>
      <c r="D771" s="308">
        <v>8201</v>
      </c>
      <c r="E771" s="299" t="s">
        <v>4876</v>
      </c>
      <c r="F771" s="299" t="s">
        <v>5672</v>
      </c>
      <c r="G771" s="300">
        <v>6</v>
      </c>
      <c r="H771" s="300">
        <v>0</v>
      </c>
      <c r="I771" s="298">
        <v>34</v>
      </c>
      <c r="J771" s="303" t="s">
        <v>5775</v>
      </c>
      <c r="K771" s="315"/>
      <c r="L771" s="315"/>
      <c r="M771" s="299">
        <v>99</v>
      </c>
      <c r="N771" s="299" t="b">
        <v>1</v>
      </c>
      <c r="O771" s="299">
        <v>7</v>
      </c>
      <c r="P771" s="281">
        <v>105</v>
      </c>
      <c r="Q771" s="281">
        <v>140</v>
      </c>
      <c r="R771" s="299" t="s">
        <v>3383</v>
      </c>
      <c r="S771" s="299"/>
      <c r="T771" s="299">
        <v>1</v>
      </c>
      <c r="U771" s="299" t="s">
        <v>4880</v>
      </c>
      <c r="V771" s="299">
        <v>0</v>
      </c>
      <c r="W771" s="299"/>
      <c r="X771" s="299" t="s">
        <v>4881</v>
      </c>
      <c r="Y771" t="s">
        <v>6964</v>
      </c>
      <c r="Z771" t="s">
        <v>6965</v>
      </c>
      <c r="AA771" s="299" t="s">
        <v>3993</v>
      </c>
      <c r="AB771" s="299"/>
      <c r="AC771" s="306">
        <v>1</v>
      </c>
      <c r="AD771" s="306">
        <v>1</v>
      </c>
      <c r="AE771" s="299"/>
      <c r="AF771" s="299"/>
      <c r="AG771" s="307">
        <v>8060105</v>
      </c>
    </row>
    <row r="772" spans="1:33" x14ac:dyDescent="0.15">
      <c r="A772" s="314">
        <v>98060201</v>
      </c>
      <c r="B772" t="s">
        <v>6966</v>
      </c>
      <c r="C772" s="268" t="s">
        <v>6316</v>
      </c>
      <c r="D772" s="147">
        <v>8201</v>
      </c>
      <c r="E772" s="147" t="s">
        <v>4876</v>
      </c>
      <c r="F772" s="147" t="s">
        <v>5672</v>
      </c>
      <c r="G772" s="147">
        <v>6</v>
      </c>
      <c r="H772" s="147">
        <v>0</v>
      </c>
      <c r="I772" s="147">
        <v>34</v>
      </c>
      <c r="J772" s="147" t="str">
        <f>"2;"&amp;AG772</f>
        <v>2;8060201</v>
      </c>
      <c r="M772" s="147">
        <v>99</v>
      </c>
      <c r="N772" s="147" t="b">
        <v>1</v>
      </c>
      <c r="O772" s="147">
        <v>7</v>
      </c>
      <c r="P772" s="281">
        <v>105</v>
      </c>
      <c r="Q772" s="281">
        <v>140</v>
      </c>
      <c r="R772" s="147" t="s">
        <v>3383</v>
      </c>
      <c r="T772" s="147">
        <v>1</v>
      </c>
      <c r="U772" s="147" t="s">
        <v>4880</v>
      </c>
      <c r="V772" s="147">
        <v>0</v>
      </c>
      <c r="X772" s="147" t="s">
        <v>4881</v>
      </c>
      <c r="Y772" t="s">
        <v>6967</v>
      </c>
      <c r="Z772" t="s">
        <v>6968</v>
      </c>
      <c r="AA772" s="147" t="s">
        <v>3993</v>
      </c>
      <c r="AC772" s="147">
        <v>1</v>
      </c>
      <c r="AD772" s="147">
        <v>1</v>
      </c>
      <c r="AG772" s="147">
        <v>8060201</v>
      </c>
    </row>
    <row r="773" spans="1:33" x14ac:dyDescent="0.15">
      <c r="A773" s="314">
        <v>98060202</v>
      </c>
      <c r="B773" t="s">
        <v>6969</v>
      </c>
      <c r="C773" s="268" t="s">
        <v>6316</v>
      </c>
      <c r="D773" s="147">
        <v>8201</v>
      </c>
      <c r="E773" s="147" t="s">
        <v>4876</v>
      </c>
      <c r="F773" s="147" t="s">
        <v>5672</v>
      </c>
      <c r="G773" s="147">
        <v>6</v>
      </c>
      <c r="H773" s="147">
        <v>0</v>
      </c>
      <c r="I773" s="147">
        <v>34</v>
      </c>
      <c r="J773" s="147" t="str">
        <f>"2;"&amp;AG773</f>
        <v>2;8060202</v>
      </c>
      <c r="M773" s="147">
        <v>99</v>
      </c>
      <c r="N773" s="147" t="b">
        <v>1</v>
      </c>
      <c r="O773" s="147">
        <v>7</v>
      </c>
      <c r="P773" s="281">
        <v>105</v>
      </c>
      <c r="Q773" s="281">
        <v>140</v>
      </c>
      <c r="R773" s="147" t="s">
        <v>3383</v>
      </c>
      <c r="T773" s="147">
        <v>1</v>
      </c>
      <c r="U773" s="147" t="s">
        <v>4880</v>
      </c>
      <c r="V773" s="147">
        <v>0</v>
      </c>
      <c r="X773" s="147" t="s">
        <v>4881</v>
      </c>
      <c r="Y773" t="s">
        <v>6970</v>
      </c>
      <c r="Z773" t="s">
        <v>6971</v>
      </c>
      <c r="AA773" s="147" t="s">
        <v>3993</v>
      </c>
      <c r="AC773" s="147">
        <v>1</v>
      </c>
      <c r="AD773" s="147">
        <v>1</v>
      </c>
      <c r="AG773" s="147">
        <v>8060202</v>
      </c>
    </row>
    <row r="774" spans="1:33" x14ac:dyDescent="0.15">
      <c r="A774" s="298">
        <v>98010301</v>
      </c>
      <c r="B774" t="s">
        <v>6972</v>
      </c>
      <c r="C774" s="268" t="s">
        <v>6316</v>
      </c>
      <c r="D774" s="308">
        <v>8202</v>
      </c>
      <c r="E774" s="299" t="s">
        <v>4876</v>
      </c>
      <c r="F774" s="299" t="s">
        <v>5672</v>
      </c>
      <c r="G774" s="300">
        <v>6</v>
      </c>
      <c r="H774" s="300">
        <v>0</v>
      </c>
      <c r="I774" s="298">
        <v>34</v>
      </c>
      <c r="J774" s="303" t="s">
        <v>5783</v>
      </c>
      <c r="K774" s="315"/>
      <c r="L774" s="315"/>
      <c r="M774" s="299">
        <v>99</v>
      </c>
      <c r="N774" s="299" t="b">
        <v>1</v>
      </c>
      <c r="O774" s="299">
        <v>7</v>
      </c>
      <c r="P774" s="281">
        <v>105</v>
      </c>
      <c r="Q774" s="281">
        <v>140</v>
      </c>
      <c r="R774" s="299" t="s">
        <v>3383</v>
      </c>
      <c r="S774" s="299"/>
      <c r="T774" s="299">
        <v>1</v>
      </c>
      <c r="U774" s="299" t="s">
        <v>4880</v>
      </c>
      <c r="V774" s="299">
        <v>0</v>
      </c>
      <c r="W774" s="299"/>
      <c r="X774" s="299" t="s">
        <v>4881</v>
      </c>
      <c r="Y774" t="s">
        <v>6973</v>
      </c>
      <c r="Z774" t="s">
        <v>6974</v>
      </c>
      <c r="AA774" s="299" t="s">
        <v>3993</v>
      </c>
      <c r="AB774" s="299"/>
      <c r="AC774" s="306">
        <v>1</v>
      </c>
      <c r="AD774" s="306">
        <v>1</v>
      </c>
      <c r="AE774" s="299"/>
      <c r="AF774" s="299"/>
      <c r="AG774" s="307">
        <v>8010301</v>
      </c>
    </row>
    <row r="775" spans="1:33" x14ac:dyDescent="0.15">
      <c r="A775" s="310">
        <v>98010302</v>
      </c>
      <c r="B775" t="s">
        <v>6975</v>
      </c>
      <c r="C775" s="268" t="s">
        <v>6316</v>
      </c>
      <c r="D775" s="311">
        <v>8202</v>
      </c>
      <c r="E775" s="312" t="s">
        <v>4876</v>
      </c>
      <c r="F775" s="312" t="s">
        <v>5672</v>
      </c>
      <c r="G775" s="313">
        <v>6</v>
      </c>
      <c r="H775" s="313">
        <v>0</v>
      </c>
      <c r="I775" s="310">
        <v>34</v>
      </c>
      <c r="J775" s="318" t="s">
        <v>5787</v>
      </c>
      <c r="K775" s="319"/>
      <c r="L775" s="319"/>
      <c r="M775" s="312">
        <v>99</v>
      </c>
      <c r="N775" s="312" t="b">
        <v>1</v>
      </c>
      <c r="O775" s="312">
        <v>7</v>
      </c>
      <c r="P775" s="281">
        <v>105</v>
      </c>
      <c r="Q775" s="281">
        <v>140</v>
      </c>
      <c r="R775" s="312" t="s">
        <v>3383</v>
      </c>
      <c r="S775" s="312"/>
      <c r="T775" s="312">
        <v>1</v>
      </c>
      <c r="U775" s="312" t="s">
        <v>4880</v>
      </c>
      <c r="V775" s="312">
        <v>0</v>
      </c>
      <c r="W775" s="312"/>
      <c r="X775" s="312" t="s">
        <v>4881</v>
      </c>
      <c r="Y775" t="s">
        <v>6976</v>
      </c>
      <c r="Z775" t="s">
        <v>6977</v>
      </c>
      <c r="AA775" s="312" t="s">
        <v>3993</v>
      </c>
      <c r="AB775" s="312"/>
      <c r="AC775" s="321">
        <v>1</v>
      </c>
      <c r="AD775" s="321">
        <v>1</v>
      </c>
      <c r="AE775" s="312"/>
      <c r="AF775" s="312"/>
      <c r="AG775" s="322">
        <v>8010302</v>
      </c>
    </row>
    <row r="776" spans="1:33" x14ac:dyDescent="0.15">
      <c r="A776" s="298">
        <v>98010303</v>
      </c>
      <c r="B776" t="s">
        <v>6978</v>
      </c>
      <c r="C776" s="268" t="s">
        <v>6316</v>
      </c>
      <c r="D776" s="308">
        <v>8202</v>
      </c>
      <c r="E776" s="299" t="s">
        <v>4876</v>
      </c>
      <c r="F776" s="299" t="s">
        <v>5672</v>
      </c>
      <c r="G776" s="300">
        <v>6</v>
      </c>
      <c r="H776" s="300">
        <v>0</v>
      </c>
      <c r="I776" s="298">
        <v>34</v>
      </c>
      <c r="J776" s="303" t="s">
        <v>5791</v>
      </c>
      <c r="K776" s="315"/>
      <c r="L776" s="315"/>
      <c r="M776" s="299">
        <v>99</v>
      </c>
      <c r="N776" s="299" t="b">
        <v>1</v>
      </c>
      <c r="O776" s="299">
        <v>7</v>
      </c>
      <c r="P776" s="281">
        <v>105</v>
      </c>
      <c r="Q776" s="281">
        <v>140</v>
      </c>
      <c r="R776" s="299" t="s">
        <v>3383</v>
      </c>
      <c r="S776" s="299"/>
      <c r="T776" s="299">
        <v>1</v>
      </c>
      <c r="U776" s="299" t="s">
        <v>4880</v>
      </c>
      <c r="V776" s="299">
        <v>0</v>
      </c>
      <c r="W776" s="299"/>
      <c r="X776" s="299" t="s">
        <v>4881</v>
      </c>
      <c r="Y776" t="s">
        <v>6979</v>
      </c>
      <c r="Z776" t="s">
        <v>6980</v>
      </c>
      <c r="AA776" s="299" t="s">
        <v>3993</v>
      </c>
      <c r="AB776" s="299"/>
      <c r="AC776" s="306">
        <v>1</v>
      </c>
      <c r="AD776" s="306">
        <v>1</v>
      </c>
      <c r="AE776" s="299"/>
      <c r="AF776" s="299"/>
      <c r="AG776" s="307">
        <v>8010303</v>
      </c>
    </row>
    <row r="777" spans="1:33" x14ac:dyDescent="0.15">
      <c r="A777" s="298">
        <v>98010304</v>
      </c>
      <c r="B777" t="s">
        <v>6981</v>
      </c>
      <c r="C777" s="268" t="s">
        <v>6316</v>
      </c>
      <c r="D777" s="308">
        <v>8202</v>
      </c>
      <c r="E777" s="299" t="s">
        <v>4876</v>
      </c>
      <c r="F777" s="299" t="s">
        <v>5672</v>
      </c>
      <c r="G777" s="300">
        <v>6</v>
      </c>
      <c r="H777" s="300">
        <v>0</v>
      </c>
      <c r="I777" s="298">
        <v>34</v>
      </c>
      <c r="J777" s="303" t="s">
        <v>5795</v>
      </c>
      <c r="K777" s="315"/>
      <c r="L777" s="315"/>
      <c r="M777" s="299">
        <v>99</v>
      </c>
      <c r="N777" s="299" t="b">
        <v>1</v>
      </c>
      <c r="O777" s="299">
        <v>7</v>
      </c>
      <c r="P777" s="281">
        <v>105</v>
      </c>
      <c r="Q777" s="281">
        <v>140</v>
      </c>
      <c r="R777" s="299" t="s">
        <v>3383</v>
      </c>
      <c r="S777" s="299"/>
      <c r="T777" s="299">
        <v>1</v>
      </c>
      <c r="U777" s="299" t="s">
        <v>4880</v>
      </c>
      <c r="V777" s="299">
        <v>0</v>
      </c>
      <c r="W777" s="299"/>
      <c r="X777" s="299" t="s">
        <v>4881</v>
      </c>
      <c r="Y777" t="s">
        <v>6982</v>
      </c>
      <c r="Z777" t="s">
        <v>6983</v>
      </c>
      <c r="AA777" s="299" t="s">
        <v>3993</v>
      </c>
      <c r="AB777" s="299"/>
      <c r="AC777" s="306">
        <v>1</v>
      </c>
      <c r="AD777" s="306">
        <v>1</v>
      </c>
      <c r="AE777" s="299"/>
      <c r="AF777" s="299"/>
      <c r="AG777" s="307">
        <v>8010304</v>
      </c>
    </row>
    <row r="778" spans="1:33" x14ac:dyDescent="0.15">
      <c r="A778" s="298">
        <v>98010306</v>
      </c>
      <c r="B778" t="s">
        <v>6984</v>
      </c>
      <c r="C778" s="268" t="s">
        <v>6316</v>
      </c>
      <c r="D778" s="299">
        <v>8201</v>
      </c>
      <c r="E778" s="299" t="s">
        <v>4876</v>
      </c>
      <c r="F778" s="299" t="s">
        <v>5672</v>
      </c>
      <c r="G778" s="300">
        <v>6</v>
      </c>
      <c r="H778" s="300">
        <v>0</v>
      </c>
      <c r="I778" s="298">
        <v>34</v>
      </c>
      <c r="J778" s="303" t="s">
        <v>5799</v>
      </c>
      <c r="K778" s="304"/>
      <c r="L778" s="304"/>
      <c r="M778" s="299">
        <v>99</v>
      </c>
      <c r="N778" s="299" t="b">
        <v>1</v>
      </c>
      <c r="O778" s="299">
        <v>7</v>
      </c>
      <c r="P778" s="281">
        <v>105</v>
      </c>
      <c r="Q778" s="281">
        <v>140</v>
      </c>
      <c r="R778" s="299" t="s">
        <v>3383</v>
      </c>
      <c r="S778" s="299"/>
      <c r="T778" s="299">
        <v>1</v>
      </c>
      <c r="U778" s="299" t="s">
        <v>4880</v>
      </c>
      <c r="V778" s="299">
        <v>0</v>
      </c>
      <c r="W778" s="299"/>
      <c r="X778" s="299" t="s">
        <v>4881</v>
      </c>
      <c r="Y778" t="s">
        <v>6985</v>
      </c>
      <c r="Z778" t="s">
        <v>6986</v>
      </c>
      <c r="AA778" s="299" t="s">
        <v>3993</v>
      </c>
      <c r="AB778" s="299"/>
      <c r="AC778" s="306">
        <v>1</v>
      </c>
      <c r="AD778" s="306">
        <v>1</v>
      </c>
      <c r="AE778" s="299"/>
      <c r="AF778" s="299"/>
      <c r="AG778" s="307">
        <v>8010306</v>
      </c>
    </row>
    <row r="779" spans="1:33" x14ac:dyDescent="0.15">
      <c r="A779" s="298">
        <v>98010201</v>
      </c>
      <c r="B779" t="s">
        <v>6987</v>
      </c>
      <c r="C779" s="268" t="s">
        <v>6316</v>
      </c>
      <c r="D779" s="308">
        <v>8202</v>
      </c>
      <c r="E779" s="299" t="s">
        <v>4876</v>
      </c>
      <c r="F779" s="299" t="s">
        <v>5672</v>
      </c>
      <c r="G779" s="300">
        <v>6</v>
      </c>
      <c r="H779" s="300">
        <v>0</v>
      </c>
      <c r="I779" s="298">
        <v>34</v>
      </c>
      <c r="J779" s="303" t="s">
        <v>5803</v>
      </c>
      <c r="K779" s="315"/>
      <c r="L779" s="315"/>
      <c r="M779" s="299">
        <v>99</v>
      </c>
      <c r="N779" s="299" t="b">
        <v>1</v>
      </c>
      <c r="O779" s="299">
        <v>7</v>
      </c>
      <c r="P779" s="281">
        <v>105</v>
      </c>
      <c r="Q779" s="281">
        <v>140</v>
      </c>
      <c r="R779" s="299" t="s">
        <v>3383</v>
      </c>
      <c r="S779" s="299"/>
      <c r="T779" s="299">
        <v>1</v>
      </c>
      <c r="U779" s="299" t="s">
        <v>4880</v>
      </c>
      <c r="V779" s="299">
        <v>0</v>
      </c>
      <c r="W779" s="299"/>
      <c r="X779" s="299" t="s">
        <v>4881</v>
      </c>
      <c r="Y779" t="s">
        <v>6988</v>
      </c>
      <c r="Z779" t="s">
        <v>6989</v>
      </c>
      <c r="AA779" s="299" t="s">
        <v>3993</v>
      </c>
      <c r="AB779" s="299"/>
      <c r="AC779" s="306">
        <v>1</v>
      </c>
      <c r="AD779" s="306">
        <v>1</v>
      </c>
      <c r="AE779" s="299"/>
      <c r="AF779" s="299"/>
      <c r="AG779" s="307">
        <v>8010201</v>
      </c>
    </row>
    <row r="780" spans="1:33" x14ac:dyDescent="0.15">
      <c r="A780" s="298">
        <v>98010202</v>
      </c>
      <c r="B780" t="s">
        <v>6990</v>
      </c>
      <c r="C780" s="268" t="s">
        <v>6316</v>
      </c>
      <c r="D780" s="308">
        <v>8202</v>
      </c>
      <c r="E780" s="299" t="s">
        <v>4876</v>
      </c>
      <c r="F780" s="299" t="s">
        <v>5672</v>
      </c>
      <c r="G780" s="300">
        <v>6</v>
      </c>
      <c r="H780" s="300">
        <v>0</v>
      </c>
      <c r="I780" s="298">
        <v>34</v>
      </c>
      <c r="J780" s="303" t="s">
        <v>5807</v>
      </c>
      <c r="K780" s="315"/>
      <c r="L780" s="315"/>
      <c r="M780" s="299">
        <v>99</v>
      </c>
      <c r="N780" s="299" t="b">
        <v>1</v>
      </c>
      <c r="O780" s="299">
        <v>7</v>
      </c>
      <c r="P780" s="281">
        <v>105</v>
      </c>
      <c r="Q780" s="281">
        <v>140</v>
      </c>
      <c r="R780" s="299" t="s">
        <v>3383</v>
      </c>
      <c r="S780" s="299"/>
      <c r="T780" s="299">
        <v>1</v>
      </c>
      <c r="U780" s="299" t="s">
        <v>4880</v>
      </c>
      <c r="V780" s="299">
        <v>0</v>
      </c>
      <c r="W780" s="299"/>
      <c r="X780" s="299" t="s">
        <v>4881</v>
      </c>
      <c r="Y780" t="s">
        <v>6991</v>
      </c>
      <c r="Z780" t="s">
        <v>6992</v>
      </c>
      <c r="AA780" s="299" t="s">
        <v>3993</v>
      </c>
      <c r="AB780" s="299"/>
      <c r="AC780" s="306">
        <v>1</v>
      </c>
      <c r="AD780" s="306">
        <v>1</v>
      </c>
      <c r="AE780" s="299"/>
      <c r="AF780" s="299"/>
      <c r="AG780" s="307">
        <v>8010202</v>
      </c>
    </row>
    <row r="781" spans="1:33" x14ac:dyDescent="0.15">
      <c r="A781" s="298">
        <v>98010203</v>
      </c>
      <c r="B781" t="s">
        <v>6993</v>
      </c>
      <c r="C781" s="268" t="s">
        <v>6316</v>
      </c>
      <c r="D781" s="308">
        <v>8202</v>
      </c>
      <c r="E781" s="299" t="s">
        <v>4876</v>
      </c>
      <c r="F781" s="299" t="s">
        <v>5672</v>
      </c>
      <c r="G781" s="300">
        <v>6</v>
      </c>
      <c r="H781" s="300">
        <v>0</v>
      </c>
      <c r="I781" s="298">
        <v>34</v>
      </c>
      <c r="J781" s="303" t="s">
        <v>5811</v>
      </c>
      <c r="K781" s="315"/>
      <c r="L781" s="315"/>
      <c r="M781" s="299">
        <v>99</v>
      </c>
      <c r="N781" s="299" t="b">
        <v>1</v>
      </c>
      <c r="O781" s="299">
        <v>7</v>
      </c>
      <c r="P781" s="281">
        <v>105</v>
      </c>
      <c r="Q781" s="281">
        <v>140</v>
      </c>
      <c r="R781" s="299" t="s">
        <v>3383</v>
      </c>
      <c r="S781" s="299"/>
      <c r="T781" s="299">
        <v>1</v>
      </c>
      <c r="U781" s="299" t="s">
        <v>4880</v>
      </c>
      <c r="V781" s="299">
        <v>0</v>
      </c>
      <c r="W781" s="299"/>
      <c r="X781" s="299" t="s">
        <v>4881</v>
      </c>
      <c r="Y781" t="s">
        <v>6994</v>
      </c>
      <c r="Z781" t="s">
        <v>6995</v>
      </c>
      <c r="AA781" s="299" t="s">
        <v>3993</v>
      </c>
      <c r="AB781" s="299"/>
      <c r="AC781" s="306">
        <v>1</v>
      </c>
      <c r="AD781" s="306">
        <v>1</v>
      </c>
      <c r="AE781" s="299"/>
      <c r="AF781" s="299"/>
      <c r="AG781" s="307">
        <v>8010203</v>
      </c>
    </row>
    <row r="782" spans="1:33" x14ac:dyDescent="0.15">
      <c r="A782" s="298">
        <v>98010204</v>
      </c>
      <c r="B782" t="s">
        <v>6996</v>
      </c>
      <c r="C782" s="268" t="s">
        <v>6316</v>
      </c>
      <c r="D782" s="308">
        <v>8202</v>
      </c>
      <c r="E782" s="299" t="s">
        <v>4876</v>
      </c>
      <c r="F782" s="299" t="s">
        <v>5672</v>
      </c>
      <c r="G782" s="300">
        <v>6</v>
      </c>
      <c r="H782" s="300">
        <v>0</v>
      </c>
      <c r="I782" s="298">
        <v>34</v>
      </c>
      <c r="J782" s="303" t="s">
        <v>5815</v>
      </c>
      <c r="K782" s="315"/>
      <c r="L782" s="315"/>
      <c r="M782" s="299">
        <v>99</v>
      </c>
      <c r="N782" s="299" t="b">
        <v>1</v>
      </c>
      <c r="O782" s="299">
        <v>7</v>
      </c>
      <c r="P782" s="281">
        <v>105</v>
      </c>
      <c r="Q782" s="281">
        <v>140</v>
      </c>
      <c r="R782" s="299" t="s">
        <v>3383</v>
      </c>
      <c r="S782" s="299"/>
      <c r="T782" s="299">
        <v>1</v>
      </c>
      <c r="U782" s="299" t="s">
        <v>4880</v>
      </c>
      <c r="V782" s="299">
        <v>0</v>
      </c>
      <c r="W782" s="299"/>
      <c r="X782" s="299" t="s">
        <v>4881</v>
      </c>
      <c r="Y782" t="s">
        <v>6997</v>
      </c>
      <c r="Z782" t="s">
        <v>6998</v>
      </c>
      <c r="AA782" s="299" t="s">
        <v>3993</v>
      </c>
      <c r="AB782" s="299"/>
      <c r="AC782" s="306">
        <v>1</v>
      </c>
      <c r="AD782" s="306">
        <v>1</v>
      </c>
      <c r="AE782" s="299"/>
      <c r="AF782" s="299"/>
      <c r="AG782" s="307">
        <v>8010204</v>
      </c>
    </row>
    <row r="783" spans="1:33" x14ac:dyDescent="0.15">
      <c r="A783" s="298">
        <v>98010205</v>
      </c>
      <c r="B783" t="s">
        <v>6999</v>
      </c>
      <c r="C783" s="268" t="s">
        <v>6316</v>
      </c>
      <c r="D783" s="299">
        <v>8201</v>
      </c>
      <c r="E783" s="299" t="s">
        <v>4876</v>
      </c>
      <c r="F783" s="299" t="s">
        <v>5672</v>
      </c>
      <c r="G783" s="300">
        <v>6</v>
      </c>
      <c r="H783" s="300">
        <v>0</v>
      </c>
      <c r="I783" s="298">
        <v>34</v>
      </c>
      <c r="J783" s="303" t="s">
        <v>5819</v>
      </c>
      <c r="K783" s="304"/>
      <c r="L783" s="304"/>
      <c r="M783" s="299">
        <v>99</v>
      </c>
      <c r="N783" s="299" t="b">
        <v>1</v>
      </c>
      <c r="O783" s="299">
        <v>7</v>
      </c>
      <c r="P783" s="281">
        <v>105</v>
      </c>
      <c r="Q783" s="281">
        <v>140</v>
      </c>
      <c r="R783" s="299" t="s">
        <v>3383</v>
      </c>
      <c r="S783" s="299"/>
      <c r="T783" s="299">
        <v>1</v>
      </c>
      <c r="U783" s="299" t="s">
        <v>4880</v>
      </c>
      <c r="V783" s="299">
        <v>0</v>
      </c>
      <c r="W783" s="299"/>
      <c r="X783" s="299" t="s">
        <v>4881</v>
      </c>
      <c r="Y783" t="s">
        <v>7000</v>
      </c>
      <c r="Z783" t="s">
        <v>7001</v>
      </c>
      <c r="AA783" s="299" t="s">
        <v>3993</v>
      </c>
      <c r="AB783" s="299"/>
      <c r="AC783" s="306">
        <v>1</v>
      </c>
      <c r="AD783" s="306">
        <v>1</v>
      </c>
      <c r="AE783" s="299"/>
      <c r="AF783" s="299"/>
      <c r="AG783" s="307">
        <v>8010205</v>
      </c>
    </row>
    <row r="784" spans="1:33" x14ac:dyDescent="0.15">
      <c r="A784" s="314">
        <v>98010401</v>
      </c>
      <c r="B784" t="s">
        <v>7002</v>
      </c>
      <c r="C784" s="268" t="s">
        <v>6316</v>
      </c>
      <c r="D784" s="147">
        <v>8202</v>
      </c>
      <c r="E784" s="147" t="s">
        <v>4876</v>
      </c>
      <c r="F784" s="147" t="s">
        <v>5672</v>
      </c>
      <c r="G784" s="147">
        <v>6</v>
      </c>
      <c r="H784" s="147">
        <v>0</v>
      </c>
      <c r="I784" s="147">
        <v>34</v>
      </c>
      <c r="J784" s="147" t="str">
        <f>"2;"&amp;AG784</f>
        <v>2;8010401</v>
      </c>
      <c r="M784" s="147">
        <v>99</v>
      </c>
      <c r="N784" s="147" t="b">
        <v>1</v>
      </c>
      <c r="O784" s="147">
        <v>7</v>
      </c>
      <c r="P784" s="281">
        <v>105</v>
      </c>
      <c r="Q784" s="281">
        <v>140</v>
      </c>
      <c r="R784" s="147" t="s">
        <v>3383</v>
      </c>
      <c r="T784" s="147">
        <v>1</v>
      </c>
      <c r="U784" s="147" t="s">
        <v>4880</v>
      </c>
      <c r="V784" s="147">
        <v>0</v>
      </c>
      <c r="X784" s="147" t="s">
        <v>4881</v>
      </c>
      <c r="Y784" t="s">
        <v>7003</v>
      </c>
      <c r="Z784" t="s">
        <v>7004</v>
      </c>
      <c r="AA784" s="147" t="s">
        <v>3993</v>
      </c>
      <c r="AC784" s="147">
        <v>1</v>
      </c>
      <c r="AD784" s="147">
        <v>1</v>
      </c>
      <c r="AG784" s="147">
        <v>8010401</v>
      </c>
    </row>
    <row r="785" spans="1:33" x14ac:dyDescent="0.15">
      <c r="A785" s="314">
        <v>98010402</v>
      </c>
      <c r="B785" t="s">
        <v>7005</v>
      </c>
      <c r="C785" s="268" t="s">
        <v>6316</v>
      </c>
      <c r="D785" s="147">
        <v>8202</v>
      </c>
      <c r="E785" s="147" t="s">
        <v>4876</v>
      </c>
      <c r="F785" s="147" t="s">
        <v>5672</v>
      </c>
      <c r="G785" s="147">
        <v>6</v>
      </c>
      <c r="H785" s="147">
        <v>0</v>
      </c>
      <c r="I785" s="147">
        <v>34</v>
      </c>
      <c r="J785" s="147" t="str">
        <f>"2;"&amp;AG785</f>
        <v>2;8010402</v>
      </c>
      <c r="M785" s="147">
        <v>99</v>
      </c>
      <c r="N785" s="147" t="b">
        <v>1</v>
      </c>
      <c r="O785" s="147">
        <v>7</v>
      </c>
      <c r="P785" s="281">
        <v>105</v>
      </c>
      <c r="Q785" s="281">
        <v>140</v>
      </c>
      <c r="R785" s="147" t="s">
        <v>3383</v>
      </c>
      <c r="T785" s="147">
        <v>1</v>
      </c>
      <c r="U785" s="147" t="s">
        <v>4880</v>
      </c>
      <c r="V785" s="147">
        <v>0</v>
      </c>
      <c r="X785" s="147" t="s">
        <v>4881</v>
      </c>
      <c r="Y785" t="s">
        <v>7006</v>
      </c>
      <c r="Z785" t="s">
        <v>7007</v>
      </c>
      <c r="AA785" s="147" t="s">
        <v>3993</v>
      </c>
      <c r="AC785" s="147">
        <v>1</v>
      </c>
      <c r="AD785" s="147">
        <v>1</v>
      </c>
      <c r="AG785" s="147">
        <v>8010402</v>
      </c>
    </row>
    <row r="786" spans="1:33" x14ac:dyDescent="0.15">
      <c r="A786" s="298">
        <v>98020501</v>
      </c>
      <c r="B786" t="s">
        <v>7008</v>
      </c>
      <c r="C786" s="268" t="s">
        <v>6316</v>
      </c>
      <c r="D786" s="308">
        <v>8201</v>
      </c>
      <c r="E786" s="299" t="s">
        <v>4876</v>
      </c>
      <c r="F786" s="299" t="s">
        <v>5672</v>
      </c>
      <c r="G786" s="300">
        <v>6</v>
      </c>
      <c r="H786" s="300">
        <v>0</v>
      </c>
      <c r="I786" s="298">
        <v>34</v>
      </c>
      <c r="J786" s="303" t="s">
        <v>5827</v>
      </c>
      <c r="K786" s="315"/>
      <c r="L786" s="315"/>
      <c r="M786" s="299">
        <v>99</v>
      </c>
      <c r="N786" s="299" t="b">
        <v>1</v>
      </c>
      <c r="O786" s="299">
        <v>7</v>
      </c>
      <c r="P786" s="281">
        <v>105</v>
      </c>
      <c r="Q786" s="281">
        <v>140</v>
      </c>
      <c r="R786" s="299" t="s">
        <v>3383</v>
      </c>
      <c r="S786" s="299"/>
      <c r="T786" s="299">
        <v>1</v>
      </c>
      <c r="U786" s="299" t="s">
        <v>4880</v>
      </c>
      <c r="V786" s="299">
        <v>0</v>
      </c>
      <c r="W786" s="299"/>
      <c r="X786" s="299" t="s">
        <v>4881</v>
      </c>
      <c r="Y786" t="s">
        <v>7009</v>
      </c>
      <c r="Z786" t="s">
        <v>7010</v>
      </c>
      <c r="AA786" s="299" t="s">
        <v>3993</v>
      </c>
      <c r="AB786" s="299"/>
      <c r="AC786" s="306">
        <v>1</v>
      </c>
      <c r="AD786" s="306">
        <v>1</v>
      </c>
      <c r="AE786" s="299"/>
      <c r="AF786" s="299"/>
      <c r="AG786" s="307">
        <v>8020501</v>
      </c>
    </row>
    <row r="787" spans="1:33" x14ac:dyDescent="0.15">
      <c r="A787" s="298">
        <v>98020502</v>
      </c>
      <c r="B787" t="s">
        <v>7011</v>
      </c>
      <c r="C787" s="268" t="s">
        <v>6316</v>
      </c>
      <c r="D787" s="308">
        <v>8201</v>
      </c>
      <c r="E787" s="299" t="s">
        <v>4876</v>
      </c>
      <c r="F787" s="299" t="s">
        <v>5672</v>
      </c>
      <c r="G787" s="300">
        <v>6</v>
      </c>
      <c r="H787" s="300">
        <v>0</v>
      </c>
      <c r="I787" s="298">
        <v>34</v>
      </c>
      <c r="J787" s="303" t="s">
        <v>5831</v>
      </c>
      <c r="K787" s="315"/>
      <c r="L787" s="315"/>
      <c r="M787" s="299">
        <v>99</v>
      </c>
      <c r="N787" s="299" t="b">
        <v>1</v>
      </c>
      <c r="O787" s="299">
        <v>7</v>
      </c>
      <c r="P787" s="281">
        <v>105</v>
      </c>
      <c r="Q787" s="281">
        <v>140</v>
      </c>
      <c r="R787" s="299" t="s">
        <v>3383</v>
      </c>
      <c r="S787" s="299"/>
      <c r="T787" s="299">
        <v>1</v>
      </c>
      <c r="U787" s="299" t="s">
        <v>4880</v>
      </c>
      <c r="V787" s="299">
        <v>0</v>
      </c>
      <c r="W787" s="299"/>
      <c r="X787" s="299" t="s">
        <v>4881</v>
      </c>
      <c r="Y787" t="s">
        <v>7012</v>
      </c>
      <c r="Z787" t="s">
        <v>7013</v>
      </c>
      <c r="AA787" s="299" t="s">
        <v>3993</v>
      </c>
      <c r="AB787" s="299"/>
      <c r="AC787" s="306">
        <v>1</v>
      </c>
      <c r="AD787" s="306">
        <v>1</v>
      </c>
      <c r="AE787" s="299"/>
      <c r="AF787" s="299"/>
      <c r="AG787" s="307">
        <v>8020502</v>
      </c>
    </row>
    <row r="788" spans="1:33" x14ac:dyDescent="0.15">
      <c r="A788" s="298">
        <v>98020503</v>
      </c>
      <c r="B788" t="s">
        <v>7014</v>
      </c>
      <c r="C788" s="268" t="s">
        <v>6316</v>
      </c>
      <c r="D788" s="299">
        <v>8201</v>
      </c>
      <c r="E788" s="299" t="s">
        <v>4876</v>
      </c>
      <c r="F788" s="299" t="s">
        <v>5672</v>
      </c>
      <c r="G788" s="300">
        <v>6</v>
      </c>
      <c r="H788" s="300">
        <v>0</v>
      </c>
      <c r="I788" s="298">
        <v>34</v>
      </c>
      <c r="J788" s="303" t="s">
        <v>5835</v>
      </c>
      <c r="K788" s="304"/>
      <c r="L788" s="304"/>
      <c r="M788" s="299">
        <v>99</v>
      </c>
      <c r="N788" s="299" t="b">
        <v>1</v>
      </c>
      <c r="O788" s="299">
        <v>7</v>
      </c>
      <c r="P788" s="281">
        <v>105</v>
      </c>
      <c r="Q788" s="281">
        <v>140</v>
      </c>
      <c r="R788" s="299" t="s">
        <v>3383</v>
      </c>
      <c r="S788" s="299"/>
      <c r="T788" s="299">
        <v>1</v>
      </c>
      <c r="U788" s="299" t="s">
        <v>4880</v>
      </c>
      <c r="V788" s="299">
        <v>0</v>
      </c>
      <c r="W788" s="299"/>
      <c r="X788" s="299" t="s">
        <v>4881</v>
      </c>
      <c r="Y788" t="s">
        <v>7015</v>
      </c>
      <c r="Z788" t="s">
        <v>7016</v>
      </c>
      <c r="AA788" s="299" t="s">
        <v>3993</v>
      </c>
      <c r="AB788" s="299"/>
      <c r="AC788" s="306">
        <v>1</v>
      </c>
      <c r="AD788" s="306">
        <v>1</v>
      </c>
      <c r="AE788" s="299"/>
      <c r="AF788" s="299"/>
      <c r="AG788" s="307">
        <v>8020503</v>
      </c>
    </row>
    <row r="789" spans="1:33" x14ac:dyDescent="0.15">
      <c r="A789" s="323">
        <v>98020504</v>
      </c>
      <c r="B789" t="s">
        <v>7017</v>
      </c>
      <c r="C789" s="268" t="s">
        <v>6316</v>
      </c>
      <c r="D789" s="324">
        <v>8202</v>
      </c>
      <c r="E789" s="325" t="s">
        <v>4876</v>
      </c>
      <c r="F789" s="325" t="s">
        <v>5672</v>
      </c>
      <c r="G789" s="325">
        <v>6</v>
      </c>
      <c r="H789" s="325">
        <v>0</v>
      </c>
      <c r="I789" s="325">
        <v>34</v>
      </c>
      <c r="J789" s="327" t="s">
        <v>5839</v>
      </c>
      <c r="K789" s="328"/>
      <c r="L789" s="328"/>
      <c r="M789" s="325">
        <v>99</v>
      </c>
      <c r="N789" s="325" t="b">
        <v>1</v>
      </c>
      <c r="O789" s="265">
        <v>7</v>
      </c>
      <c r="P789" s="281">
        <v>105</v>
      </c>
      <c r="Q789" s="281">
        <v>140</v>
      </c>
      <c r="R789" s="325" t="s">
        <v>3383</v>
      </c>
      <c r="S789" s="325"/>
      <c r="T789" s="268">
        <v>1</v>
      </c>
      <c r="U789" s="325" t="s">
        <v>4880</v>
      </c>
      <c r="V789" s="325">
        <v>0</v>
      </c>
      <c r="W789" s="325"/>
      <c r="X789" s="325" t="s">
        <v>4881</v>
      </c>
      <c r="Y789" t="s">
        <v>7018</v>
      </c>
      <c r="Z789" t="s">
        <v>7019</v>
      </c>
      <c r="AA789" s="325" t="s">
        <v>3993</v>
      </c>
      <c r="AB789" s="325"/>
      <c r="AC789" s="287">
        <v>1</v>
      </c>
      <c r="AD789" s="287">
        <v>1</v>
      </c>
      <c r="AE789" s="325"/>
      <c r="AF789" s="325"/>
      <c r="AG789" s="262">
        <v>8020504</v>
      </c>
    </row>
    <row r="790" spans="1:33" x14ac:dyDescent="0.15">
      <c r="A790" s="326">
        <v>98020505</v>
      </c>
      <c r="B790" t="s">
        <v>7020</v>
      </c>
      <c r="C790" s="268" t="s">
        <v>6316</v>
      </c>
      <c r="D790" s="324">
        <v>8202</v>
      </c>
      <c r="E790" s="325" t="s">
        <v>4876</v>
      </c>
      <c r="F790" s="325" t="s">
        <v>5672</v>
      </c>
      <c r="G790" s="325">
        <v>6</v>
      </c>
      <c r="H790" s="325">
        <v>0</v>
      </c>
      <c r="I790" s="325">
        <v>34</v>
      </c>
      <c r="J790" s="327" t="s">
        <v>5843</v>
      </c>
      <c r="K790" s="328"/>
      <c r="L790" s="328"/>
      <c r="M790" s="325">
        <v>99</v>
      </c>
      <c r="N790" s="325" t="b">
        <v>1</v>
      </c>
      <c r="O790" s="265">
        <v>7</v>
      </c>
      <c r="P790" s="281">
        <v>105</v>
      </c>
      <c r="Q790" s="281">
        <v>140</v>
      </c>
      <c r="R790" s="325" t="s">
        <v>3383</v>
      </c>
      <c r="S790" s="325"/>
      <c r="T790" s="268">
        <v>1</v>
      </c>
      <c r="U790" s="325" t="s">
        <v>4880</v>
      </c>
      <c r="V790" s="325">
        <v>0</v>
      </c>
      <c r="W790" s="325"/>
      <c r="X790" s="325" t="s">
        <v>4881</v>
      </c>
      <c r="Y790" t="s">
        <v>7021</v>
      </c>
      <c r="Z790" t="s">
        <v>7022</v>
      </c>
      <c r="AA790" s="325" t="s">
        <v>3993</v>
      </c>
      <c r="AB790" s="325"/>
      <c r="AC790" s="287">
        <v>1</v>
      </c>
      <c r="AD790" s="287">
        <v>1</v>
      </c>
      <c r="AE790" s="325"/>
      <c r="AF790" s="325"/>
      <c r="AG790" s="262">
        <v>8020505</v>
      </c>
    </row>
    <row r="791" spans="1:33" x14ac:dyDescent="0.15">
      <c r="A791" s="323">
        <v>98020506</v>
      </c>
      <c r="B791" t="s">
        <v>7023</v>
      </c>
      <c r="C791" s="268" t="s">
        <v>6316</v>
      </c>
      <c r="D791" s="324">
        <v>8202</v>
      </c>
      <c r="E791" s="325" t="s">
        <v>4876</v>
      </c>
      <c r="F791" s="325" t="s">
        <v>5672</v>
      </c>
      <c r="G791" s="325">
        <v>6</v>
      </c>
      <c r="H791" s="325">
        <v>0</v>
      </c>
      <c r="I791" s="325">
        <v>34</v>
      </c>
      <c r="J791" s="327" t="s">
        <v>5847</v>
      </c>
      <c r="K791" s="328"/>
      <c r="L791" s="328"/>
      <c r="M791" s="325">
        <v>99</v>
      </c>
      <c r="N791" s="325" t="b">
        <v>1</v>
      </c>
      <c r="O791" s="265">
        <v>7</v>
      </c>
      <c r="P791" s="281">
        <v>105</v>
      </c>
      <c r="Q791" s="281">
        <v>140</v>
      </c>
      <c r="R791" s="325" t="s">
        <v>3383</v>
      </c>
      <c r="S791" s="325"/>
      <c r="T791" s="268">
        <v>1</v>
      </c>
      <c r="U791" s="325" t="s">
        <v>4880</v>
      </c>
      <c r="V791" s="325">
        <v>0</v>
      </c>
      <c r="W791" s="325"/>
      <c r="X791" s="325" t="s">
        <v>4881</v>
      </c>
      <c r="Y791" t="s">
        <v>7024</v>
      </c>
      <c r="Z791" t="s">
        <v>7025</v>
      </c>
      <c r="AA791" s="325" t="s">
        <v>3993</v>
      </c>
      <c r="AB791" s="325"/>
      <c r="AC791" s="287">
        <v>1</v>
      </c>
      <c r="AD791" s="287">
        <v>1</v>
      </c>
      <c r="AE791" s="325"/>
      <c r="AF791" s="325"/>
      <c r="AG791" s="262">
        <v>8020506</v>
      </c>
    </row>
    <row r="792" spans="1:33" x14ac:dyDescent="0.15">
      <c r="A792" s="326">
        <v>98010101</v>
      </c>
      <c r="B792" t="s">
        <v>7026</v>
      </c>
      <c r="C792" s="268" t="s">
        <v>6316</v>
      </c>
      <c r="D792" s="324">
        <v>8202</v>
      </c>
      <c r="E792" s="325" t="s">
        <v>4876</v>
      </c>
      <c r="F792" s="325" t="s">
        <v>5672</v>
      </c>
      <c r="G792" s="325">
        <v>6</v>
      </c>
      <c r="H792" s="325">
        <v>0</v>
      </c>
      <c r="I792" s="325">
        <v>34</v>
      </c>
      <c r="J792" s="327" t="s">
        <v>5851</v>
      </c>
      <c r="K792" s="328"/>
      <c r="L792" s="328"/>
      <c r="M792" s="325">
        <v>99</v>
      </c>
      <c r="N792" s="325" t="b">
        <v>1</v>
      </c>
      <c r="O792" s="265">
        <v>7</v>
      </c>
      <c r="P792" s="281">
        <v>105</v>
      </c>
      <c r="Q792" s="281">
        <v>140</v>
      </c>
      <c r="R792" s="325" t="s">
        <v>3383</v>
      </c>
      <c r="S792" s="325"/>
      <c r="T792" s="268">
        <v>1</v>
      </c>
      <c r="U792" s="325" t="s">
        <v>4880</v>
      </c>
      <c r="V792" s="325">
        <v>0</v>
      </c>
      <c r="W792" s="325"/>
      <c r="X792" s="325" t="s">
        <v>4881</v>
      </c>
      <c r="Y792" t="s">
        <v>7027</v>
      </c>
      <c r="Z792" t="s">
        <v>7028</v>
      </c>
      <c r="AA792" s="325" t="s">
        <v>3993</v>
      </c>
      <c r="AB792" s="325"/>
      <c r="AC792" s="287">
        <v>1</v>
      </c>
      <c r="AD792" s="287">
        <v>1</v>
      </c>
      <c r="AE792" s="325"/>
      <c r="AF792" s="325"/>
      <c r="AG792" s="262">
        <v>8010101</v>
      </c>
    </row>
    <row r="793" spans="1:33" x14ac:dyDescent="0.15">
      <c r="A793" s="323">
        <v>98010102</v>
      </c>
      <c r="B793" t="s">
        <v>7029</v>
      </c>
      <c r="C793" s="268" t="s">
        <v>6316</v>
      </c>
      <c r="D793" s="324">
        <v>8201</v>
      </c>
      <c r="E793" s="325" t="s">
        <v>4876</v>
      </c>
      <c r="F793" s="325" t="s">
        <v>5672</v>
      </c>
      <c r="G793" s="325">
        <v>6</v>
      </c>
      <c r="H793" s="325">
        <v>0</v>
      </c>
      <c r="I793" s="325">
        <v>34</v>
      </c>
      <c r="J793" s="327" t="s">
        <v>5855</v>
      </c>
      <c r="K793" s="328"/>
      <c r="L793" s="328"/>
      <c r="M793" s="325">
        <v>99</v>
      </c>
      <c r="N793" s="325" t="b">
        <v>1</v>
      </c>
      <c r="O793" s="265">
        <v>7</v>
      </c>
      <c r="P793" s="281">
        <v>105</v>
      </c>
      <c r="Q793" s="281">
        <v>140</v>
      </c>
      <c r="R793" s="325" t="s">
        <v>3383</v>
      </c>
      <c r="S793" s="325"/>
      <c r="T793" s="268">
        <v>1</v>
      </c>
      <c r="U793" s="325" t="s">
        <v>4880</v>
      </c>
      <c r="V793" s="325">
        <v>0</v>
      </c>
      <c r="W793" s="325"/>
      <c r="X793" s="325" t="s">
        <v>4881</v>
      </c>
      <c r="Y793" t="s">
        <v>7030</v>
      </c>
      <c r="Z793" t="s">
        <v>7031</v>
      </c>
      <c r="AA793" s="325" t="s">
        <v>3993</v>
      </c>
      <c r="AB793" s="325"/>
      <c r="AC793" s="287">
        <v>1</v>
      </c>
      <c r="AD793" s="287">
        <v>1</v>
      </c>
      <c r="AE793" s="325"/>
      <c r="AF793" s="325"/>
      <c r="AG793" s="262">
        <v>8010102</v>
      </c>
    </row>
    <row r="794" spans="1:33" x14ac:dyDescent="0.15">
      <c r="A794" s="326">
        <v>98010103</v>
      </c>
      <c r="B794" t="s">
        <v>7032</v>
      </c>
      <c r="C794" s="268" t="s">
        <v>6316</v>
      </c>
      <c r="D794" s="324">
        <v>8201</v>
      </c>
      <c r="E794" s="325" t="s">
        <v>4876</v>
      </c>
      <c r="F794" s="325" t="s">
        <v>5672</v>
      </c>
      <c r="G794" s="325">
        <v>6</v>
      </c>
      <c r="H794" s="325">
        <v>0</v>
      </c>
      <c r="I794" s="325">
        <v>34</v>
      </c>
      <c r="J794" s="327" t="s">
        <v>5859</v>
      </c>
      <c r="K794" s="328"/>
      <c r="L794" s="328"/>
      <c r="M794" s="325">
        <v>99</v>
      </c>
      <c r="N794" s="325" t="b">
        <v>1</v>
      </c>
      <c r="O794" s="265">
        <v>7</v>
      </c>
      <c r="P794" s="281">
        <v>105</v>
      </c>
      <c r="Q794" s="281">
        <v>140</v>
      </c>
      <c r="R794" s="325" t="s">
        <v>3383</v>
      </c>
      <c r="S794" s="325"/>
      <c r="T794" s="268">
        <v>1</v>
      </c>
      <c r="U794" s="325" t="s">
        <v>4880</v>
      </c>
      <c r="V794" s="325">
        <v>0</v>
      </c>
      <c r="W794" s="325"/>
      <c r="X794" s="325" t="s">
        <v>4881</v>
      </c>
      <c r="Y794" t="s">
        <v>7033</v>
      </c>
      <c r="Z794" t="s">
        <v>7034</v>
      </c>
      <c r="AA794" s="325" t="s">
        <v>3993</v>
      </c>
      <c r="AB794" s="325"/>
      <c r="AC794" s="287">
        <v>1</v>
      </c>
      <c r="AD794" s="287">
        <v>1</v>
      </c>
      <c r="AE794" s="325"/>
      <c r="AF794" s="325"/>
      <c r="AG794" s="262">
        <v>8010103</v>
      </c>
    </row>
    <row r="795" spans="1:33" x14ac:dyDescent="0.15">
      <c r="A795" s="323">
        <v>98100101</v>
      </c>
      <c r="B795" t="s">
        <v>7035</v>
      </c>
      <c r="C795" s="268" t="s">
        <v>6316</v>
      </c>
      <c r="D795" s="324">
        <v>8201</v>
      </c>
      <c r="E795" s="325" t="s">
        <v>4876</v>
      </c>
      <c r="F795" s="325" t="s">
        <v>5672</v>
      </c>
      <c r="G795" s="325">
        <v>6</v>
      </c>
      <c r="H795" s="325">
        <v>0</v>
      </c>
      <c r="I795" s="325">
        <v>34</v>
      </c>
      <c r="J795" s="327" t="s">
        <v>5863</v>
      </c>
      <c r="K795" s="328"/>
      <c r="L795" s="328"/>
      <c r="M795" s="325">
        <v>99</v>
      </c>
      <c r="N795" s="325" t="b">
        <v>1</v>
      </c>
      <c r="O795" s="265">
        <v>7</v>
      </c>
      <c r="P795" s="281">
        <v>105</v>
      </c>
      <c r="Q795" s="281">
        <v>140</v>
      </c>
      <c r="R795" s="325" t="s">
        <v>3383</v>
      </c>
      <c r="S795" s="325"/>
      <c r="T795" s="268">
        <v>1</v>
      </c>
      <c r="U795" s="325" t="s">
        <v>4880</v>
      </c>
      <c r="V795" s="325">
        <v>0</v>
      </c>
      <c r="W795" s="325"/>
      <c r="X795" s="325" t="s">
        <v>4881</v>
      </c>
      <c r="Y795" t="s">
        <v>7036</v>
      </c>
      <c r="Z795" t="s">
        <v>7037</v>
      </c>
      <c r="AA795" s="325" t="s">
        <v>3993</v>
      </c>
      <c r="AB795" s="325"/>
      <c r="AC795" s="287">
        <v>1</v>
      </c>
      <c r="AD795" s="287">
        <v>1</v>
      </c>
      <c r="AE795" s="325"/>
      <c r="AF795" s="325"/>
      <c r="AG795" s="262">
        <v>8100101</v>
      </c>
    </row>
    <row r="796" spans="1:33" x14ac:dyDescent="0.15">
      <c r="A796" s="326">
        <v>98100102</v>
      </c>
      <c r="B796" t="s">
        <v>7038</v>
      </c>
      <c r="C796" s="268" t="s">
        <v>6316</v>
      </c>
      <c r="D796" s="324">
        <v>8201</v>
      </c>
      <c r="E796" s="325" t="s">
        <v>4876</v>
      </c>
      <c r="F796" s="325" t="s">
        <v>5672</v>
      </c>
      <c r="G796" s="325">
        <v>6</v>
      </c>
      <c r="H796" s="325">
        <v>0</v>
      </c>
      <c r="I796" s="325">
        <v>34</v>
      </c>
      <c r="J796" s="327" t="s">
        <v>5867</v>
      </c>
      <c r="K796" s="328"/>
      <c r="L796" s="328"/>
      <c r="M796" s="325">
        <v>99</v>
      </c>
      <c r="N796" s="325" t="b">
        <v>1</v>
      </c>
      <c r="O796" s="265">
        <v>7</v>
      </c>
      <c r="P796" s="281">
        <v>105</v>
      </c>
      <c r="Q796" s="281">
        <v>140</v>
      </c>
      <c r="R796" s="325" t="s">
        <v>3383</v>
      </c>
      <c r="S796" s="325"/>
      <c r="T796" s="268">
        <v>1</v>
      </c>
      <c r="U796" s="325" t="s">
        <v>4880</v>
      </c>
      <c r="V796" s="325">
        <v>0</v>
      </c>
      <c r="W796" s="325"/>
      <c r="X796" s="325" t="s">
        <v>4881</v>
      </c>
      <c r="Y796" t="s">
        <v>7039</v>
      </c>
      <c r="Z796" t="s">
        <v>7040</v>
      </c>
      <c r="AA796" s="325" t="s">
        <v>3993</v>
      </c>
      <c r="AB796" s="325"/>
      <c r="AC796" s="287">
        <v>1</v>
      </c>
      <c r="AD796" s="287">
        <v>1</v>
      </c>
      <c r="AE796" s="325"/>
      <c r="AF796" s="325"/>
      <c r="AG796" s="262">
        <v>8100102</v>
      </c>
    </row>
    <row r="797" spans="1:33" x14ac:dyDescent="0.15">
      <c r="A797" s="323">
        <v>98100103</v>
      </c>
      <c r="B797" t="s">
        <v>7041</v>
      </c>
      <c r="C797" s="268" t="s">
        <v>6316</v>
      </c>
      <c r="D797" s="324">
        <v>8202</v>
      </c>
      <c r="E797" s="325" t="s">
        <v>4876</v>
      </c>
      <c r="F797" s="325" t="s">
        <v>5672</v>
      </c>
      <c r="G797" s="325">
        <v>6</v>
      </c>
      <c r="H797" s="325">
        <v>0</v>
      </c>
      <c r="I797" s="325">
        <v>34</v>
      </c>
      <c r="J797" s="327" t="s">
        <v>5871</v>
      </c>
      <c r="K797" s="328"/>
      <c r="L797" s="328"/>
      <c r="M797" s="325">
        <v>99</v>
      </c>
      <c r="N797" s="325" t="b">
        <v>1</v>
      </c>
      <c r="O797" s="265">
        <v>7</v>
      </c>
      <c r="P797" s="281">
        <v>105</v>
      </c>
      <c r="Q797" s="281">
        <v>140</v>
      </c>
      <c r="R797" s="325" t="s">
        <v>3383</v>
      </c>
      <c r="S797" s="325"/>
      <c r="T797" s="268">
        <v>1</v>
      </c>
      <c r="U797" s="325" t="s">
        <v>4880</v>
      </c>
      <c r="V797" s="325">
        <v>0</v>
      </c>
      <c r="W797" s="325"/>
      <c r="X797" s="325" t="s">
        <v>4881</v>
      </c>
      <c r="Y797" t="s">
        <v>7042</v>
      </c>
      <c r="Z797" t="s">
        <v>7043</v>
      </c>
      <c r="AA797" s="325" t="s">
        <v>3993</v>
      </c>
      <c r="AB797" s="325"/>
      <c r="AC797" s="287">
        <v>1</v>
      </c>
      <c r="AD797" s="287">
        <v>1</v>
      </c>
      <c r="AE797" s="325"/>
      <c r="AF797" s="325"/>
      <c r="AG797" s="262">
        <v>8100103</v>
      </c>
    </row>
    <row r="798" spans="1:33" x14ac:dyDescent="0.15">
      <c r="A798" s="326">
        <v>98100104</v>
      </c>
      <c r="B798" t="s">
        <v>7044</v>
      </c>
      <c r="C798" s="268" t="s">
        <v>6316</v>
      </c>
      <c r="D798" s="324">
        <v>8202</v>
      </c>
      <c r="E798" s="325" t="s">
        <v>4876</v>
      </c>
      <c r="F798" s="325" t="s">
        <v>5672</v>
      </c>
      <c r="G798" s="325">
        <v>6</v>
      </c>
      <c r="H798" s="325">
        <v>0</v>
      </c>
      <c r="I798" s="325">
        <v>34</v>
      </c>
      <c r="J798" s="327" t="s">
        <v>5875</v>
      </c>
      <c r="K798" s="328"/>
      <c r="L798" s="328"/>
      <c r="M798" s="325">
        <v>99</v>
      </c>
      <c r="N798" s="325" t="b">
        <v>1</v>
      </c>
      <c r="O798" s="265">
        <v>7</v>
      </c>
      <c r="P798" s="281">
        <v>105</v>
      </c>
      <c r="Q798" s="281">
        <v>140</v>
      </c>
      <c r="R798" s="325" t="s">
        <v>3383</v>
      </c>
      <c r="S798" s="325"/>
      <c r="T798" s="268">
        <v>1</v>
      </c>
      <c r="U798" s="325" t="s">
        <v>4880</v>
      </c>
      <c r="V798" s="325">
        <v>0</v>
      </c>
      <c r="W798" s="325"/>
      <c r="X798" s="325" t="s">
        <v>4881</v>
      </c>
      <c r="Y798" t="s">
        <v>7045</v>
      </c>
      <c r="Z798" t="s">
        <v>7046</v>
      </c>
      <c r="AA798" s="325" t="s">
        <v>3993</v>
      </c>
      <c r="AB798" s="325"/>
      <c r="AC798" s="287">
        <v>1</v>
      </c>
      <c r="AD798" s="287">
        <v>1</v>
      </c>
      <c r="AE798" s="325"/>
      <c r="AF798" s="325"/>
      <c r="AG798" s="262">
        <v>8100104</v>
      </c>
    </row>
    <row r="799" spans="1:33" x14ac:dyDescent="0.15">
      <c r="A799" s="323">
        <v>98040201</v>
      </c>
      <c r="B799" t="s">
        <v>7047</v>
      </c>
      <c r="C799" s="268" t="s">
        <v>6316</v>
      </c>
      <c r="D799" s="324">
        <v>8202</v>
      </c>
      <c r="E799" s="325" t="s">
        <v>4876</v>
      </c>
      <c r="F799" s="325" t="s">
        <v>5672</v>
      </c>
      <c r="G799" s="325">
        <v>6</v>
      </c>
      <c r="H799" s="325">
        <v>0</v>
      </c>
      <c r="I799" s="325">
        <v>34</v>
      </c>
      <c r="J799" s="327" t="s">
        <v>5879</v>
      </c>
      <c r="K799" s="328"/>
      <c r="L799" s="328"/>
      <c r="M799" s="325">
        <v>99</v>
      </c>
      <c r="N799" s="325" t="b">
        <v>1</v>
      </c>
      <c r="O799" s="265">
        <v>7</v>
      </c>
      <c r="P799" s="281">
        <v>105</v>
      </c>
      <c r="Q799" s="281">
        <v>140</v>
      </c>
      <c r="R799" s="325" t="s">
        <v>3383</v>
      </c>
      <c r="S799" s="325"/>
      <c r="T799" s="268">
        <v>1</v>
      </c>
      <c r="U799" s="325" t="s">
        <v>4880</v>
      </c>
      <c r="V799" s="325">
        <v>0</v>
      </c>
      <c r="W799" s="325"/>
      <c r="X799" s="325" t="s">
        <v>4881</v>
      </c>
      <c r="Y799" t="s">
        <v>7048</v>
      </c>
      <c r="Z799" t="s">
        <v>7049</v>
      </c>
      <c r="AA799" s="325" t="s">
        <v>3993</v>
      </c>
      <c r="AB799" s="325"/>
      <c r="AC799" s="287">
        <v>1</v>
      </c>
      <c r="AD799" s="287">
        <v>1</v>
      </c>
      <c r="AE799" s="325"/>
      <c r="AF799" s="325"/>
      <c r="AG799" s="262">
        <v>8040201</v>
      </c>
    </row>
    <row r="800" spans="1:33" x14ac:dyDescent="0.15">
      <c r="A800" s="326">
        <v>98040202</v>
      </c>
      <c r="B800" t="s">
        <v>7050</v>
      </c>
      <c r="C800" s="268" t="s">
        <v>6316</v>
      </c>
      <c r="D800" s="324">
        <v>8202</v>
      </c>
      <c r="E800" s="325" t="s">
        <v>4876</v>
      </c>
      <c r="F800" s="325" t="s">
        <v>5672</v>
      </c>
      <c r="G800" s="325">
        <v>6</v>
      </c>
      <c r="H800" s="325">
        <v>0</v>
      </c>
      <c r="I800" s="325">
        <v>34</v>
      </c>
      <c r="J800" s="327" t="s">
        <v>5883</v>
      </c>
      <c r="K800" s="328"/>
      <c r="L800" s="328"/>
      <c r="M800" s="325">
        <v>99</v>
      </c>
      <c r="N800" s="325" t="b">
        <v>1</v>
      </c>
      <c r="O800" s="265">
        <v>7</v>
      </c>
      <c r="P800" s="281">
        <v>105</v>
      </c>
      <c r="Q800" s="281">
        <v>140</v>
      </c>
      <c r="R800" s="325" t="s">
        <v>3383</v>
      </c>
      <c r="S800" s="325"/>
      <c r="T800" s="268">
        <v>1</v>
      </c>
      <c r="U800" s="325" t="s">
        <v>4880</v>
      </c>
      <c r="V800" s="325">
        <v>0</v>
      </c>
      <c r="W800" s="325"/>
      <c r="X800" s="325" t="s">
        <v>4881</v>
      </c>
      <c r="Y800" t="s">
        <v>7051</v>
      </c>
      <c r="Z800" t="s">
        <v>7052</v>
      </c>
      <c r="AA800" s="325" t="s">
        <v>3993</v>
      </c>
      <c r="AB800" s="325"/>
      <c r="AC800" s="287">
        <v>1</v>
      </c>
      <c r="AD800" s="287">
        <v>1</v>
      </c>
      <c r="AE800" s="325"/>
      <c r="AF800" s="325"/>
      <c r="AG800" s="262">
        <v>8040202</v>
      </c>
    </row>
    <row r="801" spans="1:33" x14ac:dyDescent="0.15">
      <c r="A801" s="323">
        <v>98040203</v>
      </c>
      <c r="B801" t="s">
        <v>7053</v>
      </c>
      <c r="C801" s="268" t="s">
        <v>6316</v>
      </c>
      <c r="D801" s="324">
        <v>8201</v>
      </c>
      <c r="E801" s="325" t="s">
        <v>4876</v>
      </c>
      <c r="F801" s="325" t="s">
        <v>5672</v>
      </c>
      <c r="G801" s="325">
        <v>6</v>
      </c>
      <c r="H801" s="325">
        <v>0</v>
      </c>
      <c r="I801" s="325">
        <v>34</v>
      </c>
      <c r="J801" s="327" t="s">
        <v>5887</v>
      </c>
      <c r="K801" s="328"/>
      <c r="L801" s="328"/>
      <c r="M801" s="325">
        <v>99</v>
      </c>
      <c r="N801" s="325" t="b">
        <v>1</v>
      </c>
      <c r="O801" s="265">
        <v>7</v>
      </c>
      <c r="P801" s="281">
        <v>105</v>
      </c>
      <c r="Q801" s="281">
        <v>140</v>
      </c>
      <c r="R801" s="325" t="s">
        <v>3383</v>
      </c>
      <c r="S801" s="325"/>
      <c r="T801" s="268">
        <v>1</v>
      </c>
      <c r="U801" s="325" t="s">
        <v>4880</v>
      </c>
      <c r="V801" s="325">
        <v>0</v>
      </c>
      <c r="W801" s="325"/>
      <c r="X801" s="325" t="s">
        <v>4881</v>
      </c>
      <c r="Y801" t="s">
        <v>7054</v>
      </c>
      <c r="Z801" t="s">
        <v>7055</v>
      </c>
      <c r="AA801" s="325" t="s">
        <v>3993</v>
      </c>
      <c r="AB801" s="325"/>
      <c r="AC801" s="287">
        <v>1</v>
      </c>
      <c r="AD801" s="287">
        <v>1</v>
      </c>
      <c r="AE801" s="325"/>
      <c r="AF801" s="325"/>
      <c r="AG801" s="262">
        <v>8040203</v>
      </c>
    </row>
    <row r="802" spans="1:33" x14ac:dyDescent="0.15">
      <c r="A802" s="326">
        <v>98040204</v>
      </c>
      <c r="B802" t="s">
        <v>7056</v>
      </c>
      <c r="C802" s="268" t="s">
        <v>6316</v>
      </c>
      <c r="D802" s="324">
        <v>8201</v>
      </c>
      <c r="E802" s="325" t="s">
        <v>4876</v>
      </c>
      <c r="F802" s="325" t="s">
        <v>5672</v>
      </c>
      <c r="G802" s="325">
        <v>6</v>
      </c>
      <c r="H802" s="325">
        <v>0</v>
      </c>
      <c r="I802" s="325">
        <v>34</v>
      </c>
      <c r="J802" s="327" t="s">
        <v>5891</v>
      </c>
      <c r="K802" s="328"/>
      <c r="L802" s="328"/>
      <c r="M802" s="325">
        <v>99</v>
      </c>
      <c r="N802" s="325" t="b">
        <v>1</v>
      </c>
      <c r="O802" s="265">
        <v>7</v>
      </c>
      <c r="P802" s="281">
        <v>105</v>
      </c>
      <c r="Q802" s="281">
        <v>140</v>
      </c>
      <c r="R802" s="325" t="s">
        <v>3383</v>
      </c>
      <c r="S802" s="325"/>
      <c r="T802" s="268">
        <v>1</v>
      </c>
      <c r="U802" s="325" t="s">
        <v>4880</v>
      </c>
      <c r="V802" s="325">
        <v>0</v>
      </c>
      <c r="W802" s="325"/>
      <c r="X802" s="325" t="s">
        <v>4881</v>
      </c>
      <c r="Y802" t="s">
        <v>7057</v>
      </c>
      <c r="Z802" t="s">
        <v>7058</v>
      </c>
      <c r="AA802" s="325" t="s">
        <v>3993</v>
      </c>
      <c r="AB802" s="325"/>
      <c r="AC802" s="287">
        <v>1</v>
      </c>
      <c r="AD802" s="287">
        <v>1</v>
      </c>
      <c r="AE802" s="325"/>
      <c r="AF802" s="325"/>
      <c r="AG802" s="262">
        <v>8040204</v>
      </c>
    </row>
    <row r="803" spans="1:33" x14ac:dyDescent="0.15">
      <c r="A803" s="323">
        <v>98030101</v>
      </c>
      <c r="B803" t="s">
        <v>7059</v>
      </c>
      <c r="C803" s="268" t="s">
        <v>6316</v>
      </c>
      <c r="D803" s="324">
        <v>8201</v>
      </c>
      <c r="E803" s="325" t="s">
        <v>4876</v>
      </c>
      <c r="F803" s="325" t="s">
        <v>5672</v>
      </c>
      <c r="G803" s="325">
        <v>6</v>
      </c>
      <c r="H803" s="325">
        <v>0</v>
      </c>
      <c r="I803" s="325">
        <v>34</v>
      </c>
      <c r="J803" s="327" t="s">
        <v>5895</v>
      </c>
      <c r="K803" s="328"/>
      <c r="L803" s="328"/>
      <c r="M803" s="325">
        <v>99</v>
      </c>
      <c r="N803" s="325" t="b">
        <v>1</v>
      </c>
      <c r="O803" s="265">
        <v>7</v>
      </c>
      <c r="P803" s="281">
        <v>105</v>
      </c>
      <c r="Q803" s="281">
        <v>140</v>
      </c>
      <c r="R803" s="325" t="s">
        <v>3383</v>
      </c>
      <c r="S803" s="325"/>
      <c r="T803" s="268">
        <v>1</v>
      </c>
      <c r="U803" s="325" t="s">
        <v>4880</v>
      </c>
      <c r="V803" s="325">
        <v>0</v>
      </c>
      <c r="W803" s="325"/>
      <c r="X803" s="325" t="s">
        <v>4881</v>
      </c>
      <c r="Y803" t="s">
        <v>7060</v>
      </c>
      <c r="Z803" t="s">
        <v>7061</v>
      </c>
      <c r="AA803" s="325" t="s">
        <v>3993</v>
      </c>
      <c r="AB803" s="325"/>
      <c r="AC803" s="287">
        <v>1</v>
      </c>
      <c r="AD803" s="287">
        <v>1</v>
      </c>
      <c r="AE803" s="325"/>
      <c r="AF803" s="325"/>
      <c r="AG803" s="262">
        <v>8030101</v>
      </c>
    </row>
    <row r="804" spans="1:33" x14ac:dyDescent="0.15">
      <c r="A804" s="326">
        <v>98030102</v>
      </c>
      <c r="B804" t="s">
        <v>7062</v>
      </c>
      <c r="C804" s="268" t="s">
        <v>6316</v>
      </c>
      <c r="D804" s="324">
        <v>8202</v>
      </c>
      <c r="E804" s="325" t="s">
        <v>4876</v>
      </c>
      <c r="F804" s="325" t="s">
        <v>5672</v>
      </c>
      <c r="G804" s="325">
        <v>6</v>
      </c>
      <c r="H804" s="325">
        <v>0</v>
      </c>
      <c r="I804" s="325">
        <v>34</v>
      </c>
      <c r="J804" s="327" t="s">
        <v>5899</v>
      </c>
      <c r="K804" s="328"/>
      <c r="L804" s="328"/>
      <c r="M804" s="325">
        <v>99</v>
      </c>
      <c r="N804" s="325" t="b">
        <v>1</v>
      </c>
      <c r="O804" s="265">
        <v>7</v>
      </c>
      <c r="P804" s="281">
        <v>105</v>
      </c>
      <c r="Q804" s="281">
        <v>140</v>
      </c>
      <c r="R804" s="325" t="s">
        <v>3383</v>
      </c>
      <c r="S804" s="325"/>
      <c r="T804" s="268">
        <v>1</v>
      </c>
      <c r="U804" s="325" t="s">
        <v>4880</v>
      </c>
      <c r="V804" s="325">
        <v>0</v>
      </c>
      <c r="W804" s="325"/>
      <c r="X804" s="325" t="s">
        <v>4881</v>
      </c>
      <c r="Y804" t="s">
        <v>7063</v>
      </c>
      <c r="Z804" t="s">
        <v>7064</v>
      </c>
      <c r="AA804" s="325" t="s">
        <v>3993</v>
      </c>
      <c r="AB804" s="325"/>
      <c r="AC804" s="287">
        <v>1</v>
      </c>
      <c r="AD804" s="287">
        <v>1</v>
      </c>
      <c r="AE804" s="325"/>
      <c r="AF804" s="325"/>
      <c r="AG804" s="262">
        <v>8030102</v>
      </c>
    </row>
    <row r="805" spans="1:33" x14ac:dyDescent="0.15">
      <c r="A805" s="323">
        <v>98030103</v>
      </c>
      <c r="B805" t="s">
        <v>7065</v>
      </c>
      <c r="C805" s="268" t="s">
        <v>6316</v>
      </c>
      <c r="D805" s="324">
        <v>8202</v>
      </c>
      <c r="E805" s="325" t="s">
        <v>4876</v>
      </c>
      <c r="F805" s="325" t="s">
        <v>5672</v>
      </c>
      <c r="G805" s="325">
        <v>6</v>
      </c>
      <c r="H805" s="325">
        <v>0</v>
      </c>
      <c r="I805" s="325">
        <v>34</v>
      </c>
      <c r="J805" s="327" t="s">
        <v>5903</v>
      </c>
      <c r="K805" s="328"/>
      <c r="L805" s="328"/>
      <c r="M805" s="325">
        <v>99</v>
      </c>
      <c r="N805" s="325" t="b">
        <v>1</v>
      </c>
      <c r="O805" s="265">
        <v>7</v>
      </c>
      <c r="P805" s="281">
        <v>105</v>
      </c>
      <c r="Q805" s="281">
        <v>140</v>
      </c>
      <c r="R805" s="325" t="s">
        <v>3383</v>
      </c>
      <c r="S805" s="325"/>
      <c r="T805" s="268">
        <v>1</v>
      </c>
      <c r="U805" s="325" t="s">
        <v>4880</v>
      </c>
      <c r="V805" s="325">
        <v>0</v>
      </c>
      <c r="W805" s="325"/>
      <c r="X805" s="325" t="s">
        <v>4881</v>
      </c>
      <c r="Y805" t="s">
        <v>7066</v>
      </c>
      <c r="Z805" t="s">
        <v>7067</v>
      </c>
      <c r="AA805" s="325" t="s">
        <v>3993</v>
      </c>
      <c r="AB805" s="325"/>
      <c r="AC805" s="287">
        <v>1</v>
      </c>
      <c r="AD805" s="287">
        <v>1</v>
      </c>
      <c r="AE805" s="325"/>
      <c r="AF805" s="325"/>
      <c r="AG805" s="262">
        <v>8030103</v>
      </c>
    </row>
    <row r="806" spans="1:33" x14ac:dyDescent="0.15">
      <c r="A806" s="326">
        <v>98030104</v>
      </c>
      <c r="B806" t="s">
        <v>7068</v>
      </c>
      <c r="C806" s="268" t="s">
        <v>6316</v>
      </c>
      <c r="D806" s="324">
        <v>8202</v>
      </c>
      <c r="E806" s="325" t="s">
        <v>4876</v>
      </c>
      <c r="F806" s="325" t="s">
        <v>5672</v>
      </c>
      <c r="G806" s="325">
        <v>6</v>
      </c>
      <c r="H806" s="325">
        <v>0</v>
      </c>
      <c r="I806" s="325">
        <v>34</v>
      </c>
      <c r="J806" s="327" t="s">
        <v>5907</v>
      </c>
      <c r="K806" s="328"/>
      <c r="L806" s="328"/>
      <c r="M806" s="325">
        <v>99</v>
      </c>
      <c r="N806" s="325" t="b">
        <v>1</v>
      </c>
      <c r="O806" s="265">
        <v>7</v>
      </c>
      <c r="P806" s="281">
        <v>105</v>
      </c>
      <c r="Q806" s="281">
        <v>140</v>
      </c>
      <c r="R806" s="325" t="s">
        <v>3383</v>
      </c>
      <c r="S806" s="325"/>
      <c r="T806" s="268">
        <v>1</v>
      </c>
      <c r="U806" s="325" t="s">
        <v>4880</v>
      </c>
      <c r="V806" s="325">
        <v>0</v>
      </c>
      <c r="W806" s="325"/>
      <c r="X806" s="325" t="s">
        <v>4881</v>
      </c>
      <c r="Y806" t="s">
        <v>7069</v>
      </c>
      <c r="Z806" t="s">
        <v>7070</v>
      </c>
      <c r="AA806" s="325" t="s">
        <v>3993</v>
      </c>
      <c r="AB806" s="325"/>
      <c r="AC806" s="287">
        <v>1</v>
      </c>
      <c r="AD806" s="287">
        <v>1</v>
      </c>
      <c r="AE806" s="325"/>
      <c r="AF806" s="325"/>
      <c r="AG806" s="262">
        <v>8030104</v>
      </c>
    </row>
    <row r="807" spans="1:33" x14ac:dyDescent="0.15">
      <c r="A807" s="323">
        <v>98030105</v>
      </c>
      <c r="B807" t="s">
        <v>7071</v>
      </c>
      <c r="C807" s="268" t="s">
        <v>6316</v>
      </c>
      <c r="D807" s="324">
        <v>8202</v>
      </c>
      <c r="E807" s="325" t="s">
        <v>4876</v>
      </c>
      <c r="F807" s="325" t="s">
        <v>5672</v>
      </c>
      <c r="G807" s="325">
        <v>6</v>
      </c>
      <c r="H807" s="325">
        <v>0</v>
      </c>
      <c r="I807" s="325">
        <v>34</v>
      </c>
      <c r="J807" s="327" t="s">
        <v>5911</v>
      </c>
      <c r="K807" s="328"/>
      <c r="L807" s="328"/>
      <c r="M807" s="325">
        <v>99</v>
      </c>
      <c r="N807" s="325" t="b">
        <v>1</v>
      </c>
      <c r="O807" s="265">
        <v>7</v>
      </c>
      <c r="P807" s="281">
        <v>105</v>
      </c>
      <c r="Q807" s="281">
        <v>140</v>
      </c>
      <c r="R807" s="325" t="s">
        <v>3383</v>
      </c>
      <c r="S807" s="325"/>
      <c r="T807" s="268">
        <v>1</v>
      </c>
      <c r="U807" s="325" t="s">
        <v>4880</v>
      </c>
      <c r="V807" s="325">
        <v>0</v>
      </c>
      <c r="W807" s="325"/>
      <c r="X807" s="325" t="s">
        <v>4881</v>
      </c>
      <c r="Y807" t="s">
        <v>7072</v>
      </c>
      <c r="Z807" t="s">
        <v>7073</v>
      </c>
      <c r="AA807" s="325" t="s">
        <v>3993</v>
      </c>
      <c r="AB807" s="325"/>
      <c r="AC807" s="287">
        <v>1</v>
      </c>
      <c r="AD807" s="287">
        <v>1</v>
      </c>
      <c r="AE807" s="325"/>
      <c r="AF807" s="325"/>
      <c r="AG807" s="262">
        <v>8030105</v>
      </c>
    </row>
    <row r="808" spans="1:33" x14ac:dyDescent="0.15">
      <c r="A808" s="326">
        <v>98040301</v>
      </c>
      <c r="B808" t="s">
        <v>7074</v>
      </c>
      <c r="C808" s="268" t="s">
        <v>6316</v>
      </c>
      <c r="D808" s="324">
        <v>8201</v>
      </c>
      <c r="E808" s="325" t="s">
        <v>4876</v>
      </c>
      <c r="F808" s="325" t="s">
        <v>5672</v>
      </c>
      <c r="G808" s="325">
        <v>6</v>
      </c>
      <c r="H808" s="325">
        <v>0</v>
      </c>
      <c r="I808" s="325">
        <v>34</v>
      </c>
      <c r="J808" s="327" t="s">
        <v>5915</v>
      </c>
      <c r="K808" s="328"/>
      <c r="L808" s="328"/>
      <c r="M808" s="325">
        <v>99</v>
      </c>
      <c r="N808" s="325" t="b">
        <v>1</v>
      </c>
      <c r="O808" s="265">
        <v>7</v>
      </c>
      <c r="P808" s="281">
        <v>105</v>
      </c>
      <c r="Q808" s="281">
        <v>140</v>
      </c>
      <c r="R808" s="325" t="s">
        <v>3383</v>
      </c>
      <c r="S808" s="325"/>
      <c r="T808" s="268">
        <v>1</v>
      </c>
      <c r="U808" s="325" t="s">
        <v>4880</v>
      </c>
      <c r="V808" s="325">
        <v>0</v>
      </c>
      <c r="W808" s="325"/>
      <c r="X808" s="325" t="s">
        <v>4881</v>
      </c>
      <c r="Y808" t="s">
        <v>7075</v>
      </c>
      <c r="Z808" t="s">
        <v>7076</v>
      </c>
      <c r="AA808" s="325" t="s">
        <v>3993</v>
      </c>
      <c r="AB808" s="325"/>
      <c r="AC808" s="287">
        <v>1</v>
      </c>
      <c r="AD808" s="287">
        <v>1</v>
      </c>
      <c r="AE808" s="325"/>
      <c r="AF808" s="325"/>
      <c r="AG808" s="262">
        <v>8040301</v>
      </c>
    </row>
    <row r="809" spans="1:33" x14ac:dyDescent="0.15">
      <c r="A809" s="323">
        <v>98040302</v>
      </c>
      <c r="B809" t="s">
        <v>7077</v>
      </c>
      <c r="C809" s="268" t="s">
        <v>6316</v>
      </c>
      <c r="D809" s="324">
        <v>8201</v>
      </c>
      <c r="E809" s="325" t="s">
        <v>4876</v>
      </c>
      <c r="F809" s="325" t="s">
        <v>5672</v>
      </c>
      <c r="G809" s="325">
        <v>6</v>
      </c>
      <c r="H809" s="325">
        <v>0</v>
      </c>
      <c r="I809" s="325">
        <v>34</v>
      </c>
      <c r="J809" s="327" t="s">
        <v>5919</v>
      </c>
      <c r="K809" s="328"/>
      <c r="L809" s="328"/>
      <c r="M809" s="325">
        <v>99</v>
      </c>
      <c r="N809" s="325" t="b">
        <v>1</v>
      </c>
      <c r="O809" s="265">
        <v>7</v>
      </c>
      <c r="P809" s="281">
        <v>105</v>
      </c>
      <c r="Q809" s="281">
        <v>140</v>
      </c>
      <c r="R809" s="325" t="s">
        <v>3383</v>
      </c>
      <c r="S809" s="325"/>
      <c r="T809" s="268">
        <v>1</v>
      </c>
      <c r="U809" s="325" t="s">
        <v>4880</v>
      </c>
      <c r="V809" s="325">
        <v>0</v>
      </c>
      <c r="W809" s="325"/>
      <c r="X809" s="325" t="s">
        <v>4881</v>
      </c>
      <c r="Y809" t="s">
        <v>7078</v>
      </c>
      <c r="Z809" t="s">
        <v>7079</v>
      </c>
      <c r="AA809" s="325" t="s">
        <v>3993</v>
      </c>
      <c r="AB809" s="325"/>
      <c r="AC809" s="287">
        <v>1</v>
      </c>
      <c r="AD809" s="287">
        <v>1</v>
      </c>
      <c r="AE809" s="325"/>
      <c r="AF809" s="325"/>
      <c r="AG809" s="262">
        <v>8040302</v>
      </c>
    </row>
    <row r="810" spans="1:33" x14ac:dyDescent="0.15">
      <c r="A810" s="326">
        <v>98040303</v>
      </c>
      <c r="B810" t="s">
        <v>7080</v>
      </c>
      <c r="C810" s="268" t="s">
        <v>6316</v>
      </c>
      <c r="D810" s="324">
        <v>8201</v>
      </c>
      <c r="E810" s="325" t="s">
        <v>4876</v>
      </c>
      <c r="F810" s="325" t="s">
        <v>5672</v>
      </c>
      <c r="G810" s="325">
        <v>6</v>
      </c>
      <c r="H810" s="325">
        <v>0</v>
      </c>
      <c r="I810" s="325">
        <v>34</v>
      </c>
      <c r="J810" s="327" t="s">
        <v>5923</v>
      </c>
      <c r="K810" s="328"/>
      <c r="L810" s="328"/>
      <c r="M810" s="325">
        <v>99</v>
      </c>
      <c r="N810" s="325" t="b">
        <v>1</v>
      </c>
      <c r="O810" s="265">
        <v>7</v>
      </c>
      <c r="P810" s="281">
        <v>105</v>
      </c>
      <c r="Q810" s="281">
        <v>140</v>
      </c>
      <c r="R810" s="325" t="s">
        <v>3383</v>
      </c>
      <c r="S810" s="325"/>
      <c r="T810" s="268">
        <v>1</v>
      </c>
      <c r="U810" s="325" t="s">
        <v>4880</v>
      </c>
      <c r="V810" s="325">
        <v>0</v>
      </c>
      <c r="W810" s="325"/>
      <c r="X810" s="325" t="s">
        <v>4881</v>
      </c>
      <c r="Y810" t="s">
        <v>7081</v>
      </c>
      <c r="Z810" t="s">
        <v>7082</v>
      </c>
      <c r="AA810" s="325" t="s">
        <v>3993</v>
      </c>
      <c r="AB810" s="325"/>
      <c r="AC810" s="287">
        <v>1</v>
      </c>
      <c r="AD810" s="287">
        <v>1</v>
      </c>
      <c r="AE810" s="325"/>
      <c r="AF810" s="325"/>
      <c r="AG810" s="262">
        <v>8040303</v>
      </c>
    </row>
    <row r="811" spans="1:33" x14ac:dyDescent="0.15">
      <c r="A811" s="323">
        <v>98040304</v>
      </c>
      <c r="B811" t="s">
        <v>7083</v>
      </c>
      <c r="C811" s="268" t="s">
        <v>6316</v>
      </c>
      <c r="D811" s="324">
        <v>8201</v>
      </c>
      <c r="E811" s="325" t="s">
        <v>4876</v>
      </c>
      <c r="F811" s="325" t="s">
        <v>5672</v>
      </c>
      <c r="G811" s="325">
        <v>6</v>
      </c>
      <c r="H811" s="325">
        <v>0</v>
      </c>
      <c r="I811" s="325">
        <v>34</v>
      </c>
      <c r="J811" s="327" t="s">
        <v>5927</v>
      </c>
      <c r="K811" s="328"/>
      <c r="L811" s="328"/>
      <c r="M811" s="325">
        <v>99</v>
      </c>
      <c r="N811" s="325" t="b">
        <v>1</v>
      </c>
      <c r="O811" s="265">
        <v>7</v>
      </c>
      <c r="P811" s="281">
        <v>105</v>
      </c>
      <c r="Q811" s="281">
        <v>140</v>
      </c>
      <c r="R811" s="325" t="s">
        <v>3383</v>
      </c>
      <c r="S811" s="325"/>
      <c r="T811" s="268">
        <v>1</v>
      </c>
      <c r="U811" s="325" t="s">
        <v>4880</v>
      </c>
      <c r="V811" s="325">
        <v>0</v>
      </c>
      <c r="W811" s="325"/>
      <c r="X811" s="325" t="s">
        <v>4881</v>
      </c>
      <c r="Y811" t="s">
        <v>7084</v>
      </c>
      <c r="Z811" t="s">
        <v>7085</v>
      </c>
      <c r="AA811" s="325" t="s">
        <v>3993</v>
      </c>
      <c r="AB811" s="325"/>
      <c r="AC811" s="287">
        <v>1</v>
      </c>
      <c r="AD811" s="287">
        <v>1</v>
      </c>
      <c r="AE811" s="325"/>
      <c r="AF811" s="325"/>
      <c r="AG811" s="262">
        <v>8040304</v>
      </c>
    </row>
    <row r="812" spans="1:33" x14ac:dyDescent="0.15">
      <c r="A812" s="326">
        <v>98040305</v>
      </c>
      <c r="B812" t="s">
        <v>7086</v>
      </c>
      <c r="C812" s="268" t="s">
        <v>6316</v>
      </c>
      <c r="D812" s="324">
        <v>8202</v>
      </c>
      <c r="E812" s="325" t="s">
        <v>4876</v>
      </c>
      <c r="F812" s="325" t="s">
        <v>5672</v>
      </c>
      <c r="G812" s="325">
        <v>6</v>
      </c>
      <c r="H812" s="325">
        <v>0</v>
      </c>
      <c r="I812" s="325">
        <v>34</v>
      </c>
      <c r="J812" s="327" t="s">
        <v>5931</v>
      </c>
      <c r="K812" s="328"/>
      <c r="L812" s="328"/>
      <c r="M812" s="325">
        <v>99</v>
      </c>
      <c r="N812" s="325" t="b">
        <v>1</v>
      </c>
      <c r="O812" s="265">
        <v>7</v>
      </c>
      <c r="P812" s="281">
        <v>105</v>
      </c>
      <c r="Q812" s="281">
        <v>140</v>
      </c>
      <c r="R812" s="325" t="s">
        <v>3383</v>
      </c>
      <c r="S812" s="325"/>
      <c r="T812" s="268">
        <v>1</v>
      </c>
      <c r="U812" s="325" t="s">
        <v>4880</v>
      </c>
      <c r="V812" s="325">
        <v>0</v>
      </c>
      <c r="W812" s="325"/>
      <c r="X812" s="325" t="s">
        <v>4881</v>
      </c>
      <c r="Y812" t="s">
        <v>7087</v>
      </c>
      <c r="Z812" t="s">
        <v>7088</v>
      </c>
      <c r="AA812" s="325" t="s">
        <v>3993</v>
      </c>
      <c r="AB812" s="325"/>
      <c r="AC812" s="287">
        <v>1</v>
      </c>
      <c r="AD812" s="287">
        <v>1</v>
      </c>
      <c r="AE812" s="325"/>
      <c r="AF812" s="325"/>
      <c r="AG812" s="262">
        <v>8040305</v>
      </c>
    </row>
    <row r="813" spans="1:33" x14ac:dyDescent="0.15">
      <c r="A813" s="323">
        <v>98040306</v>
      </c>
      <c r="B813" t="s">
        <v>7089</v>
      </c>
      <c r="C813" s="268" t="s">
        <v>6316</v>
      </c>
      <c r="D813" s="324">
        <v>8202</v>
      </c>
      <c r="E813" s="325" t="s">
        <v>4876</v>
      </c>
      <c r="F813" s="325" t="s">
        <v>5672</v>
      </c>
      <c r="G813" s="325">
        <v>6</v>
      </c>
      <c r="H813" s="325">
        <v>0</v>
      </c>
      <c r="I813" s="325">
        <v>34</v>
      </c>
      <c r="J813" s="327" t="s">
        <v>5935</v>
      </c>
      <c r="K813" s="328"/>
      <c r="L813" s="328"/>
      <c r="M813" s="325">
        <v>99</v>
      </c>
      <c r="N813" s="325" t="b">
        <v>1</v>
      </c>
      <c r="O813" s="265">
        <v>7</v>
      </c>
      <c r="P813" s="281">
        <v>105</v>
      </c>
      <c r="Q813" s="281">
        <v>140</v>
      </c>
      <c r="R813" s="325" t="s">
        <v>3383</v>
      </c>
      <c r="S813" s="325"/>
      <c r="T813" s="268">
        <v>1</v>
      </c>
      <c r="U813" s="325" t="s">
        <v>4880</v>
      </c>
      <c r="V813" s="325">
        <v>0</v>
      </c>
      <c r="W813" s="325"/>
      <c r="X813" s="325" t="s">
        <v>4881</v>
      </c>
      <c r="Y813" t="s">
        <v>7090</v>
      </c>
      <c r="Z813" t="s">
        <v>7091</v>
      </c>
      <c r="AA813" s="325" t="s">
        <v>3993</v>
      </c>
      <c r="AB813" s="325"/>
      <c r="AC813" s="287">
        <v>1</v>
      </c>
      <c r="AD813" s="287">
        <v>1</v>
      </c>
      <c r="AE813" s="325"/>
      <c r="AF813" s="325"/>
      <c r="AG813" s="262">
        <v>8040306</v>
      </c>
    </row>
    <row r="814" spans="1:33" x14ac:dyDescent="0.15">
      <c r="A814" s="326">
        <v>98090101</v>
      </c>
      <c r="B814" t="s">
        <v>7092</v>
      </c>
      <c r="C814" s="268" t="s">
        <v>6316</v>
      </c>
      <c r="D814" s="324">
        <v>8202</v>
      </c>
      <c r="E814" s="325" t="s">
        <v>4876</v>
      </c>
      <c r="F814" s="325" t="s">
        <v>5672</v>
      </c>
      <c r="G814" s="325">
        <v>6</v>
      </c>
      <c r="H814" s="325">
        <v>0</v>
      </c>
      <c r="I814" s="325">
        <v>34</v>
      </c>
      <c r="J814" s="327" t="s">
        <v>5939</v>
      </c>
      <c r="K814" s="328"/>
      <c r="L814" s="328"/>
      <c r="M814" s="325">
        <v>99</v>
      </c>
      <c r="N814" s="325" t="b">
        <v>1</v>
      </c>
      <c r="O814" s="265">
        <v>7</v>
      </c>
      <c r="P814" s="281">
        <v>105</v>
      </c>
      <c r="Q814" s="281">
        <v>140</v>
      </c>
      <c r="R814" s="325" t="s">
        <v>3383</v>
      </c>
      <c r="S814" s="325"/>
      <c r="T814" s="268">
        <v>1</v>
      </c>
      <c r="U814" s="325" t="s">
        <v>4880</v>
      </c>
      <c r="V814" s="325">
        <v>0</v>
      </c>
      <c r="W814" s="325"/>
      <c r="X814" s="325" t="s">
        <v>4881</v>
      </c>
      <c r="Y814" t="s">
        <v>7093</v>
      </c>
      <c r="Z814" t="s">
        <v>7094</v>
      </c>
      <c r="AA814" s="325" t="s">
        <v>3993</v>
      </c>
      <c r="AB814" s="325"/>
      <c r="AC814" s="287">
        <v>1</v>
      </c>
      <c r="AD814" s="287">
        <v>1</v>
      </c>
      <c r="AE814" s="325"/>
      <c r="AF814" s="325"/>
      <c r="AG814" s="262">
        <v>8090101</v>
      </c>
    </row>
    <row r="815" spans="1:33" x14ac:dyDescent="0.15">
      <c r="A815" s="323">
        <v>98090102</v>
      </c>
      <c r="B815" t="s">
        <v>7095</v>
      </c>
      <c r="C815" s="268" t="s">
        <v>6316</v>
      </c>
      <c r="D815" s="324">
        <v>8202</v>
      </c>
      <c r="E815" s="325" t="s">
        <v>4876</v>
      </c>
      <c r="F815" s="325" t="s">
        <v>5672</v>
      </c>
      <c r="G815" s="325">
        <v>6</v>
      </c>
      <c r="H815" s="325">
        <v>0</v>
      </c>
      <c r="I815" s="325">
        <v>34</v>
      </c>
      <c r="J815" s="327" t="s">
        <v>5943</v>
      </c>
      <c r="K815" s="328"/>
      <c r="L815" s="328"/>
      <c r="M815" s="325">
        <v>99</v>
      </c>
      <c r="N815" s="325" t="b">
        <v>1</v>
      </c>
      <c r="O815" s="265">
        <v>7</v>
      </c>
      <c r="P815" s="281">
        <v>105</v>
      </c>
      <c r="Q815" s="281">
        <v>140</v>
      </c>
      <c r="R815" s="325" t="s">
        <v>3383</v>
      </c>
      <c r="S815" s="325"/>
      <c r="T815" s="268">
        <v>1</v>
      </c>
      <c r="U815" s="325" t="s">
        <v>4880</v>
      </c>
      <c r="V815" s="325">
        <v>0</v>
      </c>
      <c r="W815" s="325"/>
      <c r="X815" s="325" t="s">
        <v>4881</v>
      </c>
      <c r="Y815" t="s">
        <v>7096</v>
      </c>
      <c r="Z815" t="s">
        <v>7097</v>
      </c>
      <c r="AA815" s="325" t="s">
        <v>3993</v>
      </c>
      <c r="AB815" s="325"/>
      <c r="AC815" s="287">
        <v>1</v>
      </c>
      <c r="AD815" s="287">
        <v>1</v>
      </c>
      <c r="AE815" s="325"/>
      <c r="AF815" s="325"/>
      <c r="AG815" s="262">
        <v>8090102</v>
      </c>
    </row>
    <row r="816" spans="1:33" x14ac:dyDescent="0.15">
      <c r="A816" s="326">
        <v>98090103</v>
      </c>
      <c r="B816" t="s">
        <v>7098</v>
      </c>
      <c r="C816" s="268" t="s">
        <v>6316</v>
      </c>
      <c r="D816" s="324">
        <v>8201</v>
      </c>
      <c r="E816" s="325" t="s">
        <v>4876</v>
      </c>
      <c r="F816" s="325" t="s">
        <v>5672</v>
      </c>
      <c r="G816" s="325">
        <v>6</v>
      </c>
      <c r="H816" s="325">
        <v>0</v>
      </c>
      <c r="I816" s="325">
        <v>34</v>
      </c>
      <c r="J816" s="327" t="s">
        <v>5947</v>
      </c>
      <c r="K816" s="328"/>
      <c r="L816" s="328"/>
      <c r="M816" s="325">
        <v>99</v>
      </c>
      <c r="N816" s="325" t="b">
        <v>1</v>
      </c>
      <c r="O816" s="265">
        <v>7</v>
      </c>
      <c r="P816" s="281">
        <v>105</v>
      </c>
      <c r="Q816" s="281">
        <v>140</v>
      </c>
      <c r="R816" s="325" t="s">
        <v>3383</v>
      </c>
      <c r="S816" s="325"/>
      <c r="T816" s="268">
        <v>1</v>
      </c>
      <c r="U816" s="325" t="s">
        <v>4880</v>
      </c>
      <c r="V816" s="325">
        <v>0</v>
      </c>
      <c r="W816" s="325"/>
      <c r="X816" s="325" t="s">
        <v>4881</v>
      </c>
      <c r="Y816" t="s">
        <v>7099</v>
      </c>
      <c r="Z816" t="s">
        <v>7100</v>
      </c>
      <c r="AA816" s="325" t="s">
        <v>3993</v>
      </c>
      <c r="AB816" s="325"/>
      <c r="AC816" s="287">
        <v>1</v>
      </c>
      <c r="AD816" s="287">
        <v>1</v>
      </c>
      <c r="AE816" s="325"/>
      <c r="AF816" s="325"/>
      <c r="AG816" s="262">
        <v>8090103</v>
      </c>
    </row>
    <row r="817" spans="1:33" x14ac:dyDescent="0.15">
      <c r="A817" s="323">
        <v>98090104</v>
      </c>
      <c r="B817" t="s">
        <v>7101</v>
      </c>
      <c r="C817" s="268" t="s">
        <v>6316</v>
      </c>
      <c r="D817" s="324">
        <v>8201</v>
      </c>
      <c r="E817" s="325" t="s">
        <v>4876</v>
      </c>
      <c r="F817" s="325" t="s">
        <v>5672</v>
      </c>
      <c r="G817" s="325">
        <v>6</v>
      </c>
      <c r="H817" s="325">
        <v>0</v>
      </c>
      <c r="I817" s="325">
        <v>34</v>
      </c>
      <c r="J817" s="327" t="s">
        <v>5951</v>
      </c>
      <c r="K817" s="328"/>
      <c r="L817" s="328"/>
      <c r="M817" s="325">
        <v>99</v>
      </c>
      <c r="N817" s="325" t="b">
        <v>1</v>
      </c>
      <c r="O817" s="265">
        <v>7</v>
      </c>
      <c r="P817" s="281">
        <v>105</v>
      </c>
      <c r="Q817" s="281">
        <v>140</v>
      </c>
      <c r="R817" s="325" t="s">
        <v>3383</v>
      </c>
      <c r="S817" s="325"/>
      <c r="T817" s="268">
        <v>1</v>
      </c>
      <c r="U817" s="325" t="s">
        <v>4880</v>
      </c>
      <c r="V817" s="325">
        <v>0</v>
      </c>
      <c r="W817" s="325"/>
      <c r="X817" s="325" t="s">
        <v>4881</v>
      </c>
      <c r="Y817" t="s">
        <v>7102</v>
      </c>
      <c r="Z817" t="s">
        <v>7103</v>
      </c>
      <c r="AA817" s="325" t="s">
        <v>3993</v>
      </c>
      <c r="AB817" s="325"/>
      <c r="AC817" s="287">
        <v>1</v>
      </c>
      <c r="AD817" s="287">
        <v>1</v>
      </c>
      <c r="AE817" s="325"/>
      <c r="AF817" s="325"/>
      <c r="AG817" s="262">
        <v>8090104</v>
      </c>
    </row>
    <row r="818" spans="1:33" x14ac:dyDescent="0.15">
      <c r="A818" s="326">
        <v>98090105</v>
      </c>
      <c r="B818" t="s">
        <v>7104</v>
      </c>
      <c r="C818" s="268" t="s">
        <v>6316</v>
      </c>
      <c r="D818" s="324">
        <v>8201</v>
      </c>
      <c r="E818" s="325" t="s">
        <v>4876</v>
      </c>
      <c r="F818" s="325" t="s">
        <v>5672</v>
      </c>
      <c r="G818" s="325">
        <v>6</v>
      </c>
      <c r="H818" s="325">
        <v>0</v>
      </c>
      <c r="I818" s="325">
        <v>34</v>
      </c>
      <c r="J818" s="327" t="s">
        <v>5955</v>
      </c>
      <c r="K818" s="328"/>
      <c r="L818" s="328"/>
      <c r="M818" s="325">
        <v>99</v>
      </c>
      <c r="N818" s="325" t="b">
        <v>1</v>
      </c>
      <c r="O818" s="265">
        <v>7</v>
      </c>
      <c r="P818" s="281">
        <v>105</v>
      </c>
      <c r="Q818" s="281">
        <v>140</v>
      </c>
      <c r="R818" s="325" t="s">
        <v>3383</v>
      </c>
      <c r="S818" s="325"/>
      <c r="T818" s="268">
        <v>1</v>
      </c>
      <c r="U818" s="325" t="s">
        <v>4880</v>
      </c>
      <c r="V818" s="325">
        <v>0</v>
      </c>
      <c r="W818" s="325"/>
      <c r="X818" s="325" t="s">
        <v>4881</v>
      </c>
      <c r="Y818" t="s">
        <v>7105</v>
      </c>
      <c r="Z818" t="s">
        <v>7106</v>
      </c>
      <c r="AA818" s="325" t="s">
        <v>3993</v>
      </c>
      <c r="AB818" s="325"/>
      <c r="AC818" s="287">
        <v>1</v>
      </c>
      <c r="AD818" s="287">
        <v>1</v>
      </c>
      <c r="AE818" s="325"/>
      <c r="AF818" s="325"/>
      <c r="AG818" s="262">
        <v>8090105</v>
      </c>
    </row>
    <row r="819" spans="1:33" x14ac:dyDescent="0.15">
      <c r="A819" s="323">
        <v>98130101</v>
      </c>
      <c r="B819" t="s">
        <v>7107</v>
      </c>
      <c r="C819" s="268" t="s">
        <v>6316</v>
      </c>
      <c r="D819" s="324">
        <v>8202</v>
      </c>
      <c r="E819" s="325" t="s">
        <v>4876</v>
      </c>
      <c r="F819" s="325" t="s">
        <v>5672</v>
      </c>
      <c r="G819" s="325">
        <v>6</v>
      </c>
      <c r="H819" s="325">
        <v>0</v>
      </c>
      <c r="I819" s="325">
        <v>34</v>
      </c>
      <c r="J819" s="327" t="s">
        <v>5959</v>
      </c>
      <c r="K819" s="328"/>
      <c r="L819" s="328"/>
      <c r="M819" s="325">
        <v>99</v>
      </c>
      <c r="N819" s="325" t="b">
        <v>1</v>
      </c>
      <c r="O819" s="265">
        <v>7</v>
      </c>
      <c r="P819" s="281">
        <v>105</v>
      </c>
      <c r="Q819" s="281">
        <v>140</v>
      </c>
      <c r="R819" s="325" t="s">
        <v>3383</v>
      </c>
      <c r="S819" s="325"/>
      <c r="T819" s="268">
        <v>1</v>
      </c>
      <c r="U819" s="325" t="s">
        <v>4880</v>
      </c>
      <c r="V819" s="325">
        <v>0</v>
      </c>
      <c r="W819" s="325"/>
      <c r="X819" s="325" t="s">
        <v>4881</v>
      </c>
      <c r="Y819" t="s">
        <v>7108</v>
      </c>
      <c r="Z819" t="s">
        <v>7109</v>
      </c>
      <c r="AA819" s="325" t="s">
        <v>3993</v>
      </c>
      <c r="AB819" s="325"/>
      <c r="AC819" s="287">
        <v>1</v>
      </c>
      <c r="AD819" s="287">
        <v>1</v>
      </c>
      <c r="AE819" s="325"/>
      <c r="AF819" s="325"/>
      <c r="AG819" s="262">
        <v>8090101</v>
      </c>
    </row>
    <row r="820" spans="1:33" x14ac:dyDescent="0.15">
      <c r="A820" s="326">
        <v>98130102</v>
      </c>
      <c r="B820" t="s">
        <v>7110</v>
      </c>
      <c r="C820" s="268" t="s">
        <v>6316</v>
      </c>
      <c r="D820" s="324">
        <v>8202</v>
      </c>
      <c r="E820" s="325" t="s">
        <v>4876</v>
      </c>
      <c r="F820" s="325" t="s">
        <v>5672</v>
      </c>
      <c r="G820" s="325">
        <v>6</v>
      </c>
      <c r="H820" s="325">
        <v>0</v>
      </c>
      <c r="I820" s="325">
        <v>34</v>
      </c>
      <c r="J820" s="327" t="s">
        <v>5963</v>
      </c>
      <c r="K820" s="328"/>
      <c r="L820" s="328"/>
      <c r="M820" s="325">
        <v>99</v>
      </c>
      <c r="N820" s="325" t="b">
        <v>1</v>
      </c>
      <c r="O820" s="265">
        <v>7</v>
      </c>
      <c r="P820" s="281">
        <v>105</v>
      </c>
      <c r="Q820" s="281">
        <v>140</v>
      </c>
      <c r="R820" s="325" t="s">
        <v>3383</v>
      </c>
      <c r="S820" s="325"/>
      <c r="T820" s="268">
        <v>1</v>
      </c>
      <c r="U820" s="325" t="s">
        <v>4880</v>
      </c>
      <c r="V820" s="325">
        <v>0</v>
      </c>
      <c r="W820" s="325"/>
      <c r="X820" s="325" t="s">
        <v>4881</v>
      </c>
      <c r="Y820" t="s">
        <v>7111</v>
      </c>
      <c r="Z820" t="s">
        <v>7112</v>
      </c>
      <c r="AA820" s="325" t="s">
        <v>3993</v>
      </c>
      <c r="AB820" s="325"/>
      <c r="AC820" s="287">
        <v>1</v>
      </c>
      <c r="AD820" s="287">
        <v>1</v>
      </c>
      <c r="AE820" s="325"/>
      <c r="AF820" s="325"/>
      <c r="AG820" s="262">
        <v>8090102</v>
      </c>
    </row>
    <row r="821" spans="1:33" x14ac:dyDescent="0.15">
      <c r="A821" s="323">
        <v>98130103</v>
      </c>
      <c r="B821" t="s">
        <v>7113</v>
      </c>
      <c r="C821" s="268" t="s">
        <v>6316</v>
      </c>
      <c r="D821" s="324">
        <v>8201</v>
      </c>
      <c r="E821" s="325" t="s">
        <v>4876</v>
      </c>
      <c r="F821" s="325" t="s">
        <v>5672</v>
      </c>
      <c r="G821" s="325">
        <v>6</v>
      </c>
      <c r="H821" s="325">
        <v>0</v>
      </c>
      <c r="I821" s="325">
        <v>34</v>
      </c>
      <c r="J821" s="327" t="s">
        <v>5967</v>
      </c>
      <c r="K821" s="328"/>
      <c r="L821" s="328"/>
      <c r="M821" s="325">
        <v>99</v>
      </c>
      <c r="N821" s="325" t="b">
        <v>1</v>
      </c>
      <c r="O821" s="265">
        <v>7</v>
      </c>
      <c r="P821" s="281">
        <v>105</v>
      </c>
      <c r="Q821" s="281">
        <v>140</v>
      </c>
      <c r="R821" s="325" t="s">
        <v>3383</v>
      </c>
      <c r="S821" s="325"/>
      <c r="T821" s="268">
        <v>1</v>
      </c>
      <c r="U821" s="325" t="s">
        <v>4880</v>
      </c>
      <c r="V821" s="325">
        <v>0</v>
      </c>
      <c r="W821" s="325"/>
      <c r="X821" s="325" t="s">
        <v>4881</v>
      </c>
      <c r="Y821" t="s">
        <v>7114</v>
      </c>
      <c r="Z821" t="s">
        <v>7115</v>
      </c>
      <c r="AA821" s="325" t="s">
        <v>3993</v>
      </c>
      <c r="AB821" s="325"/>
      <c r="AC821" s="287">
        <v>1</v>
      </c>
      <c r="AD821" s="287">
        <v>1</v>
      </c>
      <c r="AE821" s="281"/>
      <c r="AF821" s="281"/>
      <c r="AG821" s="288">
        <v>8090103</v>
      </c>
    </row>
    <row r="822" spans="1:33" x14ac:dyDescent="0.15">
      <c r="A822" s="326">
        <v>98130201</v>
      </c>
      <c r="B822" t="s">
        <v>7116</v>
      </c>
      <c r="C822" s="268" t="s">
        <v>6316</v>
      </c>
      <c r="D822" s="324">
        <v>8202</v>
      </c>
      <c r="E822" s="325" t="s">
        <v>4876</v>
      </c>
      <c r="F822" s="325" t="s">
        <v>5672</v>
      </c>
      <c r="G822" s="325">
        <v>6</v>
      </c>
      <c r="H822" s="325">
        <v>0</v>
      </c>
      <c r="I822" s="325">
        <v>34</v>
      </c>
      <c r="J822" s="327" t="s">
        <v>5971</v>
      </c>
      <c r="K822" s="328"/>
      <c r="L822" s="328"/>
      <c r="M822" s="325">
        <v>99</v>
      </c>
      <c r="N822" s="325" t="b">
        <v>1</v>
      </c>
      <c r="O822" s="265">
        <v>7</v>
      </c>
      <c r="P822" s="281">
        <v>105</v>
      </c>
      <c r="Q822" s="281">
        <v>140</v>
      </c>
      <c r="R822" s="325" t="s">
        <v>3383</v>
      </c>
      <c r="S822" s="325"/>
      <c r="T822" s="268">
        <v>1</v>
      </c>
      <c r="U822" s="325" t="s">
        <v>4880</v>
      </c>
      <c r="V822" s="325">
        <v>0</v>
      </c>
      <c r="W822" s="325"/>
      <c r="X822" s="325" t="s">
        <v>4881</v>
      </c>
      <c r="Y822" t="s">
        <v>7117</v>
      </c>
      <c r="Z822" t="s">
        <v>7118</v>
      </c>
      <c r="AA822" s="325" t="s">
        <v>3993</v>
      </c>
      <c r="AB822" s="325"/>
      <c r="AC822" s="287">
        <v>1</v>
      </c>
      <c r="AD822" s="287">
        <v>1</v>
      </c>
      <c r="AE822" s="325"/>
      <c r="AF822" s="325"/>
      <c r="AG822" s="262">
        <v>8090102</v>
      </c>
    </row>
    <row r="823" spans="1:33" x14ac:dyDescent="0.15">
      <c r="A823" s="323">
        <v>98130202</v>
      </c>
      <c r="B823" t="s">
        <v>7119</v>
      </c>
      <c r="C823" s="268" t="s">
        <v>6316</v>
      </c>
      <c r="D823" s="324">
        <v>8201</v>
      </c>
      <c r="E823" s="325" t="s">
        <v>4876</v>
      </c>
      <c r="F823" s="325" t="s">
        <v>5672</v>
      </c>
      <c r="G823" s="325">
        <v>6</v>
      </c>
      <c r="H823" s="325">
        <v>0</v>
      </c>
      <c r="I823" s="325">
        <v>34</v>
      </c>
      <c r="J823" s="327" t="s">
        <v>5974</v>
      </c>
      <c r="K823" s="328"/>
      <c r="L823" s="328"/>
      <c r="M823" s="325">
        <v>99</v>
      </c>
      <c r="N823" s="325" t="b">
        <v>1</v>
      </c>
      <c r="O823" s="265">
        <v>7</v>
      </c>
      <c r="P823" s="281">
        <v>105</v>
      </c>
      <c r="Q823" s="281">
        <v>140</v>
      </c>
      <c r="R823" s="325" t="s">
        <v>3383</v>
      </c>
      <c r="S823" s="325"/>
      <c r="T823" s="268">
        <v>1</v>
      </c>
      <c r="U823" s="325" t="s">
        <v>4880</v>
      </c>
      <c r="V823" s="325">
        <v>0</v>
      </c>
      <c r="W823" s="325"/>
      <c r="X823" s="325" t="s">
        <v>4881</v>
      </c>
      <c r="Y823" t="s">
        <v>7120</v>
      </c>
      <c r="Z823" t="s">
        <v>7121</v>
      </c>
      <c r="AA823" s="325" t="s">
        <v>3993</v>
      </c>
      <c r="AB823" s="325"/>
      <c r="AC823" s="287">
        <v>1</v>
      </c>
      <c r="AD823" s="287">
        <v>1</v>
      </c>
      <c r="AE823" s="281"/>
      <c r="AF823" s="281"/>
      <c r="AG823" s="288">
        <v>8090103</v>
      </c>
    </row>
    <row r="824" spans="1:33" x14ac:dyDescent="0.15">
      <c r="A824" s="326">
        <v>98150101</v>
      </c>
      <c r="B824" t="s">
        <v>7122</v>
      </c>
      <c r="C824" s="268" t="s">
        <v>6316</v>
      </c>
      <c r="D824" s="324">
        <v>8202</v>
      </c>
      <c r="E824" s="325" t="s">
        <v>4876</v>
      </c>
      <c r="F824" s="325" t="s">
        <v>5672</v>
      </c>
      <c r="G824" s="325">
        <v>6</v>
      </c>
      <c r="H824" s="325">
        <v>0</v>
      </c>
      <c r="I824" s="325">
        <v>34</v>
      </c>
      <c r="J824" s="327" t="s">
        <v>5977</v>
      </c>
      <c r="K824" s="328"/>
      <c r="L824" s="328"/>
      <c r="M824" s="325">
        <v>99</v>
      </c>
      <c r="N824" s="325" t="b">
        <v>1</v>
      </c>
      <c r="O824" s="265">
        <v>7</v>
      </c>
      <c r="P824" s="281">
        <v>105</v>
      </c>
      <c r="Q824" s="281">
        <v>140</v>
      </c>
      <c r="R824" s="325" t="s">
        <v>3383</v>
      </c>
      <c r="S824" s="325"/>
      <c r="T824" s="268">
        <v>1</v>
      </c>
      <c r="U824" s="325" t="s">
        <v>4880</v>
      </c>
      <c r="V824" s="325">
        <v>0</v>
      </c>
      <c r="W824" s="325"/>
      <c r="X824" s="325" t="s">
        <v>4881</v>
      </c>
      <c r="Y824" t="s">
        <v>7123</v>
      </c>
      <c r="Z824" t="s">
        <v>7124</v>
      </c>
      <c r="AA824" s="325" t="s">
        <v>3993</v>
      </c>
      <c r="AB824" s="325"/>
      <c r="AC824" s="287">
        <v>1</v>
      </c>
      <c r="AD824" s="287">
        <v>1</v>
      </c>
      <c r="AE824" s="281"/>
      <c r="AF824" s="281"/>
      <c r="AG824" s="288">
        <v>8090101</v>
      </c>
    </row>
    <row r="825" spans="1:33" x14ac:dyDescent="0.15">
      <c r="A825" s="323">
        <v>98150102</v>
      </c>
      <c r="B825" t="s">
        <v>7125</v>
      </c>
      <c r="C825" s="268" t="s">
        <v>6316</v>
      </c>
      <c r="D825" s="324">
        <v>8202</v>
      </c>
      <c r="E825" s="325" t="s">
        <v>4876</v>
      </c>
      <c r="F825" s="325" t="s">
        <v>5672</v>
      </c>
      <c r="G825" s="325">
        <v>6</v>
      </c>
      <c r="H825" s="325">
        <v>0</v>
      </c>
      <c r="I825" s="325">
        <v>34</v>
      </c>
      <c r="J825" s="327" t="s">
        <v>5981</v>
      </c>
      <c r="K825" s="328"/>
      <c r="L825" s="328"/>
      <c r="M825" s="325">
        <v>99</v>
      </c>
      <c r="N825" s="325" t="b">
        <v>1</v>
      </c>
      <c r="O825" s="265">
        <v>7</v>
      </c>
      <c r="P825" s="281">
        <v>105</v>
      </c>
      <c r="Q825" s="281">
        <v>140</v>
      </c>
      <c r="R825" s="325" t="s">
        <v>3383</v>
      </c>
      <c r="S825" s="325"/>
      <c r="T825" s="268">
        <v>1</v>
      </c>
      <c r="U825" s="325" t="s">
        <v>4880</v>
      </c>
      <c r="V825" s="325">
        <v>0</v>
      </c>
      <c r="W825" s="325"/>
      <c r="X825" s="325" t="s">
        <v>4881</v>
      </c>
      <c r="Y825" t="s">
        <v>7126</v>
      </c>
      <c r="Z825" t="s">
        <v>7127</v>
      </c>
      <c r="AA825" s="325" t="s">
        <v>3993</v>
      </c>
      <c r="AB825" s="325"/>
      <c r="AC825" s="287">
        <v>1</v>
      </c>
      <c r="AD825" s="287">
        <v>1</v>
      </c>
      <c r="AE825" s="281"/>
      <c r="AF825" s="281"/>
      <c r="AG825" s="288">
        <v>8090102</v>
      </c>
    </row>
    <row r="826" spans="1:33" x14ac:dyDescent="0.15">
      <c r="A826" s="326">
        <v>98150103</v>
      </c>
      <c r="B826" t="s">
        <v>7128</v>
      </c>
      <c r="C826" s="268" t="s">
        <v>6316</v>
      </c>
      <c r="D826" s="324">
        <v>8201</v>
      </c>
      <c r="E826" s="325" t="s">
        <v>4876</v>
      </c>
      <c r="F826" s="325" t="s">
        <v>5672</v>
      </c>
      <c r="G826" s="325">
        <v>6</v>
      </c>
      <c r="H826" s="325">
        <v>0</v>
      </c>
      <c r="I826" s="325">
        <v>34</v>
      </c>
      <c r="J826" s="327" t="s">
        <v>5985</v>
      </c>
      <c r="K826" s="328"/>
      <c r="L826" s="328"/>
      <c r="M826" s="325">
        <v>99</v>
      </c>
      <c r="N826" s="325" t="b">
        <v>1</v>
      </c>
      <c r="O826" s="265">
        <v>7</v>
      </c>
      <c r="P826" s="281">
        <v>105</v>
      </c>
      <c r="Q826" s="281">
        <v>140</v>
      </c>
      <c r="R826" s="325" t="s">
        <v>3383</v>
      </c>
      <c r="S826" s="325"/>
      <c r="T826" s="268">
        <v>1</v>
      </c>
      <c r="U826" s="325" t="s">
        <v>4880</v>
      </c>
      <c r="V826" s="325">
        <v>0</v>
      </c>
      <c r="W826" s="325"/>
      <c r="X826" s="325" t="s">
        <v>4881</v>
      </c>
      <c r="Y826" t="s">
        <v>7129</v>
      </c>
      <c r="Z826" t="s">
        <v>7130</v>
      </c>
      <c r="AA826" s="325" t="s">
        <v>3993</v>
      </c>
      <c r="AB826" s="325"/>
      <c r="AC826" s="287">
        <v>1</v>
      </c>
      <c r="AD826" s="287">
        <v>1</v>
      </c>
      <c r="AE826" s="281"/>
      <c r="AF826" s="281"/>
      <c r="AG826" s="288">
        <v>8090103</v>
      </c>
    </row>
    <row r="827" spans="1:33" x14ac:dyDescent="0.15">
      <c r="A827" s="323">
        <v>98120101</v>
      </c>
      <c r="B827" t="s">
        <v>7131</v>
      </c>
      <c r="C827" s="268" t="s">
        <v>6316</v>
      </c>
      <c r="D827" s="324">
        <v>8202</v>
      </c>
      <c r="E827" s="325" t="s">
        <v>4876</v>
      </c>
      <c r="F827" s="325" t="s">
        <v>5672</v>
      </c>
      <c r="G827" s="325">
        <v>6</v>
      </c>
      <c r="H827" s="325">
        <v>0</v>
      </c>
      <c r="I827" s="325">
        <v>34</v>
      </c>
      <c r="J827" s="327" t="s">
        <v>5989</v>
      </c>
      <c r="K827" s="328"/>
      <c r="L827" s="328"/>
      <c r="M827" s="325">
        <v>99</v>
      </c>
      <c r="N827" s="325" t="b">
        <v>1</v>
      </c>
      <c r="O827" s="265">
        <v>7</v>
      </c>
      <c r="P827" s="281">
        <v>105</v>
      </c>
      <c r="Q827" s="281">
        <v>140</v>
      </c>
      <c r="R827" s="325" t="s">
        <v>3383</v>
      </c>
      <c r="S827" s="325"/>
      <c r="T827" s="268">
        <v>1</v>
      </c>
      <c r="U827" s="325" t="s">
        <v>4880</v>
      </c>
      <c r="V827" s="325">
        <v>0</v>
      </c>
      <c r="W827" s="325"/>
      <c r="X827" s="325" t="s">
        <v>4881</v>
      </c>
      <c r="Y827" t="s">
        <v>7132</v>
      </c>
      <c r="Z827" t="s">
        <v>7133</v>
      </c>
      <c r="AA827" s="325" t="s">
        <v>3993</v>
      </c>
      <c r="AB827" s="325"/>
      <c r="AC827" s="287">
        <v>1</v>
      </c>
      <c r="AD827" s="287">
        <v>1</v>
      </c>
      <c r="AE827" s="281"/>
      <c r="AF827" s="281"/>
      <c r="AG827" s="288">
        <v>8120101</v>
      </c>
    </row>
    <row r="828" spans="1:33" x14ac:dyDescent="0.15">
      <c r="A828" s="326">
        <v>98120102</v>
      </c>
      <c r="B828" t="s">
        <v>7134</v>
      </c>
      <c r="C828" s="268" t="s">
        <v>6316</v>
      </c>
      <c r="D828" s="324">
        <v>8202</v>
      </c>
      <c r="E828" s="325" t="s">
        <v>4876</v>
      </c>
      <c r="F828" s="325" t="s">
        <v>5672</v>
      </c>
      <c r="G828" s="325">
        <v>6</v>
      </c>
      <c r="H828" s="325">
        <v>0</v>
      </c>
      <c r="I828" s="325">
        <v>34</v>
      </c>
      <c r="J828" s="327" t="s">
        <v>5993</v>
      </c>
      <c r="K828" s="328"/>
      <c r="L828" s="328"/>
      <c r="M828" s="325">
        <v>99</v>
      </c>
      <c r="N828" s="325" t="b">
        <v>1</v>
      </c>
      <c r="O828" s="265">
        <v>7</v>
      </c>
      <c r="P828" s="281">
        <v>105</v>
      </c>
      <c r="Q828" s="281">
        <v>140</v>
      </c>
      <c r="R828" s="325" t="s">
        <v>3383</v>
      </c>
      <c r="S828" s="325"/>
      <c r="T828" s="268">
        <v>1</v>
      </c>
      <c r="U828" s="325" t="s">
        <v>4880</v>
      </c>
      <c r="V828" s="325">
        <v>0</v>
      </c>
      <c r="W828" s="325"/>
      <c r="X828" s="325" t="s">
        <v>4881</v>
      </c>
      <c r="Y828" t="s">
        <v>7135</v>
      </c>
      <c r="Z828" t="s">
        <v>7136</v>
      </c>
      <c r="AA828" s="325" t="s">
        <v>3993</v>
      </c>
      <c r="AB828" s="325"/>
      <c r="AC828" s="287">
        <v>1</v>
      </c>
      <c r="AD828" s="287">
        <v>1</v>
      </c>
      <c r="AE828" s="281"/>
      <c r="AF828" s="281"/>
      <c r="AG828" s="288">
        <v>8120102</v>
      </c>
    </row>
    <row r="829" spans="1:33" x14ac:dyDescent="0.15">
      <c r="A829" s="323">
        <v>98120103</v>
      </c>
      <c r="B829" t="s">
        <v>7137</v>
      </c>
      <c r="C829" s="268" t="s">
        <v>6316</v>
      </c>
      <c r="D829" s="324">
        <v>8202</v>
      </c>
      <c r="E829" s="325" t="s">
        <v>4876</v>
      </c>
      <c r="F829" s="325" t="s">
        <v>5672</v>
      </c>
      <c r="G829" s="325">
        <v>6</v>
      </c>
      <c r="H829" s="325">
        <v>0</v>
      </c>
      <c r="I829" s="325">
        <v>34</v>
      </c>
      <c r="J829" s="327" t="s">
        <v>5997</v>
      </c>
      <c r="K829" s="328"/>
      <c r="L829" s="328"/>
      <c r="M829" s="325">
        <v>99</v>
      </c>
      <c r="N829" s="325" t="b">
        <v>1</v>
      </c>
      <c r="O829" s="265">
        <v>7</v>
      </c>
      <c r="P829" s="281">
        <v>105</v>
      </c>
      <c r="Q829" s="281">
        <v>140</v>
      </c>
      <c r="R829" s="325" t="s">
        <v>3383</v>
      </c>
      <c r="S829" s="325"/>
      <c r="T829" s="268">
        <v>1</v>
      </c>
      <c r="U829" s="325" t="s">
        <v>4880</v>
      </c>
      <c r="V829" s="325">
        <v>0</v>
      </c>
      <c r="W829" s="325"/>
      <c r="X829" s="325" t="s">
        <v>4881</v>
      </c>
      <c r="Y829" t="s">
        <v>7138</v>
      </c>
      <c r="Z829" t="s">
        <v>7139</v>
      </c>
      <c r="AA829" s="325" t="s">
        <v>3993</v>
      </c>
      <c r="AB829" s="325"/>
      <c r="AC829" s="287">
        <v>1</v>
      </c>
      <c r="AD829" s="287">
        <v>1</v>
      </c>
      <c r="AE829" s="281"/>
      <c r="AF829" s="281"/>
      <c r="AG829" s="288">
        <v>8120103</v>
      </c>
    </row>
    <row r="830" spans="1:33" x14ac:dyDescent="0.15">
      <c r="A830" s="326">
        <v>98110101</v>
      </c>
      <c r="B830" t="s">
        <v>7140</v>
      </c>
      <c r="C830" s="268" t="s">
        <v>6316</v>
      </c>
      <c r="D830" s="324">
        <v>8201</v>
      </c>
      <c r="E830" s="325" t="s">
        <v>4876</v>
      </c>
      <c r="F830" s="325" t="s">
        <v>5672</v>
      </c>
      <c r="G830" s="325">
        <v>6</v>
      </c>
      <c r="H830" s="325">
        <v>0</v>
      </c>
      <c r="I830" s="325">
        <v>34</v>
      </c>
      <c r="J830" s="327" t="s">
        <v>6001</v>
      </c>
      <c r="K830" s="328"/>
      <c r="L830" s="328"/>
      <c r="M830" s="325">
        <v>99</v>
      </c>
      <c r="N830" s="325" t="b">
        <v>1</v>
      </c>
      <c r="O830" s="265">
        <v>7</v>
      </c>
      <c r="P830" s="281">
        <v>105</v>
      </c>
      <c r="Q830" s="281">
        <v>140</v>
      </c>
      <c r="R830" s="325" t="s">
        <v>3383</v>
      </c>
      <c r="S830" s="325"/>
      <c r="T830" s="268">
        <v>1</v>
      </c>
      <c r="U830" s="325" t="s">
        <v>4880</v>
      </c>
      <c r="V830" s="325">
        <v>0</v>
      </c>
      <c r="W830" s="325"/>
      <c r="X830" s="325" t="s">
        <v>4881</v>
      </c>
      <c r="Y830" t="s">
        <v>7141</v>
      </c>
      <c r="Z830" t="s">
        <v>7142</v>
      </c>
      <c r="AA830" s="325" t="s">
        <v>3993</v>
      </c>
      <c r="AB830" s="325"/>
      <c r="AC830" s="287">
        <v>1</v>
      </c>
      <c r="AD830" s="287">
        <v>1</v>
      </c>
      <c r="AE830" s="281"/>
      <c r="AF830" s="281"/>
      <c r="AG830" s="288">
        <v>8110101</v>
      </c>
    </row>
    <row r="831" spans="1:33" x14ac:dyDescent="0.15">
      <c r="A831" s="323">
        <v>98110102</v>
      </c>
      <c r="B831" t="s">
        <v>7143</v>
      </c>
      <c r="C831" s="268" t="s">
        <v>6316</v>
      </c>
      <c r="D831" s="324">
        <v>8201</v>
      </c>
      <c r="E831" s="325" t="s">
        <v>4876</v>
      </c>
      <c r="F831" s="325" t="s">
        <v>5672</v>
      </c>
      <c r="G831" s="325">
        <v>6</v>
      </c>
      <c r="H831" s="325">
        <v>0</v>
      </c>
      <c r="I831" s="325">
        <v>34</v>
      </c>
      <c r="J831" s="327" t="s">
        <v>6005</v>
      </c>
      <c r="K831" s="328"/>
      <c r="L831" s="328"/>
      <c r="M831" s="325">
        <v>99</v>
      </c>
      <c r="N831" s="325" t="b">
        <v>1</v>
      </c>
      <c r="O831" s="265">
        <v>7</v>
      </c>
      <c r="P831" s="281">
        <v>105</v>
      </c>
      <c r="Q831" s="281">
        <v>140</v>
      </c>
      <c r="R831" s="325" t="s">
        <v>3383</v>
      </c>
      <c r="S831" s="325"/>
      <c r="T831" s="268">
        <v>1</v>
      </c>
      <c r="U831" s="325" t="s">
        <v>4880</v>
      </c>
      <c r="V831" s="325">
        <v>0</v>
      </c>
      <c r="W831" s="325"/>
      <c r="X831" s="325" t="s">
        <v>4881</v>
      </c>
      <c r="Y831" t="s">
        <v>7144</v>
      </c>
      <c r="Z831" t="s">
        <v>7145</v>
      </c>
      <c r="AA831" s="325" t="s">
        <v>3993</v>
      </c>
      <c r="AB831" s="325"/>
      <c r="AC831" s="287">
        <v>1</v>
      </c>
      <c r="AD831" s="287">
        <v>1</v>
      </c>
      <c r="AE831" s="281"/>
      <c r="AF831" s="281"/>
      <c r="AG831" s="288">
        <v>8110102</v>
      </c>
    </row>
    <row r="832" spans="1:33" x14ac:dyDescent="0.15">
      <c r="A832" s="326">
        <v>98110103</v>
      </c>
      <c r="B832" t="s">
        <v>7146</v>
      </c>
      <c r="C832" s="268" t="s">
        <v>6316</v>
      </c>
      <c r="D832" s="324">
        <v>8201</v>
      </c>
      <c r="E832" s="325" t="s">
        <v>4876</v>
      </c>
      <c r="F832" s="325" t="s">
        <v>5672</v>
      </c>
      <c r="G832" s="325">
        <v>6</v>
      </c>
      <c r="H832" s="325">
        <v>0</v>
      </c>
      <c r="I832" s="325">
        <v>34</v>
      </c>
      <c r="J832" s="327" t="s">
        <v>6009</v>
      </c>
      <c r="K832" s="328"/>
      <c r="L832" s="328"/>
      <c r="M832" s="325">
        <v>99</v>
      </c>
      <c r="N832" s="325" t="b">
        <v>1</v>
      </c>
      <c r="O832" s="265">
        <v>7</v>
      </c>
      <c r="P832" s="281">
        <v>105</v>
      </c>
      <c r="Q832" s="281">
        <v>140</v>
      </c>
      <c r="R832" s="325" t="s">
        <v>3383</v>
      </c>
      <c r="S832" s="325"/>
      <c r="T832" s="268">
        <v>1</v>
      </c>
      <c r="U832" s="325" t="s">
        <v>4880</v>
      </c>
      <c r="V832" s="325">
        <v>0</v>
      </c>
      <c r="W832" s="325"/>
      <c r="X832" s="325" t="s">
        <v>4881</v>
      </c>
      <c r="Y832" t="s">
        <v>7147</v>
      </c>
      <c r="Z832" t="s">
        <v>7148</v>
      </c>
      <c r="AA832" s="325" t="s">
        <v>3993</v>
      </c>
      <c r="AB832" s="325"/>
      <c r="AC832" s="287">
        <v>1</v>
      </c>
      <c r="AD832" s="287">
        <v>1</v>
      </c>
      <c r="AE832" s="281"/>
      <c r="AF832" s="281"/>
      <c r="AG832" s="288">
        <v>8110103</v>
      </c>
    </row>
    <row r="833" spans="1:33" x14ac:dyDescent="0.15">
      <c r="A833" s="323">
        <v>98100201</v>
      </c>
      <c r="B833" t="s">
        <v>7149</v>
      </c>
      <c r="C833" s="268" t="s">
        <v>6316</v>
      </c>
      <c r="D833" s="324">
        <v>8202</v>
      </c>
      <c r="E833" s="325" t="s">
        <v>4876</v>
      </c>
      <c r="F833" s="325" t="s">
        <v>5672</v>
      </c>
      <c r="G833" s="325">
        <v>6</v>
      </c>
      <c r="H833" s="325">
        <v>0</v>
      </c>
      <c r="I833" s="325">
        <v>34</v>
      </c>
      <c r="J833" s="327" t="s">
        <v>6013</v>
      </c>
      <c r="K833" s="328"/>
      <c r="L833" s="328"/>
      <c r="M833" s="325">
        <v>99</v>
      </c>
      <c r="N833" s="325" t="b">
        <v>1</v>
      </c>
      <c r="O833" s="265">
        <v>7</v>
      </c>
      <c r="P833" s="281">
        <v>105</v>
      </c>
      <c r="Q833" s="281">
        <v>140</v>
      </c>
      <c r="R833" s="325" t="s">
        <v>3383</v>
      </c>
      <c r="S833" s="325"/>
      <c r="T833" s="268">
        <v>1</v>
      </c>
      <c r="U833" s="325" t="s">
        <v>4880</v>
      </c>
      <c r="V833" s="325">
        <v>0</v>
      </c>
      <c r="W833" s="325"/>
      <c r="X833" s="325" t="s">
        <v>4881</v>
      </c>
      <c r="Y833" t="s">
        <v>7150</v>
      </c>
      <c r="Z833" t="s">
        <v>7151</v>
      </c>
      <c r="AA833" s="325" t="s">
        <v>3993</v>
      </c>
      <c r="AB833" s="325"/>
      <c r="AC833" s="287">
        <v>1</v>
      </c>
      <c r="AD833" s="287">
        <v>1</v>
      </c>
      <c r="AE833" s="281"/>
      <c r="AF833" s="281"/>
      <c r="AG833" s="288">
        <v>8100201</v>
      </c>
    </row>
    <row r="834" spans="1:33" x14ac:dyDescent="0.15">
      <c r="A834" s="326">
        <v>98100202</v>
      </c>
      <c r="B834" t="s">
        <v>7152</v>
      </c>
      <c r="C834" s="268" t="s">
        <v>6316</v>
      </c>
      <c r="D834" s="324">
        <v>8202</v>
      </c>
      <c r="E834" s="325" t="s">
        <v>4876</v>
      </c>
      <c r="F834" s="325" t="s">
        <v>5672</v>
      </c>
      <c r="G834" s="325">
        <v>6</v>
      </c>
      <c r="H834" s="325">
        <v>0</v>
      </c>
      <c r="I834" s="325">
        <v>34</v>
      </c>
      <c r="J834" s="327" t="s">
        <v>6017</v>
      </c>
      <c r="K834" s="328"/>
      <c r="L834" s="328"/>
      <c r="M834" s="325">
        <v>99</v>
      </c>
      <c r="N834" s="325" t="b">
        <v>1</v>
      </c>
      <c r="O834" s="265">
        <v>7</v>
      </c>
      <c r="P834" s="281">
        <v>105</v>
      </c>
      <c r="Q834" s="281">
        <v>140</v>
      </c>
      <c r="R834" s="325" t="s">
        <v>3383</v>
      </c>
      <c r="S834" s="325"/>
      <c r="T834" s="268">
        <v>1</v>
      </c>
      <c r="U834" s="325" t="s">
        <v>4880</v>
      </c>
      <c r="V834" s="325">
        <v>0</v>
      </c>
      <c r="W834" s="325"/>
      <c r="X834" s="325" t="s">
        <v>4881</v>
      </c>
      <c r="Y834" t="s">
        <v>7153</v>
      </c>
      <c r="Z834" t="s">
        <v>7154</v>
      </c>
      <c r="AA834" s="325" t="s">
        <v>3993</v>
      </c>
      <c r="AB834" s="325"/>
      <c r="AC834" s="287">
        <v>1</v>
      </c>
      <c r="AD834" s="287">
        <v>1</v>
      </c>
      <c r="AE834" s="281"/>
      <c r="AF834" s="281"/>
      <c r="AG834" s="288">
        <v>8100202</v>
      </c>
    </row>
    <row r="835" spans="1:33" x14ac:dyDescent="0.15">
      <c r="A835" s="323">
        <v>98010305</v>
      </c>
      <c r="B835" t="s">
        <v>7155</v>
      </c>
      <c r="C835" s="268" t="s">
        <v>6316</v>
      </c>
      <c r="D835" s="324">
        <v>8202</v>
      </c>
      <c r="E835" s="325" t="s">
        <v>4876</v>
      </c>
      <c r="F835" s="325" t="s">
        <v>5672</v>
      </c>
      <c r="G835" s="325">
        <v>6</v>
      </c>
      <c r="H835" s="325">
        <v>0</v>
      </c>
      <c r="I835" s="325">
        <v>34</v>
      </c>
      <c r="J835" s="327" t="s">
        <v>6021</v>
      </c>
      <c r="K835" s="328"/>
      <c r="L835" s="328"/>
      <c r="M835" s="325">
        <v>99</v>
      </c>
      <c r="N835" s="325" t="b">
        <v>1</v>
      </c>
      <c r="O835" s="265">
        <v>7</v>
      </c>
      <c r="P835" s="281">
        <v>105</v>
      </c>
      <c r="Q835" s="281">
        <v>140</v>
      </c>
      <c r="R835" s="325" t="s">
        <v>3383</v>
      </c>
      <c r="S835" s="325"/>
      <c r="T835" s="268">
        <v>1</v>
      </c>
      <c r="U835" s="325" t="s">
        <v>4880</v>
      </c>
      <c r="V835" s="325">
        <v>0</v>
      </c>
      <c r="W835" s="325"/>
      <c r="X835" s="325" t="s">
        <v>4881</v>
      </c>
      <c r="Y835" t="s">
        <v>7156</v>
      </c>
      <c r="Z835" t="s">
        <v>7157</v>
      </c>
      <c r="AA835" s="325" t="s">
        <v>3993</v>
      </c>
      <c r="AB835" s="325"/>
      <c r="AC835" s="287">
        <v>1</v>
      </c>
      <c r="AD835" s="287">
        <v>1</v>
      </c>
      <c r="AE835" s="281"/>
      <c r="AF835" s="281"/>
      <c r="AG835" s="288">
        <v>8010305</v>
      </c>
    </row>
    <row r="836" spans="1:33" x14ac:dyDescent="0.15">
      <c r="A836" s="329">
        <v>98100301</v>
      </c>
      <c r="B836" t="s">
        <v>7158</v>
      </c>
      <c r="C836" s="268" t="s">
        <v>6316</v>
      </c>
      <c r="D836" s="147">
        <v>8201</v>
      </c>
      <c r="E836" s="147" t="s">
        <v>4876</v>
      </c>
      <c r="F836" s="147" t="s">
        <v>5672</v>
      </c>
      <c r="G836" s="147">
        <v>6</v>
      </c>
      <c r="H836" s="147">
        <v>0</v>
      </c>
      <c r="I836" s="147">
        <v>34</v>
      </c>
      <c r="J836" s="147" t="str">
        <f t="shared" ref="J836:J839" si="0">"2;"&amp;AG836</f>
        <v>2;8100301</v>
      </c>
      <c r="M836" s="147">
        <v>99</v>
      </c>
      <c r="N836" s="147" t="b">
        <v>1</v>
      </c>
      <c r="O836" s="147">
        <v>7</v>
      </c>
      <c r="P836" s="281">
        <v>105</v>
      </c>
      <c r="Q836" s="281">
        <v>140</v>
      </c>
      <c r="R836" s="147" t="s">
        <v>3383</v>
      </c>
      <c r="T836" s="147">
        <v>1</v>
      </c>
      <c r="U836" s="147" t="s">
        <v>4880</v>
      </c>
      <c r="V836" s="147">
        <v>0</v>
      </c>
      <c r="X836" s="147" t="s">
        <v>4881</v>
      </c>
      <c r="Y836" t="s">
        <v>7159</v>
      </c>
      <c r="Z836" t="s">
        <v>7160</v>
      </c>
      <c r="AA836" s="147" t="s">
        <v>3993</v>
      </c>
      <c r="AC836" s="147">
        <v>1</v>
      </c>
      <c r="AD836" s="147">
        <v>1</v>
      </c>
      <c r="AG836" s="147">
        <v>8100301</v>
      </c>
    </row>
    <row r="837" spans="1:33" x14ac:dyDescent="0.15">
      <c r="A837" s="330" t="s">
        <v>6027</v>
      </c>
      <c r="B837" t="s">
        <v>7161</v>
      </c>
      <c r="C837" s="268" t="s">
        <v>6316</v>
      </c>
      <c r="D837" s="147">
        <v>8202</v>
      </c>
      <c r="E837" s="147" t="s">
        <v>4876</v>
      </c>
      <c r="F837" s="147" t="s">
        <v>5672</v>
      </c>
      <c r="G837" s="147">
        <v>6</v>
      </c>
      <c r="H837" s="147">
        <v>0</v>
      </c>
      <c r="I837" s="147">
        <v>34</v>
      </c>
      <c r="J837" s="147" t="str">
        <f t="shared" si="0"/>
        <v>2;8100302</v>
      </c>
      <c r="M837" s="147">
        <v>99</v>
      </c>
      <c r="N837" s="147" t="b">
        <v>1</v>
      </c>
      <c r="O837" s="147">
        <v>7</v>
      </c>
      <c r="P837" s="281">
        <v>105</v>
      </c>
      <c r="Q837" s="281">
        <v>140</v>
      </c>
      <c r="R837" s="147" t="s">
        <v>3383</v>
      </c>
      <c r="T837" s="147">
        <v>1</v>
      </c>
      <c r="U837" s="147" t="s">
        <v>4880</v>
      </c>
      <c r="V837" s="147">
        <v>0</v>
      </c>
      <c r="X837" s="147" t="s">
        <v>4881</v>
      </c>
      <c r="Y837" t="s">
        <v>7162</v>
      </c>
      <c r="Z837" t="s">
        <v>7163</v>
      </c>
      <c r="AA837" s="147" t="s">
        <v>3993</v>
      </c>
      <c r="AC837" s="147">
        <v>1</v>
      </c>
      <c r="AD837" s="147">
        <v>1</v>
      </c>
      <c r="AG837" s="147" t="s">
        <v>6030</v>
      </c>
    </row>
    <row r="838" spans="1:33" x14ac:dyDescent="0.15">
      <c r="A838" s="329">
        <v>98100401</v>
      </c>
      <c r="B838" t="s">
        <v>7164</v>
      </c>
      <c r="C838" s="268" t="s">
        <v>6316</v>
      </c>
      <c r="D838" s="147">
        <v>8202</v>
      </c>
      <c r="E838" s="147" t="s">
        <v>4876</v>
      </c>
      <c r="F838" s="147" t="s">
        <v>5672</v>
      </c>
      <c r="G838" s="147">
        <v>6</v>
      </c>
      <c r="H838" s="147">
        <v>0</v>
      </c>
      <c r="I838" s="147">
        <v>34</v>
      </c>
      <c r="J838" s="147" t="str">
        <f t="shared" si="0"/>
        <v>2;8100401</v>
      </c>
      <c r="M838" s="147">
        <v>99</v>
      </c>
      <c r="N838" s="147" t="b">
        <v>1</v>
      </c>
      <c r="O838" s="147">
        <v>7</v>
      </c>
      <c r="P838" s="281">
        <v>105</v>
      </c>
      <c r="Q838" s="281">
        <v>140</v>
      </c>
      <c r="R838" s="147" t="s">
        <v>3383</v>
      </c>
      <c r="T838" s="147">
        <v>1</v>
      </c>
      <c r="U838" s="147" t="s">
        <v>4880</v>
      </c>
      <c r="V838" s="147">
        <v>0</v>
      </c>
      <c r="X838" s="147" t="s">
        <v>4881</v>
      </c>
      <c r="Y838" t="s">
        <v>7165</v>
      </c>
      <c r="Z838" t="s">
        <v>7166</v>
      </c>
      <c r="AA838" s="147" t="s">
        <v>3993</v>
      </c>
      <c r="AC838" s="147">
        <v>1</v>
      </c>
      <c r="AD838" s="147">
        <v>1</v>
      </c>
      <c r="AG838" s="147">
        <v>8100401</v>
      </c>
    </row>
    <row r="839" spans="1:33" x14ac:dyDescent="0.15">
      <c r="A839" s="330" t="s">
        <v>6033</v>
      </c>
      <c r="B839" t="s">
        <v>7167</v>
      </c>
      <c r="C839" s="268" t="s">
        <v>6316</v>
      </c>
      <c r="D839" s="147">
        <v>8201</v>
      </c>
      <c r="E839" s="147" t="s">
        <v>4876</v>
      </c>
      <c r="F839" s="147" t="s">
        <v>5672</v>
      </c>
      <c r="G839" s="147">
        <v>6</v>
      </c>
      <c r="H839" s="147">
        <v>0</v>
      </c>
      <c r="I839" s="147">
        <v>34</v>
      </c>
      <c r="J839" s="147" t="str">
        <f t="shared" si="0"/>
        <v>2;8100402</v>
      </c>
      <c r="M839" s="147">
        <v>99</v>
      </c>
      <c r="N839" s="147" t="b">
        <v>1</v>
      </c>
      <c r="O839" s="147">
        <v>7</v>
      </c>
      <c r="P839" s="281">
        <v>105</v>
      </c>
      <c r="Q839" s="281">
        <v>140</v>
      </c>
      <c r="R839" s="147" t="s">
        <v>3383</v>
      </c>
      <c r="T839" s="147">
        <v>1</v>
      </c>
      <c r="U839" s="147" t="s">
        <v>4880</v>
      </c>
      <c r="V839" s="147">
        <v>0</v>
      </c>
      <c r="X839" s="147" t="s">
        <v>4881</v>
      </c>
      <c r="Y839" t="s">
        <v>7168</v>
      </c>
      <c r="Z839" t="s">
        <v>7169</v>
      </c>
      <c r="AA839" s="147" t="s">
        <v>3993</v>
      </c>
      <c r="AC839" s="147">
        <v>1</v>
      </c>
      <c r="AD839" s="147">
        <v>1</v>
      </c>
      <c r="AG839" s="147" t="s">
        <v>6036</v>
      </c>
    </row>
    <row r="840" spans="1:33" x14ac:dyDescent="0.15">
      <c r="A840" s="326">
        <v>98140101</v>
      </c>
      <c r="B840" t="s">
        <v>7170</v>
      </c>
      <c r="C840" s="268" t="s">
        <v>6316</v>
      </c>
      <c r="D840" s="324">
        <v>8202</v>
      </c>
      <c r="E840" s="325" t="s">
        <v>4876</v>
      </c>
      <c r="F840" s="325" t="s">
        <v>5672</v>
      </c>
      <c r="G840" s="325">
        <v>6</v>
      </c>
      <c r="H840" s="325">
        <v>0</v>
      </c>
      <c r="I840" s="325">
        <v>34</v>
      </c>
      <c r="J840" s="327" t="s">
        <v>6038</v>
      </c>
      <c r="K840" s="328"/>
      <c r="L840" s="328"/>
      <c r="M840" s="325">
        <v>99</v>
      </c>
      <c r="N840" s="325" t="b">
        <v>1</v>
      </c>
      <c r="O840" s="265">
        <v>7</v>
      </c>
      <c r="P840" s="281">
        <v>105</v>
      </c>
      <c r="Q840" s="281">
        <v>140</v>
      </c>
      <c r="R840" s="325" t="s">
        <v>3383</v>
      </c>
      <c r="S840" s="325"/>
      <c r="T840" s="268">
        <v>1</v>
      </c>
      <c r="U840" s="325" t="s">
        <v>4880</v>
      </c>
      <c r="V840" s="325">
        <v>0</v>
      </c>
      <c r="W840" s="325"/>
      <c r="X840" s="325" t="s">
        <v>4881</v>
      </c>
      <c r="Y840" t="s">
        <v>7171</v>
      </c>
      <c r="Z840" t="s">
        <v>7172</v>
      </c>
      <c r="AA840" s="325" t="s">
        <v>3993</v>
      </c>
      <c r="AB840" s="325"/>
      <c r="AC840" s="287">
        <v>1</v>
      </c>
      <c r="AD840" s="287">
        <v>1</v>
      </c>
      <c r="AE840" s="281"/>
      <c r="AF840" s="281"/>
      <c r="AG840" s="288">
        <v>8140101</v>
      </c>
    </row>
    <row r="841" spans="1:33" x14ac:dyDescent="0.15">
      <c r="A841" s="323">
        <v>98140102</v>
      </c>
      <c r="B841" t="s">
        <v>7173</v>
      </c>
      <c r="C841" s="268" t="s">
        <v>6316</v>
      </c>
      <c r="D841" s="324">
        <v>8201</v>
      </c>
      <c r="E841" s="325" t="s">
        <v>4876</v>
      </c>
      <c r="F841" s="325" t="s">
        <v>5672</v>
      </c>
      <c r="G841" s="325">
        <v>6</v>
      </c>
      <c r="H841" s="325">
        <v>0</v>
      </c>
      <c r="I841" s="325">
        <v>34</v>
      </c>
      <c r="J841" s="327" t="s">
        <v>6042</v>
      </c>
      <c r="K841" s="328"/>
      <c r="L841" s="328"/>
      <c r="M841" s="325">
        <v>99</v>
      </c>
      <c r="N841" s="325" t="b">
        <v>1</v>
      </c>
      <c r="O841" s="265">
        <v>7</v>
      </c>
      <c r="P841" s="281">
        <v>105</v>
      </c>
      <c r="Q841" s="281">
        <v>140</v>
      </c>
      <c r="R841" s="325" t="s">
        <v>3383</v>
      </c>
      <c r="S841" s="325"/>
      <c r="T841" s="268">
        <v>1</v>
      </c>
      <c r="U841" s="325" t="s">
        <v>4880</v>
      </c>
      <c r="V841" s="325">
        <v>0</v>
      </c>
      <c r="W841" s="325"/>
      <c r="X841" s="325" t="s">
        <v>4881</v>
      </c>
      <c r="Y841" t="s">
        <v>7174</v>
      </c>
      <c r="Z841" t="s">
        <v>7175</v>
      </c>
      <c r="AA841" s="325" t="s">
        <v>3993</v>
      </c>
      <c r="AB841" s="325"/>
      <c r="AC841" s="287">
        <v>1</v>
      </c>
      <c r="AD841" s="287">
        <v>1</v>
      </c>
      <c r="AE841" s="281"/>
      <c r="AF841" s="281"/>
      <c r="AG841" s="288">
        <v>8140102</v>
      </c>
    </row>
    <row r="842" spans="1:33" x14ac:dyDescent="0.15">
      <c r="A842" s="326">
        <v>98140103</v>
      </c>
      <c r="B842" t="s">
        <v>7176</v>
      </c>
      <c r="C842" s="268" t="s">
        <v>6316</v>
      </c>
      <c r="D842" s="324">
        <v>8201</v>
      </c>
      <c r="E842" s="325" t="s">
        <v>4876</v>
      </c>
      <c r="F842" s="325" t="s">
        <v>5672</v>
      </c>
      <c r="G842" s="325">
        <v>6</v>
      </c>
      <c r="H842" s="325">
        <v>0</v>
      </c>
      <c r="I842" s="325">
        <v>34</v>
      </c>
      <c r="J842" s="327" t="s">
        <v>6046</v>
      </c>
      <c r="K842" s="328"/>
      <c r="L842" s="328"/>
      <c r="M842" s="325">
        <v>99</v>
      </c>
      <c r="N842" s="325" t="b">
        <v>1</v>
      </c>
      <c r="O842" s="265">
        <v>7</v>
      </c>
      <c r="P842" s="281">
        <v>105</v>
      </c>
      <c r="Q842" s="281">
        <v>140</v>
      </c>
      <c r="R842" s="325" t="s">
        <v>3383</v>
      </c>
      <c r="S842" s="325"/>
      <c r="T842" s="268">
        <v>1</v>
      </c>
      <c r="U842" s="325" t="s">
        <v>4880</v>
      </c>
      <c r="V842" s="325">
        <v>0</v>
      </c>
      <c r="W842" s="325"/>
      <c r="X842" s="325" t="s">
        <v>4881</v>
      </c>
      <c r="Y842" t="s">
        <v>7177</v>
      </c>
      <c r="Z842" t="s">
        <v>7178</v>
      </c>
      <c r="AA842" s="325" t="s">
        <v>3993</v>
      </c>
      <c r="AB842" s="325"/>
      <c r="AC842" s="287">
        <v>1</v>
      </c>
      <c r="AD842" s="287">
        <v>1</v>
      </c>
      <c r="AE842" s="281"/>
      <c r="AF842" s="281"/>
      <c r="AG842" s="288">
        <v>8140103</v>
      </c>
    </row>
    <row r="843" spans="1:33" x14ac:dyDescent="0.15">
      <c r="A843" s="323">
        <v>98050106</v>
      </c>
      <c r="B843" t="s">
        <v>7179</v>
      </c>
      <c r="C843" s="268" t="s">
        <v>6316</v>
      </c>
      <c r="D843" s="324">
        <v>8201</v>
      </c>
      <c r="E843" s="325" t="s">
        <v>4876</v>
      </c>
      <c r="F843" s="325" t="s">
        <v>5672</v>
      </c>
      <c r="G843" s="325">
        <v>6</v>
      </c>
      <c r="H843" s="325">
        <v>0</v>
      </c>
      <c r="I843" s="325">
        <v>34</v>
      </c>
      <c r="J843" s="327" t="s">
        <v>6050</v>
      </c>
      <c r="K843" s="328"/>
      <c r="L843" s="328"/>
      <c r="M843" s="325">
        <v>99</v>
      </c>
      <c r="N843" s="325" t="b">
        <v>1</v>
      </c>
      <c r="O843" s="265">
        <v>7</v>
      </c>
      <c r="P843" s="281">
        <v>105</v>
      </c>
      <c r="Q843" s="281">
        <v>140</v>
      </c>
      <c r="R843" s="325" t="s">
        <v>3383</v>
      </c>
      <c r="S843" s="325"/>
      <c r="T843" s="268">
        <v>1</v>
      </c>
      <c r="U843" s="325" t="s">
        <v>4880</v>
      </c>
      <c r="V843" s="325">
        <v>0</v>
      </c>
      <c r="W843" s="325"/>
      <c r="X843" s="325" t="s">
        <v>4881</v>
      </c>
      <c r="Y843" t="s">
        <v>7180</v>
      </c>
      <c r="Z843" t="s">
        <v>7181</v>
      </c>
      <c r="AA843" s="325" t="s">
        <v>3993</v>
      </c>
      <c r="AB843" s="325"/>
      <c r="AC843" s="287">
        <v>1</v>
      </c>
      <c r="AD843" s="287">
        <v>1</v>
      </c>
      <c r="AE843" s="281"/>
      <c r="AF843" s="281"/>
      <c r="AG843" s="288">
        <v>8050106</v>
      </c>
    </row>
    <row r="844" spans="1:33" x14ac:dyDescent="0.15">
      <c r="A844" s="326">
        <v>98050201</v>
      </c>
      <c r="B844" t="s">
        <v>7104</v>
      </c>
      <c r="C844" s="268" t="s">
        <v>6316</v>
      </c>
      <c r="D844" s="324">
        <v>8201</v>
      </c>
      <c r="E844" s="325" t="s">
        <v>4876</v>
      </c>
      <c r="F844" s="325" t="s">
        <v>5672</v>
      </c>
      <c r="G844" s="325">
        <v>6</v>
      </c>
      <c r="H844" s="325">
        <v>0</v>
      </c>
      <c r="I844" s="325">
        <v>34</v>
      </c>
      <c r="J844" s="327" t="s">
        <v>6053</v>
      </c>
      <c r="K844" s="328"/>
      <c r="L844" s="328"/>
      <c r="M844" s="325">
        <v>99</v>
      </c>
      <c r="N844" s="325" t="b">
        <v>1</v>
      </c>
      <c r="O844" s="265">
        <v>7</v>
      </c>
      <c r="P844" s="281">
        <v>105</v>
      </c>
      <c r="Q844" s="281">
        <v>140</v>
      </c>
      <c r="R844" s="325" t="s">
        <v>3383</v>
      </c>
      <c r="S844" s="325"/>
      <c r="T844" s="268">
        <v>1</v>
      </c>
      <c r="U844" s="325" t="s">
        <v>4880</v>
      </c>
      <c r="V844" s="325">
        <v>0</v>
      </c>
      <c r="W844" s="325"/>
      <c r="X844" s="325" t="s">
        <v>4881</v>
      </c>
      <c r="Y844" t="s">
        <v>7182</v>
      </c>
      <c r="Z844" t="s">
        <v>7183</v>
      </c>
      <c r="AA844" s="325" t="s">
        <v>3993</v>
      </c>
      <c r="AB844" s="325"/>
      <c r="AC844" s="287">
        <v>1</v>
      </c>
      <c r="AD844" s="287">
        <v>1</v>
      </c>
      <c r="AE844" s="281"/>
      <c r="AF844" s="281"/>
      <c r="AG844" s="288">
        <v>8050201</v>
      </c>
    </row>
    <row r="845" spans="1:33" x14ac:dyDescent="0.15">
      <c r="A845" s="263">
        <v>98050202</v>
      </c>
      <c r="B845" t="s">
        <v>7184</v>
      </c>
      <c r="C845" s="268" t="s">
        <v>6316</v>
      </c>
      <c r="D845" s="147">
        <v>8202</v>
      </c>
      <c r="E845" s="147" t="s">
        <v>4876</v>
      </c>
      <c r="F845" s="147" t="s">
        <v>5672</v>
      </c>
      <c r="G845" s="147">
        <v>6</v>
      </c>
      <c r="H845" s="147">
        <v>0</v>
      </c>
      <c r="I845" s="147">
        <v>34</v>
      </c>
      <c r="J845" s="147" t="s">
        <v>6057</v>
      </c>
      <c r="M845" s="147">
        <v>99</v>
      </c>
      <c r="N845" s="147" t="b">
        <v>1</v>
      </c>
      <c r="O845" s="147">
        <v>7</v>
      </c>
      <c r="P845" s="281">
        <v>105</v>
      </c>
      <c r="Q845" s="281">
        <v>140</v>
      </c>
      <c r="R845" s="147" t="s">
        <v>3383</v>
      </c>
      <c r="T845" s="147">
        <v>1</v>
      </c>
      <c r="U845" s="147" t="s">
        <v>4880</v>
      </c>
      <c r="V845" s="147">
        <v>0</v>
      </c>
      <c r="X845" s="147" t="s">
        <v>4881</v>
      </c>
      <c r="Y845" t="s">
        <v>7185</v>
      </c>
      <c r="Z845" t="s">
        <v>7186</v>
      </c>
      <c r="AA845" s="147" t="s">
        <v>3993</v>
      </c>
      <c r="AC845" s="147">
        <v>1</v>
      </c>
      <c r="AD845" s="147">
        <v>1</v>
      </c>
      <c r="AG845" s="147">
        <v>8050202</v>
      </c>
    </row>
    <row r="846" spans="1:33" x14ac:dyDescent="0.15">
      <c r="A846" s="263">
        <v>98010307</v>
      </c>
      <c r="B846" t="s">
        <v>7187</v>
      </c>
      <c r="C846" s="268" t="s">
        <v>6316</v>
      </c>
      <c r="D846" s="147">
        <v>8202</v>
      </c>
      <c r="E846" s="147" t="s">
        <v>4876</v>
      </c>
      <c r="F846" s="147" t="s">
        <v>5672</v>
      </c>
      <c r="G846" s="147">
        <v>6</v>
      </c>
      <c r="H846" s="147">
        <v>0</v>
      </c>
      <c r="I846" s="147">
        <v>34</v>
      </c>
      <c r="J846" s="147" t="s">
        <v>6061</v>
      </c>
      <c r="M846" s="147">
        <v>99</v>
      </c>
      <c r="N846" s="147" t="b">
        <v>1</v>
      </c>
      <c r="O846" s="147">
        <v>7</v>
      </c>
      <c r="P846" s="281">
        <v>105</v>
      </c>
      <c r="Q846" s="281">
        <v>140</v>
      </c>
      <c r="R846" s="147" t="s">
        <v>3383</v>
      </c>
      <c r="T846" s="147">
        <v>1</v>
      </c>
      <c r="U846" s="147" t="s">
        <v>4880</v>
      </c>
      <c r="V846" s="147">
        <v>0</v>
      </c>
      <c r="X846" s="147" t="s">
        <v>4881</v>
      </c>
      <c r="Y846" t="s">
        <v>7188</v>
      </c>
      <c r="Z846" t="s">
        <v>7189</v>
      </c>
      <c r="AA846" s="147" t="s">
        <v>3993</v>
      </c>
      <c r="AC846" s="147">
        <v>1</v>
      </c>
      <c r="AD846" s="147">
        <v>1</v>
      </c>
      <c r="AG846" s="147">
        <v>8010307</v>
      </c>
    </row>
    <row r="847" spans="1:33" x14ac:dyDescent="0.15">
      <c r="A847" s="263">
        <v>98150201</v>
      </c>
      <c r="B847" t="s">
        <v>7190</v>
      </c>
      <c r="C847" s="268" t="s">
        <v>6316</v>
      </c>
      <c r="D847" s="147">
        <v>8202</v>
      </c>
      <c r="E847" s="147" t="s">
        <v>4876</v>
      </c>
      <c r="F847" s="147" t="s">
        <v>5672</v>
      </c>
      <c r="G847" s="147">
        <v>6</v>
      </c>
      <c r="H847" s="147">
        <v>0</v>
      </c>
      <c r="I847" s="147">
        <v>34</v>
      </c>
      <c r="J847" s="147" t="s">
        <v>6065</v>
      </c>
      <c r="M847" s="147">
        <v>99</v>
      </c>
      <c r="N847" s="147" t="b">
        <v>1</v>
      </c>
      <c r="O847" s="147">
        <v>7</v>
      </c>
      <c r="P847" s="281">
        <v>105</v>
      </c>
      <c r="Q847" s="281">
        <v>140</v>
      </c>
      <c r="R847" s="147" t="s">
        <v>3383</v>
      </c>
      <c r="T847" s="147">
        <v>1</v>
      </c>
      <c r="U847" s="147" t="s">
        <v>4880</v>
      </c>
      <c r="V847" s="147">
        <v>0</v>
      </c>
      <c r="X847" s="147" t="s">
        <v>4881</v>
      </c>
      <c r="Y847" t="s">
        <v>7191</v>
      </c>
      <c r="Z847" t="s">
        <v>7192</v>
      </c>
      <c r="AA847" s="147" t="s">
        <v>3993</v>
      </c>
      <c r="AC847" s="147">
        <v>1</v>
      </c>
      <c r="AD847" s="147">
        <v>1</v>
      </c>
      <c r="AG847" s="147">
        <v>8150201</v>
      </c>
    </row>
    <row r="848" spans="1:33" x14ac:dyDescent="0.15">
      <c r="A848" s="263">
        <v>98150202</v>
      </c>
      <c r="B848" t="s">
        <v>7193</v>
      </c>
      <c r="C848" s="268" t="s">
        <v>6316</v>
      </c>
      <c r="D848" s="147">
        <v>8202</v>
      </c>
      <c r="E848" s="147" t="s">
        <v>4876</v>
      </c>
      <c r="F848" s="147" t="s">
        <v>5672</v>
      </c>
      <c r="G848" s="147">
        <v>6</v>
      </c>
      <c r="H848" s="147">
        <v>0</v>
      </c>
      <c r="I848" s="147">
        <v>34</v>
      </c>
      <c r="J848" s="147" t="s">
        <v>6069</v>
      </c>
      <c r="M848" s="147">
        <v>99</v>
      </c>
      <c r="N848" s="147" t="b">
        <v>1</v>
      </c>
      <c r="O848" s="147">
        <v>7</v>
      </c>
      <c r="P848" s="281">
        <v>105</v>
      </c>
      <c r="Q848" s="281">
        <v>140</v>
      </c>
      <c r="R848" s="147" t="s">
        <v>3383</v>
      </c>
      <c r="T848" s="147">
        <v>1</v>
      </c>
      <c r="U848" s="147" t="s">
        <v>4880</v>
      </c>
      <c r="V848" s="147">
        <v>0</v>
      </c>
      <c r="X848" s="147" t="s">
        <v>4881</v>
      </c>
      <c r="Y848" t="s">
        <v>7194</v>
      </c>
      <c r="Z848" t="s">
        <v>7195</v>
      </c>
      <c r="AA848" s="147" t="s">
        <v>3993</v>
      </c>
      <c r="AC848" s="147">
        <v>1</v>
      </c>
      <c r="AD848" s="147">
        <v>1</v>
      </c>
      <c r="AG848" s="147">
        <v>8150202</v>
      </c>
    </row>
    <row r="849" spans="1:33" x14ac:dyDescent="0.15">
      <c r="A849" s="263">
        <v>98040401</v>
      </c>
      <c r="B849" t="s">
        <v>7196</v>
      </c>
      <c r="C849" s="268" t="s">
        <v>6316</v>
      </c>
      <c r="D849" s="147">
        <v>8201</v>
      </c>
      <c r="E849" s="147" t="s">
        <v>4876</v>
      </c>
      <c r="F849" s="147" t="s">
        <v>5672</v>
      </c>
      <c r="G849" s="147">
        <v>6</v>
      </c>
      <c r="H849" s="147">
        <v>0</v>
      </c>
      <c r="I849" s="147">
        <v>34</v>
      </c>
      <c r="J849" s="147" t="s">
        <v>6073</v>
      </c>
      <c r="M849" s="147">
        <v>99</v>
      </c>
      <c r="N849" s="147" t="b">
        <v>1</v>
      </c>
      <c r="O849" s="147">
        <v>7</v>
      </c>
      <c r="P849" s="281">
        <v>105</v>
      </c>
      <c r="Q849" s="281">
        <v>140</v>
      </c>
      <c r="R849" s="147" t="s">
        <v>3383</v>
      </c>
      <c r="T849" s="147">
        <v>1</v>
      </c>
      <c r="U849" s="147" t="s">
        <v>4880</v>
      </c>
      <c r="V849" s="147">
        <v>0</v>
      </c>
      <c r="X849" s="147" t="s">
        <v>4881</v>
      </c>
      <c r="Y849" t="s">
        <v>7197</v>
      </c>
      <c r="Z849" t="s">
        <v>7198</v>
      </c>
      <c r="AA849" s="147" t="s">
        <v>3993</v>
      </c>
      <c r="AC849" s="147">
        <v>1</v>
      </c>
      <c r="AD849" s="147">
        <v>1</v>
      </c>
      <c r="AG849" s="147">
        <v>8040401</v>
      </c>
    </row>
    <row r="850" spans="1:33" x14ac:dyDescent="0.15">
      <c r="A850" s="263">
        <v>98040402</v>
      </c>
      <c r="B850" t="s">
        <v>7199</v>
      </c>
      <c r="C850" s="268" t="s">
        <v>6316</v>
      </c>
      <c r="D850" s="147">
        <v>8201</v>
      </c>
      <c r="E850" s="147" t="s">
        <v>4876</v>
      </c>
      <c r="F850" s="147" t="s">
        <v>5672</v>
      </c>
      <c r="G850" s="147">
        <v>6</v>
      </c>
      <c r="H850" s="147">
        <v>0</v>
      </c>
      <c r="I850" s="147">
        <v>34</v>
      </c>
      <c r="J850" s="147" t="s">
        <v>6077</v>
      </c>
      <c r="M850" s="147">
        <v>99</v>
      </c>
      <c r="N850" s="147" t="b">
        <v>1</v>
      </c>
      <c r="O850" s="147">
        <v>7</v>
      </c>
      <c r="P850" s="281">
        <v>105</v>
      </c>
      <c r="Q850" s="281">
        <v>140</v>
      </c>
      <c r="R850" s="147" t="s">
        <v>3383</v>
      </c>
      <c r="T850" s="147">
        <v>1</v>
      </c>
      <c r="U850" s="147" t="s">
        <v>4880</v>
      </c>
      <c r="V850" s="147">
        <v>0</v>
      </c>
      <c r="X850" s="147" t="s">
        <v>4881</v>
      </c>
      <c r="Y850" t="s">
        <v>7200</v>
      </c>
      <c r="Z850" t="s">
        <v>7201</v>
      </c>
      <c r="AA850" s="147" t="s">
        <v>3993</v>
      </c>
      <c r="AC850" s="147">
        <v>1</v>
      </c>
      <c r="AD850" s="147">
        <v>1</v>
      </c>
      <c r="AG850" s="147">
        <v>8040402</v>
      </c>
    </row>
    <row r="851" spans="1:33" x14ac:dyDescent="0.15">
      <c r="A851" s="263">
        <v>98040403</v>
      </c>
      <c r="B851" t="s">
        <v>7202</v>
      </c>
      <c r="C851" s="268" t="s">
        <v>6316</v>
      </c>
      <c r="D851" s="147">
        <v>8201</v>
      </c>
      <c r="E851" s="147" t="s">
        <v>4876</v>
      </c>
      <c r="F851" s="147" t="s">
        <v>5672</v>
      </c>
      <c r="G851" s="147">
        <v>6</v>
      </c>
      <c r="H851" s="147">
        <v>0</v>
      </c>
      <c r="I851" s="147">
        <v>34</v>
      </c>
      <c r="J851" s="147" t="s">
        <v>6081</v>
      </c>
      <c r="M851" s="147">
        <v>99</v>
      </c>
      <c r="N851" s="147" t="b">
        <v>1</v>
      </c>
      <c r="O851" s="147">
        <v>7</v>
      </c>
      <c r="P851" s="281">
        <v>105</v>
      </c>
      <c r="Q851" s="281">
        <v>140</v>
      </c>
      <c r="R851" s="147" t="s">
        <v>3383</v>
      </c>
      <c r="T851" s="147">
        <v>1</v>
      </c>
      <c r="U851" s="147" t="s">
        <v>4880</v>
      </c>
      <c r="V851" s="147">
        <v>0</v>
      </c>
      <c r="X851" s="147" t="s">
        <v>4881</v>
      </c>
      <c r="Y851" t="s">
        <v>7203</v>
      </c>
      <c r="Z851" t="s">
        <v>7204</v>
      </c>
      <c r="AA851" s="147" t="s">
        <v>3993</v>
      </c>
      <c r="AC851" s="147">
        <v>1</v>
      </c>
      <c r="AD851" s="147">
        <v>1</v>
      </c>
      <c r="AG851" s="147">
        <v>8040403</v>
      </c>
    </row>
    <row r="852" spans="1:33" x14ac:dyDescent="0.15">
      <c r="A852" s="263">
        <v>98050107</v>
      </c>
      <c r="B852" t="s">
        <v>7205</v>
      </c>
      <c r="C852" s="268" t="s">
        <v>6316</v>
      </c>
      <c r="D852" s="147">
        <v>8202</v>
      </c>
      <c r="E852" s="147" t="s">
        <v>4876</v>
      </c>
      <c r="F852" s="147" t="s">
        <v>5672</v>
      </c>
      <c r="G852" s="147">
        <v>6</v>
      </c>
      <c r="H852" s="147">
        <v>0</v>
      </c>
      <c r="I852" s="147">
        <v>34</v>
      </c>
      <c r="J852" s="147" t="s">
        <v>6085</v>
      </c>
      <c r="M852" s="147">
        <v>99</v>
      </c>
      <c r="N852" s="147" t="b">
        <v>1</v>
      </c>
      <c r="O852" s="147">
        <v>7</v>
      </c>
      <c r="P852" s="281">
        <v>105</v>
      </c>
      <c r="Q852" s="281">
        <v>140</v>
      </c>
      <c r="R852" s="147" t="s">
        <v>3383</v>
      </c>
      <c r="T852" s="147">
        <v>1</v>
      </c>
      <c r="U852" s="147" t="s">
        <v>4880</v>
      </c>
      <c r="V852" s="147">
        <v>0</v>
      </c>
      <c r="X852" s="147" t="s">
        <v>4881</v>
      </c>
      <c r="Y852" t="s">
        <v>7206</v>
      </c>
      <c r="Z852" t="s">
        <v>7207</v>
      </c>
      <c r="AA852" s="147" t="s">
        <v>3993</v>
      </c>
      <c r="AC852" s="147">
        <v>1</v>
      </c>
      <c r="AD852" s="147">
        <v>1</v>
      </c>
      <c r="AG852" s="147">
        <v>8050107</v>
      </c>
    </row>
    <row r="853" spans="1:33" x14ac:dyDescent="0.15">
      <c r="A853" s="263">
        <v>98090201</v>
      </c>
      <c r="B853" t="s">
        <v>7208</v>
      </c>
      <c r="C853" s="268" t="s">
        <v>6316</v>
      </c>
      <c r="D853" s="147">
        <v>8202</v>
      </c>
      <c r="E853" s="147" t="s">
        <v>4876</v>
      </c>
      <c r="F853" s="147" t="s">
        <v>5672</v>
      </c>
      <c r="G853" s="147">
        <v>6</v>
      </c>
      <c r="H853" s="147">
        <v>0</v>
      </c>
      <c r="I853" s="147">
        <v>34</v>
      </c>
      <c r="J853" s="147" t="s">
        <v>6089</v>
      </c>
      <c r="M853" s="147">
        <v>99</v>
      </c>
      <c r="N853" s="147" t="b">
        <v>1</v>
      </c>
      <c r="O853" s="147">
        <v>7</v>
      </c>
      <c r="P853" s="281">
        <v>105</v>
      </c>
      <c r="Q853" s="281">
        <v>140</v>
      </c>
      <c r="R853" s="147" t="s">
        <v>3383</v>
      </c>
      <c r="T853" s="147">
        <v>1</v>
      </c>
      <c r="U853" s="147" t="s">
        <v>4880</v>
      </c>
      <c r="V853" s="147">
        <v>0</v>
      </c>
      <c r="X853" s="147" t="s">
        <v>4881</v>
      </c>
      <c r="Y853" t="s">
        <v>7209</v>
      </c>
      <c r="Z853" t="s">
        <v>7210</v>
      </c>
      <c r="AA853" s="147" t="s">
        <v>3993</v>
      </c>
      <c r="AC853" s="147">
        <v>1</v>
      </c>
      <c r="AD853" s="147">
        <v>1</v>
      </c>
      <c r="AG853" s="147">
        <v>8090201</v>
      </c>
    </row>
    <row r="854" spans="1:33" x14ac:dyDescent="0.15">
      <c r="A854" s="263">
        <v>98090202</v>
      </c>
      <c r="B854" t="s">
        <v>7211</v>
      </c>
      <c r="C854" s="268" t="s">
        <v>6316</v>
      </c>
      <c r="D854" s="147">
        <v>8201</v>
      </c>
      <c r="E854" s="147" t="s">
        <v>4876</v>
      </c>
      <c r="F854" s="147" t="s">
        <v>5672</v>
      </c>
      <c r="G854" s="147">
        <v>6</v>
      </c>
      <c r="H854" s="147">
        <v>0</v>
      </c>
      <c r="I854" s="147">
        <v>34</v>
      </c>
      <c r="J854" s="147" t="s">
        <v>6093</v>
      </c>
      <c r="M854" s="147">
        <v>99</v>
      </c>
      <c r="N854" s="147" t="b">
        <v>1</v>
      </c>
      <c r="O854" s="147">
        <v>7</v>
      </c>
      <c r="P854" s="281">
        <v>105</v>
      </c>
      <c r="Q854" s="281">
        <v>140</v>
      </c>
      <c r="R854" s="147" t="s">
        <v>3383</v>
      </c>
      <c r="T854" s="147">
        <v>1</v>
      </c>
      <c r="U854" s="147" t="s">
        <v>4880</v>
      </c>
      <c r="V854" s="147">
        <v>0</v>
      </c>
      <c r="X854" s="147" t="s">
        <v>4881</v>
      </c>
      <c r="Y854" t="s">
        <v>7212</v>
      </c>
      <c r="Z854" t="s">
        <v>7213</v>
      </c>
      <c r="AA854" s="147" t="s">
        <v>3993</v>
      </c>
      <c r="AC854" s="147">
        <v>1</v>
      </c>
      <c r="AD854" s="147">
        <v>1</v>
      </c>
      <c r="AG854" s="147">
        <v>8090202</v>
      </c>
    </row>
    <row r="855" spans="1:33" x14ac:dyDescent="0.15">
      <c r="A855" s="263">
        <v>98030201</v>
      </c>
      <c r="B855" t="s">
        <v>7214</v>
      </c>
      <c r="C855" s="268" t="s">
        <v>6316</v>
      </c>
      <c r="D855" s="147">
        <v>8202</v>
      </c>
      <c r="E855" s="147" t="s">
        <v>4876</v>
      </c>
      <c r="F855" s="147" t="s">
        <v>5672</v>
      </c>
      <c r="G855" s="147">
        <v>6</v>
      </c>
      <c r="H855" s="147">
        <v>0</v>
      </c>
      <c r="I855" s="147">
        <v>34</v>
      </c>
      <c r="J855" s="147" t="s">
        <v>6097</v>
      </c>
      <c r="M855" s="147">
        <v>99</v>
      </c>
      <c r="N855" s="147" t="b">
        <v>1</v>
      </c>
      <c r="O855" s="147">
        <v>7</v>
      </c>
      <c r="P855" s="281">
        <v>105</v>
      </c>
      <c r="Q855" s="281">
        <v>140</v>
      </c>
      <c r="R855" s="147" t="s">
        <v>3383</v>
      </c>
      <c r="T855" s="147">
        <v>1</v>
      </c>
      <c r="U855" s="147" t="s">
        <v>4880</v>
      </c>
      <c r="V855" s="147">
        <v>0</v>
      </c>
      <c r="X855" s="147" t="s">
        <v>4881</v>
      </c>
      <c r="Y855" t="s">
        <v>7215</v>
      </c>
      <c r="Z855" t="s">
        <v>7216</v>
      </c>
      <c r="AA855" s="147" t="s">
        <v>3993</v>
      </c>
      <c r="AC855" s="147">
        <v>1</v>
      </c>
      <c r="AD855" s="147">
        <v>1</v>
      </c>
      <c r="AG855" s="147">
        <v>8030201</v>
      </c>
    </row>
    <row r="856" spans="1:33" x14ac:dyDescent="0.15">
      <c r="A856" s="263">
        <v>98030202</v>
      </c>
      <c r="B856" t="s">
        <v>7217</v>
      </c>
      <c r="C856" s="268" t="s">
        <v>6316</v>
      </c>
      <c r="D856" s="147">
        <v>8202</v>
      </c>
      <c r="E856" s="147" t="s">
        <v>4876</v>
      </c>
      <c r="F856" s="147" t="s">
        <v>5672</v>
      </c>
      <c r="G856" s="147">
        <v>6</v>
      </c>
      <c r="H856" s="147">
        <v>0</v>
      </c>
      <c r="I856" s="147">
        <v>34</v>
      </c>
      <c r="J856" s="147" t="s">
        <v>6101</v>
      </c>
      <c r="M856" s="147">
        <v>99</v>
      </c>
      <c r="N856" s="147" t="b">
        <v>1</v>
      </c>
      <c r="O856" s="147">
        <v>7</v>
      </c>
      <c r="P856" s="281">
        <v>105</v>
      </c>
      <c r="Q856" s="281">
        <v>140</v>
      </c>
      <c r="R856" s="147" t="s">
        <v>3383</v>
      </c>
      <c r="T856" s="147">
        <v>1</v>
      </c>
      <c r="U856" s="147" t="s">
        <v>4880</v>
      </c>
      <c r="V856" s="147">
        <v>0</v>
      </c>
      <c r="X856" s="147" t="s">
        <v>4881</v>
      </c>
      <c r="Y856" t="s">
        <v>7218</v>
      </c>
      <c r="Z856" t="s">
        <v>7219</v>
      </c>
      <c r="AA856" s="147" t="s">
        <v>3993</v>
      </c>
      <c r="AC856" s="147">
        <v>1</v>
      </c>
      <c r="AD856" s="147">
        <v>1</v>
      </c>
      <c r="AG856" s="147">
        <v>8030202</v>
      </c>
    </row>
    <row r="857" spans="1:33" x14ac:dyDescent="0.15">
      <c r="A857" s="263">
        <v>98030203</v>
      </c>
      <c r="B857" t="s">
        <v>7220</v>
      </c>
      <c r="C857" s="268" t="s">
        <v>6316</v>
      </c>
      <c r="D857" s="147">
        <v>8201</v>
      </c>
      <c r="E857" s="147" t="s">
        <v>4876</v>
      </c>
      <c r="F857" s="147" t="s">
        <v>5672</v>
      </c>
      <c r="G857" s="147">
        <v>6</v>
      </c>
      <c r="H857" s="147">
        <v>0</v>
      </c>
      <c r="I857" s="147">
        <v>34</v>
      </c>
      <c r="J857" s="147" t="s">
        <v>6105</v>
      </c>
      <c r="M857" s="147">
        <v>99</v>
      </c>
      <c r="N857" s="147" t="b">
        <v>1</v>
      </c>
      <c r="O857" s="147">
        <v>7</v>
      </c>
      <c r="P857" s="281">
        <v>105</v>
      </c>
      <c r="Q857" s="281">
        <v>140</v>
      </c>
      <c r="R857" s="147" t="s">
        <v>3383</v>
      </c>
      <c r="T857" s="147">
        <v>1</v>
      </c>
      <c r="V857" s="147">
        <v>0</v>
      </c>
      <c r="X857" s="147" t="s">
        <v>4881</v>
      </c>
      <c r="Y857" t="s">
        <v>7221</v>
      </c>
      <c r="Z857" t="s">
        <v>7222</v>
      </c>
      <c r="AA857" s="147" t="s">
        <v>3993</v>
      </c>
      <c r="AC857" s="147">
        <v>1</v>
      </c>
      <c r="AD857" s="147">
        <v>1</v>
      </c>
      <c r="AG857" s="147">
        <v>8030203</v>
      </c>
    </row>
    <row r="858" spans="1:33" x14ac:dyDescent="0.15">
      <c r="A858" s="263">
        <v>95410101</v>
      </c>
      <c r="B858" t="s">
        <v>7223</v>
      </c>
      <c r="C858" s="268" t="s">
        <v>6316</v>
      </c>
      <c r="D858" s="147">
        <v>9101</v>
      </c>
      <c r="E858" s="147" t="s">
        <v>4876</v>
      </c>
      <c r="F858" s="147" t="s">
        <v>6110</v>
      </c>
      <c r="G858" s="147">
        <v>7</v>
      </c>
      <c r="H858" s="147">
        <v>0</v>
      </c>
      <c r="I858" s="147">
        <v>34</v>
      </c>
      <c r="J858" s="147" t="s">
        <v>6111</v>
      </c>
      <c r="M858" s="147">
        <v>99</v>
      </c>
      <c r="N858" s="147" t="b">
        <v>1</v>
      </c>
      <c r="O858" s="147">
        <v>2</v>
      </c>
      <c r="P858" s="281">
        <v>30</v>
      </c>
      <c r="Q858" s="281">
        <v>40</v>
      </c>
      <c r="R858" s="147" t="s">
        <v>3383</v>
      </c>
      <c r="T858" s="147">
        <v>1</v>
      </c>
      <c r="U858" s="147" t="s">
        <v>4880</v>
      </c>
      <c r="V858" s="147">
        <v>0</v>
      </c>
      <c r="X858" s="147" t="s">
        <v>4881</v>
      </c>
      <c r="Y858" t="s">
        <v>7224</v>
      </c>
      <c r="Z858" t="s">
        <v>7225</v>
      </c>
      <c r="AA858" s="147" t="s">
        <v>6114</v>
      </c>
      <c r="AC858" s="147">
        <v>1</v>
      </c>
      <c r="AD858" s="147">
        <v>0</v>
      </c>
    </row>
    <row r="859" spans="1:33" x14ac:dyDescent="0.15">
      <c r="A859" s="263">
        <v>95410102</v>
      </c>
      <c r="B859" t="s">
        <v>7226</v>
      </c>
      <c r="C859" s="268" t="s">
        <v>6316</v>
      </c>
      <c r="D859" s="147">
        <v>9101</v>
      </c>
      <c r="E859" s="147" t="s">
        <v>4876</v>
      </c>
      <c r="F859" s="147" t="s">
        <v>6110</v>
      </c>
      <c r="G859" s="147">
        <v>7</v>
      </c>
      <c r="H859" s="147">
        <v>0</v>
      </c>
      <c r="I859" s="147">
        <v>34</v>
      </c>
      <c r="J859" s="147" t="s">
        <v>6116</v>
      </c>
      <c r="M859" s="147">
        <v>99</v>
      </c>
      <c r="N859" s="147" t="b">
        <v>1</v>
      </c>
      <c r="O859" s="147">
        <v>2</v>
      </c>
      <c r="P859" s="281">
        <v>30</v>
      </c>
      <c r="Q859" s="281">
        <v>40</v>
      </c>
      <c r="R859" s="147" t="s">
        <v>3383</v>
      </c>
      <c r="T859" s="147">
        <v>1</v>
      </c>
      <c r="U859" s="147" t="s">
        <v>4880</v>
      </c>
      <c r="V859" s="147">
        <v>0</v>
      </c>
      <c r="X859" s="147" t="s">
        <v>4881</v>
      </c>
      <c r="Y859" t="s">
        <v>7227</v>
      </c>
      <c r="Z859" t="s">
        <v>7228</v>
      </c>
      <c r="AA859" s="147" t="s">
        <v>6114</v>
      </c>
      <c r="AC859" s="147">
        <v>1</v>
      </c>
      <c r="AD859" s="147">
        <v>0</v>
      </c>
    </row>
    <row r="860" spans="1:33" x14ac:dyDescent="0.15">
      <c r="A860" s="263">
        <v>95410103</v>
      </c>
      <c r="B860" t="s">
        <v>7229</v>
      </c>
      <c r="C860" s="268" t="s">
        <v>6316</v>
      </c>
      <c r="D860" s="147">
        <v>9101</v>
      </c>
      <c r="E860" s="147" t="s">
        <v>4876</v>
      </c>
      <c r="F860" s="147" t="s">
        <v>6110</v>
      </c>
      <c r="G860" s="147">
        <v>7</v>
      </c>
      <c r="H860" s="147">
        <v>0</v>
      </c>
      <c r="I860" s="147">
        <v>34</v>
      </c>
      <c r="J860" s="147" t="s">
        <v>6120</v>
      </c>
      <c r="M860" s="147">
        <v>99</v>
      </c>
      <c r="N860" s="147" t="b">
        <v>1</v>
      </c>
      <c r="O860" s="147">
        <v>2</v>
      </c>
      <c r="P860" s="281">
        <v>30</v>
      </c>
      <c r="Q860" s="281">
        <v>40</v>
      </c>
      <c r="R860" s="147" t="s">
        <v>3383</v>
      </c>
      <c r="T860" s="147">
        <v>1</v>
      </c>
      <c r="U860" s="147" t="s">
        <v>4880</v>
      </c>
      <c r="V860" s="147">
        <v>0</v>
      </c>
      <c r="X860" s="147" t="s">
        <v>4881</v>
      </c>
      <c r="Y860" t="s">
        <v>7230</v>
      </c>
      <c r="Z860" t="s">
        <v>7231</v>
      </c>
      <c r="AA860" s="147" t="s">
        <v>6114</v>
      </c>
      <c r="AC860" s="147">
        <v>1</v>
      </c>
      <c r="AD860" s="147">
        <v>0</v>
      </c>
    </row>
    <row r="861" spans="1:33" x14ac:dyDescent="0.15">
      <c r="A861" s="263">
        <v>95410104</v>
      </c>
      <c r="B861" t="s">
        <v>7232</v>
      </c>
      <c r="C861" s="268" t="s">
        <v>6316</v>
      </c>
      <c r="D861" s="147">
        <v>9101</v>
      </c>
      <c r="E861" s="147" t="s">
        <v>4876</v>
      </c>
      <c r="F861" s="147" t="s">
        <v>6110</v>
      </c>
      <c r="G861" s="147">
        <v>7</v>
      </c>
      <c r="H861" s="147">
        <v>0</v>
      </c>
      <c r="I861" s="147">
        <v>34</v>
      </c>
      <c r="J861" s="147" t="s">
        <v>6124</v>
      </c>
      <c r="M861" s="147">
        <v>99</v>
      </c>
      <c r="N861" s="147" t="b">
        <v>1</v>
      </c>
      <c r="O861" s="147">
        <v>2</v>
      </c>
      <c r="P861" s="281">
        <v>30</v>
      </c>
      <c r="Q861" s="281">
        <v>40</v>
      </c>
      <c r="R861" s="147" t="s">
        <v>3383</v>
      </c>
      <c r="T861" s="147">
        <v>1</v>
      </c>
      <c r="U861" s="147" t="s">
        <v>4880</v>
      </c>
      <c r="V861" s="147">
        <v>0</v>
      </c>
      <c r="X861" s="147" t="s">
        <v>4881</v>
      </c>
      <c r="Y861" t="s">
        <v>7233</v>
      </c>
      <c r="Z861" t="s">
        <v>7234</v>
      </c>
      <c r="AA861" s="147" t="s">
        <v>6114</v>
      </c>
      <c r="AC861" s="147">
        <v>1</v>
      </c>
      <c r="AD861" s="147">
        <v>0</v>
      </c>
    </row>
    <row r="862" spans="1:33" x14ac:dyDescent="0.15">
      <c r="A862" s="263">
        <v>95410105</v>
      </c>
      <c r="B862" t="s">
        <v>7235</v>
      </c>
      <c r="C862" s="268" t="s">
        <v>6316</v>
      </c>
      <c r="D862" s="147">
        <v>9101</v>
      </c>
      <c r="E862" s="147" t="s">
        <v>4876</v>
      </c>
      <c r="F862" s="147" t="s">
        <v>6110</v>
      </c>
      <c r="G862" s="147">
        <v>7</v>
      </c>
      <c r="H862" s="147">
        <v>0</v>
      </c>
      <c r="I862" s="147">
        <v>34</v>
      </c>
      <c r="J862" s="147" t="s">
        <v>6128</v>
      </c>
      <c r="M862" s="147">
        <v>99</v>
      </c>
      <c r="N862" s="147" t="b">
        <v>1</v>
      </c>
      <c r="O862" s="147">
        <v>2</v>
      </c>
      <c r="P862" s="281">
        <v>30</v>
      </c>
      <c r="Q862" s="281">
        <v>40</v>
      </c>
      <c r="R862" s="147" t="s">
        <v>3383</v>
      </c>
      <c r="T862" s="147">
        <v>1</v>
      </c>
      <c r="U862" s="147" t="s">
        <v>4880</v>
      </c>
      <c r="V862" s="147">
        <v>0</v>
      </c>
      <c r="X862" s="147" t="s">
        <v>4881</v>
      </c>
      <c r="Y862" t="s">
        <v>7236</v>
      </c>
      <c r="Z862" t="s">
        <v>7237</v>
      </c>
      <c r="AA862" s="147" t="s">
        <v>6114</v>
      </c>
      <c r="AC862" s="147">
        <v>1</v>
      </c>
      <c r="AD862" s="147">
        <v>0</v>
      </c>
    </row>
    <row r="863" spans="1:33" x14ac:dyDescent="0.15">
      <c r="A863" s="263">
        <v>95410106</v>
      </c>
      <c r="B863" t="s">
        <v>7238</v>
      </c>
      <c r="C863" s="268" t="s">
        <v>6316</v>
      </c>
      <c r="D863" s="147">
        <v>9101</v>
      </c>
      <c r="E863" s="147" t="s">
        <v>4876</v>
      </c>
      <c r="F863" s="147" t="s">
        <v>6110</v>
      </c>
      <c r="G863" s="147">
        <v>7</v>
      </c>
      <c r="H863" s="147">
        <v>0</v>
      </c>
      <c r="I863" s="147">
        <v>34</v>
      </c>
      <c r="J863" s="147" t="s">
        <v>6132</v>
      </c>
      <c r="M863" s="147">
        <v>99</v>
      </c>
      <c r="N863" s="147" t="b">
        <v>1</v>
      </c>
      <c r="O863" s="147">
        <v>2</v>
      </c>
      <c r="P863" s="281">
        <v>30</v>
      </c>
      <c r="Q863" s="281">
        <v>40</v>
      </c>
      <c r="R863" s="147" t="s">
        <v>3383</v>
      </c>
      <c r="T863" s="147">
        <v>1</v>
      </c>
      <c r="U863" s="147" t="s">
        <v>4880</v>
      </c>
      <c r="V863" s="147">
        <v>0</v>
      </c>
      <c r="X863" s="147" t="s">
        <v>4881</v>
      </c>
      <c r="Y863" t="s">
        <v>7239</v>
      </c>
      <c r="Z863" t="s">
        <v>7240</v>
      </c>
      <c r="AA863" s="147" t="s">
        <v>6114</v>
      </c>
      <c r="AC863" s="147">
        <v>1</v>
      </c>
      <c r="AD863" s="147">
        <v>0</v>
      </c>
    </row>
    <row r="864" spans="1:33" x14ac:dyDescent="0.15">
      <c r="A864" s="263">
        <v>95410107</v>
      </c>
      <c r="B864" t="s">
        <v>7241</v>
      </c>
      <c r="C864" s="268" t="s">
        <v>6316</v>
      </c>
      <c r="D864" s="147">
        <v>9101</v>
      </c>
      <c r="E864" s="147" t="s">
        <v>4876</v>
      </c>
      <c r="F864" s="147" t="s">
        <v>6110</v>
      </c>
      <c r="G864" s="147">
        <v>7</v>
      </c>
      <c r="H864" s="147">
        <v>0</v>
      </c>
      <c r="I864" s="147">
        <v>34</v>
      </c>
      <c r="J864" s="147" t="s">
        <v>6136</v>
      </c>
      <c r="M864" s="147">
        <v>99</v>
      </c>
      <c r="N864" s="147" t="b">
        <v>1</v>
      </c>
      <c r="O864" s="147">
        <v>5</v>
      </c>
      <c r="P864" s="281">
        <v>75</v>
      </c>
      <c r="Q864" s="281">
        <v>100</v>
      </c>
      <c r="R864" s="147" t="s">
        <v>3383</v>
      </c>
      <c r="T864" s="147">
        <v>1</v>
      </c>
      <c r="U864" s="147" t="s">
        <v>4880</v>
      </c>
      <c r="V864" s="147">
        <v>0</v>
      </c>
      <c r="X864" s="147" t="s">
        <v>4881</v>
      </c>
      <c r="Y864" t="s">
        <v>7242</v>
      </c>
      <c r="Z864" t="s">
        <v>7243</v>
      </c>
      <c r="AA864" s="147" t="s">
        <v>6114</v>
      </c>
      <c r="AC864" s="147">
        <v>1</v>
      </c>
      <c r="AD864" s="147">
        <v>0</v>
      </c>
    </row>
    <row r="865" spans="1:30" x14ac:dyDescent="0.15">
      <c r="A865" s="263">
        <v>95410108</v>
      </c>
      <c r="B865" t="s">
        <v>7244</v>
      </c>
      <c r="C865" s="268" t="s">
        <v>6316</v>
      </c>
      <c r="D865" s="147">
        <v>9101</v>
      </c>
      <c r="E865" s="147" t="s">
        <v>4876</v>
      </c>
      <c r="F865" s="147" t="s">
        <v>6110</v>
      </c>
      <c r="G865" s="147">
        <v>7</v>
      </c>
      <c r="H865" s="147">
        <v>0</v>
      </c>
      <c r="I865" s="147">
        <v>34</v>
      </c>
      <c r="J865" s="147" t="s">
        <v>6140</v>
      </c>
      <c r="M865" s="147">
        <v>99</v>
      </c>
      <c r="N865" s="147" t="b">
        <v>1</v>
      </c>
      <c r="O865" s="147">
        <v>5</v>
      </c>
      <c r="P865" s="281">
        <v>75</v>
      </c>
      <c r="Q865" s="281">
        <v>100</v>
      </c>
      <c r="R865" s="147" t="s">
        <v>3383</v>
      </c>
      <c r="T865" s="147">
        <v>1</v>
      </c>
      <c r="U865" s="147" t="s">
        <v>4880</v>
      </c>
      <c r="V865" s="147">
        <v>0</v>
      </c>
      <c r="X865" s="147" t="s">
        <v>4881</v>
      </c>
      <c r="Y865" t="s">
        <v>7245</v>
      </c>
      <c r="Z865" t="s">
        <v>7246</v>
      </c>
      <c r="AA865" s="147" t="s">
        <v>6114</v>
      </c>
      <c r="AC865" s="147">
        <v>1</v>
      </c>
      <c r="AD865" s="147">
        <v>0</v>
      </c>
    </row>
    <row r="866" spans="1:30" x14ac:dyDescent="0.15">
      <c r="A866" s="263">
        <v>95410109</v>
      </c>
      <c r="B866" t="s">
        <v>7247</v>
      </c>
      <c r="C866" s="268" t="s">
        <v>6316</v>
      </c>
      <c r="D866" s="147">
        <v>9101</v>
      </c>
      <c r="E866" s="147" t="s">
        <v>4876</v>
      </c>
      <c r="F866" s="147" t="s">
        <v>6110</v>
      </c>
      <c r="G866" s="147">
        <v>7</v>
      </c>
      <c r="H866" s="147">
        <v>0</v>
      </c>
      <c r="I866" s="147">
        <v>34</v>
      </c>
      <c r="J866" s="147" t="s">
        <v>6144</v>
      </c>
      <c r="M866" s="147">
        <v>99</v>
      </c>
      <c r="N866" s="147" t="b">
        <v>1</v>
      </c>
      <c r="O866" s="147">
        <v>5</v>
      </c>
      <c r="P866" s="281">
        <v>75</v>
      </c>
      <c r="Q866" s="281">
        <v>100</v>
      </c>
      <c r="R866" s="147" t="s">
        <v>3383</v>
      </c>
      <c r="T866" s="147">
        <v>1</v>
      </c>
      <c r="U866" s="147" t="s">
        <v>4880</v>
      </c>
      <c r="V866" s="147">
        <v>0</v>
      </c>
      <c r="X866" s="147" t="s">
        <v>4881</v>
      </c>
      <c r="Y866" t="s">
        <v>7248</v>
      </c>
      <c r="Z866" t="s">
        <v>7249</v>
      </c>
      <c r="AA866" s="147" t="s">
        <v>6114</v>
      </c>
      <c r="AC866" s="147">
        <v>1</v>
      </c>
      <c r="AD866" s="147">
        <v>0</v>
      </c>
    </row>
    <row r="867" spans="1:30" x14ac:dyDescent="0.15">
      <c r="A867" s="263">
        <v>95410110</v>
      </c>
      <c r="B867" t="s">
        <v>7250</v>
      </c>
      <c r="C867" s="268" t="s">
        <v>6316</v>
      </c>
      <c r="D867" s="147">
        <v>9101</v>
      </c>
      <c r="E867" s="147" t="s">
        <v>4876</v>
      </c>
      <c r="F867" s="147" t="s">
        <v>6110</v>
      </c>
      <c r="G867" s="147">
        <v>7</v>
      </c>
      <c r="H867" s="147">
        <v>0</v>
      </c>
      <c r="I867" s="147">
        <v>34</v>
      </c>
      <c r="J867" s="147" t="s">
        <v>6148</v>
      </c>
      <c r="M867" s="147">
        <v>99</v>
      </c>
      <c r="N867" s="147" t="b">
        <v>1</v>
      </c>
      <c r="O867" s="147">
        <v>5</v>
      </c>
      <c r="P867" s="281">
        <v>75</v>
      </c>
      <c r="Q867" s="281">
        <v>100</v>
      </c>
      <c r="R867" s="147" t="s">
        <v>3383</v>
      </c>
      <c r="T867" s="147">
        <v>1</v>
      </c>
      <c r="U867" s="147" t="s">
        <v>4880</v>
      </c>
      <c r="V867" s="147">
        <v>0</v>
      </c>
      <c r="X867" s="147" t="s">
        <v>4881</v>
      </c>
      <c r="Y867" t="s">
        <v>7251</v>
      </c>
      <c r="Z867" t="s">
        <v>7252</v>
      </c>
      <c r="AA867" s="147" t="s">
        <v>6114</v>
      </c>
      <c r="AC867" s="147">
        <v>1</v>
      </c>
      <c r="AD867" s="147">
        <v>0</v>
      </c>
    </row>
    <row r="868" spans="1:30" x14ac:dyDescent="0.15">
      <c r="A868" s="263">
        <v>95410111</v>
      </c>
      <c r="B868" t="s">
        <v>7253</v>
      </c>
      <c r="C868" s="268" t="s">
        <v>6316</v>
      </c>
      <c r="D868" s="147">
        <v>9101</v>
      </c>
      <c r="E868" s="147" t="s">
        <v>4876</v>
      </c>
      <c r="F868" s="147" t="s">
        <v>6110</v>
      </c>
      <c r="G868" s="147">
        <v>7</v>
      </c>
      <c r="H868" s="147">
        <v>0</v>
      </c>
      <c r="I868" s="147">
        <v>34</v>
      </c>
      <c r="J868" s="147" t="s">
        <v>6152</v>
      </c>
      <c r="M868" s="147">
        <v>99</v>
      </c>
      <c r="N868" s="147" t="b">
        <v>1</v>
      </c>
      <c r="O868" s="147">
        <v>5</v>
      </c>
      <c r="P868" s="281">
        <v>75</v>
      </c>
      <c r="Q868" s="281">
        <v>100</v>
      </c>
      <c r="R868" s="147" t="s">
        <v>3383</v>
      </c>
      <c r="T868" s="147">
        <v>1</v>
      </c>
      <c r="U868" s="147" t="s">
        <v>4880</v>
      </c>
      <c r="V868" s="147">
        <v>0</v>
      </c>
      <c r="X868" s="147" t="s">
        <v>4881</v>
      </c>
      <c r="Y868" t="s">
        <v>7254</v>
      </c>
      <c r="Z868" t="s">
        <v>7255</v>
      </c>
      <c r="AA868" s="147" t="s">
        <v>6114</v>
      </c>
      <c r="AC868" s="147">
        <v>1</v>
      </c>
      <c r="AD868" s="147">
        <v>0</v>
      </c>
    </row>
    <row r="869" spans="1:30" x14ac:dyDescent="0.15">
      <c r="A869" s="263">
        <v>95410112</v>
      </c>
      <c r="B869" t="s">
        <v>7256</v>
      </c>
      <c r="C869" s="268" t="s">
        <v>6316</v>
      </c>
      <c r="D869" s="147">
        <v>9101</v>
      </c>
      <c r="E869" s="147" t="s">
        <v>4876</v>
      </c>
      <c r="F869" s="147" t="s">
        <v>6110</v>
      </c>
      <c r="G869" s="147">
        <v>7</v>
      </c>
      <c r="H869" s="147">
        <v>0</v>
      </c>
      <c r="I869" s="147">
        <v>34</v>
      </c>
      <c r="J869" s="147" t="s">
        <v>6156</v>
      </c>
      <c r="M869" s="147">
        <v>99</v>
      </c>
      <c r="N869" s="147" t="b">
        <v>1</v>
      </c>
      <c r="O869" s="147">
        <v>5</v>
      </c>
      <c r="P869" s="281">
        <v>75</v>
      </c>
      <c r="Q869" s="281">
        <v>100</v>
      </c>
      <c r="R869" s="147" t="s">
        <v>3383</v>
      </c>
      <c r="T869" s="147">
        <v>1</v>
      </c>
      <c r="U869" s="147" t="s">
        <v>4880</v>
      </c>
      <c r="V869" s="147">
        <v>0</v>
      </c>
      <c r="X869" s="147" t="s">
        <v>4881</v>
      </c>
      <c r="Y869" t="s">
        <v>7257</v>
      </c>
      <c r="Z869" t="s">
        <v>7258</v>
      </c>
      <c r="AA869" s="147" t="s">
        <v>6114</v>
      </c>
      <c r="AC869" s="147">
        <v>1</v>
      </c>
      <c r="AD869" s="147">
        <v>0</v>
      </c>
    </row>
    <row r="870" spans="1:30" x14ac:dyDescent="0.15">
      <c r="A870" s="263">
        <v>95410113</v>
      </c>
      <c r="B870" t="s">
        <v>7259</v>
      </c>
      <c r="C870" s="268" t="s">
        <v>6316</v>
      </c>
      <c r="D870" s="147">
        <v>9101</v>
      </c>
      <c r="E870" s="147" t="s">
        <v>4876</v>
      </c>
      <c r="F870" s="147" t="s">
        <v>6110</v>
      </c>
      <c r="G870" s="147">
        <v>7</v>
      </c>
      <c r="H870" s="147">
        <v>0</v>
      </c>
      <c r="I870" s="147">
        <v>34</v>
      </c>
      <c r="J870" s="147" t="s">
        <v>6160</v>
      </c>
      <c r="M870" s="147">
        <v>99</v>
      </c>
      <c r="N870" s="147" t="b">
        <v>1</v>
      </c>
      <c r="O870" s="147">
        <v>7</v>
      </c>
      <c r="P870" s="281">
        <v>105</v>
      </c>
      <c r="Q870" s="281">
        <v>140</v>
      </c>
      <c r="R870" s="147" t="s">
        <v>3383</v>
      </c>
      <c r="T870" s="147">
        <v>1</v>
      </c>
      <c r="U870" s="147" t="s">
        <v>4880</v>
      </c>
      <c r="V870" s="147">
        <v>0</v>
      </c>
      <c r="X870" s="147" t="s">
        <v>4881</v>
      </c>
      <c r="Y870" t="s">
        <v>7260</v>
      </c>
      <c r="Z870" t="s">
        <v>7261</v>
      </c>
      <c r="AA870" s="147" t="s">
        <v>6114</v>
      </c>
      <c r="AC870" s="147">
        <v>1</v>
      </c>
      <c r="AD870" s="147">
        <v>0</v>
      </c>
    </row>
    <row r="871" spans="1:30" x14ac:dyDescent="0.15">
      <c r="A871" s="263">
        <v>95410114</v>
      </c>
      <c r="B871" t="s">
        <v>7262</v>
      </c>
      <c r="C871" s="268" t="s">
        <v>6316</v>
      </c>
      <c r="D871" s="147">
        <v>9101</v>
      </c>
      <c r="E871" s="147" t="s">
        <v>4876</v>
      </c>
      <c r="F871" s="147" t="s">
        <v>6110</v>
      </c>
      <c r="G871" s="147">
        <v>7</v>
      </c>
      <c r="H871" s="147">
        <v>0</v>
      </c>
      <c r="I871" s="147">
        <v>34</v>
      </c>
      <c r="J871" s="147" t="s">
        <v>6164</v>
      </c>
      <c r="M871" s="147">
        <v>99</v>
      </c>
      <c r="N871" s="147" t="b">
        <v>1</v>
      </c>
      <c r="O871" s="147">
        <v>7</v>
      </c>
      <c r="P871" s="281">
        <v>105</v>
      </c>
      <c r="Q871" s="281">
        <v>140</v>
      </c>
      <c r="R871" s="147" t="s">
        <v>3383</v>
      </c>
      <c r="T871" s="147">
        <v>1</v>
      </c>
      <c r="U871" s="147" t="s">
        <v>4880</v>
      </c>
      <c r="V871" s="147">
        <v>0</v>
      </c>
      <c r="X871" s="147" t="s">
        <v>4881</v>
      </c>
      <c r="Y871" t="s">
        <v>7263</v>
      </c>
      <c r="Z871" t="s">
        <v>7264</v>
      </c>
      <c r="AA871" s="147" t="s">
        <v>6114</v>
      </c>
      <c r="AC871" s="147">
        <v>1</v>
      </c>
      <c r="AD871" s="147">
        <v>0</v>
      </c>
    </row>
    <row r="872" spans="1:30" x14ac:dyDescent="0.15">
      <c r="A872" s="263">
        <v>95410115</v>
      </c>
      <c r="B872" t="s">
        <v>7265</v>
      </c>
      <c r="C872" s="268" t="s">
        <v>6316</v>
      </c>
      <c r="D872" s="147">
        <v>9101</v>
      </c>
      <c r="E872" s="147" t="s">
        <v>4876</v>
      </c>
      <c r="F872" s="147" t="s">
        <v>6110</v>
      </c>
      <c r="G872" s="147">
        <v>7</v>
      </c>
      <c r="H872" s="147">
        <v>0</v>
      </c>
      <c r="I872" s="147">
        <v>34</v>
      </c>
      <c r="J872" s="147" t="s">
        <v>6168</v>
      </c>
      <c r="M872" s="147">
        <v>99</v>
      </c>
      <c r="N872" s="147" t="b">
        <v>1</v>
      </c>
      <c r="O872" s="147">
        <v>7</v>
      </c>
      <c r="P872" s="281">
        <v>105</v>
      </c>
      <c r="Q872" s="281">
        <v>140</v>
      </c>
      <c r="R872" s="147" t="s">
        <v>3383</v>
      </c>
      <c r="T872" s="147">
        <v>1</v>
      </c>
      <c r="U872" s="147" t="s">
        <v>4880</v>
      </c>
      <c r="V872" s="147">
        <v>0</v>
      </c>
      <c r="X872" s="147" t="s">
        <v>4881</v>
      </c>
      <c r="Y872" t="s">
        <v>7266</v>
      </c>
      <c r="Z872" t="s">
        <v>7267</v>
      </c>
      <c r="AA872" s="147" t="s">
        <v>6114</v>
      </c>
      <c r="AC872" s="147">
        <v>1</v>
      </c>
      <c r="AD872" s="147">
        <v>0</v>
      </c>
    </row>
    <row r="873" spans="1:30" x14ac:dyDescent="0.15">
      <c r="A873" s="263">
        <v>95410116</v>
      </c>
      <c r="B873" t="s">
        <v>7268</v>
      </c>
      <c r="C873" s="268" t="s">
        <v>6316</v>
      </c>
      <c r="D873" s="147">
        <v>9101</v>
      </c>
      <c r="E873" s="147" t="s">
        <v>4876</v>
      </c>
      <c r="F873" s="147" t="s">
        <v>6110</v>
      </c>
      <c r="G873" s="147">
        <v>7</v>
      </c>
      <c r="H873" s="147">
        <v>0</v>
      </c>
      <c r="I873" s="147">
        <v>34</v>
      </c>
      <c r="J873" s="147" t="s">
        <v>6172</v>
      </c>
      <c r="M873" s="147">
        <v>99</v>
      </c>
      <c r="N873" s="147" t="b">
        <v>1</v>
      </c>
      <c r="O873" s="147">
        <v>10</v>
      </c>
      <c r="P873" s="281">
        <v>150</v>
      </c>
      <c r="Q873" s="281">
        <v>200</v>
      </c>
      <c r="R873" s="147" t="s">
        <v>3383</v>
      </c>
      <c r="T873" s="147">
        <v>1</v>
      </c>
      <c r="U873" s="147" t="s">
        <v>4880</v>
      </c>
      <c r="V873" s="147">
        <v>0</v>
      </c>
      <c r="X873" s="147" t="s">
        <v>4881</v>
      </c>
      <c r="Y873" t="s">
        <v>7269</v>
      </c>
      <c r="Z873" t="s">
        <v>7270</v>
      </c>
      <c r="AA873" s="147" t="s">
        <v>6114</v>
      </c>
      <c r="AC873" s="147">
        <v>1</v>
      </c>
      <c r="AD873" s="147">
        <v>0</v>
      </c>
    </row>
    <row r="874" spans="1:30" x14ac:dyDescent="0.15">
      <c r="A874" s="263">
        <v>95410117</v>
      </c>
      <c r="B874" t="s">
        <v>7271</v>
      </c>
      <c r="C874" s="268" t="s">
        <v>6316</v>
      </c>
      <c r="D874" s="147">
        <v>9101</v>
      </c>
      <c r="E874" s="147" t="s">
        <v>4876</v>
      </c>
      <c r="F874" s="147" t="s">
        <v>6110</v>
      </c>
      <c r="G874" s="147">
        <v>7</v>
      </c>
      <c r="H874" s="147">
        <v>0</v>
      </c>
      <c r="I874" s="147">
        <v>34</v>
      </c>
      <c r="J874" s="147" t="s">
        <v>6176</v>
      </c>
      <c r="M874" s="147">
        <v>99</v>
      </c>
      <c r="N874" s="147" t="b">
        <v>1</v>
      </c>
      <c r="O874" s="147">
        <v>10</v>
      </c>
      <c r="P874" s="281">
        <v>150</v>
      </c>
      <c r="Q874" s="281">
        <v>200</v>
      </c>
      <c r="R874" s="147" t="s">
        <v>3383</v>
      </c>
      <c r="T874" s="147">
        <v>1</v>
      </c>
      <c r="U874" s="147" t="s">
        <v>4880</v>
      </c>
      <c r="V874" s="147">
        <v>0</v>
      </c>
      <c r="X874" s="147" t="s">
        <v>4881</v>
      </c>
      <c r="Y874" t="s">
        <v>7272</v>
      </c>
      <c r="Z874" t="s">
        <v>7273</v>
      </c>
      <c r="AA874" s="147" t="s">
        <v>6114</v>
      </c>
      <c r="AC874" s="147">
        <v>1</v>
      </c>
      <c r="AD874" s="147">
        <v>0</v>
      </c>
    </row>
    <row r="875" spans="1:30" x14ac:dyDescent="0.15">
      <c r="A875" s="263">
        <v>95410118</v>
      </c>
      <c r="B875" t="s">
        <v>7274</v>
      </c>
      <c r="C875" s="268" t="s">
        <v>6316</v>
      </c>
      <c r="D875" s="147">
        <v>9101</v>
      </c>
      <c r="E875" s="147" t="s">
        <v>4876</v>
      </c>
      <c r="F875" s="147" t="s">
        <v>6110</v>
      </c>
      <c r="G875" s="147">
        <v>7</v>
      </c>
      <c r="H875" s="147">
        <v>0</v>
      </c>
      <c r="I875" s="147">
        <v>34</v>
      </c>
      <c r="J875" s="147" t="s">
        <v>6180</v>
      </c>
      <c r="M875" s="147">
        <v>99</v>
      </c>
      <c r="N875" s="147" t="b">
        <v>1</v>
      </c>
      <c r="O875" s="147">
        <v>10</v>
      </c>
      <c r="P875" s="281">
        <v>150</v>
      </c>
      <c r="Q875" s="281">
        <v>200</v>
      </c>
      <c r="R875" s="147" t="s">
        <v>3383</v>
      </c>
      <c r="T875" s="147">
        <v>1</v>
      </c>
      <c r="U875" s="147" t="s">
        <v>4880</v>
      </c>
      <c r="V875" s="147">
        <v>0</v>
      </c>
      <c r="X875" s="147" t="s">
        <v>4881</v>
      </c>
      <c r="Y875" t="s">
        <v>7275</v>
      </c>
      <c r="Z875" t="s">
        <v>7276</v>
      </c>
      <c r="AA875" s="147" t="s">
        <v>6114</v>
      </c>
      <c r="AC875" s="147">
        <v>1</v>
      </c>
      <c r="AD875" s="147">
        <v>0</v>
      </c>
    </row>
    <row r="876" spans="1:30" x14ac:dyDescent="0.15">
      <c r="A876" s="263">
        <v>95410119</v>
      </c>
      <c r="B876" t="s">
        <v>7277</v>
      </c>
      <c r="C876" s="268" t="s">
        <v>6316</v>
      </c>
      <c r="D876" s="147">
        <v>9101</v>
      </c>
      <c r="E876" s="147" t="s">
        <v>4876</v>
      </c>
      <c r="F876" s="147" t="s">
        <v>6110</v>
      </c>
      <c r="G876" s="147">
        <v>7</v>
      </c>
      <c r="H876" s="147">
        <v>0</v>
      </c>
      <c r="I876" s="147">
        <v>34</v>
      </c>
      <c r="J876" s="147" t="s">
        <v>6184</v>
      </c>
      <c r="M876" s="147">
        <v>99</v>
      </c>
      <c r="N876" s="147" t="b">
        <v>1</v>
      </c>
      <c r="O876" s="147">
        <v>12</v>
      </c>
      <c r="P876" s="281">
        <v>180</v>
      </c>
      <c r="Q876" s="281">
        <v>240</v>
      </c>
      <c r="R876" s="147" t="s">
        <v>3383</v>
      </c>
      <c r="T876" s="147">
        <v>1</v>
      </c>
      <c r="U876" s="147" t="s">
        <v>4880</v>
      </c>
      <c r="V876" s="147">
        <v>0</v>
      </c>
      <c r="X876" s="147" t="s">
        <v>4881</v>
      </c>
      <c r="Y876" t="s">
        <v>7278</v>
      </c>
      <c r="Z876" t="s">
        <v>7279</v>
      </c>
      <c r="AA876" s="147" t="s">
        <v>6114</v>
      </c>
      <c r="AC876" s="147">
        <v>1</v>
      </c>
      <c r="AD876" s="147">
        <v>0</v>
      </c>
    </row>
    <row r="877" spans="1:30" x14ac:dyDescent="0.15">
      <c r="A877" s="263">
        <v>95410120</v>
      </c>
      <c r="B877" t="s">
        <v>7280</v>
      </c>
      <c r="C877" s="268" t="s">
        <v>6316</v>
      </c>
      <c r="D877" s="147">
        <v>9101</v>
      </c>
      <c r="E877" s="147" t="s">
        <v>4876</v>
      </c>
      <c r="F877" s="147" t="s">
        <v>6110</v>
      </c>
      <c r="G877" s="147">
        <v>7</v>
      </c>
      <c r="H877" s="147">
        <v>0</v>
      </c>
      <c r="I877" s="147">
        <v>34</v>
      </c>
      <c r="J877" s="147" t="s">
        <v>6188</v>
      </c>
      <c r="M877" s="147">
        <v>99</v>
      </c>
      <c r="N877" s="147" t="b">
        <v>1</v>
      </c>
      <c r="O877" s="147">
        <v>12</v>
      </c>
      <c r="P877" s="281">
        <v>180</v>
      </c>
      <c r="Q877" s="281">
        <v>240</v>
      </c>
      <c r="R877" s="147" t="s">
        <v>3383</v>
      </c>
      <c r="T877" s="147">
        <v>1</v>
      </c>
      <c r="U877" s="147" t="s">
        <v>4880</v>
      </c>
      <c r="V877" s="147">
        <v>0</v>
      </c>
      <c r="X877" s="147" t="s">
        <v>4881</v>
      </c>
      <c r="Y877" t="s">
        <v>7281</v>
      </c>
      <c r="Z877" t="s">
        <v>7282</v>
      </c>
      <c r="AA877" s="147" t="s">
        <v>6114</v>
      </c>
      <c r="AC877" s="147">
        <v>1</v>
      </c>
      <c r="AD877" s="147">
        <v>0</v>
      </c>
    </row>
    <row r="878" spans="1:30" x14ac:dyDescent="0.15">
      <c r="A878" s="263">
        <v>95410121</v>
      </c>
      <c r="B878" t="s">
        <v>7283</v>
      </c>
      <c r="C878" s="268" t="s">
        <v>6316</v>
      </c>
      <c r="D878" s="147">
        <v>9101</v>
      </c>
      <c r="E878" s="147" t="s">
        <v>4876</v>
      </c>
      <c r="F878" s="147" t="s">
        <v>6110</v>
      </c>
      <c r="G878" s="147">
        <v>7</v>
      </c>
      <c r="H878" s="147">
        <v>0</v>
      </c>
      <c r="I878" s="147">
        <v>34</v>
      </c>
      <c r="J878" s="147" t="s">
        <v>6193</v>
      </c>
      <c r="M878" s="147">
        <v>99</v>
      </c>
      <c r="N878" s="147" t="b">
        <v>1</v>
      </c>
      <c r="O878" s="147">
        <v>2</v>
      </c>
      <c r="P878" s="281">
        <v>30</v>
      </c>
      <c r="Q878" s="281">
        <v>40</v>
      </c>
      <c r="R878" s="147" t="s">
        <v>3383</v>
      </c>
      <c r="T878" s="147">
        <v>1</v>
      </c>
      <c r="U878" s="147" t="s">
        <v>4880</v>
      </c>
      <c r="V878" s="147">
        <v>0</v>
      </c>
      <c r="X878" s="147" t="s">
        <v>4881</v>
      </c>
      <c r="Y878" t="s">
        <v>7284</v>
      </c>
      <c r="Z878" t="s">
        <v>7285</v>
      </c>
      <c r="AA878" s="147" t="s">
        <v>6196</v>
      </c>
      <c r="AC878" s="147">
        <v>1</v>
      </c>
      <c r="AD878" s="147">
        <v>0</v>
      </c>
    </row>
    <row r="879" spans="1:30" x14ac:dyDescent="0.15">
      <c r="A879" s="263">
        <v>95410122</v>
      </c>
      <c r="B879" t="s">
        <v>7286</v>
      </c>
      <c r="C879" s="268" t="s">
        <v>6316</v>
      </c>
      <c r="D879" s="147">
        <v>9101</v>
      </c>
      <c r="E879" s="147" t="s">
        <v>4876</v>
      </c>
      <c r="F879" s="147" t="s">
        <v>6110</v>
      </c>
      <c r="G879" s="147">
        <v>7</v>
      </c>
      <c r="H879" s="147">
        <v>0</v>
      </c>
      <c r="I879" s="147">
        <v>34</v>
      </c>
      <c r="J879" s="147" t="s">
        <v>6198</v>
      </c>
      <c r="M879" s="147">
        <v>99</v>
      </c>
      <c r="N879" s="147" t="b">
        <v>1</v>
      </c>
      <c r="O879" s="147">
        <v>2</v>
      </c>
      <c r="P879" s="281">
        <v>30</v>
      </c>
      <c r="Q879" s="281">
        <v>40</v>
      </c>
      <c r="R879" s="147" t="s">
        <v>3383</v>
      </c>
      <c r="T879" s="147">
        <v>1</v>
      </c>
      <c r="U879" s="147" t="s">
        <v>4880</v>
      </c>
      <c r="V879" s="147">
        <v>0</v>
      </c>
      <c r="X879" s="147" t="s">
        <v>4881</v>
      </c>
      <c r="Y879" t="s">
        <v>7287</v>
      </c>
      <c r="Z879" t="s">
        <v>7288</v>
      </c>
      <c r="AA879" s="147" t="s">
        <v>6196</v>
      </c>
      <c r="AC879" s="147">
        <v>1</v>
      </c>
      <c r="AD879" s="147">
        <v>0</v>
      </c>
    </row>
    <row r="880" spans="1:30" x14ac:dyDescent="0.15">
      <c r="A880" s="263">
        <v>95410123</v>
      </c>
      <c r="B880" t="s">
        <v>7289</v>
      </c>
      <c r="C880" s="268" t="s">
        <v>6316</v>
      </c>
      <c r="D880" s="147">
        <v>9101</v>
      </c>
      <c r="E880" s="147" t="s">
        <v>4876</v>
      </c>
      <c r="F880" s="147" t="s">
        <v>6110</v>
      </c>
      <c r="G880" s="147">
        <v>7</v>
      </c>
      <c r="H880" s="147">
        <v>0</v>
      </c>
      <c r="I880" s="147">
        <v>34</v>
      </c>
      <c r="J880" s="147" t="s">
        <v>6202</v>
      </c>
      <c r="M880" s="147">
        <v>99</v>
      </c>
      <c r="N880" s="147" t="b">
        <v>1</v>
      </c>
      <c r="O880" s="147">
        <v>5</v>
      </c>
      <c r="P880" s="281">
        <v>75</v>
      </c>
      <c r="Q880" s="281">
        <v>100</v>
      </c>
      <c r="R880" s="147" t="s">
        <v>3383</v>
      </c>
      <c r="T880" s="147">
        <v>1</v>
      </c>
      <c r="U880" s="147" t="s">
        <v>4880</v>
      </c>
      <c r="V880" s="147">
        <v>0</v>
      </c>
      <c r="X880" s="147" t="s">
        <v>4881</v>
      </c>
      <c r="Y880" t="s">
        <v>7290</v>
      </c>
      <c r="Z880" t="s">
        <v>7291</v>
      </c>
      <c r="AA880" s="147" t="s">
        <v>6196</v>
      </c>
      <c r="AC880" s="147">
        <v>1</v>
      </c>
      <c r="AD880" s="147">
        <v>0</v>
      </c>
    </row>
    <row r="881" spans="1:30" x14ac:dyDescent="0.15">
      <c r="A881" s="263">
        <v>95410124</v>
      </c>
      <c r="B881" t="s">
        <v>7292</v>
      </c>
      <c r="C881" s="268" t="s">
        <v>6316</v>
      </c>
      <c r="D881" s="147">
        <v>9101</v>
      </c>
      <c r="E881" s="147" t="s">
        <v>4876</v>
      </c>
      <c r="F881" s="147" t="s">
        <v>6110</v>
      </c>
      <c r="G881" s="147">
        <v>7</v>
      </c>
      <c r="H881" s="147">
        <v>0</v>
      </c>
      <c r="I881" s="147">
        <v>34</v>
      </c>
      <c r="J881" s="147" t="s">
        <v>6206</v>
      </c>
      <c r="M881" s="147">
        <v>99</v>
      </c>
      <c r="N881" s="147" t="b">
        <v>1</v>
      </c>
      <c r="O881" s="147">
        <v>5</v>
      </c>
      <c r="P881" s="281">
        <v>75</v>
      </c>
      <c r="Q881" s="281">
        <v>100</v>
      </c>
      <c r="R881" s="147" t="s">
        <v>3383</v>
      </c>
      <c r="T881" s="147">
        <v>1</v>
      </c>
      <c r="U881" s="147" t="s">
        <v>4880</v>
      </c>
      <c r="V881" s="147">
        <v>0</v>
      </c>
      <c r="X881" s="147" t="s">
        <v>4881</v>
      </c>
      <c r="Y881" t="s">
        <v>7293</v>
      </c>
      <c r="Z881" t="s">
        <v>7294</v>
      </c>
      <c r="AA881" s="147" t="s">
        <v>6196</v>
      </c>
      <c r="AC881" s="147">
        <v>1</v>
      </c>
      <c r="AD881" s="147">
        <v>0</v>
      </c>
    </row>
    <row r="882" spans="1:30" x14ac:dyDescent="0.15">
      <c r="A882" s="263">
        <v>95410125</v>
      </c>
      <c r="B882" t="s">
        <v>7295</v>
      </c>
      <c r="C882" s="268" t="s">
        <v>6316</v>
      </c>
      <c r="D882" s="147">
        <v>9101</v>
      </c>
      <c r="E882" s="147" t="s">
        <v>4876</v>
      </c>
      <c r="F882" s="147" t="s">
        <v>6110</v>
      </c>
      <c r="G882" s="147">
        <v>7</v>
      </c>
      <c r="H882" s="147">
        <v>0</v>
      </c>
      <c r="I882" s="147">
        <v>34</v>
      </c>
      <c r="J882" s="147" t="s">
        <v>6210</v>
      </c>
      <c r="M882" s="147">
        <v>99</v>
      </c>
      <c r="N882" s="147" t="b">
        <v>1</v>
      </c>
      <c r="O882" s="147">
        <v>5</v>
      </c>
      <c r="P882" s="281">
        <v>75</v>
      </c>
      <c r="Q882" s="281">
        <v>100</v>
      </c>
      <c r="R882" s="147" t="s">
        <v>3383</v>
      </c>
      <c r="T882" s="147">
        <v>1</v>
      </c>
      <c r="U882" s="147" t="s">
        <v>4880</v>
      </c>
      <c r="V882" s="147">
        <v>0</v>
      </c>
      <c r="X882" s="147" t="s">
        <v>4881</v>
      </c>
      <c r="Y882" t="s">
        <v>7296</v>
      </c>
      <c r="Z882" t="s">
        <v>7297</v>
      </c>
      <c r="AA882" s="147" t="s">
        <v>6196</v>
      </c>
      <c r="AC882" s="147">
        <v>1</v>
      </c>
      <c r="AD882" s="147">
        <v>0</v>
      </c>
    </row>
    <row r="883" spans="1:30" x14ac:dyDescent="0.15">
      <c r="A883" s="263">
        <v>95410126</v>
      </c>
      <c r="B883" t="s">
        <v>7298</v>
      </c>
      <c r="C883" s="268" t="s">
        <v>6316</v>
      </c>
      <c r="D883" s="147">
        <v>9101</v>
      </c>
      <c r="E883" s="147" t="s">
        <v>4876</v>
      </c>
      <c r="F883" s="147" t="s">
        <v>6110</v>
      </c>
      <c r="G883" s="147">
        <v>7</v>
      </c>
      <c r="H883" s="147">
        <v>0</v>
      </c>
      <c r="I883" s="147">
        <v>34</v>
      </c>
      <c r="J883" s="147" t="s">
        <v>6214</v>
      </c>
      <c r="M883" s="147">
        <v>99</v>
      </c>
      <c r="N883" s="147" t="b">
        <v>1</v>
      </c>
      <c r="O883" s="147">
        <v>7</v>
      </c>
      <c r="P883" s="281">
        <v>105</v>
      </c>
      <c r="Q883" s="281">
        <v>140</v>
      </c>
      <c r="R883" s="147" t="s">
        <v>3383</v>
      </c>
      <c r="T883" s="147">
        <v>1</v>
      </c>
      <c r="U883" s="147" t="s">
        <v>4880</v>
      </c>
      <c r="V883" s="147">
        <v>0</v>
      </c>
      <c r="X883" s="147" t="s">
        <v>4881</v>
      </c>
      <c r="Y883" t="s">
        <v>7299</v>
      </c>
      <c r="Z883" t="s">
        <v>7300</v>
      </c>
      <c r="AA883" s="147" t="s">
        <v>6196</v>
      </c>
      <c r="AC883" s="147">
        <v>1</v>
      </c>
      <c r="AD883" s="147">
        <v>0</v>
      </c>
    </row>
    <row r="884" spans="1:30" x14ac:dyDescent="0.15">
      <c r="A884" s="263">
        <v>95410127</v>
      </c>
      <c r="B884" t="s">
        <v>7301</v>
      </c>
      <c r="C884" s="268" t="s">
        <v>6316</v>
      </c>
      <c r="D884" s="147">
        <v>9101</v>
      </c>
      <c r="E884" s="147" t="s">
        <v>4876</v>
      </c>
      <c r="F884" s="147" t="s">
        <v>6110</v>
      </c>
      <c r="G884" s="147">
        <v>7</v>
      </c>
      <c r="H884" s="147">
        <v>0</v>
      </c>
      <c r="I884" s="147">
        <v>34</v>
      </c>
      <c r="J884" s="147" t="s">
        <v>6218</v>
      </c>
      <c r="M884" s="147">
        <v>99</v>
      </c>
      <c r="N884" s="147" t="b">
        <v>1</v>
      </c>
      <c r="O884" s="147">
        <v>7</v>
      </c>
      <c r="P884" s="281">
        <v>105</v>
      </c>
      <c r="Q884" s="281">
        <v>140</v>
      </c>
      <c r="R884" s="147" t="s">
        <v>3383</v>
      </c>
      <c r="T884" s="147">
        <v>1</v>
      </c>
      <c r="U884" s="147" t="s">
        <v>4880</v>
      </c>
      <c r="V884" s="147">
        <v>0</v>
      </c>
      <c r="X884" s="147" t="s">
        <v>4881</v>
      </c>
      <c r="Y884" t="s">
        <v>7302</v>
      </c>
      <c r="Z884" t="s">
        <v>7303</v>
      </c>
      <c r="AA884" s="147" t="s">
        <v>6196</v>
      </c>
      <c r="AC884" s="147">
        <v>1</v>
      </c>
      <c r="AD884" s="147">
        <v>0</v>
      </c>
    </row>
    <row r="885" spans="1:30" x14ac:dyDescent="0.15">
      <c r="A885" s="263">
        <v>95410128</v>
      </c>
      <c r="B885" t="s">
        <v>7304</v>
      </c>
      <c r="C885" s="268" t="s">
        <v>6316</v>
      </c>
      <c r="D885" s="147">
        <v>9101</v>
      </c>
      <c r="E885" s="147" t="s">
        <v>4876</v>
      </c>
      <c r="F885" s="147" t="s">
        <v>6110</v>
      </c>
      <c r="G885" s="147">
        <v>7</v>
      </c>
      <c r="H885" s="147">
        <v>0</v>
      </c>
      <c r="I885" s="147">
        <v>34</v>
      </c>
      <c r="J885" s="147" t="s">
        <v>6222</v>
      </c>
      <c r="M885" s="147">
        <v>99</v>
      </c>
      <c r="N885" s="147" t="b">
        <v>1</v>
      </c>
      <c r="O885" s="147">
        <v>10</v>
      </c>
      <c r="P885" s="281">
        <v>150</v>
      </c>
      <c r="Q885" s="281">
        <v>200</v>
      </c>
      <c r="R885" s="147" t="s">
        <v>3383</v>
      </c>
      <c r="T885" s="147">
        <v>1</v>
      </c>
      <c r="U885" s="147" t="s">
        <v>4880</v>
      </c>
      <c r="V885" s="147">
        <v>0</v>
      </c>
      <c r="X885" s="147" t="s">
        <v>4881</v>
      </c>
      <c r="Y885" t="s">
        <v>7305</v>
      </c>
      <c r="Z885" t="s">
        <v>7306</v>
      </c>
      <c r="AA885" s="147" t="s">
        <v>6196</v>
      </c>
      <c r="AC885" s="147">
        <v>1</v>
      </c>
      <c r="AD885" s="147">
        <v>0</v>
      </c>
    </row>
    <row r="886" spans="1:30" x14ac:dyDescent="0.15">
      <c r="A886" s="263">
        <v>95410129</v>
      </c>
      <c r="B886" t="s">
        <v>7307</v>
      </c>
      <c r="C886" s="268" t="s">
        <v>6316</v>
      </c>
      <c r="D886" s="147">
        <v>9101</v>
      </c>
      <c r="E886" s="147" t="s">
        <v>4876</v>
      </c>
      <c r="F886" s="147" t="s">
        <v>6110</v>
      </c>
      <c r="G886" s="147">
        <v>7</v>
      </c>
      <c r="H886" s="147">
        <v>0</v>
      </c>
      <c r="I886" s="147">
        <v>34</v>
      </c>
      <c r="J886" s="147" t="s">
        <v>6226</v>
      </c>
      <c r="M886" s="147">
        <v>99</v>
      </c>
      <c r="N886" s="147" t="b">
        <v>1</v>
      </c>
      <c r="O886" s="147">
        <v>10</v>
      </c>
      <c r="P886" s="281">
        <v>150</v>
      </c>
      <c r="Q886" s="281">
        <v>200</v>
      </c>
      <c r="R886" s="147" t="s">
        <v>3383</v>
      </c>
      <c r="T886" s="147">
        <v>1</v>
      </c>
      <c r="U886" s="147" t="s">
        <v>4880</v>
      </c>
      <c r="V886" s="147">
        <v>0</v>
      </c>
      <c r="X886" s="147" t="s">
        <v>4881</v>
      </c>
      <c r="Y886" t="s">
        <v>7308</v>
      </c>
      <c r="Z886" t="s">
        <v>7309</v>
      </c>
      <c r="AA886" s="147" t="s">
        <v>6196</v>
      </c>
      <c r="AC886" s="147">
        <v>1</v>
      </c>
      <c r="AD886" s="147">
        <v>0</v>
      </c>
    </row>
    <row r="887" spans="1:30" x14ac:dyDescent="0.15">
      <c r="A887" s="263">
        <v>95410130</v>
      </c>
      <c r="B887" t="s">
        <v>7310</v>
      </c>
      <c r="C887" s="268" t="s">
        <v>6316</v>
      </c>
      <c r="D887" s="147">
        <v>9101</v>
      </c>
      <c r="E887" s="147" t="s">
        <v>4876</v>
      </c>
      <c r="F887" s="147" t="s">
        <v>6110</v>
      </c>
      <c r="G887" s="147">
        <v>7</v>
      </c>
      <c r="H887" s="147">
        <v>0</v>
      </c>
      <c r="I887" s="147">
        <v>34</v>
      </c>
      <c r="J887" s="147" t="s">
        <v>6230</v>
      </c>
      <c r="M887" s="147">
        <v>99</v>
      </c>
      <c r="N887" s="147" t="b">
        <v>1</v>
      </c>
      <c r="O887" s="147">
        <v>12</v>
      </c>
      <c r="P887" s="281">
        <v>180</v>
      </c>
      <c r="Q887" s="281">
        <v>240</v>
      </c>
      <c r="R887" s="147" t="s">
        <v>3383</v>
      </c>
      <c r="T887" s="147">
        <v>1</v>
      </c>
      <c r="U887" s="147" t="s">
        <v>4880</v>
      </c>
      <c r="V887" s="147">
        <v>0</v>
      </c>
      <c r="X887" s="147" t="s">
        <v>4881</v>
      </c>
      <c r="Y887" t="s">
        <v>7311</v>
      </c>
      <c r="Z887" t="s">
        <v>7312</v>
      </c>
      <c r="AA887" s="147" t="s">
        <v>6196</v>
      </c>
      <c r="AC887" s="147">
        <v>1</v>
      </c>
      <c r="AD887" s="147">
        <v>0</v>
      </c>
    </row>
    <row r="888" spans="1:30" x14ac:dyDescent="0.15">
      <c r="A888" s="263">
        <v>95410131</v>
      </c>
      <c r="B888" t="s">
        <v>7313</v>
      </c>
      <c r="C888" s="268" t="s">
        <v>6316</v>
      </c>
      <c r="D888" s="147">
        <v>9101</v>
      </c>
      <c r="E888" s="147" t="s">
        <v>4876</v>
      </c>
      <c r="F888" s="147" t="s">
        <v>6110</v>
      </c>
      <c r="G888" s="147">
        <v>7</v>
      </c>
      <c r="H888" s="147">
        <v>0</v>
      </c>
      <c r="I888" s="147">
        <v>34</v>
      </c>
      <c r="J888" s="147" t="s">
        <v>6234</v>
      </c>
      <c r="M888" s="147">
        <v>99</v>
      </c>
      <c r="N888" s="147" t="b">
        <v>1</v>
      </c>
      <c r="O888" s="147">
        <v>12</v>
      </c>
      <c r="P888" s="281">
        <v>180</v>
      </c>
      <c r="Q888" s="281">
        <v>240</v>
      </c>
      <c r="R888" s="147" t="s">
        <v>3383</v>
      </c>
      <c r="T888" s="147">
        <v>1</v>
      </c>
      <c r="U888" s="147" t="s">
        <v>4880</v>
      </c>
      <c r="V888" s="147">
        <v>0</v>
      </c>
      <c r="X888" s="147" t="s">
        <v>4881</v>
      </c>
      <c r="Y888" t="s">
        <v>7314</v>
      </c>
      <c r="Z888" t="s">
        <v>7315</v>
      </c>
      <c r="AA888" s="147" t="s">
        <v>6196</v>
      </c>
      <c r="AC888" s="147">
        <v>1</v>
      </c>
      <c r="AD888" s="147">
        <v>0</v>
      </c>
    </row>
    <row r="889" spans="1:30" x14ac:dyDescent="0.15">
      <c r="A889" s="263">
        <v>95410132</v>
      </c>
      <c r="B889" t="s">
        <v>7316</v>
      </c>
      <c r="C889" s="268" t="s">
        <v>6316</v>
      </c>
      <c r="D889" s="147">
        <v>9101</v>
      </c>
      <c r="E889" s="147" t="s">
        <v>4876</v>
      </c>
      <c r="F889" s="147" t="s">
        <v>6110</v>
      </c>
      <c r="G889" s="147">
        <v>7</v>
      </c>
      <c r="H889" s="147">
        <v>0</v>
      </c>
      <c r="I889" s="147">
        <v>34</v>
      </c>
      <c r="J889" s="147" t="s">
        <v>6238</v>
      </c>
      <c r="M889" s="147">
        <v>99</v>
      </c>
      <c r="N889" s="147" t="b">
        <v>1</v>
      </c>
      <c r="O889" s="147">
        <v>12</v>
      </c>
      <c r="P889" s="281">
        <v>180</v>
      </c>
      <c r="Q889" s="281">
        <v>240</v>
      </c>
      <c r="R889" s="147" t="s">
        <v>3383</v>
      </c>
      <c r="T889" s="147">
        <v>1</v>
      </c>
      <c r="U889" s="147" t="s">
        <v>4880</v>
      </c>
      <c r="V889" s="147">
        <v>0</v>
      </c>
      <c r="X889" s="147" t="s">
        <v>4881</v>
      </c>
      <c r="Y889" t="s">
        <v>7317</v>
      </c>
      <c r="Z889" t="s">
        <v>7318</v>
      </c>
      <c r="AA889" s="147" t="s">
        <v>6196</v>
      </c>
      <c r="AC889" s="147">
        <v>1</v>
      </c>
      <c r="AD889" s="147">
        <v>0</v>
      </c>
    </row>
    <row r="890" spans="1:30" x14ac:dyDescent="0.15">
      <c r="A890" s="263">
        <v>95410133</v>
      </c>
      <c r="B890" t="s">
        <v>7319</v>
      </c>
      <c r="C890" s="268" t="s">
        <v>6316</v>
      </c>
      <c r="D890" s="147">
        <v>9101</v>
      </c>
      <c r="E890" s="147" t="s">
        <v>4876</v>
      </c>
      <c r="F890" s="147" t="s">
        <v>6110</v>
      </c>
      <c r="G890" s="147">
        <v>7</v>
      </c>
      <c r="H890" s="147">
        <v>0</v>
      </c>
      <c r="I890" s="147">
        <v>34</v>
      </c>
      <c r="J890" s="147" t="s">
        <v>6242</v>
      </c>
      <c r="M890" s="147">
        <v>99</v>
      </c>
      <c r="N890" s="147" t="b">
        <v>1</v>
      </c>
      <c r="O890" s="147">
        <v>12</v>
      </c>
      <c r="P890" s="281">
        <v>180</v>
      </c>
      <c r="Q890" s="281">
        <v>240</v>
      </c>
      <c r="R890" s="147" t="s">
        <v>3383</v>
      </c>
      <c r="T890" s="147">
        <v>1</v>
      </c>
      <c r="U890" s="147" t="s">
        <v>4880</v>
      </c>
      <c r="V890" s="147">
        <v>0</v>
      </c>
      <c r="X890" s="147" t="s">
        <v>4881</v>
      </c>
      <c r="Y890" t="s">
        <v>7320</v>
      </c>
      <c r="Z890" t="s">
        <v>7321</v>
      </c>
      <c r="AA890" s="147" t="s">
        <v>6196</v>
      </c>
      <c r="AC890" s="147">
        <v>1</v>
      </c>
      <c r="AD890" s="147">
        <v>0</v>
      </c>
    </row>
    <row r="891" spans="1:30" x14ac:dyDescent="0.15">
      <c r="A891" s="263">
        <v>95410134</v>
      </c>
      <c r="B891" t="s">
        <v>7322</v>
      </c>
      <c r="C891" s="268" t="s">
        <v>6316</v>
      </c>
      <c r="D891" s="147">
        <v>9101</v>
      </c>
      <c r="E891" s="147" t="s">
        <v>4876</v>
      </c>
      <c r="F891" s="147" t="s">
        <v>6110</v>
      </c>
      <c r="G891" s="147">
        <v>7</v>
      </c>
      <c r="H891" s="147">
        <v>0</v>
      </c>
      <c r="I891" s="147">
        <v>34</v>
      </c>
      <c r="J891" s="147" t="s">
        <v>6247</v>
      </c>
      <c r="M891" s="147">
        <v>99</v>
      </c>
      <c r="N891" s="147" t="b">
        <v>1</v>
      </c>
      <c r="O891" s="147">
        <v>2</v>
      </c>
      <c r="P891" s="281">
        <v>30</v>
      </c>
      <c r="Q891" s="281">
        <v>40</v>
      </c>
      <c r="R891" s="147" t="s">
        <v>3383</v>
      </c>
      <c r="T891" s="147">
        <v>1</v>
      </c>
      <c r="U891" s="147" t="s">
        <v>4880</v>
      </c>
      <c r="V891" s="147">
        <v>0</v>
      </c>
      <c r="X891" s="147" t="s">
        <v>4881</v>
      </c>
      <c r="Y891" t="s">
        <v>7323</v>
      </c>
      <c r="Z891" t="s">
        <v>7324</v>
      </c>
      <c r="AA891" s="147" t="s">
        <v>6250</v>
      </c>
      <c r="AC891" s="147">
        <v>1</v>
      </c>
      <c r="AD891" s="147">
        <v>0</v>
      </c>
    </row>
    <row r="892" spans="1:30" x14ac:dyDescent="0.15">
      <c r="A892" s="263">
        <v>95410135</v>
      </c>
      <c r="B892" t="s">
        <v>7325</v>
      </c>
      <c r="C892" s="268" t="s">
        <v>6316</v>
      </c>
      <c r="D892" s="147">
        <v>9101</v>
      </c>
      <c r="E892" s="147" t="s">
        <v>4876</v>
      </c>
      <c r="F892" s="147" t="s">
        <v>6110</v>
      </c>
      <c r="G892" s="147">
        <v>7</v>
      </c>
      <c r="H892" s="147">
        <v>0</v>
      </c>
      <c r="I892" s="147">
        <v>34</v>
      </c>
      <c r="J892" s="147" t="s">
        <v>6252</v>
      </c>
      <c r="M892" s="147">
        <v>99</v>
      </c>
      <c r="N892" s="147" t="b">
        <v>1</v>
      </c>
      <c r="O892" s="147">
        <v>2</v>
      </c>
      <c r="P892" s="281">
        <v>30</v>
      </c>
      <c r="Q892" s="281">
        <v>40</v>
      </c>
      <c r="R892" s="147" t="s">
        <v>3383</v>
      </c>
      <c r="T892" s="147">
        <v>1</v>
      </c>
      <c r="U892" s="147" t="s">
        <v>4880</v>
      </c>
      <c r="V892" s="147">
        <v>0</v>
      </c>
      <c r="X892" s="147" t="s">
        <v>4881</v>
      </c>
      <c r="Y892" t="s">
        <v>7326</v>
      </c>
      <c r="Z892" t="s">
        <v>7327</v>
      </c>
      <c r="AA892" s="147" t="s">
        <v>6250</v>
      </c>
      <c r="AC892" s="147">
        <v>1</v>
      </c>
      <c r="AD892" s="147">
        <v>0</v>
      </c>
    </row>
    <row r="893" spans="1:30" x14ac:dyDescent="0.15">
      <c r="A893" s="263">
        <v>95410136</v>
      </c>
      <c r="B893" t="s">
        <v>7328</v>
      </c>
      <c r="C893" s="268" t="s">
        <v>6316</v>
      </c>
      <c r="D893" s="147">
        <v>9101</v>
      </c>
      <c r="E893" s="147" t="s">
        <v>4876</v>
      </c>
      <c r="F893" s="147" t="s">
        <v>6110</v>
      </c>
      <c r="G893" s="147">
        <v>7</v>
      </c>
      <c r="H893" s="147">
        <v>0</v>
      </c>
      <c r="I893" s="147">
        <v>34</v>
      </c>
      <c r="J893" s="147" t="s">
        <v>6256</v>
      </c>
      <c r="M893" s="147">
        <v>99</v>
      </c>
      <c r="N893" s="147" t="b">
        <v>1</v>
      </c>
      <c r="O893" s="147">
        <v>2</v>
      </c>
      <c r="P893" s="281">
        <v>30</v>
      </c>
      <c r="Q893" s="281">
        <v>40</v>
      </c>
      <c r="R893" s="147" t="s">
        <v>3383</v>
      </c>
      <c r="T893" s="147">
        <v>1</v>
      </c>
      <c r="U893" s="147" t="s">
        <v>4880</v>
      </c>
      <c r="V893" s="147">
        <v>0</v>
      </c>
      <c r="X893" s="147" t="s">
        <v>4881</v>
      </c>
      <c r="Y893" t="s">
        <v>7329</v>
      </c>
      <c r="Z893" t="s">
        <v>7330</v>
      </c>
      <c r="AA893" s="147" t="s">
        <v>6250</v>
      </c>
      <c r="AC893" s="147">
        <v>1</v>
      </c>
      <c r="AD893" s="147">
        <v>0</v>
      </c>
    </row>
    <row r="894" spans="1:30" x14ac:dyDescent="0.15">
      <c r="A894" s="263">
        <v>95410137</v>
      </c>
      <c r="B894" t="s">
        <v>7331</v>
      </c>
      <c r="C894" s="268" t="s">
        <v>6316</v>
      </c>
      <c r="D894" s="147">
        <v>9101</v>
      </c>
      <c r="E894" s="147" t="s">
        <v>4876</v>
      </c>
      <c r="F894" s="147" t="s">
        <v>6110</v>
      </c>
      <c r="G894" s="147">
        <v>7</v>
      </c>
      <c r="H894" s="147">
        <v>0</v>
      </c>
      <c r="I894" s="147">
        <v>34</v>
      </c>
      <c r="J894" s="147" t="s">
        <v>6260</v>
      </c>
      <c r="M894" s="147">
        <v>99</v>
      </c>
      <c r="N894" s="147" t="b">
        <v>1</v>
      </c>
      <c r="O894" s="147">
        <v>2</v>
      </c>
      <c r="P894" s="281">
        <v>30</v>
      </c>
      <c r="Q894" s="281">
        <v>40</v>
      </c>
      <c r="R894" s="147" t="s">
        <v>3383</v>
      </c>
      <c r="T894" s="147">
        <v>1</v>
      </c>
      <c r="U894" s="147" t="s">
        <v>4880</v>
      </c>
      <c r="V894" s="147">
        <v>0</v>
      </c>
      <c r="X894" s="147" t="s">
        <v>4881</v>
      </c>
      <c r="Y894" t="s">
        <v>7332</v>
      </c>
      <c r="Z894" t="s">
        <v>7333</v>
      </c>
      <c r="AA894" s="147" t="s">
        <v>6250</v>
      </c>
      <c r="AC894" s="147">
        <v>1</v>
      </c>
      <c r="AD894" s="147">
        <v>0</v>
      </c>
    </row>
    <row r="895" spans="1:30" x14ac:dyDescent="0.15">
      <c r="A895" s="263">
        <v>95410138</v>
      </c>
      <c r="B895" t="s">
        <v>7334</v>
      </c>
      <c r="C895" s="268" t="s">
        <v>6316</v>
      </c>
      <c r="D895" s="147">
        <v>9101</v>
      </c>
      <c r="E895" s="147" t="s">
        <v>4876</v>
      </c>
      <c r="F895" s="147" t="s">
        <v>6110</v>
      </c>
      <c r="G895" s="147">
        <v>7</v>
      </c>
      <c r="H895" s="147">
        <v>0</v>
      </c>
      <c r="I895" s="147">
        <v>34</v>
      </c>
      <c r="J895" s="147" t="s">
        <v>6264</v>
      </c>
      <c r="M895" s="147">
        <v>99</v>
      </c>
      <c r="N895" s="147" t="b">
        <v>1</v>
      </c>
      <c r="O895" s="147">
        <v>2</v>
      </c>
      <c r="P895" s="281">
        <v>30</v>
      </c>
      <c r="Q895" s="281">
        <v>40</v>
      </c>
      <c r="R895" s="147" t="s">
        <v>3383</v>
      </c>
      <c r="T895" s="147">
        <v>1</v>
      </c>
      <c r="U895" s="147" t="s">
        <v>4880</v>
      </c>
      <c r="V895" s="147">
        <v>0</v>
      </c>
      <c r="X895" s="147" t="s">
        <v>4881</v>
      </c>
      <c r="Y895" t="s">
        <v>7335</v>
      </c>
      <c r="Z895" t="s">
        <v>7336</v>
      </c>
      <c r="AA895" s="147" t="s">
        <v>6250</v>
      </c>
      <c r="AC895" s="147">
        <v>1</v>
      </c>
      <c r="AD895" s="147">
        <v>0</v>
      </c>
    </row>
    <row r="896" spans="1:30" x14ac:dyDescent="0.15">
      <c r="A896" s="263">
        <v>95410139</v>
      </c>
      <c r="B896" t="s">
        <v>7337</v>
      </c>
      <c r="C896" s="268" t="s">
        <v>6316</v>
      </c>
      <c r="D896" s="147">
        <v>9101</v>
      </c>
      <c r="E896" s="147" t="s">
        <v>4876</v>
      </c>
      <c r="F896" s="147" t="s">
        <v>6110</v>
      </c>
      <c r="G896" s="147">
        <v>7</v>
      </c>
      <c r="H896" s="147">
        <v>0</v>
      </c>
      <c r="I896" s="147">
        <v>34</v>
      </c>
      <c r="J896" s="147" t="s">
        <v>6268</v>
      </c>
      <c r="M896" s="147">
        <v>99</v>
      </c>
      <c r="N896" s="147" t="b">
        <v>1</v>
      </c>
      <c r="O896" s="147">
        <v>2</v>
      </c>
      <c r="P896" s="281">
        <v>30</v>
      </c>
      <c r="Q896" s="281">
        <v>40</v>
      </c>
      <c r="R896" s="147" t="s">
        <v>3383</v>
      </c>
      <c r="T896" s="147">
        <v>1</v>
      </c>
      <c r="U896" s="147" t="s">
        <v>4880</v>
      </c>
      <c r="V896" s="147">
        <v>0</v>
      </c>
      <c r="X896" s="147" t="s">
        <v>4881</v>
      </c>
      <c r="Y896" t="s">
        <v>7338</v>
      </c>
      <c r="Z896" t="s">
        <v>7339</v>
      </c>
      <c r="AA896" s="147" t="s">
        <v>6250</v>
      </c>
      <c r="AC896" s="147">
        <v>1</v>
      </c>
      <c r="AD896" s="147">
        <v>0</v>
      </c>
    </row>
    <row r="897" spans="1:30" x14ac:dyDescent="0.15">
      <c r="A897" s="263">
        <v>95410140</v>
      </c>
      <c r="B897" t="s">
        <v>7340</v>
      </c>
      <c r="C897" s="268" t="s">
        <v>6316</v>
      </c>
      <c r="D897" s="147">
        <v>9101</v>
      </c>
      <c r="E897" s="147" t="s">
        <v>4876</v>
      </c>
      <c r="F897" s="147" t="s">
        <v>6110</v>
      </c>
      <c r="G897" s="147">
        <v>7</v>
      </c>
      <c r="H897" s="147">
        <v>0</v>
      </c>
      <c r="I897" s="147">
        <v>34</v>
      </c>
      <c r="J897" s="147" t="s">
        <v>6272</v>
      </c>
      <c r="M897" s="147">
        <v>99</v>
      </c>
      <c r="N897" s="147" t="b">
        <v>1</v>
      </c>
      <c r="O897" s="147">
        <v>5</v>
      </c>
      <c r="P897" s="281">
        <v>75</v>
      </c>
      <c r="Q897" s="281">
        <v>100</v>
      </c>
      <c r="R897" s="147" t="s">
        <v>3383</v>
      </c>
      <c r="T897" s="147">
        <v>1</v>
      </c>
      <c r="U897" s="147" t="s">
        <v>4880</v>
      </c>
      <c r="V897" s="147">
        <v>0</v>
      </c>
      <c r="X897" s="147" t="s">
        <v>4881</v>
      </c>
      <c r="Y897" t="s">
        <v>7341</v>
      </c>
      <c r="Z897" t="s">
        <v>7342</v>
      </c>
      <c r="AA897" s="147" t="s">
        <v>6250</v>
      </c>
      <c r="AC897" s="147">
        <v>1</v>
      </c>
      <c r="AD897" s="147">
        <v>0</v>
      </c>
    </row>
    <row r="898" spans="1:30" x14ac:dyDescent="0.15">
      <c r="A898" s="263">
        <v>95410141</v>
      </c>
      <c r="B898" t="s">
        <v>7343</v>
      </c>
      <c r="C898" s="268" t="s">
        <v>6316</v>
      </c>
      <c r="D898" s="147">
        <v>9101</v>
      </c>
      <c r="E898" s="147" t="s">
        <v>4876</v>
      </c>
      <c r="F898" s="147" t="s">
        <v>6110</v>
      </c>
      <c r="G898" s="147">
        <v>7</v>
      </c>
      <c r="H898" s="147">
        <v>0</v>
      </c>
      <c r="I898" s="147">
        <v>34</v>
      </c>
      <c r="J898" s="147" t="s">
        <v>6276</v>
      </c>
      <c r="M898" s="147">
        <v>99</v>
      </c>
      <c r="N898" s="147" t="b">
        <v>1</v>
      </c>
      <c r="O898" s="147">
        <v>5</v>
      </c>
      <c r="P898" s="281">
        <v>75</v>
      </c>
      <c r="Q898" s="281">
        <v>100</v>
      </c>
      <c r="R898" s="147" t="s">
        <v>3383</v>
      </c>
      <c r="T898" s="147">
        <v>1</v>
      </c>
      <c r="U898" s="147" t="s">
        <v>4880</v>
      </c>
      <c r="V898" s="147">
        <v>0</v>
      </c>
      <c r="X898" s="147" t="s">
        <v>4881</v>
      </c>
      <c r="Y898" t="s">
        <v>7344</v>
      </c>
      <c r="Z898" t="s">
        <v>7345</v>
      </c>
      <c r="AA898" s="147" t="s">
        <v>6250</v>
      </c>
      <c r="AC898" s="147">
        <v>1</v>
      </c>
      <c r="AD898" s="147">
        <v>0</v>
      </c>
    </row>
    <row r="899" spans="1:30" x14ac:dyDescent="0.15">
      <c r="A899" s="263">
        <v>95410142</v>
      </c>
      <c r="B899" t="s">
        <v>7346</v>
      </c>
      <c r="C899" s="268" t="s">
        <v>6316</v>
      </c>
      <c r="D899" s="147">
        <v>9101</v>
      </c>
      <c r="E899" s="147" t="s">
        <v>4876</v>
      </c>
      <c r="F899" s="147" t="s">
        <v>6110</v>
      </c>
      <c r="G899" s="147">
        <v>7</v>
      </c>
      <c r="H899" s="147">
        <v>0</v>
      </c>
      <c r="I899" s="147">
        <v>34</v>
      </c>
      <c r="J899" s="147" t="s">
        <v>6280</v>
      </c>
      <c r="M899" s="147">
        <v>99</v>
      </c>
      <c r="N899" s="147" t="b">
        <v>1</v>
      </c>
      <c r="O899" s="147">
        <v>5</v>
      </c>
      <c r="P899" s="281">
        <v>75</v>
      </c>
      <c r="Q899" s="281">
        <v>100</v>
      </c>
      <c r="R899" s="147" t="s">
        <v>3383</v>
      </c>
      <c r="T899" s="147">
        <v>1</v>
      </c>
      <c r="U899" s="147" t="s">
        <v>4880</v>
      </c>
      <c r="V899" s="147">
        <v>0</v>
      </c>
      <c r="X899" s="147" t="s">
        <v>4881</v>
      </c>
      <c r="Y899" t="s">
        <v>7347</v>
      </c>
      <c r="Z899" t="s">
        <v>7348</v>
      </c>
      <c r="AA899" s="147" t="s">
        <v>6250</v>
      </c>
      <c r="AC899" s="147">
        <v>1</v>
      </c>
      <c r="AD899" s="147">
        <v>0</v>
      </c>
    </row>
    <row r="900" spans="1:30" x14ac:dyDescent="0.15">
      <c r="A900" s="263">
        <v>95410143</v>
      </c>
      <c r="B900" t="s">
        <v>7349</v>
      </c>
      <c r="C900" s="268" t="s">
        <v>6316</v>
      </c>
      <c r="D900" s="147">
        <v>9101</v>
      </c>
      <c r="E900" s="147" t="s">
        <v>4876</v>
      </c>
      <c r="F900" s="147" t="s">
        <v>6110</v>
      </c>
      <c r="G900" s="147">
        <v>7</v>
      </c>
      <c r="H900" s="147">
        <v>0</v>
      </c>
      <c r="I900" s="147">
        <v>34</v>
      </c>
      <c r="J900" s="147" t="s">
        <v>6284</v>
      </c>
      <c r="M900" s="147">
        <v>99</v>
      </c>
      <c r="N900" s="147" t="b">
        <v>1</v>
      </c>
      <c r="O900" s="147">
        <v>7</v>
      </c>
      <c r="P900" s="281">
        <v>105</v>
      </c>
      <c r="Q900" s="281">
        <v>140</v>
      </c>
      <c r="R900" s="147" t="s">
        <v>3383</v>
      </c>
      <c r="T900" s="147">
        <v>1</v>
      </c>
      <c r="U900" s="147" t="s">
        <v>4880</v>
      </c>
      <c r="V900" s="147">
        <v>0</v>
      </c>
      <c r="X900" s="147" t="s">
        <v>4881</v>
      </c>
      <c r="Y900" t="s">
        <v>7350</v>
      </c>
      <c r="Z900" t="s">
        <v>7351</v>
      </c>
      <c r="AA900" s="147" t="s">
        <v>6250</v>
      </c>
      <c r="AC900" s="147">
        <v>1</v>
      </c>
      <c r="AD900" s="147">
        <v>0</v>
      </c>
    </row>
    <row r="901" spans="1:30" x14ac:dyDescent="0.15">
      <c r="A901" s="263">
        <v>95410144</v>
      </c>
      <c r="B901" t="s">
        <v>7352</v>
      </c>
      <c r="C901" s="268" t="s">
        <v>6316</v>
      </c>
      <c r="D901" s="147">
        <v>9101</v>
      </c>
      <c r="E901" s="147" t="s">
        <v>4876</v>
      </c>
      <c r="F901" s="147" t="s">
        <v>6110</v>
      </c>
      <c r="G901" s="147">
        <v>7</v>
      </c>
      <c r="H901" s="147">
        <v>0</v>
      </c>
      <c r="I901" s="147">
        <v>34</v>
      </c>
      <c r="J901" s="147" t="s">
        <v>6288</v>
      </c>
      <c r="M901" s="147">
        <v>99</v>
      </c>
      <c r="N901" s="147" t="b">
        <v>1</v>
      </c>
      <c r="O901" s="147">
        <v>7</v>
      </c>
      <c r="P901" s="281">
        <v>105</v>
      </c>
      <c r="Q901" s="281">
        <v>140</v>
      </c>
      <c r="R901" s="147" t="s">
        <v>3383</v>
      </c>
      <c r="T901" s="147">
        <v>1</v>
      </c>
      <c r="U901" s="147" t="s">
        <v>4880</v>
      </c>
      <c r="V901" s="147">
        <v>0</v>
      </c>
      <c r="X901" s="147" t="s">
        <v>4881</v>
      </c>
      <c r="Y901" t="s">
        <v>7353</v>
      </c>
      <c r="Z901" t="s">
        <v>7354</v>
      </c>
      <c r="AA901" s="147" t="s">
        <v>6250</v>
      </c>
      <c r="AC901" s="147">
        <v>1</v>
      </c>
      <c r="AD901" s="147">
        <v>0</v>
      </c>
    </row>
    <row r="902" spans="1:30" x14ac:dyDescent="0.15">
      <c r="A902" s="263">
        <v>95410145</v>
      </c>
      <c r="B902" t="s">
        <v>7355</v>
      </c>
      <c r="C902" s="268" t="s">
        <v>6316</v>
      </c>
      <c r="D902" s="147">
        <v>9101</v>
      </c>
      <c r="E902" s="147" t="s">
        <v>4876</v>
      </c>
      <c r="F902" s="147" t="s">
        <v>6110</v>
      </c>
      <c r="G902" s="147">
        <v>7</v>
      </c>
      <c r="H902" s="147">
        <v>0</v>
      </c>
      <c r="I902" s="147">
        <v>34</v>
      </c>
      <c r="J902" s="147" t="s">
        <v>6292</v>
      </c>
      <c r="M902" s="147">
        <v>99</v>
      </c>
      <c r="N902" s="147" t="b">
        <v>1</v>
      </c>
      <c r="O902" s="147">
        <v>7</v>
      </c>
      <c r="P902" s="281">
        <v>105</v>
      </c>
      <c r="Q902" s="281">
        <v>140</v>
      </c>
      <c r="R902" s="147" t="s">
        <v>3383</v>
      </c>
      <c r="T902" s="147">
        <v>1</v>
      </c>
      <c r="U902" s="147" t="s">
        <v>4880</v>
      </c>
      <c r="V902" s="147">
        <v>0</v>
      </c>
      <c r="X902" s="147" t="s">
        <v>4881</v>
      </c>
      <c r="Y902" t="s">
        <v>7356</v>
      </c>
      <c r="Z902" t="s">
        <v>7357</v>
      </c>
      <c r="AA902" s="147" t="s">
        <v>6250</v>
      </c>
      <c r="AC902" s="147">
        <v>1</v>
      </c>
      <c r="AD902" s="147">
        <v>0</v>
      </c>
    </row>
    <row r="903" spans="1:30" x14ac:dyDescent="0.15">
      <c r="A903" s="263">
        <v>95410146</v>
      </c>
      <c r="B903" t="s">
        <v>7358</v>
      </c>
      <c r="C903" s="268" t="s">
        <v>6316</v>
      </c>
      <c r="D903" s="147">
        <v>9101</v>
      </c>
      <c r="E903" s="147" t="s">
        <v>4876</v>
      </c>
      <c r="F903" s="147" t="s">
        <v>6110</v>
      </c>
      <c r="G903" s="147">
        <v>7</v>
      </c>
      <c r="H903" s="147">
        <v>0</v>
      </c>
      <c r="I903" s="147">
        <v>34</v>
      </c>
      <c r="J903" s="147" t="s">
        <v>6296</v>
      </c>
      <c r="M903" s="147">
        <v>99</v>
      </c>
      <c r="N903" s="147" t="b">
        <v>1</v>
      </c>
      <c r="O903" s="147">
        <v>10</v>
      </c>
      <c r="P903" s="281">
        <v>150</v>
      </c>
      <c r="Q903" s="281">
        <v>200</v>
      </c>
      <c r="R903" s="147" t="s">
        <v>3383</v>
      </c>
      <c r="T903" s="147">
        <v>1</v>
      </c>
      <c r="U903" s="147" t="s">
        <v>4880</v>
      </c>
      <c r="V903" s="147">
        <v>0</v>
      </c>
      <c r="X903" s="147" t="s">
        <v>4881</v>
      </c>
      <c r="Y903" t="s">
        <v>7359</v>
      </c>
      <c r="Z903" t="s">
        <v>7360</v>
      </c>
      <c r="AA903" s="147" t="s">
        <v>6250</v>
      </c>
      <c r="AC903" s="147">
        <v>1</v>
      </c>
      <c r="AD903" s="147">
        <v>0</v>
      </c>
    </row>
    <row r="904" spans="1:30" x14ac:dyDescent="0.15">
      <c r="A904" s="263">
        <v>95410147</v>
      </c>
      <c r="B904" t="s">
        <v>7361</v>
      </c>
      <c r="C904" s="268" t="s">
        <v>6316</v>
      </c>
      <c r="D904" s="147">
        <v>9101</v>
      </c>
      <c r="E904" s="147" t="s">
        <v>4876</v>
      </c>
      <c r="F904" s="147" t="s">
        <v>6110</v>
      </c>
      <c r="G904" s="147">
        <v>7</v>
      </c>
      <c r="H904" s="147">
        <v>0</v>
      </c>
      <c r="I904" s="147">
        <v>34</v>
      </c>
      <c r="J904" s="147" t="s">
        <v>6300</v>
      </c>
      <c r="M904" s="147">
        <v>99</v>
      </c>
      <c r="N904" s="147" t="b">
        <v>1</v>
      </c>
      <c r="O904" s="147">
        <v>10</v>
      </c>
      <c r="P904" s="281">
        <v>150</v>
      </c>
      <c r="Q904" s="281">
        <v>200</v>
      </c>
      <c r="R904" s="147" t="s">
        <v>3383</v>
      </c>
      <c r="T904" s="147">
        <v>1</v>
      </c>
      <c r="U904" s="147" t="s">
        <v>4880</v>
      </c>
      <c r="V904" s="147">
        <v>0</v>
      </c>
      <c r="X904" s="147" t="s">
        <v>4881</v>
      </c>
      <c r="Y904" t="s">
        <v>7362</v>
      </c>
      <c r="Z904" t="s">
        <v>7363</v>
      </c>
      <c r="AA904" s="147" t="s">
        <v>6250</v>
      </c>
      <c r="AC904" s="147">
        <v>1</v>
      </c>
      <c r="AD904" s="147">
        <v>0</v>
      </c>
    </row>
    <row r="905" spans="1:30" x14ac:dyDescent="0.15">
      <c r="A905" s="263">
        <v>95410148</v>
      </c>
      <c r="B905" t="s">
        <v>7364</v>
      </c>
      <c r="C905" s="268" t="s">
        <v>6316</v>
      </c>
      <c r="D905" s="147">
        <v>9101</v>
      </c>
      <c r="E905" s="147" t="s">
        <v>4876</v>
      </c>
      <c r="F905" s="147" t="s">
        <v>6110</v>
      </c>
      <c r="G905" s="147">
        <v>7</v>
      </c>
      <c r="H905" s="147">
        <v>0</v>
      </c>
      <c r="I905" s="147">
        <v>34</v>
      </c>
      <c r="J905" s="147" t="s">
        <v>6304</v>
      </c>
      <c r="M905" s="147">
        <v>99</v>
      </c>
      <c r="N905" s="147" t="b">
        <v>1</v>
      </c>
      <c r="O905" s="147">
        <v>10</v>
      </c>
      <c r="P905" s="281">
        <v>150</v>
      </c>
      <c r="Q905" s="281">
        <v>200</v>
      </c>
      <c r="R905" s="147" t="s">
        <v>3383</v>
      </c>
      <c r="T905" s="147">
        <v>1</v>
      </c>
      <c r="U905" s="147" t="s">
        <v>4880</v>
      </c>
      <c r="V905" s="147">
        <v>0</v>
      </c>
      <c r="X905" s="147" t="s">
        <v>4881</v>
      </c>
      <c r="Y905" t="s">
        <v>7365</v>
      </c>
      <c r="Z905" t="s">
        <v>7366</v>
      </c>
      <c r="AA905" s="147" t="s">
        <v>6250</v>
      </c>
      <c r="AC905" s="147">
        <v>1</v>
      </c>
      <c r="AD905" s="147">
        <v>0</v>
      </c>
    </row>
    <row r="906" spans="1:30" x14ac:dyDescent="0.15">
      <c r="A906" s="263">
        <v>95410149</v>
      </c>
      <c r="B906" t="s">
        <v>7367</v>
      </c>
      <c r="C906" s="268" t="s">
        <v>6316</v>
      </c>
      <c r="D906" s="147">
        <v>9101</v>
      </c>
      <c r="E906" s="147" t="s">
        <v>4876</v>
      </c>
      <c r="F906" s="147" t="s">
        <v>6110</v>
      </c>
      <c r="G906" s="147">
        <v>7</v>
      </c>
      <c r="H906" s="147">
        <v>0</v>
      </c>
      <c r="I906" s="147">
        <v>34</v>
      </c>
      <c r="J906" s="147" t="s">
        <v>6308</v>
      </c>
      <c r="M906" s="147">
        <v>99</v>
      </c>
      <c r="N906" s="147" t="b">
        <v>1</v>
      </c>
      <c r="O906" s="147">
        <v>12</v>
      </c>
      <c r="P906" s="281">
        <v>180</v>
      </c>
      <c r="Q906" s="281">
        <v>240</v>
      </c>
      <c r="R906" s="147" t="s">
        <v>3383</v>
      </c>
      <c r="T906" s="147">
        <v>1</v>
      </c>
      <c r="U906" s="147" t="s">
        <v>4880</v>
      </c>
      <c r="V906" s="147">
        <v>0</v>
      </c>
      <c r="X906" s="147" t="s">
        <v>4881</v>
      </c>
      <c r="Y906" t="s">
        <v>7368</v>
      </c>
      <c r="Z906" t="s">
        <v>7369</v>
      </c>
      <c r="AA906" s="147" t="s">
        <v>6250</v>
      </c>
      <c r="AC906" s="147">
        <v>1</v>
      </c>
      <c r="AD906" s="147">
        <v>0</v>
      </c>
    </row>
    <row r="907" spans="1:30" x14ac:dyDescent="0.15">
      <c r="A907" s="263">
        <v>95410150</v>
      </c>
      <c r="B907" t="s">
        <v>7370</v>
      </c>
      <c r="C907" s="268" t="s">
        <v>6316</v>
      </c>
      <c r="D907" s="147">
        <v>9101</v>
      </c>
      <c r="E907" s="147" t="s">
        <v>4876</v>
      </c>
      <c r="F907" s="147" t="s">
        <v>6110</v>
      </c>
      <c r="G907" s="147">
        <v>7</v>
      </c>
      <c r="H907" s="147">
        <v>0</v>
      </c>
      <c r="I907" s="147">
        <v>34</v>
      </c>
      <c r="J907" s="147" t="s">
        <v>6312</v>
      </c>
      <c r="M907" s="147">
        <v>99</v>
      </c>
      <c r="N907" s="147" t="b">
        <v>1</v>
      </c>
      <c r="O907" s="147">
        <v>12</v>
      </c>
      <c r="P907" s="281">
        <v>180</v>
      </c>
      <c r="Q907" s="281">
        <v>240</v>
      </c>
      <c r="R907" s="147" t="s">
        <v>3383</v>
      </c>
      <c r="T907" s="147">
        <v>1</v>
      </c>
      <c r="U907" s="147" t="s">
        <v>4880</v>
      </c>
      <c r="V907" s="147">
        <v>0</v>
      </c>
      <c r="X907" s="147" t="s">
        <v>4881</v>
      </c>
      <c r="Y907" t="s">
        <v>7371</v>
      </c>
      <c r="Z907" t="s">
        <v>7372</v>
      </c>
      <c r="AA907" s="147" t="s">
        <v>6250</v>
      </c>
      <c r="AC907" s="147">
        <v>1</v>
      </c>
      <c r="AD907" s="147">
        <v>0</v>
      </c>
    </row>
  </sheetData>
  <autoFilter ref="A1:AG907" xr:uid="{00000000-0009-0000-0000-000009000000}"/>
  <phoneticPr fontId="45" type="noConversion"/>
  <conditionalFormatting sqref="A1:A907">
    <cfRule type="duplicateValues" dxfId="41" priority="1"/>
  </conditionalFormatting>
  <conditionalFormatting sqref="A756:A757">
    <cfRule type="duplicateValues" dxfId="40" priority="5"/>
  </conditionalFormatting>
  <conditionalFormatting sqref="A772:A773">
    <cfRule type="duplicateValues" dxfId="39" priority="4"/>
  </conditionalFormatting>
  <conditionalFormatting sqref="A784:A785">
    <cfRule type="duplicateValues" dxfId="38" priority="3"/>
  </conditionalFormatting>
  <conditionalFormatting sqref="A836:A839">
    <cfRule type="duplicateValues" dxfId="37" priority="2"/>
  </conditionalFormatting>
  <conditionalFormatting sqref="B836">
    <cfRule type="duplicateValues" dxfId="36" priority="7"/>
  </conditionalFormatting>
  <conditionalFormatting sqref="B838">
    <cfRule type="duplicateValues" dxfId="35" priority="6"/>
  </conditionalFormatting>
  <pageMargins left="0.7" right="0.7" top="0.75" bottom="0.75" header="0.3" footer="0.3"/>
  <pageSetup paperSize="9" orientation="portrait" horizontalDpi="360" verticalDpi="360"/>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3"/>
  <sheetViews>
    <sheetView workbookViewId="0">
      <selection activeCell="D26" sqref="D26"/>
    </sheetView>
  </sheetViews>
  <sheetFormatPr defaultColWidth="9" defaultRowHeight="13.5" x14ac:dyDescent="0.15"/>
  <cols>
    <col min="2" max="2" width="7.125" customWidth="1"/>
    <col min="4" max="4" width="41.375" customWidth="1"/>
    <col min="7" max="7" width="13.875" customWidth="1"/>
    <col min="10" max="11" width="17.25" customWidth="1"/>
  </cols>
  <sheetData>
    <row r="1" spans="1:16" x14ac:dyDescent="0.15">
      <c r="A1" t="s">
        <v>0</v>
      </c>
      <c r="B1" t="s">
        <v>1</v>
      </c>
      <c r="C1" t="s">
        <v>3</v>
      </c>
      <c r="D1" t="s">
        <v>3369</v>
      </c>
      <c r="E1" t="s">
        <v>16</v>
      </c>
      <c r="F1" t="s">
        <v>17</v>
      </c>
      <c r="G1" t="s">
        <v>18</v>
      </c>
      <c r="H1" t="s">
        <v>3371</v>
      </c>
      <c r="I1" t="s">
        <v>3372</v>
      </c>
      <c r="J1" t="s">
        <v>3585</v>
      </c>
      <c r="K1" t="s">
        <v>3375</v>
      </c>
      <c r="L1" t="s">
        <v>23</v>
      </c>
      <c r="M1" t="s">
        <v>24</v>
      </c>
      <c r="N1" t="s">
        <v>3376</v>
      </c>
      <c r="O1" t="s">
        <v>26</v>
      </c>
      <c r="P1" t="s">
        <v>27</v>
      </c>
    </row>
    <row r="2" spans="1:16" x14ac:dyDescent="0.15">
      <c r="A2">
        <v>906001</v>
      </c>
      <c r="B2">
        <v>0</v>
      </c>
      <c r="C2">
        <v>0</v>
      </c>
      <c r="D2">
        <v>0</v>
      </c>
      <c r="E2">
        <v>0</v>
      </c>
      <c r="F2">
        <v>0</v>
      </c>
      <c r="G2">
        <v>0</v>
      </c>
      <c r="H2">
        <v>0</v>
      </c>
      <c r="I2">
        <v>0</v>
      </c>
      <c r="J2">
        <v>0</v>
      </c>
      <c r="K2">
        <v>0</v>
      </c>
      <c r="L2">
        <v>0</v>
      </c>
      <c r="M2">
        <v>0</v>
      </c>
      <c r="N2">
        <v>0</v>
      </c>
      <c r="O2">
        <v>0</v>
      </c>
      <c r="P2">
        <v>0</v>
      </c>
    </row>
    <row r="3" spans="1:16" x14ac:dyDescent="0.15">
      <c r="A3">
        <v>0</v>
      </c>
      <c r="B3">
        <v>0</v>
      </c>
      <c r="C3">
        <v>0</v>
      </c>
      <c r="D3">
        <v>0</v>
      </c>
      <c r="E3">
        <v>0</v>
      </c>
      <c r="F3">
        <v>0</v>
      </c>
      <c r="G3">
        <v>0</v>
      </c>
      <c r="H3">
        <v>0</v>
      </c>
      <c r="I3">
        <v>0</v>
      </c>
      <c r="J3">
        <v>0</v>
      </c>
      <c r="K3">
        <v>0</v>
      </c>
      <c r="L3">
        <v>0</v>
      </c>
      <c r="M3">
        <v>0</v>
      </c>
      <c r="N3">
        <v>0</v>
      </c>
      <c r="O3">
        <v>0</v>
      </c>
      <c r="P3">
        <v>0</v>
      </c>
    </row>
  </sheetData>
  <phoneticPr fontId="45" type="noConversion"/>
  <pageMargins left="0.7" right="0.7" top="0.75" bottom="0.75" header="0.3" footer="0.3"/>
  <pageSetup paperSize="9" orientation="portrait" horizontalDpi="360" verticalDpi="36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Y82"/>
  <sheetViews>
    <sheetView workbookViewId="0">
      <pane ySplit="1" topLeftCell="A38" activePane="bottomLeft" state="frozen"/>
      <selection pane="bottomLeft" activeCell="A49" sqref="A49"/>
    </sheetView>
  </sheetViews>
  <sheetFormatPr defaultColWidth="9" defaultRowHeight="13.5" x14ac:dyDescent="0.15"/>
  <cols>
    <col min="2" max="2" width="11.625" customWidth="1"/>
    <col min="3" max="4" width="9" style="231"/>
    <col min="7" max="7" width="11.375" customWidth="1"/>
    <col min="8" max="8" width="9" customWidth="1"/>
    <col min="11" max="11" width="13.875" customWidth="1"/>
    <col min="12" max="12" width="18.125" customWidth="1"/>
    <col min="13" max="13" width="21.5" customWidth="1"/>
    <col min="17" max="18" width="17.25" customWidth="1"/>
    <col min="20" max="20" width="23.75" customWidth="1"/>
    <col min="22" max="22" width="12.75" customWidth="1"/>
  </cols>
  <sheetData>
    <row r="1" spans="1:25" ht="27" x14ac:dyDescent="0.15">
      <c r="A1" s="232" t="s">
        <v>0</v>
      </c>
      <c r="B1" s="232" t="s">
        <v>1</v>
      </c>
      <c r="C1" s="233" t="s">
        <v>3</v>
      </c>
      <c r="D1" s="233" t="s">
        <v>3367</v>
      </c>
      <c r="E1" s="232" t="s">
        <v>7</v>
      </c>
      <c r="F1" s="232" t="s">
        <v>9</v>
      </c>
      <c r="G1" s="232" t="s">
        <v>10</v>
      </c>
      <c r="H1" s="232" t="s">
        <v>3369</v>
      </c>
      <c r="I1" s="232" t="s">
        <v>16</v>
      </c>
      <c r="J1" s="232" t="s">
        <v>17</v>
      </c>
      <c r="K1" s="232" t="s">
        <v>18</v>
      </c>
      <c r="L1" s="195" t="s">
        <v>19</v>
      </c>
      <c r="M1" s="195" t="s">
        <v>20</v>
      </c>
      <c r="N1" s="232" t="s">
        <v>3371</v>
      </c>
      <c r="O1" s="232" t="s">
        <v>3372</v>
      </c>
      <c r="P1" s="196" t="s">
        <v>22</v>
      </c>
      <c r="Q1" s="232" t="s">
        <v>3585</v>
      </c>
      <c r="R1" s="232" t="s">
        <v>3375</v>
      </c>
      <c r="S1" s="232" t="s">
        <v>23</v>
      </c>
      <c r="T1" s="232" t="s">
        <v>24</v>
      </c>
      <c r="U1" s="232" t="s">
        <v>3376</v>
      </c>
      <c r="V1" s="232" t="s">
        <v>26</v>
      </c>
      <c r="W1" s="232" t="s">
        <v>27</v>
      </c>
      <c r="X1" s="197" t="s">
        <v>28</v>
      </c>
      <c r="Y1" s="197" t="s">
        <v>29</v>
      </c>
    </row>
    <row r="2" spans="1:25" ht="27" x14ac:dyDescent="0.15">
      <c r="A2" s="198">
        <v>907009</v>
      </c>
      <c r="B2" s="235" t="s">
        <v>7373</v>
      </c>
      <c r="C2" s="234" t="s">
        <v>7374</v>
      </c>
      <c r="D2" s="234">
        <v>1001</v>
      </c>
      <c r="E2" s="235">
        <v>2</v>
      </c>
      <c r="F2" s="235">
        <v>1</v>
      </c>
      <c r="G2" s="198">
        <v>0</v>
      </c>
      <c r="H2" s="235">
        <v>0</v>
      </c>
      <c r="I2" s="235">
        <v>999</v>
      </c>
      <c r="J2" s="198" t="b">
        <v>1</v>
      </c>
      <c r="K2" s="235">
        <v>1</v>
      </c>
      <c r="L2" s="198">
        <v>2</v>
      </c>
      <c r="M2" s="198">
        <v>3</v>
      </c>
      <c r="N2" s="198">
        <v>0</v>
      </c>
      <c r="O2" s="198">
        <v>0</v>
      </c>
      <c r="P2" s="198"/>
      <c r="Q2" s="198">
        <v>0</v>
      </c>
      <c r="R2" s="198">
        <v>0</v>
      </c>
      <c r="S2" s="198">
        <v>0</v>
      </c>
      <c r="T2" s="41" t="s">
        <v>7375</v>
      </c>
      <c r="U2" s="198">
        <v>0</v>
      </c>
      <c r="V2" s="5" t="s">
        <v>7376</v>
      </c>
      <c r="W2" s="198">
        <v>0</v>
      </c>
      <c r="X2" s="197">
        <v>1</v>
      </c>
      <c r="Y2" s="197">
        <v>1</v>
      </c>
    </row>
    <row r="3" spans="1:25" ht="40.5" x14ac:dyDescent="0.15">
      <c r="A3" s="198">
        <v>907010</v>
      </c>
      <c r="B3" s="235" t="s">
        <v>7377</v>
      </c>
      <c r="C3" s="234" t="s">
        <v>7374</v>
      </c>
      <c r="D3" s="234">
        <v>1001</v>
      </c>
      <c r="E3" s="235">
        <v>2</v>
      </c>
      <c r="F3" s="235">
        <v>1</v>
      </c>
      <c r="G3" s="198">
        <v>0</v>
      </c>
      <c r="H3" s="235">
        <v>0</v>
      </c>
      <c r="I3" s="235">
        <v>999</v>
      </c>
      <c r="J3" s="198" t="b">
        <v>1</v>
      </c>
      <c r="K3" s="235">
        <v>1</v>
      </c>
      <c r="L3" s="198">
        <v>2</v>
      </c>
      <c r="M3" s="198">
        <v>3</v>
      </c>
      <c r="N3" s="198">
        <v>0</v>
      </c>
      <c r="O3" s="198">
        <v>0</v>
      </c>
      <c r="P3" s="198"/>
      <c r="Q3" s="198">
        <v>0</v>
      </c>
      <c r="R3" s="198">
        <v>0</v>
      </c>
      <c r="S3" s="198">
        <v>0</v>
      </c>
      <c r="T3" s="41" t="s">
        <v>7378</v>
      </c>
      <c r="U3" s="198">
        <v>0</v>
      </c>
      <c r="V3" s="5" t="s">
        <v>7379</v>
      </c>
      <c r="W3" s="198">
        <v>0</v>
      </c>
      <c r="X3" s="197">
        <v>1</v>
      </c>
      <c r="Y3" s="197">
        <v>1</v>
      </c>
    </row>
    <row r="4" spans="1:25" ht="40.5" x14ac:dyDescent="0.15">
      <c r="A4" s="198">
        <v>907011</v>
      </c>
      <c r="B4" s="235" t="s">
        <v>7380</v>
      </c>
      <c r="C4" s="234" t="s">
        <v>7374</v>
      </c>
      <c r="D4" s="234">
        <v>1001</v>
      </c>
      <c r="E4" s="235">
        <v>2</v>
      </c>
      <c r="F4" s="235">
        <v>1</v>
      </c>
      <c r="G4" s="198">
        <v>0</v>
      </c>
      <c r="H4" s="235">
        <v>0</v>
      </c>
      <c r="I4" s="235">
        <v>999</v>
      </c>
      <c r="J4" s="198" t="b">
        <v>1</v>
      </c>
      <c r="K4" s="235">
        <v>1</v>
      </c>
      <c r="L4" s="198">
        <v>2</v>
      </c>
      <c r="M4" s="198">
        <v>3</v>
      </c>
      <c r="N4" s="198">
        <v>0</v>
      </c>
      <c r="O4" s="198">
        <v>0</v>
      </c>
      <c r="P4" s="198"/>
      <c r="Q4" s="198">
        <v>0</v>
      </c>
      <c r="R4" s="198">
        <v>0</v>
      </c>
      <c r="S4" s="198">
        <v>0</v>
      </c>
      <c r="T4" s="41" t="s">
        <v>7381</v>
      </c>
      <c r="U4" s="198">
        <v>0</v>
      </c>
      <c r="V4" s="5" t="s">
        <v>7382</v>
      </c>
      <c r="W4" s="198">
        <v>0</v>
      </c>
      <c r="X4" s="197">
        <v>1</v>
      </c>
      <c r="Y4" s="197">
        <v>1</v>
      </c>
    </row>
    <row r="5" spans="1:25" ht="27" x14ac:dyDescent="0.15">
      <c r="A5" s="198">
        <v>907012</v>
      </c>
      <c r="B5" s="235" t="s">
        <v>7383</v>
      </c>
      <c r="C5" s="234" t="s">
        <v>7374</v>
      </c>
      <c r="D5" s="234">
        <v>1001</v>
      </c>
      <c r="E5" s="235">
        <v>2</v>
      </c>
      <c r="F5" s="235">
        <v>1</v>
      </c>
      <c r="G5" s="198">
        <v>0</v>
      </c>
      <c r="H5" s="235">
        <v>0</v>
      </c>
      <c r="I5" s="235">
        <v>999</v>
      </c>
      <c r="J5" s="198" t="b">
        <v>1</v>
      </c>
      <c r="K5" s="235">
        <v>1</v>
      </c>
      <c r="L5" s="198">
        <v>2</v>
      </c>
      <c r="M5" s="198">
        <v>3</v>
      </c>
      <c r="N5" s="198">
        <v>0</v>
      </c>
      <c r="O5" s="198">
        <v>0</v>
      </c>
      <c r="P5" s="198"/>
      <c r="Q5" s="198">
        <v>0</v>
      </c>
      <c r="R5" s="198">
        <v>0</v>
      </c>
      <c r="S5" s="198">
        <v>0</v>
      </c>
      <c r="T5" s="41" t="s">
        <v>7384</v>
      </c>
      <c r="U5" s="198">
        <v>0</v>
      </c>
      <c r="V5" s="5" t="s">
        <v>7385</v>
      </c>
      <c r="W5" s="198">
        <v>0</v>
      </c>
      <c r="X5" s="197">
        <v>1</v>
      </c>
      <c r="Y5" s="197">
        <v>1</v>
      </c>
    </row>
    <row r="6" spans="1:25" ht="38.25" x14ac:dyDescent="0.15">
      <c r="A6" s="198">
        <v>907013</v>
      </c>
      <c r="B6" s="252" t="s">
        <v>7386</v>
      </c>
      <c r="C6" s="234" t="s">
        <v>7374</v>
      </c>
      <c r="D6" s="234">
        <v>1001</v>
      </c>
      <c r="E6" s="235">
        <v>2</v>
      </c>
      <c r="F6" s="235">
        <v>1</v>
      </c>
      <c r="G6" s="198">
        <v>0</v>
      </c>
      <c r="H6" s="235">
        <v>0</v>
      </c>
      <c r="I6" s="235">
        <v>999</v>
      </c>
      <c r="J6" s="198" t="b">
        <v>1</v>
      </c>
      <c r="K6" s="235">
        <v>1</v>
      </c>
      <c r="L6" s="198">
        <v>2</v>
      </c>
      <c r="M6" s="198">
        <v>3</v>
      </c>
      <c r="N6" s="198">
        <v>0</v>
      </c>
      <c r="O6" s="198">
        <v>0</v>
      </c>
      <c r="P6" s="198"/>
      <c r="Q6" s="198">
        <v>0</v>
      </c>
      <c r="R6" s="198">
        <v>0</v>
      </c>
      <c r="S6" s="198">
        <v>0</v>
      </c>
      <c r="T6" s="257" t="s">
        <v>7387</v>
      </c>
      <c r="U6" s="198">
        <v>0</v>
      </c>
      <c r="V6" s="5" t="s">
        <v>7388</v>
      </c>
      <c r="W6" s="198">
        <v>0</v>
      </c>
      <c r="X6" s="197">
        <v>1</v>
      </c>
      <c r="Y6" s="197">
        <v>1</v>
      </c>
    </row>
    <row r="7" spans="1:25" ht="25.5" x14ac:dyDescent="0.15">
      <c r="A7" s="198">
        <v>907014</v>
      </c>
      <c r="B7" s="235" t="s">
        <v>7389</v>
      </c>
      <c r="C7" s="234" t="s">
        <v>7374</v>
      </c>
      <c r="D7" s="234">
        <v>1001</v>
      </c>
      <c r="E7" s="235">
        <v>2</v>
      </c>
      <c r="F7" s="235">
        <v>1</v>
      </c>
      <c r="G7" s="198">
        <v>0</v>
      </c>
      <c r="H7" s="235">
        <v>0</v>
      </c>
      <c r="I7" s="235">
        <v>999</v>
      </c>
      <c r="J7" s="198" t="b">
        <v>1</v>
      </c>
      <c r="K7" s="235">
        <v>1</v>
      </c>
      <c r="L7" s="198">
        <v>2</v>
      </c>
      <c r="M7" s="198">
        <v>3</v>
      </c>
      <c r="N7" s="198">
        <v>0</v>
      </c>
      <c r="O7" s="198">
        <v>0</v>
      </c>
      <c r="P7" s="198"/>
      <c r="Q7" s="198">
        <v>0</v>
      </c>
      <c r="R7" s="198">
        <v>0</v>
      </c>
      <c r="S7" s="198">
        <v>0</v>
      </c>
      <c r="T7" s="257" t="s">
        <v>7390</v>
      </c>
      <c r="U7" s="198">
        <v>0</v>
      </c>
      <c r="V7" s="5" t="s">
        <v>7391</v>
      </c>
      <c r="W7" s="198">
        <v>0</v>
      </c>
      <c r="X7" s="197">
        <v>1</v>
      </c>
      <c r="Y7" s="197">
        <v>1</v>
      </c>
    </row>
    <row r="8" spans="1:25" ht="25.5" x14ac:dyDescent="0.15">
      <c r="A8" s="198">
        <v>907015</v>
      </c>
      <c r="B8" s="235" t="s">
        <v>7392</v>
      </c>
      <c r="C8" s="234" t="s">
        <v>7374</v>
      </c>
      <c r="D8" s="234">
        <v>1001</v>
      </c>
      <c r="E8" s="235">
        <v>2</v>
      </c>
      <c r="F8" s="235">
        <v>1</v>
      </c>
      <c r="G8" s="198">
        <v>0</v>
      </c>
      <c r="H8" s="235">
        <v>0</v>
      </c>
      <c r="I8" s="235">
        <v>999</v>
      </c>
      <c r="J8" s="198" t="b">
        <v>1</v>
      </c>
      <c r="K8" s="235">
        <v>1</v>
      </c>
      <c r="L8" s="198">
        <v>2</v>
      </c>
      <c r="M8" s="198">
        <v>3</v>
      </c>
      <c r="N8" s="198">
        <v>0</v>
      </c>
      <c r="O8" s="198">
        <v>0</v>
      </c>
      <c r="P8" s="198"/>
      <c r="Q8" s="198">
        <v>0</v>
      </c>
      <c r="R8" s="198">
        <v>0</v>
      </c>
      <c r="S8" s="198">
        <v>0</v>
      </c>
      <c r="T8" s="91" t="s">
        <v>7393</v>
      </c>
      <c r="U8" s="198">
        <v>0</v>
      </c>
      <c r="V8" s="5" t="s">
        <v>7394</v>
      </c>
      <c r="W8" s="198">
        <v>0</v>
      </c>
      <c r="X8" s="197">
        <v>1</v>
      </c>
      <c r="Y8" s="197">
        <v>1</v>
      </c>
    </row>
    <row r="9" spans="1:25" ht="25.5" x14ac:dyDescent="0.15">
      <c r="A9" s="198">
        <v>907016</v>
      </c>
      <c r="B9" s="235" t="s">
        <v>7395</v>
      </c>
      <c r="C9" s="234" t="s">
        <v>7374</v>
      </c>
      <c r="D9" s="234">
        <v>1001</v>
      </c>
      <c r="E9" s="235">
        <v>2</v>
      </c>
      <c r="F9" s="235">
        <v>1</v>
      </c>
      <c r="G9" s="198">
        <v>7</v>
      </c>
      <c r="H9" s="235">
        <v>0</v>
      </c>
      <c r="I9" s="235">
        <v>999</v>
      </c>
      <c r="J9" s="198" t="b">
        <v>1</v>
      </c>
      <c r="K9" s="235">
        <v>2</v>
      </c>
      <c r="L9" s="198">
        <v>4</v>
      </c>
      <c r="M9" s="198">
        <v>6</v>
      </c>
      <c r="N9" s="235">
        <v>0</v>
      </c>
      <c r="O9" s="235">
        <v>0</v>
      </c>
      <c r="P9" s="235"/>
      <c r="Q9" s="198">
        <v>0</v>
      </c>
      <c r="R9" s="198">
        <v>0</v>
      </c>
      <c r="S9" s="198">
        <v>0</v>
      </c>
      <c r="T9" s="91" t="s">
        <v>7396</v>
      </c>
      <c r="U9" s="198">
        <v>0</v>
      </c>
      <c r="V9" s="5" t="s">
        <v>7397</v>
      </c>
      <c r="W9" s="198">
        <v>0</v>
      </c>
      <c r="X9" s="197">
        <v>1</v>
      </c>
      <c r="Y9" s="197">
        <v>1</v>
      </c>
    </row>
    <row r="10" spans="1:25" x14ac:dyDescent="0.15">
      <c r="A10" s="198">
        <v>907017</v>
      </c>
      <c r="B10" s="235" t="s">
        <v>7398</v>
      </c>
      <c r="C10" s="234" t="s">
        <v>7374</v>
      </c>
      <c r="D10" s="234">
        <v>1001</v>
      </c>
      <c r="E10" s="235">
        <v>2</v>
      </c>
      <c r="F10" s="235">
        <v>1</v>
      </c>
      <c r="G10" s="198">
        <v>0</v>
      </c>
      <c r="H10" s="235">
        <v>0</v>
      </c>
      <c r="I10" s="235">
        <v>999</v>
      </c>
      <c r="J10" s="198" t="b">
        <v>1</v>
      </c>
      <c r="K10" s="235">
        <v>1</v>
      </c>
      <c r="L10" s="198">
        <v>2</v>
      </c>
      <c r="M10" s="198">
        <v>3</v>
      </c>
      <c r="N10" s="235">
        <v>0</v>
      </c>
      <c r="O10" s="235">
        <v>0</v>
      </c>
      <c r="P10" s="235"/>
      <c r="Q10" s="198">
        <v>0</v>
      </c>
      <c r="R10" s="198">
        <v>0</v>
      </c>
      <c r="S10" s="198">
        <v>0</v>
      </c>
      <c r="T10" s="91" t="s">
        <v>7399</v>
      </c>
      <c r="U10" s="198">
        <v>0</v>
      </c>
      <c r="V10" s="5" t="s">
        <v>7400</v>
      </c>
      <c r="W10" s="198">
        <v>0</v>
      </c>
      <c r="X10" s="197">
        <v>1</v>
      </c>
      <c r="Y10" s="197">
        <v>1</v>
      </c>
    </row>
    <row r="11" spans="1:25" ht="25.5" x14ac:dyDescent="0.15">
      <c r="A11" s="198">
        <v>907018</v>
      </c>
      <c r="B11" s="235" t="s">
        <v>7401</v>
      </c>
      <c r="C11" s="234" t="s">
        <v>7374</v>
      </c>
      <c r="D11" s="234">
        <v>1001</v>
      </c>
      <c r="E11" s="235">
        <v>2</v>
      </c>
      <c r="F11" s="235">
        <v>1</v>
      </c>
      <c r="G11" s="198">
        <v>0</v>
      </c>
      <c r="H11" s="235">
        <v>0</v>
      </c>
      <c r="I11" s="235">
        <v>999</v>
      </c>
      <c r="J11" s="198" t="b">
        <v>1</v>
      </c>
      <c r="K11" s="235">
        <v>1</v>
      </c>
      <c r="L11" s="198">
        <v>2</v>
      </c>
      <c r="M11" s="198">
        <v>3</v>
      </c>
      <c r="N11" s="235">
        <v>0</v>
      </c>
      <c r="O11" s="235">
        <v>0</v>
      </c>
      <c r="P11" s="235"/>
      <c r="Q11" s="198">
        <v>0</v>
      </c>
      <c r="R11" s="198">
        <v>0</v>
      </c>
      <c r="S11" s="198">
        <v>0</v>
      </c>
      <c r="T11" s="91" t="s">
        <v>7402</v>
      </c>
      <c r="U11" s="198">
        <v>0</v>
      </c>
      <c r="V11" s="5" t="s">
        <v>7403</v>
      </c>
      <c r="W11" s="198">
        <v>0</v>
      </c>
      <c r="X11" s="197">
        <v>1</v>
      </c>
      <c r="Y11" s="197">
        <v>1</v>
      </c>
    </row>
    <row r="12" spans="1:25" ht="27" x14ac:dyDescent="0.15">
      <c r="A12" s="198">
        <v>907019</v>
      </c>
      <c r="B12" s="235" t="s">
        <v>7404</v>
      </c>
      <c r="C12" s="236" t="s">
        <v>7374</v>
      </c>
      <c r="D12" s="234">
        <v>1001</v>
      </c>
      <c r="E12" s="235">
        <v>2</v>
      </c>
      <c r="F12" s="235">
        <v>1</v>
      </c>
      <c r="G12" s="198">
        <v>7</v>
      </c>
      <c r="H12" s="235">
        <v>0</v>
      </c>
      <c r="I12" s="235">
        <v>999</v>
      </c>
      <c r="J12" s="198" t="b">
        <v>1</v>
      </c>
      <c r="K12" s="235">
        <v>2</v>
      </c>
      <c r="L12" s="198">
        <v>4</v>
      </c>
      <c r="M12" s="198">
        <v>6</v>
      </c>
      <c r="N12" s="235">
        <v>0</v>
      </c>
      <c r="O12" s="235">
        <v>0</v>
      </c>
      <c r="P12" s="235"/>
      <c r="Q12" s="198">
        <v>0</v>
      </c>
      <c r="R12" s="198">
        <v>0</v>
      </c>
      <c r="S12" s="198">
        <v>0</v>
      </c>
      <c r="T12" s="74" t="s">
        <v>7405</v>
      </c>
      <c r="U12" s="198">
        <v>0</v>
      </c>
      <c r="V12" s="5" t="s">
        <v>7406</v>
      </c>
      <c r="W12" s="198">
        <v>0</v>
      </c>
      <c r="X12" s="197">
        <v>1</v>
      </c>
      <c r="Y12" s="197">
        <v>1</v>
      </c>
    </row>
    <row r="13" spans="1:25" ht="27" x14ac:dyDescent="0.15">
      <c r="A13" s="198">
        <v>907020</v>
      </c>
      <c r="B13" s="198" t="s">
        <v>7407</v>
      </c>
      <c r="C13" s="198" t="s">
        <v>7374</v>
      </c>
      <c r="D13" s="198">
        <v>1001</v>
      </c>
      <c r="E13" s="198">
        <v>2</v>
      </c>
      <c r="F13" s="198">
        <v>1</v>
      </c>
      <c r="G13" s="198">
        <v>7</v>
      </c>
      <c r="H13" s="198">
        <v>0</v>
      </c>
      <c r="I13" s="235">
        <v>999</v>
      </c>
      <c r="J13" s="198" t="b">
        <v>1</v>
      </c>
      <c r="K13" s="198">
        <v>2</v>
      </c>
      <c r="L13" s="198">
        <v>4</v>
      </c>
      <c r="M13" s="198">
        <v>6</v>
      </c>
      <c r="N13" s="198">
        <v>0</v>
      </c>
      <c r="O13" s="198">
        <v>0</v>
      </c>
      <c r="P13" s="198"/>
      <c r="Q13" s="198">
        <v>0</v>
      </c>
      <c r="R13" s="198">
        <v>0</v>
      </c>
      <c r="S13" s="198">
        <v>0</v>
      </c>
      <c r="T13" s="198" t="s">
        <v>7408</v>
      </c>
      <c r="U13" s="198">
        <v>0</v>
      </c>
      <c r="V13" s="198" t="s">
        <v>7409</v>
      </c>
      <c r="W13" s="198">
        <v>0</v>
      </c>
      <c r="X13" s="197">
        <v>1</v>
      </c>
      <c r="Y13" s="197">
        <v>1</v>
      </c>
    </row>
    <row r="14" spans="1:25" ht="14.25" x14ac:dyDescent="0.15">
      <c r="A14" s="198">
        <v>907021</v>
      </c>
      <c r="B14" s="253" t="s">
        <v>7410</v>
      </c>
      <c r="C14" s="236" t="s">
        <v>7374</v>
      </c>
      <c r="D14" s="234">
        <v>1001</v>
      </c>
      <c r="E14" s="235">
        <v>2</v>
      </c>
      <c r="F14" s="235">
        <v>0</v>
      </c>
      <c r="G14" s="157">
        <v>0</v>
      </c>
      <c r="H14" s="43">
        <v>0</v>
      </c>
      <c r="I14" s="235">
        <v>999</v>
      </c>
      <c r="J14" s="246" t="b">
        <v>1</v>
      </c>
      <c r="K14" s="238">
        <v>1</v>
      </c>
      <c r="L14" s="198">
        <v>2</v>
      </c>
      <c r="M14" s="198">
        <v>3</v>
      </c>
      <c r="N14" s="238">
        <v>0</v>
      </c>
      <c r="O14" s="238">
        <v>0</v>
      </c>
      <c r="P14" s="238"/>
      <c r="Q14" s="246">
        <v>0</v>
      </c>
      <c r="R14" s="246">
        <v>0</v>
      </c>
      <c r="S14" s="246">
        <v>0</v>
      </c>
      <c r="T14" s="253" t="s">
        <v>7411</v>
      </c>
      <c r="U14" s="198">
        <v>0</v>
      </c>
      <c r="V14" s="5" t="s">
        <v>7412</v>
      </c>
      <c r="W14" s="43">
        <v>0</v>
      </c>
      <c r="X14" s="197">
        <v>1</v>
      </c>
      <c r="Y14" s="197">
        <v>1</v>
      </c>
    </row>
    <row r="15" spans="1:25" ht="14.25" x14ac:dyDescent="0.15">
      <c r="A15" s="198">
        <v>907022</v>
      </c>
      <c r="B15" s="253" t="s">
        <v>7413</v>
      </c>
      <c r="C15" s="236" t="s">
        <v>7374</v>
      </c>
      <c r="D15" s="234">
        <v>1001</v>
      </c>
      <c r="E15" s="235">
        <v>2</v>
      </c>
      <c r="F15" s="235">
        <v>0</v>
      </c>
      <c r="G15" s="157">
        <v>0</v>
      </c>
      <c r="H15" s="43">
        <v>0</v>
      </c>
      <c r="I15" s="235">
        <v>999</v>
      </c>
      <c r="J15" s="246" t="b">
        <v>1</v>
      </c>
      <c r="K15" s="238">
        <v>1</v>
      </c>
      <c r="L15" s="198">
        <v>2</v>
      </c>
      <c r="M15" s="198">
        <v>3</v>
      </c>
      <c r="N15" s="238">
        <v>0</v>
      </c>
      <c r="O15" s="238">
        <v>0</v>
      </c>
      <c r="P15" s="238"/>
      <c r="Q15" s="246">
        <v>0</v>
      </c>
      <c r="R15" s="246">
        <v>0</v>
      </c>
      <c r="S15" s="246">
        <v>0</v>
      </c>
      <c r="T15" s="253" t="s">
        <v>7414</v>
      </c>
      <c r="U15" s="246">
        <v>0</v>
      </c>
      <c r="V15" s="5" t="s">
        <v>3764</v>
      </c>
      <c r="W15" s="43">
        <v>0</v>
      </c>
      <c r="X15" s="197">
        <v>1</v>
      </c>
      <c r="Y15" s="197">
        <v>1</v>
      </c>
    </row>
    <row r="16" spans="1:25" ht="14.25" x14ac:dyDescent="0.15">
      <c r="A16" s="198">
        <v>907023</v>
      </c>
      <c r="B16" s="253" t="s">
        <v>7415</v>
      </c>
      <c r="C16" s="236" t="s">
        <v>7374</v>
      </c>
      <c r="D16" s="234">
        <v>1001</v>
      </c>
      <c r="E16" s="235">
        <v>2</v>
      </c>
      <c r="F16" s="235">
        <v>0</v>
      </c>
      <c r="G16" s="157">
        <v>0</v>
      </c>
      <c r="H16" s="43">
        <v>0</v>
      </c>
      <c r="I16" s="235">
        <v>999</v>
      </c>
      <c r="J16" s="246" t="b">
        <v>1</v>
      </c>
      <c r="K16" s="238">
        <v>5</v>
      </c>
      <c r="L16" s="198">
        <v>10</v>
      </c>
      <c r="M16" s="198">
        <v>15</v>
      </c>
      <c r="N16" s="238">
        <v>0</v>
      </c>
      <c r="O16" s="238">
        <v>0</v>
      </c>
      <c r="P16" s="238">
        <v>1</v>
      </c>
      <c r="Q16" s="246">
        <v>0</v>
      </c>
      <c r="R16" s="246">
        <v>0</v>
      </c>
      <c r="S16" s="246">
        <v>0</v>
      </c>
      <c r="T16" s="253" t="s">
        <v>7416</v>
      </c>
      <c r="U16" s="198">
        <v>0</v>
      </c>
      <c r="V16" s="5" t="s">
        <v>7417</v>
      </c>
      <c r="W16" s="43">
        <v>0</v>
      </c>
      <c r="X16" s="197">
        <v>1</v>
      </c>
      <c r="Y16" s="197">
        <v>1</v>
      </c>
    </row>
    <row r="17" spans="1:25" ht="14.25" x14ac:dyDescent="0.15">
      <c r="A17" s="198">
        <v>907024</v>
      </c>
      <c r="B17" s="254" t="s">
        <v>7418</v>
      </c>
      <c r="C17" s="237" t="s">
        <v>7374</v>
      </c>
      <c r="D17" s="234">
        <v>1001</v>
      </c>
      <c r="E17" s="235">
        <v>2</v>
      </c>
      <c r="F17" s="238">
        <v>0</v>
      </c>
      <c r="G17" s="239">
        <v>0</v>
      </c>
      <c r="H17" s="240">
        <v>0</v>
      </c>
      <c r="I17" s="235">
        <v>999</v>
      </c>
      <c r="J17" s="246" t="b">
        <v>1</v>
      </c>
      <c r="K17" s="238">
        <v>5</v>
      </c>
      <c r="L17" s="198">
        <v>10</v>
      </c>
      <c r="M17" s="198">
        <v>15</v>
      </c>
      <c r="N17" s="238">
        <v>0</v>
      </c>
      <c r="O17" s="238">
        <v>0</v>
      </c>
      <c r="P17" s="238">
        <v>1</v>
      </c>
      <c r="Q17" s="246">
        <v>0</v>
      </c>
      <c r="R17" s="246">
        <v>0</v>
      </c>
      <c r="S17" s="246">
        <v>0</v>
      </c>
      <c r="T17" s="254" t="s">
        <v>7419</v>
      </c>
      <c r="U17" s="246">
        <v>0</v>
      </c>
      <c r="V17" s="5" t="s">
        <v>7420</v>
      </c>
      <c r="W17" s="240">
        <v>0</v>
      </c>
      <c r="X17" s="197">
        <v>1</v>
      </c>
      <c r="Y17" s="197">
        <v>1</v>
      </c>
    </row>
    <row r="18" spans="1:25" s="2" customFormat="1" ht="14.25" x14ac:dyDescent="0.15">
      <c r="A18" s="241">
        <v>907025</v>
      </c>
      <c r="B18" s="255" t="s">
        <v>7421</v>
      </c>
      <c r="C18" s="242" t="s">
        <v>7374</v>
      </c>
      <c r="D18" s="243">
        <v>1001</v>
      </c>
      <c r="E18" s="244">
        <v>2</v>
      </c>
      <c r="F18" s="244">
        <v>0</v>
      </c>
      <c r="G18" s="245">
        <v>0</v>
      </c>
      <c r="H18" s="24">
        <v>0</v>
      </c>
      <c r="I18" s="244">
        <v>999</v>
      </c>
      <c r="J18" s="247" t="b">
        <v>1</v>
      </c>
      <c r="K18" s="248">
        <v>5</v>
      </c>
      <c r="L18" s="241">
        <v>10</v>
      </c>
      <c r="M18" s="241">
        <v>15</v>
      </c>
      <c r="N18" s="248">
        <v>0</v>
      </c>
      <c r="O18" s="248">
        <v>0</v>
      </c>
      <c r="P18" s="248">
        <v>1</v>
      </c>
      <c r="Q18" s="247">
        <v>0</v>
      </c>
      <c r="R18" s="247">
        <v>0</v>
      </c>
      <c r="S18" s="247">
        <v>0</v>
      </c>
      <c r="T18" s="24" t="s">
        <v>7422</v>
      </c>
      <c r="U18" s="247">
        <v>0</v>
      </c>
      <c r="V18" s="2" t="s">
        <v>3727</v>
      </c>
      <c r="W18" s="24">
        <v>0</v>
      </c>
      <c r="X18" s="192">
        <v>1</v>
      </c>
      <c r="Y18" s="192">
        <v>1</v>
      </c>
    </row>
    <row r="19" spans="1:25" ht="14.25" x14ac:dyDescent="0.15">
      <c r="A19" s="198">
        <v>907026</v>
      </c>
      <c r="B19" s="253" t="s">
        <v>7423</v>
      </c>
      <c r="C19" s="237" t="s">
        <v>7374</v>
      </c>
      <c r="D19" s="234">
        <v>1001</v>
      </c>
      <c r="E19" s="235">
        <v>2</v>
      </c>
      <c r="F19" s="235">
        <v>1</v>
      </c>
      <c r="G19" s="239">
        <v>0</v>
      </c>
      <c r="H19" s="240">
        <v>0</v>
      </c>
      <c r="I19" s="235">
        <v>999</v>
      </c>
      <c r="J19" s="246" t="b">
        <v>1</v>
      </c>
      <c r="K19" s="238">
        <v>1</v>
      </c>
      <c r="L19" s="198">
        <v>2</v>
      </c>
      <c r="M19" s="198">
        <v>3</v>
      </c>
      <c r="N19" s="238">
        <v>0</v>
      </c>
      <c r="O19" s="238">
        <v>0</v>
      </c>
      <c r="P19" s="238">
        <v>1</v>
      </c>
      <c r="Q19" s="246">
        <v>0</v>
      </c>
      <c r="R19" s="246">
        <v>0</v>
      </c>
      <c r="S19" s="246">
        <v>0</v>
      </c>
      <c r="T19" s="43" t="s">
        <v>7424</v>
      </c>
      <c r="U19" s="198">
        <v>0</v>
      </c>
      <c r="V19" s="5" t="s">
        <v>7425</v>
      </c>
      <c r="W19" s="43">
        <v>0</v>
      </c>
      <c r="X19" s="197">
        <v>1</v>
      </c>
      <c r="Y19" s="197">
        <v>1</v>
      </c>
    </row>
    <row r="20" spans="1:25" ht="14.25" x14ac:dyDescent="0.15">
      <c r="A20" s="198">
        <v>907027</v>
      </c>
      <c r="B20" s="253" t="s">
        <v>7426</v>
      </c>
      <c r="C20" s="236" t="s">
        <v>7374</v>
      </c>
      <c r="D20" s="234">
        <v>1001</v>
      </c>
      <c r="E20" s="235">
        <v>2</v>
      </c>
      <c r="F20" s="235">
        <v>1</v>
      </c>
      <c r="G20" s="157">
        <v>0</v>
      </c>
      <c r="H20" s="43">
        <v>0</v>
      </c>
      <c r="I20" s="235">
        <v>999</v>
      </c>
      <c r="J20" s="246" t="b">
        <v>1</v>
      </c>
      <c r="K20" s="238">
        <v>1</v>
      </c>
      <c r="L20" s="198">
        <v>2</v>
      </c>
      <c r="M20" s="198">
        <v>3</v>
      </c>
      <c r="N20" s="238">
        <v>0</v>
      </c>
      <c r="O20" s="238">
        <v>0</v>
      </c>
      <c r="P20" s="238">
        <v>1</v>
      </c>
      <c r="Q20" s="246">
        <v>0</v>
      </c>
      <c r="R20" s="246">
        <v>0</v>
      </c>
      <c r="S20" s="246">
        <v>0</v>
      </c>
      <c r="T20" s="43" t="s">
        <v>7427</v>
      </c>
      <c r="U20" s="246">
        <v>0</v>
      </c>
      <c r="V20" s="5" t="s">
        <v>7428</v>
      </c>
      <c r="W20" s="240">
        <v>0</v>
      </c>
      <c r="X20" s="197">
        <v>1</v>
      </c>
      <c r="Y20" s="197">
        <v>1</v>
      </c>
    </row>
    <row r="21" spans="1:25" x14ac:dyDescent="0.15">
      <c r="A21" s="198">
        <v>907028</v>
      </c>
      <c r="B21" s="43" t="s">
        <v>7429</v>
      </c>
      <c r="C21" s="237" t="s">
        <v>7374</v>
      </c>
      <c r="D21" s="234">
        <v>1001</v>
      </c>
      <c r="E21" s="235">
        <v>2</v>
      </c>
      <c r="F21" s="235">
        <v>1</v>
      </c>
      <c r="G21" s="239">
        <v>0</v>
      </c>
      <c r="H21" s="240">
        <v>0</v>
      </c>
      <c r="I21" s="235">
        <v>999</v>
      </c>
      <c r="J21" s="246" t="b">
        <v>1</v>
      </c>
      <c r="K21" s="238">
        <v>1</v>
      </c>
      <c r="L21" s="198">
        <v>2</v>
      </c>
      <c r="M21" s="198">
        <v>3</v>
      </c>
      <c r="N21" s="238">
        <v>0</v>
      </c>
      <c r="O21" s="238">
        <v>0</v>
      </c>
      <c r="P21" s="238">
        <v>1</v>
      </c>
      <c r="Q21" s="246">
        <v>0</v>
      </c>
      <c r="R21" s="246">
        <v>0</v>
      </c>
      <c r="S21" s="246">
        <v>0</v>
      </c>
      <c r="T21" s="43" t="s">
        <v>7430</v>
      </c>
      <c r="U21" s="246">
        <v>0</v>
      </c>
      <c r="V21" s="5" t="s">
        <v>7431</v>
      </c>
      <c r="W21" s="43">
        <v>0</v>
      </c>
      <c r="X21" s="197">
        <v>1</v>
      </c>
      <c r="Y21" s="197">
        <v>1</v>
      </c>
    </row>
    <row r="22" spans="1:25" x14ac:dyDescent="0.15">
      <c r="A22" s="198">
        <v>907029</v>
      </c>
      <c r="B22" s="43" t="s">
        <v>7432</v>
      </c>
      <c r="C22" s="236" t="s">
        <v>7374</v>
      </c>
      <c r="D22" s="234">
        <v>1001</v>
      </c>
      <c r="E22" s="235">
        <v>2</v>
      </c>
      <c r="F22" s="235">
        <v>1</v>
      </c>
      <c r="G22" s="157">
        <v>0</v>
      </c>
      <c r="H22" s="43">
        <v>0</v>
      </c>
      <c r="I22" s="235">
        <v>999</v>
      </c>
      <c r="J22" s="246" t="b">
        <v>1</v>
      </c>
      <c r="K22" s="238">
        <v>5</v>
      </c>
      <c r="L22" s="198">
        <v>10</v>
      </c>
      <c r="M22" s="198">
        <v>15</v>
      </c>
      <c r="N22" s="238">
        <v>0</v>
      </c>
      <c r="O22" s="238">
        <v>0</v>
      </c>
      <c r="P22" s="238">
        <v>1</v>
      </c>
      <c r="Q22" s="246">
        <v>0</v>
      </c>
      <c r="R22" s="246">
        <v>0</v>
      </c>
      <c r="S22" s="246">
        <v>0</v>
      </c>
      <c r="T22" s="43" t="s">
        <v>7433</v>
      </c>
      <c r="U22" s="198">
        <v>0</v>
      </c>
      <c r="V22" s="5" t="s">
        <v>7434</v>
      </c>
      <c r="W22" s="43">
        <v>0</v>
      </c>
      <c r="X22" s="197">
        <v>1</v>
      </c>
      <c r="Y22" s="197">
        <v>1</v>
      </c>
    </row>
    <row r="23" spans="1:25" x14ac:dyDescent="0.15">
      <c r="A23" s="198">
        <v>907030</v>
      </c>
      <c r="B23" s="43" t="s">
        <v>7435</v>
      </c>
      <c r="C23" s="237" t="s">
        <v>7374</v>
      </c>
      <c r="D23" s="234">
        <v>1001</v>
      </c>
      <c r="E23" s="235">
        <v>2</v>
      </c>
      <c r="F23" s="235">
        <v>1</v>
      </c>
      <c r="G23" s="239">
        <v>0</v>
      </c>
      <c r="H23" s="240">
        <v>0</v>
      </c>
      <c r="I23" s="235">
        <v>999</v>
      </c>
      <c r="J23" s="246" t="b">
        <v>1</v>
      </c>
      <c r="K23" s="238">
        <v>2</v>
      </c>
      <c r="L23" s="198">
        <v>4</v>
      </c>
      <c r="M23" s="198">
        <v>6</v>
      </c>
      <c r="N23" s="238">
        <v>0</v>
      </c>
      <c r="O23" s="238">
        <v>0</v>
      </c>
      <c r="P23" s="238">
        <v>1</v>
      </c>
      <c r="Q23" s="246">
        <v>0</v>
      </c>
      <c r="R23" s="246">
        <v>0</v>
      </c>
      <c r="S23" s="246">
        <v>0</v>
      </c>
      <c r="T23" s="43" t="s">
        <v>7436</v>
      </c>
      <c r="U23" s="246">
        <v>0</v>
      </c>
      <c r="V23" s="5" t="s">
        <v>7437</v>
      </c>
      <c r="W23" s="240">
        <v>0</v>
      </c>
      <c r="X23" s="197">
        <v>1</v>
      </c>
      <c r="Y23" s="197">
        <v>1</v>
      </c>
    </row>
    <row r="24" spans="1:25" x14ac:dyDescent="0.15">
      <c r="A24" s="198">
        <v>907031</v>
      </c>
      <c r="B24" s="43" t="s">
        <v>7438</v>
      </c>
      <c r="C24" s="236" t="s">
        <v>7374</v>
      </c>
      <c r="D24" s="234">
        <v>1001</v>
      </c>
      <c r="E24" s="235">
        <v>2</v>
      </c>
      <c r="F24" s="235">
        <v>1</v>
      </c>
      <c r="G24" s="157">
        <v>0</v>
      </c>
      <c r="H24" s="43">
        <v>0</v>
      </c>
      <c r="I24" s="235">
        <v>999</v>
      </c>
      <c r="J24" s="246" t="b">
        <v>1</v>
      </c>
      <c r="K24" s="238">
        <v>2</v>
      </c>
      <c r="L24" s="198">
        <v>4</v>
      </c>
      <c r="M24" s="198">
        <v>6</v>
      </c>
      <c r="N24" s="238">
        <v>0</v>
      </c>
      <c r="O24" s="238">
        <v>0</v>
      </c>
      <c r="P24" s="238">
        <v>1</v>
      </c>
      <c r="Q24" s="246">
        <v>0</v>
      </c>
      <c r="R24" s="246">
        <v>0</v>
      </c>
      <c r="S24" s="246">
        <v>0</v>
      </c>
      <c r="T24" s="43" t="s">
        <v>7439</v>
      </c>
      <c r="U24" s="246">
        <v>0</v>
      </c>
      <c r="V24" s="5" t="s">
        <v>7440</v>
      </c>
      <c r="W24" s="43">
        <v>0</v>
      </c>
      <c r="X24" s="197">
        <v>1</v>
      </c>
      <c r="Y24" s="197">
        <v>1</v>
      </c>
    </row>
    <row r="25" spans="1:25" x14ac:dyDescent="0.15">
      <c r="A25" s="198">
        <v>907032</v>
      </c>
      <c r="B25" s="43" t="s">
        <v>7441</v>
      </c>
      <c r="C25" s="237" t="s">
        <v>7374</v>
      </c>
      <c r="D25" s="234">
        <v>1001</v>
      </c>
      <c r="E25" s="235">
        <v>2</v>
      </c>
      <c r="F25" s="235">
        <v>1</v>
      </c>
      <c r="G25" s="157">
        <v>8</v>
      </c>
      <c r="H25" s="240">
        <v>0</v>
      </c>
      <c r="I25" s="235">
        <v>999</v>
      </c>
      <c r="J25" s="246" t="b">
        <v>1</v>
      </c>
      <c r="K25" s="238">
        <v>1</v>
      </c>
      <c r="L25" s="198">
        <v>2</v>
      </c>
      <c r="M25" s="198">
        <v>3</v>
      </c>
      <c r="N25" s="238">
        <v>0</v>
      </c>
      <c r="O25" s="238">
        <v>0</v>
      </c>
      <c r="P25" s="238">
        <v>1</v>
      </c>
      <c r="Q25" s="246">
        <v>0</v>
      </c>
      <c r="R25" s="246">
        <v>0</v>
      </c>
      <c r="S25" s="246">
        <v>0</v>
      </c>
      <c r="T25" s="43" t="s">
        <v>7442</v>
      </c>
      <c r="U25" s="198">
        <v>0</v>
      </c>
      <c r="V25" s="5" t="s">
        <v>7443</v>
      </c>
      <c r="W25" s="43">
        <v>0</v>
      </c>
      <c r="X25" s="197">
        <v>1</v>
      </c>
      <c r="Y25" s="197">
        <v>1</v>
      </c>
    </row>
    <row r="26" spans="1:25" x14ac:dyDescent="0.15">
      <c r="A26" s="198">
        <v>907033</v>
      </c>
      <c r="B26" s="43" t="s">
        <v>7444</v>
      </c>
      <c r="C26" s="236" t="s">
        <v>7374</v>
      </c>
      <c r="D26" s="234">
        <v>1001</v>
      </c>
      <c r="E26" s="235">
        <v>2</v>
      </c>
      <c r="F26" s="235">
        <v>1</v>
      </c>
      <c r="G26" s="157">
        <v>0</v>
      </c>
      <c r="H26" s="43">
        <v>0</v>
      </c>
      <c r="I26" s="235">
        <v>999</v>
      </c>
      <c r="J26" s="246" t="b">
        <v>1</v>
      </c>
      <c r="K26" s="238">
        <v>2</v>
      </c>
      <c r="L26" s="198">
        <v>4</v>
      </c>
      <c r="M26" s="198">
        <v>6</v>
      </c>
      <c r="N26" s="238">
        <v>0</v>
      </c>
      <c r="O26" s="238">
        <v>0</v>
      </c>
      <c r="P26" s="238">
        <v>1</v>
      </c>
      <c r="Q26" s="246">
        <v>0</v>
      </c>
      <c r="R26" s="246">
        <v>0</v>
      </c>
      <c r="S26" s="246">
        <v>0</v>
      </c>
      <c r="T26" s="43" t="s">
        <v>7445</v>
      </c>
      <c r="U26" s="246">
        <v>0</v>
      </c>
      <c r="V26" s="5" t="s">
        <v>7446</v>
      </c>
      <c r="W26" s="240">
        <v>0</v>
      </c>
      <c r="X26" s="197">
        <v>1</v>
      </c>
      <c r="Y26" s="197">
        <v>1</v>
      </c>
    </row>
    <row r="27" spans="1:25" x14ac:dyDescent="0.15">
      <c r="A27" s="198">
        <v>907034</v>
      </c>
      <c r="B27" s="43" t="s">
        <v>7447</v>
      </c>
      <c r="C27" s="237" t="s">
        <v>7374</v>
      </c>
      <c r="D27" s="234">
        <v>1001</v>
      </c>
      <c r="E27" s="235">
        <v>2</v>
      </c>
      <c r="F27" s="235">
        <v>1</v>
      </c>
      <c r="G27" s="157">
        <v>0</v>
      </c>
      <c r="H27" s="240">
        <v>0</v>
      </c>
      <c r="I27" s="235">
        <v>999</v>
      </c>
      <c r="J27" s="246" t="b">
        <v>1</v>
      </c>
      <c r="K27" s="238">
        <v>1</v>
      </c>
      <c r="L27" s="198">
        <v>2</v>
      </c>
      <c r="M27" s="198">
        <v>3</v>
      </c>
      <c r="N27" s="238">
        <v>0</v>
      </c>
      <c r="O27" s="238">
        <v>0</v>
      </c>
      <c r="P27" s="238">
        <v>1</v>
      </c>
      <c r="Q27" s="246">
        <v>0</v>
      </c>
      <c r="R27" s="246">
        <v>0</v>
      </c>
      <c r="S27" s="246">
        <v>0</v>
      </c>
      <c r="T27" s="43" t="s">
        <v>7448</v>
      </c>
      <c r="U27" s="246">
        <v>0</v>
      </c>
      <c r="V27" s="5" t="s">
        <v>7449</v>
      </c>
      <c r="W27" s="43">
        <v>0</v>
      </c>
      <c r="X27" s="197">
        <v>1</v>
      </c>
      <c r="Y27" s="197">
        <v>1</v>
      </c>
    </row>
    <row r="28" spans="1:25" x14ac:dyDescent="0.15">
      <c r="A28" s="198">
        <v>907035</v>
      </c>
      <c r="B28" s="43" t="s">
        <v>7450</v>
      </c>
      <c r="C28" s="236" t="s">
        <v>7374</v>
      </c>
      <c r="D28" s="234">
        <v>1001</v>
      </c>
      <c r="E28" s="235">
        <v>2</v>
      </c>
      <c r="F28" s="235">
        <v>1</v>
      </c>
      <c r="G28" s="157">
        <v>0</v>
      </c>
      <c r="H28" s="43">
        <v>0</v>
      </c>
      <c r="I28" s="235">
        <v>999</v>
      </c>
      <c r="J28" s="246" t="b">
        <v>1</v>
      </c>
      <c r="K28" s="238">
        <v>3</v>
      </c>
      <c r="L28" s="198">
        <v>6</v>
      </c>
      <c r="M28" s="198">
        <v>9</v>
      </c>
      <c r="N28" s="238">
        <v>0</v>
      </c>
      <c r="O28" s="238">
        <v>0</v>
      </c>
      <c r="P28" s="238">
        <v>1</v>
      </c>
      <c r="Q28" s="246">
        <v>0</v>
      </c>
      <c r="R28" s="246">
        <v>0</v>
      </c>
      <c r="S28" s="246">
        <v>0</v>
      </c>
      <c r="T28" s="43" t="s">
        <v>7451</v>
      </c>
      <c r="U28" s="198">
        <v>0</v>
      </c>
      <c r="V28" s="5" t="s">
        <v>7452</v>
      </c>
      <c r="W28" s="43">
        <v>0</v>
      </c>
      <c r="X28" s="197">
        <v>1</v>
      </c>
      <c r="Y28" s="197">
        <v>1</v>
      </c>
    </row>
    <row r="29" spans="1:25" x14ac:dyDescent="0.15">
      <c r="A29" s="198">
        <v>907036</v>
      </c>
      <c r="B29" s="256" t="s">
        <v>7453</v>
      </c>
      <c r="C29" s="237" t="s">
        <v>7374</v>
      </c>
      <c r="D29" s="234">
        <v>1001</v>
      </c>
      <c r="E29" s="235">
        <v>2</v>
      </c>
      <c r="F29" s="235">
        <v>1</v>
      </c>
      <c r="G29" s="157">
        <v>0</v>
      </c>
      <c r="H29" s="240">
        <v>0</v>
      </c>
      <c r="I29" s="235">
        <v>999</v>
      </c>
      <c r="J29" s="246" t="b">
        <v>1</v>
      </c>
      <c r="K29" s="238">
        <v>2</v>
      </c>
      <c r="L29" s="198">
        <v>4</v>
      </c>
      <c r="M29" s="198">
        <v>6</v>
      </c>
      <c r="N29" s="238">
        <v>0</v>
      </c>
      <c r="O29" s="238">
        <v>0</v>
      </c>
      <c r="P29" s="238">
        <v>1</v>
      </c>
      <c r="Q29" s="246">
        <v>0</v>
      </c>
      <c r="R29" s="246">
        <v>0</v>
      </c>
      <c r="S29" s="246">
        <v>0</v>
      </c>
      <c r="T29" s="43" t="s">
        <v>7454</v>
      </c>
      <c r="U29" s="246">
        <v>0</v>
      </c>
      <c r="V29" s="5" t="s">
        <v>7455</v>
      </c>
      <c r="W29" s="240">
        <v>0</v>
      </c>
      <c r="X29" s="197">
        <v>1</v>
      </c>
      <c r="Y29" s="197">
        <v>1</v>
      </c>
    </row>
    <row r="30" spans="1:25" x14ac:dyDescent="0.15">
      <c r="A30" s="198">
        <v>907037</v>
      </c>
      <c r="B30" s="43" t="s">
        <v>7456</v>
      </c>
      <c r="C30" s="236" t="s">
        <v>7374</v>
      </c>
      <c r="D30" s="234">
        <v>1001</v>
      </c>
      <c r="E30" s="235">
        <v>2</v>
      </c>
      <c r="F30" s="235">
        <v>1</v>
      </c>
      <c r="G30" s="157">
        <v>0</v>
      </c>
      <c r="H30" s="43">
        <v>0</v>
      </c>
      <c r="I30" s="235">
        <v>999</v>
      </c>
      <c r="J30" s="246" t="b">
        <v>1</v>
      </c>
      <c r="K30" s="238">
        <v>8</v>
      </c>
      <c r="L30" s="198">
        <v>16</v>
      </c>
      <c r="M30" s="198">
        <v>24</v>
      </c>
      <c r="N30" s="238">
        <v>0</v>
      </c>
      <c r="O30" s="238">
        <v>0</v>
      </c>
      <c r="P30" s="238">
        <v>1</v>
      </c>
      <c r="Q30" s="246">
        <v>0</v>
      </c>
      <c r="R30" s="246">
        <v>0</v>
      </c>
      <c r="S30" s="246">
        <v>0</v>
      </c>
      <c r="T30" s="43" t="s">
        <v>7457</v>
      </c>
      <c r="U30" s="246">
        <v>0</v>
      </c>
      <c r="V30" s="5" t="s">
        <v>7458</v>
      </c>
      <c r="W30" s="43">
        <v>0</v>
      </c>
      <c r="X30" s="197">
        <v>1</v>
      </c>
      <c r="Y30" s="197">
        <v>1</v>
      </c>
    </row>
    <row r="31" spans="1:25" x14ac:dyDescent="0.15">
      <c r="A31" s="198">
        <v>907038</v>
      </c>
      <c r="B31" s="43" t="s">
        <v>7459</v>
      </c>
      <c r="C31" s="236" t="s">
        <v>7374</v>
      </c>
      <c r="D31" s="234">
        <v>1001</v>
      </c>
      <c r="E31" s="235">
        <v>2</v>
      </c>
      <c r="F31" s="235">
        <v>1</v>
      </c>
      <c r="G31" s="157">
        <v>0</v>
      </c>
      <c r="H31" s="43">
        <v>0</v>
      </c>
      <c r="I31" s="235">
        <v>999</v>
      </c>
      <c r="J31" s="198" t="b">
        <v>1</v>
      </c>
      <c r="K31" s="235">
        <v>1</v>
      </c>
      <c r="L31" s="198">
        <v>2</v>
      </c>
      <c r="M31" s="198">
        <v>3</v>
      </c>
      <c r="N31" s="235">
        <v>0</v>
      </c>
      <c r="O31" s="235">
        <v>0</v>
      </c>
      <c r="P31" s="238">
        <v>1</v>
      </c>
      <c r="Q31" s="198">
        <v>0</v>
      </c>
      <c r="R31" s="198">
        <v>0</v>
      </c>
      <c r="S31" s="198">
        <v>0</v>
      </c>
      <c r="T31" s="43" t="s">
        <v>7460</v>
      </c>
      <c r="U31" s="198">
        <v>0</v>
      </c>
      <c r="V31" s="5" t="s">
        <v>7461</v>
      </c>
      <c r="W31" s="43">
        <v>0</v>
      </c>
      <c r="X31" s="197">
        <v>1</v>
      </c>
      <c r="Y31" s="197">
        <v>1</v>
      </c>
    </row>
    <row r="32" spans="1:25" x14ac:dyDescent="0.15">
      <c r="A32" s="198">
        <v>907039</v>
      </c>
      <c r="B32" s="43" t="s">
        <v>7462</v>
      </c>
      <c r="C32" s="236" t="s">
        <v>7374</v>
      </c>
      <c r="D32" s="234">
        <v>1001</v>
      </c>
      <c r="E32" s="235">
        <v>2</v>
      </c>
      <c r="F32" s="235">
        <v>1</v>
      </c>
      <c r="G32" s="157">
        <v>0</v>
      </c>
      <c r="H32" s="43">
        <v>0</v>
      </c>
      <c r="I32" s="235">
        <v>999</v>
      </c>
      <c r="J32" s="246" t="b">
        <v>1</v>
      </c>
      <c r="K32" s="238">
        <v>1</v>
      </c>
      <c r="L32" s="198">
        <v>2</v>
      </c>
      <c r="M32" s="198">
        <v>3</v>
      </c>
      <c r="N32" s="238">
        <v>0</v>
      </c>
      <c r="O32" s="238">
        <v>0</v>
      </c>
      <c r="P32" s="238">
        <v>1</v>
      </c>
      <c r="Q32" s="246">
        <v>0</v>
      </c>
      <c r="R32" s="246">
        <v>0</v>
      </c>
      <c r="S32" s="246">
        <v>0</v>
      </c>
      <c r="T32" s="43" t="s">
        <v>7463</v>
      </c>
      <c r="U32" s="246">
        <v>0</v>
      </c>
      <c r="V32" s="5" t="s">
        <v>7464</v>
      </c>
      <c r="W32" s="240">
        <v>0</v>
      </c>
      <c r="X32" s="197">
        <v>1</v>
      </c>
      <c r="Y32" s="197">
        <v>1</v>
      </c>
    </row>
    <row r="33" spans="1:25" x14ac:dyDescent="0.15">
      <c r="A33" s="198">
        <v>907040</v>
      </c>
      <c r="B33" s="43" t="s">
        <v>7465</v>
      </c>
      <c r="C33" s="236" t="s">
        <v>7374</v>
      </c>
      <c r="D33" s="234">
        <v>1001</v>
      </c>
      <c r="E33" s="235">
        <v>2</v>
      </c>
      <c r="F33" s="235">
        <v>1</v>
      </c>
      <c r="G33" s="157">
        <v>0</v>
      </c>
      <c r="H33" s="43">
        <v>0</v>
      </c>
      <c r="I33" s="235">
        <v>999</v>
      </c>
      <c r="J33" s="198" t="b">
        <v>1</v>
      </c>
      <c r="K33" s="235">
        <v>2</v>
      </c>
      <c r="L33" s="198">
        <v>4</v>
      </c>
      <c r="M33" s="198">
        <v>6</v>
      </c>
      <c r="N33" s="235">
        <v>0</v>
      </c>
      <c r="O33" s="235">
        <v>0</v>
      </c>
      <c r="P33" s="238">
        <v>1</v>
      </c>
      <c r="Q33" s="198">
        <v>0</v>
      </c>
      <c r="R33" s="198">
        <v>0</v>
      </c>
      <c r="S33" s="198">
        <v>0</v>
      </c>
      <c r="T33" s="43" t="s">
        <v>7466</v>
      </c>
      <c r="U33" s="246">
        <v>0</v>
      </c>
      <c r="V33" s="5" t="s">
        <v>7467</v>
      </c>
      <c r="W33" s="43">
        <v>0</v>
      </c>
      <c r="X33" s="197">
        <v>1</v>
      </c>
      <c r="Y33" s="197">
        <v>1</v>
      </c>
    </row>
    <row r="34" spans="1:25" x14ac:dyDescent="0.15">
      <c r="A34" s="198">
        <v>907041</v>
      </c>
      <c r="B34" s="43" t="s">
        <v>7468</v>
      </c>
      <c r="C34" s="236" t="s">
        <v>7374</v>
      </c>
      <c r="D34" s="234">
        <v>1001</v>
      </c>
      <c r="E34" s="235">
        <v>2</v>
      </c>
      <c r="F34" s="235">
        <v>1</v>
      </c>
      <c r="G34" s="157">
        <v>0</v>
      </c>
      <c r="H34" s="43">
        <v>0</v>
      </c>
      <c r="I34" s="235">
        <v>999</v>
      </c>
      <c r="J34" s="198" t="b">
        <v>1</v>
      </c>
      <c r="K34" s="235">
        <v>3</v>
      </c>
      <c r="L34" s="198">
        <v>6</v>
      </c>
      <c r="M34" s="198">
        <v>9</v>
      </c>
      <c r="N34" s="235">
        <v>0</v>
      </c>
      <c r="O34" s="235">
        <v>0</v>
      </c>
      <c r="P34" s="238">
        <v>1</v>
      </c>
      <c r="Q34" s="198">
        <v>0</v>
      </c>
      <c r="R34" s="198">
        <v>0</v>
      </c>
      <c r="S34" s="198">
        <v>0</v>
      </c>
      <c r="T34" s="43" t="s">
        <v>7469</v>
      </c>
      <c r="U34" s="198">
        <v>0</v>
      </c>
      <c r="V34" s="5" t="s">
        <v>7470</v>
      </c>
      <c r="W34" s="43">
        <v>0</v>
      </c>
      <c r="X34" s="197">
        <v>1</v>
      </c>
      <c r="Y34" s="197">
        <v>1</v>
      </c>
    </row>
    <row r="35" spans="1:25" x14ac:dyDescent="0.15">
      <c r="A35" s="198">
        <v>907042</v>
      </c>
      <c r="B35" s="43" t="s">
        <v>7471</v>
      </c>
      <c r="C35" s="236" t="s">
        <v>7374</v>
      </c>
      <c r="D35" s="234">
        <v>1001</v>
      </c>
      <c r="E35" s="235">
        <v>2</v>
      </c>
      <c r="F35" s="235">
        <v>0</v>
      </c>
      <c r="G35" s="157">
        <v>0</v>
      </c>
      <c r="H35" s="43">
        <v>0</v>
      </c>
      <c r="I35" s="235">
        <v>999</v>
      </c>
      <c r="J35" s="198" t="b">
        <v>1</v>
      </c>
      <c r="K35" s="235">
        <v>1</v>
      </c>
      <c r="L35" s="198">
        <v>2</v>
      </c>
      <c r="M35" s="198">
        <v>3</v>
      </c>
      <c r="N35" s="235">
        <v>0</v>
      </c>
      <c r="O35" s="235">
        <v>0</v>
      </c>
      <c r="P35" s="238">
        <v>1</v>
      </c>
      <c r="Q35" s="198">
        <v>0</v>
      </c>
      <c r="R35" s="198">
        <v>0</v>
      </c>
      <c r="S35" s="198">
        <v>0</v>
      </c>
      <c r="T35" s="43" t="s">
        <v>7472</v>
      </c>
      <c r="U35" s="246">
        <v>0</v>
      </c>
      <c r="V35" s="43" t="s">
        <v>7473</v>
      </c>
      <c r="W35" s="43">
        <v>0</v>
      </c>
      <c r="X35" s="197">
        <v>0</v>
      </c>
      <c r="Y35" s="197">
        <v>0</v>
      </c>
    </row>
    <row r="36" spans="1:25" x14ac:dyDescent="0.15">
      <c r="A36" s="198">
        <v>907043</v>
      </c>
      <c r="B36" s="43" t="s">
        <v>7474</v>
      </c>
      <c r="C36" s="236" t="s">
        <v>7374</v>
      </c>
      <c r="D36" s="234">
        <v>1001</v>
      </c>
      <c r="E36" s="235">
        <v>2</v>
      </c>
      <c r="F36" s="235">
        <v>0</v>
      </c>
      <c r="G36" s="157">
        <v>0</v>
      </c>
      <c r="H36" s="43">
        <v>0</v>
      </c>
      <c r="I36" s="235">
        <v>999</v>
      </c>
      <c r="J36" s="198" t="b">
        <v>1</v>
      </c>
      <c r="K36" s="235">
        <v>1</v>
      </c>
      <c r="L36" s="198">
        <v>2</v>
      </c>
      <c r="M36" s="198">
        <v>3</v>
      </c>
      <c r="N36" s="235">
        <v>0</v>
      </c>
      <c r="O36" s="235">
        <v>0</v>
      </c>
      <c r="P36" s="238">
        <v>1</v>
      </c>
      <c r="Q36" s="198">
        <v>0</v>
      </c>
      <c r="R36" s="198">
        <v>0</v>
      </c>
      <c r="S36" s="198">
        <v>0</v>
      </c>
      <c r="T36" s="43" t="s">
        <v>7472</v>
      </c>
      <c r="U36" s="198">
        <v>0</v>
      </c>
      <c r="V36" s="43" t="s">
        <v>7473</v>
      </c>
      <c r="W36" s="43">
        <v>0</v>
      </c>
      <c r="X36" s="197">
        <v>0</v>
      </c>
      <c r="Y36" s="197">
        <v>0</v>
      </c>
    </row>
    <row r="37" spans="1:25" x14ac:dyDescent="0.15">
      <c r="A37" s="198">
        <v>907044</v>
      </c>
      <c r="B37" s="43" t="s">
        <v>7475</v>
      </c>
      <c r="C37" s="236" t="s">
        <v>7374</v>
      </c>
      <c r="D37" s="234">
        <v>1001</v>
      </c>
      <c r="E37" s="235">
        <v>2</v>
      </c>
      <c r="F37" s="235">
        <v>0</v>
      </c>
      <c r="G37" s="157">
        <v>0</v>
      </c>
      <c r="H37" s="43">
        <v>0</v>
      </c>
      <c r="I37" s="235">
        <v>999</v>
      </c>
      <c r="J37" s="198" t="b">
        <v>1</v>
      </c>
      <c r="K37" s="235">
        <v>1</v>
      </c>
      <c r="L37" s="198">
        <v>2</v>
      </c>
      <c r="M37" s="198">
        <v>3</v>
      </c>
      <c r="N37" s="235">
        <v>0</v>
      </c>
      <c r="O37" s="235">
        <v>0</v>
      </c>
      <c r="P37" s="238">
        <v>1</v>
      </c>
      <c r="Q37" s="198">
        <v>0</v>
      </c>
      <c r="R37" s="198">
        <v>0</v>
      </c>
      <c r="S37" s="198">
        <v>0</v>
      </c>
      <c r="T37" s="43" t="s">
        <v>7472</v>
      </c>
      <c r="U37" s="246">
        <v>0</v>
      </c>
      <c r="V37" s="43" t="s">
        <v>7473</v>
      </c>
      <c r="W37" s="43">
        <v>0</v>
      </c>
      <c r="X37" s="197">
        <v>0</v>
      </c>
      <c r="Y37" s="197">
        <v>0</v>
      </c>
    </row>
    <row r="38" spans="1:25" x14ac:dyDescent="0.15">
      <c r="A38" s="198">
        <v>908002</v>
      </c>
      <c r="B38" s="43" t="s">
        <v>7476</v>
      </c>
      <c r="C38" s="236" t="s">
        <v>7374</v>
      </c>
      <c r="D38" s="234">
        <v>1001</v>
      </c>
      <c r="E38" s="235">
        <v>2</v>
      </c>
      <c r="F38" s="235">
        <v>0</v>
      </c>
      <c r="G38" s="157">
        <v>0</v>
      </c>
      <c r="H38" s="43">
        <v>0</v>
      </c>
      <c r="I38" s="235">
        <v>999</v>
      </c>
      <c r="J38" s="198" t="b">
        <v>1</v>
      </c>
      <c r="K38" s="235">
        <v>-1</v>
      </c>
      <c r="L38" s="198">
        <v>-2</v>
      </c>
      <c r="M38" s="198">
        <v>-3</v>
      </c>
      <c r="N38" s="235" t="s">
        <v>3383</v>
      </c>
      <c r="O38" s="235">
        <v>0</v>
      </c>
      <c r="P38" s="238">
        <v>1</v>
      </c>
      <c r="Q38" s="198">
        <v>0</v>
      </c>
      <c r="R38" s="198">
        <v>0</v>
      </c>
      <c r="S38" s="198" t="s">
        <v>7477</v>
      </c>
      <c r="T38" s="43" t="s">
        <v>7478</v>
      </c>
      <c r="U38" s="198">
        <v>0</v>
      </c>
      <c r="V38" s="5" t="s">
        <v>7479</v>
      </c>
      <c r="W38" s="43">
        <v>0</v>
      </c>
      <c r="X38" s="197">
        <v>1</v>
      </c>
      <c r="Y38" s="197">
        <v>1</v>
      </c>
    </row>
    <row r="39" spans="1:25" x14ac:dyDescent="0.15">
      <c r="A39" s="198">
        <v>908017</v>
      </c>
      <c r="B39" s="43" t="s">
        <v>7480</v>
      </c>
      <c r="C39" s="236" t="s">
        <v>7374</v>
      </c>
      <c r="D39" s="234">
        <v>1001</v>
      </c>
      <c r="E39" s="235">
        <v>2</v>
      </c>
      <c r="F39" s="235">
        <v>0</v>
      </c>
      <c r="G39" s="157">
        <v>0</v>
      </c>
      <c r="H39" s="43">
        <v>0</v>
      </c>
      <c r="I39" s="235">
        <v>999</v>
      </c>
      <c r="J39" s="198" t="b">
        <v>1</v>
      </c>
      <c r="K39" s="235">
        <v>-1</v>
      </c>
      <c r="L39" s="198">
        <v>-2</v>
      </c>
      <c r="M39" s="198">
        <v>-3</v>
      </c>
      <c r="N39" s="235" t="s">
        <v>3383</v>
      </c>
      <c r="O39" s="235">
        <v>0</v>
      </c>
      <c r="P39" s="238">
        <v>1</v>
      </c>
      <c r="Q39" s="198">
        <v>0</v>
      </c>
      <c r="R39" s="198">
        <v>0</v>
      </c>
      <c r="S39" s="198" t="s">
        <v>7477</v>
      </c>
      <c r="T39" s="43" t="s">
        <v>7481</v>
      </c>
      <c r="U39" s="198">
        <v>0</v>
      </c>
      <c r="V39" s="5" t="s">
        <v>7482</v>
      </c>
      <c r="W39" s="43">
        <v>0</v>
      </c>
      <c r="X39" s="197">
        <v>1</v>
      </c>
      <c r="Y39" s="197">
        <v>1</v>
      </c>
    </row>
    <row r="40" spans="1:25" x14ac:dyDescent="0.15">
      <c r="A40" s="198">
        <v>908031</v>
      </c>
      <c r="B40" s="43" t="s">
        <v>7483</v>
      </c>
      <c r="C40" s="236" t="s">
        <v>7374</v>
      </c>
      <c r="D40" s="234">
        <v>1001</v>
      </c>
      <c r="E40" s="235">
        <v>2</v>
      </c>
      <c r="F40" s="235">
        <v>0</v>
      </c>
      <c r="G40" s="157">
        <v>0</v>
      </c>
      <c r="H40" s="43">
        <v>0</v>
      </c>
      <c r="I40" s="235">
        <v>999</v>
      </c>
      <c r="J40" s="198" t="b">
        <v>1</v>
      </c>
      <c r="K40" s="235">
        <v>10</v>
      </c>
      <c r="L40" s="198">
        <v>20</v>
      </c>
      <c r="M40" s="198">
        <v>30</v>
      </c>
      <c r="N40" s="235">
        <v>0</v>
      </c>
      <c r="O40" s="235">
        <v>0</v>
      </c>
      <c r="P40" s="238">
        <v>1</v>
      </c>
      <c r="Q40" s="198">
        <v>0</v>
      </c>
      <c r="R40" s="198">
        <v>0</v>
      </c>
      <c r="S40" s="198">
        <v>0</v>
      </c>
      <c r="T40" s="43" t="s">
        <v>7484</v>
      </c>
      <c r="U40" s="198">
        <v>0</v>
      </c>
      <c r="V40" s="5" t="s">
        <v>7485</v>
      </c>
      <c r="W40" s="43">
        <v>0</v>
      </c>
      <c r="X40" s="197">
        <v>1</v>
      </c>
      <c r="Y40" s="197">
        <v>1</v>
      </c>
    </row>
    <row r="41" spans="1:25" x14ac:dyDescent="0.15">
      <c r="A41" s="198">
        <v>908034</v>
      </c>
      <c r="B41" s="43" t="s">
        <v>7486</v>
      </c>
      <c r="C41" s="236" t="s">
        <v>7374</v>
      </c>
      <c r="D41" s="234">
        <v>1001</v>
      </c>
      <c r="E41" s="235">
        <v>2</v>
      </c>
      <c r="F41" s="235">
        <v>0</v>
      </c>
      <c r="G41" s="157">
        <v>0</v>
      </c>
      <c r="H41" s="43">
        <v>0</v>
      </c>
      <c r="I41" s="235">
        <v>999</v>
      </c>
      <c r="J41" s="198" t="b">
        <v>1</v>
      </c>
      <c r="K41" s="235">
        <v>5</v>
      </c>
      <c r="L41" s="198">
        <v>10</v>
      </c>
      <c r="M41" s="198">
        <v>15</v>
      </c>
      <c r="N41" s="235">
        <v>0</v>
      </c>
      <c r="O41" s="235">
        <v>0</v>
      </c>
      <c r="P41" s="238">
        <v>1</v>
      </c>
      <c r="Q41" s="198">
        <v>0</v>
      </c>
      <c r="R41" s="198">
        <v>0</v>
      </c>
      <c r="S41" s="198">
        <v>0</v>
      </c>
      <c r="T41" s="43" t="s">
        <v>7487</v>
      </c>
      <c r="U41" s="198">
        <v>0</v>
      </c>
      <c r="V41" s="5" t="s">
        <v>7488</v>
      </c>
      <c r="W41" s="43">
        <v>0</v>
      </c>
      <c r="X41" s="197">
        <v>0</v>
      </c>
      <c r="Y41" s="197">
        <v>1</v>
      </c>
    </row>
    <row r="42" spans="1:25" x14ac:dyDescent="0.15">
      <c r="A42" s="198">
        <v>908035</v>
      </c>
      <c r="B42" s="43" t="s">
        <v>7489</v>
      </c>
      <c r="C42" s="236" t="s">
        <v>7374</v>
      </c>
      <c r="D42" s="234">
        <v>1001</v>
      </c>
      <c r="E42" s="235">
        <v>2</v>
      </c>
      <c r="F42" s="235">
        <v>0</v>
      </c>
      <c r="G42" s="157">
        <v>0</v>
      </c>
      <c r="H42" s="43">
        <v>0</v>
      </c>
      <c r="I42" s="235">
        <v>999</v>
      </c>
      <c r="J42" s="198" t="b">
        <v>1</v>
      </c>
      <c r="K42" s="235">
        <v>5</v>
      </c>
      <c r="L42" s="198">
        <v>10</v>
      </c>
      <c r="M42" s="198">
        <v>15</v>
      </c>
      <c r="N42" s="235">
        <v>0</v>
      </c>
      <c r="O42" s="235">
        <v>0</v>
      </c>
      <c r="P42" s="238">
        <v>1</v>
      </c>
      <c r="Q42" s="198">
        <v>0</v>
      </c>
      <c r="R42" s="198">
        <v>0</v>
      </c>
      <c r="S42" s="198">
        <v>0</v>
      </c>
      <c r="T42" s="43" t="s">
        <v>7490</v>
      </c>
      <c r="U42" s="198">
        <v>0</v>
      </c>
      <c r="V42" s="5" t="s">
        <v>7491</v>
      </c>
      <c r="W42" s="43">
        <v>0</v>
      </c>
      <c r="X42" s="197">
        <v>0</v>
      </c>
      <c r="Y42" s="197">
        <v>1</v>
      </c>
    </row>
    <row r="43" spans="1:25" x14ac:dyDescent="0.15">
      <c r="A43" s="198">
        <v>908036</v>
      </c>
      <c r="B43" s="43" t="s">
        <v>7492</v>
      </c>
      <c r="C43" s="236" t="s">
        <v>7374</v>
      </c>
      <c r="D43" s="234">
        <v>1001</v>
      </c>
      <c r="E43" s="235">
        <v>2</v>
      </c>
      <c r="F43" s="235">
        <v>0</v>
      </c>
      <c r="G43" s="157">
        <v>0</v>
      </c>
      <c r="H43" s="43">
        <v>0</v>
      </c>
      <c r="I43" s="235">
        <v>999</v>
      </c>
      <c r="J43" s="198" t="b">
        <v>1</v>
      </c>
      <c r="K43" s="235">
        <v>5</v>
      </c>
      <c r="L43" s="198">
        <v>10</v>
      </c>
      <c r="M43" s="198">
        <v>15</v>
      </c>
      <c r="N43" s="235">
        <v>0</v>
      </c>
      <c r="O43" s="235">
        <v>0</v>
      </c>
      <c r="P43" s="238">
        <v>1</v>
      </c>
      <c r="Q43" s="198">
        <v>0</v>
      </c>
      <c r="R43" s="198">
        <v>0</v>
      </c>
      <c r="S43" s="198">
        <v>0</v>
      </c>
      <c r="T43" s="43" t="s">
        <v>7493</v>
      </c>
      <c r="U43" s="198">
        <v>0</v>
      </c>
      <c r="V43" s="5" t="s">
        <v>7494</v>
      </c>
      <c r="W43" s="43">
        <v>0</v>
      </c>
      <c r="X43" s="197">
        <v>0</v>
      </c>
      <c r="Y43" s="197">
        <v>1</v>
      </c>
    </row>
    <row r="44" spans="1:25" x14ac:dyDescent="0.15">
      <c r="A44" s="198">
        <v>908043</v>
      </c>
      <c r="B44" s="43" t="s">
        <v>7495</v>
      </c>
      <c r="C44" s="236" t="s">
        <v>7374</v>
      </c>
      <c r="D44" s="234">
        <v>1001</v>
      </c>
      <c r="E44" s="235">
        <v>2</v>
      </c>
      <c r="F44" s="235">
        <v>0</v>
      </c>
      <c r="G44" s="157">
        <v>0</v>
      </c>
      <c r="H44" s="43">
        <v>0</v>
      </c>
      <c r="I44" s="235">
        <v>999</v>
      </c>
      <c r="J44" s="198" t="b">
        <v>1</v>
      </c>
      <c r="K44" s="235">
        <v>1</v>
      </c>
      <c r="L44" s="198">
        <v>2</v>
      </c>
      <c r="M44" s="198">
        <v>3</v>
      </c>
      <c r="N44" s="235">
        <v>0</v>
      </c>
      <c r="O44" s="235">
        <v>0</v>
      </c>
      <c r="P44" s="238">
        <v>1</v>
      </c>
      <c r="Q44" s="198">
        <v>0</v>
      </c>
      <c r="R44" s="198">
        <v>0</v>
      </c>
      <c r="S44" s="198">
        <v>0</v>
      </c>
      <c r="T44" s="43" t="s">
        <v>7496</v>
      </c>
      <c r="U44" s="198">
        <v>0</v>
      </c>
      <c r="V44" s="5" t="s">
        <v>7497</v>
      </c>
      <c r="W44" s="43">
        <v>0</v>
      </c>
      <c r="X44" s="197">
        <v>1</v>
      </c>
      <c r="Y44" s="197">
        <v>1</v>
      </c>
    </row>
    <row r="45" spans="1:25" x14ac:dyDescent="0.15">
      <c r="A45" s="198">
        <v>908044</v>
      </c>
      <c r="B45" s="43" t="s">
        <v>7498</v>
      </c>
      <c r="C45" s="236" t="s">
        <v>7374</v>
      </c>
      <c r="D45" s="234">
        <v>1001</v>
      </c>
      <c r="E45" s="235">
        <v>2</v>
      </c>
      <c r="F45" s="235">
        <v>0</v>
      </c>
      <c r="G45" s="157">
        <v>0</v>
      </c>
      <c r="H45" s="43">
        <v>0</v>
      </c>
      <c r="I45" s="235">
        <v>999</v>
      </c>
      <c r="J45" s="198" t="b">
        <v>1</v>
      </c>
      <c r="K45" s="235">
        <v>1</v>
      </c>
      <c r="L45" s="198">
        <v>2</v>
      </c>
      <c r="M45" s="198">
        <v>3</v>
      </c>
      <c r="N45" s="235">
        <v>0</v>
      </c>
      <c r="O45" s="235">
        <v>0</v>
      </c>
      <c r="P45" s="238">
        <v>1</v>
      </c>
      <c r="Q45" s="198">
        <v>0</v>
      </c>
      <c r="R45" s="198">
        <v>0</v>
      </c>
      <c r="S45" s="198">
        <v>0</v>
      </c>
      <c r="T45" s="43" t="s">
        <v>7499</v>
      </c>
      <c r="U45" s="198">
        <v>0</v>
      </c>
      <c r="V45" s="5" t="s">
        <v>7500</v>
      </c>
      <c r="W45" s="43">
        <v>0</v>
      </c>
      <c r="X45" s="197">
        <v>1</v>
      </c>
      <c r="Y45" s="197">
        <v>1</v>
      </c>
    </row>
    <row r="46" spans="1:25" x14ac:dyDescent="0.15">
      <c r="A46" s="198">
        <v>908048</v>
      </c>
      <c r="B46" s="43" t="s">
        <v>7501</v>
      </c>
      <c r="C46" s="236" t="s">
        <v>7374</v>
      </c>
      <c r="D46" s="234">
        <v>1001</v>
      </c>
      <c r="E46" s="235">
        <v>2</v>
      </c>
      <c r="F46" s="235">
        <v>0</v>
      </c>
      <c r="G46" s="157">
        <v>0</v>
      </c>
      <c r="H46" s="43">
        <v>0</v>
      </c>
      <c r="I46" s="235">
        <v>999</v>
      </c>
      <c r="J46" s="198" t="b">
        <v>1</v>
      </c>
      <c r="K46" s="235">
        <v>1</v>
      </c>
      <c r="L46" s="198">
        <v>2</v>
      </c>
      <c r="M46" s="198">
        <v>3</v>
      </c>
      <c r="N46" s="235">
        <v>0</v>
      </c>
      <c r="O46" s="235">
        <v>0</v>
      </c>
      <c r="P46" s="238">
        <v>1</v>
      </c>
      <c r="Q46" s="198">
        <v>0</v>
      </c>
      <c r="R46" s="198">
        <v>0</v>
      </c>
      <c r="S46" s="198">
        <v>0</v>
      </c>
      <c r="T46" s="43" t="s">
        <v>7502</v>
      </c>
      <c r="U46" s="198">
        <v>0</v>
      </c>
      <c r="V46" s="5" t="s">
        <v>7503</v>
      </c>
      <c r="W46" s="43">
        <v>0</v>
      </c>
      <c r="X46" s="197">
        <v>1</v>
      </c>
      <c r="Y46" s="197">
        <v>1</v>
      </c>
    </row>
    <row r="47" spans="1:25" x14ac:dyDescent="0.15">
      <c r="A47" s="198">
        <v>908049</v>
      </c>
      <c r="B47" s="43" t="s">
        <v>7504</v>
      </c>
      <c r="C47" s="236" t="s">
        <v>7374</v>
      </c>
      <c r="D47" s="234">
        <v>1001</v>
      </c>
      <c r="E47" s="235">
        <v>2</v>
      </c>
      <c r="F47" s="235">
        <v>0</v>
      </c>
      <c r="G47" s="157">
        <v>0</v>
      </c>
      <c r="H47" s="43">
        <v>0</v>
      </c>
      <c r="I47" s="235">
        <v>999</v>
      </c>
      <c r="J47" s="198" t="b">
        <v>1</v>
      </c>
      <c r="K47" s="235">
        <v>1</v>
      </c>
      <c r="L47" s="198">
        <v>2</v>
      </c>
      <c r="M47" s="198">
        <v>3</v>
      </c>
      <c r="N47" s="235">
        <v>0</v>
      </c>
      <c r="O47" s="235">
        <v>0</v>
      </c>
      <c r="P47" s="238">
        <v>1</v>
      </c>
      <c r="Q47" s="198">
        <v>0</v>
      </c>
      <c r="R47" s="198">
        <v>0</v>
      </c>
      <c r="S47" s="198">
        <v>0</v>
      </c>
      <c r="T47" s="43" t="s">
        <v>7505</v>
      </c>
      <c r="U47" s="198">
        <v>0</v>
      </c>
      <c r="V47" s="5" t="s">
        <v>7506</v>
      </c>
      <c r="W47" s="43">
        <v>0</v>
      </c>
      <c r="X47" s="197">
        <v>1</v>
      </c>
      <c r="Y47" s="197">
        <v>1</v>
      </c>
    </row>
    <row r="48" spans="1:25" x14ac:dyDescent="0.15">
      <c r="A48" s="198">
        <v>908050</v>
      </c>
      <c r="B48" s="43" t="s">
        <v>7507</v>
      </c>
      <c r="C48" s="236" t="s">
        <v>7374</v>
      </c>
      <c r="D48" s="234">
        <v>1001</v>
      </c>
      <c r="E48" s="235">
        <v>2</v>
      </c>
      <c r="F48" s="235">
        <v>0</v>
      </c>
      <c r="G48" s="157">
        <v>0</v>
      </c>
      <c r="H48" s="43">
        <v>0</v>
      </c>
      <c r="I48" s="235">
        <v>999</v>
      </c>
      <c r="J48" s="198" t="b">
        <v>1</v>
      </c>
      <c r="K48" s="235">
        <v>1</v>
      </c>
      <c r="L48" s="198">
        <v>2</v>
      </c>
      <c r="M48" s="198">
        <v>3</v>
      </c>
      <c r="N48" s="235">
        <v>0</v>
      </c>
      <c r="O48" s="235">
        <v>0</v>
      </c>
      <c r="P48" s="238">
        <v>1</v>
      </c>
      <c r="Q48" s="198">
        <v>0</v>
      </c>
      <c r="R48" s="198">
        <v>0</v>
      </c>
      <c r="S48" s="198">
        <v>0</v>
      </c>
      <c r="T48" s="43" t="s">
        <v>7508</v>
      </c>
      <c r="U48" s="198">
        <v>0</v>
      </c>
      <c r="V48" s="5" t="s">
        <v>7509</v>
      </c>
      <c r="W48" s="43">
        <v>0</v>
      </c>
      <c r="X48" s="197">
        <v>1</v>
      </c>
      <c r="Y48" s="197">
        <v>1</v>
      </c>
    </row>
    <row r="49" spans="1:25" x14ac:dyDescent="0.15">
      <c r="A49" s="198">
        <v>908056</v>
      </c>
      <c r="B49" s="43" t="s">
        <v>7510</v>
      </c>
      <c r="C49" s="236" t="s">
        <v>7374</v>
      </c>
      <c r="D49" s="234">
        <v>1001</v>
      </c>
      <c r="E49" s="235">
        <v>2</v>
      </c>
      <c r="F49" s="235">
        <v>0</v>
      </c>
      <c r="G49" s="157">
        <v>0</v>
      </c>
      <c r="H49" s="43">
        <v>0</v>
      </c>
      <c r="I49" s="235">
        <v>999</v>
      </c>
      <c r="J49" s="198" t="b">
        <v>1</v>
      </c>
      <c r="K49" s="235">
        <v>1</v>
      </c>
      <c r="L49" s="198">
        <v>2</v>
      </c>
      <c r="M49" s="198">
        <v>3</v>
      </c>
      <c r="N49" s="235">
        <v>0</v>
      </c>
      <c r="O49" s="235">
        <v>0</v>
      </c>
      <c r="P49" s="238">
        <v>1</v>
      </c>
      <c r="Q49" s="198">
        <v>0</v>
      </c>
      <c r="R49" s="198">
        <v>0</v>
      </c>
      <c r="S49" s="198">
        <v>0</v>
      </c>
      <c r="T49" s="43" t="s">
        <v>7511</v>
      </c>
      <c r="U49" s="198">
        <v>0</v>
      </c>
      <c r="V49" s="5" t="s">
        <v>7512</v>
      </c>
      <c r="W49" s="43">
        <v>0</v>
      </c>
      <c r="X49" s="197">
        <v>1</v>
      </c>
      <c r="Y49" s="197">
        <v>1</v>
      </c>
    </row>
    <row r="50" spans="1:25" x14ac:dyDescent="0.15">
      <c r="A50" s="198">
        <v>908057</v>
      </c>
      <c r="B50" s="43" t="s">
        <v>7513</v>
      </c>
      <c r="C50" s="236" t="s">
        <v>7374</v>
      </c>
      <c r="D50" s="234">
        <v>1001</v>
      </c>
      <c r="E50" s="235">
        <v>2</v>
      </c>
      <c r="F50" s="235">
        <v>0</v>
      </c>
      <c r="G50" s="157">
        <v>0</v>
      </c>
      <c r="H50" s="43">
        <v>0</v>
      </c>
      <c r="I50" s="235">
        <v>999</v>
      </c>
      <c r="J50" s="198" t="b">
        <v>1</v>
      </c>
      <c r="K50" s="235">
        <v>1</v>
      </c>
      <c r="L50" s="198">
        <v>2</v>
      </c>
      <c r="M50" s="198">
        <v>3</v>
      </c>
      <c r="N50" s="235">
        <v>0</v>
      </c>
      <c r="O50" s="235">
        <v>0</v>
      </c>
      <c r="P50" s="238">
        <v>1</v>
      </c>
      <c r="Q50" s="198">
        <v>0</v>
      </c>
      <c r="R50" s="198">
        <v>0</v>
      </c>
      <c r="S50" s="198">
        <v>0</v>
      </c>
      <c r="T50" s="43" t="s">
        <v>7514</v>
      </c>
      <c r="U50" s="198">
        <v>0</v>
      </c>
      <c r="V50" s="5" t="s">
        <v>7515</v>
      </c>
      <c r="W50" s="43">
        <v>0</v>
      </c>
      <c r="X50" s="197">
        <v>1</v>
      </c>
      <c r="Y50" s="197">
        <v>1</v>
      </c>
    </row>
    <row r="51" spans="1:25" x14ac:dyDescent="0.15">
      <c r="A51" s="198">
        <v>908058</v>
      </c>
      <c r="B51" s="43" t="s">
        <v>7516</v>
      </c>
      <c r="C51" s="236" t="s">
        <v>7374</v>
      </c>
      <c r="D51" s="234">
        <v>1001</v>
      </c>
      <c r="E51" s="235">
        <v>2</v>
      </c>
      <c r="F51" s="235">
        <v>0</v>
      </c>
      <c r="G51" s="157">
        <v>0</v>
      </c>
      <c r="H51" s="43">
        <v>0</v>
      </c>
      <c r="I51" s="235">
        <v>999</v>
      </c>
      <c r="J51" s="198" t="b">
        <v>1</v>
      </c>
      <c r="K51" s="235">
        <v>1</v>
      </c>
      <c r="L51" s="198">
        <v>2</v>
      </c>
      <c r="M51" s="198">
        <v>3</v>
      </c>
      <c r="N51" s="235">
        <v>0</v>
      </c>
      <c r="O51" s="235">
        <v>0</v>
      </c>
      <c r="P51" s="238">
        <v>1</v>
      </c>
      <c r="Q51" s="198">
        <v>0</v>
      </c>
      <c r="R51" s="198">
        <v>0</v>
      </c>
      <c r="S51" s="198">
        <v>0</v>
      </c>
      <c r="T51" s="43" t="s">
        <v>7517</v>
      </c>
      <c r="U51" s="198">
        <v>0</v>
      </c>
      <c r="V51" s="5" t="s">
        <v>7518</v>
      </c>
      <c r="W51" s="43">
        <v>0</v>
      </c>
      <c r="X51" s="197">
        <v>1</v>
      </c>
      <c r="Y51" s="197">
        <v>1</v>
      </c>
    </row>
    <row r="52" spans="1:25" x14ac:dyDescent="0.15">
      <c r="A52" s="198">
        <v>908059</v>
      </c>
      <c r="B52" s="43" t="s">
        <v>7519</v>
      </c>
      <c r="C52" s="236" t="s">
        <v>7374</v>
      </c>
      <c r="D52" s="234">
        <v>1001</v>
      </c>
      <c r="E52" s="235">
        <v>2</v>
      </c>
      <c r="F52" s="235">
        <v>0</v>
      </c>
      <c r="G52" s="157">
        <v>0</v>
      </c>
      <c r="H52" s="43">
        <v>0</v>
      </c>
      <c r="I52" s="235">
        <v>999</v>
      </c>
      <c r="J52" s="198" t="b">
        <v>1</v>
      </c>
      <c r="K52" s="235">
        <v>1</v>
      </c>
      <c r="L52" s="198">
        <v>2</v>
      </c>
      <c r="M52" s="198">
        <v>3</v>
      </c>
      <c r="N52" s="235">
        <v>0</v>
      </c>
      <c r="O52" s="235">
        <v>0</v>
      </c>
      <c r="P52" s="238">
        <v>1</v>
      </c>
      <c r="Q52" s="198">
        <v>0</v>
      </c>
      <c r="R52" s="198">
        <v>0</v>
      </c>
      <c r="S52" s="198">
        <v>0</v>
      </c>
      <c r="T52" s="43" t="s">
        <v>7520</v>
      </c>
      <c r="U52" s="198">
        <v>0</v>
      </c>
      <c r="V52" s="5" t="s">
        <v>7521</v>
      </c>
      <c r="W52" s="43">
        <v>0</v>
      </c>
      <c r="X52" s="197">
        <v>1</v>
      </c>
      <c r="Y52" s="197">
        <v>1</v>
      </c>
    </row>
    <row r="53" spans="1:25" x14ac:dyDescent="0.15">
      <c r="A53" s="198">
        <v>908060</v>
      </c>
      <c r="B53" s="43" t="s">
        <v>7522</v>
      </c>
      <c r="C53" s="236" t="s">
        <v>7374</v>
      </c>
      <c r="D53" s="234">
        <v>1001</v>
      </c>
      <c r="E53" s="235">
        <v>2</v>
      </c>
      <c r="F53" s="235">
        <v>0</v>
      </c>
      <c r="G53" s="157">
        <v>0</v>
      </c>
      <c r="H53" s="43">
        <v>0</v>
      </c>
      <c r="I53" s="235">
        <v>999</v>
      </c>
      <c r="J53" s="198" t="b">
        <v>1</v>
      </c>
      <c r="K53" s="235">
        <v>20</v>
      </c>
      <c r="L53" s="198">
        <v>40</v>
      </c>
      <c r="M53" s="198">
        <v>60</v>
      </c>
      <c r="N53" s="235">
        <v>0</v>
      </c>
      <c r="O53" s="235">
        <v>0</v>
      </c>
      <c r="P53" s="238">
        <v>1</v>
      </c>
      <c r="Q53" s="198">
        <v>0</v>
      </c>
      <c r="R53" s="198">
        <v>0</v>
      </c>
      <c r="S53" s="198">
        <v>0</v>
      </c>
      <c r="T53" s="43" t="s">
        <v>7523</v>
      </c>
      <c r="U53" s="198">
        <v>0</v>
      </c>
      <c r="V53" s="5" t="s">
        <v>7524</v>
      </c>
      <c r="W53" s="43">
        <v>0</v>
      </c>
      <c r="X53" s="197">
        <v>1</v>
      </c>
      <c r="Y53" s="197">
        <v>1</v>
      </c>
    </row>
    <row r="54" spans="1:25" x14ac:dyDescent="0.15">
      <c r="A54" s="198">
        <v>908061</v>
      </c>
      <c r="B54" s="43" t="s">
        <v>7525</v>
      </c>
      <c r="C54" s="236" t="s">
        <v>7374</v>
      </c>
      <c r="D54" s="234">
        <v>1001</v>
      </c>
      <c r="E54" s="235">
        <v>2</v>
      </c>
      <c r="F54" s="235">
        <v>0</v>
      </c>
      <c r="G54" s="157">
        <v>0</v>
      </c>
      <c r="H54" s="43">
        <v>0</v>
      </c>
      <c r="I54" s="235">
        <v>999</v>
      </c>
      <c r="J54" s="198" t="b">
        <v>1</v>
      </c>
      <c r="K54" s="235">
        <v>5</v>
      </c>
      <c r="L54" s="198">
        <v>10</v>
      </c>
      <c r="M54" s="198">
        <v>15</v>
      </c>
      <c r="N54" s="235">
        <v>0</v>
      </c>
      <c r="O54" s="235">
        <v>0</v>
      </c>
      <c r="P54" s="238">
        <v>1</v>
      </c>
      <c r="Q54" s="198">
        <v>0</v>
      </c>
      <c r="R54" s="198">
        <v>0</v>
      </c>
      <c r="S54" s="198">
        <v>0</v>
      </c>
      <c r="T54" s="43" t="s">
        <v>7526</v>
      </c>
      <c r="U54" s="198">
        <v>0</v>
      </c>
      <c r="V54" s="5" t="s">
        <v>7527</v>
      </c>
      <c r="W54" s="43">
        <v>0</v>
      </c>
      <c r="X54" s="197">
        <v>0</v>
      </c>
      <c r="Y54" s="197">
        <v>1</v>
      </c>
    </row>
    <row r="55" spans="1:25" x14ac:dyDescent="0.15">
      <c r="A55" s="198">
        <v>908062</v>
      </c>
      <c r="B55" s="43" t="s">
        <v>7528</v>
      </c>
      <c r="C55" s="236" t="s">
        <v>7374</v>
      </c>
      <c r="D55" s="234">
        <v>1001</v>
      </c>
      <c r="E55" s="235">
        <v>2</v>
      </c>
      <c r="F55" s="235">
        <v>0</v>
      </c>
      <c r="G55" s="157">
        <v>0</v>
      </c>
      <c r="H55" s="43">
        <v>0</v>
      </c>
      <c r="I55" s="235">
        <v>999</v>
      </c>
      <c r="J55" s="198" t="b">
        <v>1</v>
      </c>
      <c r="K55" s="235">
        <v>600</v>
      </c>
      <c r="L55" s="235">
        <v>1200</v>
      </c>
      <c r="M55" s="235">
        <v>1800</v>
      </c>
      <c r="N55" s="235">
        <v>0</v>
      </c>
      <c r="O55" s="235">
        <v>0</v>
      </c>
      <c r="P55" s="238">
        <v>1</v>
      </c>
      <c r="Q55" s="198">
        <v>0</v>
      </c>
      <c r="R55" s="198">
        <v>0</v>
      </c>
      <c r="S55" s="198">
        <v>0</v>
      </c>
      <c r="T55" s="43" t="s">
        <v>7529</v>
      </c>
      <c r="U55" s="198">
        <v>0</v>
      </c>
      <c r="V55" s="5" t="s">
        <v>7530</v>
      </c>
      <c r="W55" s="43">
        <v>0</v>
      </c>
      <c r="X55" s="197">
        <v>0</v>
      </c>
      <c r="Y55" s="197">
        <v>1</v>
      </c>
    </row>
    <row r="56" spans="1:25" x14ac:dyDescent="0.15">
      <c r="A56" s="198">
        <v>908178</v>
      </c>
      <c r="B56" s="43" t="s">
        <v>7531</v>
      </c>
      <c r="C56" s="236" t="s">
        <v>7374</v>
      </c>
      <c r="D56" s="234">
        <v>1001</v>
      </c>
      <c r="E56" s="235">
        <v>5</v>
      </c>
      <c r="F56" s="235">
        <v>0</v>
      </c>
      <c r="G56" s="157">
        <v>28</v>
      </c>
      <c r="H56" s="43">
        <v>0</v>
      </c>
      <c r="I56" s="235">
        <v>999</v>
      </c>
      <c r="J56" s="198" t="b">
        <v>1</v>
      </c>
      <c r="K56" s="235">
        <v>100</v>
      </c>
      <c r="L56" s="235">
        <v>200</v>
      </c>
      <c r="M56" s="235">
        <v>300</v>
      </c>
      <c r="N56" s="235">
        <v>0</v>
      </c>
      <c r="O56" s="235">
        <v>0</v>
      </c>
      <c r="P56" s="238">
        <v>1</v>
      </c>
      <c r="Q56" s="198">
        <v>0</v>
      </c>
      <c r="R56" s="198">
        <v>0</v>
      </c>
      <c r="S56" s="198">
        <v>0</v>
      </c>
      <c r="T56" s="43" t="s">
        <v>7532</v>
      </c>
      <c r="U56" s="198">
        <v>0</v>
      </c>
      <c r="V56" s="5" t="s">
        <v>7533</v>
      </c>
      <c r="W56" s="43">
        <v>0</v>
      </c>
      <c r="X56" s="197">
        <v>1</v>
      </c>
      <c r="Y56" s="197">
        <v>1</v>
      </c>
    </row>
    <row r="57" spans="1:25" x14ac:dyDescent="0.15">
      <c r="A57" s="198">
        <v>908179</v>
      </c>
      <c r="B57" s="43" t="s">
        <v>7534</v>
      </c>
      <c r="C57" s="236" t="s">
        <v>7374</v>
      </c>
      <c r="D57" s="234">
        <v>1001</v>
      </c>
      <c r="E57" s="235">
        <v>5</v>
      </c>
      <c r="F57" s="235">
        <v>0</v>
      </c>
      <c r="G57" s="157">
        <v>28</v>
      </c>
      <c r="H57" s="43">
        <v>0</v>
      </c>
      <c r="I57" s="235">
        <v>999</v>
      </c>
      <c r="J57" s="198" t="b">
        <v>1</v>
      </c>
      <c r="K57" s="235">
        <v>100</v>
      </c>
      <c r="L57" s="235">
        <v>200</v>
      </c>
      <c r="M57" s="235">
        <v>300</v>
      </c>
      <c r="N57" s="235">
        <v>0</v>
      </c>
      <c r="O57" s="235">
        <v>0</v>
      </c>
      <c r="P57" s="238">
        <v>1</v>
      </c>
      <c r="Q57" s="198">
        <v>0</v>
      </c>
      <c r="R57" s="198">
        <v>0</v>
      </c>
      <c r="S57" s="198">
        <v>0</v>
      </c>
      <c r="T57" s="43" t="s">
        <v>7535</v>
      </c>
      <c r="U57" s="198">
        <v>0</v>
      </c>
      <c r="V57" s="5" t="s">
        <v>7536</v>
      </c>
      <c r="W57" s="43">
        <v>0</v>
      </c>
      <c r="X57" s="197">
        <v>1</v>
      </c>
      <c r="Y57" s="197">
        <v>1</v>
      </c>
    </row>
    <row r="58" spans="1:25" x14ac:dyDescent="0.15">
      <c r="A58" s="198">
        <v>908180</v>
      </c>
      <c r="B58" s="43" t="s">
        <v>7537</v>
      </c>
      <c r="C58" s="236" t="s">
        <v>7374</v>
      </c>
      <c r="D58" s="234">
        <v>1001</v>
      </c>
      <c r="E58" s="235">
        <v>5</v>
      </c>
      <c r="F58" s="235">
        <v>0</v>
      </c>
      <c r="G58" s="157">
        <v>28</v>
      </c>
      <c r="H58" s="43">
        <v>0</v>
      </c>
      <c r="I58" s="235">
        <v>999</v>
      </c>
      <c r="J58" s="198" t="b">
        <v>1</v>
      </c>
      <c r="K58" s="235">
        <v>100</v>
      </c>
      <c r="L58" s="235">
        <v>200</v>
      </c>
      <c r="M58" s="235">
        <v>300</v>
      </c>
      <c r="N58" s="235">
        <v>0</v>
      </c>
      <c r="O58" s="235">
        <v>0</v>
      </c>
      <c r="P58" s="238">
        <v>1</v>
      </c>
      <c r="Q58" s="198">
        <v>0</v>
      </c>
      <c r="R58" s="198">
        <v>0</v>
      </c>
      <c r="S58" s="198">
        <v>0</v>
      </c>
      <c r="T58" s="43" t="s">
        <v>7538</v>
      </c>
      <c r="U58" s="198">
        <v>0</v>
      </c>
      <c r="V58" s="5" t="s">
        <v>7539</v>
      </c>
      <c r="W58" s="43">
        <v>0</v>
      </c>
      <c r="X58" s="197">
        <v>1</v>
      </c>
      <c r="Y58" s="197">
        <v>1</v>
      </c>
    </row>
    <row r="59" spans="1:25" x14ac:dyDescent="0.15">
      <c r="A59" s="198">
        <v>908181</v>
      </c>
      <c r="B59" s="43" t="s">
        <v>7540</v>
      </c>
      <c r="C59" s="236" t="s">
        <v>7374</v>
      </c>
      <c r="D59" s="234">
        <v>1001</v>
      </c>
      <c r="E59" s="235">
        <v>5</v>
      </c>
      <c r="F59" s="235">
        <v>0</v>
      </c>
      <c r="G59" s="157">
        <v>28</v>
      </c>
      <c r="H59" s="43">
        <v>0</v>
      </c>
      <c r="I59" s="235">
        <v>999</v>
      </c>
      <c r="J59" s="198" t="b">
        <v>1</v>
      </c>
      <c r="K59" s="235">
        <v>100</v>
      </c>
      <c r="L59" s="235">
        <v>200</v>
      </c>
      <c r="M59" s="235">
        <v>300</v>
      </c>
      <c r="N59" s="235">
        <v>0</v>
      </c>
      <c r="O59" s="235">
        <v>0</v>
      </c>
      <c r="P59" s="238">
        <v>1</v>
      </c>
      <c r="Q59" s="198">
        <v>0</v>
      </c>
      <c r="R59" s="198">
        <v>0</v>
      </c>
      <c r="S59" s="198">
        <v>0</v>
      </c>
      <c r="T59" s="43" t="s">
        <v>7541</v>
      </c>
      <c r="U59" s="198">
        <v>0</v>
      </c>
      <c r="V59" s="5" t="s">
        <v>3704</v>
      </c>
      <c r="W59" s="43">
        <v>0</v>
      </c>
      <c r="X59" s="197">
        <v>1</v>
      </c>
      <c r="Y59" s="197">
        <v>1</v>
      </c>
    </row>
    <row r="60" spans="1:25" x14ac:dyDescent="0.15">
      <c r="A60" s="198">
        <v>908182</v>
      </c>
      <c r="B60" s="43" t="s">
        <v>7542</v>
      </c>
      <c r="C60" s="236" t="s">
        <v>7374</v>
      </c>
      <c r="D60" s="234">
        <v>1001</v>
      </c>
      <c r="E60" s="235">
        <v>5</v>
      </c>
      <c r="F60" s="235">
        <v>0</v>
      </c>
      <c r="G60" s="157">
        <v>28</v>
      </c>
      <c r="H60" s="43">
        <v>0</v>
      </c>
      <c r="I60" s="235">
        <v>999</v>
      </c>
      <c r="J60" s="198" t="b">
        <v>1</v>
      </c>
      <c r="K60" s="235">
        <v>100</v>
      </c>
      <c r="L60" s="235">
        <v>200</v>
      </c>
      <c r="M60" s="235">
        <v>300</v>
      </c>
      <c r="N60" s="235">
        <v>0</v>
      </c>
      <c r="O60" s="235">
        <v>0</v>
      </c>
      <c r="P60" s="238">
        <v>1</v>
      </c>
      <c r="Q60" s="198">
        <v>0</v>
      </c>
      <c r="R60" s="198">
        <v>0</v>
      </c>
      <c r="S60" s="198">
        <v>0</v>
      </c>
      <c r="T60" s="43" t="s">
        <v>7543</v>
      </c>
      <c r="U60" s="198">
        <v>0</v>
      </c>
      <c r="V60" s="5" t="s">
        <v>3764</v>
      </c>
      <c r="W60" s="43">
        <v>0</v>
      </c>
      <c r="X60" s="197">
        <v>1</v>
      </c>
      <c r="Y60" s="197">
        <v>1</v>
      </c>
    </row>
    <row r="61" spans="1:25" x14ac:dyDescent="0.15">
      <c r="A61" s="198">
        <v>908183</v>
      </c>
      <c r="B61" s="43" t="s">
        <v>7544</v>
      </c>
      <c r="C61" s="236" t="s">
        <v>7374</v>
      </c>
      <c r="D61" s="234">
        <v>1001</v>
      </c>
      <c r="E61" s="235">
        <v>5</v>
      </c>
      <c r="F61" s="235">
        <v>0</v>
      </c>
      <c r="G61" s="157">
        <v>31</v>
      </c>
      <c r="H61" s="43">
        <v>0</v>
      </c>
      <c r="I61" s="235">
        <v>999</v>
      </c>
      <c r="J61" s="198" t="b">
        <v>1</v>
      </c>
      <c r="K61" s="235">
        <v>100</v>
      </c>
      <c r="L61" s="235">
        <v>200</v>
      </c>
      <c r="M61" s="235">
        <v>300</v>
      </c>
      <c r="N61" s="235">
        <v>0</v>
      </c>
      <c r="O61" s="235">
        <v>0</v>
      </c>
      <c r="P61" s="238">
        <v>1</v>
      </c>
      <c r="Q61" s="198">
        <v>0</v>
      </c>
      <c r="R61" s="198">
        <v>0</v>
      </c>
      <c r="S61" s="198">
        <v>0</v>
      </c>
      <c r="T61" s="43" t="s">
        <v>7545</v>
      </c>
      <c r="U61" s="198">
        <v>0</v>
      </c>
      <c r="V61" s="5" t="s">
        <v>7546</v>
      </c>
      <c r="W61" s="43">
        <v>0</v>
      </c>
      <c r="X61" s="197">
        <v>1</v>
      </c>
      <c r="Y61" s="197">
        <v>1</v>
      </c>
    </row>
    <row r="62" spans="1:25" x14ac:dyDescent="0.15">
      <c r="A62" s="198">
        <v>908184</v>
      </c>
      <c r="B62" s="43" t="s">
        <v>7547</v>
      </c>
      <c r="C62" s="236" t="s">
        <v>7374</v>
      </c>
      <c r="D62" s="234">
        <v>1001</v>
      </c>
      <c r="E62" s="235">
        <v>5</v>
      </c>
      <c r="F62" s="235">
        <v>0</v>
      </c>
      <c r="G62" s="157">
        <v>31</v>
      </c>
      <c r="H62" s="43">
        <v>0</v>
      </c>
      <c r="I62" s="235">
        <v>999</v>
      </c>
      <c r="J62" s="198" t="b">
        <v>1</v>
      </c>
      <c r="K62" s="235">
        <v>100</v>
      </c>
      <c r="L62" s="235">
        <v>200</v>
      </c>
      <c r="M62" s="235">
        <v>300</v>
      </c>
      <c r="N62" s="235">
        <v>0</v>
      </c>
      <c r="O62" s="235">
        <v>0</v>
      </c>
      <c r="P62" s="238">
        <v>1</v>
      </c>
      <c r="Q62" s="198">
        <v>0</v>
      </c>
      <c r="R62" s="198">
        <v>0</v>
      </c>
      <c r="S62" s="198">
        <v>0</v>
      </c>
      <c r="T62" s="43" t="s">
        <v>7548</v>
      </c>
      <c r="U62" s="198">
        <v>0</v>
      </c>
      <c r="V62" s="5" t="s">
        <v>7549</v>
      </c>
      <c r="W62" s="43">
        <v>0</v>
      </c>
      <c r="X62" s="197">
        <v>1</v>
      </c>
      <c r="Y62" s="197">
        <v>1</v>
      </c>
    </row>
    <row r="63" spans="1:25" x14ac:dyDescent="0.15">
      <c r="A63" s="198">
        <v>908185</v>
      </c>
      <c r="B63" s="43" t="s">
        <v>7550</v>
      </c>
      <c r="C63" s="236" t="s">
        <v>7374</v>
      </c>
      <c r="D63" s="234">
        <v>1001</v>
      </c>
      <c r="E63" s="235">
        <v>5</v>
      </c>
      <c r="F63" s="235">
        <v>0</v>
      </c>
      <c r="G63" s="157">
        <v>31</v>
      </c>
      <c r="H63" s="43">
        <v>0</v>
      </c>
      <c r="I63" s="235">
        <v>999</v>
      </c>
      <c r="J63" s="198" t="b">
        <v>1</v>
      </c>
      <c r="K63" s="235">
        <v>100</v>
      </c>
      <c r="L63" s="235">
        <v>200</v>
      </c>
      <c r="M63" s="235">
        <v>300</v>
      </c>
      <c r="N63" s="235">
        <v>0</v>
      </c>
      <c r="O63" s="235">
        <v>0</v>
      </c>
      <c r="P63" s="238">
        <v>1</v>
      </c>
      <c r="Q63" s="198">
        <v>0</v>
      </c>
      <c r="R63" s="198">
        <v>0</v>
      </c>
      <c r="S63" s="198">
        <v>0</v>
      </c>
      <c r="T63" s="43" t="s">
        <v>7551</v>
      </c>
      <c r="U63" s="198">
        <v>0</v>
      </c>
      <c r="V63" s="5" t="s">
        <v>7552</v>
      </c>
      <c r="W63" s="43">
        <v>0</v>
      </c>
      <c r="X63" s="197">
        <v>1</v>
      </c>
      <c r="Y63" s="197">
        <v>1</v>
      </c>
    </row>
    <row r="64" spans="1:25" x14ac:dyDescent="0.15">
      <c r="A64" s="198">
        <v>908186</v>
      </c>
      <c r="B64" s="43" t="s">
        <v>7553</v>
      </c>
      <c r="C64" s="236" t="s">
        <v>7374</v>
      </c>
      <c r="D64" s="234">
        <v>1001</v>
      </c>
      <c r="E64" s="235">
        <v>5</v>
      </c>
      <c r="F64" s="235">
        <v>0</v>
      </c>
      <c r="G64" s="157">
        <v>31</v>
      </c>
      <c r="H64" s="43">
        <v>0</v>
      </c>
      <c r="I64" s="235">
        <v>999</v>
      </c>
      <c r="J64" s="198" t="b">
        <v>1</v>
      </c>
      <c r="K64" s="235">
        <v>100</v>
      </c>
      <c r="L64" s="235">
        <v>200</v>
      </c>
      <c r="M64" s="235">
        <v>300</v>
      </c>
      <c r="N64" s="235">
        <v>0</v>
      </c>
      <c r="O64" s="235">
        <v>0</v>
      </c>
      <c r="P64" s="238">
        <v>1</v>
      </c>
      <c r="Q64" s="198">
        <v>0</v>
      </c>
      <c r="R64" s="198">
        <v>0</v>
      </c>
      <c r="S64" s="198">
        <v>0</v>
      </c>
      <c r="T64" s="43" t="s">
        <v>7554</v>
      </c>
      <c r="U64" s="198">
        <v>0</v>
      </c>
      <c r="V64" s="5" t="s">
        <v>7555</v>
      </c>
      <c r="W64" s="43">
        <v>0</v>
      </c>
      <c r="X64" s="197">
        <v>1</v>
      </c>
      <c r="Y64" s="197">
        <v>1</v>
      </c>
    </row>
    <row r="65" spans="1:25" x14ac:dyDescent="0.15">
      <c r="A65" s="198">
        <v>908215</v>
      </c>
      <c r="B65" s="43" t="s">
        <v>7556</v>
      </c>
      <c r="C65" s="236" t="s">
        <v>7374</v>
      </c>
      <c r="D65" s="234">
        <v>1001</v>
      </c>
      <c r="E65" s="235">
        <v>4</v>
      </c>
      <c r="F65" s="235">
        <v>0</v>
      </c>
      <c r="G65" s="157">
        <v>28</v>
      </c>
      <c r="H65" s="43">
        <v>0</v>
      </c>
      <c r="I65" s="235">
        <v>999</v>
      </c>
      <c r="J65" s="198" t="b">
        <v>1</v>
      </c>
      <c r="K65" s="235">
        <v>100</v>
      </c>
      <c r="L65" s="235">
        <v>200</v>
      </c>
      <c r="M65" s="235">
        <v>300</v>
      </c>
      <c r="N65" s="235">
        <v>0</v>
      </c>
      <c r="O65" s="235">
        <v>0</v>
      </c>
      <c r="P65" s="238">
        <v>1</v>
      </c>
      <c r="Q65" s="198">
        <v>0</v>
      </c>
      <c r="R65" s="198">
        <v>0</v>
      </c>
      <c r="S65" s="198">
        <v>0</v>
      </c>
      <c r="T65" s="43" t="s">
        <v>7557</v>
      </c>
      <c r="U65" s="198">
        <v>0</v>
      </c>
      <c r="V65" s="5" t="s">
        <v>7461</v>
      </c>
      <c r="W65" s="43">
        <v>0</v>
      </c>
      <c r="X65" s="197">
        <v>1</v>
      </c>
      <c r="Y65" s="197">
        <v>1</v>
      </c>
    </row>
    <row r="66" spans="1:25" x14ac:dyDescent="0.15">
      <c r="A66" s="198">
        <v>908216</v>
      </c>
      <c r="B66" s="43" t="s">
        <v>7558</v>
      </c>
      <c r="C66" s="236" t="s">
        <v>7374</v>
      </c>
      <c r="D66" s="234">
        <v>1001</v>
      </c>
      <c r="E66" s="235">
        <v>4</v>
      </c>
      <c r="F66" s="235">
        <v>0</v>
      </c>
      <c r="G66" s="157">
        <v>28</v>
      </c>
      <c r="H66" s="43">
        <v>0</v>
      </c>
      <c r="I66" s="235">
        <v>999</v>
      </c>
      <c r="J66" s="198" t="b">
        <v>1</v>
      </c>
      <c r="K66" s="235">
        <v>100</v>
      </c>
      <c r="L66" s="235">
        <v>200</v>
      </c>
      <c r="M66" s="235">
        <v>300</v>
      </c>
      <c r="N66" s="235">
        <v>0</v>
      </c>
      <c r="O66" s="235">
        <v>0</v>
      </c>
      <c r="P66" s="238">
        <v>1</v>
      </c>
      <c r="Q66" s="198">
        <v>0</v>
      </c>
      <c r="R66" s="198">
        <v>0</v>
      </c>
      <c r="S66" s="198">
        <v>0</v>
      </c>
      <c r="T66" s="43" t="s">
        <v>7559</v>
      </c>
      <c r="U66" s="198">
        <v>0</v>
      </c>
      <c r="V66" s="5" t="s">
        <v>3395</v>
      </c>
      <c r="W66" s="43">
        <v>0</v>
      </c>
      <c r="X66" s="197">
        <v>1</v>
      </c>
      <c r="Y66" s="197">
        <v>1</v>
      </c>
    </row>
    <row r="67" spans="1:25" x14ac:dyDescent="0.15">
      <c r="A67" s="198">
        <v>908217</v>
      </c>
      <c r="B67" s="43" t="s">
        <v>7560</v>
      </c>
      <c r="C67" s="236" t="s">
        <v>7374</v>
      </c>
      <c r="D67" s="234">
        <v>1001</v>
      </c>
      <c r="E67" s="235">
        <v>4</v>
      </c>
      <c r="F67" s="235">
        <v>0</v>
      </c>
      <c r="G67" s="157">
        <v>28</v>
      </c>
      <c r="H67" s="43">
        <v>0</v>
      </c>
      <c r="I67" s="235">
        <v>999</v>
      </c>
      <c r="J67" s="198" t="b">
        <v>1</v>
      </c>
      <c r="K67" s="235">
        <v>100</v>
      </c>
      <c r="L67" s="235">
        <v>200</v>
      </c>
      <c r="M67" s="235">
        <v>300</v>
      </c>
      <c r="N67" s="235">
        <v>0</v>
      </c>
      <c r="O67" s="235">
        <v>0</v>
      </c>
      <c r="P67" s="238">
        <v>1</v>
      </c>
      <c r="Q67" s="198">
        <v>0</v>
      </c>
      <c r="R67" s="198">
        <v>0</v>
      </c>
      <c r="S67" s="198">
        <v>0</v>
      </c>
      <c r="T67" s="43" t="s">
        <v>7561</v>
      </c>
      <c r="U67" s="198">
        <v>0</v>
      </c>
      <c r="V67" s="5" t="s">
        <v>7562</v>
      </c>
      <c r="W67" s="43">
        <v>0</v>
      </c>
      <c r="X67" s="197">
        <v>1</v>
      </c>
      <c r="Y67" s="197">
        <v>1</v>
      </c>
    </row>
    <row r="68" spans="1:25" x14ac:dyDescent="0.15">
      <c r="A68" s="198">
        <v>908177</v>
      </c>
      <c r="B68" s="43" t="s">
        <v>7563</v>
      </c>
      <c r="C68" s="236" t="s">
        <v>7374</v>
      </c>
      <c r="D68" s="234">
        <v>1001</v>
      </c>
      <c r="E68" s="235">
        <v>7</v>
      </c>
      <c r="F68" s="235">
        <v>0</v>
      </c>
      <c r="G68" s="157">
        <v>28</v>
      </c>
      <c r="H68" s="43">
        <v>0</v>
      </c>
      <c r="I68" s="235">
        <v>999</v>
      </c>
      <c r="J68" s="198" t="b">
        <v>0</v>
      </c>
      <c r="K68" s="235">
        <v>-1</v>
      </c>
      <c r="L68" s="235">
        <v>-2</v>
      </c>
      <c r="M68" s="235">
        <v>-3</v>
      </c>
      <c r="N68" s="235">
        <v>0</v>
      </c>
      <c r="O68" s="235">
        <v>0</v>
      </c>
      <c r="P68" s="238">
        <v>1</v>
      </c>
      <c r="Q68" s="198">
        <v>0</v>
      </c>
      <c r="R68" s="198">
        <v>0</v>
      </c>
      <c r="S68" s="198">
        <v>0</v>
      </c>
      <c r="T68" s="43" t="s">
        <v>7564</v>
      </c>
      <c r="U68" s="198">
        <v>0</v>
      </c>
      <c r="V68" s="5" t="s">
        <v>7565</v>
      </c>
      <c r="W68" s="43">
        <v>0</v>
      </c>
      <c r="X68" s="197">
        <v>1</v>
      </c>
      <c r="Y68" s="197">
        <v>1</v>
      </c>
    </row>
    <row r="69" spans="1:25" x14ac:dyDescent="0.15">
      <c r="A69" s="198">
        <v>907045</v>
      </c>
      <c r="B69" s="43" t="s">
        <v>7566</v>
      </c>
      <c r="C69" s="236" t="s">
        <v>7374</v>
      </c>
      <c r="D69" s="234">
        <v>1001</v>
      </c>
      <c r="E69" s="235">
        <v>2</v>
      </c>
      <c r="F69" s="235">
        <v>1</v>
      </c>
      <c r="G69" s="157">
        <v>0</v>
      </c>
      <c r="H69" s="43">
        <v>0</v>
      </c>
      <c r="I69" s="235">
        <v>999</v>
      </c>
      <c r="J69" s="198" t="b">
        <v>1</v>
      </c>
      <c r="K69" s="235">
        <v>1</v>
      </c>
      <c r="L69" s="235">
        <v>2</v>
      </c>
      <c r="M69" s="235">
        <v>3</v>
      </c>
      <c r="N69" s="235">
        <v>0</v>
      </c>
      <c r="O69" s="235">
        <v>0</v>
      </c>
      <c r="P69" s="238"/>
      <c r="Q69" s="198">
        <v>0</v>
      </c>
      <c r="R69" s="198">
        <v>0</v>
      </c>
      <c r="S69" s="198">
        <v>0</v>
      </c>
      <c r="T69" s="43" t="s">
        <v>7567</v>
      </c>
      <c r="U69" s="198">
        <v>0</v>
      </c>
      <c r="V69" s="5" t="s">
        <v>7568</v>
      </c>
      <c r="W69" s="43">
        <v>0</v>
      </c>
      <c r="X69" s="197">
        <v>1</v>
      </c>
      <c r="Y69" s="197">
        <v>1</v>
      </c>
    </row>
    <row r="70" spans="1:25" x14ac:dyDescent="0.15">
      <c r="A70" s="246">
        <v>907046</v>
      </c>
      <c r="B70" s="240" t="s">
        <v>7569</v>
      </c>
      <c r="C70" s="237" t="s">
        <v>7374</v>
      </c>
      <c r="D70" s="249">
        <v>1001</v>
      </c>
      <c r="E70" s="238">
        <v>2</v>
      </c>
      <c r="F70" s="238">
        <v>1</v>
      </c>
      <c r="G70" s="239">
        <v>0</v>
      </c>
      <c r="H70" s="240">
        <v>0</v>
      </c>
      <c r="I70" s="238">
        <v>999</v>
      </c>
      <c r="J70" s="246" t="b">
        <v>1</v>
      </c>
      <c r="K70" s="238">
        <v>1</v>
      </c>
      <c r="L70" s="238">
        <v>2</v>
      </c>
      <c r="M70" s="238">
        <v>3</v>
      </c>
      <c r="N70" s="238">
        <v>0</v>
      </c>
      <c r="O70" s="238">
        <v>0</v>
      </c>
      <c r="P70" s="238"/>
      <c r="Q70" s="246">
        <v>0</v>
      </c>
      <c r="R70" s="246">
        <v>0</v>
      </c>
      <c r="S70" s="246">
        <v>0</v>
      </c>
      <c r="T70" s="240" t="s">
        <v>7570</v>
      </c>
      <c r="U70" s="246">
        <v>0</v>
      </c>
      <c r="V70" s="5" t="s">
        <v>7571</v>
      </c>
      <c r="W70" s="240">
        <v>0</v>
      </c>
      <c r="X70" s="197">
        <v>1</v>
      </c>
      <c r="Y70" s="197">
        <v>1</v>
      </c>
    </row>
    <row r="71" spans="1:25" x14ac:dyDescent="0.15">
      <c r="A71" s="250">
        <v>907047</v>
      </c>
      <c r="B71" s="211" t="s">
        <v>7421</v>
      </c>
      <c r="C71" s="251" t="s">
        <v>7374</v>
      </c>
      <c r="D71" s="251">
        <v>1001</v>
      </c>
      <c r="E71" s="250">
        <v>2</v>
      </c>
      <c r="F71" s="250">
        <v>1</v>
      </c>
      <c r="G71" s="211">
        <v>0</v>
      </c>
      <c r="H71" s="104">
        <v>0</v>
      </c>
      <c r="I71" s="250">
        <v>999</v>
      </c>
      <c r="J71" s="250" t="b">
        <v>1</v>
      </c>
      <c r="K71" s="250">
        <v>5</v>
      </c>
      <c r="L71" s="250">
        <v>8</v>
      </c>
      <c r="M71" s="250">
        <v>10</v>
      </c>
      <c r="N71" s="250">
        <v>0</v>
      </c>
      <c r="O71" s="250">
        <v>0</v>
      </c>
      <c r="P71" s="250">
        <v>1</v>
      </c>
      <c r="Q71" s="250">
        <v>0</v>
      </c>
      <c r="R71" s="250">
        <v>0</v>
      </c>
      <c r="S71" s="250">
        <v>0</v>
      </c>
      <c r="T71" s="211" t="s">
        <v>7572</v>
      </c>
      <c r="U71" s="250">
        <v>0</v>
      </c>
      <c r="V71" s="104" t="s">
        <v>7573</v>
      </c>
      <c r="W71" s="104">
        <v>0</v>
      </c>
      <c r="X71" s="197">
        <v>1</v>
      </c>
      <c r="Y71" s="197">
        <v>1</v>
      </c>
    </row>
    <row r="72" spans="1:25" x14ac:dyDescent="0.15">
      <c r="A72" s="250">
        <v>907048</v>
      </c>
      <c r="B72" s="211" t="s">
        <v>7574</v>
      </c>
      <c r="C72" s="251" t="s">
        <v>7374</v>
      </c>
      <c r="D72" s="251">
        <v>1001</v>
      </c>
      <c r="E72" s="250">
        <v>4</v>
      </c>
      <c r="F72" s="250">
        <v>1</v>
      </c>
      <c r="G72" s="211">
        <v>0</v>
      </c>
      <c r="H72" s="104">
        <v>0</v>
      </c>
      <c r="I72" s="250">
        <v>999</v>
      </c>
      <c r="J72" s="250" t="b">
        <v>1</v>
      </c>
      <c r="K72" s="250">
        <v>10</v>
      </c>
      <c r="L72" s="250">
        <v>15</v>
      </c>
      <c r="M72" s="250">
        <v>20</v>
      </c>
      <c r="N72" s="250">
        <v>0</v>
      </c>
      <c r="O72" s="250">
        <v>0</v>
      </c>
      <c r="P72" s="250">
        <v>1</v>
      </c>
      <c r="Q72" s="250">
        <v>0</v>
      </c>
      <c r="R72" s="250">
        <v>0</v>
      </c>
      <c r="S72" s="250">
        <v>0</v>
      </c>
      <c r="T72" s="211" t="s">
        <v>7575</v>
      </c>
      <c r="U72" s="250">
        <v>0</v>
      </c>
      <c r="V72" s="104" t="s">
        <v>7576</v>
      </c>
      <c r="W72" s="104">
        <v>0</v>
      </c>
      <c r="X72" s="197">
        <v>1</v>
      </c>
      <c r="Y72" s="197">
        <v>1</v>
      </c>
    </row>
    <row r="73" spans="1:25" x14ac:dyDescent="0.15">
      <c r="A73" s="250">
        <v>907049</v>
      </c>
      <c r="B73" s="211" t="s">
        <v>7577</v>
      </c>
      <c r="C73" s="251" t="s">
        <v>7374</v>
      </c>
      <c r="D73" s="251">
        <v>1001</v>
      </c>
      <c r="E73" s="250">
        <v>6</v>
      </c>
      <c r="F73" s="250">
        <v>1</v>
      </c>
      <c r="G73" s="211">
        <v>0</v>
      </c>
      <c r="H73" s="104">
        <v>0</v>
      </c>
      <c r="I73" s="250">
        <v>999</v>
      </c>
      <c r="J73" s="250" t="b">
        <v>1</v>
      </c>
      <c r="K73" s="250">
        <v>30</v>
      </c>
      <c r="L73" s="250">
        <v>40</v>
      </c>
      <c r="M73" s="250">
        <v>50</v>
      </c>
      <c r="N73" s="250">
        <v>0</v>
      </c>
      <c r="O73" s="250">
        <v>0</v>
      </c>
      <c r="P73" s="250">
        <v>1</v>
      </c>
      <c r="Q73" s="250">
        <v>0</v>
      </c>
      <c r="R73" s="250">
        <v>0</v>
      </c>
      <c r="S73" s="250">
        <v>0</v>
      </c>
      <c r="T73" s="211" t="s">
        <v>7578</v>
      </c>
      <c r="U73" s="250">
        <v>0</v>
      </c>
      <c r="V73" s="104" t="s">
        <v>7579</v>
      </c>
      <c r="W73" s="104">
        <v>0</v>
      </c>
      <c r="X73" s="197">
        <v>1</v>
      </c>
      <c r="Y73" s="197">
        <v>1</v>
      </c>
    </row>
    <row r="74" spans="1:25" x14ac:dyDescent="0.15">
      <c r="A74" s="250">
        <v>907050</v>
      </c>
      <c r="B74" s="211" t="s">
        <v>7580</v>
      </c>
      <c r="C74" s="251" t="s">
        <v>7374</v>
      </c>
      <c r="D74" s="251">
        <v>1001</v>
      </c>
      <c r="E74" s="250">
        <v>2</v>
      </c>
      <c r="F74" s="250">
        <v>1</v>
      </c>
      <c r="G74" s="211">
        <v>0</v>
      </c>
      <c r="H74" s="104">
        <v>0</v>
      </c>
      <c r="I74" s="250">
        <v>999</v>
      </c>
      <c r="J74" s="250" t="b">
        <v>1</v>
      </c>
      <c r="K74" s="250">
        <v>5</v>
      </c>
      <c r="L74" s="250">
        <v>8</v>
      </c>
      <c r="M74" s="250">
        <v>10</v>
      </c>
      <c r="N74" s="250">
        <v>0</v>
      </c>
      <c r="O74" s="250">
        <v>0</v>
      </c>
      <c r="P74" s="250">
        <v>1</v>
      </c>
      <c r="Q74" s="250">
        <v>0</v>
      </c>
      <c r="R74" s="250">
        <v>0</v>
      </c>
      <c r="S74" s="250">
        <v>0</v>
      </c>
      <c r="T74" s="211" t="s">
        <v>7581</v>
      </c>
      <c r="U74" s="250">
        <v>0</v>
      </c>
      <c r="V74" s="104" t="s">
        <v>7582</v>
      </c>
      <c r="W74" s="104">
        <v>0</v>
      </c>
      <c r="X74" s="197">
        <v>1</v>
      </c>
      <c r="Y74" s="197">
        <v>1</v>
      </c>
    </row>
    <row r="75" spans="1:25" x14ac:dyDescent="0.15">
      <c r="A75" s="250">
        <v>907051</v>
      </c>
      <c r="B75" s="211" t="s">
        <v>7583</v>
      </c>
      <c r="C75" s="251" t="s">
        <v>7374</v>
      </c>
      <c r="D75" s="251">
        <v>1001</v>
      </c>
      <c r="E75" s="250">
        <v>4</v>
      </c>
      <c r="F75" s="250">
        <v>1</v>
      </c>
      <c r="G75" s="211">
        <v>0</v>
      </c>
      <c r="H75" s="104">
        <v>0</v>
      </c>
      <c r="I75" s="250">
        <v>999</v>
      </c>
      <c r="J75" s="250" t="b">
        <v>1</v>
      </c>
      <c r="K75" s="250">
        <v>10</v>
      </c>
      <c r="L75" s="250">
        <v>15</v>
      </c>
      <c r="M75" s="250">
        <v>20</v>
      </c>
      <c r="N75" s="250">
        <v>0</v>
      </c>
      <c r="O75" s="250">
        <v>0</v>
      </c>
      <c r="P75" s="250">
        <v>1</v>
      </c>
      <c r="Q75" s="250">
        <v>0</v>
      </c>
      <c r="R75" s="250">
        <v>0</v>
      </c>
      <c r="S75" s="250">
        <v>0</v>
      </c>
      <c r="T75" s="211" t="s">
        <v>7584</v>
      </c>
      <c r="U75" s="250">
        <v>0</v>
      </c>
      <c r="V75" s="104" t="s">
        <v>7585</v>
      </c>
      <c r="W75" s="104">
        <v>0</v>
      </c>
      <c r="X75" s="197">
        <v>1</v>
      </c>
      <c r="Y75" s="197">
        <v>1</v>
      </c>
    </row>
    <row r="76" spans="1:25" x14ac:dyDescent="0.15">
      <c r="A76" s="250">
        <v>907052</v>
      </c>
      <c r="B76" s="211" t="s">
        <v>7586</v>
      </c>
      <c r="C76" s="251" t="s">
        <v>7374</v>
      </c>
      <c r="D76" s="251">
        <v>1001</v>
      </c>
      <c r="E76" s="250">
        <v>6</v>
      </c>
      <c r="F76" s="250">
        <v>1</v>
      </c>
      <c r="G76" s="211">
        <v>0</v>
      </c>
      <c r="H76" s="104">
        <v>0</v>
      </c>
      <c r="I76" s="250">
        <v>999</v>
      </c>
      <c r="J76" s="250" t="b">
        <v>1</v>
      </c>
      <c r="K76" s="250">
        <v>30</v>
      </c>
      <c r="L76" s="250">
        <v>40</v>
      </c>
      <c r="M76" s="250">
        <v>50</v>
      </c>
      <c r="N76" s="250">
        <v>0</v>
      </c>
      <c r="O76" s="250">
        <v>0</v>
      </c>
      <c r="P76" s="250">
        <v>1</v>
      </c>
      <c r="Q76" s="250">
        <v>0</v>
      </c>
      <c r="R76" s="250">
        <v>0</v>
      </c>
      <c r="S76" s="250">
        <v>0</v>
      </c>
      <c r="T76" s="211" t="s">
        <v>7587</v>
      </c>
      <c r="U76" s="250">
        <v>0</v>
      </c>
      <c r="V76" s="104" t="s">
        <v>7588</v>
      </c>
      <c r="W76" s="104">
        <v>0</v>
      </c>
      <c r="X76" s="197">
        <v>1</v>
      </c>
      <c r="Y76" s="197">
        <v>1</v>
      </c>
    </row>
    <row r="77" spans="1:25" x14ac:dyDescent="0.15">
      <c r="A77" s="250">
        <v>907053</v>
      </c>
      <c r="B77" s="211" t="s">
        <v>7589</v>
      </c>
      <c r="C77" s="251" t="s">
        <v>7374</v>
      </c>
      <c r="D77" s="251">
        <v>1001</v>
      </c>
      <c r="E77" s="250">
        <v>2</v>
      </c>
      <c r="F77" s="250">
        <v>1</v>
      </c>
      <c r="G77" s="211">
        <v>0</v>
      </c>
      <c r="H77" s="104">
        <v>0</v>
      </c>
      <c r="I77" s="250">
        <v>999</v>
      </c>
      <c r="J77" s="250" t="b">
        <v>1</v>
      </c>
      <c r="K77" s="250">
        <v>5</v>
      </c>
      <c r="L77" s="250">
        <v>8</v>
      </c>
      <c r="M77" s="250">
        <v>10</v>
      </c>
      <c r="N77" s="250">
        <v>0</v>
      </c>
      <c r="O77" s="250">
        <v>0</v>
      </c>
      <c r="P77" s="250">
        <v>1</v>
      </c>
      <c r="Q77" s="250">
        <v>0</v>
      </c>
      <c r="R77" s="250">
        <v>0</v>
      </c>
      <c r="S77" s="250">
        <v>0</v>
      </c>
      <c r="T77" s="211" t="s">
        <v>7590</v>
      </c>
      <c r="U77" s="250">
        <v>0</v>
      </c>
      <c r="V77" s="104" t="s">
        <v>7591</v>
      </c>
      <c r="W77" s="104">
        <v>0</v>
      </c>
      <c r="X77" s="197">
        <v>1</v>
      </c>
      <c r="Y77" s="197">
        <v>1</v>
      </c>
    </row>
    <row r="78" spans="1:25" x14ac:dyDescent="0.15">
      <c r="A78" s="250">
        <v>907054</v>
      </c>
      <c r="B78" s="211" t="s">
        <v>7592</v>
      </c>
      <c r="C78" s="251" t="s">
        <v>7374</v>
      </c>
      <c r="D78" s="251">
        <v>1001</v>
      </c>
      <c r="E78" s="250">
        <v>4</v>
      </c>
      <c r="F78" s="250">
        <v>1</v>
      </c>
      <c r="G78" s="211">
        <v>0</v>
      </c>
      <c r="H78" s="104">
        <v>0</v>
      </c>
      <c r="I78" s="250">
        <v>999</v>
      </c>
      <c r="J78" s="250" t="b">
        <v>1</v>
      </c>
      <c r="K78" s="250">
        <v>10</v>
      </c>
      <c r="L78" s="250">
        <v>15</v>
      </c>
      <c r="M78" s="250">
        <v>20</v>
      </c>
      <c r="N78" s="250">
        <v>0</v>
      </c>
      <c r="O78" s="250">
        <v>0</v>
      </c>
      <c r="P78" s="250">
        <v>1</v>
      </c>
      <c r="Q78" s="250">
        <v>0</v>
      </c>
      <c r="R78" s="250">
        <v>0</v>
      </c>
      <c r="S78" s="250">
        <v>0</v>
      </c>
      <c r="T78" s="211" t="s">
        <v>7593</v>
      </c>
      <c r="U78" s="250">
        <v>0</v>
      </c>
      <c r="V78" s="104" t="s">
        <v>7594</v>
      </c>
      <c r="W78" s="104">
        <v>0</v>
      </c>
      <c r="X78" s="197">
        <v>1</v>
      </c>
      <c r="Y78" s="197">
        <v>1</v>
      </c>
    </row>
    <row r="79" spans="1:25" x14ac:dyDescent="0.15">
      <c r="A79" s="250">
        <v>907055</v>
      </c>
      <c r="B79" s="211" t="s">
        <v>7595</v>
      </c>
      <c r="C79" s="251" t="s">
        <v>7374</v>
      </c>
      <c r="D79" s="251">
        <v>1001</v>
      </c>
      <c r="E79" s="250">
        <v>6</v>
      </c>
      <c r="F79" s="250">
        <v>1</v>
      </c>
      <c r="G79" s="211">
        <v>0</v>
      </c>
      <c r="H79" s="104">
        <v>0</v>
      </c>
      <c r="I79" s="250">
        <v>999</v>
      </c>
      <c r="J79" s="250" t="b">
        <v>1</v>
      </c>
      <c r="K79" s="250">
        <v>30</v>
      </c>
      <c r="L79" s="250">
        <v>40</v>
      </c>
      <c r="M79" s="250">
        <v>50</v>
      </c>
      <c r="N79" s="250">
        <v>0</v>
      </c>
      <c r="O79" s="250">
        <v>0</v>
      </c>
      <c r="P79" s="250">
        <v>1</v>
      </c>
      <c r="Q79" s="250">
        <v>0</v>
      </c>
      <c r="R79" s="250">
        <v>0</v>
      </c>
      <c r="S79" s="250">
        <v>0</v>
      </c>
      <c r="T79" s="211" t="s">
        <v>7596</v>
      </c>
      <c r="U79" s="250">
        <v>0</v>
      </c>
      <c r="V79" s="104" t="s">
        <v>7597</v>
      </c>
      <c r="W79" s="104">
        <v>0</v>
      </c>
      <c r="X79" s="197">
        <v>1</v>
      </c>
      <c r="Y79" s="197">
        <v>1</v>
      </c>
    </row>
    <row r="80" spans="1:25" x14ac:dyDescent="0.15">
      <c r="A80" s="250">
        <v>907056</v>
      </c>
      <c r="B80" s="211" t="s">
        <v>7598</v>
      </c>
      <c r="C80" s="251" t="s">
        <v>7374</v>
      </c>
      <c r="D80" s="251">
        <v>1001</v>
      </c>
      <c r="E80" s="250">
        <v>2</v>
      </c>
      <c r="F80" s="250">
        <v>1</v>
      </c>
      <c r="G80" s="211">
        <v>0</v>
      </c>
      <c r="H80" s="104">
        <v>0</v>
      </c>
      <c r="I80" s="250">
        <v>999</v>
      </c>
      <c r="J80" s="250" t="b">
        <v>1</v>
      </c>
      <c r="K80" s="250">
        <v>5</v>
      </c>
      <c r="L80" s="250">
        <v>8</v>
      </c>
      <c r="M80" s="250">
        <v>10</v>
      </c>
      <c r="N80" s="250">
        <v>0</v>
      </c>
      <c r="O80" s="250">
        <v>0</v>
      </c>
      <c r="P80" s="250">
        <v>1</v>
      </c>
      <c r="Q80" s="250">
        <v>0</v>
      </c>
      <c r="R80" s="250">
        <v>0</v>
      </c>
      <c r="S80" s="250">
        <v>0</v>
      </c>
      <c r="T80" s="211" t="s">
        <v>7599</v>
      </c>
      <c r="U80" s="250">
        <v>0</v>
      </c>
      <c r="V80" s="104" t="s">
        <v>7600</v>
      </c>
      <c r="W80" s="104">
        <v>0</v>
      </c>
      <c r="X80" s="197">
        <v>1</v>
      </c>
      <c r="Y80" s="197">
        <v>1</v>
      </c>
    </row>
    <row r="81" spans="1:25" x14ac:dyDescent="0.15">
      <c r="A81" s="250">
        <v>907057</v>
      </c>
      <c r="B81" s="211" t="s">
        <v>7601</v>
      </c>
      <c r="C81" s="251" t="s">
        <v>7374</v>
      </c>
      <c r="D81" s="251">
        <v>1001</v>
      </c>
      <c r="E81" s="250">
        <v>4</v>
      </c>
      <c r="F81" s="250">
        <v>1</v>
      </c>
      <c r="G81" s="211">
        <v>0</v>
      </c>
      <c r="H81" s="104">
        <v>0</v>
      </c>
      <c r="I81" s="250">
        <v>999</v>
      </c>
      <c r="J81" s="250" t="b">
        <v>1</v>
      </c>
      <c r="K81" s="250">
        <v>10</v>
      </c>
      <c r="L81" s="250">
        <v>15</v>
      </c>
      <c r="M81" s="250">
        <v>20</v>
      </c>
      <c r="N81" s="250">
        <v>0</v>
      </c>
      <c r="O81" s="250">
        <v>0</v>
      </c>
      <c r="P81" s="250">
        <v>1</v>
      </c>
      <c r="Q81" s="250">
        <v>0</v>
      </c>
      <c r="R81" s="250">
        <v>0</v>
      </c>
      <c r="S81" s="250">
        <v>0</v>
      </c>
      <c r="T81" s="211" t="s">
        <v>7602</v>
      </c>
      <c r="U81" s="250">
        <v>0</v>
      </c>
      <c r="V81" s="104" t="s">
        <v>7603</v>
      </c>
      <c r="W81" s="104">
        <v>0</v>
      </c>
      <c r="X81" s="197">
        <v>1</v>
      </c>
      <c r="Y81" s="197">
        <v>1</v>
      </c>
    </row>
    <row r="82" spans="1:25" x14ac:dyDescent="0.15">
      <c r="A82" s="250">
        <v>907058</v>
      </c>
      <c r="B82" s="211" t="s">
        <v>7604</v>
      </c>
      <c r="C82" s="251" t="s">
        <v>7374</v>
      </c>
      <c r="D82" s="251">
        <v>1001</v>
      </c>
      <c r="E82" s="250">
        <v>6</v>
      </c>
      <c r="F82" s="250">
        <v>1</v>
      </c>
      <c r="G82" s="211">
        <v>0</v>
      </c>
      <c r="H82" s="104">
        <v>0</v>
      </c>
      <c r="I82" s="250">
        <v>999</v>
      </c>
      <c r="J82" s="250" t="b">
        <v>1</v>
      </c>
      <c r="K82" s="250">
        <v>30</v>
      </c>
      <c r="L82" s="250">
        <v>40</v>
      </c>
      <c r="M82" s="250">
        <v>50</v>
      </c>
      <c r="N82" s="250">
        <v>0</v>
      </c>
      <c r="O82" s="250">
        <v>0</v>
      </c>
      <c r="P82" s="250">
        <v>1</v>
      </c>
      <c r="Q82" s="250">
        <v>0</v>
      </c>
      <c r="R82" s="250">
        <v>0</v>
      </c>
      <c r="S82" s="250">
        <v>0</v>
      </c>
      <c r="T82" s="211" t="s">
        <v>7605</v>
      </c>
      <c r="U82" s="250">
        <v>0</v>
      </c>
      <c r="V82" s="104" t="s">
        <v>7606</v>
      </c>
      <c r="W82" s="104">
        <v>0</v>
      </c>
      <c r="X82" s="197">
        <v>1</v>
      </c>
      <c r="Y82" s="197">
        <v>1</v>
      </c>
    </row>
  </sheetData>
  <phoneticPr fontId="45" type="noConversion"/>
  <pageMargins left="0.7" right="0.7" top="0.75" bottom="0.75" header="0.3" footer="0.3"/>
  <pageSetup paperSize="9" orientation="portrait" horizontalDpi="360" verticalDpi="36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Y82"/>
  <sheetViews>
    <sheetView topLeftCell="K1" workbookViewId="0">
      <pane ySplit="1" topLeftCell="A2" activePane="bottomLeft" state="frozen"/>
      <selection pane="bottomLeft" activeCell="T2" sqref="T2:T82"/>
    </sheetView>
  </sheetViews>
  <sheetFormatPr defaultColWidth="9" defaultRowHeight="13.5" x14ac:dyDescent="0.15"/>
  <cols>
    <col min="2" max="2" width="11.625" customWidth="1"/>
    <col min="3" max="4" width="9" style="231"/>
    <col min="7" max="7" width="11.375" customWidth="1"/>
    <col min="8" max="8" width="9" customWidth="1"/>
    <col min="11" max="11" width="13.875" customWidth="1"/>
    <col min="12" max="12" width="18.125" customWidth="1"/>
    <col min="13" max="13" width="21.5" customWidth="1"/>
    <col min="17" max="18" width="17.25" customWidth="1"/>
    <col min="20" max="20" width="42.125" customWidth="1"/>
    <col min="22" max="22" width="12.75" customWidth="1"/>
  </cols>
  <sheetData>
    <row r="1" spans="1:25" ht="27" x14ac:dyDescent="0.15">
      <c r="A1" s="232" t="s">
        <v>0</v>
      </c>
      <c r="B1" s="232" t="s">
        <v>1</v>
      </c>
      <c r="C1" s="233" t="s">
        <v>3</v>
      </c>
      <c r="D1" s="233" t="s">
        <v>3367</v>
      </c>
      <c r="E1" s="232" t="s">
        <v>7</v>
      </c>
      <c r="F1" s="232" t="s">
        <v>9</v>
      </c>
      <c r="G1" s="232" t="s">
        <v>10</v>
      </c>
      <c r="H1" s="232" t="s">
        <v>3369</v>
      </c>
      <c r="I1" s="232" t="s">
        <v>16</v>
      </c>
      <c r="J1" s="232" t="s">
        <v>17</v>
      </c>
      <c r="K1" s="232" t="s">
        <v>18</v>
      </c>
      <c r="L1" s="195" t="s">
        <v>19</v>
      </c>
      <c r="M1" s="195" t="s">
        <v>20</v>
      </c>
      <c r="N1" s="232" t="s">
        <v>3371</v>
      </c>
      <c r="O1" s="232" t="s">
        <v>3372</v>
      </c>
      <c r="P1" s="196" t="s">
        <v>22</v>
      </c>
      <c r="Q1" s="232" t="s">
        <v>3585</v>
      </c>
      <c r="R1" s="232" t="s">
        <v>3375</v>
      </c>
      <c r="S1" s="232" t="s">
        <v>23</v>
      </c>
      <c r="T1" s="232" t="s">
        <v>24</v>
      </c>
      <c r="U1" s="232" t="s">
        <v>3376</v>
      </c>
      <c r="V1" s="232" t="s">
        <v>26</v>
      </c>
      <c r="W1" s="232" t="s">
        <v>27</v>
      </c>
      <c r="X1" s="197" t="s">
        <v>28</v>
      </c>
      <c r="Y1" s="197" t="s">
        <v>29</v>
      </c>
    </row>
    <row r="2" spans="1:25" x14ac:dyDescent="0.15">
      <c r="A2" s="198">
        <v>907009</v>
      </c>
      <c r="B2" t="s">
        <v>7607</v>
      </c>
      <c r="C2" s="234" t="s">
        <v>7374</v>
      </c>
      <c r="D2" s="234">
        <v>1001</v>
      </c>
      <c r="E2" s="235">
        <v>2</v>
      </c>
      <c r="F2" s="235">
        <v>1</v>
      </c>
      <c r="G2" s="198">
        <v>0</v>
      </c>
      <c r="H2" s="235">
        <v>0</v>
      </c>
      <c r="I2" s="235">
        <v>999</v>
      </c>
      <c r="J2" s="198" t="b">
        <v>1</v>
      </c>
      <c r="K2" s="235">
        <v>1</v>
      </c>
      <c r="L2" s="198">
        <v>2</v>
      </c>
      <c r="M2" s="198">
        <v>3</v>
      </c>
      <c r="N2" s="198">
        <v>0</v>
      </c>
      <c r="O2" s="198">
        <v>0</v>
      </c>
      <c r="P2" s="198"/>
      <c r="Q2" s="198">
        <v>0</v>
      </c>
      <c r="R2" s="198">
        <v>0</v>
      </c>
      <c r="S2" s="198">
        <v>0</v>
      </c>
      <c r="T2" t="s">
        <v>7608</v>
      </c>
      <c r="U2" s="198">
        <v>0</v>
      </c>
      <c r="V2" s="5" t="s">
        <v>7376</v>
      </c>
      <c r="W2" s="198">
        <v>0</v>
      </c>
      <c r="X2" s="197">
        <v>1</v>
      </c>
      <c r="Y2" s="197">
        <v>1</v>
      </c>
    </row>
    <row r="3" spans="1:25" x14ac:dyDescent="0.15">
      <c r="A3" s="198">
        <v>907010</v>
      </c>
      <c r="B3" t="s">
        <v>7609</v>
      </c>
      <c r="C3" s="234" t="s">
        <v>7374</v>
      </c>
      <c r="D3" s="234">
        <v>1001</v>
      </c>
      <c r="E3" s="235">
        <v>2</v>
      </c>
      <c r="F3" s="235">
        <v>1</v>
      </c>
      <c r="G3" s="198">
        <v>0</v>
      </c>
      <c r="H3" s="235">
        <v>0</v>
      </c>
      <c r="I3" s="235">
        <v>999</v>
      </c>
      <c r="J3" s="198" t="b">
        <v>1</v>
      </c>
      <c r="K3" s="235">
        <v>1</v>
      </c>
      <c r="L3" s="198">
        <v>2</v>
      </c>
      <c r="M3" s="198">
        <v>3</v>
      </c>
      <c r="N3" s="198">
        <v>0</v>
      </c>
      <c r="O3" s="198">
        <v>0</v>
      </c>
      <c r="P3" s="198"/>
      <c r="Q3" s="198">
        <v>0</v>
      </c>
      <c r="R3" s="198">
        <v>0</v>
      </c>
      <c r="S3" s="198">
        <v>0</v>
      </c>
      <c r="T3" t="s">
        <v>7610</v>
      </c>
      <c r="U3" s="198">
        <v>0</v>
      </c>
      <c r="V3" s="5" t="s">
        <v>7379</v>
      </c>
      <c r="W3" s="198">
        <v>0</v>
      </c>
      <c r="X3" s="197">
        <v>1</v>
      </c>
      <c r="Y3" s="197">
        <v>1</v>
      </c>
    </row>
    <row r="4" spans="1:25" x14ac:dyDescent="0.15">
      <c r="A4" s="198">
        <v>907011</v>
      </c>
      <c r="B4" t="s">
        <v>7611</v>
      </c>
      <c r="C4" s="234" t="s">
        <v>7374</v>
      </c>
      <c r="D4" s="234">
        <v>1001</v>
      </c>
      <c r="E4" s="235">
        <v>2</v>
      </c>
      <c r="F4" s="235">
        <v>1</v>
      </c>
      <c r="G4" s="198">
        <v>0</v>
      </c>
      <c r="H4" s="235">
        <v>0</v>
      </c>
      <c r="I4" s="235">
        <v>999</v>
      </c>
      <c r="J4" s="198" t="b">
        <v>1</v>
      </c>
      <c r="K4" s="235">
        <v>1</v>
      </c>
      <c r="L4" s="198">
        <v>2</v>
      </c>
      <c r="M4" s="198">
        <v>3</v>
      </c>
      <c r="N4" s="198">
        <v>0</v>
      </c>
      <c r="O4" s="198">
        <v>0</v>
      </c>
      <c r="P4" s="198"/>
      <c r="Q4" s="198">
        <v>0</v>
      </c>
      <c r="R4" s="198">
        <v>0</v>
      </c>
      <c r="S4" s="198">
        <v>0</v>
      </c>
      <c r="T4" t="s">
        <v>7612</v>
      </c>
      <c r="U4" s="198">
        <v>0</v>
      </c>
      <c r="V4" s="5" t="s">
        <v>7382</v>
      </c>
      <c r="W4" s="198">
        <v>0</v>
      </c>
      <c r="X4" s="197">
        <v>1</v>
      </c>
      <c r="Y4" s="197">
        <v>1</v>
      </c>
    </row>
    <row r="5" spans="1:25" x14ac:dyDescent="0.15">
      <c r="A5" s="198">
        <v>907012</v>
      </c>
      <c r="B5" t="s">
        <v>7613</v>
      </c>
      <c r="C5" s="234" t="s">
        <v>7374</v>
      </c>
      <c r="D5" s="234">
        <v>1001</v>
      </c>
      <c r="E5" s="235">
        <v>2</v>
      </c>
      <c r="F5" s="235">
        <v>1</v>
      </c>
      <c r="G5" s="198">
        <v>0</v>
      </c>
      <c r="H5" s="235">
        <v>0</v>
      </c>
      <c r="I5" s="235">
        <v>999</v>
      </c>
      <c r="J5" s="198" t="b">
        <v>1</v>
      </c>
      <c r="K5" s="235">
        <v>1</v>
      </c>
      <c r="L5" s="198">
        <v>2</v>
      </c>
      <c r="M5" s="198">
        <v>3</v>
      </c>
      <c r="N5" s="198">
        <v>0</v>
      </c>
      <c r="O5" s="198">
        <v>0</v>
      </c>
      <c r="P5" s="198"/>
      <c r="Q5" s="198">
        <v>0</v>
      </c>
      <c r="R5" s="198">
        <v>0</v>
      </c>
      <c r="S5" s="198">
        <v>0</v>
      </c>
      <c r="T5" t="s">
        <v>7614</v>
      </c>
      <c r="U5" s="198">
        <v>0</v>
      </c>
      <c r="V5" s="5" t="s">
        <v>7385</v>
      </c>
      <c r="W5" s="198">
        <v>0</v>
      </c>
      <c r="X5" s="197">
        <v>1</v>
      </c>
      <c r="Y5" s="197">
        <v>1</v>
      </c>
    </row>
    <row r="6" spans="1:25" x14ac:dyDescent="0.15">
      <c r="A6" s="198">
        <v>907013</v>
      </c>
      <c r="B6" t="s">
        <v>7615</v>
      </c>
      <c r="C6" s="234" t="s">
        <v>7374</v>
      </c>
      <c r="D6" s="234">
        <v>1001</v>
      </c>
      <c r="E6" s="235">
        <v>2</v>
      </c>
      <c r="F6" s="235">
        <v>1</v>
      </c>
      <c r="G6" s="198">
        <v>0</v>
      </c>
      <c r="H6" s="235">
        <v>0</v>
      </c>
      <c r="I6" s="235">
        <v>999</v>
      </c>
      <c r="J6" s="198" t="b">
        <v>1</v>
      </c>
      <c r="K6" s="235">
        <v>1</v>
      </c>
      <c r="L6" s="198">
        <v>2</v>
      </c>
      <c r="M6" s="198">
        <v>3</v>
      </c>
      <c r="N6" s="198">
        <v>0</v>
      </c>
      <c r="O6" s="198">
        <v>0</v>
      </c>
      <c r="P6" s="198"/>
      <c r="Q6" s="198">
        <v>0</v>
      </c>
      <c r="R6" s="198">
        <v>0</v>
      </c>
      <c r="S6" s="198">
        <v>0</v>
      </c>
      <c r="T6" t="s">
        <v>7616</v>
      </c>
      <c r="U6" s="198">
        <v>0</v>
      </c>
      <c r="V6" s="5" t="s">
        <v>7388</v>
      </c>
      <c r="W6" s="198">
        <v>0</v>
      </c>
      <c r="X6" s="197">
        <v>1</v>
      </c>
      <c r="Y6" s="197">
        <v>1</v>
      </c>
    </row>
    <row r="7" spans="1:25" x14ac:dyDescent="0.15">
      <c r="A7" s="198">
        <v>907014</v>
      </c>
      <c r="B7" t="s">
        <v>7617</v>
      </c>
      <c r="C7" s="234" t="s">
        <v>7374</v>
      </c>
      <c r="D7" s="234">
        <v>1001</v>
      </c>
      <c r="E7" s="235">
        <v>2</v>
      </c>
      <c r="F7" s="235">
        <v>1</v>
      </c>
      <c r="G7" s="198">
        <v>0</v>
      </c>
      <c r="H7" s="235">
        <v>0</v>
      </c>
      <c r="I7" s="235">
        <v>999</v>
      </c>
      <c r="J7" s="198" t="b">
        <v>1</v>
      </c>
      <c r="K7" s="235">
        <v>1</v>
      </c>
      <c r="L7" s="198">
        <v>2</v>
      </c>
      <c r="M7" s="198">
        <v>3</v>
      </c>
      <c r="N7" s="198">
        <v>0</v>
      </c>
      <c r="O7" s="198">
        <v>0</v>
      </c>
      <c r="P7" s="198"/>
      <c r="Q7" s="198">
        <v>0</v>
      </c>
      <c r="R7" s="198">
        <v>0</v>
      </c>
      <c r="S7" s="198">
        <v>0</v>
      </c>
      <c r="T7" t="s">
        <v>7618</v>
      </c>
      <c r="U7" s="198">
        <v>0</v>
      </c>
      <c r="V7" s="5" t="s">
        <v>7391</v>
      </c>
      <c r="W7" s="198">
        <v>0</v>
      </c>
      <c r="X7" s="197">
        <v>1</v>
      </c>
      <c r="Y7" s="197">
        <v>1</v>
      </c>
    </row>
    <row r="8" spans="1:25" x14ac:dyDescent="0.15">
      <c r="A8" s="198">
        <v>907015</v>
      </c>
      <c r="B8" t="s">
        <v>7619</v>
      </c>
      <c r="C8" s="234" t="s">
        <v>7374</v>
      </c>
      <c r="D8" s="234">
        <v>1001</v>
      </c>
      <c r="E8" s="235">
        <v>2</v>
      </c>
      <c r="F8" s="235">
        <v>1</v>
      </c>
      <c r="G8" s="198">
        <v>0</v>
      </c>
      <c r="H8" s="235">
        <v>0</v>
      </c>
      <c r="I8" s="235">
        <v>999</v>
      </c>
      <c r="J8" s="198" t="b">
        <v>1</v>
      </c>
      <c r="K8" s="235">
        <v>1</v>
      </c>
      <c r="L8" s="198">
        <v>2</v>
      </c>
      <c r="M8" s="198">
        <v>3</v>
      </c>
      <c r="N8" s="198">
        <v>0</v>
      </c>
      <c r="O8" s="198">
        <v>0</v>
      </c>
      <c r="P8" s="198"/>
      <c r="Q8" s="198">
        <v>0</v>
      </c>
      <c r="R8" s="198">
        <v>0</v>
      </c>
      <c r="S8" s="198">
        <v>0</v>
      </c>
      <c r="T8" t="s">
        <v>7620</v>
      </c>
      <c r="U8" s="198">
        <v>0</v>
      </c>
      <c r="V8" s="5" t="s">
        <v>7394</v>
      </c>
      <c r="W8" s="198">
        <v>0</v>
      </c>
      <c r="X8" s="197">
        <v>1</v>
      </c>
      <c r="Y8" s="197">
        <v>1</v>
      </c>
    </row>
    <row r="9" spans="1:25" x14ac:dyDescent="0.15">
      <c r="A9" s="198">
        <v>907016</v>
      </c>
      <c r="B9" t="s">
        <v>7621</v>
      </c>
      <c r="C9" s="234" t="s">
        <v>7374</v>
      </c>
      <c r="D9" s="234">
        <v>1001</v>
      </c>
      <c r="E9" s="235">
        <v>2</v>
      </c>
      <c r="F9" s="235">
        <v>1</v>
      </c>
      <c r="G9" s="198">
        <v>7</v>
      </c>
      <c r="H9" s="235">
        <v>0</v>
      </c>
      <c r="I9" s="235">
        <v>999</v>
      </c>
      <c r="J9" s="198" t="b">
        <v>1</v>
      </c>
      <c r="K9" s="235">
        <v>2</v>
      </c>
      <c r="L9" s="198">
        <v>4</v>
      </c>
      <c r="M9" s="198">
        <v>6</v>
      </c>
      <c r="N9" s="235">
        <v>0</v>
      </c>
      <c r="O9" s="235">
        <v>0</v>
      </c>
      <c r="P9" s="235"/>
      <c r="Q9" s="198">
        <v>0</v>
      </c>
      <c r="R9" s="198">
        <v>0</v>
      </c>
      <c r="S9" s="198">
        <v>0</v>
      </c>
      <c r="T9" t="s">
        <v>7622</v>
      </c>
      <c r="U9" s="198">
        <v>0</v>
      </c>
      <c r="V9" s="5" t="s">
        <v>7397</v>
      </c>
      <c r="W9" s="198">
        <v>0</v>
      </c>
      <c r="X9" s="197">
        <v>1</v>
      </c>
      <c r="Y9" s="197">
        <v>1</v>
      </c>
    </row>
    <row r="10" spans="1:25" x14ac:dyDescent="0.15">
      <c r="A10" s="198">
        <v>907017</v>
      </c>
      <c r="B10" t="s">
        <v>7623</v>
      </c>
      <c r="C10" s="234" t="s">
        <v>7374</v>
      </c>
      <c r="D10" s="234">
        <v>1001</v>
      </c>
      <c r="E10" s="235">
        <v>2</v>
      </c>
      <c r="F10" s="235">
        <v>1</v>
      </c>
      <c r="G10" s="198">
        <v>0</v>
      </c>
      <c r="H10" s="235">
        <v>0</v>
      </c>
      <c r="I10" s="235">
        <v>999</v>
      </c>
      <c r="J10" s="198" t="b">
        <v>1</v>
      </c>
      <c r="K10" s="235">
        <v>1</v>
      </c>
      <c r="L10" s="198">
        <v>2</v>
      </c>
      <c r="M10" s="198">
        <v>3</v>
      </c>
      <c r="N10" s="235">
        <v>0</v>
      </c>
      <c r="O10" s="235">
        <v>0</v>
      </c>
      <c r="P10" s="235"/>
      <c r="Q10" s="198">
        <v>0</v>
      </c>
      <c r="R10" s="198">
        <v>0</v>
      </c>
      <c r="S10" s="198">
        <v>0</v>
      </c>
      <c r="T10" t="s">
        <v>7624</v>
      </c>
      <c r="U10" s="198">
        <v>0</v>
      </c>
      <c r="V10" s="5" t="s">
        <v>7400</v>
      </c>
      <c r="W10" s="198">
        <v>0</v>
      </c>
      <c r="X10" s="197">
        <v>1</v>
      </c>
      <c r="Y10" s="197">
        <v>1</v>
      </c>
    </row>
    <row r="11" spans="1:25" x14ac:dyDescent="0.15">
      <c r="A11" s="198">
        <v>907018</v>
      </c>
      <c r="B11" t="s">
        <v>7625</v>
      </c>
      <c r="C11" s="234" t="s">
        <v>7374</v>
      </c>
      <c r="D11" s="234">
        <v>1001</v>
      </c>
      <c r="E11" s="235">
        <v>2</v>
      </c>
      <c r="F11" s="235">
        <v>1</v>
      </c>
      <c r="G11" s="198">
        <v>0</v>
      </c>
      <c r="H11" s="235">
        <v>0</v>
      </c>
      <c r="I11" s="235">
        <v>999</v>
      </c>
      <c r="J11" s="198" t="b">
        <v>1</v>
      </c>
      <c r="K11" s="235">
        <v>1</v>
      </c>
      <c r="L11" s="198">
        <v>2</v>
      </c>
      <c r="M11" s="198">
        <v>3</v>
      </c>
      <c r="N11" s="235">
        <v>0</v>
      </c>
      <c r="O11" s="235">
        <v>0</v>
      </c>
      <c r="P11" s="235"/>
      <c r="Q11" s="198">
        <v>0</v>
      </c>
      <c r="R11" s="198">
        <v>0</v>
      </c>
      <c r="S11" s="198">
        <v>0</v>
      </c>
      <c r="T11" t="s">
        <v>7626</v>
      </c>
      <c r="U11" s="198">
        <v>0</v>
      </c>
      <c r="V11" s="5" t="s">
        <v>7403</v>
      </c>
      <c r="W11" s="198">
        <v>0</v>
      </c>
      <c r="X11" s="197">
        <v>1</v>
      </c>
      <c r="Y11" s="197">
        <v>1</v>
      </c>
    </row>
    <row r="12" spans="1:25" x14ac:dyDescent="0.15">
      <c r="A12" s="198">
        <v>907019</v>
      </c>
      <c r="B12" t="s">
        <v>7627</v>
      </c>
      <c r="C12" s="236" t="s">
        <v>7374</v>
      </c>
      <c r="D12" s="234">
        <v>1001</v>
      </c>
      <c r="E12" s="235">
        <v>2</v>
      </c>
      <c r="F12" s="235">
        <v>1</v>
      </c>
      <c r="G12" s="198">
        <v>7</v>
      </c>
      <c r="H12" s="235">
        <v>0</v>
      </c>
      <c r="I12" s="235">
        <v>999</v>
      </c>
      <c r="J12" s="198" t="b">
        <v>1</v>
      </c>
      <c r="K12" s="235">
        <v>2</v>
      </c>
      <c r="L12" s="198">
        <v>4</v>
      </c>
      <c r="M12" s="198">
        <v>6</v>
      </c>
      <c r="N12" s="235">
        <v>0</v>
      </c>
      <c r="O12" s="235">
        <v>0</v>
      </c>
      <c r="P12" s="235"/>
      <c r="Q12" s="198">
        <v>0</v>
      </c>
      <c r="R12" s="198">
        <v>0</v>
      </c>
      <c r="S12" s="198">
        <v>0</v>
      </c>
      <c r="T12" t="s">
        <v>7628</v>
      </c>
      <c r="U12" s="198">
        <v>0</v>
      </c>
      <c r="V12" s="5" t="s">
        <v>7406</v>
      </c>
      <c r="W12" s="198">
        <v>0</v>
      </c>
      <c r="X12" s="197">
        <v>1</v>
      </c>
      <c r="Y12" s="197">
        <v>1</v>
      </c>
    </row>
    <row r="13" spans="1:25" x14ac:dyDescent="0.15">
      <c r="A13" s="198">
        <v>907020</v>
      </c>
      <c r="B13" t="s">
        <v>7629</v>
      </c>
      <c r="C13" s="198" t="s">
        <v>7374</v>
      </c>
      <c r="D13" s="198">
        <v>1001</v>
      </c>
      <c r="E13" s="198">
        <v>2</v>
      </c>
      <c r="F13" s="198">
        <v>1</v>
      </c>
      <c r="G13" s="198">
        <v>7</v>
      </c>
      <c r="H13" s="198">
        <v>0</v>
      </c>
      <c r="I13" s="235">
        <v>999</v>
      </c>
      <c r="J13" s="198" t="b">
        <v>1</v>
      </c>
      <c r="K13" s="198">
        <v>2</v>
      </c>
      <c r="L13" s="198">
        <v>4</v>
      </c>
      <c r="M13" s="198">
        <v>6</v>
      </c>
      <c r="N13" s="198">
        <v>0</v>
      </c>
      <c r="O13" s="198">
        <v>0</v>
      </c>
      <c r="P13" s="198"/>
      <c r="Q13" s="198">
        <v>0</v>
      </c>
      <c r="R13" s="198">
        <v>0</v>
      </c>
      <c r="S13" s="198">
        <v>0</v>
      </c>
      <c r="T13" t="s">
        <v>7630</v>
      </c>
      <c r="U13" s="198">
        <v>0</v>
      </c>
      <c r="V13" s="198" t="s">
        <v>7409</v>
      </c>
      <c r="W13" s="198">
        <v>0</v>
      </c>
      <c r="X13" s="197">
        <v>1</v>
      </c>
      <c r="Y13" s="197">
        <v>1</v>
      </c>
    </row>
    <row r="14" spans="1:25" x14ac:dyDescent="0.15">
      <c r="A14" s="198">
        <v>907021</v>
      </c>
      <c r="B14" t="s">
        <v>7631</v>
      </c>
      <c r="C14" s="236" t="s">
        <v>7374</v>
      </c>
      <c r="D14" s="234">
        <v>1001</v>
      </c>
      <c r="E14" s="235">
        <v>2</v>
      </c>
      <c r="F14" s="235">
        <v>0</v>
      </c>
      <c r="G14" s="157">
        <v>0</v>
      </c>
      <c r="H14" s="43">
        <v>0</v>
      </c>
      <c r="I14" s="235">
        <v>999</v>
      </c>
      <c r="J14" s="246" t="b">
        <v>1</v>
      </c>
      <c r="K14" s="238">
        <v>1</v>
      </c>
      <c r="L14" s="198">
        <v>2</v>
      </c>
      <c r="M14" s="198">
        <v>3</v>
      </c>
      <c r="N14" s="238">
        <v>0</v>
      </c>
      <c r="O14" s="238">
        <v>0</v>
      </c>
      <c r="P14" s="238"/>
      <c r="Q14" s="246">
        <v>0</v>
      </c>
      <c r="R14" s="246">
        <v>0</v>
      </c>
      <c r="S14" s="246">
        <v>0</v>
      </c>
      <c r="T14" t="s">
        <v>7632</v>
      </c>
      <c r="U14" s="198">
        <v>0</v>
      </c>
      <c r="V14" s="5" t="s">
        <v>7412</v>
      </c>
      <c r="W14" s="43">
        <v>0</v>
      </c>
      <c r="X14" s="197">
        <v>1</v>
      </c>
      <c r="Y14" s="197">
        <v>1</v>
      </c>
    </row>
    <row r="15" spans="1:25" x14ac:dyDescent="0.15">
      <c r="A15" s="198">
        <v>907022</v>
      </c>
      <c r="B15" t="s">
        <v>7633</v>
      </c>
      <c r="C15" s="236" t="s">
        <v>7374</v>
      </c>
      <c r="D15" s="234">
        <v>1001</v>
      </c>
      <c r="E15" s="235">
        <v>2</v>
      </c>
      <c r="F15" s="235">
        <v>0</v>
      </c>
      <c r="G15" s="157">
        <v>0</v>
      </c>
      <c r="H15" s="43">
        <v>0</v>
      </c>
      <c r="I15" s="235">
        <v>999</v>
      </c>
      <c r="J15" s="246" t="b">
        <v>1</v>
      </c>
      <c r="K15" s="238">
        <v>1</v>
      </c>
      <c r="L15" s="198">
        <v>2</v>
      </c>
      <c r="M15" s="198">
        <v>3</v>
      </c>
      <c r="N15" s="238">
        <v>0</v>
      </c>
      <c r="O15" s="238">
        <v>0</v>
      </c>
      <c r="P15" s="238"/>
      <c r="Q15" s="246">
        <v>0</v>
      </c>
      <c r="R15" s="246">
        <v>0</v>
      </c>
      <c r="S15" s="246">
        <v>0</v>
      </c>
      <c r="T15" t="s">
        <v>7634</v>
      </c>
      <c r="U15" s="246">
        <v>0</v>
      </c>
      <c r="V15" s="5" t="s">
        <v>3764</v>
      </c>
      <c r="W15" s="43">
        <v>0</v>
      </c>
      <c r="X15" s="197">
        <v>1</v>
      </c>
      <c r="Y15" s="197">
        <v>1</v>
      </c>
    </row>
    <row r="16" spans="1:25" x14ac:dyDescent="0.15">
      <c r="A16" s="198">
        <v>907023</v>
      </c>
      <c r="B16" t="s">
        <v>7635</v>
      </c>
      <c r="C16" s="236" t="s">
        <v>7374</v>
      </c>
      <c r="D16" s="234">
        <v>1001</v>
      </c>
      <c r="E16" s="235">
        <v>2</v>
      </c>
      <c r="F16" s="235">
        <v>0</v>
      </c>
      <c r="G16" s="157">
        <v>0</v>
      </c>
      <c r="H16" s="43">
        <v>0</v>
      </c>
      <c r="I16" s="235">
        <v>999</v>
      </c>
      <c r="J16" s="246" t="b">
        <v>1</v>
      </c>
      <c r="K16" s="238">
        <v>5</v>
      </c>
      <c r="L16" s="198">
        <v>10</v>
      </c>
      <c r="M16" s="198">
        <v>15</v>
      </c>
      <c r="N16" s="238">
        <v>0</v>
      </c>
      <c r="O16" s="238">
        <v>0</v>
      </c>
      <c r="P16" s="238">
        <v>1</v>
      </c>
      <c r="Q16" s="246">
        <v>0</v>
      </c>
      <c r="R16" s="246">
        <v>0</v>
      </c>
      <c r="S16" s="246">
        <v>0</v>
      </c>
      <c r="T16" t="s">
        <v>7636</v>
      </c>
      <c r="U16" s="198">
        <v>0</v>
      </c>
      <c r="V16" s="5" t="s">
        <v>7417</v>
      </c>
      <c r="W16" s="43">
        <v>0</v>
      </c>
      <c r="X16" s="197">
        <v>1</v>
      </c>
      <c r="Y16" s="197">
        <v>1</v>
      </c>
    </row>
    <row r="17" spans="1:25" x14ac:dyDescent="0.15">
      <c r="A17" s="198">
        <v>907024</v>
      </c>
      <c r="B17" t="s">
        <v>7637</v>
      </c>
      <c r="C17" s="237" t="s">
        <v>7374</v>
      </c>
      <c r="D17" s="234">
        <v>1001</v>
      </c>
      <c r="E17" s="235">
        <v>2</v>
      </c>
      <c r="F17" s="238">
        <v>0</v>
      </c>
      <c r="G17" s="239">
        <v>0</v>
      </c>
      <c r="H17" s="240">
        <v>0</v>
      </c>
      <c r="I17" s="235">
        <v>999</v>
      </c>
      <c r="J17" s="246" t="b">
        <v>1</v>
      </c>
      <c r="K17" s="238">
        <v>5</v>
      </c>
      <c r="L17" s="198">
        <v>10</v>
      </c>
      <c r="M17" s="198">
        <v>15</v>
      </c>
      <c r="N17" s="238">
        <v>0</v>
      </c>
      <c r="O17" s="238">
        <v>0</v>
      </c>
      <c r="P17" s="238">
        <v>1</v>
      </c>
      <c r="Q17" s="246">
        <v>0</v>
      </c>
      <c r="R17" s="246">
        <v>0</v>
      </c>
      <c r="S17" s="246">
        <v>0</v>
      </c>
      <c r="T17" t="s">
        <v>7638</v>
      </c>
      <c r="U17" s="246">
        <v>0</v>
      </c>
      <c r="V17" s="5" t="s">
        <v>7420</v>
      </c>
      <c r="W17" s="240">
        <v>0</v>
      </c>
      <c r="X17" s="197">
        <v>1</v>
      </c>
      <c r="Y17" s="197">
        <v>1</v>
      </c>
    </row>
    <row r="18" spans="1:25" s="2" customFormat="1" x14ac:dyDescent="0.15">
      <c r="A18" s="241">
        <v>907025</v>
      </c>
      <c r="B18" t="s">
        <v>7639</v>
      </c>
      <c r="C18" s="242" t="s">
        <v>7374</v>
      </c>
      <c r="D18" s="243">
        <v>1001</v>
      </c>
      <c r="E18" s="244">
        <v>2</v>
      </c>
      <c r="F18" s="244">
        <v>0</v>
      </c>
      <c r="G18" s="245">
        <v>0</v>
      </c>
      <c r="H18" s="24">
        <v>0</v>
      </c>
      <c r="I18" s="244">
        <v>999</v>
      </c>
      <c r="J18" s="247" t="b">
        <v>1</v>
      </c>
      <c r="K18" s="248">
        <v>5</v>
      </c>
      <c r="L18" s="241">
        <v>10</v>
      </c>
      <c r="M18" s="241">
        <v>15</v>
      </c>
      <c r="N18" s="248">
        <v>0</v>
      </c>
      <c r="O18" s="248">
        <v>0</v>
      </c>
      <c r="P18" s="248">
        <v>1</v>
      </c>
      <c r="Q18" s="247">
        <v>0</v>
      </c>
      <c r="R18" s="247">
        <v>0</v>
      </c>
      <c r="S18" s="247">
        <v>0</v>
      </c>
      <c r="T18" t="s">
        <v>7640</v>
      </c>
      <c r="U18" s="247">
        <v>0</v>
      </c>
      <c r="V18" s="2" t="s">
        <v>3727</v>
      </c>
      <c r="W18" s="24">
        <v>0</v>
      </c>
      <c r="X18" s="192">
        <v>1</v>
      </c>
      <c r="Y18" s="192">
        <v>1</v>
      </c>
    </row>
    <row r="19" spans="1:25" x14ac:dyDescent="0.15">
      <c r="A19" s="198">
        <v>907026</v>
      </c>
      <c r="B19" t="s">
        <v>7641</v>
      </c>
      <c r="C19" s="237" t="s">
        <v>7374</v>
      </c>
      <c r="D19" s="234">
        <v>1001</v>
      </c>
      <c r="E19" s="235">
        <v>2</v>
      </c>
      <c r="F19" s="235">
        <v>1</v>
      </c>
      <c r="G19" s="239">
        <v>0</v>
      </c>
      <c r="H19" s="240">
        <v>0</v>
      </c>
      <c r="I19" s="235">
        <v>999</v>
      </c>
      <c r="J19" s="246" t="b">
        <v>1</v>
      </c>
      <c r="K19" s="238">
        <v>1</v>
      </c>
      <c r="L19" s="198">
        <v>2</v>
      </c>
      <c r="M19" s="198">
        <v>3</v>
      </c>
      <c r="N19" s="238">
        <v>0</v>
      </c>
      <c r="O19" s="238">
        <v>0</v>
      </c>
      <c r="P19" s="238">
        <v>1</v>
      </c>
      <c r="Q19" s="246">
        <v>0</v>
      </c>
      <c r="R19" s="246">
        <v>0</v>
      </c>
      <c r="S19" s="246">
        <v>0</v>
      </c>
      <c r="T19" t="s">
        <v>7642</v>
      </c>
      <c r="U19" s="198">
        <v>0</v>
      </c>
      <c r="V19" s="5" t="s">
        <v>7425</v>
      </c>
      <c r="W19" s="43">
        <v>0</v>
      </c>
      <c r="X19" s="197">
        <v>1</v>
      </c>
      <c r="Y19" s="197">
        <v>1</v>
      </c>
    </row>
    <row r="20" spans="1:25" x14ac:dyDescent="0.15">
      <c r="A20" s="198">
        <v>907027</v>
      </c>
      <c r="B20" t="s">
        <v>7643</v>
      </c>
      <c r="C20" s="236" t="s">
        <v>7374</v>
      </c>
      <c r="D20" s="234">
        <v>1001</v>
      </c>
      <c r="E20" s="235">
        <v>2</v>
      </c>
      <c r="F20" s="235">
        <v>1</v>
      </c>
      <c r="G20" s="157">
        <v>0</v>
      </c>
      <c r="H20" s="43">
        <v>0</v>
      </c>
      <c r="I20" s="235">
        <v>999</v>
      </c>
      <c r="J20" s="246" t="b">
        <v>1</v>
      </c>
      <c r="K20" s="238">
        <v>1</v>
      </c>
      <c r="L20" s="198">
        <v>2</v>
      </c>
      <c r="M20" s="198">
        <v>3</v>
      </c>
      <c r="N20" s="238">
        <v>0</v>
      </c>
      <c r="O20" s="238">
        <v>0</v>
      </c>
      <c r="P20" s="238">
        <v>1</v>
      </c>
      <c r="Q20" s="246">
        <v>0</v>
      </c>
      <c r="R20" s="246">
        <v>0</v>
      </c>
      <c r="S20" s="246">
        <v>0</v>
      </c>
      <c r="T20" t="s">
        <v>7644</v>
      </c>
      <c r="U20" s="246">
        <v>0</v>
      </c>
      <c r="V20" s="5" t="s">
        <v>7428</v>
      </c>
      <c r="W20" s="240">
        <v>0</v>
      </c>
      <c r="X20" s="197">
        <v>1</v>
      </c>
      <c r="Y20" s="197">
        <v>1</v>
      </c>
    </row>
    <row r="21" spans="1:25" x14ac:dyDescent="0.15">
      <c r="A21" s="198">
        <v>907028</v>
      </c>
      <c r="B21" t="s">
        <v>7645</v>
      </c>
      <c r="C21" s="237" t="s">
        <v>7374</v>
      </c>
      <c r="D21" s="234">
        <v>1001</v>
      </c>
      <c r="E21" s="235">
        <v>2</v>
      </c>
      <c r="F21" s="235">
        <v>1</v>
      </c>
      <c r="G21" s="239">
        <v>0</v>
      </c>
      <c r="H21" s="240">
        <v>0</v>
      </c>
      <c r="I21" s="235">
        <v>999</v>
      </c>
      <c r="J21" s="246" t="b">
        <v>1</v>
      </c>
      <c r="K21" s="238">
        <v>1</v>
      </c>
      <c r="L21" s="198">
        <v>2</v>
      </c>
      <c r="M21" s="198">
        <v>3</v>
      </c>
      <c r="N21" s="238">
        <v>0</v>
      </c>
      <c r="O21" s="238">
        <v>0</v>
      </c>
      <c r="P21" s="238">
        <v>1</v>
      </c>
      <c r="Q21" s="246">
        <v>0</v>
      </c>
      <c r="R21" s="246">
        <v>0</v>
      </c>
      <c r="S21" s="246">
        <v>0</v>
      </c>
      <c r="T21" t="s">
        <v>7646</v>
      </c>
      <c r="U21" s="246">
        <v>0</v>
      </c>
      <c r="V21" s="5" t="s">
        <v>7431</v>
      </c>
      <c r="W21" s="43">
        <v>0</v>
      </c>
      <c r="X21" s="197">
        <v>1</v>
      </c>
      <c r="Y21" s="197">
        <v>1</v>
      </c>
    </row>
    <row r="22" spans="1:25" x14ac:dyDescent="0.15">
      <c r="A22" s="198">
        <v>907029</v>
      </c>
      <c r="B22" t="s">
        <v>7647</v>
      </c>
      <c r="C22" s="236" t="s">
        <v>7374</v>
      </c>
      <c r="D22" s="234">
        <v>1001</v>
      </c>
      <c r="E22" s="235">
        <v>2</v>
      </c>
      <c r="F22" s="235">
        <v>1</v>
      </c>
      <c r="G22" s="157">
        <v>0</v>
      </c>
      <c r="H22" s="43">
        <v>0</v>
      </c>
      <c r="I22" s="235">
        <v>999</v>
      </c>
      <c r="J22" s="246" t="b">
        <v>1</v>
      </c>
      <c r="K22" s="238">
        <v>5</v>
      </c>
      <c r="L22" s="198">
        <v>10</v>
      </c>
      <c r="M22" s="198">
        <v>15</v>
      </c>
      <c r="N22" s="238">
        <v>0</v>
      </c>
      <c r="O22" s="238">
        <v>0</v>
      </c>
      <c r="P22" s="238">
        <v>1</v>
      </c>
      <c r="Q22" s="246">
        <v>0</v>
      </c>
      <c r="R22" s="246">
        <v>0</v>
      </c>
      <c r="S22" s="246">
        <v>0</v>
      </c>
      <c r="T22" t="s">
        <v>7648</v>
      </c>
      <c r="U22" s="198">
        <v>0</v>
      </c>
      <c r="V22" s="5" t="s">
        <v>7434</v>
      </c>
      <c r="W22" s="43">
        <v>0</v>
      </c>
      <c r="X22" s="197">
        <v>1</v>
      </c>
      <c r="Y22" s="197">
        <v>1</v>
      </c>
    </row>
    <row r="23" spans="1:25" x14ac:dyDescent="0.15">
      <c r="A23" s="198">
        <v>907030</v>
      </c>
      <c r="B23" t="s">
        <v>7649</v>
      </c>
      <c r="C23" s="237" t="s">
        <v>7374</v>
      </c>
      <c r="D23" s="234">
        <v>1001</v>
      </c>
      <c r="E23" s="235">
        <v>2</v>
      </c>
      <c r="F23" s="235">
        <v>1</v>
      </c>
      <c r="G23" s="239">
        <v>0</v>
      </c>
      <c r="H23" s="240">
        <v>0</v>
      </c>
      <c r="I23" s="235">
        <v>999</v>
      </c>
      <c r="J23" s="246" t="b">
        <v>1</v>
      </c>
      <c r="K23" s="238">
        <v>2</v>
      </c>
      <c r="L23" s="198">
        <v>4</v>
      </c>
      <c r="M23" s="198">
        <v>6</v>
      </c>
      <c r="N23" s="238">
        <v>0</v>
      </c>
      <c r="O23" s="238">
        <v>0</v>
      </c>
      <c r="P23" s="238">
        <v>1</v>
      </c>
      <c r="Q23" s="246">
        <v>0</v>
      </c>
      <c r="R23" s="246">
        <v>0</v>
      </c>
      <c r="S23" s="246">
        <v>0</v>
      </c>
      <c r="T23" t="s">
        <v>7650</v>
      </c>
      <c r="U23" s="246">
        <v>0</v>
      </c>
      <c r="V23" s="5" t="s">
        <v>7437</v>
      </c>
      <c r="W23" s="240">
        <v>0</v>
      </c>
      <c r="X23" s="197">
        <v>1</v>
      </c>
      <c r="Y23" s="197">
        <v>1</v>
      </c>
    </row>
    <row r="24" spans="1:25" x14ac:dyDescent="0.15">
      <c r="A24" s="198">
        <v>907031</v>
      </c>
      <c r="B24" t="s">
        <v>7651</v>
      </c>
      <c r="C24" s="236" t="s">
        <v>7374</v>
      </c>
      <c r="D24" s="234">
        <v>1001</v>
      </c>
      <c r="E24" s="235">
        <v>2</v>
      </c>
      <c r="F24" s="235">
        <v>1</v>
      </c>
      <c r="G24" s="157">
        <v>0</v>
      </c>
      <c r="H24" s="43">
        <v>0</v>
      </c>
      <c r="I24" s="235">
        <v>999</v>
      </c>
      <c r="J24" s="246" t="b">
        <v>1</v>
      </c>
      <c r="K24" s="238">
        <v>2</v>
      </c>
      <c r="L24" s="198">
        <v>4</v>
      </c>
      <c r="M24" s="198">
        <v>6</v>
      </c>
      <c r="N24" s="238">
        <v>0</v>
      </c>
      <c r="O24" s="238">
        <v>0</v>
      </c>
      <c r="P24" s="238">
        <v>1</v>
      </c>
      <c r="Q24" s="246">
        <v>0</v>
      </c>
      <c r="R24" s="246">
        <v>0</v>
      </c>
      <c r="S24" s="246">
        <v>0</v>
      </c>
      <c r="T24" t="s">
        <v>7652</v>
      </c>
      <c r="U24" s="246">
        <v>0</v>
      </c>
      <c r="V24" s="5" t="s">
        <v>7440</v>
      </c>
      <c r="W24" s="43">
        <v>0</v>
      </c>
      <c r="X24" s="197">
        <v>1</v>
      </c>
      <c r="Y24" s="197">
        <v>1</v>
      </c>
    </row>
    <row r="25" spans="1:25" x14ac:dyDescent="0.15">
      <c r="A25" s="198">
        <v>907032</v>
      </c>
      <c r="B25" t="s">
        <v>7653</v>
      </c>
      <c r="C25" s="237" t="s">
        <v>7374</v>
      </c>
      <c r="D25" s="234">
        <v>1001</v>
      </c>
      <c r="E25" s="235">
        <v>2</v>
      </c>
      <c r="F25" s="235">
        <v>1</v>
      </c>
      <c r="G25" s="157">
        <v>8</v>
      </c>
      <c r="H25" s="240">
        <v>0</v>
      </c>
      <c r="I25" s="235">
        <v>999</v>
      </c>
      <c r="J25" s="246" t="b">
        <v>1</v>
      </c>
      <c r="K25" s="238">
        <v>1</v>
      </c>
      <c r="L25" s="198">
        <v>2</v>
      </c>
      <c r="M25" s="198">
        <v>3</v>
      </c>
      <c r="N25" s="238">
        <v>0</v>
      </c>
      <c r="O25" s="238">
        <v>0</v>
      </c>
      <c r="P25" s="238">
        <v>1</v>
      </c>
      <c r="Q25" s="246">
        <v>0</v>
      </c>
      <c r="R25" s="246">
        <v>0</v>
      </c>
      <c r="S25" s="246">
        <v>0</v>
      </c>
      <c r="T25" t="s">
        <v>7654</v>
      </c>
      <c r="U25" s="198">
        <v>0</v>
      </c>
      <c r="V25" s="5" t="s">
        <v>7443</v>
      </c>
      <c r="W25" s="43">
        <v>0</v>
      </c>
      <c r="X25" s="197">
        <v>1</v>
      </c>
      <c r="Y25" s="197">
        <v>1</v>
      </c>
    </row>
    <row r="26" spans="1:25" x14ac:dyDescent="0.15">
      <c r="A26" s="198">
        <v>907033</v>
      </c>
      <c r="B26" t="s">
        <v>7655</v>
      </c>
      <c r="C26" s="236" t="s">
        <v>7374</v>
      </c>
      <c r="D26" s="234">
        <v>1001</v>
      </c>
      <c r="E26" s="235">
        <v>2</v>
      </c>
      <c r="F26" s="235">
        <v>1</v>
      </c>
      <c r="G26" s="157">
        <v>0</v>
      </c>
      <c r="H26" s="43">
        <v>0</v>
      </c>
      <c r="I26" s="235">
        <v>999</v>
      </c>
      <c r="J26" s="246" t="b">
        <v>1</v>
      </c>
      <c r="K26" s="238">
        <v>2</v>
      </c>
      <c r="L26" s="198">
        <v>4</v>
      </c>
      <c r="M26" s="198">
        <v>6</v>
      </c>
      <c r="N26" s="238">
        <v>0</v>
      </c>
      <c r="O26" s="238">
        <v>0</v>
      </c>
      <c r="P26" s="238">
        <v>1</v>
      </c>
      <c r="Q26" s="246">
        <v>0</v>
      </c>
      <c r="R26" s="246">
        <v>0</v>
      </c>
      <c r="S26" s="246">
        <v>0</v>
      </c>
      <c r="T26" t="s">
        <v>7656</v>
      </c>
      <c r="U26" s="246">
        <v>0</v>
      </c>
      <c r="V26" s="5" t="s">
        <v>7446</v>
      </c>
      <c r="W26" s="240">
        <v>0</v>
      </c>
      <c r="X26" s="197">
        <v>1</v>
      </c>
      <c r="Y26" s="197">
        <v>1</v>
      </c>
    </row>
    <row r="27" spans="1:25" x14ac:dyDescent="0.15">
      <c r="A27" s="198">
        <v>907034</v>
      </c>
      <c r="B27" t="s">
        <v>7657</v>
      </c>
      <c r="C27" s="237" t="s">
        <v>7374</v>
      </c>
      <c r="D27" s="234">
        <v>1001</v>
      </c>
      <c r="E27" s="235">
        <v>2</v>
      </c>
      <c r="F27" s="235">
        <v>1</v>
      </c>
      <c r="G27" s="157">
        <v>0</v>
      </c>
      <c r="H27" s="240">
        <v>0</v>
      </c>
      <c r="I27" s="235">
        <v>999</v>
      </c>
      <c r="J27" s="246" t="b">
        <v>1</v>
      </c>
      <c r="K27" s="238">
        <v>1</v>
      </c>
      <c r="L27" s="198">
        <v>2</v>
      </c>
      <c r="M27" s="198">
        <v>3</v>
      </c>
      <c r="N27" s="238">
        <v>0</v>
      </c>
      <c r="O27" s="238">
        <v>0</v>
      </c>
      <c r="P27" s="238">
        <v>1</v>
      </c>
      <c r="Q27" s="246">
        <v>0</v>
      </c>
      <c r="R27" s="246">
        <v>0</v>
      </c>
      <c r="S27" s="246">
        <v>0</v>
      </c>
      <c r="T27" t="s">
        <v>7658</v>
      </c>
      <c r="U27" s="246">
        <v>0</v>
      </c>
      <c r="V27" s="5" t="s">
        <v>7449</v>
      </c>
      <c r="W27" s="43">
        <v>0</v>
      </c>
      <c r="X27" s="197">
        <v>1</v>
      </c>
      <c r="Y27" s="197">
        <v>1</v>
      </c>
    </row>
    <row r="28" spans="1:25" x14ac:dyDescent="0.15">
      <c r="A28" s="198">
        <v>907035</v>
      </c>
      <c r="B28" t="s">
        <v>7659</v>
      </c>
      <c r="C28" s="236" t="s">
        <v>7374</v>
      </c>
      <c r="D28" s="234">
        <v>1001</v>
      </c>
      <c r="E28" s="235">
        <v>2</v>
      </c>
      <c r="F28" s="235">
        <v>1</v>
      </c>
      <c r="G28" s="157">
        <v>0</v>
      </c>
      <c r="H28" s="43">
        <v>0</v>
      </c>
      <c r="I28" s="235">
        <v>999</v>
      </c>
      <c r="J28" s="246" t="b">
        <v>1</v>
      </c>
      <c r="K28" s="238">
        <v>3</v>
      </c>
      <c r="L28" s="198">
        <v>6</v>
      </c>
      <c r="M28" s="198">
        <v>9</v>
      </c>
      <c r="N28" s="238">
        <v>0</v>
      </c>
      <c r="O28" s="238">
        <v>0</v>
      </c>
      <c r="P28" s="238">
        <v>1</v>
      </c>
      <c r="Q28" s="246">
        <v>0</v>
      </c>
      <c r="R28" s="246">
        <v>0</v>
      </c>
      <c r="S28" s="246">
        <v>0</v>
      </c>
      <c r="T28" t="s">
        <v>7660</v>
      </c>
      <c r="U28" s="198">
        <v>0</v>
      </c>
      <c r="V28" s="5" t="s">
        <v>7452</v>
      </c>
      <c r="W28" s="43">
        <v>0</v>
      </c>
      <c r="X28" s="197">
        <v>1</v>
      </c>
      <c r="Y28" s="197">
        <v>1</v>
      </c>
    </row>
    <row r="29" spans="1:25" x14ac:dyDescent="0.15">
      <c r="A29" s="198">
        <v>907036</v>
      </c>
      <c r="B29" t="s">
        <v>7661</v>
      </c>
      <c r="C29" s="237" t="s">
        <v>7374</v>
      </c>
      <c r="D29" s="234">
        <v>1001</v>
      </c>
      <c r="E29" s="235">
        <v>2</v>
      </c>
      <c r="F29" s="235">
        <v>1</v>
      </c>
      <c r="G29" s="157">
        <v>0</v>
      </c>
      <c r="H29" s="240">
        <v>0</v>
      </c>
      <c r="I29" s="235">
        <v>999</v>
      </c>
      <c r="J29" s="246" t="b">
        <v>1</v>
      </c>
      <c r="K29" s="238">
        <v>2</v>
      </c>
      <c r="L29" s="198">
        <v>4</v>
      </c>
      <c r="M29" s="198">
        <v>6</v>
      </c>
      <c r="N29" s="238">
        <v>0</v>
      </c>
      <c r="O29" s="238">
        <v>0</v>
      </c>
      <c r="P29" s="238">
        <v>1</v>
      </c>
      <c r="Q29" s="246">
        <v>0</v>
      </c>
      <c r="R29" s="246">
        <v>0</v>
      </c>
      <c r="S29" s="246">
        <v>0</v>
      </c>
      <c r="T29" t="s">
        <v>7662</v>
      </c>
      <c r="U29" s="246">
        <v>0</v>
      </c>
      <c r="V29" s="5" t="s">
        <v>7455</v>
      </c>
      <c r="W29" s="240">
        <v>0</v>
      </c>
      <c r="X29" s="197">
        <v>1</v>
      </c>
      <c r="Y29" s="197">
        <v>1</v>
      </c>
    </row>
    <row r="30" spans="1:25" x14ac:dyDescent="0.15">
      <c r="A30" s="198">
        <v>907037</v>
      </c>
      <c r="B30" t="s">
        <v>7663</v>
      </c>
      <c r="C30" s="236" t="s">
        <v>7374</v>
      </c>
      <c r="D30" s="234">
        <v>1001</v>
      </c>
      <c r="E30" s="235">
        <v>2</v>
      </c>
      <c r="F30" s="235">
        <v>1</v>
      </c>
      <c r="G30" s="157">
        <v>0</v>
      </c>
      <c r="H30" s="43">
        <v>0</v>
      </c>
      <c r="I30" s="235">
        <v>999</v>
      </c>
      <c r="J30" s="246" t="b">
        <v>1</v>
      </c>
      <c r="K30" s="238">
        <v>8</v>
      </c>
      <c r="L30" s="198">
        <v>16</v>
      </c>
      <c r="M30" s="198">
        <v>24</v>
      </c>
      <c r="N30" s="238">
        <v>0</v>
      </c>
      <c r="O30" s="238">
        <v>0</v>
      </c>
      <c r="P30" s="238">
        <v>1</v>
      </c>
      <c r="Q30" s="246">
        <v>0</v>
      </c>
      <c r="R30" s="246">
        <v>0</v>
      </c>
      <c r="S30" s="246">
        <v>0</v>
      </c>
      <c r="T30" t="s">
        <v>7664</v>
      </c>
      <c r="U30" s="246">
        <v>0</v>
      </c>
      <c r="V30" s="5" t="s">
        <v>7458</v>
      </c>
      <c r="W30" s="43">
        <v>0</v>
      </c>
      <c r="X30" s="197">
        <v>1</v>
      </c>
      <c r="Y30" s="197">
        <v>1</v>
      </c>
    </row>
    <row r="31" spans="1:25" x14ac:dyDescent="0.15">
      <c r="A31" s="198">
        <v>907038</v>
      </c>
      <c r="B31" t="s">
        <v>7665</v>
      </c>
      <c r="C31" s="236" t="s">
        <v>7374</v>
      </c>
      <c r="D31" s="234">
        <v>1001</v>
      </c>
      <c r="E31" s="235">
        <v>2</v>
      </c>
      <c r="F31" s="235">
        <v>1</v>
      </c>
      <c r="G31" s="157">
        <v>0</v>
      </c>
      <c r="H31" s="43">
        <v>0</v>
      </c>
      <c r="I31" s="235">
        <v>999</v>
      </c>
      <c r="J31" s="198" t="b">
        <v>1</v>
      </c>
      <c r="K31" s="235">
        <v>1</v>
      </c>
      <c r="L31" s="198">
        <v>2</v>
      </c>
      <c r="M31" s="198">
        <v>3</v>
      </c>
      <c r="N31" s="235">
        <v>0</v>
      </c>
      <c r="O31" s="235">
        <v>0</v>
      </c>
      <c r="P31" s="238">
        <v>1</v>
      </c>
      <c r="Q31" s="198">
        <v>0</v>
      </c>
      <c r="R31" s="198">
        <v>0</v>
      </c>
      <c r="S31" s="198">
        <v>0</v>
      </c>
      <c r="T31" t="s">
        <v>7666</v>
      </c>
      <c r="U31" s="198">
        <v>0</v>
      </c>
      <c r="V31" s="5" t="s">
        <v>7461</v>
      </c>
      <c r="W31" s="43">
        <v>0</v>
      </c>
      <c r="X31" s="197">
        <v>1</v>
      </c>
      <c r="Y31" s="197">
        <v>1</v>
      </c>
    </row>
    <row r="32" spans="1:25" x14ac:dyDescent="0.15">
      <c r="A32" s="198">
        <v>907039</v>
      </c>
      <c r="B32" t="s">
        <v>7667</v>
      </c>
      <c r="C32" s="236" t="s">
        <v>7374</v>
      </c>
      <c r="D32" s="234">
        <v>1001</v>
      </c>
      <c r="E32" s="235">
        <v>2</v>
      </c>
      <c r="F32" s="235">
        <v>1</v>
      </c>
      <c r="G32" s="157">
        <v>0</v>
      </c>
      <c r="H32" s="43">
        <v>0</v>
      </c>
      <c r="I32" s="235">
        <v>999</v>
      </c>
      <c r="J32" s="246" t="b">
        <v>1</v>
      </c>
      <c r="K32" s="238">
        <v>1</v>
      </c>
      <c r="L32" s="198">
        <v>2</v>
      </c>
      <c r="M32" s="198">
        <v>3</v>
      </c>
      <c r="N32" s="238">
        <v>0</v>
      </c>
      <c r="O32" s="238">
        <v>0</v>
      </c>
      <c r="P32" s="238">
        <v>1</v>
      </c>
      <c r="Q32" s="246">
        <v>0</v>
      </c>
      <c r="R32" s="246">
        <v>0</v>
      </c>
      <c r="S32" s="246">
        <v>0</v>
      </c>
      <c r="T32" t="s">
        <v>7668</v>
      </c>
      <c r="U32" s="246">
        <v>0</v>
      </c>
      <c r="V32" s="5" t="s">
        <v>7464</v>
      </c>
      <c r="W32" s="240">
        <v>0</v>
      </c>
      <c r="X32" s="197">
        <v>1</v>
      </c>
      <c r="Y32" s="197">
        <v>1</v>
      </c>
    </row>
    <row r="33" spans="1:25" x14ac:dyDescent="0.15">
      <c r="A33" s="198">
        <v>907040</v>
      </c>
      <c r="B33" t="s">
        <v>7669</v>
      </c>
      <c r="C33" s="236" t="s">
        <v>7374</v>
      </c>
      <c r="D33" s="234">
        <v>1001</v>
      </c>
      <c r="E33" s="235">
        <v>2</v>
      </c>
      <c r="F33" s="235">
        <v>1</v>
      </c>
      <c r="G33" s="157">
        <v>0</v>
      </c>
      <c r="H33" s="43">
        <v>0</v>
      </c>
      <c r="I33" s="235">
        <v>999</v>
      </c>
      <c r="J33" s="198" t="b">
        <v>1</v>
      </c>
      <c r="K33" s="235">
        <v>2</v>
      </c>
      <c r="L33" s="198">
        <v>4</v>
      </c>
      <c r="M33" s="198">
        <v>6</v>
      </c>
      <c r="N33" s="235">
        <v>0</v>
      </c>
      <c r="O33" s="235">
        <v>0</v>
      </c>
      <c r="P33" s="238">
        <v>1</v>
      </c>
      <c r="Q33" s="198">
        <v>0</v>
      </c>
      <c r="R33" s="198">
        <v>0</v>
      </c>
      <c r="S33" s="198">
        <v>0</v>
      </c>
      <c r="T33" t="s">
        <v>7670</v>
      </c>
      <c r="U33" s="246">
        <v>0</v>
      </c>
      <c r="V33" s="5" t="s">
        <v>7467</v>
      </c>
      <c r="W33" s="43">
        <v>0</v>
      </c>
      <c r="X33" s="197">
        <v>1</v>
      </c>
      <c r="Y33" s="197">
        <v>1</v>
      </c>
    </row>
    <row r="34" spans="1:25" x14ac:dyDescent="0.15">
      <c r="A34" s="198">
        <v>907041</v>
      </c>
      <c r="B34" t="s">
        <v>7671</v>
      </c>
      <c r="C34" s="236" t="s">
        <v>7374</v>
      </c>
      <c r="D34" s="234">
        <v>1001</v>
      </c>
      <c r="E34" s="235">
        <v>2</v>
      </c>
      <c r="F34" s="235">
        <v>1</v>
      </c>
      <c r="G34" s="157">
        <v>0</v>
      </c>
      <c r="H34" s="43">
        <v>0</v>
      </c>
      <c r="I34" s="235">
        <v>999</v>
      </c>
      <c r="J34" s="198" t="b">
        <v>1</v>
      </c>
      <c r="K34" s="235">
        <v>3</v>
      </c>
      <c r="L34" s="198">
        <v>6</v>
      </c>
      <c r="M34" s="198">
        <v>9</v>
      </c>
      <c r="N34" s="235">
        <v>0</v>
      </c>
      <c r="O34" s="235">
        <v>0</v>
      </c>
      <c r="P34" s="238">
        <v>1</v>
      </c>
      <c r="Q34" s="198">
        <v>0</v>
      </c>
      <c r="R34" s="198">
        <v>0</v>
      </c>
      <c r="S34" s="198">
        <v>0</v>
      </c>
      <c r="T34" t="s">
        <v>7672</v>
      </c>
      <c r="U34" s="198">
        <v>0</v>
      </c>
      <c r="V34" s="5" t="s">
        <v>7470</v>
      </c>
      <c r="W34" s="43">
        <v>0</v>
      </c>
      <c r="X34" s="197">
        <v>1</v>
      </c>
      <c r="Y34" s="197">
        <v>1</v>
      </c>
    </row>
    <row r="35" spans="1:25" x14ac:dyDescent="0.15">
      <c r="A35" s="198">
        <v>907042</v>
      </c>
      <c r="B35" t="s">
        <v>7673</v>
      </c>
      <c r="C35" s="236" t="s">
        <v>7374</v>
      </c>
      <c r="D35" s="234">
        <v>1001</v>
      </c>
      <c r="E35" s="235">
        <v>2</v>
      </c>
      <c r="F35" s="235">
        <v>0</v>
      </c>
      <c r="G35" s="157">
        <v>0</v>
      </c>
      <c r="H35" s="43">
        <v>0</v>
      </c>
      <c r="I35" s="235">
        <v>999</v>
      </c>
      <c r="J35" s="198" t="b">
        <v>1</v>
      </c>
      <c r="K35" s="235">
        <v>1</v>
      </c>
      <c r="L35" s="198">
        <v>2</v>
      </c>
      <c r="M35" s="198">
        <v>3</v>
      </c>
      <c r="N35" s="235">
        <v>0</v>
      </c>
      <c r="O35" s="235">
        <v>0</v>
      </c>
      <c r="P35" s="238">
        <v>1</v>
      </c>
      <c r="Q35" s="198">
        <v>0</v>
      </c>
      <c r="R35" s="198">
        <v>0</v>
      </c>
      <c r="S35" s="198">
        <v>0</v>
      </c>
      <c r="T35" t="s">
        <v>7674</v>
      </c>
      <c r="U35" s="246">
        <v>0</v>
      </c>
      <c r="V35" s="43" t="s">
        <v>7473</v>
      </c>
      <c r="W35" s="43">
        <v>0</v>
      </c>
      <c r="X35" s="197">
        <v>0</v>
      </c>
      <c r="Y35" s="197">
        <v>0</v>
      </c>
    </row>
    <row r="36" spans="1:25" x14ac:dyDescent="0.15">
      <c r="A36" s="198">
        <v>907043</v>
      </c>
      <c r="B36" t="s">
        <v>7675</v>
      </c>
      <c r="C36" s="236" t="s">
        <v>7374</v>
      </c>
      <c r="D36" s="234">
        <v>1001</v>
      </c>
      <c r="E36" s="235">
        <v>2</v>
      </c>
      <c r="F36" s="235">
        <v>0</v>
      </c>
      <c r="G36" s="157">
        <v>0</v>
      </c>
      <c r="H36" s="43">
        <v>0</v>
      </c>
      <c r="I36" s="235">
        <v>999</v>
      </c>
      <c r="J36" s="198" t="b">
        <v>1</v>
      </c>
      <c r="K36" s="235">
        <v>1</v>
      </c>
      <c r="L36" s="198">
        <v>2</v>
      </c>
      <c r="M36" s="198">
        <v>3</v>
      </c>
      <c r="N36" s="235">
        <v>0</v>
      </c>
      <c r="O36" s="235">
        <v>0</v>
      </c>
      <c r="P36" s="238">
        <v>1</v>
      </c>
      <c r="Q36" s="198">
        <v>0</v>
      </c>
      <c r="R36" s="198">
        <v>0</v>
      </c>
      <c r="S36" s="198">
        <v>0</v>
      </c>
      <c r="T36" t="s">
        <v>7674</v>
      </c>
      <c r="U36" s="198">
        <v>0</v>
      </c>
      <c r="V36" s="43" t="s">
        <v>7473</v>
      </c>
      <c r="W36" s="43">
        <v>0</v>
      </c>
      <c r="X36" s="197">
        <v>0</v>
      </c>
      <c r="Y36" s="197">
        <v>0</v>
      </c>
    </row>
    <row r="37" spans="1:25" x14ac:dyDescent="0.15">
      <c r="A37" s="198">
        <v>907044</v>
      </c>
      <c r="B37" t="s">
        <v>7676</v>
      </c>
      <c r="C37" s="236" t="s">
        <v>7374</v>
      </c>
      <c r="D37" s="234">
        <v>1001</v>
      </c>
      <c r="E37" s="235">
        <v>2</v>
      </c>
      <c r="F37" s="235">
        <v>0</v>
      </c>
      <c r="G37" s="157">
        <v>0</v>
      </c>
      <c r="H37" s="43">
        <v>0</v>
      </c>
      <c r="I37" s="235">
        <v>999</v>
      </c>
      <c r="J37" s="198" t="b">
        <v>1</v>
      </c>
      <c r="K37" s="235">
        <v>1</v>
      </c>
      <c r="L37" s="198">
        <v>2</v>
      </c>
      <c r="M37" s="198">
        <v>3</v>
      </c>
      <c r="N37" s="235">
        <v>0</v>
      </c>
      <c r="O37" s="235">
        <v>0</v>
      </c>
      <c r="P37" s="238">
        <v>1</v>
      </c>
      <c r="Q37" s="198">
        <v>0</v>
      </c>
      <c r="R37" s="198">
        <v>0</v>
      </c>
      <c r="S37" s="198">
        <v>0</v>
      </c>
      <c r="T37" t="s">
        <v>7674</v>
      </c>
      <c r="U37" s="246">
        <v>0</v>
      </c>
      <c r="V37" s="43" t="s">
        <v>7473</v>
      </c>
      <c r="W37" s="43">
        <v>0</v>
      </c>
      <c r="X37" s="197">
        <v>0</v>
      </c>
      <c r="Y37" s="197">
        <v>0</v>
      </c>
    </row>
    <row r="38" spans="1:25" x14ac:dyDescent="0.15">
      <c r="A38" s="198">
        <v>908002</v>
      </c>
      <c r="B38" t="s">
        <v>7677</v>
      </c>
      <c r="C38" s="236" t="s">
        <v>7374</v>
      </c>
      <c r="D38" s="234">
        <v>1001</v>
      </c>
      <c r="E38" s="235">
        <v>2</v>
      </c>
      <c r="F38" s="235">
        <v>0</v>
      </c>
      <c r="G38" s="157">
        <v>0</v>
      </c>
      <c r="H38" s="43">
        <v>0</v>
      </c>
      <c r="I38" s="235">
        <v>999</v>
      </c>
      <c r="J38" s="198" t="b">
        <v>1</v>
      </c>
      <c r="K38" s="235">
        <v>-1</v>
      </c>
      <c r="L38" s="198">
        <v>-2</v>
      </c>
      <c r="M38" s="198">
        <v>-3</v>
      </c>
      <c r="N38" s="235" t="s">
        <v>3383</v>
      </c>
      <c r="O38" s="235">
        <v>0</v>
      </c>
      <c r="P38" s="238">
        <v>1</v>
      </c>
      <c r="Q38" s="198">
        <v>0</v>
      </c>
      <c r="R38" s="198">
        <v>0</v>
      </c>
      <c r="S38" s="198" t="s">
        <v>7477</v>
      </c>
      <c r="T38" t="s">
        <v>7678</v>
      </c>
      <c r="U38" s="198">
        <v>0</v>
      </c>
      <c r="V38" s="5" t="s">
        <v>7479</v>
      </c>
      <c r="W38" s="43">
        <v>0</v>
      </c>
      <c r="X38" s="197">
        <v>1</v>
      </c>
      <c r="Y38" s="197">
        <v>1</v>
      </c>
    </row>
    <row r="39" spans="1:25" x14ac:dyDescent="0.15">
      <c r="A39" s="198">
        <v>908017</v>
      </c>
      <c r="B39" t="s">
        <v>7679</v>
      </c>
      <c r="C39" s="236" t="s">
        <v>7374</v>
      </c>
      <c r="D39" s="234">
        <v>1001</v>
      </c>
      <c r="E39" s="235">
        <v>2</v>
      </c>
      <c r="F39" s="235">
        <v>0</v>
      </c>
      <c r="G39" s="157">
        <v>0</v>
      </c>
      <c r="H39" s="43">
        <v>0</v>
      </c>
      <c r="I39" s="235">
        <v>999</v>
      </c>
      <c r="J39" s="198" t="b">
        <v>1</v>
      </c>
      <c r="K39" s="235">
        <v>-1</v>
      </c>
      <c r="L39" s="198">
        <v>-2</v>
      </c>
      <c r="M39" s="198">
        <v>-3</v>
      </c>
      <c r="N39" s="235" t="s">
        <v>3383</v>
      </c>
      <c r="O39" s="235">
        <v>0</v>
      </c>
      <c r="P39" s="238">
        <v>1</v>
      </c>
      <c r="Q39" s="198">
        <v>0</v>
      </c>
      <c r="R39" s="198">
        <v>0</v>
      </c>
      <c r="S39" s="198" t="s">
        <v>7477</v>
      </c>
      <c r="T39" t="s">
        <v>7680</v>
      </c>
      <c r="U39" s="198">
        <v>0</v>
      </c>
      <c r="V39" s="5" t="s">
        <v>7482</v>
      </c>
      <c r="W39" s="43">
        <v>0</v>
      </c>
      <c r="X39" s="197">
        <v>1</v>
      </c>
      <c r="Y39" s="197">
        <v>1</v>
      </c>
    </row>
    <row r="40" spans="1:25" x14ac:dyDescent="0.15">
      <c r="A40" s="198">
        <v>908031</v>
      </c>
      <c r="B40" t="s">
        <v>7681</v>
      </c>
      <c r="C40" s="236" t="s">
        <v>7374</v>
      </c>
      <c r="D40" s="234">
        <v>1001</v>
      </c>
      <c r="E40" s="235">
        <v>2</v>
      </c>
      <c r="F40" s="235">
        <v>0</v>
      </c>
      <c r="G40" s="157">
        <v>0</v>
      </c>
      <c r="H40" s="43">
        <v>0</v>
      </c>
      <c r="I40" s="235">
        <v>999</v>
      </c>
      <c r="J40" s="198" t="b">
        <v>1</v>
      </c>
      <c r="K40" s="235">
        <v>10</v>
      </c>
      <c r="L40" s="198">
        <v>20</v>
      </c>
      <c r="M40" s="198">
        <v>30</v>
      </c>
      <c r="N40" s="235">
        <v>0</v>
      </c>
      <c r="O40" s="235">
        <v>0</v>
      </c>
      <c r="P40" s="238">
        <v>1</v>
      </c>
      <c r="Q40" s="198">
        <v>0</v>
      </c>
      <c r="R40" s="198">
        <v>0</v>
      </c>
      <c r="S40" s="198">
        <v>0</v>
      </c>
      <c r="T40" t="s">
        <v>7682</v>
      </c>
      <c r="U40" s="198">
        <v>0</v>
      </c>
      <c r="V40" s="5" t="s">
        <v>7485</v>
      </c>
      <c r="W40" s="43">
        <v>0</v>
      </c>
      <c r="X40" s="197">
        <v>1</v>
      </c>
      <c r="Y40" s="197">
        <v>1</v>
      </c>
    </row>
    <row r="41" spans="1:25" x14ac:dyDescent="0.15">
      <c r="A41" s="198">
        <v>908034</v>
      </c>
      <c r="B41" t="s">
        <v>7683</v>
      </c>
      <c r="C41" s="236" t="s">
        <v>7374</v>
      </c>
      <c r="D41" s="234">
        <v>1001</v>
      </c>
      <c r="E41" s="235">
        <v>2</v>
      </c>
      <c r="F41" s="235">
        <v>0</v>
      </c>
      <c r="G41" s="157">
        <v>0</v>
      </c>
      <c r="H41" s="43">
        <v>0</v>
      </c>
      <c r="I41" s="235">
        <v>999</v>
      </c>
      <c r="J41" s="198" t="b">
        <v>1</v>
      </c>
      <c r="K41" s="235">
        <v>5</v>
      </c>
      <c r="L41" s="198">
        <v>10</v>
      </c>
      <c r="M41" s="198">
        <v>15</v>
      </c>
      <c r="N41" s="235">
        <v>0</v>
      </c>
      <c r="O41" s="235">
        <v>0</v>
      </c>
      <c r="P41" s="238">
        <v>1</v>
      </c>
      <c r="Q41" s="198">
        <v>0</v>
      </c>
      <c r="R41" s="198">
        <v>0</v>
      </c>
      <c r="S41" s="198">
        <v>0</v>
      </c>
      <c r="T41" t="s">
        <v>7684</v>
      </c>
      <c r="U41" s="198">
        <v>0</v>
      </c>
      <c r="V41" s="5" t="s">
        <v>7488</v>
      </c>
      <c r="W41" s="43">
        <v>0</v>
      </c>
      <c r="X41" s="197">
        <v>0</v>
      </c>
      <c r="Y41" s="197">
        <v>1</v>
      </c>
    </row>
    <row r="42" spans="1:25" x14ac:dyDescent="0.15">
      <c r="A42" s="198">
        <v>908035</v>
      </c>
      <c r="B42" t="s">
        <v>7685</v>
      </c>
      <c r="C42" s="236" t="s">
        <v>7374</v>
      </c>
      <c r="D42" s="234">
        <v>1001</v>
      </c>
      <c r="E42" s="235">
        <v>2</v>
      </c>
      <c r="F42" s="235">
        <v>0</v>
      </c>
      <c r="G42" s="157">
        <v>0</v>
      </c>
      <c r="H42" s="43">
        <v>0</v>
      </c>
      <c r="I42" s="235">
        <v>999</v>
      </c>
      <c r="J42" s="198" t="b">
        <v>1</v>
      </c>
      <c r="K42" s="235">
        <v>5</v>
      </c>
      <c r="L42" s="198">
        <v>10</v>
      </c>
      <c r="M42" s="198">
        <v>15</v>
      </c>
      <c r="N42" s="235">
        <v>0</v>
      </c>
      <c r="O42" s="235">
        <v>0</v>
      </c>
      <c r="P42" s="238">
        <v>1</v>
      </c>
      <c r="Q42" s="198">
        <v>0</v>
      </c>
      <c r="R42" s="198">
        <v>0</v>
      </c>
      <c r="S42" s="198">
        <v>0</v>
      </c>
      <c r="T42" t="s">
        <v>7686</v>
      </c>
      <c r="U42" s="198">
        <v>0</v>
      </c>
      <c r="V42" s="5" t="s">
        <v>7491</v>
      </c>
      <c r="W42" s="43">
        <v>0</v>
      </c>
      <c r="X42" s="197">
        <v>0</v>
      </c>
      <c r="Y42" s="197">
        <v>1</v>
      </c>
    </row>
    <row r="43" spans="1:25" x14ac:dyDescent="0.15">
      <c r="A43" s="198">
        <v>908036</v>
      </c>
      <c r="B43" t="s">
        <v>7687</v>
      </c>
      <c r="C43" s="236" t="s">
        <v>7374</v>
      </c>
      <c r="D43" s="234">
        <v>1001</v>
      </c>
      <c r="E43" s="235">
        <v>2</v>
      </c>
      <c r="F43" s="235">
        <v>0</v>
      </c>
      <c r="G43" s="157">
        <v>0</v>
      </c>
      <c r="H43" s="43">
        <v>0</v>
      </c>
      <c r="I43" s="235">
        <v>999</v>
      </c>
      <c r="J43" s="198" t="b">
        <v>1</v>
      </c>
      <c r="K43" s="235">
        <v>5</v>
      </c>
      <c r="L43" s="198">
        <v>10</v>
      </c>
      <c r="M43" s="198">
        <v>15</v>
      </c>
      <c r="N43" s="235">
        <v>0</v>
      </c>
      <c r="O43" s="235">
        <v>0</v>
      </c>
      <c r="P43" s="238">
        <v>1</v>
      </c>
      <c r="Q43" s="198">
        <v>0</v>
      </c>
      <c r="R43" s="198">
        <v>0</v>
      </c>
      <c r="S43" s="198">
        <v>0</v>
      </c>
      <c r="T43" t="s">
        <v>7688</v>
      </c>
      <c r="U43" s="198">
        <v>0</v>
      </c>
      <c r="V43" s="5" t="s">
        <v>7494</v>
      </c>
      <c r="W43" s="43">
        <v>0</v>
      </c>
      <c r="X43" s="197">
        <v>0</v>
      </c>
      <c r="Y43" s="197">
        <v>1</v>
      </c>
    </row>
    <row r="44" spans="1:25" x14ac:dyDescent="0.15">
      <c r="A44" s="198">
        <v>908043</v>
      </c>
      <c r="B44" t="s">
        <v>7689</v>
      </c>
      <c r="C44" s="236" t="s">
        <v>7374</v>
      </c>
      <c r="D44" s="234">
        <v>1001</v>
      </c>
      <c r="E44" s="235">
        <v>2</v>
      </c>
      <c r="F44" s="235">
        <v>0</v>
      </c>
      <c r="G44" s="157">
        <v>0</v>
      </c>
      <c r="H44" s="43">
        <v>0</v>
      </c>
      <c r="I44" s="235">
        <v>999</v>
      </c>
      <c r="J44" s="198" t="b">
        <v>1</v>
      </c>
      <c r="K44" s="235">
        <v>1</v>
      </c>
      <c r="L44" s="198">
        <v>2</v>
      </c>
      <c r="M44" s="198">
        <v>3</v>
      </c>
      <c r="N44" s="235">
        <v>0</v>
      </c>
      <c r="O44" s="235">
        <v>0</v>
      </c>
      <c r="P44" s="238">
        <v>1</v>
      </c>
      <c r="Q44" s="198">
        <v>0</v>
      </c>
      <c r="R44" s="198">
        <v>0</v>
      </c>
      <c r="S44" s="198">
        <v>0</v>
      </c>
      <c r="T44" t="s">
        <v>7690</v>
      </c>
      <c r="U44" s="198">
        <v>0</v>
      </c>
      <c r="V44" s="5" t="s">
        <v>7497</v>
      </c>
      <c r="W44" s="43">
        <v>0</v>
      </c>
      <c r="X44" s="197">
        <v>1</v>
      </c>
      <c r="Y44" s="197">
        <v>1</v>
      </c>
    </row>
    <row r="45" spans="1:25" x14ac:dyDescent="0.15">
      <c r="A45" s="198">
        <v>908044</v>
      </c>
      <c r="B45" t="s">
        <v>7691</v>
      </c>
      <c r="C45" s="236" t="s">
        <v>7374</v>
      </c>
      <c r="D45" s="234">
        <v>1001</v>
      </c>
      <c r="E45" s="235">
        <v>2</v>
      </c>
      <c r="F45" s="235">
        <v>0</v>
      </c>
      <c r="G45" s="157">
        <v>0</v>
      </c>
      <c r="H45" s="43">
        <v>0</v>
      </c>
      <c r="I45" s="235">
        <v>999</v>
      </c>
      <c r="J45" s="198" t="b">
        <v>1</v>
      </c>
      <c r="K45" s="235">
        <v>1</v>
      </c>
      <c r="L45" s="198">
        <v>2</v>
      </c>
      <c r="M45" s="198">
        <v>3</v>
      </c>
      <c r="N45" s="235">
        <v>0</v>
      </c>
      <c r="O45" s="235">
        <v>0</v>
      </c>
      <c r="P45" s="238">
        <v>1</v>
      </c>
      <c r="Q45" s="198">
        <v>0</v>
      </c>
      <c r="R45" s="198">
        <v>0</v>
      </c>
      <c r="S45" s="198">
        <v>0</v>
      </c>
      <c r="T45" t="s">
        <v>7692</v>
      </c>
      <c r="U45" s="198">
        <v>0</v>
      </c>
      <c r="V45" s="5" t="s">
        <v>7500</v>
      </c>
      <c r="W45" s="43">
        <v>0</v>
      </c>
      <c r="X45" s="197">
        <v>1</v>
      </c>
      <c r="Y45" s="197">
        <v>1</v>
      </c>
    </row>
    <row r="46" spans="1:25" x14ac:dyDescent="0.15">
      <c r="A46" s="198">
        <v>908048</v>
      </c>
      <c r="B46" t="s">
        <v>7693</v>
      </c>
      <c r="C46" s="236" t="s">
        <v>7374</v>
      </c>
      <c r="D46" s="234">
        <v>1001</v>
      </c>
      <c r="E46" s="235">
        <v>2</v>
      </c>
      <c r="F46" s="235">
        <v>0</v>
      </c>
      <c r="G46" s="157">
        <v>0</v>
      </c>
      <c r="H46" s="43">
        <v>0</v>
      </c>
      <c r="I46" s="235">
        <v>999</v>
      </c>
      <c r="J46" s="198" t="b">
        <v>1</v>
      </c>
      <c r="K46" s="235">
        <v>1</v>
      </c>
      <c r="L46" s="198">
        <v>2</v>
      </c>
      <c r="M46" s="198">
        <v>3</v>
      </c>
      <c r="N46" s="235">
        <v>0</v>
      </c>
      <c r="O46" s="235">
        <v>0</v>
      </c>
      <c r="P46" s="238">
        <v>1</v>
      </c>
      <c r="Q46" s="198">
        <v>0</v>
      </c>
      <c r="R46" s="198">
        <v>0</v>
      </c>
      <c r="S46" s="198">
        <v>0</v>
      </c>
      <c r="T46" t="s">
        <v>7694</v>
      </c>
      <c r="U46" s="198">
        <v>0</v>
      </c>
      <c r="V46" s="5" t="s">
        <v>7503</v>
      </c>
      <c r="W46" s="43">
        <v>0</v>
      </c>
      <c r="X46" s="197">
        <v>1</v>
      </c>
      <c r="Y46" s="197">
        <v>1</v>
      </c>
    </row>
    <row r="47" spans="1:25" x14ac:dyDescent="0.15">
      <c r="A47" s="198">
        <v>908049</v>
      </c>
      <c r="B47" t="s">
        <v>7695</v>
      </c>
      <c r="C47" s="236" t="s">
        <v>7374</v>
      </c>
      <c r="D47" s="234">
        <v>1001</v>
      </c>
      <c r="E47" s="235">
        <v>2</v>
      </c>
      <c r="F47" s="235">
        <v>0</v>
      </c>
      <c r="G47" s="157">
        <v>0</v>
      </c>
      <c r="H47" s="43">
        <v>0</v>
      </c>
      <c r="I47" s="235">
        <v>999</v>
      </c>
      <c r="J47" s="198" t="b">
        <v>1</v>
      </c>
      <c r="K47" s="235">
        <v>1</v>
      </c>
      <c r="L47" s="198">
        <v>2</v>
      </c>
      <c r="M47" s="198">
        <v>3</v>
      </c>
      <c r="N47" s="235">
        <v>0</v>
      </c>
      <c r="O47" s="235">
        <v>0</v>
      </c>
      <c r="P47" s="238">
        <v>1</v>
      </c>
      <c r="Q47" s="198">
        <v>0</v>
      </c>
      <c r="R47" s="198">
        <v>0</v>
      </c>
      <c r="S47" s="198">
        <v>0</v>
      </c>
      <c r="T47" t="s">
        <v>7696</v>
      </c>
      <c r="U47" s="198">
        <v>0</v>
      </c>
      <c r="V47" s="5" t="s">
        <v>7506</v>
      </c>
      <c r="W47" s="43">
        <v>0</v>
      </c>
      <c r="X47" s="197">
        <v>1</v>
      </c>
      <c r="Y47" s="197">
        <v>1</v>
      </c>
    </row>
    <row r="48" spans="1:25" x14ac:dyDescent="0.15">
      <c r="A48" s="198">
        <v>908050</v>
      </c>
      <c r="B48" t="s">
        <v>7697</v>
      </c>
      <c r="C48" s="236" t="s">
        <v>7374</v>
      </c>
      <c r="D48" s="234">
        <v>1001</v>
      </c>
      <c r="E48" s="235">
        <v>2</v>
      </c>
      <c r="F48" s="235">
        <v>0</v>
      </c>
      <c r="G48" s="157">
        <v>0</v>
      </c>
      <c r="H48" s="43">
        <v>0</v>
      </c>
      <c r="I48" s="235">
        <v>999</v>
      </c>
      <c r="J48" s="198" t="b">
        <v>1</v>
      </c>
      <c r="K48" s="235">
        <v>1</v>
      </c>
      <c r="L48" s="198">
        <v>2</v>
      </c>
      <c r="M48" s="198">
        <v>3</v>
      </c>
      <c r="N48" s="235">
        <v>0</v>
      </c>
      <c r="O48" s="235">
        <v>0</v>
      </c>
      <c r="P48" s="238">
        <v>1</v>
      </c>
      <c r="Q48" s="198">
        <v>0</v>
      </c>
      <c r="R48" s="198">
        <v>0</v>
      </c>
      <c r="S48" s="198">
        <v>0</v>
      </c>
      <c r="T48" t="s">
        <v>7698</v>
      </c>
      <c r="U48" s="198">
        <v>0</v>
      </c>
      <c r="V48" s="5" t="s">
        <v>7509</v>
      </c>
      <c r="W48" s="43">
        <v>0</v>
      </c>
      <c r="X48" s="197">
        <v>1</v>
      </c>
      <c r="Y48" s="197">
        <v>1</v>
      </c>
    </row>
    <row r="49" spans="1:25" x14ac:dyDescent="0.15">
      <c r="A49" s="198">
        <v>908056</v>
      </c>
      <c r="B49" t="s">
        <v>7699</v>
      </c>
      <c r="C49" s="236" t="s">
        <v>7374</v>
      </c>
      <c r="D49" s="234">
        <v>1001</v>
      </c>
      <c r="E49" s="235">
        <v>2</v>
      </c>
      <c r="F49" s="235">
        <v>0</v>
      </c>
      <c r="G49" s="157">
        <v>0</v>
      </c>
      <c r="H49" s="43">
        <v>0</v>
      </c>
      <c r="I49" s="235">
        <v>999</v>
      </c>
      <c r="J49" s="198" t="b">
        <v>1</v>
      </c>
      <c r="K49" s="235">
        <v>1</v>
      </c>
      <c r="L49" s="198">
        <v>2</v>
      </c>
      <c r="M49" s="198">
        <v>3</v>
      </c>
      <c r="N49" s="235">
        <v>0</v>
      </c>
      <c r="O49" s="235">
        <v>0</v>
      </c>
      <c r="P49" s="238">
        <v>1</v>
      </c>
      <c r="Q49" s="198">
        <v>0</v>
      </c>
      <c r="R49" s="198">
        <v>0</v>
      </c>
      <c r="S49" s="198">
        <v>0</v>
      </c>
      <c r="T49" t="s">
        <v>7700</v>
      </c>
      <c r="U49" s="198">
        <v>0</v>
      </c>
      <c r="V49" s="5" t="s">
        <v>7512</v>
      </c>
      <c r="W49" s="43">
        <v>0</v>
      </c>
      <c r="X49" s="197">
        <v>1</v>
      </c>
      <c r="Y49" s="197">
        <v>1</v>
      </c>
    </row>
    <row r="50" spans="1:25" x14ac:dyDescent="0.15">
      <c r="A50" s="198">
        <v>908057</v>
      </c>
      <c r="B50" t="s">
        <v>7701</v>
      </c>
      <c r="C50" s="236" t="s">
        <v>7374</v>
      </c>
      <c r="D50" s="234">
        <v>1001</v>
      </c>
      <c r="E50" s="235">
        <v>2</v>
      </c>
      <c r="F50" s="235">
        <v>0</v>
      </c>
      <c r="G50" s="157">
        <v>0</v>
      </c>
      <c r="H50" s="43">
        <v>0</v>
      </c>
      <c r="I50" s="235">
        <v>999</v>
      </c>
      <c r="J50" s="198" t="b">
        <v>1</v>
      </c>
      <c r="K50" s="235">
        <v>1</v>
      </c>
      <c r="L50" s="198">
        <v>2</v>
      </c>
      <c r="M50" s="198">
        <v>3</v>
      </c>
      <c r="N50" s="235">
        <v>0</v>
      </c>
      <c r="O50" s="235">
        <v>0</v>
      </c>
      <c r="P50" s="238">
        <v>1</v>
      </c>
      <c r="Q50" s="198">
        <v>0</v>
      </c>
      <c r="R50" s="198">
        <v>0</v>
      </c>
      <c r="S50" s="198">
        <v>0</v>
      </c>
      <c r="T50" t="s">
        <v>7702</v>
      </c>
      <c r="U50" s="198">
        <v>0</v>
      </c>
      <c r="V50" s="5" t="s">
        <v>7515</v>
      </c>
      <c r="W50" s="43">
        <v>0</v>
      </c>
      <c r="X50" s="197">
        <v>1</v>
      </c>
      <c r="Y50" s="197">
        <v>1</v>
      </c>
    </row>
    <row r="51" spans="1:25" x14ac:dyDescent="0.15">
      <c r="A51" s="198">
        <v>908058</v>
      </c>
      <c r="B51" t="s">
        <v>7703</v>
      </c>
      <c r="C51" s="236" t="s">
        <v>7374</v>
      </c>
      <c r="D51" s="234">
        <v>1001</v>
      </c>
      <c r="E51" s="235">
        <v>2</v>
      </c>
      <c r="F51" s="235">
        <v>0</v>
      </c>
      <c r="G51" s="157">
        <v>0</v>
      </c>
      <c r="H51" s="43">
        <v>0</v>
      </c>
      <c r="I51" s="235">
        <v>999</v>
      </c>
      <c r="J51" s="198" t="b">
        <v>1</v>
      </c>
      <c r="K51" s="235">
        <v>1</v>
      </c>
      <c r="L51" s="198">
        <v>2</v>
      </c>
      <c r="M51" s="198">
        <v>3</v>
      </c>
      <c r="N51" s="235">
        <v>0</v>
      </c>
      <c r="O51" s="235">
        <v>0</v>
      </c>
      <c r="P51" s="238">
        <v>1</v>
      </c>
      <c r="Q51" s="198">
        <v>0</v>
      </c>
      <c r="R51" s="198">
        <v>0</v>
      </c>
      <c r="S51" s="198">
        <v>0</v>
      </c>
      <c r="T51" t="s">
        <v>7704</v>
      </c>
      <c r="U51" s="198">
        <v>0</v>
      </c>
      <c r="V51" s="5" t="s">
        <v>7518</v>
      </c>
      <c r="W51" s="43">
        <v>0</v>
      </c>
      <c r="X51" s="197">
        <v>1</v>
      </c>
      <c r="Y51" s="197">
        <v>1</v>
      </c>
    </row>
    <row r="52" spans="1:25" x14ac:dyDescent="0.15">
      <c r="A52" s="198">
        <v>908059</v>
      </c>
      <c r="B52" t="s">
        <v>7705</v>
      </c>
      <c r="C52" s="236" t="s">
        <v>7374</v>
      </c>
      <c r="D52" s="234">
        <v>1001</v>
      </c>
      <c r="E52" s="235">
        <v>2</v>
      </c>
      <c r="F52" s="235">
        <v>0</v>
      </c>
      <c r="G52" s="157">
        <v>0</v>
      </c>
      <c r="H52" s="43">
        <v>0</v>
      </c>
      <c r="I52" s="235">
        <v>999</v>
      </c>
      <c r="J52" s="198" t="b">
        <v>1</v>
      </c>
      <c r="K52" s="235">
        <v>1</v>
      </c>
      <c r="L52" s="198">
        <v>2</v>
      </c>
      <c r="M52" s="198">
        <v>3</v>
      </c>
      <c r="N52" s="235">
        <v>0</v>
      </c>
      <c r="O52" s="235">
        <v>0</v>
      </c>
      <c r="P52" s="238">
        <v>1</v>
      </c>
      <c r="Q52" s="198">
        <v>0</v>
      </c>
      <c r="R52" s="198">
        <v>0</v>
      </c>
      <c r="S52" s="198">
        <v>0</v>
      </c>
      <c r="T52" t="s">
        <v>7706</v>
      </c>
      <c r="U52" s="198">
        <v>0</v>
      </c>
      <c r="V52" s="5" t="s">
        <v>7521</v>
      </c>
      <c r="W52" s="43">
        <v>0</v>
      </c>
      <c r="X52" s="197">
        <v>1</v>
      </c>
      <c r="Y52" s="197">
        <v>1</v>
      </c>
    </row>
    <row r="53" spans="1:25" x14ac:dyDescent="0.15">
      <c r="A53" s="198">
        <v>908060</v>
      </c>
      <c r="B53" t="s">
        <v>7707</v>
      </c>
      <c r="C53" s="236" t="s">
        <v>7374</v>
      </c>
      <c r="D53" s="234">
        <v>1001</v>
      </c>
      <c r="E53" s="235">
        <v>2</v>
      </c>
      <c r="F53" s="235">
        <v>0</v>
      </c>
      <c r="G53" s="157">
        <v>0</v>
      </c>
      <c r="H53" s="43">
        <v>0</v>
      </c>
      <c r="I53" s="235">
        <v>999</v>
      </c>
      <c r="J53" s="198" t="b">
        <v>1</v>
      </c>
      <c r="K53" s="235">
        <v>20</v>
      </c>
      <c r="L53" s="198">
        <v>40</v>
      </c>
      <c r="M53" s="198">
        <v>60</v>
      </c>
      <c r="N53" s="235">
        <v>0</v>
      </c>
      <c r="O53" s="235">
        <v>0</v>
      </c>
      <c r="P53" s="238">
        <v>1</v>
      </c>
      <c r="Q53" s="198">
        <v>0</v>
      </c>
      <c r="R53" s="198">
        <v>0</v>
      </c>
      <c r="S53" s="198">
        <v>0</v>
      </c>
      <c r="T53" t="s">
        <v>7708</v>
      </c>
      <c r="U53" s="198">
        <v>0</v>
      </c>
      <c r="V53" s="5" t="s">
        <v>7524</v>
      </c>
      <c r="W53" s="43">
        <v>0</v>
      </c>
      <c r="X53" s="197">
        <v>1</v>
      </c>
      <c r="Y53" s="197">
        <v>1</v>
      </c>
    </row>
    <row r="54" spans="1:25" x14ac:dyDescent="0.15">
      <c r="A54" s="198">
        <v>908061</v>
      </c>
      <c r="B54" t="s">
        <v>7709</v>
      </c>
      <c r="C54" s="236" t="s">
        <v>7374</v>
      </c>
      <c r="D54" s="234">
        <v>1001</v>
      </c>
      <c r="E54" s="235">
        <v>2</v>
      </c>
      <c r="F54" s="235">
        <v>0</v>
      </c>
      <c r="G54" s="157">
        <v>0</v>
      </c>
      <c r="H54" s="43">
        <v>0</v>
      </c>
      <c r="I54" s="235">
        <v>999</v>
      </c>
      <c r="J54" s="198" t="b">
        <v>1</v>
      </c>
      <c r="K54" s="235">
        <v>5</v>
      </c>
      <c r="L54" s="198">
        <v>10</v>
      </c>
      <c r="M54" s="198">
        <v>15</v>
      </c>
      <c r="N54" s="235">
        <v>0</v>
      </c>
      <c r="O54" s="235">
        <v>0</v>
      </c>
      <c r="P54" s="238">
        <v>1</v>
      </c>
      <c r="Q54" s="198">
        <v>0</v>
      </c>
      <c r="R54" s="198">
        <v>0</v>
      </c>
      <c r="S54" s="198">
        <v>0</v>
      </c>
      <c r="T54" t="s">
        <v>7710</v>
      </c>
      <c r="U54" s="198">
        <v>0</v>
      </c>
      <c r="V54" s="5" t="s">
        <v>7527</v>
      </c>
      <c r="W54" s="43">
        <v>0</v>
      </c>
      <c r="X54" s="197">
        <v>0</v>
      </c>
      <c r="Y54" s="197">
        <v>1</v>
      </c>
    </row>
    <row r="55" spans="1:25" x14ac:dyDescent="0.15">
      <c r="A55" s="198">
        <v>908062</v>
      </c>
      <c r="B55" t="s">
        <v>7711</v>
      </c>
      <c r="C55" s="236" t="s">
        <v>7374</v>
      </c>
      <c r="D55" s="234">
        <v>1001</v>
      </c>
      <c r="E55" s="235">
        <v>2</v>
      </c>
      <c r="F55" s="235">
        <v>0</v>
      </c>
      <c r="G55" s="157">
        <v>0</v>
      </c>
      <c r="H55" s="43">
        <v>0</v>
      </c>
      <c r="I55" s="235">
        <v>999</v>
      </c>
      <c r="J55" s="198" t="b">
        <v>1</v>
      </c>
      <c r="K55" s="235">
        <v>600</v>
      </c>
      <c r="L55" s="235">
        <v>1200</v>
      </c>
      <c r="M55" s="235">
        <v>1800</v>
      </c>
      <c r="N55" s="235">
        <v>0</v>
      </c>
      <c r="O55" s="235">
        <v>0</v>
      </c>
      <c r="P55" s="238">
        <v>1</v>
      </c>
      <c r="Q55" s="198">
        <v>0</v>
      </c>
      <c r="R55" s="198">
        <v>0</v>
      </c>
      <c r="S55" s="198">
        <v>0</v>
      </c>
      <c r="T55" t="s">
        <v>7712</v>
      </c>
      <c r="U55" s="198">
        <v>0</v>
      </c>
      <c r="V55" s="5" t="s">
        <v>7530</v>
      </c>
      <c r="W55" s="43">
        <v>0</v>
      </c>
      <c r="X55" s="197">
        <v>0</v>
      </c>
      <c r="Y55" s="197">
        <v>1</v>
      </c>
    </row>
    <row r="56" spans="1:25" x14ac:dyDescent="0.15">
      <c r="A56" s="198">
        <v>908178</v>
      </c>
      <c r="B56" t="s">
        <v>7713</v>
      </c>
      <c r="C56" s="236" t="s">
        <v>7374</v>
      </c>
      <c r="D56" s="234">
        <v>1001</v>
      </c>
      <c r="E56" s="235">
        <v>5</v>
      </c>
      <c r="F56" s="235">
        <v>0</v>
      </c>
      <c r="G56" s="157">
        <v>28</v>
      </c>
      <c r="H56" s="43">
        <v>0</v>
      </c>
      <c r="I56" s="235">
        <v>999</v>
      </c>
      <c r="J56" s="198" t="b">
        <v>1</v>
      </c>
      <c r="K56" s="235">
        <v>100</v>
      </c>
      <c r="L56" s="235">
        <v>200</v>
      </c>
      <c r="M56" s="235">
        <v>300</v>
      </c>
      <c r="N56" s="235">
        <v>0</v>
      </c>
      <c r="O56" s="235">
        <v>0</v>
      </c>
      <c r="P56" s="238">
        <v>1</v>
      </c>
      <c r="Q56" s="198">
        <v>0</v>
      </c>
      <c r="R56" s="198">
        <v>0</v>
      </c>
      <c r="S56" s="198">
        <v>0</v>
      </c>
      <c r="T56" t="s">
        <v>7714</v>
      </c>
      <c r="U56" s="198">
        <v>0</v>
      </c>
      <c r="V56" s="5" t="s">
        <v>7533</v>
      </c>
      <c r="W56" s="43">
        <v>0</v>
      </c>
      <c r="X56" s="197">
        <v>1</v>
      </c>
      <c r="Y56" s="197">
        <v>1</v>
      </c>
    </row>
    <row r="57" spans="1:25" x14ac:dyDescent="0.15">
      <c r="A57" s="198">
        <v>908179</v>
      </c>
      <c r="B57" t="s">
        <v>7715</v>
      </c>
      <c r="C57" s="236" t="s">
        <v>7374</v>
      </c>
      <c r="D57" s="234">
        <v>1001</v>
      </c>
      <c r="E57" s="235">
        <v>5</v>
      </c>
      <c r="F57" s="235">
        <v>0</v>
      </c>
      <c r="G57" s="157">
        <v>28</v>
      </c>
      <c r="H57" s="43">
        <v>0</v>
      </c>
      <c r="I57" s="235">
        <v>999</v>
      </c>
      <c r="J57" s="198" t="b">
        <v>1</v>
      </c>
      <c r="K57" s="235">
        <v>100</v>
      </c>
      <c r="L57" s="235">
        <v>200</v>
      </c>
      <c r="M57" s="235">
        <v>300</v>
      </c>
      <c r="N57" s="235">
        <v>0</v>
      </c>
      <c r="O57" s="235">
        <v>0</v>
      </c>
      <c r="P57" s="238">
        <v>1</v>
      </c>
      <c r="Q57" s="198">
        <v>0</v>
      </c>
      <c r="R57" s="198">
        <v>0</v>
      </c>
      <c r="S57" s="198">
        <v>0</v>
      </c>
      <c r="T57" t="s">
        <v>7716</v>
      </c>
      <c r="U57" s="198">
        <v>0</v>
      </c>
      <c r="V57" s="5" t="s">
        <v>7536</v>
      </c>
      <c r="W57" s="43">
        <v>0</v>
      </c>
      <c r="X57" s="197">
        <v>1</v>
      </c>
      <c r="Y57" s="197">
        <v>1</v>
      </c>
    </row>
    <row r="58" spans="1:25" x14ac:dyDescent="0.15">
      <c r="A58" s="198">
        <v>908180</v>
      </c>
      <c r="B58" t="s">
        <v>7717</v>
      </c>
      <c r="C58" s="236" t="s">
        <v>7374</v>
      </c>
      <c r="D58" s="234">
        <v>1001</v>
      </c>
      <c r="E58" s="235">
        <v>5</v>
      </c>
      <c r="F58" s="235">
        <v>0</v>
      </c>
      <c r="G58" s="157">
        <v>28</v>
      </c>
      <c r="H58" s="43">
        <v>0</v>
      </c>
      <c r="I58" s="235">
        <v>999</v>
      </c>
      <c r="J58" s="198" t="b">
        <v>1</v>
      </c>
      <c r="K58" s="235">
        <v>100</v>
      </c>
      <c r="L58" s="235">
        <v>200</v>
      </c>
      <c r="M58" s="235">
        <v>300</v>
      </c>
      <c r="N58" s="235">
        <v>0</v>
      </c>
      <c r="O58" s="235">
        <v>0</v>
      </c>
      <c r="P58" s="238">
        <v>1</v>
      </c>
      <c r="Q58" s="198">
        <v>0</v>
      </c>
      <c r="R58" s="198">
        <v>0</v>
      </c>
      <c r="S58" s="198">
        <v>0</v>
      </c>
      <c r="T58" t="s">
        <v>7718</v>
      </c>
      <c r="U58" s="198">
        <v>0</v>
      </c>
      <c r="V58" s="5" t="s">
        <v>7539</v>
      </c>
      <c r="W58" s="43">
        <v>0</v>
      </c>
      <c r="X58" s="197">
        <v>1</v>
      </c>
      <c r="Y58" s="197">
        <v>1</v>
      </c>
    </row>
    <row r="59" spans="1:25" x14ac:dyDescent="0.15">
      <c r="A59" s="198">
        <v>908181</v>
      </c>
      <c r="B59" t="s">
        <v>7719</v>
      </c>
      <c r="C59" s="236" t="s">
        <v>7374</v>
      </c>
      <c r="D59" s="234">
        <v>1001</v>
      </c>
      <c r="E59" s="235">
        <v>5</v>
      </c>
      <c r="F59" s="235">
        <v>0</v>
      </c>
      <c r="G59" s="157">
        <v>28</v>
      </c>
      <c r="H59" s="43">
        <v>0</v>
      </c>
      <c r="I59" s="235">
        <v>999</v>
      </c>
      <c r="J59" s="198" t="b">
        <v>1</v>
      </c>
      <c r="K59" s="235">
        <v>100</v>
      </c>
      <c r="L59" s="235">
        <v>200</v>
      </c>
      <c r="M59" s="235">
        <v>300</v>
      </c>
      <c r="N59" s="235">
        <v>0</v>
      </c>
      <c r="O59" s="235">
        <v>0</v>
      </c>
      <c r="P59" s="238">
        <v>1</v>
      </c>
      <c r="Q59" s="198">
        <v>0</v>
      </c>
      <c r="R59" s="198">
        <v>0</v>
      </c>
      <c r="S59" s="198">
        <v>0</v>
      </c>
      <c r="T59" t="s">
        <v>7720</v>
      </c>
      <c r="U59" s="198">
        <v>0</v>
      </c>
      <c r="V59" s="5" t="s">
        <v>3704</v>
      </c>
      <c r="W59" s="43">
        <v>0</v>
      </c>
      <c r="X59" s="197">
        <v>1</v>
      </c>
      <c r="Y59" s="197">
        <v>1</v>
      </c>
    </row>
    <row r="60" spans="1:25" x14ac:dyDescent="0.15">
      <c r="A60" s="198">
        <v>908182</v>
      </c>
      <c r="B60" t="s">
        <v>7721</v>
      </c>
      <c r="C60" s="236" t="s">
        <v>7374</v>
      </c>
      <c r="D60" s="234">
        <v>1001</v>
      </c>
      <c r="E60" s="235">
        <v>5</v>
      </c>
      <c r="F60" s="235">
        <v>0</v>
      </c>
      <c r="G60" s="157">
        <v>28</v>
      </c>
      <c r="H60" s="43">
        <v>0</v>
      </c>
      <c r="I60" s="235">
        <v>999</v>
      </c>
      <c r="J60" s="198" t="b">
        <v>1</v>
      </c>
      <c r="K60" s="235">
        <v>100</v>
      </c>
      <c r="L60" s="235">
        <v>200</v>
      </c>
      <c r="M60" s="235">
        <v>300</v>
      </c>
      <c r="N60" s="235">
        <v>0</v>
      </c>
      <c r="O60" s="235">
        <v>0</v>
      </c>
      <c r="P60" s="238">
        <v>1</v>
      </c>
      <c r="Q60" s="198">
        <v>0</v>
      </c>
      <c r="R60" s="198">
        <v>0</v>
      </c>
      <c r="S60" s="198">
        <v>0</v>
      </c>
      <c r="T60" t="s">
        <v>7722</v>
      </c>
      <c r="U60" s="198">
        <v>0</v>
      </c>
      <c r="V60" s="5" t="s">
        <v>3764</v>
      </c>
      <c r="W60" s="43">
        <v>0</v>
      </c>
      <c r="X60" s="197">
        <v>1</v>
      </c>
      <c r="Y60" s="197">
        <v>1</v>
      </c>
    </row>
    <row r="61" spans="1:25" x14ac:dyDescent="0.15">
      <c r="A61" s="198">
        <v>908183</v>
      </c>
      <c r="B61" t="s">
        <v>7723</v>
      </c>
      <c r="C61" s="236" t="s">
        <v>7374</v>
      </c>
      <c r="D61" s="234">
        <v>1001</v>
      </c>
      <c r="E61" s="235">
        <v>5</v>
      </c>
      <c r="F61" s="235">
        <v>0</v>
      </c>
      <c r="G61" s="157">
        <v>31</v>
      </c>
      <c r="H61" s="43">
        <v>0</v>
      </c>
      <c r="I61" s="235">
        <v>999</v>
      </c>
      <c r="J61" s="198" t="b">
        <v>1</v>
      </c>
      <c r="K61" s="235">
        <v>100</v>
      </c>
      <c r="L61" s="235">
        <v>200</v>
      </c>
      <c r="M61" s="235">
        <v>300</v>
      </c>
      <c r="N61" s="235">
        <v>0</v>
      </c>
      <c r="O61" s="235">
        <v>0</v>
      </c>
      <c r="P61" s="238">
        <v>1</v>
      </c>
      <c r="Q61" s="198">
        <v>0</v>
      </c>
      <c r="R61" s="198">
        <v>0</v>
      </c>
      <c r="S61" s="198">
        <v>0</v>
      </c>
      <c r="T61" t="s">
        <v>7724</v>
      </c>
      <c r="U61" s="198">
        <v>0</v>
      </c>
      <c r="V61" s="5" t="s">
        <v>7546</v>
      </c>
      <c r="W61" s="43">
        <v>0</v>
      </c>
      <c r="X61" s="197">
        <v>1</v>
      </c>
      <c r="Y61" s="197">
        <v>1</v>
      </c>
    </row>
    <row r="62" spans="1:25" x14ac:dyDescent="0.15">
      <c r="A62" s="198">
        <v>908184</v>
      </c>
      <c r="B62" t="s">
        <v>7725</v>
      </c>
      <c r="C62" s="236" t="s">
        <v>7374</v>
      </c>
      <c r="D62" s="234">
        <v>1001</v>
      </c>
      <c r="E62" s="235">
        <v>5</v>
      </c>
      <c r="F62" s="235">
        <v>0</v>
      </c>
      <c r="G62" s="157">
        <v>31</v>
      </c>
      <c r="H62" s="43">
        <v>0</v>
      </c>
      <c r="I62" s="235">
        <v>999</v>
      </c>
      <c r="J62" s="198" t="b">
        <v>1</v>
      </c>
      <c r="K62" s="235">
        <v>100</v>
      </c>
      <c r="L62" s="235">
        <v>200</v>
      </c>
      <c r="M62" s="235">
        <v>300</v>
      </c>
      <c r="N62" s="235">
        <v>0</v>
      </c>
      <c r="O62" s="235">
        <v>0</v>
      </c>
      <c r="P62" s="238">
        <v>1</v>
      </c>
      <c r="Q62" s="198">
        <v>0</v>
      </c>
      <c r="R62" s="198">
        <v>0</v>
      </c>
      <c r="S62" s="198">
        <v>0</v>
      </c>
      <c r="T62" t="s">
        <v>7726</v>
      </c>
      <c r="U62" s="198">
        <v>0</v>
      </c>
      <c r="V62" s="5" t="s">
        <v>7549</v>
      </c>
      <c r="W62" s="43">
        <v>0</v>
      </c>
      <c r="X62" s="197">
        <v>1</v>
      </c>
      <c r="Y62" s="197">
        <v>1</v>
      </c>
    </row>
    <row r="63" spans="1:25" x14ac:dyDescent="0.15">
      <c r="A63" s="198">
        <v>908185</v>
      </c>
      <c r="B63" t="s">
        <v>7727</v>
      </c>
      <c r="C63" s="236" t="s">
        <v>7374</v>
      </c>
      <c r="D63" s="234">
        <v>1001</v>
      </c>
      <c r="E63" s="235">
        <v>5</v>
      </c>
      <c r="F63" s="235">
        <v>0</v>
      </c>
      <c r="G63" s="157">
        <v>31</v>
      </c>
      <c r="H63" s="43">
        <v>0</v>
      </c>
      <c r="I63" s="235">
        <v>999</v>
      </c>
      <c r="J63" s="198" t="b">
        <v>1</v>
      </c>
      <c r="K63" s="235">
        <v>100</v>
      </c>
      <c r="L63" s="235">
        <v>200</v>
      </c>
      <c r="M63" s="235">
        <v>300</v>
      </c>
      <c r="N63" s="235">
        <v>0</v>
      </c>
      <c r="O63" s="235">
        <v>0</v>
      </c>
      <c r="P63" s="238">
        <v>1</v>
      </c>
      <c r="Q63" s="198">
        <v>0</v>
      </c>
      <c r="R63" s="198">
        <v>0</v>
      </c>
      <c r="S63" s="198">
        <v>0</v>
      </c>
      <c r="T63" t="s">
        <v>7728</v>
      </c>
      <c r="U63" s="198">
        <v>0</v>
      </c>
      <c r="V63" s="5" t="s">
        <v>7552</v>
      </c>
      <c r="W63" s="43">
        <v>0</v>
      </c>
      <c r="X63" s="197">
        <v>1</v>
      </c>
      <c r="Y63" s="197">
        <v>1</v>
      </c>
    </row>
    <row r="64" spans="1:25" x14ac:dyDescent="0.15">
      <c r="A64" s="198">
        <v>908186</v>
      </c>
      <c r="B64" t="s">
        <v>7729</v>
      </c>
      <c r="C64" s="236" t="s">
        <v>7374</v>
      </c>
      <c r="D64" s="234">
        <v>1001</v>
      </c>
      <c r="E64" s="235">
        <v>5</v>
      </c>
      <c r="F64" s="235">
        <v>0</v>
      </c>
      <c r="G64" s="157">
        <v>31</v>
      </c>
      <c r="H64" s="43">
        <v>0</v>
      </c>
      <c r="I64" s="235">
        <v>999</v>
      </c>
      <c r="J64" s="198" t="b">
        <v>1</v>
      </c>
      <c r="K64" s="235">
        <v>100</v>
      </c>
      <c r="L64" s="235">
        <v>200</v>
      </c>
      <c r="M64" s="235">
        <v>300</v>
      </c>
      <c r="N64" s="235">
        <v>0</v>
      </c>
      <c r="O64" s="235">
        <v>0</v>
      </c>
      <c r="P64" s="238">
        <v>1</v>
      </c>
      <c r="Q64" s="198">
        <v>0</v>
      </c>
      <c r="R64" s="198">
        <v>0</v>
      </c>
      <c r="S64" s="198">
        <v>0</v>
      </c>
      <c r="T64" t="s">
        <v>7730</v>
      </c>
      <c r="U64" s="198">
        <v>0</v>
      </c>
      <c r="V64" s="5" t="s">
        <v>7555</v>
      </c>
      <c r="W64" s="43">
        <v>0</v>
      </c>
      <c r="X64" s="197">
        <v>1</v>
      </c>
      <c r="Y64" s="197">
        <v>1</v>
      </c>
    </row>
    <row r="65" spans="1:25" x14ac:dyDescent="0.15">
      <c r="A65" s="198">
        <v>908215</v>
      </c>
      <c r="B65" t="s">
        <v>7731</v>
      </c>
      <c r="C65" s="236" t="s">
        <v>7374</v>
      </c>
      <c r="D65" s="234">
        <v>1001</v>
      </c>
      <c r="E65" s="235">
        <v>4</v>
      </c>
      <c r="F65" s="235">
        <v>0</v>
      </c>
      <c r="G65" s="157">
        <v>28</v>
      </c>
      <c r="H65" s="43">
        <v>0</v>
      </c>
      <c r="I65" s="235">
        <v>999</v>
      </c>
      <c r="J65" s="198" t="b">
        <v>1</v>
      </c>
      <c r="K65" s="235">
        <v>100</v>
      </c>
      <c r="L65" s="235">
        <v>200</v>
      </c>
      <c r="M65" s="235">
        <v>300</v>
      </c>
      <c r="N65" s="235">
        <v>0</v>
      </c>
      <c r="O65" s="235">
        <v>0</v>
      </c>
      <c r="P65" s="238">
        <v>1</v>
      </c>
      <c r="Q65" s="198">
        <v>0</v>
      </c>
      <c r="R65" s="198">
        <v>0</v>
      </c>
      <c r="S65" s="198">
        <v>0</v>
      </c>
      <c r="T65" t="s">
        <v>7732</v>
      </c>
      <c r="U65" s="198">
        <v>0</v>
      </c>
      <c r="V65" s="5" t="s">
        <v>7461</v>
      </c>
      <c r="W65" s="43">
        <v>0</v>
      </c>
      <c r="X65" s="197">
        <v>1</v>
      </c>
      <c r="Y65" s="197">
        <v>1</v>
      </c>
    </row>
    <row r="66" spans="1:25" x14ac:dyDescent="0.15">
      <c r="A66" s="198">
        <v>908216</v>
      </c>
      <c r="B66" t="s">
        <v>7733</v>
      </c>
      <c r="C66" s="236" t="s">
        <v>7374</v>
      </c>
      <c r="D66" s="234">
        <v>1001</v>
      </c>
      <c r="E66" s="235">
        <v>4</v>
      </c>
      <c r="F66" s="235">
        <v>0</v>
      </c>
      <c r="G66" s="157">
        <v>28</v>
      </c>
      <c r="H66" s="43">
        <v>0</v>
      </c>
      <c r="I66" s="235">
        <v>999</v>
      </c>
      <c r="J66" s="198" t="b">
        <v>1</v>
      </c>
      <c r="K66" s="235">
        <v>100</v>
      </c>
      <c r="L66" s="235">
        <v>200</v>
      </c>
      <c r="M66" s="235">
        <v>300</v>
      </c>
      <c r="N66" s="235">
        <v>0</v>
      </c>
      <c r="O66" s="235">
        <v>0</v>
      </c>
      <c r="P66" s="238">
        <v>1</v>
      </c>
      <c r="Q66" s="198">
        <v>0</v>
      </c>
      <c r="R66" s="198">
        <v>0</v>
      </c>
      <c r="S66" s="198">
        <v>0</v>
      </c>
      <c r="T66" t="s">
        <v>7734</v>
      </c>
      <c r="U66" s="198">
        <v>0</v>
      </c>
      <c r="V66" s="5" t="s">
        <v>3395</v>
      </c>
      <c r="W66" s="43">
        <v>0</v>
      </c>
      <c r="X66" s="197">
        <v>1</v>
      </c>
      <c r="Y66" s="197">
        <v>1</v>
      </c>
    </row>
    <row r="67" spans="1:25" x14ac:dyDescent="0.15">
      <c r="A67" s="198">
        <v>908217</v>
      </c>
      <c r="B67" t="s">
        <v>7735</v>
      </c>
      <c r="C67" s="236" t="s">
        <v>7374</v>
      </c>
      <c r="D67" s="234">
        <v>1001</v>
      </c>
      <c r="E67" s="235">
        <v>4</v>
      </c>
      <c r="F67" s="235">
        <v>0</v>
      </c>
      <c r="G67" s="157">
        <v>28</v>
      </c>
      <c r="H67" s="43">
        <v>0</v>
      </c>
      <c r="I67" s="235">
        <v>999</v>
      </c>
      <c r="J67" s="198" t="b">
        <v>1</v>
      </c>
      <c r="K67" s="235">
        <v>100</v>
      </c>
      <c r="L67" s="235">
        <v>200</v>
      </c>
      <c r="M67" s="235">
        <v>300</v>
      </c>
      <c r="N67" s="235">
        <v>0</v>
      </c>
      <c r="O67" s="235">
        <v>0</v>
      </c>
      <c r="P67" s="238">
        <v>1</v>
      </c>
      <c r="Q67" s="198">
        <v>0</v>
      </c>
      <c r="R67" s="198">
        <v>0</v>
      </c>
      <c r="S67" s="198">
        <v>0</v>
      </c>
      <c r="T67" t="s">
        <v>7736</v>
      </c>
      <c r="U67" s="198">
        <v>0</v>
      </c>
      <c r="V67" s="5" t="s">
        <v>7562</v>
      </c>
      <c r="W67" s="43">
        <v>0</v>
      </c>
      <c r="X67" s="197">
        <v>1</v>
      </c>
      <c r="Y67" s="197">
        <v>1</v>
      </c>
    </row>
    <row r="68" spans="1:25" x14ac:dyDescent="0.15">
      <c r="A68" s="198">
        <v>908177</v>
      </c>
      <c r="B68" t="s">
        <v>7737</v>
      </c>
      <c r="C68" s="236" t="s">
        <v>7374</v>
      </c>
      <c r="D68" s="234">
        <v>1001</v>
      </c>
      <c r="E68" s="235">
        <v>7</v>
      </c>
      <c r="F68" s="235">
        <v>0</v>
      </c>
      <c r="G68" s="157">
        <v>28</v>
      </c>
      <c r="H68" s="43">
        <v>0</v>
      </c>
      <c r="I68" s="235">
        <v>999</v>
      </c>
      <c r="J68" s="198" t="b">
        <v>0</v>
      </c>
      <c r="K68" s="235">
        <v>-1</v>
      </c>
      <c r="L68" s="235">
        <v>-2</v>
      </c>
      <c r="M68" s="235">
        <v>-3</v>
      </c>
      <c r="N68" s="235">
        <v>0</v>
      </c>
      <c r="O68" s="235">
        <v>0</v>
      </c>
      <c r="P68" s="238">
        <v>1</v>
      </c>
      <c r="Q68" s="198">
        <v>0</v>
      </c>
      <c r="R68" s="198">
        <v>0</v>
      </c>
      <c r="S68" s="198">
        <v>0</v>
      </c>
      <c r="T68" t="s">
        <v>7738</v>
      </c>
      <c r="U68" s="198">
        <v>0</v>
      </c>
      <c r="V68" s="5" t="s">
        <v>7565</v>
      </c>
      <c r="W68" s="43">
        <v>0</v>
      </c>
      <c r="X68" s="197">
        <v>1</v>
      </c>
      <c r="Y68" s="197">
        <v>1</v>
      </c>
    </row>
    <row r="69" spans="1:25" x14ac:dyDescent="0.15">
      <c r="A69" s="198">
        <v>907045</v>
      </c>
      <c r="B69" t="s">
        <v>7739</v>
      </c>
      <c r="C69" s="236" t="s">
        <v>7374</v>
      </c>
      <c r="D69" s="234">
        <v>1001</v>
      </c>
      <c r="E69" s="235">
        <v>2</v>
      </c>
      <c r="F69" s="235">
        <v>1</v>
      </c>
      <c r="G69" s="157">
        <v>0</v>
      </c>
      <c r="H69" s="43">
        <v>0</v>
      </c>
      <c r="I69" s="235">
        <v>999</v>
      </c>
      <c r="J69" s="198" t="b">
        <v>1</v>
      </c>
      <c r="K69" s="235">
        <v>1</v>
      </c>
      <c r="L69" s="235">
        <v>2</v>
      </c>
      <c r="M69" s="235">
        <v>3</v>
      </c>
      <c r="N69" s="235">
        <v>0</v>
      </c>
      <c r="O69" s="235">
        <v>0</v>
      </c>
      <c r="P69" s="238"/>
      <c r="Q69" s="198">
        <v>0</v>
      </c>
      <c r="R69" s="198">
        <v>0</v>
      </c>
      <c r="S69" s="198">
        <v>0</v>
      </c>
      <c r="T69" t="s">
        <v>7740</v>
      </c>
      <c r="U69" s="198">
        <v>0</v>
      </c>
      <c r="V69" s="5" t="s">
        <v>7568</v>
      </c>
      <c r="W69" s="43">
        <v>0</v>
      </c>
      <c r="X69" s="197">
        <v>1</v>
      </c>
      <c r="Y69" s="197">
        <v>1</v>
      </c>
    </row>
    <row r="70" spans="1:25" x14ac:dyDescent="0.15">
      <c r="A70" s="246">
        <v>907046</v>
      </c>
      <c r="B70" t="s">
        <v>7741</v>
      </c>
      <c r="C70" s="237" t="s">
        <v>7374</v>
      </c>
      <c r="D70" s="249">
        <v>1001</v>
      </c>
      <c r="E70" s="238">
        <v>2</v>
      </c>
      <c r="F70" s="238">
        <v>1</v>
      </c>
      <c r="G70" s="239">
        <v>0</v>
      </c>
      <c r="H70" s="240">
        <v>0</v>
      </c>
      <c r="I70" s="238">
        <v>999</v>
      </c>
      <c r="J70" s="246" t="b">
        <v>1</v>
      </c>
      <c r="K70" s="238">
        <v>1</v>
      </c>
      <c r="L70" s="238">
        <v>2</v>
      </c>
      <c r="M70" s="238">
        <v>3</v>
      </c>
      <c r="N70" s="238">
        <v>0</v>
      </c>
      <c r="O70" s="238">
        <v>0</v>
      </c>
      <c r="P70" s="238"/>
      <c r="Q70" s="246">
        <v>0</v>
      </c>
      <c r="R70" s="246">
        <v>0</v>
      </c>
      <c r="S70" s="246">
        <v>0</v>
      </c>
      <c r="T70" t="s">
        <v>7742</v>
      </c>
      <c r="U70" s="246">
        <v>0</v>
      </c>
      <c r="V70" s="5" t="s">
        <v>7571</v>
      </c>
      <c r="W70" s="240">
        <v>0</v>
      </c>
      <c r="X70" s="197">
        <v>1</v>
      </c>
      <c r="Y70" s="197">
        <v>1</v>
      </c>
    </row>
    <row r="71" spans="1:25" x14ac:dyDescent="0.15">
      <c r="A71" s="250">
        <v>907047</v>
      </c>
      <c r="B71" t="s">
        <v>7639</v>
      </c>
      <c r="C71" s="251" t="s">
        <v>7374</v>
      </c>
      <c r="D71" s="251">
        <v>1001</v>
      </c>
      <c r="E71" s="250">
        <v>2</v>
      </c>
      <c r="F71" s="250">
        <v>1</v>
      </c>
      <c r="G71" s="211">
        <v>0</v>
      </c>
      <c r="H71" s="104">
        <v>0</v>
      </c>
      <c r="I71" s="250">
        <v>999</v>
      </c>
      <c r="J71" s="250" t="b">
        <v>1</v>
      </c>
      <c r="K71" s="250">
        <v>5</v>
      </c>
      <c r="L71" s="250">
        <v>8</v>
      </c>
      <c r="M71" s="250">
        <v>10</v>
      </c>
      <c r="N71" s="250">
        <v>0</v>
      </c>
      <c r="O71" s="250">
        <v>0</v>
      </c>
      <c r="P71" s="250">
        <v>1</v>
      </c>
      <c r="Q71" s="250">
        <v>0</v>
      </c>
      <c r="R71" s="250">
        <v>0</v>
      </c>
      <c r="S71" s="250">
        <v>0</v>
      </c>
      <c r="T71" t="s">
        <v>7743</v>
      </c>
      <c r="U71" s="250">
        <v>0</v>
      </c>
      <c r="V71" s="104" t="s">
        <v>7573</v>
      </c>
      <c r="W71" s="104">
        <v>0</v>
      </c>
      <c r="X71" s="197">
        <v>1</v>
      </c>
      <c r="Y71" s="197">
        <v>1</v>
      </c>
    </row>
    <row r="72" spans="1:25" x14ac:dyDescent="0.15">
      <c r="A72" s="250">
        <v>907048</v>
      </c>
      <c r="B72" t="s">
        <v>7744</v>
      </c>
      <c r="C72" s="251" t="s">
        <v>7374</v>
      </c>
      <c r="D72" s="251">
        <v>1001</v>
      </c>
      <c r="E72" s="250">
        <v>4</v>
      </c>
      <c r="F72" s="250">
        <v>1</v>
      </c>
      <c r="G72" s="211">
        <v>0</v>
      </c>
      <c r="H72" s="104">
        <v>0</v>
      </c>
      <c r="I72" s="250">
        <v>999</v>
      </c>
      <c r="J72" s="250" t="b">
        <v>1</v>
      </c>
      <c r="K72" s="250">
        <v>10</v>
      </c>
      <c r="L72" s="250">
        <v>15</v>
      </c>
      <c r="M72" s="250">
        <v>20</v>
      </c>
      <c r="N72" s="250">
        <v>0</v>
      </c>
      <c r="O72" s="250">
        <v>0</v>
      </c>
      <c r="P72" s="250">
        <v>1</v>
      </c>
      <c r="Q72" s="250">
        <v>0</v>
      </c>
      <c r="R72" s="250">
        <v>0</v>
      </c>
      <c r="S72" s="250">
        <v>0</v>
      </c>
      <c r="T72" t="s">
        <v>7745</v>
      </c>
      <c r="U72" s="250">
        <v>0</v>
      </c>
      <c r="V72" s="104" t="s">
        <v>7576</v>
      </c>
      <c r="W72" s="104">
        <v>0</v>
      </c>
      <c r="X72" s="197">
        <v>1</v>
      </c>
      <c r="Y72" s="197">
        <v>1</v>
      </c>
    </row>
    <row r="73" spans="1:25" x14ac:dyDescent="0.15">
      <c r="A73" s="250">
        <v>907049</v>
      </c>
      <c r="B73" t="s">
        <v>7746</v>
      </c>
      <c r="C73" s="251" t="s">
        <v>7374</v>
      </c>
      <c r="D73" s="251">
        <v>1001</v>
      </c>
      <c r="E73" s="250">
        <v>6</v>
      </c>
      <c r="F73" s="250">
        <v>1</v>
      </c>
      <c r="G73" s="211">
        <v>0</v>
      </c>
      <c r="H73" s="104">
        <v>0</v>
      </c>
      <c r="I73" s="250">
        <v>999</v>
      </c>
      <c r="J73" s="250" t="b">
        <v>1</v>
      </c>
      <c r="K73" s="250">
        <v>30</v>
      </c>
      <c r="L73" s="250">
        <v>40</v>
      </c>
      <c r="M73" s="250">
        <v>50</v>
      </c>
      <c r="N73" s="250">
        <v>0</v>
      </c>
      <c r="O73" s="250">
        <v>0</v>
      </c>
      <c r="P73" s="250">
        <v>1</v>
      </c>
      <c r="Q73" s="250">
        <v>0</v>
      </c>
      <c r="R73" s="250">
        <v>0</v>
      </c>
      <c r="S73" s="250">
        <v>0</v>
      </c>
      <c r="T73" t="s">
        <v>7747</v>
      </c>
      <c r="U73" s="250">
        <v>0</v>
      </c>
      <c r="V73" s="104" t="s">
        <v>7579</v>
      </c>
      <c r="W73" s="104">
        <v>0</v>
      </c>
      <c r="X73" s="197">
        <v>1</v>
      </c>
      <c r="Y73" s="197">
        <v>1</v>
      </c>
    </row>
    <row r="74" spans="1:25" x14ac:dyDescent="0.15">
      <c r="A74" s="250">
        <v>907050</v>
      </c>
      <c r="B74" t="s">
        <v>7748</v>
      </c>
      <c r="C74" s="251" t="s">
        <v>7374</v>
      </c>
      <c r="D74" s="251">
        <v>1001</v>
      </c>
      <c r="E74" s="250">
        <v>2</v>
      </c>
      <c r="F74" s="250">
        <v>1</v>
      </c>
      <c r="G74" s="211">
        <v>0</v>
      </c>
      <c r="H74" s="104">
        <v>0</v>
      </c>
      <c r="I74" s="250">
        <v>999</v>
      </c>
      <c r="J74" s="250" t="b">
        <v>1</v>
      </c>
      <c r="K74" s="250">
        <v>5</v>
      </c>
      <c r="L74" s="250">
        <v>8</v>
      </c>
      <c r="M74" s="250">
        <v>10</v>
      </c>
      <c r="N74" s="250">
        <v>0</v>
      </c>
      <c r="O74" s="250">
        <v>0</v>
      </c>
      <c r="P74" s="250">
        <v>1</v>
      </c>
      <c r="Q74" s="250">
        <v>0</v>
      </c>
      <c r="R74" s="250">
        <v>0</v>
      </c>
      <c r="S74" s="250">
        <v>0</v>
      </c>
      <c r="T74" t="s">
        <v>7749</v>
      </c>
      <c r="U74" s="250">
        <v>0</v>
      </c>
      <c r="V74" s="104" t="s">
        <v>7582</v>
      </c>
      <c r="W74" s="104">
        <v>0</v>
      </c>
      <c r="X74" s="197">
        <v>1</v>
      </c>
      <c r="Y74" s="197">
        <v>1</v>
      </c>
    </row>
    <row r="75" spans="1:25" x14ac:dyDescent="0.15">
      <c r="A75" s="250">
        <v>907051</v>
      </c>
      <c r="B75" t="s">
        <v>7750</v>
      </c>
      <c r="C75" s="251" t="s">
        <v>7374</v>
      </c>
      <c r="D75" s="251">
        <v>1001</v>
      </c>
      <c r="E75" s="250">
        <v>4</v>
      </c>
      <c r="F75" s="250">
        <v>1</v>
      </c>
      <c r="G75" s="211">
        <v>0</v>
      </c>
      <c r="H75" s="104">
        <v>0</v>
      </c>
      <c r="I75" s="250">
        <v>999</v>
      </c>
      <c r="J75" s="250" t="b">
        <v>1</v>
      </c>
      <c r="K75" s="250">
        <v>10</v>
      </c>
      <c r="L75" s="250">
        <v>15</v>
      </c>
      <c r="M75" s="250">
        <v>20</v>
      </c>
      <c r="N75" s="250">
        <v>0</v>
      </c>
      <c r="O75" s="250">
        <v>0</v>
      </c>
      <c r="P75" s="250">
        <v>1</v>
      </c>
      <c r="Q75" s="250">
        <v>0</v>
      </c>
      <c r="R75" s="250">
        <v>0</v>
      </c>
      <c r="S75" s="250">
        <v>0</v>
      </c>
      <c r="T75" t="s">
        <v>7751</v>
      </c>
      <c r="U75" s="250">
        <v>0</v>
      </c>
      <c r="V75" s="104" t="s">
        <v>7585</v>
      </c>
      <c r="W75" s="104">
        <v>0</v>
      </c>
      <c r="X75" s="197">
        <v>1</v>
      </c>
      <c r="Y75" s="197">
        <v>1</v>
      </c>
    </row>
    <row r="76" spans="1:25" x14ac:dyDescent="0.15">
      <c r="A76" s="250">
        <v>907052</v>
      </c>
      <c r="B76" t="s">
        <v>7752</v>
      </c>
      <c r="C76" s="251" t="s">
        <v>7374</v>
      </c>
      <c r="D76" s="251">
        <v>1001</v>
      </c>
      <c r="E76" s="250">
        <v>6</v>
      </c>
      <c r="F76" s="250">
        <v>1</v>
      </c>
      <c r="G76" s="211">
        <v>0</v>
      </c>
      <c r="H76" s="104">
        <v>0</v>
      </c>
      <c r="I76" s="250">
        <v>999</v>
      </c>
      <c r="J76" s="250" t="b">
        <v>1</v>
      </c>
      <c r="K76" s="250">
        <v>30</v>
      </c>
      <c r="L76" s="250">
        <v>40</v>
      </c>
      <c r="M76" s="250">
        <v>50</v>
      </c>
      <c r="N76" s="250">
        <v>0</v>
      </c>
      <c r="O76" s="250">
        <v>0</v>
      </c>
      <c r="P76" s="250">
        <v>1</v>
      </c>
      <c r="Q76" s="250">
        <v>0</v>
      </c>
      <c r="R76" s="250">
        <v>0</v>
      </c>
      <c r="S76" s="250">
        <v>0</v>
      </c>
      <c r="T76" t="s">
        <v>7753</v>
      </c>
      <c r="U76" s="250">
        <v>0</v>
      </c>
      <c r="V76" s="104" t="s">
        <v>7588</v>
      </c>
      <c r="W76" s="104">
        <v>0</v>
      </c>
      <c r="X76" s="197">
        <v>1</v>
      </c>
      <c r="Y76" s="197">
        <v>1</v>
      </c>
    </row>
    <row r="77" spans="1:25" x14ac:dyDescent="0.15">
      <c r="A77" s="250">
        <v>907053</v>
      </c>
      <c r="B77" t="s">
        <v>7754</v>
      </c>
      <c r="C77" s="251" t="s">
        <v>7374</v>
      </c>
      <c r="D77" s="251">
        <v>1001</v>
      </c>
      <c r="E77" s="250">
        <v>2</v>
      </c>
      <c r="F77" s="250">
        <v>1</v>
      </c>
      <c r="G77" s="211">
        <v>0</v>
      </c>
      <c r="H77" s="104">
        <v>0</v>
      </c>
      <c r="I77" s="250">
        <v>999</v>
      </c>
      <c r="J77" s="250" t="b">
        <v>1</v>
      </c>
      <c r="K77" s="250">
        <v>5</v>
      </c>
      <c r="L77" s="250">
        <v>8</v>
      </c>
      <c r="M77" s="250">
        <v>10</v>
      </c>
      <c r="N77" s="250">
        <v>0</v>
      </c>
      <c r="O77" s="250">
        <v>0</v>
      </c>
      <c r="P77" s="250">
        <v>1</v>
      </c>
      <c r="Q77" s="250">
        <v>0</v>
      </c>
      <c r="R77" s="250">
        <v>0</v>
      </c>
      <c r="S77" s="250">
        <v>0</v>
      </c>
      <c r="T77" t="s">
        <v>7755</v>
      </c>
      <c r="U77" s="250">
        <v>0</v>
      </c>
      <c r="V77" s="104" t="s">
        <v>7591</v>
      </c>
      <c r="W77" s="104">
        <v>0</v>
      </c>
      <c r="X77" s="197">
        <v>1</v>
      </c>
      <c r="Y77" s="197">
        <v>1</v>
      </c>
    </row>
    <row r="78" spans="1:25" x14ac:dyDescent="0.15">
      <c r="A78" s="250">
        <v>907054</v>
      </c>
      <c r="B78" t="s">
        <v>7756</v>
      </c>
      <c r="C78" s="251" t="s">
        <v>7374</v>
      </c>
      <c r="D78" s="251">
        <v>1001</v>
      </c>
      <c r="E78" s="250">
        <v>4</v>
      </c>
      <c r="F78" s="250">
        <v>1</v>
      </c>
      <c r="G78" s="211">
        <v>0</v>
      </c>
      <c r="H78" s="104">
        <v>0</v>
      </c>
      <c r="I78" s="250">
        <v>999</v>
      </c>
      <c r="J78" s="250" t="b">
        <v>1</v>
      </c>
      <c r="K78" s="250">
        <v>10</v>
      </c>
      <c r="L78" s="250">
        <v>15</v>
      </c>
      <c r="M78" s="250">
        <v>20</v>
      </c>
      <c r="N78" s="250">
        <v>0</v>
      </c>
      <c r="O78" s="250">
        <v>0</v>
      </c>
      <c r="P78" s="250">
        <v>1</v>
      </c>
      <c r="Q78" s="250">
        <v>0</v>
      </c>
      <c r="R78" s="250">
        <v>0</v>
      </c>
      <c r="S78" s="250">
        <v>0</v>
      </c>
      <c r="T78" t="s">
        <v>7757</v>
      </c>
      <c r="U78" s="250">
        <v>0</v>
      </c>
      <c r="V78" s="104" t="s">
        <v>7594</v>
      </c>
      <c r="W78" s="104">
        <v>0</v>
      </c>
      <c r="X78" s="197">
        <v>1</v>
      </c>
      <c r="Y78" s="197">
        <v>1</v>
      </c>
    </row>
    <row r="79" spans="1:25" x14ac:dyDescent="0.15">
      <c r="A79" s="250">
        <v>907055</v>
      </c>
      <c r="B79" t="s">
        <v>7758</v>
      </c>
      <c r="C79" s="251" t="s">
        <v>7374</v>
      </c>
      <c r="D79" s="251">
        <v>1001</v>
      </c>
      <c r="E79" s="250">
        <v>6</v>
      </c>
      <c r="F79" s="250">
        <v>1</v>
      </c>
      <c r="G79" s="211">
        <v>0</v>
      </c>
      <c r="H79" s="104">
        <v>0</v>
      </c>
      <c r="I79" s="250">
        <v>999</v>
      </c>
      <c r="J79" s="250" t="b">
        <v>1</v>
      </c>
      <c r="K79" s="250">
        <v>30</v>
      </c>
      <c r="L79" s="250">
        <v>40</v>
      </c>
      <c r="M79" s="250">
        <v>50</v>
      </c>
      <c r="N79" s="250">
        <v>0</v>
      </c>
      <c r="O79" s="250">
        <v>0</v>
      </c>
      <c r="P79" s="250">
        <v>1</v>
      </c>
      <c r="Q79" s="250">
        <v>0</v>
      </c>
      <c r="R79" s="250">
        <v>0</v>
      </c>
      <c r="S79" s="250">
        <v>0</v>
      </c>
      <c r="T79" t="s">
        <v>7759</v>
      </c>
      <c r="U79" s="250">
        <v>0</v>
      </c>
      <c r="V79" s="104" t="s">
        <v>7597</v>
      </c>
      <c r="W79" s="104">
        <v>0</v>
      </c>
      <c r="X79" s="197">
        <v>1</v>
      </c>
      <c r="Y79" s="197">
        <v>1</v>
      </c>
    </row>
    <row r="80" spans="1:25" x14ac:dyDescent="0.15">
      <c r="A80" s="250">
        <v>907056</v>
      </c>
      <c r="B80" t="s">
        <v>7760</v>
      </c>
      <c r="C80" s="251" t="s">
        <v>7374</v>
      </c>
      <c r="D80" s="251">
        <v>1001</v>
      </c>
      <c r="E80" s="250">
        <v>2</v>
      </c>
      <c r="F80" s="250">
        <v>1</v>
      </c>
      <c r="G80" s="211">
        <v>0</v>
      </c>
      <c r="H80" s="104">
        <v>0</v>
      </c>
      <c r="I80" s="250">
        <v>999</v>
      </c>
      <c r="J80" s="250" t="b">
        <v>1</v>
      </c>
      <c r="K80" s="250">
        <v>5</v>
      </c>
      <c r="L80" s="250">
        <v>8</v>
      </c>
      <c r="M80" s="250">
        <v>10</v>
      </c>
      <c r="N80" s="250">
        <v>0</v>
      </c>
      <c r="O80" s="250">
        <v>0</v>
      </c>
      <c r="P80" s="250">
        <v>1</v>
      </c>
      <c r="Q80" s="250">
        <v>0</v>
      </c>
      <c r="R80" s="250">
        <v>0</v>
      </c>
      <c r="S80" s="250">
        <v>0</v>
      </c>
      <c r="T80" t="s">
        <v>7761</v>
      </c>
      <c r="U80" s="250">
        <v>0</v>
      </c>
      <c r="V80" s="104" t="s">
        <v>7600</v>
      </c>
      <c r="W80" s="104">
        <v>0</v>
      </c>
      <c r="X80" s="197">
        <v>1</v>
      </c>
      <c r="Y80" s="197">
        <v>1</v>
      </c>
    </row>
    <row r="81" spans="1:25" x14ac:dyDescent="0.15">
      <c r="A81" s="250">
        <v>907057</v>
      </c>
      <c r="B81" t="s">
        <v>7762</v>
      </c>
      <c r="C81" s="251" t="s">
        <v>7374</v>
      </c>
      <c r="D81" s="251">
        <v>1001</v>
      </c>
      <c r="E81" s="250">
        <v>4</v>
      </c>
      <c r="F81" s="250">
        <v>1</v>
      </c>
      <c r="G81" s="211">
        <v>0</v>
      </c>
      <c r="H81" s="104">
        <v>0</v>
      </c>
      <c r="I81" s="250">
        <v>999</v>
      </c>
      <c r="J81" s="250" t="b">
        <v>1</v>
      </c>
      <c r="K81" s="250">
        <v>10</v>
      </c>
      <c r="L81" s="250">
        <v>15</v>
      </c>
      <c r="M81" s="250">
        <v>20</v>
      </c>
      <c r="N81" s="250">
        <v>0</v>
      </c>
      <c r="O81" s="250">
        <v>0</v>
      </c>
      <c r="P81" s="250">
        <v>1</v>
      </c>
      <c r="Q81" s="250">
        <v>0</v>
      </c>
      <c r="R81" s="250">
        <v>0</v>
      </c>
      <c r="S81" s="250">
        <v>0</v>
      </c>
      <c r="T81" t="s">
        <v>7763</v>
      </c>
      <c r="U81" s="250">
        <v>0</v>
      </c>
      <c r="V81" s="104" t="s">
        <v>7603</v>
      </c>
      <c r="W81" s="104">
        <v>0</v>
      </c>
      <c r="X81" s="197">
        <v>1</v>
      </c>
      <c r="Y81" s="197">
        <v>1</v>
      </c>
    </row>
    <row r="82" spans="1:25" x14ac:dyDescent="0.15">
      <c r="A82" s="250">
        <v>907058</v>
      </c>
      <c r="B82" t="s">
        <v>7764</v>
      </c>
      <c r="C82" s="251" t="s">
        <v>7374</v>
      </c>
      <c r="D82" s="251">
        <v>1001</v>
      </c>
      <c r="E82" s="250">
        <v>6</v>
      </c>
      <c r="F82" s="250">
        <v>1</v>
      </c>
      <c r="G82" s="211">
        <v>0</v>
      </c>
      <c r="H82" s="104">
        <v>0</v>
      </c>
      <c r="I82" s="250">
        <v>999</v>
      </c>
      <c r="J82" s="250" t="b">
        <v>1</v>
      </c>
      <c r="K82" s="250">
        <v>30</v>
      </c>
      <c r="L82" s="250">
        <v>40</v>
      </c>
      <c r="M82" s="250">
        <v>50</v>
      </c>
      <c r="N82" s="250">
        <v>0</v>
      </c>
      <c r="O82" s="250">
        <v>0</v>
      </c>
      <c r="P82" s="250">
        <v>1</v>
      </c>
      <c r="Q82" s="250">
        <v>0</v>
      </c>
      <c r="R82" s="250">
        <v>0</v>
      </c>
      <c r="S82" s="250">
        <v>0</v>
      </c>
      <c r="T82" t="s">
        <v>7765</v>
      </c>
      <c r="U82" s="250">
        <v>0</v>
      </c>
      <c r="V82" s="104" t="s">
        <v>7606</v>
      </c>
      <c r="W82" s="104">
        <v>0</v>
      </c>
      <c r="X82" s="197">
        <v>1</v>
      </c>
      <c r="Y82" s="197">
        <v>1</v>
      </c>
    </row>
  </sheetData>
  <phoneticPr fontId="45" type="noConversion"/>
  <pageMargins left="0.7" right="0.7" top="0.75" bottom="0.75" header="0.3" footer="0.3"/>
  <pageSetup paperSize="9" orientation="portrait" horizontalDpi="360" verticalDpi="360"/>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X170"/>
  <sheetViews>
    <sheetView zoomScale="85" zoomScaleNormal="85" workbookViewId="0">
      <pane xSplit="2" topLeftCell="N1" activePane="topRight" state="frozen"/>
      <selection pane="topRight" activeCell="T170" sqref="T170"/>
    </sheetView>
  </sheetViews>
  <sheetFormatPr defaultColWidth="9" defaultRowHeight="13.5" x14ac:dyDescent="0.15"/>
  <cols>
    <col min="1" max="1" width="9" style="10"/>
    <col min="2" max="2" width="18.5" style="10" customWidth="1"/>
    <col min="3" max="3" width="9" style="10"/>
    <col min="4" max="4" width="9" style="10" customWidth="1"/>
    <col min="5" max="6" width="17.75" style="10" customWidth="1"/>
    <col min="7" max="11" width="9" style="10" customWidth="1"/>
    <col min="12" max="14" width="17.25" style="10" customWidth="1"/>
    <col min="15" max="15" width="11.375" style="10" customWidth="1"/>
    <col min="16" max="16" width="17.5" style="10" customWidth="1"/>
    <col min="17" max="17" width="9" style="10"/>
    <col min="18" max="18" width="22.25" customWidth="1"/>
    <col min="19" max="19" width="65.5" style="10" customWidth="1"/>
    <col min="20" max="21" width="9" style="10"/>
    <col min="22" max="22" width="21.25" style="10" customWidth="1"/>
    <col min="23" max="16384" width="9" style="10"/>
  </cols>
  <sheetData>
    <row r="1" spans="1:24" ht="27" x14ac:dyDescent="0.15">
      <c r="A1" s="70" t="s">
        <v>0</v>
      </c>
      <c r="B1" s="70" t="s">
        <v>1</v>
      </c>
      <c r="C1" s="70" t="s">
        <v>3</v>
      </c>
      <c r="D1" s="70" t="s">
        <v>3367</v>
      </c>
      <c r="E1" s="15" t="s">
        <v>7</v>
      </c>
      <c r="F1" s="15" t="s">
        <v>9</v>
      </c>
      <c r="G1" s="15" t="s">
        <v>10</v>
      </c>
      <c r="H1" s="15" t="s">
        <v>3369</v>
      </c>
      <c r="I1" s="15" t="s">
        <v>16</v>
      </c>
      <c r="J1" s="15" t="s">
        <v>17</v>
      </c>
      <c r="K1" s="15" t="s">
        <v>18</v>
      </c>
      <c r="L1" s="15" t="s">
        <v>3371</v>
      </c>
      <c r="M1" s="15" t="s">
        <v>3372</v>
      </c>
      <c r="N1" s="196" t="s">
        <v>22</v>
      </c>
      <c r="O1" s="15" t="s">
        <v>3585</v>
      </c>
      <c r="P1" s="15" t="s">
        <v>3375</v>
      </c>
      <c r="Q1" s="15" t="s">
        <v>23</v>
      </c>
      <c r="R1" s="220" t="s">
        <v>3376</v>
      </c>
      <c r="S1" s="15" t="s">
        <v>24</v>
      </c>
      <c r="T1" s="221" t="s">
        <v>26</v>
      </c>
      <c r="U1" s="15" t="s">
        <v>27</v>
      </c>
      <c r="V1" s="15" t="s">
        <v>7766</v>
      </c>
      <c r="W1" s="197" t="s">
        <v>28</v>
      </c>
      <c r="X1" s="197" t="s">
        <v>29</v>
      </c>
    </row>
    <row r="2" spans="1:24" ht="27" x14ac:dyDescent="0.15">
      <c r="A2" s="41">
        <v>908004</v>
      </c>
      <c r="B2" s="103" t="s">
        <v>7767</v>
      </c>
      <c r="C2" s="41" t="s">
        <v>107</v>
      </c>
      <c r="D2" s="41">
        <v>1001</v>
      </c>
      <c r="E2" s="41">
        <v>2</v>
      </c>
      <c r="F2" s="41">
        <v>0</v>
      </c>
      <c r="G2" s="41">
        <v>0</v>
      </c>
      <c r="H2" s="41">
        <v>0</v>
      </c>
      <c r="I2" s="41">
        <v>1</v>
      </c>
      <c r="J2" s="41" t="b">
        <v>0</v>
      </c>
      <c r="K2" s="41">
        <v>-1</v>
      </c>
      <c r="L2" s="41">
        <v>0</v>
      </c>
      <c r="M2" s="41">
        <v>0</v>
      </c>
      <c r="N2" s="41">
        <v>1</v>
      </c>
      <c r="O2" s="41">
        <v>0</v>
      </c>
      <c r="P2" s="41">
        <v>0</v>
      </c>
      <c r="Q2" s="222">
        <v>0</v>
      </c>
      <c r="R2" s="43" t="s">
        <v>7768</v>
      </c>
      <c r="S2" s="41" t="s">
        <v>7769</v>
      </c>
      <c r="T2" s="223" t="s">
        <v>7770</v>
      </c>
      <c r="U2" s="15">
        <v>0</v>
      </c>
      <c r="V2" s="15">
        <v>0</v>
      </c>
      <c r="W2" s="197">
        <v>0</v>
      </c>
      <c r="X2" s="197">
        <v>0</v>
      </c>
    </row>
    <row r="3" spans="1:24" ht="27" x14ac:dyDescent="0.15">
      <c r="A3" s="41">
        <v>908005</v>
      </c>
      <c r="B3" s="103" t="s">
        <v>7771</v>
      </c>
      <c r="C3" s="41" t="s">
        <v>107</v>
      </c>
      <c r="D3" s="41">
        <v>1001</v>
      </c>
      <c r="E3" s="41">
        <v>2</v>
      </c>
      <c r="F3" s="41">
        <v>0</v>
      </c>
      <c r="G3" s="41">
        <v>0</v>
      </c>
      <c r="H3" s="41">
        <v>0</v>
      </c>
      <c r="I3" s="41">
        <v>1</v>
      </c>
      <c r="J3" s="41" t="b">
        <v>0</v>
      </c>
      <c r="K3" s="41">
        <v>-1</v>
      </c>
      <c r="L3" s="41">
        <v>0</v>
      </c>
      <c r="M3" s="41">
        <v>0</v>
      </c>
      <c r="N3" s="41">
        <v>1</v>
      </c>
      <c r="O3" s="41">
        <v>0</v>
      </c>
      <c r="P3" s="41">
        <v>0</v>
      </c>
      <c r="Q3" s="222">
        <v>0</v>
      </c>
      <c r="R3" s="43" t="s">
        <v>7768</v>
      </c>
      <c r="S3" s="41" t="s">
        <v>7772</v>
      </c>
      <c r="T3" s="223" t="s">
        <v>7773</v>
      </c>
      <c r="U3" s="15">
        <v>0</v>
      </c>
      <c r="V3" s="15">
        <v>0</v>
      </c>
      <c r="W3" s="197">
        <v>0</v>
      </c>
      <c r="X3" s="197">
        <v>0</v>
      </c>
    </row>
    <row r="4" spans="1:24" ht="27" x14ac:dyDescent="0.15">
      <c r="A4" s="41">
        <v>908006</v>
      </c>
      <c r="B4" s="103" t="s">
        <v>7774</v>
      </c>
      <c r="C4" s="41" t="s">
        <v>107</v>
      </c>
      <c r="D4" s="41">
        <v>1001</v>
      </c>
      <c r="E4" s="41">
        <v>2</v>
      </c>
      <c r="F4" s="41">
        <v>0</v>
      </c>
      <c r="G4" s="41">
        <v>0</v>
      </c>
      <c r="H4" s="41">
        <v>0</v>
      </c>
      <c r="I4" s="41">
        <v>1</v>
      </c>
      <c r="J4" s="41" t="b">
        <v>0</v>
      </c>
      <c r="K4" s="41">
        <v>-1</v>
      </c>
      <c r="L4" s="41">
        <v>0</v>
      </c>
      <c r="M4" s="41">
        <v>0</v>
      </c>
      <c r="N4" s="41">
        <v>1</v>
      </c>
      <c r="O4" s="41">
        <v>0</v>
      </c>
      <c r="P4" s="41">
        <v>0</v>
      </c>
      <c r="Q4" s="222">
        <v>0</v>
      </c>
      <c r="R4" s="43" t="s">
        <v>7768</v>
      </c>
      <c r="S4" s="41" t="s">
        <v>7775</v>
      </c>
      <c r="T4" s="223" t="s">
        <v>7776</v>
      </c>
      <c r="U4" s="15">
        <v>0</v>
      </c>
      <c r="V4" s="15">
        <v>0</v>
      </c>
      <c r="W4" s="197">
        <v>0</v>
      </c>
      <c r="X4" s="197">
        <v>0</v>
      </c>
    </row>
    <row r="5" spans="1:24" ht="27" x14ac:dyDescent="0.15">
      <c r="A5" s="41">
        <v>908007</v>
      </c>
      <c r="B5" s="103" t="s">
        <v>7777</v>
      </c>
      <c r="C5" s="41" t="s">
        <v>107</v>
      </c>
      <c r="D5" s="41">
        <v>1001</v>
      </c>
      <c r="E5" s="41">
        <v>2</v>
      </c>
      <c r="F5" s="41">
        <v>0</v>
      </c>
      <c r="G5" s="41">
        <v>0</v>
      </c>
      <c r="H5" s="41">
        <v>0</v>
      </c>
      <c r="I5" s="41">
        <v>1</v>
      </c>
      <c r="J5" s="41" t="b">
        <v>0</v>
      </c>
      <c r="K5" s="41">
        <v>-1</v>
      </c>
      <c r="L5" s="41">
        <v>0</v>
      </c>
      <c r="M5" s="41">
        <v>0</v>
      </c>
      <c r="N5" s="41">
        <v>1</v>
      </c>
      <c r="O5" s="41">
        <v>0</v>
      </c>
      <c r="P5" s="41">
        <v>0</v>
      </c>
      <c r="Q5" s="222">
        <v>0</v>
      </c>
      <c r="R5" s="43" t="s">
        <v>7768</v>
      </c>
      <c r="S5" s="41" t="s">
        <v>7778</v>
      </c>
      <c r="T5" s="223" t="s">
        <v>7779</v>
      </c>
      <c r="U5" s="15">
        <v>0</v>
      </c>
      <c r="V5" s="15">
        <v>0</v>
      </c>
      <c r="W5" s="197">
        <v>0</v>
      </c>
      <c r="X5" s="197">
        <v>0</v>
      </c>
    </row>
    <row r="6" spans="1:24" customFormat="1" ht="43.15" customHeight="1" x14ac:dyDescent="0.15">
      <c r="A6" s="41">
        <v>908009</v>
      </c>
      <c r="B6" s="103" t="s">
        <v>7780</v>
      </c>
      <c r="C6" s="41" t="s">
        <v>107</v>
      </c>
      <c r="D6" s="41">
        <v>1001</v>
      </c>
      <c r="E6" s="41">
        <v>1</v>
      </c>
      <c r="F6" s="41">
        <v>0</v>
      </c>
      <c r="G6" s="41">
        <v>0</v>
      </c>
      <c r="H6" s="41">
        <v>0</v>
      </c>
      <c r="I6" s="41">
        <v>1</v>
      </c>
      <c r="J6" s="41" t="b">
        <v>0</v>
      </c>
      <c r="K6" s="41">
        <v>-1</v>
      </c>
      <c r="L6" s="41">
        <v>0</v>
      </c>
      <c r="M6" s="41">
        <v>0</v>
      </c>
      <c r="N6" s="41">
        <v>1</v>
      </c>
      <c r="O6" s="41">
        <v>0</v>
      </c>
      <c r="P6" s="41">
        <v>0</v>
      </c>
      <c r="Q6" s="222">
        <v>0</v>
      </c>
      <c r="R6" s="43" t="s">
        <v>7768</v>
      </c>
      <c r="S6" s="41" t="s">
        <v>7781</v>
      </c>
      <c r="T6" s="223" t="s">
        <v>7782</v>
      </c>
      <c r="U6" s="15">
        <v>0</v>
      </c>
      <c r="V6" s="15">
        <v>0</v>
      </c>
      <c r="W6" s="197">
        <v>0</v>
      </c>
      <c r="X6" s="197">
        <v>0</v>
      </c>
    </row>
    <row r="7" spans="1:24" customFormat="1" ht="43.15" customHeight="1" x14ac:dyDescent="0.15">
      <c r="A7" s="41">
        <v>908010</v>
      </c>
      <c r="B7" s="103" t="s">
        <v>7783</v>
      </c>
      <c r="C7" s="41" t="s">
        <v>107</v>
      </c>
      <c r="D7" s="41">
        <v>1001</v>
      </c>
      <c r="E7" s="41">
        <v>1</v>
      </c>
      <c r="F7" s="41">
        <v>0</v>
      </c>
      <c r="G7" s="41">
        <v>0</v>
      </c>
      <c r="H7" s="41">
        <v>0</v>
      </c>
      <c r="I7" s="41">
        <v>1</v>
      </c>
      <c r="J7" s="41" t="b">
        <v>0</v>
      </c>
      <c r="K7" s="41">
        <v>-1</v>
      </c>
      <c r="L7" s="41">
        <v>0</v>
      </c>
      <c r="M7" s="41">
        <v>0</v>
      </c>
      <c r="N7" s="41">
        <v>1</v>
      </c>
      <c r="O7" s="41">
        <v>0</v>
      </c>
      <c r="P7" s="41">
        <v>0</v>
      </c>
      <c r="Q7" s="222">
        <v>0</v>
      </c>
      <c r="R7" s="43" t="s">
        <v>7768</v>
      </c>
      <c r="S7" s="41" t="s">
        <v>7784</v>
      </c>
      <c r="T7" s="223" t="s">
        <v>7785</v>
      </c>
      <c r="U7" s="15">
        <v>0</v>
      </c>
      <c r="V7" s="15">
        <v>0</v>
      </c>
      <c r="W7" s="197">
        <v>0</v>
      </c>
      <c r="X7" s="197">
        <v>0</v>
      </c>
    </row>
    <row r="8" spans="1:24" customFormat="1" ht="43.15" customHeight="1" x14ac:dyDescent="0.15">
      <c r="A8" s="41">
        <v>908011</v>
      </c>
      <c r="B8" s="103" t="s">
        <v>7786</v>
      </c>
      <c r="C8" s="41" t="s">
        <v>107</v>
      </c>
      <c r="D8" s="41">
        <v>1001</v>
      </c>
      <c r="E8" s="41">
        <v>1</v>
      </c>
      <c r="F8" s="41">
        <v>0</v>
      </c>
      <c r="G8" s="41">
        <v>0</v>
      </c>
      <c r="H8" s="41">
        <v>0</v>
      </c>
      <c r="I8" s="41">
        <v>1</v>
      </c>
      <c r="J8" s="41" t="b">
        <v>0</v>
      </c>
      <c r="K8" s="41">
        <v>-1</v>
      </c>
      <c r="L8" s="41">
        <v>0</v>
      </c>
      <c r="M8" s="41">
        <v>0</v>
      </c>
      <c r="N8" s="41">
        <v>1</v>
      </c>
      <c r="O8" s="41">
        <v>0</v>
      </c>
      <c r="P8" s="41" t="s">
        <v>7787</v>
      </c>
      <c r="Q8" s="222" t="s">
        <v>7788</v>
      </c>
      <c r="R8" s="43" t="s">
        <v>7768</v>
      </c>
      <c r="S8" s="41" t="s">
        <v>7789</v>
      </c>
      <c r="T8" s="223" t="s">
        <v>7790</v>
      </c>
      <c r="U8" s="15">
        <v>0</v>
      </c>
      <c r="V8" s="15">
        <v>0</v>
      </c>
      <c r="W8" s="197">
        <v>0</v>
      </c>
      <c r="X8" s="197">
        <v>0</v>
      </c>
    </row>
    <row r="9" spans="1:24" customFormat="1" ht="43.15" customHeight="1" x14ac:dyDescent="0.15">
      <c r="A9" s="41">
        <v>908012</v>
      </c>
      <c r="B9" s="103" t="s">
        <v>7791</v>
      </c>
      <c r="C9" s="41" t="s">
        <v>107</v>
      </c>
      <c r="D9" s="41">
        <v>1001</v>
      </c>
      <c r="E9" s="41">
        <v>1</v>
      </c>
      <c r="F9" s="41">
        <v>0</v>
      </c>
      <c r="G9" s="41">
        <v>0</v>
      </c>
      <c r="H9" s="41">
        <v>0</v>
      </c>
      <c r="I9" s="41">
        <v>1</v>
      </c>
      <c r="J9" s="41" t="b">
        <v>0</v>
      </c>
      <c r="K9" s="41">
        <v>-1</v>
      </c>
      <c r="L9" s="41">
        <v>0</v>
      </c>
      <c r="M9" s="41">
        <v>0</v>
      </c>
      <c r="N9" s="41">
        <v>1</v>
      </c>
      <c r="O9" s="41">
        <v>0</v>
      </c>
      <c r="P9" s="41">
        <v>0</v>
      </c>
      <c r="Q9" s="222">
        <v>0</v>
      </c>
      <c r="R9" s="43" t="s">
        <v>7768</v>
      </c>
      <c r="S9" s="41" t="s">
        <v>7792</v>
      </c>
      <c r="T9" s="223" t="s">
        <v>7793</v>
      </c>
      <c r="U9" s="15">
        <v>0</v>
      </c>
      <c r="V9" s="15">
        <v>0</v>
      </c>
      <c r="W9" s="197">
        <v>0</v>
      </c>
      <c r="X9" s="197">
        <v>0</v>
      </c>
    </row>
    <row r="10" spans="1:24" customFormat="1" ht="43.15" customHeight="1" x14ac:dyDescent="0.15">
      <c r="A10" s="41">
        <v>908013</v>
      </c>
      <c r="B10" s="103" t="s">
        <v>7794</v>
      </c>
      <c r="C10" s="41" t="s">
        <v>107</v>
      </c>
      <c r="D10" s="41">
        <v>1001</v>
      </c>
      <c r="E10" s="41">
        <v>1</v>
      </c>
      <c r="F10" s="41">
        <v>0</v>
      </c>
      <c r="G10" s="41">
        <v>0</v>
      </c>
      <c r="H10" s="41">
        <v>0</v>
      </c>
      <c r="I10" s="41">
        <v>1</v>
      </c>
      <c r="J10" s="41" t="b">
        <v>0</v>
      </c>
      <c r="K10" s="41">
        <v>-1</v>
      </c>
      <c r="L10" s="41">
        <v>0</v>
      </c>
      <c r="M10" s="41">
        <v>0</v>
      </c>
      <c r="N10" s="41">
        <v>1</v>
      </c>
      <c r="O10" s="41">
        <v>0</v>
      </c>
      <c r="P10" s="41" t="s">
        <v>7795</v>
      </c>
      <c r="Q10" s="222" t="s">
        <v>7788</v>
      </c>
      <c r="R10" s="43" t="s">
        <v>7768</v>
      </c>
      <c r="S10" s="41" t="s">
        <v>7796</v>
      </c>
      <c r="T10" s="223" t="s">
        <v>7790</v>
      </c>
      <c r="U10" s="15">
        <v>0</v>
      </c>
      <c r="V10" s="15">
        <v>0</v>
      </c>
      <c r="W10" s="197">
        <v>0</v>
      </c>
      <c r="X10" s="197">
        <v>0</v>
      </c>
    </row>
    <row r="11" spans="1:24" customFormat="1" ht="43.15" customHeight="1" x14ac:dyDescent="0.15">
      <c r="A11" s="41">
        <v>908014</v>
      </c>
      <c r="B11" s="103" t="s">
        <v>7797</v>
      </c>
      <c r="C11" s="41" t="s">
        <v>107</v>
      </c>
      <c r="D11" s="41">
        <v>1001</v>
      </c>
      <c r="E11" s="41">
        <v>1</v>
      </c>
      <c r="F11" s="41">
        <v>0</v>
      </c>
      <c r="G11" s="41">
        <v>0</v>
      </c>
      <c r="H11" s="41">
        <v>0</v>
      </c>
      <c r="I11" s="41">
        <v>1</v>
      </c>
      <c r="J11" s="41" t="b">
        <v>0</v>
      </c>
      <c r="K11" s="41">
        <v>-1</v>
      </c>
      <c r="L11" s="41">
        <v>0</v>
      </c>
      <c r="M11" s="41">
        <v>0</v>
      </c>
      <c r="N11" s="41">
        <v>1</v>
      </c>
      <c r="O11" s="41">
        <v>0</v>
      </c>
      <c r="P11" s="41">
        <v>0</v>
      </c>
      <c r="Q11" s="222">
        <v>0</v>
      </c>
      <c r="R11" s="43" t="s">
        <v>7768</v>
      </c>
      <c r="S11" s="41" t="s">
        <v>7798</v>
      </c>
      <c r="T11" s="223" t="s">
        <v>7799</v>
      </c>
      <c r="U11" s="15">
        <v>0</v>
      </c>
      <c r="V11" s="15">
        <v>0</v>
      </c>
      <c r="W11" s="197">
        <v>0</v>
      </c>
      <c r="X11" s="197">
        <v>0</v>
      </c>
    </row>
    <row r="12" spans="1:24" customFormat="1" ht="43.15" customHeight="1" x14ac:dyDescent="0.15">
      <c r="A12" s="41">
        <v>908015</v>
      </c>
      <c r="B12" s="103" t="s">
        <v>7800</v>
      </c>
      <c r="C12" s="41" t="s">
        <v>107</v>
      </c>
      <c r="D12" s="41">
        <v>1001</v>
      </c>
      <c r="E12" s="41">
        <v>1</v>
      </c>
      <c r="F12" s="41">
        <v>0</v>
      </c>
      <c r="G12" s="41">
        <v>0</v>
      </c>
      <c r="H12" s="41">
        <v>0</v>
      </c>
      <c r="I12" s="41">
        <v>999</v>
      </c>
      <c r="J12" s="41" t="b">
        <v>0</v>
      </c>
      <c r="K12" s="41">
        <v>-1</v>
      </c>
      <c r="L12" s="41">
        <v>0</v>
      </c>
      <c r="M12" s="41">
        <v>0</v>
      </c>
      <c r="N12" s="41">
        <v>1</v>
      </c>
      <c r="O12" s="41">
        <v>0</v>
      </c>
      <c r="P12" s="41">
        <v>0</v>
      </c>
      <c r="Q12" s="222">
        <v>0</v>
      </c>
      <c r="R12" s="43" t="s">
        <v>7768</v>
      </c>
      <c r="S12" s="41" t="s">
        <v>7801</v>
      </c>
      <c r="T12" s="223" t="s">
        <v>7802</v>
      </c>
      <c r="U12" s="15">
        <v>0</v>
      </c>
      <c r="V12" s="15">
        <v>0</v>
      </c>
      <c r="W12" s="197">
        <v>0</v>
      </c>
      <c r="X12" s="197">
        <v>0</v>
      </c>
    </row>
    <row r="13" spans="1:24" ht="43.15" customHeight="1" x14ac:dyDescent="0.15">
      <c r="A13" s="41">
        <v>908016</v>
      </c>
      <c r="B13" s="103" t="s">
        <v>7803</v>
      </c>
      <c r="C13" s="41" t="s">
        <v>107</v>
      </c>
      <c r="D13" s="41">
        <v>1001</v>
      </c>
      <c r="E13" s="41">
        <v>2</v>
      </c>
      <c r="F13" s="41">
        <v>0</v>
      </c>
      <c r="G13" s="41">
        <v>0</v>
      </c>
      <c r="H13" s="41">
        <v>0</v>
      </c>
      <c r="I13" s="41">
        <v>1</v>
      </c>
      <c r="J13" s="41" t="b">
        <v>0</v>
      </c>
      <c r="K13" s="41">
        <v>-1</v>
      </c>
      <c r="L13" s="41">
        <v>0</v>
      </c>
      <c r="M13" s="41">
        <v>0</v>
      </c>
      <c r="N13" s="41">
        <v>1</v>
      </c>
      <c r="O13" s="41">
        <v>0</v>
      </c>
      <c r="P13" s="41" t="s">
        <v>7804</v>
      </c>
      <c r="Q13" s="222" t="s">
        <v>7788</v>
      </c>
      <c r="R13" s="43" t="s">
        <v>7768</v>
      </c>
      <c r="S13" s="41" t="s">
        <v>7805</v>
      </c>
      <c r="T13" s="223" t="s">
        <v>7790</v>
      </c>
      <c r="U13" s="15">
        <v>0</v>
      </c>
      <c r="V13" s="15">
        <v>0</v>
      </c>
      <c r="W13" s="197">
        <v>0</v>
      </c>
      <c r="X13" s="197">
        <v>0</v>
      </c>
    </row>
    <row r="14" spans="1:24" ht="43.15" customHeight="1" x14ac:dyDescent="0.15">
      <c r="A14" s="41">
        <v>908018</v>
      </c>
      <c r="B14" s="103" t="s">
        <v>7806</v>
      </c>
      <c r="C14" s="41" t="s">
        <v>107</v>
      </c>
      <c r="D14" s="41">
        <v>1001</v>
      </c>
      <c r="E14" s="41">
        <v>2</v>
      </c>
      <c r="F14" s="41">
        <v>0</v>
      </c>
      <c r="G14" s="41">
        <v>0</v>
      </c>
      <c r="H14" s="41">
        <v>0</v>
      </c>
      <c r="I14" s="41">
        <v>1</v>
      </c>
      <c r="J14" s="41" t="b">
        <v>0</v>
      </c>
      <c r="K14" s="41">
        <v>-1</v>
      </c>
      <c r="L14" s="41">
        <v>0</v>
      </c>
      <c r="M14" s="41">
        <v>0</v>
      </c>
      <c r="N14" s="41">
        <v>1</v>
      </c>
      <c r="O14" s="41">
        <v>0</v>
      </c>
      <c r="P14" s="41">
        <v>0</v>
      </c>
      <c r="Q14" s="222">
        <v>0</v>
      </c>
      <c r="R14" s="43" t="s">
        <v>7768</v>
      </c>
      <c r="S14" s="41" t="s">
        <v>7807</v>
      </c>
      <c r="T14" s="223" t="s">
        <v>7808</v>
      </c>
      <c r="U14" s="15">
        <v>0</v>
      </c>
      <c r="V14" s="15">
        <v>0</v>
      </c>
      <c r="W14" s="197">
        <v>0</v>
      </c>
      <c r="X14" s="197">
        <v>0</v>
      </c>
    </row>
    <row r="15" spans="1:24" ht="43.15" customHeight="1" x14ac:dyDescent="0.15">
      <c r="A15" s="41">
        <v>908019</v>
      </c>
      <c r="B15" s="103" t="s">
        <v>7809</v>
      </c>
      <c r="C15" s="41" t="s">
        <v>107</v>
      </c>
      <c r="D15" s="41">
        <v>1001</v>
      </c>
      <c r="E15" s="41">
        <v>2</v>
      </c>
      <c r="F15" s="41">
        <v>0</v>
      </c>
      <c r="G15" s="41">
        <v>0</v>
      </c>
      <c r="H15" s="41">
        <v>0</v>
      </c>
      <c r="I15" s="41">
        <v>1</v>
      </c>
      <c r="J15" s="41" t="b">
        <v>0</v>
      </c>
      <c r="K15" s="41">
        <v>-1</v>
      </c>
      <c r="L15" s="41">
        <v>0</v>
      </c>
      <c r="M15" s="41">
        <v>0</v>
      </c>
      <c r="N15" s="41">
        <v>1</v>
      </c>
      <c r="O15" s="41">
        <v>0</v>
      </c>
      <c r="P15" s="41">
        <v>0</v>
      </c>
      <c r="Q15" s="222">
        <v>0</v>
      </c>
      <c r="R15" s="43" t="s">
        <v>7768</v>
      </c>
      <c r="S15" s="41" t="s">
        <v>7810</v>
      </c>
      <c r="T15" s="223" t="s">
        <v>7811</v>
      </c>
      <c r="U15" s="15">
        <v>0</v>
      </c>
      <c r="V15" s="15">
        <v>0</v>
      </c>
      <c r="W15" s="197">
        <v>0</v>
      </c>
      <c r="X15" s="197">
        <v>0</v>
      </c>
    </row>
    <row r="16" spans="1:24" ht="43.15" customHeight="1" x14ac:dyDescent="0.15">
      <c r="A16" s="41">
        <v>908020</v>
      </c>
      <c r="B16" s="103" t="s">
        <v>7812</v>
      </c>
      <c r="C16" s="41" t="s">
        <v>107</v>
      </c>
      <c r="D16" s="41">
        <v>1001</v>
      </c>
      <c r="E16" s="41">
        <v>2</v>
      </c>
      <c r="F16" s="41">
        <v>0</v>
      </c>
      <c r="G16" s="41">
        <v>0</v>
      </c>
      <c r="H16" s="41">
        <v>0</v>
      </c>
      <c r="I16" s="41">
        <v>1</v>
      </c>
      <c r="J16" s="41" t="b">
        <v>0</v>
      </c>
      <c r="K16" s="41">
        <v>-1</v>
      </c>
      <c r="L16" s="41">
        <v>0</v>
      </c>
      <c r="M16" s="41">
        <v>0</v>
      </c>
      <c r="N16" s="41">
        <v>1</v>
      </c>
      <c r="O16" s="41">
        <v>0</v>
      </c>
      <c r="P16" s="41">
        <v>0</v>
      </c>
      <c r="Q16" s="222">
        <v>0</v>
      </c>
      <c r="R16" s="43" t="s">
        <v>7768</v>
      </c>
      <c r="S16" s="41" t="s">
        <v>7813</v>
      </c>
      <c r="T16" s="223" t="s">
        <v>7814</v>
      </c>
      <c r="U16" s="15">
        <v>0</v>
      </c>
      <c r="V16" s="15">
        <v>0</v>
      </c>
      <c r="W16" s="197">
        <v>0</v>
      </c>
      <c r="X16" s="197">
        <v>0</v>
      </c>
    </row>
    <row r="17" spans="1:24" ht="43.15" customHeight="1" x14ac:dyDescent="0.15">
      <c r="A17" s="41">
        <v>908021</v>
      </c>
      <c r="B17" s="103" t="s">
        <v>7815</v>
      </c>
      <c r="C17" s="41" t="s">
        <v>107</v>
      </c>
      <c r="D17" s="41">
        <v>1001</v>
      </c>
      <c r="E17" s="41">
        <v>2</v>
      </c>
      <c r="F17" s="41">
        <v>0</v>
      </c>
      <c r="G17" s="41">
        <v>0</v>
      </c>
      <c r="H17" s="41">
        <v>0</v>
      </c>
      <c r="I17" s="41">
        <v>1</v>
      </c>
      <c r="J17" s="41" t="b">
        <v>0</v>
      </c>
      <c r="K17" s="41">
        <v>-1</v>
      </c>
      <c r="L17" s="41">
        <v>0</v>
      </c>
      <c r="M17" s="41">
        <v>0</v>
      </c>
      <c r="N17" s="41">
        <v>1</v>
      </c>
      <c r="O17" s="41">
        <v>0</v>
      </c>
      <c r="P17" s="41" t="s">
        <v>7816</v>
      </c>
      <c r="Q17" s="222" t="s">
        <v>7788</v>
      </c>
      <c r="R17" s="43" t="s">
        <v>7768</v>
      </c>
      <c r="S17" s="41" t="s">
        <v>7817</v>
      </c>
      <c r="T17" s="223" t="s">
        <v>7818</v>
      </c>
      <c r="U17" s="15">
        <v>0</v>
      </c>
      <c r="V17" s="15">
        <v>0</v>
      </c>
      <c r="W17" s="197">
        <v>0</v>
      </c>
      <c r="X17" s="197">
        <v>0</v>
      </c>
    </row>
    <row r="18" spans="1:24" customFormat="1" ht="43.15" customHeight="1" x14ac:dyDescent="0.15">
      <c r="A18" s="41">
        <v>908022</v>
      </c>
      <c r="B18" s="103" t="s">
        <v>7819</v>
      </c>
      <c r="C18" s="41" t="s">
        <v>107</v>
      </c>
      <c r="D18" s="41">
        <v>1001</v>
      </c>
      <c r="E18" s="41">
        <v>1</v>
      </c>
      <c r="F18" s="41">
        <v>0</v>
      </c>
      <c r="G18" s="41">
        <v>0</v>
      </c>
      <c r="H18" s="41">
        <v>0</v>
      </c>
      <c r="I18" s="41">
        <v>1</v>
      </c>
      <c r="J18" s="41" t="b">
        <v>0</v>
      </c>
      <c r="K18" s="41">
        <v>-1</v>
      </c>
      <c r="L18" s="41">
        <v>0</v>
      </c>
      <c r="M18" s="41">
        <v>0</v>
      </c>
      <c r="N18" s="41">
        <v>1</v>
      </c>
      <c r="O18" s="41">
        <v>0</v>
      </c>
      <c r="P18" s="41">
        <v>0</v>
      </c>
      <c r="Q18" s="222">
        <v>0</v>
      </c>
      <c r="R18" s="43" t="s">
        <v>7768</v>
      </c>
      <c r="S18" s="41" t="s">
        <v>7820</v>
      </c>
      <c r="T18" s="223" t="s">
        <v>7821</v>
      </c>
      <c r="U18" s="15">
        <v>0</v>
      </c>
      <c r="V18" s="15">
        <v>0</v>
      </c>
      <c r="W18" s="197">
        <v>0</v>
      </c>
      <c r="X18" s="197">
        <v>0</v>
      </c>
    </row>
    <row r="19" spans="1:24" customFormat="1" ht="43.15" customHeight="1" x14ac:dyDescent="0.15">
      <c r="A19" s="41">
        <v>908023</v>
      </c>
      <c r="B19" s="103" t="s">
        <v>7822</v>
      </c>
      <c r="C19" s="41" t="s">
        <v>107</v>
      </c>
      <c r="D19" s="41">
        <v>1001</v>
      </c>
      <c r="E19" s="41">
        <v>1</v>
      </c>
      <c r="F19" s="41">
        <v>0</v>
      </c>
      <c r="G19" s="41">
        <v>0</v>
      </c>
      <c r="H19" s="41">
        <v>0</v>
      </c>
      <c r="I19" s="41">
        <v>999</v>
      </c>
      <c r="J19" s="41" t="b">
        <v>0</v>
      </c>
      <c r="K19" s="41">
        <v>-1</v>
      </c>
      <c r="L19" s="41">
        <v>0</v>
      </c>
      <c r="M19" s="41">
        <v>0</v>
      </c>
      <c r="N19" s="41">
        <v>1</v>
      </c>
      <c r="O19" s="41">
        <v>0</v>
      </c>
      <c r="P19" s="41">
        <v>0</v>
      </c>
      <c r="Q19" s="222">
        <v>0</v>
      </c>
      <c r="R19" s="43" t="s">
        <v>7768</v>
      </c>
      <c r="S19" s="41" t="s">
        <v>7823</v>
      </c>
      <c r="T19" s="223" t="s">
        <v>7824</v>
      </c>
      <c r="U19" s="15">
        <v>0</v>
      </c>
      <c r="V19" s="15">
        <v>0</v>
      </c>
      <c r="W19" s="197">
        <v>0</v>
      </c>
      <c r="X19" s="197">
        <v>0</v>
      </c>
    </row>
    <row r="20" spans="1:24" customFormat="1" ht="43.15" customHeight="1" x14ac:dyDescent="0.15">
      <c r="A20" s="41">
        <v>908024</v>
      </c>
      <c r="B20" s="103" t="s">
        <v>7825</v>
      </c>
      <c r="C20" s="41" t="s">
        <v>107</v>
      </c>
      <c r="D20" s="41">
        <v>1001</v>
      </c>
      <c r="E20" s="41">
        <v>1</v>
      </c>
      <c r="F20" s="41">
        <v>0</v>
      </c>
      <c r="G20" s="41">
        <v>0</v>
      </c>
      <c r="H20" s="41">
        <v>0</v>
      </c>
      <c r="I20" s="41">
        <v>1</v>
      </c>
      <c r="J20" s="41" t="b">
        <v>0</v>
      </c>
      <c r="K20" s="41">
        <v>-1</v>
      </c>
      <c r="L20" s="41">
        <v>0</v>
      </c>
      <c r="M20" s="41">
        <v>0</v>
      </c>
      <c r="N20" s="41">
        <v>1</v>
      </c>
      <c r="O20" s="41">
        <v>0</v>
      </c>
      <c r="P20" s="41">
        <v>0</v>
      </c>
      <c r="Q20" s="222">
        <v>0</v>
      </c>
      <c r="R20" s="43" t="s">
        <v>7768</v>
      </c>
      <c r="S20" s="41" t="s">
        <v>7826</v>
      </c>
      <c r="T20" s="223" t="s">
        <v>7827</v>
      </c>
      <c r="U20" s="15">
        <v>0</v>
      </c>
      <c r="V20" s="15">
        <v>0</v>
      </c>
      <c r="W20" s="197">
        <v>0</v>
      </c>
      <c r="X20" s="197">
        <v>0</v>
      </c>
    </row>
    <row r="21" spans="1:24" customFormat="1" ht="43.15" customHeight="1" x14ac:dyDescent="0.15">
      <c r="A21" s="41">
        <v>908025</v>
      </c>
      <c r="B21" s="103" t="s">
        <v>7828</v>
      </c>
      <c r="C21" s="41" t="s">
        <v>107</v>
      </c>
      <c r="D21" s="41">
        <v>1001</v>
      </c>
      <c r="E21" s="41">
        <v>1</v>
      </c>
      <c r="F21" s="41">
        <v>0</v>
      </c>
      <c r="G21" s="41">
        <v>0</v>
      </c>
      <c r="H21" s="41">
        <v>0</v>
      </c>
      <c r="I21" s="41">
        <v>1</v>
      </c>
      <c r="J21" s="41" t="b">
        <v>0</v>
      </c>
      <c r="K21" s="41">
        <v>-1</v>
      </c>
      <c r="L21" s="41">
        <v>0</v>
      </c>
      <c r="M21" s="41">
        <v>0</v>
      </c>
      <c r="N21" s="41">
        <v>1</v>
      </c>
      <c r="O21" s="41">
        <v>0</v>
      </c>
      <c r="P21" s="41">
        <v>0</v>
      </c>
      <c r="Q21" s="222">
        <v>0</v>
      </c>
      <c r="R21" s="43" t="s">
        <v>7768</v>
      </c>
      <c r="S21" s="41" t="s">
        <v>7829</v>
      </c>
      <c r="T21" s="223" t="s">
        <v>7830</v>
      </c>
      <c r="U21" s="15">
        <v>0</v>
      </c>
      <c r="V21" s="15">
        <v>0</v>
      </c>
      <c r="W21" s="197">
        <v>0</v>
      </c>
      <c r="X21" s="197">
        <v>0</v>
      </c>
    </row>
    <row r="22" spans="1:24" customFormat="1" ht="43.15" customHeight="1" x14ac:dyDescent="0.15">
      <c r="A22" s="41">
        <v>908026</v>
      </c>
      <c r="B22" s="103" t="s">
        <v>7831</v>
      </c>
      <c r="C22" s="41" t="s">
        <v>107</v>
      </c>
      <c r="D22" s="41">
        <v>1001</v>
      </c>
      <c r="E22" s="41">
        <v>1</v>
      </c>
      <c r="F22" s="41">
        <v>0</v>
      </c>
      <c r="G22" s="41">
        <v>0</v>
      </c>
      <c r="H22" s="41">
        <v>0</v>
      </c>
      <c r="I22" s="41">
        <v>1</v>
      </c>
      <c r="J22" s="41" t="b">
        <v>0</v>
      </c>
      <c r="K22" s="41">
        <v>-1</v>
      </c>
      <c r="L22" s="41">
        <v>0</v>
      </c>
      <c r="M22" s="41">
        <v>0</v>
      </c>
      <c r="N22" s="41">
        <v>1</v>
      </c>
      <c r="O22" s="41">
        <v>0</v>
      </c>
      <c r="P22" s="41" t="s">
        <v>7832</v>
      </c>
      <c r="Q22" s="222" t="s">
        <v>7477</v>
      </c>
      <c r="R22" s="43"/>
      <c r="S22" s="41" t="s">
        <v>7833</v>
      </c>
      <c r="T22" s="223" t="s">
        <v>7834</v>
      </c>
      <c r="U22" s="15">
        <v>0</v>
      </c>
      <c r="V22" s="15">
        <v>13000</v>
      </c>
      <c r="W22" s="197">
        <v>0</v>
      </c>
      <c r="X22" s="197">
        <v>0</v>
      </c>
    </row>
    <row r="23" spans="1:24" ht="43.15" customHeight="1" x14ac:dyDescent="0.15">
      <c r="A23" s="41">
        <v>908027</v>
      </c>
      <c r="B23" s="103" t="s">
        <v>7835</v>
      </c>
      <c r="C23" s="41" t="s">
        <v>107</v>
      </c>
      <c r="D23" s="41">
        <v>1001</v>
      </c>
      <c r="E23" s="41">
        <v>2</v>
      </c>
      <c r="F23" s="41">
        <v>0</v>
      </c>
      <c r="G23" s="41">
        <v>0</v>
      </c>
      <c r="H23" s="41">
        <v>0</v>
      </c>
      <c r="I23" s="41">
        <v>1</v>
      </c>
      <c r="J23" s="41" t="b">
        <v>0</v>
      </c>
      <c r="K23" s="41">
        <v>-1</v>
      </c>
      <c r="L23" s="41">
        <v>0</v>
      </c>
      <c r="M23" s="41">
        <v>0</v>
      </c>
      <c r="N23" s="41">
        <v>1</v>
      </c>
      <c r="O23" s="41">
        <v>0</v>
      </c>
      <c r="P23" s="41">
        <v>0</v>
      </c>
      <c r="Q23" s="222">
        <v>0</v>
      </c>
      <c r="R23" s="43" t="s">
        <v>7768</v>
      </c>
      <c r="S23" s="41" t="s">
        <v>7836</v>
      </c>
      <c r="T23" s="223" t="s">
        <v>7837</v>
      </c>
      <c r="U23" s="15">
        <v>0</v>
      </c>
      <c r="V23" s="15">
        <v>0</v>
      </c>
      <c r="W23" s="197">
        <v>0</v>
      </c>
      <c r="X23" s="197">
        <v>0</v>
      </c>
    </row>
    <row r="24" spans="1:24" ht="43.15" customHeight="1" x14ac:dyDescent="0.15">
      <c r="A24" s="41">
        <v>908028</v>
      </c>
      <c r="B24" s="103" t="s">
        <v>7838</v>
      </c>
      <c r="C24" s="41" t="s">
        <v>107</v>
      </c>
      <c r="D24" s="41">
        <v>1001</v>
      </c>
      <c r="E24" s="41">
        <v>2</v>
      </c>
      <c r="F24" s="41">
        <v>0</v>
      </c>
      <c r="G24" s="41">
        <v>0</v>
      </c>
      <c r="H24" s="41">
        <v>0</v>
      </c>
      <c r="I24" s="41">
        <v>1</v>
      </c>
      <c r="J24" s="41" t="b">
        <v>0</v>
      </c>
      <c r="K24" s="41">
        <v>-1</v>
      </c>
      <c r="L24" s="41">
        <v>0</v>
      </c>
      <c r="M24" s="41">
        <v>0</v>
      </c>
      <c r="N24" s="41">
        <v>1</v>
      </c>
      <c r="O24" s="41">
        <v>0</v>
      </c>
      <c r="P24" s="41">
        <v>0</v>
      </c>
      <c r="Q24" s="222">
        <v>0</v>
      </c>
      <c r="R24" s="43" t="s">
        <v>7768</v>
      </c>
      <c r="S24" s="41" t="s">
        <v>7839</v>
      </c>
      <c r="T24" s="223" t="s">
        <v>7840</v>
      </c>
      <c r="U24" s="15">
        <v>0</v>
      </c>
      <c r="V24" s="15">
        <v>0</v>
      </c>
      <c r="W24" s="197">
        <v>0</v>
      </c>
      <c r="X24" s="197">
        <v>0</v>
      </c>
    </row>
    <row r="25" spans="1:24" ht="43.15" customHeight="1" x14ac:dyDescent="0.15">
      <c r="A25" s="41">
        <v>908029</v>
      </c>
      <c r="B25" s="103" t="s">
        <v>7841</v>
      </c>
      <c r="C25" s="41" t="s">
        <v>107</v>
      </c>
      <c r="D25" s="41">
        <v>1001</v>
      </c>
      <c r="E25" s="41">
        <v>2</v>
      </c>
      <c r="F25" s="41">
        <v>0</v>
      </c>
      <c r="G25" s="41">
        <v>0</v>
      </c>
      <c r="H25" s="41">
        <v>0</v>
      </c>
      <c r="I25" s="41">
        <v>1</v>
      </c>
      <c r="J25" s="41" t="b">
        <v>0</v>
      </c>
      <c r="K25" s="41">
        <v>-1</v>
      </c>
      <c r="L25" s="41">
        <v>0</v>
      </c>
      <c r="M25" s="41">
        <v>0</v>
      </c>
      <c r="N25" s="41">
        <v>1</v>
      </c>
      <c r="O25" s="41">
        <v>0</v>
      </c>
      <c r="P25" s="41">
        <v>0</v>
      </c>
      <c r="Q25" s="222">
        <v>0</v>
      </c>
      <c r="R25" s="43" t="s">
        <v>7768</v>
      </c>
      <c r="S25" s="41" t="s">
        <v>7842</v>
      </c>
      <c r="T25" s="223" t="s">
        <v>7840</v>
      </c>
      <c r="U25" s="15">
        <v>0</v>
      </c>
      <c r="V25" s="15">
        <v>0</v>
      </c>
      <c r="W25" s="197">
        <v>0</v>
      </c>
      <c r="X25" s="197">
        <v>0</v>
      </c>
    </row>
    <row r="26" spans="1:24" ht="27" x14ac:dyDescent="0.15">
      <c r="A26" s="41">
        <v>908063</v>
      </c>
      <c r="B26" s="103" t="s">
        <v>7843</v>
      </c>
      <c r="C26" s="41" t="s">
        <v>107</v>
      </c>
      <c r="D26" s="41">
        <v>1001</v>
      </c>
      <c r="E26" s="41">
        <v>2</v>
      </c>
      <c r="F26" s="41">
        <v>0</v>
      </c>
      <c r="G26" s="41">
        <v>0</v>
      </c>
      <c r="H26" s="41">
        <v>0</v>
      </c>
      <c r="I26" s="41">
        <v>999</v>
      </c>
      <c r="J26" s="41" t="b">
        <v>0</v>
      </c>
      <c r="K26" s="41">
        <v>-1</v>
      </c>
      <c r="L26" s="41">
        <v>0</v>
      </c>
      <c r="M26" s="41">
        <v>0</v>
      </c>
      <c r="N26" s="41">
        <v>1</v>
      </c>
      <c r="O26" s="41">
        <v>0</v>
      </c>
      <c r="P26" s="41">
        <v>0</v>
      </c>
      <c r="Q26" s="222">
        <v>0</v>
      </c>
      <c r="R26" s="43" t="s">
        <v>7768</v>
      </c>
      <c r="S26" s="41" t="s">
        <v>7844</v>
      </c>
      <c r="T26" s="223" t="s">
        <v>7845</v>
      </c>
      <c r="U26" s="15">
        <v>0</v>
      </c>
      <c r="V26" s="15">
        <v>0</v>
      </c>
      <c r="W26" s="197">
        <v>0</v>
      </c>
      <c r="X26" s="197">
        <v>0</v>
      </c>
    </row>
    <row r="27" spans="1:24" ht="27" x14ac:dyDescent="0.15">
      <c r="A27" s="41">
        <v>908064</v>
      </c>
      <c r="B27" s="103" t="s">
        <v>7846</v>
      </c>
      <c r="C27" s="41" t="s">
        <v>107</v>
      </c>
      <c r="D27" s="41">
        <v>1001</v>
      </c>
      <c r="E27" s="41">
        <v>2</v>
      </c>
      <c r="F27" s="41">
        <v>0</v>
      </c>
      <c r="G27" s="41">
        <v>0</v>
      </c>
      <c r="H27" s="41">
        <v>0</v>
      </c>
      <c r="I27" s="41">
        <v>999</v>
      </c>
      <c r="J27" s="41" t="b">
        <v>0</v>
      </c>
      <c r="K27" s="41">
        <v>1</v>
      </c>
      <c r="L27" s="41">
        <v>0</v>
      </c>
      <c r="M27" s="41">
        <v>0</v>
      </c>
      <c r="N27" s="41">
        <v>1</v>
      </c>
      <c r="O27" s="41">
        <v>0</v>
      </c>
      <c r="P27" s="41">
        <v>0</v>
      </c>
      <c r="Q27" s="222">
        <v>0</v>
      </c>
      <c r="R27" s="43" t="s">
        <v>7768</v>
      </c>
      <c r="S27" s="41" t="s">
        <v>7847</v>
      </c>
      <c r="T27" s="223" t="s">
        <v>7848</v>
      </c>
      <c r="U27" s="15">
        <v>0</v>
      </c>
      <c r="V27" s="15">
        <v>0</v>
      </c>
      <c r="W27" s="197">
        <v>0</v>
      </c>
      <c r="X27" s="197">
        <v>0</v>
      </c>
    </row>
    <row r="28" spans="1:24" customFormat="1" ht="27" x14ac:dyDescent="0.15">
      <c r="A28" s="41">
        <v>908065</v>
      </c>
      <c r="B28" s="103" t="s">
        <v>7849</v>
      </c>
      <c r="C28" s="41" t="s">
        <v>107</v>
      </c>
      <c r="D28" s="41">
        <v>1001</v>
      </c>
      <c r="E28" s="41">
        <v>1</v>
      </c>
      <c r="F28" s="41">
        <v>0</v>
      </c>
      <c r="G28" s="41">
        <v>0</v>
      </c>
      <c r="H28" s="41">
        <v>0</v>
      </c>
      <c r="I28" s="41">
        <v>1</v>
      </c>
      <c r="J28" s="41" t="b">
        <v>0</v>
      </c>
      <c r="K28" s="41">
        <v>-1</v>
      </c>
      <c r="L28" s="41">
        <v>0</v>
      </c>
      <c r="M28" s="41">
        <v>0</v>
      </c>
      <c r="N28" s="41">
        <v>1</v>
      </c>
      <c r="O28" s="41">
        <v>0</v>
      </c>
      <c r="P28" s="41">
        <v>0</v>
      </c>
      <c r="Q28" s="222">
        <v>0</v>
      </c>
      <c r="R28" s="43" t="s">
        <v>7768</v>
      </c>
      <c r="S28" s="41" t="s">
        <v>7849</v>
      </c>
      <c r="T28" s="223" t="s">
        <v>7850</v>
      </c>
      <c r="U28" s="15">
        <v>0</v>
      </c>
      <c r="V28" s="15">
        <v>0</v>
      </c>
      <c r="W28" s="197">
        <v>0</v>
      </c>
      <c r="X28" s="197">
        <v>0</v>
      </c>
    </row>
    <row r="29" spans="1:24" customFormat="1" ht="27" x14ac:dyDescent="0.15">
      <c r="A29" s="41">
        <v>908066</v>
      </c>
      <c r="B29" s="103" t="s">
        <v>7851</v>
      </c>
      <c r="C29" s="41" t="s">
        <v>107</v>
      </c>
      <c r="D29" s="41">
        <v>1001</v>
      </c>
      <c r="E29" s="41">
        <v>1</v>
      </c>
      <c r="F29" s="41">
        <v>0</v>
      </c>
      <c r="G29" s="41">
        <v>0</v>
      </c>
      <c r="H29" s="41">
        <v>0</v>
      </c>
      <c r="I29" s="41">
        <v>1</v>
      </c>
      <c r="J29" s="41" t="b">
        <v>0</v>
      </c>
      <c r="K29" s="41">
        <v>-1</v>
      </c>
      <c r="L29" s="41">
        <v>0</v>
      </c>
      <c r="M29" s="41">
        <v>0</v>
      </c>
      <c r="N29" s="41">
        <v>1</v>
      </c>
      <c r="O29" s="41">
        <v>0</v>
      </c>
      <c r="P29" s="41" t="s">
        <v>7852</v>
      </c>
      <c r="Q29" s="222">
        <v>0</v>
      </c>
      <c r="R29" s="43" t="s">
        <v>7768</v>
      </c>
      <c r="S29" s="41" t="s">
        <v>7851</v>
      </c>
      <c r="T29" s="223" t="s">
        <v>7853</v>
      </c>
      <c r="U29" s="15">
        <v>0</v>
      </c>
      <c r="V29" s="15">
        <v>0</v>
      </c>
      <c r="W29" s="197">
        <v>0</v>
      </c>
      <c r="X29" s="197">
        <v>0</v>
      </c>
    </row>
    <row r="30" spans="1:24" customFormat="1" ht="27" x14ac:dyDescent="0.15">
      <c r="A30" s="41">
        <v>908067</v>
      </c>
      <c r="B30" s="103" t="s">
        <v>7854</v>
      </c>
      <c r="C30" s="41" t="s">
        <v>107</v>
      </c>
      <c r="D30" s="41">
        <v>1001</v>
      </c>
      <c r="E30" s="41">
        <v>1</v>
      </c>
      <c r="F30" s="41">
        <v>0</v>
      </c>
      <c r="G30" s="41">
        <v>0</v>
      </c>
      <c r="H30" s="41">
        <v>0</v>
      </c>
      <c r="I30" s="41">
        <v>1</v>
      </c>
      <c r="J30" s="41" t="b">
        <v>0</v>
      </c>
      <c r="K30" s="41">
        <v>-1</v>
      </c>
      <c r="L30" s="41">
        <v>0</v>
      </c>
      <c r="M30" s="41">
        <v>0</v>
      </c>
      <c r="N30" s="41">
        <v>1</v>
      </c>
      <c r="O30" s="41">
        <v>0</v>
      </c>
      <c r="P30" s="41" t="s">
        <v>7855</v>
      </c>
      <c r="Q30" s="222">
        <v>0</v>
      </c>
      <c r="R30" s="43" t="s">
        <v>7768</v>
      </c>
      <c r="S30" s="41" t="s">
        <v>7854</v>
      </c>
      <c r="T30" s="223" t="s">
        <v>7840</v>
      </c>
      <c r="U30" s="15">
        <v>0</v>
      </c>
      <c r="V30" s="15">
        <v>0</v>
      </c>
      <c r="W30" s="197">
        <v>0</v>
      </c>
      <c r="X30" s="197">
        <v>0</v>
      </c>
    </row>
    <row r="31" spans="1:24" customFormat="1" ht="27" x14ac:dyDescent="0.15">
      <c r="A31" s="41">
        <v>908068</v>
      </c>
      <c r="B31" s="103" t="s">
        <v>7856</v>
      </c>
      <c r="C31" s="41" t="s">
        <v>107</v>
      </c>
      <c r="D31" s="41">
        <v>1001</v>
      </c>
      <c r="E31" s="41">
        <v>1</v>
      </c>
      <c r="F31" s="41">
        <v>0</v>
      </c>
      <c r="G31" s="41">
        <v>0</v>
      </c>
      <c r="H31" s="41">
        <v>0</v>
      </c>
      <c r="I31" s="41">
        <v>1</v>
      </c>
      <c r="J31" s="41" t="b">
        <v>0</v>
      </c>
      <c r="K31" s="41">
        <v>-1</v>
      </c>
      <c r="L31" s="41">
        <v>0</v>
      </c>
      <c r="M31" s="41">
        <v>0</v>
      </c>
      <c r="N31" s="41">
        <v>1</v>
      </c>
      <c r="O31" s="41">
        <v>0</v>
      </c>
      <c r="P31" s="41">
        <v>0</v>
      </c>
      <c r="Q31" s="222">
        <v>0</v>
      </c>
      <c r="R31" s="43" t="s">
        <v>7768</v>
      </c>
      <c r="S31" s="41" t="s">
        <v>7856</v>
      </c>
      <c r="T31" s="223" t="s">
        <v>7857</v>
      </c>
      <c r="U31" s="15">
        <v>0</v>
      </c>
      <c r="V31" s="15">
        <v>0</v>
      </c>
      <c r="W31" s="197">
        <v>0</v>
      </c>
      <c r="X31" s="197">
        <v>0</v>
      </c>
    </row>
    <row r="32" spans="1:24" customFormat="1" ht="27" x14ac:dyDescent="0.15">
      <c r="A32" s="41">
        <v>908069</v>
      </c>
      <c r="B32" s="103" t="s">
        <v>7858</v>
      </c>
      <c r="C32" s="41" t="s">
        <v>107</v>
      </c>
      <c r="D32" s="41">
        <v>1001</v>
      </c>
      <c r="E32" s="41">
        <v>1</v>
      </c>
      <c r="F32" s="41">
        <v>0</v>
      </c>
      <c r="G32" s="41">
        <v>0</v>
      </c>
      <c r="H32" s="41">
        <v>0</v>
      </c>
      <c r="I32" s="41">
        <v>1</v>
      </c>
      <c r="J32" s="41" t="b">
        <v>0</v>
      </c>
      <c r="K32" s="41">
        <v>-1</v>
      </c>
      <c r="L32" s="41">
        <v>0</v>
      </c>
      <c r="M32" s="41">
        <v>0</v>
      </c>
      <c r="N32" s="41">
        <v>1</v>
      </c>
      <c r="O32" s="41">
        <v>0</v>
      </c>
      <c r="P32" s="41">
        <v>0</v>
      </c>
      <c r="Q32" s="222">
        <v>0</v>
      </c>
      <c r="R32" s="43" t="s">
        <v>7768</v>
      </c>
      <c r="S32" s="41" t="s">
        <v>7858</v>
      </c>
      <c r="T32" s="223" t="s">
        <v>7859</v>
      </c>
      <c r="U32" s="15">
        <v>0</v>
      </c>
      <c r="V32" s="15">
        <v>0</v>
      </c>
      <c r="W32" s="197">
        <v>0</v>
      </c>
      <c r="X32" s="197">
        <v>0</v>
      </c>
    </row>
    <row r="33" spans="1:24" customFormat="1" ht="27" x14ac:dyDescent="0.15">
      <c r="A33" s="41">
        <v>908070</v>
      </c>
      <c r="B33" s="103" t="s">
        <v>7860</v>
      </c>
      <c r="C33" s="41" t="s">
        <v>107</v>
      </c>
      <c r="D33" s="41">
        <v>1001</v>
      </c>
      <c r="E33" s="41">
        <v>3</v>
      </c>
      <c r="F33" s="41">
        <v>0</v>
      </c>
      <c r="G33" s="41">
        <v>0</v>
      </c>
      <c r="H33" s="41">
        <v>0</v>
      </c>
      <c r="I33" s="41">
        <v>1</v>
      </c>
      <c r="J33" s="41" t="b">
        <v>0</v>
      </c>
      <c r="K33" s="41">
        <v>-1</v>
      </c>
      <c r="L33" s="41">
        <v>0</v>
      </c>
      <c r="M33" s="41">
        <v>0</v>
      </c>
      <c r="N33" s="41">
        <v>1</v>
      </c>
      <c r="O33" s="41">
        <v>0</v>
      </c>
      <c r="P33" s="41">
        <v>0</v>
      </c>
      <c r="Q33" s="222">
        <v>0</v>
      </c>
      <c r="R33" s="43" t="s">
        <v>7768</v>
      </c>
      <c r="S33" s="41" t="s">
        <v>7860</v>
      </c>
      <c r="T33" s="223" t="s">
        <v>7861</v>
      </c>
      <c r="U33" s="15">
        <v>0</v>
      </c>
      <c r="V33" s="15">
        <v>0</v>
      </c>
      <c r="W33" s="197">
        <v>0</v>
      </c>
      <c r="X33" s="197">
        <v>0</v>
      </c>
    </row>
    <row r="34" spans="1:24" customFormat="1" ht="27" x14ac:dyDescent="0.15">
      <c r="A34" s="41">
        <v>908071</v>
      </c>
      <c r="B34" s="103" t="s">
        <v>7862</v>
      </c>
      <c r="C34" s="41" t="s">
        <v>107</v>
      </c>
      <c r="D34" s="41">
        <v>1001</v>
      </c>
      <c r="E34" s="41">
        <v>2</v>
      </c>
      <c r="F34" s="41">
        <v>0</v>
      </c>
      <c r="G34" s="41">
        <v>0</v>
      </c>
      <c r="H34" s="41">
        <v>0</v>
      </c>
      <c r="I34" s="41">
        <v>1</v>
      </c>
      <c r="J34" s="41" t="b">
        <v>0</v>
      </c>
      <c r="K34" s="41">
        <v>-1</v>
      </c>
      <c r="L34" s="41">
        <v>0</v>
      </c>
      <c r="M34" s="41">
        <v>0</v>
      </c>
      <c r="N34" s="41">
        <v>1</v>
      </c>
      <c r="O34" s="41">
        <v>0</v>
      </c>
      <c r="P34" s="41">
        <v>0</v>
      </c>
      <c r="Q34" s="222">
        <v>0</v>
      </c>
      <c r="R34" s="43" t="s">
        <v>7768</v>
      </c>
      <c r="S34" s="41" t="s">
        <v>7862</v>
      </c>
      <c r="T34" s="223" t="s">
        <v>7863</v>
      </c>
      <c r="U34" s="15">
        <v>0</v>
      </c>
      <c r="V34" s="15">
        <v>0</v>
      </c>
      <c r="W34" s="197">
        <v>0</v>
      </c>
      <c r="X34" s="197">
        <v>0</v>
      </c>
    </row>
    <row r="35" spans="1:24" customFormat="1" ht="27" x14ac:dyDescent="0.15">
      <c r="A35" s="41">
        <v>908072</v>
      </c>
      <c r="B35" s="103" t="s">
        <v>7864</v>
      </c>
      <c r="C35" s="41" t="s">
        <v>107</v>
      </c>
      <c r="D35" s="41">
        <v>1001</v>
      </c>
      <c r="E35" s="41">
        <v>5</v>
      </c>
      <c r="F35" s="41">
        <v>0</v>
      </c>
      <c r="G35" s="41">
        <v>0</v>
      </c>
      <c r="H35" s="41">
        <v>0</v>
      </c>
      <c r="I35" s="41">
        <v>1</v>
      </c>
      <c r="J35" s="41" t="b">
        <v>0</v>
      </c>
      <c r="K35" s="41">
        <v>-1</v>
      </c>
      <c r="L35" s="41">
        <v>0</v>
      </c>
      <c r="M35" s="41">
        <v>0</v>
      </c>
      <c r="N35" s="41">
        <v>1</v>
      </c>
      <c r="O35" s="41">
        <v>0</v>
      </c>
      <c r="P35" s="41">
        <v>0</v>
      </c>
      <c r="Q35" s="222">
        <v>0</v>
      </c>
      <c r="R35" s="43" t="s">
        <v>7768</v>
      </c>
      <c r="S35" s="41" t="s">
        <v>7864</v>
      </c>
      <c r="T35" s="223" t="s">
        <v>7865</v>
      </c>
      <c r="U35" s="15">
        <v>0</v>
      </c>
      <c r="V35" s="15">
        <v>0</v>
      </c>
      <c r="W35" s="197">
        <v>0</v>
      </c>
      <c r="X35" s="197">
        <v>0</v>
      </c>
    </row>
    <row r="36" spans="1:24" ht="27" x14ac:dyDescent="0.15">
      <c r="A36" s="41">
        <v>908073</v>
      </c>
      <c r="B36" s="103" t="s">
        <v>7866</v>
      </c>
      <c r="C36" s="41" t="s">
        <v>107</v>
      </c>
      <c r="D36" s="41">
        <v>1001</v>
      </c>
      <c r="E36" s="41">
        <v>2</v>
      </c>
      <c r="F36" s="41">
        <v>0</v>
      </c>
      <c r="G36" s="41">
        <v>0</v>
      </c>
      <c r="H36" s="41">
        <v>0</v>
      </c>
      <c r="I36" s="41">
        <v>1</v>
      </c>
      <c r="J36" s="41" t="b">
        <v>0</v>
      </c>
      <c r="K36" s="41">
        <f>K37</f>
        <v>-1</v>
      </c>
      <c r="L36" s="41">
        <v>0</v>
      </c>
      <c r="M36" s="41">
        <v>0</v>
      </c>
      <c r="N36" s="41">
        <v>1</v>
      </c>
      <c r="O36" s="41">
        <v>0</v>
      </c>
      <c r="P36" s="41">
        <v>0</v>
      </c>
      <c r="Q36" s="222">
        <v>0</v>
      </c>
      <c r="R36" s="43" t="s">
        <v>7768</v>
      </c>
      <c r="S36" s="41" t="s">
        <v>7867</v>
      </c>
      <c r="T36" s="223" t="s">
        <v>7868</v>
      </c>
      <c r="U36" s="15">
        <v>0</v>
      </c>
      <c r="V36" s="15">
        <v>0</v>
      </c>
      <c r="W36" s="197">
        <v>0</v>
      </c>
      <c r="X36" s="197">
        <v>0</v>
      </c>
    </row>
    <row r="37" spans="1:24" ht="27" x14ac:dyDescent="0.15">
      <c r="A37" s="41">
        <v>908074</v>
      </c>
      <c r="B37" s="103" t="s">
        <v>7869</v>
      </c>
      <c r="C37" s="41" t="s">
        <v>107</v>
      </c>
      <c r="D37" s="41">
        <v>1001</v>
      </c>
      <c r="E37" s="41">
        <v>2</v>
      </c>
      <c r="F37" s="41">
        <v>0</v>
      </c>
      <c r="G37" s="41">
        <v>0</v>
      </c>
      <c r="H37" s="41">
        <v>0</v>
      </c>
      <c r="I37" s="41">
        <v>1</v>
      </c>
      <c r="J37" s="41" t="b">
        <v>0</v>
      </c>
      <c r="K37" s="41">
        <v>-1</v>
      </c>
      <c r="L37" s="41">
        <v>0</v>
      </c>
      <c r="M37" s="41">
        <v>0</v>
      </c>
      <c r="N37" s="41">
        <v>1</v>
      </c>
      <c r="O37" s="41">
        <v>0</v>
      </c>
      <c r="P37" s="41">
        <v>0</v>
      </c>
      <c r="Q37" s="222">
        <v>0</v>
      </c>
      <c r="R37" s="43" t="s">
        <v>7768</v>
      </c>
      <c r="S37" s="41" t="s">
        <v>7869</v>
      </c>
      <c r="T37" s="223" t="s">
        <v>7840</v>
      </c>
      <c r="U37" s="15">
        <v>0</v>
      </c>
      <c r="V37" s="15">
        <v>0</v>
      </c>
      <c r="W37" s="197">
        <v>0</v>
      </c>
      <c r="X37" s="197">
        <v>0</v>
      </c>
    </row>
    <row r="38" spans="1:24" customFormat="1" ht="27" x14ac:dyDescent="0.15">
      <c r="A38" s="41">
        <v>908075</v>
      </c>
      <c r="B38" s="103" t="s">
        <v>7870</v>
      </c>
      <c r="C38" s="41" t="s">
        <v>107</v>
      </c>
      <c r="D38" s="41">
        <v>1001</v>
      </c>
      <c r="E38" s="41">
        <v>1</v>
      </c>
      <c r="F38" s="41">
        <v>0</v>
      </c>
      <c r="G38" s="41">
        <v>0</v>
      </c>
      <c r="H38" s="41">
        <v>0</v>
      </c>
      <c r="I38" s="41">
        <v>1</v>
      </c>
      <c r="J38" s="41" t="b">
        <v>0</v>
      </c>
      <c r="K38" s="41">
        <v>-1</v>
      </c>
      <c r="L38" s="41">
        <v>0</v>
      </c>
      <c r="M38" s="41">
        <v>0</v>
      </c>
      <c r="N38" s="41">
        <v>1</v>
      </c>
      <c r="O38" s="41">
        <v>0</v>
      </c>
      <c r="P38" s="41">
        <v>0</v>
      </c>
      <c r="Q38" s="222">
        <v>0</v>
      </c>
      <c r="R38" s="43" t="s">
        <v>7768</v>
      </c>
      <c r="S38" s="41" t="s">
        <v>7870</v>
      </c>
      <c r="T38" s="223" t="s">
        <v>2806</v>
      </c>
      <c r="U38" s="15">
        <v>0</v>
      </c>
      <c r="V38" s="15">
        <v>0</v>
      </c>
      <c r="W38" s="197">
        <v>0</v>
      </c>
      <c r="X38" s="197">
        <v>0</v>
      </c>
    </row>
    <row r="39" spans="1:24" customFormat="1" ht="27" x14ac:dyDescent="0.15">
      <c r="A39" s="41">
        <v>908076</v>
      </c>
      <c r="B39" s="103" t="s">
        <v>7871</v>
      </c>
      <c r="C39" s="41" t="s">
        <v>107</v>
      </c>
      <c r="D39" s="41">
        <v>1001</v>
      </c>
      <c r="E39" s="41">
        <v>1</v>
      </c>
      <c r="F39" s="41">
        <v>0</v>
      </c>
      <c r="G39" s="41">
        <v>0</v>
      </c>
      <c r="H39" s="41">
        <v>0</v>
      </c>
      <c r="I39" s="41">
        <v>1</v>
      </c>
      <c r="J39" s="41" t="b">
        <v>0</v>
      </c>
      <c r="K39" s="41">
        <v>-1</v>
      </c>
      <c r="L39" s="41">
        <v>0</v>
      </c>
      <c r="M39" s="41">
        <v>0</v>
      </c>
      <c r="N39" s="41">
        <v>1</v>
      </c>
      <c r="O39" s="41">
        <v>0</v>
      </c>
      <c r="P39" s="41">
        <v>0</v>
      </c>
      <c r="Q39" s="222">
        <v>0</v>
      </c>
      <c r="R39" s="43" t="s">
        <v>7768</v>
      </c>
      <c r="S39" s="41" t="s">
        <v>7871</v>
      </c>
      <c r="T39" s="223" t="s">
        <v>7872</v>
      </c>
      <c r="U39" s="15">
        <v>0</v>
      </c>
      <c r="V39" s="15">
        <v>0</v>
      </c>
      <c r="W39" s="197">
        <v>0</v>
      </c>
      <c r="X39" s="197">
        <v>0</v>
      </c>
    </row>
    <row r="40" spans="1:24" customFormat="1" ht="27" x14ac:dyDescent="0.15">
      <c r="A40" s="41">
        <v>908077</v>
      </c>
      <c r="B40" s="103" t="s">
        <v>7873</v>
      </c>
      <c r="C40" s="41" t="s">
        <v>107</v>
      </c>
      <c r="D40" s="41">
        <v>1001</v>
      </c>
      <c r="E40" s="41">
        <v>2</v>
      </c>
      <c r="F40" s="41">
        <v>0</v>
      </c>
      <c r="G40" s="41">
        <v>0</v>
      </c>
      <c r="H40" s="41">
        <v>0</v>
      </c>
      <c r="I40" s="41">
        <v>1</v>
      </c>
      <c r="J40" s="41" t="b">
        <v>0</v>
      </c>
      <c r="K40" s="41">
        <v>-1</v>
      </c>
      <c r="L40" s="41">
        <v>0</v>
      </c>
      <c r="M40" s="41">
        <v>0</v>
      </c>
      <c r="N40" s="41">
        <v>1</v>
      </c>
      <c r="O40" s="41">
        <v>0</v>
      </c>
      <c r="P40" s="41">
        <v>0</v>
      </c>
      <c r="Q40" s="222">
        <v>0</v>
      </c>
      <c r="R40" s="43" t="s">
        <v>7768</v>
      </c>
      <c r="S40" s="41" t="s">
        <v>7873</v>
      </c>
      <c r="T40" s="223" t="s">
        <v>7874</v>
      </c>
      <c r="U40" s="15">
        <v>0</v>
      </c>
      <c r="V40" s="15">
        <v>0</v>
      </c>
      <c r="W40" s="197">
        <v>0</v>
      </c>
      <c r="X40" s="197">
        <v>0</v>
      </c>
    </row>
    <row r="41" spans="1:24" customFormat="1" ht="27" x14ac:dyDescent="0.15">
      <c r="A41" s="41">
        <v>908078</v>
      </c>
      <c r="B41" s="103" t="s">
        <v>7875</v>
      </c>
      <c r="C41" s="41" t="s">
        <v>107</v>
      </c>
      <c r="D41" s="41">
        <v>1001</v>
      </c>
      <c r="E41" s="41">
        <v>2</v>
      </c>
      <c r="F41" s="41">
        <v>0</v>
      </c>
      <c r="G41" s="41">
        <v>0</v>
      </c>
      <c r="H41" s="41">
        <v>0</v>
      </c>
      <c r="I41" s="41">
        <v>1</v>
      </c>
      <c r="J41" s="41" t="b">
        <v>0</v>
      </c>
      <c r="K41" s="41">
        <v>-1</v>
      </c>
      <c r="L41" s="41">
        <v>0</v>
      </c>
      <c r="M41" s="41">
        <v>0</v>
      </c>
      <c r="N41" s="41">
        <v>1</v>
      </c>
      <c r="O41" s="41">
        <v>0</v>
      </c>
      <c r="P41" s="41" t="s">
        <v>7876</v>
      </c>
      <c r="Q41" s="222" t="s">
        <v>7788</v>
      </c>
      <c r="R41" s="43" t="s">
        <v>7768</v>
      </c>
      <c r="S41" s="41" t="s">
        <v>7875</v>
      </c>
      <c r="T41" s="223" t="s">
        <v>7877</v>
      </c>
      <c r="U41" s="15">
        <v>0</v>
      </c>
      <c r="V41" s="15">
        <v>0</v>
      </c>
      <c r="W41" s="197">
        <v>0</v>
      </c>
      <c r="X41" s="197">
        <v>0</v>
      </c>
    </row>
    <row r="42" spans="1:24" customFormat="1" ht="27" x14ac:dyDescent="0.15">
      <c r="A42" s="41">
        <v>908079</v>
      </c>
      <c r="B42" s="103" t="s">
        <v>7878</v>
      </c>
      <c r="C42" s="41" t="s">
        <v>107</v>
      </c>
      <c r="D42" s="41">
        <v>1001</v>
      </c>
      <c r="E42" s="41">
        <v>1</v>
      </c>
      <c r="F42" s="41">
        <v>0</v>
      </c>
      <c r="G42" s="41">
        <v>15</v>
      </c>
      <c r="H42" s="41">
        <v>0</v>
      </c>
      <c r="I42" s="41">
        <v>999</v>
      </c>
      <c r="J42" s="41" t="b">
        <v>1</v>
      </c>
      <c r="K42" s="41">
        <v>750</v>
      </c>
      <c r="L42" s="41">
        <v>0</v>
      </c>
      <c r="M42" s="41">
        <v>0</v>
      </c>
      <c r="N42" s="41">
        <v>1</v>
      </c>
      <c r="O42" s="41">
        <v>0</v>
      </c>
      <c r="P42" s="41">
        <v>0</v>
      </c>
      <c r="Q42" s="222">
        <v>0</v>
      </c>
      <c r="R42" s="43" t="s">
        <v>7768</v>
      </c>
      <c r="S42" s="41" t="s">
        <v>7878</v>
      </c>
      <c r="T42" s="223" t="s">
        <v>7879</v>
      </c>
      <c r="U42" s="15">
        <v>0</v>
      </c>
      <c r="V42" s="15">
        <v>0</v>
      </c>
      <c r="W42" s="197">
        <v>0</v>
      </c>
      <c r="X42" s="197">
        <v>0</v>
      </c>
    </row>
    <row r="43" spans="1:24" customFormat="1" ht="27" x14ac:dyDescent="0.15">
      <c r="A43" s="41">
        <v>908080</v>
      </c>
      <c r="B43" s="103" t="s">
        <v>7880</v>
      </c>
      <c r="C43" s="41" t="s">
        <v>107</v>
      </c>
      <c r="D43" s="41">
        <v>1001</v>
      </c>
      <c r="E43" s="41">
        <v>1</v>
      </c>
      <c r="F43" s="41">
        <v>0</v>
      </c>
      <c r="G43" s="41">
        <v>29</v>
      </c>
      <c r="H43" s="41">
        <v>0</v>
      </c>
      <c r="I43" s="41">
        <v>999</v>
      </c>
      <c r="J43" s="41" t="b">
        <v>1</v>
      </c>
      <c r="K43" s="41">
        <v>600</v>
      </c>
      <c r="L43" s="41">
        <v>0</v>
      </c>
      <c r="M43" s="41">
        <v>0</v>
      </c>
      <c r="N43" s="41">
        <v>1</v>
      </c>
      <c r="O43" s="41">
        <v>0</v>
      </c>
      <c r="P43" s="41">
        <v>0</v>
      </c>
      <c r="Q43" s="222">
        <v>0</v>
      </c>
      <c r="R43" s="43" t="s">
        <v>7768</v>
      </c>
      <c r="S43" s="41" t="s">
        <v>7880</v>
      </c>
      <c r="T43" s="223" t="s">
        <v>7881</v>
      </c>
      <c r="U43" s="15">
        <v>0</v>
      </c>
      <c r="V43" s="15">
        <v>0</v>
      </c>
      <c r="W43" s="197">
        <v>0</v>
      </c>
      <c r="X43" s="197">
        <v>0</v>
      </c>
    </row>
    <row r="44" spans="1:24" customFormat="1" ht="27" x14ac:dyDescent="0.15">
      <c r="A44" s="41">
        <v>908081</v>
      </c>
      <c r="B44" s="103" t="s">
        <v>7882</v>
      </c>
      <c r="C44" s="41" t="s">
        <v>107</v>
      </c>
      <c r="D44" s="41">
        <v>1001</v>
      </c>
      <c r="E44" s="41">
        <v>2</v>
      </c>
      <c r="F44" s="41">
        <v>0</v>
      </c>
      <c r="G44" s="41">
        <v>29</v>
      </c>
      <c r="H44" s="41">
        <v>0</v>
      </c>
      <c r="I44" s="41">
        <v>999</v>
      </c>
      <c r="J44" s="41" t="b">
        <v>1</v>
      </c>
      <c r="K44" s="41">
        <v>550</v>
      </c>
      <c r="L44" s="41">
        <v>0</v>
      </c>
      <c r="M44" s="41">
        <v>0</v>
      </c>
      <c r="N44" s="41">
        <v>1</v>
      </c>
      <c r="O44" s="41">
        <v>0</v>
      </c>
      <c r="P44" s="41">
        <v>0</v>
      </c>
      <c r="Q44" s="222">
        <v>0</v>
      </c>
      <c r="R44" s="43" t="s">
        <v>7768</v>
      </c>
      <c r="S44" s="41" t="s">
        <v>7882</v>
      </c>
      <c r="T44" s="223" t="s">
        <v>7883</v>
      </c>
      <c r="U44" s="15">
        <v>0</v>
      </c>
      <c r="V44" s="15">
        <v>0</v>
      </c>
      <c r="W44" s="197">
        <v>0</v>
      </c>
      <c r="X44" s="197">
        <v>0</v>
      </c>
    </row>
    <row r="45" spans="1:24" ht="27" x14ac:dyDescent="0.15">
      <c r="A45" s="41">
        <v>908082</v>
      </c>
      <c r="B45" s="103" t="s">
        <v>7884</v>
      </c>
      <c r="C45" s="41" t="s">
        <v>107</v>
      </c>
      <c r="D45" s="41">
        <v>1001</v>
      </c>
      <c r="E45" s="41">
        <v>2</v>
      </c>
      <c r="F45" s="41">
        <v>0</v>
      </c>
      <c r="G45" s="41">
        <v>0</v>
      </c>
      <c r="H45" s="41">
        <v>0</v>
      </c>
      <c r="I45" s="41">
        <v>1</v>
      </c>
      <c r="J45" s="41" t="b">
        <v>0</v>
      </c>
      <c r="K45" s="41">
        <v>-1</v>
      </c>
      <c r="L45" s="41">
        <v>0</v>
      </c>
      <c r="M45" s="41">
        <v>0</v>
      </c>
      <c r="N45" s="41">
        <v>1</v>
      </c>
      <c r="O45" s="41">
        <v>0</v>
      </c>
      <c r="P45" s="41" t="s">
        <v>7885</v>
      </c>
      <c r="Q45" s="222" t="s">
        <v>7788</v>
      </c>
      <c r="R45" s="43" t="s">
        <v>7768</v>
      </c>
      <c r="S45" s="41" t="s">
        <v>7884</v>
      </c>
      <c r="T45" s="223" t="s">
        <v>7840</v>
      </c>
      <c r="U45" s="15">
        <v>0</v>
      </c>
      <c r="V45" s="15">
        <v>0</v>
      </c>
      <c r="W45" s="197">
        <v>0</v>
      </c>
      <c r="X45" s="197">
        <v>0</v>
      </c>
    </row>
    <row r="46" spans="1:24" ht="27" x14ac:dyDescent="0.15">
      <c r="A46" s="41">
        <v>908085</v>
      </c>
      <c r="B46" s="103" t="s">
        <v>7886</v>
      </c>
      <c r="C46" s="41" t="s">
        <v>107</v>
      </c>
      <c r="D46" s="41">
        <v>1001</v>
      </c>
      <c r="E46" s="41">
        <v>2</v>
      </c>
      <c r="F46" s="41">
        <v>0</v>
      </c>
      <c r="G46" s="41">
        <v>0</v>
      </c>
      <c r="H46" s="41">
        <v>0</v>
      </c>
      <c r="I46" s="41">
        <v>1</v>
      </c>
      <c r="J46" s="41" t="b">
        <v>0</v>
      </c>
      <c r="K46" s="41">
        <v>-1</v>
      </c>
      <c r="L46" s="41">
        <v>0</v>
      </c>
      <c r="M46" s="41">
        <v>0</v>
      </c>
      <c r="N46" s="41">
        <v>1</v>
      </c>
      <c r="O46" s="41">
        <v>0</v>
      </c>
      <c r="P46" s="41">
        <v>0</v>
      </c>
      <c r="Q46" s="222">
        <v>0</v>
      </c>
      <c r="R46" s="43" t="s">
        <v>7768</v>
      </c>
      <c r="S46" s="41" t="s">
        <v>7887</v>
      </c>
      <c r="T46" s="223" t="s">
        <v>7840</v>
      </c>
      <c r="U46" s="15">
        <v>0</v>
      </c>
      <c r="V46" s="15">
        <v>0</v>
      </c>
      <c r="W46" s="197">
        <v>0</v>
      </c>
      <c r="X46" s="197">
        <v>0</v>
      </c>
    </row>
    <row r="47" spans="1:24" ht="27" x14ac:dyDescent="0.15">
      <c r="A47" s="41">
        <v>908086</v>
      </c>
      <c r="B47" s="103" t="s">
        <v>7886</v>
      </c>
      <c r="C47" s="41" t="s">
        <v>107</v>
      </c>
      <c r="D47" s="41">
        <v>1001</v>
      </c>
      <c r="E47" s="41">
        <v>2</v>
      </c>
      <c r="F47" s="41">
        <v>0</v>
      </c>
      <c r="G47" s="41">
        <v>0</v>
      </c>
      <c r="H47" s="41">
        <v>0</v>
      </c>
      <c r="I47" s="41">
        <v>1</v>
      </c>
      <c r="J47" s="41" t="b">
        <v>0</v>
      </c>
      <c r="K47" s="41">
        <v>-1</v>
      </c>
      <c r="L47" s="41">
        <v>0</v>
      </c>
      <c r="M47" s="41">
        <v>0</v>
      </c>
      <c r="N47" s="41">
        <v>1</v>
      </c>
      <c r="O47" s="41">
        <v>0</v>
      </c>
      <c r="P47" s="41">
        <v>0</v>
      </c>
      <c r="Q47" s="222">
        <v>0</v>
      </c>
      <c r="R47" s="43" t="s">
        <v>7768</v>
      </c>
      <c r="S47" s="41" t="s">
        <v>7888</v>
      </c>
      <c r="T47" s="223" t="s">
        <v>7840</v>
      </c>
      <c r="U47" s="15">
        <v>0</v>
      </c>
      <c r="V47" s="15">
        <v>0</v>
      </c>
      <c r="W47" s="197">
        <v>0</v>
      </c>
      <c r="X47" s="197">
        <v>0</v>
      </c>
    </row>
    <row r="48" spans="1:24" ht="27" x14ac:dyDescent="0.15">
      <c r="A48" s="41">
        <v>908087</v>
      </c>
      <c r="B48" s="103" t="s">
        <v>7886</v>
      </c>
      <c r="C48" s="41" t="s">
        <v>107</v>
      </c>
      <c r="D48" s="41">
        <v>1001</v>
      </c>
      <c r="E48" s="41">
        <v>2</v>
      </c>
      <c r="F48" s="41">
        <v>0</v>
      </c>
      <c r="G48" s="41">
        <v>0</v>
      </c>
      <c r="H48" s="41">
        <v>0</v>
      </c>
      <c r="I48" s="41">
        <v>1</v>
      </c>
      <c r="J48" s="41" t="b">
        <v>0</v>
      </c>
      <c r="K48" s="41">
        <v>-1</v>
      </c>
      <c r="L48" s="41">
        <v>0</v>
      </c>
      <c r="M48" s="41">
        <v>0</v>
      </c>
      <c r="N48" s="41">
        <v>1</v>
      </c>
      <c r="O48" s="41">
        <v>0</v>
      </c>
      <c r="P48" s="41">
        <v>0</v>
      </c>
      <c r="Q48" s="222">
        <v>0</v>
      </c>
      <c r="R48" s="43" t="s">
        <v>7768</v>
      </c>
      <c r="S48" s="41" t="s">
        <v>7889</v>
      </c>
      <c r="T48" s="223" t="s">
        <v>7840</v>
      </c>
      <c r="U48" s="15">
        <v>0</v>
      </c>
      <c r="V48" s="15">
        <v>0</v>
      </c>
      <c r="W48" s="197">
        <v>0</v>
      </c>
      <c r="X48" s="197">
        <v>0</v>
      </c>
    </row>
    <row r="49" spans="1:24" ht="27" x14ac:dyDescent="0.15">
      <c r="A49" s="41">
        <v>908088</v>
      </c>
      <c r="B49" s="103" t="s">
        <v>7890</v>
      </c>
      <c r="C49" s="41" t="s">
        <v>107</v>
      </c>
      <c r="D49" s="41">
        <v>1001</v>
      </c>
      <c r="E49" s="41">
        <v>2</v>
      </c>
      <c r="F49" s="41">
        <v>0</v>
      </c>
      <c r="G49" s="41">
        <v>0</v>
      </c>
      <c r="H49" s="41">
        <v>0</v>
      </c>
      <c r="I49" s="41">
        <v>1</v>
      </c>
      <c r="J49" s="41" t="b">
        <v>1</v>
      </c>
      <c r="K49" s="41">
        <v>-1</v>
      </c>
      <c r="L49" s="41">
        <v>0</v>
      </c>
      <c r="M49" s="41">
        <v>0</v>
      </c>
      <c r="N49" s="41">
        <v>1</v>
      </c>
      <c r="O49" s="41">
        <v>0</v>
      </c>
      <c r="P49" s="41" t="s">
        <v>7891</v>
      </c>
      <c r="Q49" s="222" t="s">
        <v>7788</v>
      </c>
      <c r="R49" s="43" t="s">
        <v>7768</v>
      </c>
      <c r="S49" s="41" t="s">
        <v>7892</v>
      </c>
      <c r="T49" s="223" t="s">
        <v>3993</v>
      </c>
      <c r="U49" s="15">
        <v>0</v>
      </c>
      <c r="V49" s="15">
        <v>0</v>
      </c>
      <c r="W49" s="197">
        <v>0</v>
      </c>
      <c r="X49" s="197">
        <v>0</v>
      </c>
    </row>
    <row r="50" spans="1:24" ht="28.9" customHeight="1" x14ac:dyDescent="0.15">
      <c r="A50" s="41">
        <v>909089</v>
      </c>
      <c r="B50" s="103" t="s">
        <v>7893</v>
      </c>
      <c r="C50" s="41" t="s">
        <v>107</v>
      </c>
      <c r="D50" s="41">
        <v>1001</v>
      </c>
      <c r="E50" s="41">
        <v>7</v>
      </c>
      <c r="F50" s="41">
        <v>0</v>
      </c>
      <c r="G50" s="41">
        <v>0</v>
      </c>
      <c r="H50" s="41">
        <v>0</v>
      </c>
      <c r="I50" s="41">
        <v>1</v>
      </c>
      <c r="J50" s="41" t="b">
        <v>0</v>
      </c>
      <c r="K50" s="41">
        <v>-1</v>
      </c>
      <c r="L50" s="41">
        <v>0</v>
      </c>
      <c r="M50" s="41">
        <v>0</v>
      </c>
      <c r="N50" s="41">
        <v>1</v>
      </c>
      <c r="O50" s="41">
        <v>0</v>
      </c>
      <c r="P50" s="41">
        <v>0</v>
      </c>
      <c r="Q50" s="222">
        <v>0</v>
      </c>
      <c r="R50" s="43" t="s">
        <v>7768</v>
      </c>
      <c r="S50" s="41" t="s">
        <v>7894</v>
      </c>
      <c r="T50" s="223" t="s">
        <v>7895</v>
      </c>
      <c r="U50" s="15">
        <v>0</v>
      </c>
      <c r="V50" s="15">
        <v>0</v>
      </c>
      <c r="W50" s="197">
        <v>0</v>
      </c>
      <c r="X50" s="197">
        <v>0</v>
      </c>
    </row>
    <row r="51" spans="1:24" ht="28.9" customHeight="1" x14ac:dyDescent="0.15">
      <c r="A51" s="41">
        <v>909090</v>
      </c>
      <c r="B51" s="103" t="s">
        <v>7896</v>
      </c>
      <c r="C51" s="41" t="s">
        <v>107</v>
      </c>
      <c r="D51" s="41">
        <v>1001</v>
      </c>
      <c r="E51" s="41">
        <v>7</v>
      </c>
      <c r="F51" s="41">
        <v>0</v>
      </c>
      <c r="G51" s="41">
        <v>0</v>
      </c>
      <c r="H51" s="41">
        <v>0</v>
      </c>
      <c r="I51" s="41">
        <v>1</v>
      </c>
      <c r="J51" s="41" t="b">
        <v>0</v>
      </c>
      <c r="K51" s="41">
        <v>-1</v>
      </c>
      <c r="L51" s="41">
        <v>0</v>
      </c>
      <c r="M51" s="41">
        <v>0</v>
      </c>
      <c r="N51" s="41">
        <v>1</v>
      </c>
      <c r="O51" s="41">
        <v>0</v>
      </c>
      <c r="P51" s="41">
        <v>0</v>
      </c>
      <c r="Q51" s="222">
        <v>0</v>
      </c>
      <c r="R51" s="43" t="s">
        <v>7768</v>
      </c>
      <c r="S51" s="41" t="s">
        <v>7897</v>
      </c>
      <c r="T51" s="223" t="s">
        <v>7898</v>
      </c>
      <c r="U51" s="15">
        <v>0</v>
      </c>
      <c r="V51" s="15">
        <v>0</v>
      </c>
      <c r="W51" s="197">
        <v>0</v>
      </c>
      <c r="X51" s="197">
        <v>0</v>
      </c>
    </row>
    <row r="52" spans="1:24" ht="28.9" customHeight="1" x14ac:dyDescent="0.15">
      <c r="A52" s="41">
        <v>909091</v>
      </c>
      <c r="B52" s="103" t="s">
        <v>7899</v>
      </c>
      <c r="C52" s="41" t="s">
        <v>107</v>
      </c>
      <c r="D52" s="41">
        <v>1001</v>
      </c>
      <c r="E52" s="41">
        <v>7</v>
      </c>
      <c r="F52" s="41">
        <v>0</v>
      </c>
      <c r="G52" s="41">
        <v>0</v>
      </c>
      <c r="H52" s="41">
        <v>0</v>
      </c>
      <c r="I52" s="41">
        <v>1</v>
      </c>
      <c r="J52" s="41" t="b">
        <v>0</v>
      </c>
      <c r="K52" s="41">
        <v>-1</v>
      </c>
      <c r="L52" s="41">
        <v>0</v>
      </c>
      <c r="M52" s="41">
        <v>0</v>
      </c>
      <c r="N52" s="41">
        <v>1</v>
      </c>
      <c r="O52" s="41">
        <v>0</v>
      </c>
      <c r="P52" s="41">
        <v>0</v>
      </c>
      <c r="Q52" s="222">
        <v>0</v>
      </c>
      <c r="R52" s="43" t="s">
        <v>7768</v>
      </c>
      <c r="S52" s="41" t="s">
        <v>7900</v>
      </c>
      <c r="T52" s="223" t="s">
        <v>7901</v>
      </c>
      <c r="U52" s="15">
        <v>0</v>
      </c>
      <c r="V52" s="15">
        <v>0</v>
      </c>
      <c r="W52" s="197">
        <v>0</v>
      </c>
      <c r="X52" s="197">
        <v>0</v>
      </c>
    </row>
    <row r="53" spans="1:24" ht="28.9" customHeight="1" x14ac:dyDescent="0.15">
      <c r="A53" s="41">
        <v>909092</v>
      </c>
      <c r="B53" s="103" t="s">
        <v>7902</v>
      </c>
      <c r="C53" s="41" t="s">
        <v>107</v>
      </c>
      <c r="D53" s="41">
        <v>1001</v>
      </c>
      <c r="E53" s="41">
        <v>1</v>
      </c>
      <c r="F53" s="41">
        <v>0</v>
      </c>
      <c r="G53" s="41">
        <v>0</v>
      </c>
      <c r="H53" s="41">
        <v>0</v>
      </c>
      <c r="I53" s="41">
        <v>999</v>
      </c>
      <c r="J53" s="41" t="b">
        <v>0</v>
      </c>
      <c r="K53" s="41">
        <v>-1</v>
      </c>
      <c r="L53" s="41">
        <v>0</v>
      </c>
      <c r="M53" s="41">
        <v>0</v>
      </c>
      <c r="N53" s="41">
        <v>1</v>
      </c>
      <c r="O53" s="41">
        <v>0</v>
      </c>
      <c r="P53" s="41">
        <v>0</v>
      </c>
      <c r="Q53" s="222">
        <v>0</v>
      </c>
      <c r="R53" s="43" t="s">
        <v>7768</v>
      </c>
      <c r="S53" s="41" t="s">
        <v>7903</v>
      </c>
      <c r="T53" s="223" t="s">
        <v>7895</v>
      </c>
      <c r="U53" s="15">
        <v>0</v>
      </c>
      <c r="V53" s="15">
        <v>0</v>
      </c>
      <c r="W53" s="197">
        <v>0</v>
      </c>
      <c r="X53" s="197">
        <v>0</v>
      </c>
    </row>
    <row r="54" spans="1:24" ht="28.9" customHeight="1" x14ac:dyDescent="0.15">
      <c r="A54" s="41">
        <v>909093</v>
      </c>
      <c r="B54" s="103" t="s">
        <v>7904</v>
      </c>
      <c r="C54" s="41" t="s">
        <v>107</v>
      </c>
      <c r="D54" s="41">
        <v>1001</v>
      </c>
      <c r="E54" s="41">
        <v>1</v>
      </c>
      <c r="F54" s="41">
        <v>0</v>
      </c>
      <c r="G54" s="41">
        <v>0</v>
      </c>
      <c r="H54" s="41">
        <v>0</v>
      </c>
      <c r="I54" s="41">
        <v>999</v>
      </c>
      <c r="J54" s="41" t="b">
        <v>0</v>
      </c>
      <c r="K54" s="41">
        <v>-1</v>
      </c>
      <c r="L54" s="41">
        <v>0</v>
      </c>
      <c r="M54" s="41">
        <v>0</v>
      </c>
      <c r="N54" s="41">
        <v>1</v>
      </c>
      <c r="O54" s="41">
        <v>0</v>
      </c>
      <c r="P54" s="41">
        <v>0</v>
      </c>
      <c r="Q54" s="222">
        <v>0</v>
      </c>
      <c r="R54" s="43" t="s">
        <v>7768</v>
      </c>
      <c r="S54" s="41" t="s">
        <v>7903</v>
      </c>
      <c r="T54" s="223" t="s">
        <v>7898</v>
      </c>
      <c r="U54" s="15">
        <v>0</v>
      </c>
      <c r="V54" s="15">
        <v>0</v>
      </c>
      <c r="W54" s="197">
        <v>0</v>
      </c>
      <c r="X54" s="197">
        <v>0</v>
      </c>
    </row>
    <row r="55" spans="1:24" ht="28.9" customHeight="1" x14ac:dyDescent="0.15">
      <c r="A55" s="41">
        <v>909094</v>
      </c>
      <c r="B55" s="103" t="s">
        <v>7905</v>
      </c>
      <c r="C55" s="41" t="s">
        <v>107</v>
      </c>
      <c r="D55" s="41">
        <v>1001</v>
      </c>
      <c r="E55" s="41">
        <v>1</v>
      </c>
      <c r="F55" s="41">
        <v>0</v>
      </c>
      <c r="G55" s="41">
        <v>0</v>
      </c>
      <c r="H55" s="41">
        <v>0</v>
      </c>
      <c r="I55" s="41">
        <v>999</v>
      </c>
      <c r="J55" s="41" t="b">
        <v>0</v>
      </c>
      <c r="K55" s="41">
        <v>-1</v>
      </c>
      <c r="L55" s="41">
        <v>0</v>
      </c>
      <c r="M55" s="41">
        <v>0</v>
      </c>
      <c r="N55" s="41">
        <v>1</v>
      </c>
      <c r="O55" s="41">
        <v>0</v>
      </c>
      <c r="P55" s="41">
        <v>0</v>
      </c>
      <c r="Q55" s="222">
        <v>0</v>
      </c>
      <c r="R55" s="43" t="s">
        <v>7768</v>
      </c>
      <c r="S55" s="41" t="s">
        <v>7903</v>
      </c>
      <c r="T55" s="223" t="s">
        <v>7901</v>
      </c>
      <c r="U55" s="15">
        <v>0</v>
      </c>
      <c r="V55" s="15">
        <v>0</v>
      </c>
      <c r="W55" s="197">
        <v>0</v>
      </c>
      <c r="X55" s="197">
        <v>0</v>
      </c>
    </row>
    <row r="56" spans="1:24" ht="28.9" customHeight="1" x14ac:dyDescent="0.15">
      <c r="A56" s="41">
        <v>909095</v>
      </c>
      <c r="B56" s="103" t="s">
        <v>7906</v>
      </c>
      <c r="C56" s="41" t="s">
        <v>107</v>
      </c>
      <c r="D56" s="41">
        <v>1001</v>
      </c>
      <c r="E56" s="41">
        <v>4</v>
      </c>
      <c r="F56" s="41">
        <v>0</v>
      </c>
      <c r="G56" s="41">
        <v>0</v>
      </c>
      <c r="H56" s="41">
        <v>0</v>
      </c>
      <c r="I56" s="41">
        <v>1</v>
      </c>
      <c r="J56" s="41" t="b">
        <v>0</v>
      </c>
      <c r="K56" s="41">
        <v>-1</v>
      </c>
      <c r="L56" s="41">
        <v>0</v>
      </c>
      <c r="M56" s="41">
        <v>0</v>
      </c>
      <c r="N56" s="41">
        <v>1</v>
      </c>
      <c r="O56" s="41">
        <v>0</v>
      </c>
      <c r="P56" s="41">
        <v>0</v>
      </c>
      <c r="Q56" s="222">
        <v>0</v>
      </c>
      <c r="R56" s="43" t="s">
        <v>7768</v>
      </c>
      <c r="S56" s="41" t="s">
        <v>7907</v>
      </c>
      <c r="T56" s="223" t="s">
        <v>7908</v>
      </c>
      <c r="U56" s="15">
        <v>0</v>
      </c>
      <c r="V56" s="15">
        <v>0</v>
      </c>
      <c r="W56" s="197">
        <v>0</v>
      </c>
      <c r="X56" s="197">
        <v>0</v>
      </c>
    </row>
    <row r="57" spans="1:24" ht="28.9" customHeight="1" x14ac:dyDescent="0.15">
      <c r="A57" s="41">
        <v>909096</v>
      </c>
      <c r="B57" s="103" t="s">
        <v>7909</v>
      </c>
      <c r="C57" s="41" t="s">
        <v>107</v>
      </c>
      <c r="D57" s="41">
        <v>1001</v>
      </c>
      <c r="E57" s="41">
        <v>4</v>
      </c>
      <c r="F57" s="41">
        <v>0</v>
      </c>
      <c r="G57" s="41">
        <v>0</v>
      </c>
      <c r="H57" s="41">
        <v>0</v>
      </c>
      <c r="I57" s="41">
        <v>1</v>
      </c>
      <c r="J57" s="41" t="b">
        <v>0</v>
      </c>
      <c r="K57" s="41">
        <v>-1</v>
      </c>
      <c r="L57" s="41">
        <v>0</v>
      </c>
      <c r="M57" s="41">
        <v>0</v>
      </c>
      <c r="N57" s="41">
        <v>1</v>
      </c>
      <c r="O57" s="41">
        <v>0</v>
      </c>
      <c r="P57" s="41">
        <v>0</v>
      </c>
      <c r="Q57" s="222">
        <v>0</v>
      </c>
      <c r="R57" s="43" t="s">
        <v>7768</v>
      </c>
      <c r="S57" s="41" t="s">
        <v>7907</v>
      </c>
      <c r="T57" s="223" t="s">
        <v>7910</v>
      </c>
      <c r="U57" s="15">
        <v>0</v>
      </c>
      <c r="V57" s="15">
        <v>0</v>
      </c>
      <c r="W57" s="197">
        <v>0</v>
      </c>
      <c r="X57" s="197">
        <v>0</v>
      </c>
    </row>
    <row r="58" spans="1:24" ht="28.9" customHeight="1" x14ac:dyDescent="0.15">
      <c r="A58" s="41">
        <v>909097</v>
      </c>
      <c r="B58" s="103" t="s">
        <v>7911</v>
      </c>
      <c r="C58" s="41" t="s">
        <v>107</v>
      </c>
      <c r="D58" s="41">
        <v>1001</v>
      </c>
      <c r="E58" s="41">
        <v>4</v>
      </c>
      <c r="F58" s="41">
        <v>0</v>
      </c>
      <c r="G58" s="41">
        <v>0</v>
      </c>
      <c r="H58" s="41">
        <v>0</v>
      </c>
      <c r="I58" s="41">
        <v>1</v>
      </c>
      <c r="J58" s="41" t="b">
        <v>0</v>
      </c>
      <c r="K58" s="41">
        <v>-1</v>
      </c>
      <c r="L58" s="41">
        <v>0</v>
      </c>
      <c r="M58" s="41">
        <v>0</v>
      </c>
      <c r="N58" s="41">
        <v>1</v>
      </c>
      <c r="O58" s="41">
        <v>0</v>
      </c>
      <c r="P58" s="41">
        <v>0</v>
      </c>
      <c r="Q58" s="222">
        <v>0</v>
      </c>
      <c r="R58" s="43" t="s">
        <v>7768</v>
      </c>
      <c r="S58" s="41" t="s">
        <v>7907</v>
      </c>
      <c r="T58" s="223" t="s">
        <v>7473</v>
      </c>
      <c r="U58" s="15">
        <v>0</v>
      </c>
      <c r="V58" s="15">
        <v>0</v>
      </c>
      <c r="W58" s="197">
        <v>0</v>
      </c>
      <c r="X58" s="197">
        <v>0</v>
      </c>
    </row>
    <row r="59" spans="1:24" ht="28.9" customHeight="1" x14ac:dyDescent="0.15">
      <c r="A59" s="41">
        <v>909098</v>
      </c>
      <c r="B59" s="103" t="s">
        <v>7912</v>
      </c>
      <c r="C59" s="41" t="s">
        <v>107</v>
      </c>
      <c r="D59" s="41">
        <v>1001</v>
      </c>
      <c r="E59" s="41">
        <v>4</v>
      </c>
      <c r="F59" s="41">
        <v>0</v>
      </c>
      <c r="G59" s="41">
        <v>0</v>
      </c>
      <c r="H59" s="41">
        <v>0</v>
      </c>
      <c r="I59" s="41">
        <v>1</v>
      </c>
      <c r="J59" s="41" t="b">
        <v>0</v>
      </c>
      <c r="K59" s="41">
        <v>-1</v>
      </c>
      <c r="L59" s="41">
        <v>0</v>
      </c>
      <c r="M59" s="41">
        <v>0</v>
      </c>
      <c r="N59" s="41">
        <v>1</v>
      </c>
      <c r="O59" s="41">
        <v>0</v>
      </c>
      <c r="P59" s="41">
        <v>0</v>
      </c>
      <c r="Q59" s="222">
        <v>0</v>
      </c>
      <c r="R59" s="43" t="s">
        <v>7768</v>
      </c>
      <c r="S59" s="41" t="s">
        <v>7907</v>
      </c>
      <c r="T59" s="223" t="s">
        <v>7913</v>
      </c>
      <c r="U59" s="15">
        <v>0</v>
      </c>
      <c r="V59" s="15">
        <v>0</v>
      </c>
      <c r="W59" s="197">
        <v>0</v>
      </c>
      <c r="X59" s="197">
        <v>0</v>
      </c>
    </row>
    <row r="60" spans="1:24" ht="28.9" customHeight="1" x14ac:dyDescent="0.15">
      <c r="A60" s="41">
        <v>909099</v>
      </c>
      <c r="B60" s="103" t="s">
        <v>7914</v>
      </c>
      <c r="C60" s="41" t="s">
        <v>107</v>
      </c>
      <c r="D60" s="41">
        <v>1001</v>
      </c>
      <c r="E60" s="41">
        <v>3</v>
      </c>
      <c r="F60" s="41">
        <v>0</v>
      </c>
      <c r="G60" s="41">
        <v>0</v>
      </c>
      <c r="H60" s="41">
        <v>0</v>
      </c>
      <c r="I60" s="41">
        <v>1</v>
      </c>
      <c r="J60" s="41" t="b">
        <v>0</v>
      </c>
      <c r="K60" s="41">
        <v>-1</v>
      </c>
      <c r="L60" s="41">
        <v>0</v>
      </c>
      <c r="M60" s="41">
        <v>0</v>
      </c>
      <c r="N60" s="41">
        <v>1</v>
      </c>
      <c r="O60" s="41">
        <v>0</v>
      </c>
      <c r="P60" s="41">
        <v>0</v>
      </c>
      <c r="Q60" s="222">
        <v>0</v>
      </c>
      <c r="R60" s="43" t="s">
        <v>7768</v>
      </c>
      <c r="S60" s="41" t="s">
        <v>7915</v>
      </c>
      <c r="T60" s="223" t="s">
        <v>7916</v>
      </c>
      <c r="U60" s="15">
        <v>0</v>
      </c>
      <c r="V60" s="15">
        <v>0</v>
      </c>
      <c r="W60" s="197">
        <v>0</v>
      </c>
      <c r="X60" s="197">
        <v>0</v>
      </c>
    </row>
    <row r="61" spans="1:24" ht="28.9" customHeight="1" x14ac:dyDescent="0.15">
      <c r="A61" s="41">
        <v>909100</v>
      </c>
      <c r="B61" s="103" t="s">
        <v>7917</v>
      </c>
      <c r="C61" s="41" t="s">
        <v>107</v>
      </c>
      <c r="D61" s="41">
        <v>1001</v>
      </c>
      <c r="E61" s="41">
        <v>3</v>
      </c>
      <c r="F61" s="41">
        <v>0</v>
      </c>
      <c r="G61" s="41">
        <v>0</v>
      </c>
      <c r="H61" s="41">
        <v>0</v>
      </c>
      <c r="I61" s="41">
        <v>1</v>
      </c>
      <c r="J61" s="41" t="b">
        <v>0</v>
      </c>
      <c r="K61" s="41">
        <v>-1</v>
      </c>
      <c r="L61" s="41">
        <v>0</v>
      </c>
      <c r="M61" s="41">
        <v>0</v>
      </c>
      <c r="N61" s="41">
        <v>1</v>
      </c>
      <c r="O61" s="41">
        <v>0</v>
      </c>
      <c r="P61" s="41">
        <v>0</v>
      </c>
      <c r="Q61" s="222">
        <v>0</v>
      </c>
      <c r="R61" s="43" t="s">
        <v>7768</v>
      </c>
      <c r="S61" s="41" t="s">
        <v>7915</v>
      </c>
      <c r="T61" s="223" t="s">
        <v>7916</v>
      </c>
      <c r="U61" s="15">
        <v>0</v>
      </c>
      <c r="V61" s="15">
        <v>0</v>
      </c>
      <c r="W61" s="197">
        <v>0</v>
      </c>
      <c r="X61" s="197">
        <v>0</v>
      </c>
    </row>
    <row r="62" spans="1:24" ht="28.9" customHeight="1" x14ac:dyDescent="0.15">
      <c r="A62" s="41">
        <v>909101</v>
      </c>
      <c r="B62" s="103" t="s">
        <v>7918</v>
      </c>
      <c r="C62" s="41" t="s">
        <v>107</v>
      </c>
      <c r="D62" s="41">
        <v>1001</v>
      </c>
      <c r="E62" s="41">
        <v>3</v>
      </c>
      <c r="F62" s="41">
        <v>0</v>
      </c>
      <c r="G62" s="41">
        <v>0</v>
      </c>
      <c r="H62" s="41">
        <v>0</v>
      </c>
      <c r="I62" s="41">
        <v>1</v>
      </c>
      <c r="J62" s="41" t="b">
        <v>0</v>
      </c>
      <c r="K62" s="41">
        <v>-1</v>
      </c>
      <c r="L62" s="41">
        <v>0</v>
      </c>
      <c r="M62" s="41">
        <v>0</v>
      </c>
      <c r="N62" s="41">
        <v>1</v>
      </c>
      <c r="O62" s="41">
        <v>0</v>
      </c>
      <c r="P62" s="41">
        <v>0</v>
      </c>
      <c r="Q62" s="222">
        <v>0</v>
      </c>
      <c r="R62" s="43" t="s">
        <v>7768</v>
      </c>
      <c r="S62" s="41" t="s">
        <v>7915</v>
      </c>
      <c r="T62" s="223" t="s">
        <v>7916</v>
      </c>
      <c r="U62" s="15">
        <v>0</v>
      </c>
      <c r="V62" s="15">
        <v>0</v>
      </c>
      <c r="W62" s="197">
        <v>0</v>
      </c>
      <c r="X62" s="197">
        <v>0</v>
      </c>
    </row>
    <row r="63" spans="1:24" ht="28.9" customHeight="1" x14ac:dyDescent="0.15">
      <c r="A63" s="41">
        <v>909102</v>
      </c>
      <c r="B63" s="103" t="s">
        <v>7919</v>
      </c>
      <c r="C63" s="41" t="s">
        <v>107</v>
      </c>
      <c r="D63" s="41">
        <v>1001</v>
      </c>
      <c r="E63" s="41">
        <v>3</v>
      </c>
      <c r="F63" s="41">
        <v>0</v>
      </c>
      <c r="G63" s="41">
        <v>0</v>
      </c>
      <c r="H63" s="41">
        <v>0</v>
      </c>
      <c r="I63" s="41">
        <v>1</v>
      </c>
      <c r="J63" s="41" t="b">
        <v>0</v>
      </c>
      <c r="K63" s="41">
        <v>-1</v>
      </c>
      <c r="L63" s="41">
        <v>0</v>
      </c>
      <c r="M63" s="41">
        <v>0</v>
      </c>
      <c r="N63" s="41">
        <v>1</v>
      </c>
      <c r="O63" s="41">
        <v>0</v>
      </c>
      <c r="P63" s="41">
        <v>0</v>
      </c>
      <c r="Q63" s="222">
        <v>0</v>
      </c>
      <c r="R63" s="43" t="s">
        <v>7768</v>
      </c>
      <c r="S63" s="41" t="s">
        <v>7915</v>
      </c>
      <c r="T63" s="223" t="s">
        <v>7916</v>
      </c>
      <c r="U63" s="15">
        <v>0</v>
      </c>
      <c r="V63" s="15">
        <v>0</v>
      </c>
      <c r="W63" s="197">
        <v>0</v>
      </c>
      <c r="X63" s="197">
        <v>0</v>
      </c>
    </row>
    <row r="64" spans="1:24" ht="28.9" customHeight="1" x14ac:dyDescent="0.15">
      <c r="A64" s="41">
        <v>909103</v>
      </c>
      <c r="B64" s="103" t="s">
        <v>7920</v>
      </c>
      <c r="C64" s="41" t="s">
        <v>107</v>
      </c>
      <c r="D64" s="41">
        <v>1001</v>
      </c>
      <c r="E64" s="41">
        <v>3</v>
      </c>
      <c r="F64" s="41">
        <v>0</v>
      </c>
      <c r="G64" s="41">
        <v>0</v>
      </c>
      <c r="H64" s="41">
        <v>0</v>
      </c>
      <c r="I64" s="41">
        <v>1</v>
      </c>
      <c r="J64" s="41" t="b">
        <v>0</v>
      </c>
      <c r="K64" s="41">
        <v>-1</v>
      </c>
      <c r="L64" s="41">
        <v>0</v>
      </c>
      <c r="M64" s="41">
        <v>0</v>
      </c>
      <c r="N64" s="41">
        <v>1</v>
      </c>
      <c r="O64" s="41">
        <v>0</v>
      </c>
      <c r="P64" s="41">
        <v>0</v>
      </c>
      <c r="Q64" s="222">
        <v>0</v>
      </c>
      <c r="R64" s="43" t="s">
        <v>7768</v>
      </c>
      <c r="S64" s="41" t="s">
        <v>7915</v>
      </c>
      <c r="T64" s="223" t="s">
        <v>7916</v>
      </c>
      <c r="U64" s="15">
        <v>0</v>
      </c>
      <c r="V64" s="15">
        <v>0</v>
      </c>
      <c r="W64" s="197">
        <v>0</v>
      </c>
      <c r="X64" s="197">
        <v>0</v>
      </c>
    </row>
    <row r="65" spans="1:24" ht="28.9" customHeight="1" x14ac:dyDescent="0.15">
      <c r="A65" s="41">
        <v>909104</v>
      </c>
      <c r="B65" s="103" t="s">
        <v>7921</v>
      </c>
      <c r="C65" s="41" t="s">
        <v>107</v>
      </c>
      <c r="D65" s="41">
        <v>1001</v>
      </c>
      <c r="E65" s="41">
        <v>3</v>
      </c>
      <c r="F65" s="41">
        <v>0</v>
      </c>
      <c r="G65" s="41">
        <v>0</v>
      </c>
      <c r="H65" s="41">
        <v>0</v>
      </c>
      <c r="I65" s="41">
        <v>1</v>
      </c>
      <c r="J65" s="41" t="b">
        <v>0</v>
      </c>
      <c r="K65" s="41">
        <v>-1</v>
      </c>
      <c r="L65" s="41">
        <v>0</v>
      </c>
      <c r="M65" s="41">
        <v>0</v>
      </c>
      <c r="N65" s="41">
        <v>1</v>
      </c>
      <c r="O65" s="41">
        <v>0</v>
      </c>
      <c r="P65" s="41">
        <v>0</v>
      </c>
      <c r="Q65" s="222">
        <v>0</v>
      </c>
      <c r="R65" s="43" t="s">
        <v>7768</v>
      </c>
      <c r="S65" s="41" t="s">
        <v>7915</v>
      </c>
      <c r="T65" s="223" t="s">
        <v>7916</v>
      </c>
      <c r="U65" s="15">
        <v>0</v>
      </c>
      <c r="V65" s="15">
        <v>0</v>
      </c>
      <c r="W65" s="197">
        <v>0</v>
      </c>
      <c r="X65" s="197">
        <v>0</v>
      </c>
    </row>
    <row r="66" spans="1:24" ht="28.9" customHeight="1" x14ac:dyDescent="0.15">
      <c r="A66" s="41">
        <v>909105</v>
      </c>
      <c r="B66" s="103" t="s">
        <v>7922</v>
      </c>
      <c r="C66" s="41" t="s">
        <v>107</v>
      </c>
      <c r="D66" s="41">
        <v>1001</v>
      </c>
      <c r="E66" s="41">
        <v>3</v>
      </c>
      <c r="F66" s="41">
        <v>0</v>
      </c>
      <c r="G66" s="41">
        <v>0</v>
      </c>
      <c r="H66" s="41">
        <v>0</v>
      </c>
      <c r="I66" s="41">
        <v>1</v>
      </c>
      <c r="J66" s="41" t="b">
        <v>0</v>
      </c>
      <c r="K66" s="41">
        <v>-1</v>
      </c>
      <c r="L66" s="41">
        <v>0</v>
      </c>
      <c r="M66" s="41">
        <v>0</v>
      </c>
      <c r="N66" s="41">
        <v>1</v>
      </c>
      <c r="O66" s="41">
        <v>0</v>
      </c>
      <c r="P66" s="41">
        <v>0</v>
      </c>
      <c r="Q66" s="222">
        <v>0</v>
      </c>
      <c r="R66" s="43" t="s">
        <v>7768</v>
      </c>
      <c r="S66" s="41" t="s">
        <v>7915</v>
      </c>
      <c r="T66" s="223" t="s">
        <v>7916</v>
      </c>
      <c r="U66" s="15">
        <v>0</v>
      </c>
      <c r="V66" s="15">
        <v>0</v>
      </c>
      <c r="W66" s="197">
        <v>0</v>
      </c>
      <c r="X66" s="197">
        <v>0</v>
      </c>
    </row>
    <row r="67" spans="1:24" ht="28.9" customHeight="1" x14ac:dyDescent="0.15">
      <c r="A67" s="41">
        <v>909106</v>
      </c>
      <c r="B67" s="103" t="s">
        <v>7923</v>
      </c>
      <c r="C67" s="41" t="s">
        <v>107</v>
      </c>
      <c r="D67" s="41">
        <v>1001</v>
      </c>
      <c r="E67" s="41">
        <v>3</v>
      </c>
      <c r="F67" s="41">
        <v>0</v>
      </c>
      <c r="G67" s="41">
        <v>0</v>
      </c>
      <c r="H67" s="41">
        <v>0</v>
      </c>
      <c r="I67" s="41">
        <v>1</v>
      </c>
      <c r="J67" s="41" t="b">
        <v>0</v>
      </c>
      <c r="K67" s="41">
        <v>-1</v>
      </c>
      <c r="L67" s="41">
        <v>0</v>
      </c>
      <c r="M67" s="41">
        <v>0</v>
      </c>
      <c r="N67" s="41">
        <v>1</v>
      </c>
      <c r="O67" s="41">
        <v>0</v>
      </c>
      <c r="P67" s="41">
        <v>0</v>
      </c>
      <c r="Q67" s="222">
        <v>0</v>
      </c>
      <c r="R67" s="43" t="s">
        <v>7768</v>
      </c>
      <c r="S67" s="41" t="s">
        <v>7915</v>
      </c>
      <c r="T67" s="223" t="s">
        <v>7916</v>
      </c>
      <c r="U67" s="15">
        <v>0</v>
      </c>
      <c r="V67" s="15">
        <v>0</v>
      </c>
      <c r="W67" s="197">
        <v>0</v>
      </c>
      <c r="X67" s="197">
        <v>0</v>
      </c>
    </row>
    <row r="68" spans="1:24" ht="28.9" customHeight="1" x14ac:dyDescent="0.15">
      <c r="A68" s="41">
        <v>909107</v>
      </c>
      <c r="B68" s="103" t="s">
        <v>7924</v>
      </c>
      <c r="C68" s="41" t="s">
        <v>107</v>
      </c>
      <c r="D68" s="41">
        <v>1001</v>
      </c>
      <c r="E68" s="41">
        <v>2</v>
      </c>
      <c r="F68" s="41">
        <v>0</v>
      </c>
      <c r="G68" s="41">
        <v>0</v>
      </c>
      <c r="H68" s="41">
        <v>0</v>
      </c>
      <c r="I68" s="41">
        <v>1</v>
      </c>
      <c r="J68" s="41" t="b">
        <v>0</v>
      </c>
      <c r="K68" s="41">
        <v>-1</v>
      </c>
      <c r="L68" s="41">
        <v>0</v>
      </c>
      <c r="M68" s="41">
        <v>0</v>
      </c>
      <c r="N68" s="41">
        <v>1</v>
      </c>
      <c r="O68" s="41">
        <v>0</v>
      </c>
      <c r="P68" s="41">
        <v>0</v>
      </c>
      <c r="Q68" s="222">
        <v>0</v>
      </c>
      <c r="R68" s="43" t="s">
        <v>7768</v>
      </c>
      <c r="S68" s="41" t="s">
        <v>7925</v>
      </c>
      <c r="T68" s="223" t="s">
        <v>7926</v>
      </c>
      <c r="U68" s="15">
        <v>0</v>
      </c>
      <c r="V68" s="15">
        <v>0</v>
      </c>
      <c r="W68" s="197">
        <v>0</v>
      </c>
      <c r="X68" s="197">
        <v>0</v>
      </c>
    </row>
    <row r="69" spans="1:24" ht="28.9" customHeight="1" x14ac:dyDescent="0.15">
      <c r="A69" s="41">
        <v>909108</v>
      </c>
      <c r="B69" s="103" t="s">
        <v>7927</v>
      </c>
      <c r="C69" s="41" t="s">
        <v>107</v>
      </c>
      <c r="D69" s="41">
        <v>1001</v>
      </c>
      <c r="E69" s="41">
        <v>2</v>
      </c>
      <c r="F69" s="41">
        <v>0</v>
      </c>
      <c r="G69" s="41">
        <v>0</v>
      </c>
      <c r="H69" s="41">
        <v>0</v>
      </c>
      <c r="I69" s="41">
        <v>1</v>
      </c>
      <c r="J69" s="41" t="b">
        <v>0</v>
      </c>
      <c r="K69" s="41">
        <v>-1</v>
      </c>
      <c r="L69" s="41">
        <v>0</v>
      </c>
      <c r="M69" s="41">
        <v>0</v>
      </c>
      <c r="N69" s="41">
        <v>1</v>
      </c>
      <c r="O69" s="41">
        <v>0</v>
      </c>
      <c r="P69" s="41">
        <v>0</v>
      </c>
      <c r="Q69" s="222">
        <v>0</v>
      </c>
      <c r="R69" s="43" t="s">
        <v>7768</v>
      </c>
      <c r="S69" s="41" t="s">
        <v>7928</v>
      </c>
      <c r="T69" s="223" t="s">
        <v>1936</v>
      </c>
      <c r="U69" s="15">
        <v>0</v>
      </c>
      <c r="V69" s="15">
        <v>0</v>
      </c>
      <c r="W69" s="197">
        <v>0</v>
      </c>
      <c r="X69" s="197">
        <v>0</v>
      </c>
    </row>
    <row r="70" spans="1:24" ht="28.9" customHeight="1" x14ac:dyDescent="0.15">
      <c r="A70" s="41">
        <v>909109</v>
      </c>
      <c r="B70" s="103" t="s">
        <v>7929</v>
      </c>
      <c r="C70" s="41" t="s">
        <v>107</v>
      </c>
      <c r="D70" s="41">
        <v>1001</v>
      </c>
      <c r="E70" s="41">
        <v>2</v>
      </c>
      <c r="F70" s="41">
        <v>0</v>
      </c>
      <c r="G70" s="41">
        <v>0</v>
      </c>
      <c r="H70" s="41">
        <v>0</v>
      </c>
      <c r="I70" s="41">
        <v>1</v>
      </c>
      <c r="J70" s="41" t="b">
        <v>0</v>
      </c>
      <c r="K70" s="41">
        <v>-1</v>
      </c>
      <c r="L70" s="41">
        <v>0</v>
      </c>
      <c r="M70" s="41">
        <v>0</v>
      </c>
      <c r="N70" s="41">
        <v>1</v>
      </c>
      <c r="O70" s="41">
        <v>0</v>
      </c>
      <c r="P70" s="74" t="s">
        <v>7832</v>
      </c>
      <c r="Q70" s="222" t="s">
        <v>7788</v>
      </c>
      <c r="R70" s="43"/>
      <c r="S70" s="41" t="s">
        <v>7930</v>
      </c>
      <c r="T70" s="223" t="s">
        <v>7853</v>
      </c>
      <c r="U70" s="15">
        <v>0</v>
      </c>
      <c r="V70" s="15">
        <v>15000</v>
      </c>
      <c r="W70" s="197">
        <v>0</v>
      </c>
      <c r="X70" s="197">
        <v>0</v>
      </c>
    </row>
    <row r="71" spans="1:24" ht="28.9" customHeight="1" x14ac:dyDescent="0.15">
      <c r="A71" s="41">
        <v>909110</v>
      </c>
      <c r="B71" s="103" t="s">
        <v>7931</v>
      </c>
      <c r="C71" s="41" t="s">
        <v>107</v>
      </c>
      <c r="D71" s="41">
        <v>1001</v>
      </c>
      <c r="E71" s="41">
        <v>2</v>
      </c>
      <c r="F71" s="41">
        <v>0</v>
      </c>
      <c r="G71" s="41">
        <v>0</v>
      </c>
      <c r="H71" s="41">
        <v>0</v>
      </c>
      <c r="I71" s="41">
        <v>1</v>
      </c>
      <c r="J71" s="41" t="b">
        <v>0</v>
      </c>
      <c r="K71" s="41">
        <v>-1</v>
      </c>
      <c r="L71" s="41">
        <v>0</v>
      </c>
      <c r="M71" s="41">
        <v>0</v>
      </c>
      <c r="N71" s="41">
        <v>1</v>
      </c>
      <c r="O71" s="41">
        <v>0</v>
      </c>
      <c r="P71" s="41">
        <v>0</v>
      </c>
      <c r="Q71" s="222">
        <v>0</v>
      </c>
      <c r="R71" s="43" t="s">
        <v>7768</v>
      </c>
      <c r="S71" s="41" t="s">
        <v>7932</v>
      </c>
      <c r="T71" s="223" t="s">
        <v>7933</v>
      </c>
      <c r="U71" s="15">
        <v>0</v>
      </c>
      <c r="V71" s="15">
        <v>0</v>
      </c>
      <c r="W71" s="197">
        <v>0</v>
      </c>
      <c r="X71" s="197">
        <v>0</v>
      </c>
    </row>
    <row r="72" spans="1:24" ht="28.9" customHeight="1" x14ac:dyDescent="0.15">
      <c r="A72" s="41">
        <v>909111</v>
      </c>
      <c r="B72" s="103" t="s">
        <v>7934</v>
      </c>
      <c r="C72" s="41" t="s">
        <v>107</v>
      </c>
      <c r="D72" s="41">
        <v>1001</v>
      </c>
      <c r="E72" s="41">
        <v>2</v>
      </c>
      <c r="F72" s="41">
        <v>0</v>
      </c>
      <c r="G72" s="41">
        <v>0</v>
      </c>
      <c r="H72" s="41">
        <v>0</v>
      </c>
      <c r="I72" s="41">
        <v>1</v>
      </c>
      <c r="J72" s="41" t="b">
        <v>0</v>
      </c>
      <c r="K72" s="41">
        <v>-1</v>
      </c>
      <c r="L72" s="41">
        <v>0</v>
      </c>
      <c r="M72" s="41">
        <v>0</v>
      </c>
      <c r="N72" s="41">
        <v>1</v>
      </c>
      <c r="O72" s="41">
        <v>0</v>
      </c>
      <c r="P72" s="41">
        <v>0</v>
      </c>
      <c r="Q72" s="222">
        <v>0</v>
      </c>
      <c r="R72" s="43" t="s">
        <v>7768</v>
      </c>
      <c r="S72" s="41" t="s">
        <v>7935</v>
      </c>
      <c r="T72" s="223" t="s">
        <v>7936</v>
      </c>
      <c r="U72" s="15">
        <v>0</v>
      </c>
      <c r="V72" s="15">
        <v>0</v>
      </c>
      <c r="W72" s="197">
        <v>0</v>
      </c>
      <c r="X72" s="197">
        <v>0</v>
      </c>
    </row>
    <row r="73" spans="1:24" ht="28.9" customHeight="1" x14ac:dyDescent="0.15">
      <c r="A73" s="41">
        <v>909112</v>
      </c>
      <c r="B73" s="103" t="s">
        <v>7937</v>
      </c>
      <c r="C73" s="41" t="s">
        <v>107</v>
      </c>
      <c r="D73" s="41">
        <v>1001</v>
      </c>
      <c r="E73" s="41">
        <v>3</v>
      </c>
      <c r="F73" s="41">
        <v>0</v>
      </c>
      <c r="G73" s="41">
        <v>0</v>
      </c>
      <c r="H73" s="41">
        <v>0</v>
      </c>
      <c r="I73" s="41">
        <v>1</v>
      </c>
      <c r="J73" s="41" t="b">
        <v>0</v>
      </c>
      <c r="K73" s="41">
        <v>-1</v>
      </c>
      <c r="L73" s="41">
        <v>0</v>
      </c>
      <c r="M73" s="41">
        <v>0</v>
      </c>
      <c r="N73" s="41">
        <v>1</v>
      </c>
      <c r="O73" s="41">
        <v>0</v>
      </c>
      <c r="P73" s="41">
        <v>0</v>
      </c>
      <c r="Q73" s="222">
        <v>0</v>
      </c>
      <c r="R73" s="43" t="s">
        <v>7768</v>
      </c>
      <c r="S73" s="41" t="s">
        <v>7938</v>
      </c>
      <c r="T73" s="223" t="s">
        <v>7939</v>
      </c>
      <c r="U73" s="15">
        <v>0</v>
      </c>
      <c r="V73" s="15">
        <v>0</v>
      </c>
      <c r="W73" s="197">
        <v>0</v>
      </c>
      <c r="X73" s="197">
        <v>0</v>
      </c>
    </row>
    <row r="74" spans="1:24" ht="28.9" customHeight="1" x14ac:dyDescent="0.15">
      <c r="A74" s="41">
        <v>909113</v>
      </c>
      <c r="B74" s="103" t="s">
        <v>7940</v>
      </c>
      <c r="C74" s="41" t="s">
        <v>107</v>
      </c>
      <c r="D74" s="41">
        <v>1001</v>
      </c>
      <c r="E74" s="41">
        <v>2</v>
      </c>
      <c r="F74" s="41">
        <v>0</v>
      </c>
      <c r="G74" s="41">
        <v>0</v>
      </c>
      <c r="H74" s="41">
        <v>0</v>
      </c>
      <c r="I74" s="41">
        <v>1</v>
      </c>
      <c r="J74" s="41" t="b">
        <v>0</v>
      </c>
      <c r="K74" s="41">
        <v>-1</v>
      </c>
      <c r="L74" s="41">
        <v>0</v>
      </c>
      <c r="M74" s="41">
        <v>0</v>
      </c>
      <c r="N74" s="41">
        <v>1</v>
      </c>
      <c r="O74" s="41">
        <v>0</v>
      </c>
      <c r="P74" s="41">
        <v>0</v>
      </c>
      <c r="Q74" s="222">
        <v>0</v>
      </c>
      <c r="R74" s="43" t="s">
        <v>7768</v>
      </c>
      <c r="S74" s="41" t="s">
        <v>7941</v>
      </c>
      <c r="T74" s="223" t="s">
        <v>7942</v>
      </c>
      <c r="U74" s="15">
        <v>0</v>
      </c>
      <c r="V74" s="15">
        <v>0</v>
      </c>
      <c r="W74" s="197">
        <v>0</v>
      </c>
      <c r="X74" s="197">
        <v>0</v>
      </c>
    </row>
    <row r="75" spans="1:24" ht="28.9" customHeight="1" x14ac:dyDescent="0.15">
      <c r="A75" s="41">
        <v>909114</v>
      </c>
      <c r="B75" s="103" t="s">
        <v>7943</v>
      </c>
      <c r="C75" s="41" t="s">
        <v>107</v>
      </c>
      <c r="D75" s="41">
        <v>1001</v>
      </c>
      <c r="E75" s="41">
        <v>4</v>
      </c>
      <c r="F75" s="41">
        <v>0</v>
      </c>
      <c r="G75" s="41">
        <v>0</v>
      </c>
      <c r="H75" s="41">
        <v>0</v>
      </c>
      <c r="I75" s="41">
        <v>1</v>
      </c>
      <c r="J75" s="41" t="b">
        <v>0</v>
      </c>
      <c r="K75" s="41">
        <v>-1</v>
      </c>
      <c r="L75" s="41">
        <v>0</v>
      </c>
      <c r="M75" s="41">
        <v>0</v>
      </c>
      <c r="N75" s="41">
        <v>1</v>
      </c>
      <c r="O75" s="41">
        <v>0</v>
      </c>
      <c r="P75" s="41">
        <v>0</v>
      </c>
      <c r="Q75" s="222">
        <v>0</v>
      </c>
      <c r="R75" s="43" t="s">
        <v>7768</v>
      </c>
      <c r="S75" s="41" t="s">
        <v>7944</v>
      </c>
      <c r="T75" s="223" t="s">
        <v>7945</v>
      </c>
      <c r="U75" s="15">
        <v>0</v>
      </c>
      <c r="V75" s="15">
        <v>0</v>
      </c>
      <c r="W75" s="197">
        <v>0</v>
      </c>
      <c r="X75" s="197">
        <v>0</v>
      </c>
    </row>
    <row r="76" spans="1:24" ht="28.9" customHeight="1" x14ac:dyDescent="0.15">
      <c r="A76" s="41">
        <v>909115</v>
      </c>
      <c r="B76" s="103" t="s">
        <v>7946</v>
      </c>
      <c r="C76" s="41" t="s">
        <v>107</v>
      </c>
      <c r="D76" s="41">
        <v>1001</v>
      </c>
      <c r="E76" s="41">
        <v>3</v>
      </c>
      <c r="F76" s="41">
        <v>0</v>
      </c>
      <c r="G76" s="41">
        <v>0</v>
      </c>
      <c r="H76" s="41">
        <v>0</v>
      </c>
      <c r="I76" s="41">
        <v>1</v>
      </c>
      <c r="J76" s="41" t="b">
        <v>0</v>
      </c>
      <c r="K76" s="41">
        <v>-1</v>
      </c>
      <c r="L76" s="41">
        <v>0</v>
      </c>
      <c r="M76" s="41">
        <v>0</v>
      </c>
      <c r="N76" s="41">
        <v>1</v>
      </c>
      <c r="O76" s="41">
        <v>0</v>
      </c>
      <c r="P76" s="41">
        <v>0</v>
      </c>
      <c r="Q76" s="222">
        <v>0</v>
      </c>
      <c r="R76" s="43" t="s">
        <v>7768</v>
      </c>
      <c r="S76" s="41" t="s">
        <v>7947</v>
      </c>
      <c r="T76" s="223" t="s">
        <v>7948</v>
      </c>
      <c r="U76" s="15">
        <v>0</v>
      </c>
      <c r="V76" s="15">
        <v>0</v>
      </c>
      <c r="W76" s="197">
        <v>0</v>
      </c>
      <c r="X76" s="197">
        <v>0</v>
      </c>
    </row>
    <row r="77" spans="1:24" ht="28.9" customHeight="1" x14ac:dyDescent="0.15">
      <c r="A77" s="41">
        <v>909116</v>
      </c>
      <c r="B77" s="103" t="s">
        <v>7949</v>
      </c>
      <c r="C77" s="41" t="s">
        <v>107</v>
      </c>
      <c r="D77" s="41">
        <v>1001</v>
      </c>
      <c r="E77" s="41">
        <v>2</v>
      </c>
      <c r="F77" s="41">
        <v>0</v>
      </c>
      <c r="G77" s="41">
        <v>0</v>
      </c>
      <c r="H77" s="41">
        <v>0</v>
      </c>
      <c r="I77" s="41">
        <v>1</v>
      </c>
      <c r="J77" s="41" t="b">
        <v>0</v>
      </c>
      <c r="K77" s="41">
        <v>-1</v>
      </c>
      <c r="L77" s="41">
        <v>0</v>
      </c>
      <c r="M77" s="41">
        <v>0</v>
      </c>
      <c r="N77" s="41">
        <v>1</v>
      </c>
      <c r="O77" s="41">
        <v>0</v>
      </c>
      <c r="P77" s="41">
        <v>0</v>
      </c>
      <c r="Q77" s="222">
        <v>0</v>
      </c>
      <c r="R77" s="43" t="s">
        <v>7768</v>
      </c>
      <c r="S77" s="41" t="s">
        <v>7950</v>
      </c>
      <c r="T77" s="223" t="s">
        <v>7951</v>
      </c>
      <c r="U77" s="15">
        <v>0</v>
      </c>
      <c r="V77" s="15">
        <v>0</v>
      </c>
      <c r="W77" s="197">
        <v>0</v>
      </c>
      <c r="X77" s="197">
        <v>0</v>
      </c>
    </row>
    <row r="78" spans="1:24" ht="28.9" customHeight="1" x14ac:dyDescent="0.15">
      <c r="A78" s="41">
        <v>909117</v>
      </c>
      <c r="B78" s="103" t="s">
        <v>3722</v>
      </c>
      <c r="C78" s="41" t="s">
        <v>107</v>
      </c>
      <c r="D78" s="41">
        <v>1001</v>
      </c>
      <c r="E78" s="41">
        <v>2</v>
      </c>
      <c r="F78" s="41">
        <v>0</v>
      </c>
      <c r="G78" s="41">
        <v>0</v>
      </c>
      <c r="H78" s="41">
        <v>0</v>
      </c>
      <c r="I78" s="41">
        <v>1</v>
      </c>
      <c r="J78" s="41" t="b">
        <v>0</v>
      </c>
      <c r="K78" s="41">
        <v>-1</v>
      </c>
      <c r="L78" s="41">
        <v>0</v>
      </c>
      <c r="M78" s="41">
        <v>0</v>
      </c>
      <c r="N78" s="41">
        <v>1</v>
      </c>
      <c r="O78" s="41">
        <v>0</v>
      </c>
      <c r="P78" s="41">
        <v>0</v>
      </c>
      <c r="Q78" s="222">
        <v>0</v>
      </c>
      <c r="R78" s="43" t="s">
        <v>7768</v>
      </c>
      <c r="S78" s="41" t="s">
        <v>3723</v>
      </c>
      <c r="T78" s="223" t="s">
        <v>3724</v>
      </c>
      <c r="U78" s="15">
        <v>0</v>
      </c>
      <c r="V78" s="15">
        <v>0</v>
      </c>
      <c r="W78" s="197">
        <v>0</v>
      </c>
      <c r="X78" s="197">
        <v>0</v>
      </c>
    </row>
    <row r="79" spans="1:24" ht="28.9" customHeight="1" x14ac:dyDescent="0.15">
      <c r="A79" s="41">
        <v>909118</v>
      </c>
      <c r="B79" s="103" t="s">
        <v>7952</v>
      </c>
      <c r="C79" s="41" t="s">
        <v>107</v>
      </c>
      <c r="D79" s="41">
        <v>1001</v>
      </c>
      <c r="E79" s="41">
        <v>2</v>
      </c>
      <c r="F79" s="41">
        <v>0</v>
      </c>
      <c r="G79" s="41">
        <v>0</v>
      </c>
      <c r="H79" s="41">
        <v>0</v>
      </c>
      <c r="I79" s="41">
        <v>1</v>
      </c>
      <c r="J79" s="41" t="b">
        <v>0</v>
      </c>
      <c r="K79" s="41">
        <v>-1</v>
      </c>
      <c r="L79" s="41">
        <v>0</v>
      </c>
      <c r="M79" s="41">
        <v>0</v>
      </c>
      <c r="N79" s="41">
        <v>1</v>
      </c>
      <c r="O79" s="41">
        <v>0</v>
      </c>
      <c r="P79" s="41">
        <v>0</v>
      </c>
      <c r="Q79" s="222">
        <v>0</v>
      </c>
      <c r="R79" s="43" t="s">
        <v>7768</v>
      </c>
      <c r="S79" s="41" t="s">
        <v>7953</v>
      </c>
      <c r="T79" s="223" t="s">
        <v>7954</v>
      </c>
      <c r="U79" s="15">
        <v>0</v>
      </c>
      <c r="V79" s="15">
        <v>0</v>
      </c>
      <c r="W79" s="197">
        <v>0</v>
      </c>
      <c r="X79" s="197">
        <v>0</v>
      </c>
    </row>
    <row r="80" spans="1:24" ht="28.9" customHeight="1" x14ac:dyDescent="0.15">
      <c r="A80" s="41">
        <v>909119</v>
      </c>
      <c r="B80" s="103" t="s">
        <v>7955</v>
      </c>
      <c r="C80" s="41" t="s">
        <v>107</v>
      </c>
      <c r="D80" s="41">
        <v>1001</v>
      </c>
      <c r="E80" s="41">
        <v>2</v>
      </c>
      <c r="F80" s="41">
        <v>0</v>
      </c>
      <c r="G80" s="41">
        <v>0</v>
      </c>
      <c r="H80" s="41">
        <v>0</v>
      </c>
      <c r="I80" s="41">
        <v>1</v>
      </c>
      <c r="J80" s="41" t="b">
        <v>0</v>
      </c>
      <c r="K80" s="41">
        <v>-1</v>
      </c>
      <c r="L80" s="41">
        <v>0</v>
      </c>
      <c r="M80" s="41">
        <v>0</v>
      </c>
      <c r="N80" s="41">
        <v>1</v>
      </c>
      <c r="O80" s="41">
        <v>0</v>
      </c>
      <c r="P80" s="41">
        <v>0</v>
      </c>
      <c r="Q80" s="222">
        <v>0</v>
      </c>
      <c r="R80" s="43" t="s">
        <v>7768</v>
      </c>
      <c r="S80" s="41" t="s">
        <v>7956</v>
      </c>
      <c r="T80" s="223" t="s">
        <v>3993</v>
      </c>
      <c r="U80" s="15">
        <v>0</v>
      </c>
      <c r="V80" s="15">
        <v>0</v>
      </c>
      <c r="W80" s="197">
        <v>0</v>
      </c>
      <c r="X80" s="197">
        <v>0</v>
      </c>
    </row>
    <row r="81" spans="1:24" ht="28.9" customHeight="1" x14ac:dyDescent="0.15">
      <c r="A81" s="41">
        <v>909120</v>
      </c>
      <c r="B81" s="103" t="s">
        <v>7957</v>
      </c>
      <c r="C81" s="41" t="s">
        <v>107</v>
      </c>
      <c r="D81" s="41">
        <v>1001</v>
      </c>
      <c r="E81" s="41">
        <v>2</v>
      </c>
      <c r="F81" s="41">
        <v>0</v>
      </c>
      <c r="G81" s="41">
        <v>0</v>
      </c>
      <c r="H81" s="41">
        <v>0</v>
      </c>
      <c r="I81" s="41">
        <v>1</v>
      </c>
      <c r="J81" s="41" t="b">
        <v>0</v>
      </c>
      <c r="K81" s="41">
        <v>-1</v>
      </c>
      <c r="L81" s="41">
        <v>0</v>
      </c>
      <c r="M81" s="41">
        <v>0</v>
      </c>
      <c r="N81" s="41">
        <v>1</v>
      </c>
      <c r="O81" s="41">
        <v>0</v>
      </c>
      <c r="P81" s="41">
        <v>0</v>
      </c>
      <c r="Q81" s="222">
        <v>0</v>
      </c>
      <c r="R81" s="43" t="s">
        <v>7768</v>
      </c>
      <c r="S81" s="41" t="s">
        <v>7958</v>
      </c>
      <c r="T81" s="223" t="s">
        <v>7959</v>
      </c>
      <c r="U81" s="15">
        <v>0</v>
      </c>
      <c r="V81" s="15">
        <v>0</v>
      </c>
      <c r="W81" s="197">
        <v>0</v>
      </c>
      <c r="X81" s="197">
        <v>0</v>
      </c>
    </row>
    <row r="82" spans="1:24" ht="28.9" customHeight="1" x14ac:dyDescent="0.15">
      <c r="A82" s="41">
        <v>909121</v>
      </c>
      <c r="B82" s="227" t="s">
        <v>7960</v>
      </c>
      <c r="C82" s="41" t="s">
        <v>107</v>
      </c>
      <c r="D82" s="41">
        <v>1001</v>
      </c>
      <c r="E82" s="41">
        <v>2</v>
      </c>
      <c r="F82" s="41">
        <v>0</v>
      </c>
      <c r="G82" s="74">
        <v>0</v>
      </c>
      <c r="H82" s="74">
        <v>0</v>
      </c>
      <c r="I82" s="74">
        <v>1</v>
      </c>
      <c r="J82" s="74" t="b">
        <v>0</v>
      </c>
      <c r="K82" s="74">
        <v>-1</v>
      </c>
      <c r="L82" s="74">
        <v>0</v>
      </c>
      <c r="M82" s="74">
        <v>0</v>
      </c>
      <c r="N82" s="41">
        <v>1</v>
      </c>
      <c r="O82" s="74">
        <v>0</v>
      </c>
      <c r="P82" s="74">
        <v>0</v>
      </c>
      <c r="Q82" s="222">
        <v>0</v>
      </c>
      <c r="R82" s="43" t="s">
        <v>7768</v>
      </c>
      <c r="S82" s="228" t="s">
        <v>7961</v>
      </c>
      <c r="T82" s="223" t="s">
        <v>7861</v>
      </c>
      <c r="U82" s="15">
        <v>0</v>
      </c>
      <c r="V82" s="15">
        <v>0</v>
      </c>
      <c r="W82" s="197">
        <v>0</v>
      </c>
      <c r="X82" s="197">
        <v>0</v>
      </c>
    </row>
    <row r="83" spans="1:24" ht="28.9" customHeight="1" x14ac:dyDescent="0.15">
      <c r="A83" s="41">
        <v>909122</v>
      </c>
      <c r="B83" s="227" t="s">
        <v>7962</v>
      </c>
      <c r="C83" s="41" t="s">
        <v>107</v>
      </c>
      <c r="D83" s="41">
        <v>1001</v>
      </c>
      <c r="E83" s="41">
        <v>2</v>
      </c>
      <c r="F83" s="41">
        <v>0</v>
      </c>
      <c r="G83" s="74">
        <v>0</v>
      </c>
      <c r="H83" s="74">
        <v>0</v>
      </c>
      <c r="I83" s="74">
        <v>1</v>
      </c>
      <c r="J83" s="74" t="b">
        <v>0</v>
      </c>
      <c r="K83" s="74">
        <v>-1</v>
      </c>
      <c r="L83" s="74">
        <v>0</v>
      </c>
      <c r="M83" s="74">
        <v>0</v>
      </c>
      <c r="N83" s="41">
        <v>1</v>
      </c>
      <c r="O83" s="74">
        <v>0</v>
      </c>
      <c r="P83" s="74">
        <v>0</v>
      </c>
      <c r="Q83" s="222">
        <v>0</v>
      </c>
      <c r="R83" s="43" t="s">
        <v>7768</v>
      </c>
      <c r="S83" s="228" t="s">
        <v>7963</v>
      </c>
      <c r="T83" s="223" t="s">
        <v>3395</v>
      </c>
      <c r="U83" s="15">
        <v>0</v>
      </c>
      <c r="V83" s="15">
        <v>0</v>
      </c>
      <c r="W83" s="197">
        <v>0</v>
      </c>
      <c r="X83" s="197">
        <v>0</v>
      </c>
    </row>
    <row r="84" spans="1:24" ht="28.9" customHeight="1" x14ac:dyDescent="0.15">
      <c r="A84" s="41">
        <v>909123</v>
      </c>
      <c r="B84" s="227" t="s">
        <v>7964</v>
      </c>
      <c r="C84" s="41" t="s">
        <v>107</v>
      </c>
      <c r="D84" s="41">
        <v>1001</v>
      </c>
      <c r="E84" s="41">
        <v>1</v>
      </c>
      <c r="F84" s="41">
        <v>0</v>
      </c>
      <c r="G84" s="74">
        <v>0</v>
      </c>
      <c r="H84" s="74">
        <v>0</v>
      </c>
      <c r="I84" s="74">
        <v>1</v>
      </c>
      <c r="J84" s="74" t="b">
        <v>1</v>
      </c>
      <c r="K84" s="74">
        <v>1</v>
      </c>
      <c r="L84" s="74">
        <v>0</v>
      </c>
      <c r="M84" s="74">
        <v>0</v>
      </c>
      <c r="N84" s="41">
        <v>1</v>
      </c>
      <c r="O84" s="74">
        <v>0</v>
      </c>
      <c r="P84" s="74">
        <v>0</v>
      </c>
      <c r="Q84" s="222">
        <v>0</v>
      </c>
      <c r="R84" s="43" t="s">
        <v>7768</v>
      </c>
      <c r="S84" s="228" t="s">
        <v>7965</v>
      </c>
      <c r="T84" s="223" t="s">
        <v>7830</v>
      </c>
      <c r="U84" s="15">
        <v>0</v>
      </c>
      <c r="V84" s="15">
        <v>0</v>
      </c>
      <c r="W84" s="197">
        <v>0</v>
      </c>
      <c r="X84" s="197">
        <v>0</v>
      </c>
    </row>
    <row r="85" spans="1:24" ht="28.9" customHeight="1" x14ac:dyDescent="0.15">
      <c r="A85" s="41">
        <v>909124</v>
      </c>
      <c r="B85" s="227" t="s">
        <v>7964</v>
      </c>
      <c r="C85" s="41" t="s">
        <v>107</v>
      </c>
      <c r="D85" s="41">
        <v>1001</v>
      </c>
      <c r="E85" s="41">
        <v>2</v>
      </c>
      <c r="F85" s="41">
        <v>0</v>
      </c>
      <c r="G85" s="74">
        <v>0</v>
      </c>
      <c r="H85" s="74">
        <v>0</v>
      </c>
      <c r="I85" s="74">
        <v>1</v>
      </c>
      <c r="J85" s="74" t="b">
        <v>0</v>
      </c>
      <c r="K85" s="74">
        <v>-1</v>
      </c>
      <c r="L85" s="74">
        <v>0</v>
      </c>
      <c r="M85" s="74">
        <v>0</v>
      </c>
      <c r="N85" s="41">
        <v>1</v>
      </c>
      <c r="O85" s="74">
        <v>0</v>
      </c>
      <c r="P85" s="74" t="s">
        <v>7832</v>
      </c>
      <c r="Q85" s="222" t="s">
        <v>7477</v>
      </c>
      <c r="R85" s="43"/>
      <c r="S85" s="228" t="s">
        <v>7966</v>
      </c>
      <c r="T85" s="223" t="s">
        <v>7830</v>
      </c>
      <c r="U85" s="15">
        <v>0</v>
      </c>
      <c r="V85" s="225">
        <v>13000</v>
      </c>
      <c r="W85" s="197">
        <v>0</v>
      </c>
      <c r="X85" s="197">
        <v>0</v>
      </c>
    </row>
    <row r="86" spans="1:24" ht="28.9" customHeight="1" x14ac:dyDescent="0.15">
      <c r="A86" s="41">
        <v>909125</v>
      </c>
      <c r="B86" s="227" t="s">
        <v>7967</v>
      </c>
      <c r="C86" s="41" t="s">
        <v>107</v>
      </c>
      <c r="D86" s="41">
        <v>1001</v>
      </c>
      <c r="E86" s="41">
        <v>2</v>
      </c>
      <c r="F86" s="41">
        <v>0</v>
      </c>
      <c r="G86" s="74">
        <v>0</v>
      </c>
      <c r="H86" s="74">
        <v>0</v>
      </c>
      <c r="I86" s="74">
        <v>1</v>
      </c>
      <c r="J86" s="74" t="b">
        <v>0</v>
      </c>
      <c r="K86" s="74">
        <v>-1</v>
      </c>
      <c r="L86" s="74">
        <v>0</v>
      </c>
      <c r="M86" s="74">
        <v>0</v>
      </c>
      <c r="N86" s="41">
        <v>1</v>
      </c>
      <c r="O86" s="74">
        <v>0</v>
      </c>
      <c r="P86" s="74">
        <v>0</v>
      </c>
      <c r="Q86" s="222">
        <v>0</v>
      </c>
      <c r="R86" s="43" t="s">
        <v>7768</v>
      </c>
      <c r="S86" s="228" t="s">
        <v>7968</v>
      </c>
      <c r="T86" s="223" t="s">
        <v>7969</v>
      </c>
      <c r="U86" s="15">
        <v>0</v>
      </c>
      <c r="V86" s="15">
        <v>0</v>
      </c>
      <c r="W86" s="197">
        <v>0</v>
      </c>
      <c r="X86" s="197">
        <v>0</v>
      </c>
    </row>
    <row r="87" spans="1:24" ht="28.9" customHeight="1" x14ac:dyDescent="0.15">
      <c r="A87" s="41">
        <v>909126</v>
      </c>
      <c r="B87" s="227" t="s">
        <v>7970</v>
      </c>
      <c r="C87" s="41" t="s">
        <v>107</v>
      </c>
      <c r="D87" s="41">
        <v>1001</v>
      </c>
      <c r="E87" s="41">
        <v>2</v>
      </c>
      <c r="F87" s="41">
        <v>0</v>
      </c>
      <c r="G87" s="74">
        <v>0</v>
      </c>
      <c r="H87" s="74">
        <v>0</v>
      </c>
      <c r="I87" s="74">
        <v>1</v>
      </c>
      <c r="J87" s="74" t="b">
        <v>0</v>
      </c>
      <c r="K87" s="74">
        <v>-1</v>
      </c>
      <c r="L87" s="74">
        <v>0</v>
      </c>
      <c r="M87" s="74">
        <v>0</v>
      </c>
      <c r="N87" s="41">
        <v>1</v>
      </c>
      <c r="O87" s="74">
        <v>0</v>
      </c>
      <c r="P87" s="74">
        <v>0</v>
      </c>
      <c r="Q87" s="222">
        <v>0</v>
      </c>
      <c r="R87" s="43" t="s">
        <v>7768</v>
      </c>
      <c r="S87" s="228" t="s">
        <v>7971</v>
      </c>
      <c r="T87" s="223" t="s">
        <v>7972</v>
      </c>
      <c r="U87" s="15">
        <v>0</v>
      </c>
      <c r="V87" s="15">
        <v>0</v>
      </c>
      <c r="W87" s="197">
        <v>0</v>
      </c>
      <c r="X87" s="197">
        <v>0</v>
      </c>
    </row>
    <row r="88" spans="1:24" ht="28.9" customHeight="1" x14ac:dyDescent="0.15">
      <c r="A88" s="41">
        <v>909127</v>
      </c>
      <c r="B88" s="227" t="s">
        <v>7973</v>
      </c>
      <c r="C88" s="41" t="s">
        <v>107</v>
      </c>
      <c r="D88" s="41">
        <v>1001</v>
      </c>
      <c r="E88" s="41">
        <v>2</v>
      </c>
      <c r="F88" s="41">
        <v>0</v>
      </c>
      <c r="G88" s="74">
        <v>0</v>
      </c>
      <c r="H88" s="74">
        <v>0</v>
      </c>
      <c r="I88" s="74">
        <v>1</v>
      </c>
      <c r="J88" s="74" t="b">
        <v>0</v>
      </c>
      <c r="K88" s="74">
        <v>-1</v>
      </c>
      <c r="L88" s="74">
        <v>0</v>
      </c>
      <c r="M88" s="74">
        <v>0</v>
      </c>
      <c r="N88" s="41">
        <v>1</v>
      </c>
      <c r="O88" s="74">
        <v>0</v>
      </c>
      <c r="P88" s="74">
        <v>0</v>
      </c>
      <c r="Q88" s="222">
        <v>0</v>
      </c>
      <c r="R88" s="43" t="s">
        <v>7768</v>
      </c>
      <c r="S88" s="228" t="s">
        <v>7974</v>
      </c>
      <c r="T88" s="223" t="s">
        <v>3730</v>
      </c>
      <c r="U88" s="15">
        <v>0</v>
      </c>
      <c r="V88" s="15">
        <v>0</v>
      </c>
      <c r="W88" s="197">
        <v>0</v>
      </c>
      <c r="X88" s="197">
        <v>0</v>
      </c>
    </row>
    <row r="89" spans="1:24" ht="28.9" customHeight="1" x14ac:dyDescent="0.15">
      <c r="A89" s="41">
        <v>909128</v>
      </c>
      <c r="B89" s="227" t="s">
        <v>7975</v>
      </c>
      <c r="C89" s="41" t="s">
        <v>107</v>
      </c>
      <c r="D89" s="41">
        <v>1001</v>
      </c>
      <c r="E89" s="41">
        <v>2</v>
      </c>
      <c r="F89" s="41">
        <v>0</v>
      </c>
      <c r="G89" s="74">
        <v>0</v>
      </c>
      <c r="H89" s="74">
        <v>0</v>
      </c>
      <c r="I89" s="74">
        <v>1</v>
      </c>
      <c r="J89" s="74" t="b">
        <v>0</v>
      </c>
      <c r="K89" s="74">
        <v>-1</v>
      </c>
      <c r="L89" s="74">
        <v>0</v>
      </c>
      <c r="M89" s="74">
        <v>0</v>
      </c>
      <c r="N89" s="41">
        <v>1</v>
      </c>
      <c r="O89" s="74">
        <v>0</v>
      </c>
      <c r="P89" s="74">
        <v>0</v>
      </c>
      <c r="Q89" s="222">
        <v>0</v>
      </c>
      <c r="R89" s="43" t="s">
        <v>7768</v>
      </c>
      <c r="S89" s="228" t="s">
        <v>7976</v>
      </c>
      <c r="T89" s="223" t="s">
        <v>7969</v>
      </c>
      <c r="U89" s="15">
        <v>0</v>
      </c>
      <c r="V89" s="15">
        <v>0</v>
      </c>
      <c r="W89" s="197">
        <v>0</v>
      </c>
      <c r="X89" s="197">
        <v>0</v>
      </c>
    </row>
    <row r="90" spans="1:24" ht="28.9" customHeight="1" x14ac:dyDescent="0.15">
      <c r="A90" s="41">
        <v>909129</v>
      </c>
      <c r="B90" s="227" t="s">
        <v>7977</v>
      </c>
      <c r="C90" s="41" t="s">
        <v>107</v>
      </c>
      <c r="D90" s="41">
        <v>1001</v>
      </c>
      <c r="E90" s="41">
        <v>2</v>
      </c>
      <c r="F90" s="41">
        <v>0</v>
      </c>
      <c r="G90" s="74">
        <v>0</v>
      </c>
      <c r="H90" s="74">
        <v>0</v>
      </c>
      <c r="I90" s="74">
        <v>1</v>
      </c>
      <c r="J90" s="74" t="b">
        <v>0</v>
      </c>
      <c r="K90" s="74">
        <v>-1</v>
      </c>
      <c r="L90" s="74">
        <v>0</v>
      </c>
      <c r="M90" s="74">
        <v>0</v>
      </c>
      <c r="N90" s="41">
        <v>1</v>
      </c>
      <c r="O90" s="74">
        <v>0</v>
      </c>
      <c r="P90" s="74">
        <v>0</v>
      </c>
      <c r="Q90" s="222">
        <v>0</v>
      </c>
      <c r="R90" s="43" t="s">
        <v>7768</v>
      </c>
      <c r="S90" s="228" t="s">
        <v>7978</v>
      </c>
      <c r="T90" s="223" t="s">
        <v>7972</v>
      </c>
      <c r="U90" s="15">
        <v>0</v>
      </c>
      <c r="V90" s="15">
        <v>0</v>
      </c>
      <c r="W90" s="197">
        <v>0</v>
      </c>
      <c r="X90" s="197">
        <v>0</v>
      </c>
    </row>
    <row r="91" spans="1:24" ht="28.9" customHeight="1" x14ac:dyDescent="0.15">
      <c r="A91" s="41">
        <v>909130</v>
      </c>
      <c r="B91" s="227" t="s">
        <v>7979</v>
      </c>
      <c r="C91" s="41" t="s">
        <v>107</v>
      </c>
      <c r="D91" s="41">
        <v>1001</v>
      </c>
      <c r="E91" s="41">
        <v>2</v>
      </c>
      <c r="F91" s="41">
        <v>0</v>
      </c>
      <c r="G91" s="74">
        <v>0</v>
      </c>
      <c r="H91" s="74">
        <v>0</v>
      </c>
      <c r="I91" s="74">
        <v>1</v>
      </c>
      <c r="J91" s="74" t="b">
        <v>0</v>
      </c>
      <c r="K91" s="74">
        <v>-1</v>
      </c>
      <c r="L91" s="74">
        <v>0</v>
      </c>
      <c r="M91" s="74">
        <v>0</v>
      </c>
      <c r="N91" s="41">
        <v>1</v>
      </c>
      <c r="O91" s="74">
        <v>0</v>
      </c>
      <c r="P91" s="74">
        <v>0</v>
      </c>
      <c r="Q91" s="222">
        <v>0</v>
      </c>
      <c r="R91" s="43" t="s">
        <v>7768</v>
      </c>
      <c r="S91" s="228" t="s">
        <v>7980</v>
      </c>
      <c r="T91" s="223" t="s">
        <v>7802</v>
      </c>
      <c r="U91" s="15">
        <v>0</v>
      </c>
      <c r="V91" s="15">
        <v>0</v>
      </c>
      <c r="W91" s="197">
        <v>0</v>
      </c>
      <c r="X91" s="197">
        <v>0</v>
      </c>
    </row>
    <row r="92" spans="1:24" ht="28.9" customHeight="1" x14ac:dyDescent="0.15">
      <c r="A92" s="41">
        <v>909131</v>
      </c>
      <c r="B92" s="227" t="s">
        <v>7981</v>
      </c>
      <c r="C92" s="41" t="s">
        <v>107</v>
      </c>
      <c r="D92" s="41">
        <v>1001</v>
      </c>
      <c r="E92" s="41">
        <v>5</v>
      </c>
      <c r="F92" s="41">
        <v>0</v>
      </c>
      <c r="G92" s="74">
        <v>0</v>
      </c>
      <c r="H92" s="74">
        <v>0</v>
      </c>
      <c r="I92" s="74">
        <v>1</v>
      </c>
      <c r="J92" s="74" t="b">
        <v>1</v>
      </c>
      <c r="K92" s="224">
        <v>10000</v>
      </c>
      <c r="L92" s="74">
        <v>0</v>
      </c>
      <c r="M92" s="74">
        <v>0</v>
      </c>
      <c r="N92" s="41">
        <v>1</v>
      </c>
      <c r="O92" s="74">
        <v>0</v>
      </c>
      <c r="P92" s="74">
        <v>0</v>
      </c>
      <c r="Q92" s="222">
        <v>0</v>
      </c>
      <c r="R92" s="43" t="s">
        <v>7768</v>
      </c>
      <c r="S92" s="228" t="s">
        <v>7982</v>
      </c>
      <c r="T92" s="223" t="s">
        <v>3761</v>
      </c>
      <c r="U92" s="15">
        <v>0</v>
      </c>
      <c r="V92" s="15">
        <v>0</v>
      </c>
      <c r="W92" s="197">
        <v>0</v>
      </c>
      <c r="X92" s="197">
        <v>0</v>
      </c>
    </row>
    <row r="93" spans="1:24" ht="28.9" customHeight="1" x14ac:dyDescent="0.15">
      <c r="A93" s="41">
        <v>909132</v>
      </c>
      <c r="B93" s="227" t="s">
        <v>7983</v>
      </c>
      <c r="C93" s="41" t="s">
        <v>107</v>
      </c>
      <c r="D93" s="41">
        <v>1001</v>
      </c>
      <c r="E93" s="41">
        <v>2</v>
      </c>
      <c r="F93" s="41">
        <v>0</v>
      </c>
      <c r="G93" s="74">
        <v>0</v>
      </c>
      <c r="H93" s="74">
        <v>0</v>
      </c>
      <c r="I93" s="74">
        <v>1</v>
      </c>
      <c r="J93" s="74" t="b">
        <v>0</v>
      </c>
      <c r="K93" s="74">
        <v>-1</v>
      </c>
      <c r="L93" s="74">
        <v>0</v>
      </c>
      <c r="M93" s="74">
        <v>0</v>
      </c>
      <c r="N93" s="41">
        <v>1</v>
      </c>
      <c r="O93" s="74">
        <v>0</v>
      </c>
      <c r="P93" s="74">
        <v>0</v>
      </c>
      <c r="Q93" s="222">
        <v>0</v>
      </c>
      <c r="R93" s="43" t="s">
        <v>7768</v>
      </c>
      <c r="S93" s="228" t="s">
        <v>7984</v>
      </c>
      <c r="T93" s="223" t="s">
        <v>7972</v>
      </c>
      <c r="U93" s="15">
        <v>0</v>
      </c>
      <c r="V93" s="15">
        <v>0</v>
      </c>
      <c r="W93" s="197">
        <v>0</v>
      </c>
      <c r="X93" s="197">
        <v>0</v>
      </c>
    </row>
    <row r="94" spans="1:24" ht="28.9" customHeight="1" x14ac:dyDescent="0.15">
      <c r="A94" s="41">
        <v>909133</v>
      </c>
      <c r="B94" s="227" t="s">
        <v>7985</v>
      </c>
      <c r="C94" s="41" t="s">
        <v>107</v>
      </c>
      <c r="D94" s="41">
        <v>1001</v>
      </c>
      <c r="E94" s="41">
        <v>3</v>
      </c>
      <c r="F94" s="41">
        <v>0</v>
      </c>
      <c r="G94" s="74">
        <v>0</v>
      </c>
      <c r="H94" s="74">
        <v>0</v>
      </c>
      <c r="I94" s="74">
        <v>1</v>
      </c>
      <c r="J94" s="74" t="b">
        <v>0</v>
      </c>
      <c r="K94" s="74">
        <v>-1</v>
      </c>
      <c r="L94" s="74">
        <v>0</v>
      </c>
      <c r="M94" s="74">
        <v>0</v>
      </c>
      <c r="N94" s="41">
        <v>1</v>
      </c>
      <c r="O94" s="74">
        <v>0</v>
      </c>
      <c r="P94" s="74">
        <v>0</v>
      </c>
      <c r="Q94" s="222">
        <v>0</v>
      </c>
      <c r="R94" s="43" t="s">
        <v>7768</v>
      </c>
      <c r="S94" s="228" t="s">
        <v>7986</v>
      </c>
      <c r="T94" s="223" t="s">
        <v>7987</v>
      </c>
      <c r="U94" s="15">
        <v>0</v>
      </c>
      <c r="V94" s="15">
        <v>0</v>
      </c>
      <c r="W94" s="197">
        <v>0</v>
      </c>
      <c r="X94" s="197">
        <v>0</v>
      </c>
    </row>
    <row r="95" spans="1:24" ht="28.9" customHeight="1" x14ac:dyDescent="0.15">
      <c r="A95" s="41">
        <v>909134</v>
      </c>
      <c r="B95" s="227" t="s">
        <v>7988</v>
      </c>
      <c r="C95" s="41" t="s">
        <v>107</v>
      </c>
      <c r="D95" s="41">
        <v>1001</v>
      </c>
      <c r="E95" s="41">
        <v>2</v>
      </c>
      <c r="F95" s="41">
        <v>0</v>
      </c>
      <c r="G95" s="74">
        <v>0</v>
      </c>
      <c r="H95" s="74">
        <v>0</v>
      </c>
      <c r="I95" s="74">
        <v>1</v>
      </c>
      <c r="J95" s="74" t="b">
        <v>0</v>
      </c>
      <c r="K95" s="74">
        <v>-1</v>
      </c>
      <c r="L95" s="74">
        <v>0</v>
      </c>
      <c r="M95" s="74">
        <v>0</v>
      </c>
      <c r="N95" s="41">
        <v>1</v>
      </c>
      <c r="O95" s="74">
        <v>0</v>
      </c>
      <c r="P95" s="74">
        <v>0</v>
      </c>
      <c r="Q95" s="222">
        <v>0</v>
      </c>
      <c r="R95" s="43" t="s">
        <v>7768</v>
      </c>
      <c r="S95" s="228" t="s">
        <v>7989</v>
      </c>
      <c r="T95" s="223" t="s">
        <v>7417</v>
      </c>
      <c r="U95" s="15">
        <v>0</v>
      </c>
      <c r="V95" s="15">
        <v>0</v>
      </c>
      <c r="W95" s="197">
        <v>0</v>
      </c>
      <c r="X95" s="197">
        <v>0</v>
      </c>
    </row>
    <row r="96" spans="1:24" ht="28.9" customHeight="1" x14ac:dyDescent="0.15">
      <c r="A96" s="41">
        <v>909135</v>
      </c>
      <c r="B96" s="102" t="s">
        <v>7990</v>
      </c>
      <c r="C96" s="41" t="s">
        <v>107</v>
      </c>
      <c r="D96" s="41">
        <v>1001</v>
      </c>
      <c r="E96" s="41">
        <v>2</v>
      </c>
      <c r="F96" s="41">
        <v>0</v>
      </c>
      <c r="G96" s="74">
        <v>0</v>
      </c>
      <c r="H96" s="74">
        <v>0</v>
      </c>
      <c r="I96" s="74">
        <v>1</v>
      </c>
      <c r="J96" s="74" t="b">
        <v>0</v>
      </c>
      <c r="K96" s="74">
        <v>-1</v>
      </c>
      <c r="L96" s="74">
        <v>0</v>
      </c>
      <c r="M96" s="74">
        <v>0</v>
      </c>
      <c r="N96" s="41">
        <v>1</v>
      </c>
      <c r="O96" s="74">
        <v>0</v>
      </c>
      <c r="P96" s="74">
        <v>0</v>
      </c>
      <c r="Q96" s="222">
        <v>0</v>
      </c>
      <c r="R96" s="43" t="s">
        <v>7768</v>
      </c>
      <c r="S96" s="228" t="s">
        <v>7991</v>
      </c>
      <c r="T96" s="223" t="s">
        <v>7420</v>
      </c>
      <c r="U96" s="15">
        <v>0</v>
      </c>
      <c r="V96" s="15">
        <v>0</v>
      </c>
      <c r="W96" s="197">
        <v>0</v>
      </c>
      <c r="X96" s="197">
        <v>0</v>
      </c>
    </row>
    <row r="97" spans="1:24" ht="28.9" customHeight="1" x14ac:dyDescent="0.15">
      <c r="A97" s="41">
        <v>909136</v>
      </c>
      <c r="B97" s="102" t="s">
        <v>7952</v>
      </c>
      <c r="C97" s="41" t="s">
        <v>107</v>
      </c>
      <c r="D97" s="41">
        <v>1001</v>
      </c>
      <c r="E97" s="41">
        <v>2</v>
      </c>
      <c r="F97" s="41">
        <v>0</v>
      </c>
      <c r="G97" s="74">
        <v>0</v>
      </c>
      <c r="H97" s="74">
        <v>0</v>
      </c>
      <c r="I97" s="74">
        <v>1</v>
      </c>
      <c r="J97" s="74" t="b">
        <v>0</v>
      </c>
      <c r="K97" s="74">
        <v>-1</v>
      </c>
      <c r="L97" s="74">
        <v>0</v>
      </c>
      <c r="M97" s="74">
        <v>0</v>
      </c>
      <c r="N97" s="41">
        <v>1</v>
      </c>
      <c r="O97" s="74">
        <v>0</v>
      </c>
      <c r="P97" s="74">
        <v>0</v>
      </c>
      <c r="Q97" s="222">
        <v>0</v>
      </c>
      <c r="R97" s="43" t="s">
        <v>7768</v>
      </c>
      <c r="S97" s="228" t="s">
        <v>7992</v>
      </c>
      <c r="T97" s="223" t="s">
        <v>7993</v>
      </c>
      <c r="U97" s="15">
        <v>0</v>
      </c>
      <c r="V97" s="15">
        <v>0</v>
      </c>
      <c r="W97" s="197">
        <v>0</v>
      </c>
      <c r="X97" s="197">
        <v>0</v>
      </c>
    </row>
    <row r="98" spans="1:24" ht="28.9" customHeight="1" x14ac:dyDescent="0.15">
      <c r="A98" s="41">
        <v>909137</v>
      </c>
      <c r="B98" s="102" t="s">
        <v>7994</v>
      </c>
      <c r="C98" s="41" t="s">
        <v>107</v>
      </c>
      <c r="D98" s="41">
        <v>1001</v>
      </c>
      <c r="E98" s="41">
        <v>2</v>
      </c>
      <c r="F98" s="41">
        <v>0</v>
      </c>
      <c r="G98" s="74">
        <v>0</v>
      </c>
      <c r="H98" s="74">
        <v>0</v>
      </c>
      <c r="I98" s="74">
        <v>1</v>
      </c>
      <c r="J98" s="74" t="b">
        <v>1</v>
      </c>
      <c r="K98" s="74">
        <v>1</v>
      </c>
      <c r="L98" s="74">
        <v>0</v>
      </c>
      <c r="M98" s="74">
        <v>0</v>
      </c>
      <c r="N98" s="41">
        <v>1</v>
      </c>
      <c r="O98" s="74">
        <v>0</v>
      </c>
      <c r="P98" s="74">
        <v>0</v>
      </c>
      <c r="Q98" s="222">
        <v>0</v>
      </c>
      <c r="R98" s="43" t="s">
        <v>7768</v>
      </c>
      <c r="S98" s="228" t="s">
        <v>7995</v>
      </c>
      <c r="T98" s="223" t="s">
        <v>7993</v>
      </c>
      <c r="U98" s="15">
        <v>0</v>
      </c>
      <c r="V98" s="15">
        <v>0</v>
      </c>
      <c r="W98" s="197">
        <v>0</v>
      </c>
      <c r="X98" s="197">
        <v>0</v>
      </c>
    </row>
    <row r="99" spans="1:24" ht="28.9" customHeight="1" x14ac:dyDescent="0.15">
      <c r="A99" s="41">
        <v>909138</v>
      </c>
      <c r="B99" s="102" t="s">
        <v>7996</v>
      </c>
      <c r="C99" s="41" t="s">
        <v>107</v>
      </c>
      <c r="D99" s="41">
        <v>1001</v>
      </c>
      <c r="E99" s="41">
        <v>2</v>
      </c>
      <c r="F99" s="41">
        <v>0</v>
      </c>
      <c r="G99" s="74">
        <v>0</v>
      </c>
      <c r="H99" s="74">
        <v>0</v>
      </c>
      <c r="I99" s="74">
        <v>1</v>
      </c>
      <c r="J99" s="74" t="b">
        <v>0</v>
      </c>
      <c r="K99" s="74">
        <v>-1</v>
      </c>
      <c r="L99" s="74">
        <v>0</v>
      </c>
      <c r="M99" s="74">
        <v>0</v>
      </c>
      <c r="N99" s="41">
        <v>1</v>
      </c>
      <c r="O99" s="74">
        <v>0</v>
      </c>
      <c r="P99" s="222" t="s">
        <v>7997</v>
      </c>
      <c r="Q99" s="222" t="s">
        <v>7788</v>
      </c>
      <c r="R99" s="43" t="s">
        <v>7768</v>
      </c>
      <c r="S99" s="228" t="s">
        <v>7998</v>
      </c>
      <c r="T99" s="223" t="s">
        <v>7993</v>
      </c>
      <c r="U99" s="15">
        <v>0</v>
      </c>
      <c r="V99" s="15">
        <v>0</v>
      </c>
      <c r="W99" s="197">
        <v>0</v>
      </c>
      <c r="X99" s="197">
        <v>0</v>
      </c>
    </row>
    <row r="100" spans="1:24" ht="28.9" customHeight="1" x14ac:dyDescent="0.15">
      <c r="A100" s="41">
        <v>909139</v>
      </c>
      <c r="B100" s="227" t="s">
        <v>7940</v>
      </c>
      <c r="C100" s="41" t="s">
        <v>107</v>
      </c>
      <c r="D100" s="41">
        <v>1001</v>
      </c>
      <c r="E100" s="41">
        <v>2</v>
      </c>
      <c r="F100" s="41">
        <v>0</v>
      </c>
      <c r="G100" s="74">
        <v>0</v>
      </c>
      <c r="H100" s="74">
        <v>0</v>
      </c>
      <c r="I100" s="74">
        <v>1</v>
      </c>
      <c r="J100" s="74" t="b">
        <v>1</v>
      </c>
      <c r="K100" s="74">
        <v>800</v>
      </c>
      <c r="L100" s="74">
        <v>0</v>
      </c>
      <c r="M100" s="74">
        <v>0</v>
      </c>
      <c r="N100" s="41">
        <v>1</v>
      </c>
      <c r="O100" s="74">
        <v>0</v>
      </c>
      <c r="P100" s="74" t="s">
        <v>7832</v>
      </c>
      <c r="Q100" s="222" t="s">
        <v>7477</v>
      </c>
      <c r="R100" s="43"/>
      <c r="S100" s="228" t="s">
        <v>7999</v>
      </c>
      <c r="T100" s="41" t="s">
        <v>7942</v>
      </c>
      <c r="U100" s="15">
        <v>0</v>
      </c>
      <c r="V100" s="15">
        <v>20000</v>
      </c>
      <c r="W100" s="197">
        <v>0</v>
      </c>
      <c r="X100" s="197">
        <v>0</v>
      </c>
    </row>
    <row r="101" spans="1:24" ht="27" x14ac:dyDescent="0.15">
      <c r="A101" s="41">
        <v>909140</v>
      </c>
      <c r="B101" s="227" t="s">
        <v>8000</v>
      </c>
      <c r="C101" s="41" t="s">
        <v>107</v>
      </c>
      <c r="D101" s="41">
        <v>1001</v>
      </c>
      <c r="E101" s="41">
        <v>2</v>
      </c>
      <c r="F101" s="41">
        <v>0</v>
      </c>
      <c r="G101" s="74">
        <v>0</v>
      </c>
      <c r="H101" s="74">
        <v>0</v>
      </c>
      <c r="I101" s="74">
        <v>1</v>
      </c>
      <c r="J101" s="74" t="b">
        <v>0</v>
      </c>
      <c r="K101" s="74">
        <v>-1</v>
      </c>
      <c r="L101" s="74">
        <v>0</v>
      </c>
      <c r="M101" s="74">
        <v>0</v>
      </c>
      <c r="N101" s="41">
        <v>1</v>
      </c>
      <c r="O101" s="74">
        <v>0</v>
      </c>
      <c r="P101" s="222">
        <v>0</v>
      </c>
      <c r="Q101" s="222">
        <v>0</v>
      </c>
      <c r="R101" s="43" t="s">
        <v>7768</v>
      </c>
      <c r="S101" s="228" t="s">
        <v>8001</v>
      </c>
      <c r="T101" s="41" t="s">
        <v>7811</v>
      </c>
      <c r="U101" s="15">
        <v>0</v>
      </c>
      <c r="V101" s="225">
        <v>0</v>
      </c>
      <c r="W101" s="197">
        <v>0</v>
      </c>
      <c r="X101" s="197">
        <v>0</v>
      </c>
    </row>
    <row r="102" spans="1:24" ht="27" x14ac:dyDescent="0.15">
      <c r="A102" s="41">
        <v>909141</v>
      </c>
      <c r="B102" s="227" t="s">
        <v>8002</v>
      </c>
      <c r="C102" s="41" t="s">
        <v>107</v>
      </c>
      <c r="D102" s="41">
        <v>1001</v>
      </c>
      <c r="E102" s="41">
        <v>2</v>
      </c>
      <c r="F102" s="41">
        <v>0</v>
      </c>
      <c r="G102" s="74">
        <v>0</v>
      </c>
      <c r="H102" s="74">
        <v>0</v>
      </c>
      <c r="I102" s="74">
        <v>1</v>
      </c>
      <c r="J102" s="74" t="b">
        <v>0</v>
      </c>
      <c r="K102" s="74">
        <v>-1</v>
      </c>
      <c r="L102" s="74">
        <v>0</v>
      </c>
      <c r="M102" s="74">
        <v>0</v>
      </c>
      <c r="N102" s="41">
        <v>1</v>
      </c>
      <c r="O102" s="74">
        <v>0</v>
      </c>
      <c r="P102" s="222">
        <v>0</v>
      </c>
      <c r="Q102" s="222">
        <v>0</v>
      </c>
      <c r="R102" s="43" t="s">
        <v>7768</v>
      </c>
      <c r="S102" s="228" t="s">
        <v>8003</v>
      </c>
      <c r="T102" s="41" t="s">
        <v>1984</v>
      </c>
      <c r="U102" s="15">
        <v>0</v>
      </c>
      <c r="V102" s="225">
        <v>0</v>
      </c>
      <c r="W102" s="197">
        <v>0</v>
      </c>
      <c r="X102" s="197">
        <v>0</v>
      </c>
    </row>
    <row r="103" spans="1:24" ht="27" x14ac:dyDescent="0.15">
      <c r="A103" s="41">
        <v>909142</v>
      </c>
      <c r="B103" s="227" t="s">
        <v>8004</v>
      </c>
      <c r="C103" s="41" t="s">
        <v>107</v>
      </c>
      <c r="D103" s="41">
        <v>1001</v>
      </c>
      <c r="E103" s="41">
        <v>2</v>
      </c>
      <c r="F103" s="41">
        <v>0</v>
      </c>
      <c r="G103" s="74">
        <v>0</v>
      </c>
      <c r="H103" s="74">
        <v>0</v>
      </c>
      <c r="I103" s="74">
        <v>1</v>
      </c>
      <c r="J103" s="74" t="b">
        <v>0</v>
      </c>
      <c r="K103" s="74">
        <v>-1</v>
      </c>
      <c r="L103" s="74">
        <v>0</v>
      </c>
      <c r="M103" s="74">
        <v>0</v>
      </c>
      <c r="N103" s="41">
        <v>1</v>
      </c>
      <c r="O103" s="74">
        <v>0</v>
      </c>
      <c r="P103" s="222">
        <v>0</v>
      </c>
      <c r="Q103" s="222">
        <v>0</v>
      </c>
      <c r="R103" s="43" t="s">
        <v>7768</v>
      </c>
      <c r="S103" s="228" t="s">
        <v>8005</v>
      </c>
      <c r="T103" s="41" t="s">
        <v>7868</v>
      </c>
      <c r="U103" s="15">
        <v>0</v>
      </c>
      <c r="V103" s="225">
        <v>0</v>
      </c>
      <c r="W103" s="197">
        <v>0</v>
      </c>
      <c r="X103" s="197">
        <v>0</v>
      </c>
    </row>
    <row r="104" spans="1:24" ht="27" x14ac:dyDescent="0.15">
      <c r="A104" s="41">
        <v>909143</v>
      </c>
      <c r="B104" s="227" t="s">
        <v>8006</v>
      </c>
      <c r="C104" s="41" t="s">
        <v>107</v>
      </c>
      <c r="D104" s="41">
        <v>1001</v>
      </c>
      <c r="E104" s="41">
        <v>2</v>
      </c>
      <c r="F104" s="41">
        <v>0</v>
      </c>
      <c r="G104" s="74">
        <v>0</v>
      </c>
      <c r="H104" s="74">
        <v>0</v>
      </c>
      <c r="I104" s="74">
        <v>1</v>
      </c>
      <c r="J104" s="74" t="b">
        <v>0</v>
      </c>
      <c r="K104" s="74">
        <v>-1</v>
      </c>
      <c r="L104" s="74">
        <v>0</v>
      </c>
      <c r="M104" s="74">
        <v>0</v>
      </c>
      <c r="N104" s="41">
        <v>1</v>
      </c>
      <c r="O104" s="74">
        <v>0</v>
      </c>
      <c r="P104" s="222">
        <v>0</v>
      </c>
      <c r="Q104" s="222">
        <v>0</v>
      </c>
      <c r="R104" s="43" t="s">
        <v>7768</v>
      </c>
      <c r="S104" s="228" t="s">
        <v>8007</v>
      </c>
      <c r="T104" s="223" t="s">
        <v>7840</v>
      </c>
      <c r="U104" s="15">
        <v>0</v>
      </c>
      <c r="V104" s="225">
        <v>0</v>
      </c>
      <c r="W104" s="197">
        <v>0</v>
      </c>
      <c r="X104" s="197">
        <v>0</v>
      </c>
    </row>
    <row r="105" spans="1:24" ht="27" x14ac:dyDescent="0.15">
      <c r="A105" s="41">
        <v>909144</v>
      </c>
      <c r="B105" s="227" t="s">
        <v>8008</v>
      </c>
      <c r="C105" s="41" t="s">
        <v>107</v>
      </c>
      <c r="D105" s="41">
        <v>1001</v>
      </c>
      <c r="E105" s="41">
        <v>2</v>
      </c>
      <c r="F105" s="41">
        <v>0</v>
      </c>
      <c r="G105" s="74">
        <v>0</v>
      </c>
      <c r="H105" s="74">
        <v>0</v>
      </c>
      <c r="I105" s="74">
        <v>1</v>
      </c>
      <c r="J105" s="74" t="b">
        <v>0</v>
      </c>
      <c r="K105" s="74">
        <v>-1</v>
      </c>
      <c r="L105" s="74">
        <v>0</v>
      </c>
      <c r="M105" s="74">
        <v>0</v>
      </c>
      <c r="N105" s="41">
        <v>1</v>
      </c>
      <c r="O105" s="74">
        <v>0</v>
      </c>
      <c r="P105" s="222" t="s">
        <v>8009</v>
      </c>
      <c r="Q105" s="222" t="s">
        <v>7788</v>
      </c>
      <c r="R105" s="43" t="s">
        <v>7768</v>
      </c>
      <c r="S105" s="228" t="s">
        <v>8010</v>
      </c>
      <c r="T105" s="41" t="s">
        <v>1971</v>
      </c>
      <c r="U105" s="15">
        <v>0</v>
      </c>
      <c r="V105" s="225">
        <v>0</v>
      </c>
      <c r="W105" s="197">
        <v>0</v>
      </c>
      <c r="X105" s="197">
        <v>0</v>
      </c>
    </row>
    <row r="106" spans="1:24" ht="27" x14ac:dyDescent="0.15">
      <c r="A106" s="41">
        <v>909145</v>
      </c>
      <c r="B106" s="227" t="s">
        <v>8011</v>
      </c>
      <c r="C106" s="41" t="s">
        <v>107</v>
      </c>
      <c r="D106" s="41">
        <v>1001</v>
      </c>
      <c r="E106" s="41">
        <v>2</v>
      </c>
      <c r="F106" s="41">
        <v>0</v>
      </c>
      <c r="G106" s="74">
        <v>0</v>
      </c>
      <c r="H106" s="74">
        <v>0</v>
      </c>
      <c r="I106" s="74">
        <v>1</v>
      </c>
      <c r="J106" s="74" t="b">
        <v>0</v>
      </c>
      <c r="K106" s="74">
        <v>-1</v>
      </c>
      <c r="L106" s="74">
        <v>0</v>
      </c>
      <c r="M106" s="74">
        <v>0</v>
      </c>
      <c r="N106" s="41">
        <v>1</v>
      </c>
      <c r="O106" s="74">
        <v>0</v>
      </c>
      <c r="P106" s="222">
        <v>0</v>
      </c>
      <c r="Q106" s="222">
        <v>0</v>
      </c>
      <c r="R106" s="43" t="s">
        <v>7768</v>
      </c>
      <c r="S106" s="228" t="s">
        <v>8012</v>
      </c>
      <c r="T106" s="41" t="s">
        <v>3993</v>
      </c>
      <c r="U106" s="15">
        <v>0</v>
      </c>
      <c r="V106" s="225">
        <v>0</v>
      </c>
      <c r="W106" s="197">
        <v>0</v>
      </c>
      <c r="X106" s="197">
        <v>0</v>
      </c>
    </row>
    <row r="107" spans="1:24" ht="27" x14ac:dyDescent="0.15">
      <c r="A107" s="41">
        <v>909146</v>
      </c>
      <c r="B107" s="227" t="s">
        <v>8013</v>
      </c>
      <c r="C107" s="41" t="s">
        <v>107</v>
      </c>
      <c r="D107" s="41">
        <v>1001</v>
      </c>
      <c r="E107" s="41">
        <v>2</v>
      </c>
      <c r="F107" s="41">
        <v>0</v>
      </c>
      <c r="G107" s="74">
        <v>0</v>
      </c>
      <c r="H107" s="74">
        <v>0</v>
      </c>
      <c r="I107" s="74">
        <v>1</v>
      </c>
      <c r="J107" s="74" t="b">
        <v>0</v>
      </c>
      <c r="K107" s="74">
        <v>-1</v>
      </c>
      <c r="L107" s="74">
        <v>0</v>
      </c>
      <c r="M107" s="74">
        <v>0</v>
      </c>
      <c r="N107" s="41">
        <v>1</v>
      </c>
      <c r="O107" s="74">
        <v>0</v>
      </c>
      <c r="P107" s="222">
        <v>0</v>
      </c>
      <c r="Q107" s="222">
        <v>0</v>
      </c>
      <c r="R107" s="43" t="s">
        <v>7768</v>
      </c>
      <c r="S107" s="228" t="s">
        <v>8014</v>
      </c>
      <c r="T107" s="41" t="s">
        <v>7857</v>
      </c>
      <c r="U107" s="15">
        <v>0</v>
      </c>
      <c r="V107" s="225">
        <v>0</v>
      </c>
      <c r="W107" s="197">
        <v>0</v>
      </c>
      <c r="X107" s="197">
        <v>0</v>
      </c>
    </row>
    <row r="108" spans="1:24" ht="27" x14ac:dyDescent="0.15">
      <c r="A108" s="41">
        <v>909147</v>
      </c>
      <c r="B108" s="227" t="s">
        <v>8015</v>
      </c>
      <c r="C108" s="41" t="s">
        <v>107</v>
      </c>
      <c r="D108" s="41">
        <v>1001</v>
      </c>
      <c r="E108" s="41">
        <v>2</v>
      </c>
      <c r="F108" s="41">
        <v>0</v>
      </c>
      <c r="G108" s="74">
        <v>0</v>
      </c>
      <c r="H108" s="74">
        <v>0</v>
      </c>
      <c r="I108" s="74">
        <v>999</v>
      </c>
      <c r="J108" s="74" t="b">
        <v>1</v>
      </c>
      <c r="K108" s="74">
        <v>1</v>
      </c>
      <c r="L108" s="74">
        <v>0</v>
      </c>
      <c r="M108" s="74">
        <v>0</v>
      </c>
      <c r="N108" s="41">
        <v>1</v>
      </c>
      <c r="O108" s="74">
        <v>0</v>
      </c>
      <c r="P108" s="222">
        <v>0</v>
      </c>
      <c r="Q108" s="222">
        <v>0</v>
      </c>
      <c r="R108" s="43" t="s">
        <v>7768</v>
      </c>
      <c r="S108" s="228" t="s">
        <v>8016</v>
      </c>
      <c r="T108" s="41" t="s">
        <v>7455</v>
      </c>
      <c r="U108" s="15">
        <v>0</v>
      </c>
      <c r="V108" s="225">
        <v>0</v>
      </c>
      <c r="W108" s="197">
        <v>0</v>
      </c>
      <c r="X108" s="197">
        <v>0</v>
      </c>
    </row>
    <row r="109" spans="1:24" ht="27" x14ac:dyDescent="0.15">
      <c r="A109" s="41">
        <v>909148</v>
      </c>
      <c r="B109" s="227" t="s">
        <v>8017</v>
      </c>
      <c r="C109" s="41" t="s">
        <v>107</v>
      </c>
      <c r="D109" s="41">
        <v>1001</v>
      </c>
      <c r="E109" s="41">
        <v>2</v>
      </c>
      <c r="F109" s="41">
        <v>0</v>
      </c>
      <c r="G109" s="74">
        <v>0</v>
      </c>
      <c r="H109" s="74">
        <v>0</v>
      </c>
      <c r="I109" s="74">
        <v>1</v>
      </c>
      <c r="J109" s="74" t="b">
        <v>0</v>
      </c>
      <c r="K109" s="74">
        <v>-1</v>
      </c>
      <c r="L109" s="74">
        <v>0</v>
      </c>
      <c r="M109" s="74">
        <v>0</v>
      </c>
      <c r="N109" s="41">
        <v>1</v>
      </c>
      <c r="O109" s="74">
        <v>0</v>
      </c>
      <c r="P109" s="222">
        <v>0</v>
      </c>
      <c r="Q109" s="222">
        <v>0</v>
      </c>
      <c r="R109" s="43" t="s">
        <v>7768</v>
      </c>
      <c r="S109" s="228" t="s">
        <v>8018</v>
      </c>
      <c r="T109" s="41" t="s">
        <v>7799</v>
      </c>
      <c r="U109" s="15">
        <v>0</v>
      </c>
      <c r="V109" s="225">
        <v>0</v>
      </c>
      <c r="W109" s="197">
        <v>0</v>
      </c>
      <c r="X109" s="197">
        <v>0</v>
      </c>
    </row>
    <row r="110" spans="1:24" ht="27" x14ac:dyDescent="0.15">
      <c r="A110" s="41">
        <v>909149</v>
      </c>
      <c r="B110" s="227" t="s">
        <v>8019</v>
      </c>
      <c r="C110" s="41" t="s">
        <v>107</v>
      </c>
      <c r="D110" s="41">
        <v>1001</v>
      </c>
      <c r="E110" s="41">
        <v>2</v>
      </c>
      <c r="F110" s="41">
        <v>0</v>
      </c>
      <c r="G110" s="74">
        <v>0</v>
      </c>
      <c r="H110" s="74">
        <v>0</v>
      </c>
      <c r="I110" s="74">
        <v>1</v>
      </c>
      <c r="J110" s="74" t="b">
        <v>0</v>
      </c>
      <c r="K110" s="74">
        <v>-1</v>
      </c>
      <c r="L110" s="74">
        <v>0</v>
      </c>
      <c r="M110" s="74">
        <v>0</v>
      </c>
      <c r="N110" s="41">
        <v>1</v>
      </c>
      <c r="O110" s="74">
        <v>0</v>
      </c>
      <c r="P110" s="222">
        <v>0</v>
      </c>
      <c r="Q110" s="222">
        <v>0</v>
      </c>
      <c r="R110" s="43" t="s">
        <v>7768</v>
      </c>
      <c r="S110" s="228" t="s">
        <v>8020</v>
      </c>
      <c r="T110" s="41" t="s">
        <v>8021</v>
      </c>
      <c r="U110" s="15">
        <v>0</v>
      </c>
      <c r="V110" s="225">
        <v>0</v>
      </c>
      <c r="W110" s="197">
        <v>0</v>
      </c>
      <c r="X110" s="197">
        <v>0</v>
      </c>
    </row>
    <row r="111" spans="1:24" ht="27" x14ac:dyDescent="0.15">
      <c r="A111" s="41">
        <v>909150</v>
      </c>
      <c r="B111" s="227" t="s">
        <v>8022</v>
      </c>
      <c r="C111" s="41" t="s">
        <v>107</v>
      </c>
      <c r="D111" s="41">
        <v>1001</v>
      </c>
      <c r="E111" s="41">
        <v>2</v>
      </c>
      <c r="F111" s="41">
        <v>0</v>
      </c>
      <c r="G111" s="74">
        <v>0</v>
      </c>
      <c r="H111" s="74">
        <v>0</v>
      </c>
      <c r="I111" s="74">
        <v>1</v>
      </c>
      <c r="J111" s="74" t="b">
        <v>0</v>
      </c>
      <c r="K111" s="74">
        <v>-1</v>
      </c>
      <c r="L111" s="74">
        <v>0</v>
      </c>
      <c r="M111" s="74">
        <v>0</v>
      </c>
      <c r="N111" s="41">
        <v>1</v>
      </c>
      <c r="O111" s="74">
        <v>0</v>
      </c>
      <c r="P111" s="222">
        <v>0</v>
      </c>
      <c r="Q111" s="222">
        <v>0</v>
      </c>
      <c r="R111" s="43" t="s">
        <v>7768</v>
      </c>
      <c r="S111" s="228" t="s">
        <v>8020</v>
      </c>
      <c r="T111" s="41" t="s">
        <v>8021</v>
      </c>
      <c r="U111" s="15">
        <v>0</v>
      </c>
      <c r="V111" s="225">
        <v>0</v>
      </c>
      <c r="W111" s="197">
        <v>0</v>
      </c>
      <c r="X111" s="197">
        <v>0</v>
      </c>
    </row>
    <row r="112" spans="1:24" ht="27" x14ac:dyDescent="0.15">
      <c r="A112" s="41">
        <v>909151</v>
      </c>
      <c r="B112" s="227" t="s">
        <v>8023</v>
      </c>
      <c r="C112" s="41" t="s">
        <v>107</v>
      </c>
      <c r="D112" s="41">
        <v>1001</v>
      </c>
      <c r="E112" s="41">
        <v>2</v>
      </c>
      <c r="F112" s="41">
        <v>0</v>
      </c>
      <c r="G112" s="74">
        <v>0</v>
      </c>
      <c r="H112" s="74">
        <v>0</v>
      </c>
      <c r="I112" s="74">
        <v>1</v>
      </c>
      <c r="J112" s="74" t="b">
        <v>0</v>
      </c>
      <c r="K112" s="74">
        <v>-1</v>
      </c>
      <c r="L112" s="74">
        <v>0</v>
      </c>
      <c r="M112" s="74">
        <v>0</v>
      </c>
      <c r="N112" s="41">
        <v>1</v>
      </c>
      <c r="O112" s="74">
        <v>0</v>
      </c>
      <c r="P112" s="222">
        <v>0</v>
      </c>
      <c r="Q112" s="222">
        <v>0</v>
      </c>
      <c r="R112" s="43" t="s">
        <v>7768</v>
      </c>
      <c r="S112" s="228" t="s">
        <v>8020</v>
      </c>
      <c r="T112" s="41" t="s">
        <v>8021</v>
      </c>
      <c r="U112" s="15">
        <v>0</v>
      </c>
      <c r="V112" s="225">
        <v>0</v>
      </c>
      <c r="W112" s="197">
        <v>0</v>
      </c>
      <c r="X112" s="197">
        <v>0</v>
      </c>
    </row>
    <row r="113" spans="1:24" ht="27" x14ac:dyDescent="0.15">
      <c r="A113" s="41">
        <v>909152</v>
      </c>
      <c r="B113" s="227" t="s">
        <v>8024</v>
      </c>
      <c r="C113" s="41" t="s">
        <v>107</v>
      </c>
      <c r="D113" s="41">
        <v>1001</v>
      </c>
      <c r="E113" s="41">
        <v>2</v>
      </c>
      <c r="F113" s="41">
        <v>0</v>
      </c>
      <c r="G113" s="74">
        <v>0</v>
      </c>
      <c r="H113" s="74">
        <v>0</v>
      </c>
      <c r="I113" s="74">
        <v>1</v>
      </c>
      <c r="J113" s="74" t="b">
        <v>0</v>
      </c>
      <c r="K113" s="74">
        <v>-1</v>
      </c>
      <c r="L113" s="74">
        <v>0</v>
      </c>
      <c r="M113" s="74">
        <v>0</v>
      </c>
      <c r="N113" s="41">
        <v>1</v>
      </c>
      <c r="O113" s="74">
        <v>0</v>
      </c>
      <c r="P113" s="222">
        <v>0</v>
      </c>
      <c r="Q113" s="222">
        <v>0</v>
      </c>
      <c r="R113" s="43" t="s">
        <v>7768</v>
      </c>
      <c r="S113" s="228" t="s">
        <v>8020</v>
      </c>
      <c r="T113" s="41" t="s">
        <v>8021</v>
      </c>
      <c r="U113" s="15">
        <v>0</v>
      </c>
      <c r="V113" s="225">
        <v>0</v>
      </c>
      <c r="W113" s="197">
        <v>0</v>
      </c>
      <c r="X113" s="197">
        <v>0</v>
      </c>
    </row>
    <row r="114" spans="1:24" ht="27" x14ac:dyDescent="0.15">
      <c r="A114" s="41">
        <v>909153</v>
      </c>
      <c r="B114" s="227" t="s">
        <v>8025</v>
      </c>
      <c r="C114" s="41" t="s">
        <v>107</v>
      </c>
      <c r="D114" s="41">
        <v>1001</v>
      </c>
      <c r="E114" s="41">
        <v>2</v>
      </c>
      <c r="F114" s="41">
        <v>0</v>
      </c>
      <c r="G114" s="74">
        <v>0</v>
      </c>
      <c r="H114" s="74">
        <v>0</v>
      </c>
      <c r="I114" s="74">
        <v>1</v>
      </c>
      <c r="J114" s="74" t="b">
        <v>0</v>
      </c>
      <c r="K114" s="74">
        <v>-1</v>
      </c>
      <c r="L114" s="74">
        <v>0</v>
      </c>
      <c r="M114" s="74">
        <v>0</v>
      </c>
      <c r="N114" s="41">
        <v>1</v>
      </c>
      <c r="O114" s="74">
        <v>0</v>
      </c>
      <c r="P114" s="222">
        <v>0</v>
      </c>
      <c r="Q114" s="222">
        <v>0</v>
      </c>
      <c r="R114" s="43" t="s">
        <v>7768</v>
      </c>
      <c r="S114" s="228" t="s">
        <v>8020</v>
      </c>
      <c r="T114" s="41" t="s">
        <v>8021</v>
      </c>
      <c r="U114" s="15">
        <v>0</v>
      </c>
      <c r="V114" s="225">
        <v>0</v>
      </c>
      <c r="W114" s="197">
        <v>0</v>
      </c>
      <c r="X114" s="197">
        <v>0</v>
      </c>
    </row>
    <row r="115" spans="1:24" ht="27" x14ac:dyDescent="0.15">
      <c r="A115" s="41">
        <v>909154</v>
      </c>
      <c r="B115" s="227" t="s">
        <v>8026</v>
      </c>
      <c r="C115" s="41" t="s">
        <v>107</v>
      </c>
      <c r="D115" s="41">
        <v>1001</v>
      </c>
      <c r="E115" s="41">
        <v>2</v>
      </c>
      <c r="F115" s="41">
        <v>0</v>
      </c>
      <c r="G115" s="74">
        <v>0</v>
      </c>
      <c r="H115" s="74">
        <v>0</v>
      </c>
      <c r="I115" s="74">
        <v>1</v>
      </c>
      <c r="J115" s="74" t="b">
        <v>0</v>
      </c>
      <c r="K115" s="74">
        <v>-1</v>
      </c>
      <c r="L115" s="74">
        <v>0</v>
      </c>
      <c r="M115" s="74">
        <v>0</v>
      </c>
      <c r="N115" s="41">
        <v>1</v>
      </c>
      <c r="O115" s="74">
        <v>0</v>
      </c>
      <c r="P115" s="222">
        <v>0</v>
      </c>
      <c r="Q115" s="222">
        <v>0</v>
      </c>
      <c r="R115" s="43" t="s">
        <v>7768</v>
      </c>
      <c r="S115" s="228" t="s">
        <v>8020</v>
      </c>
      <c r="T115" s="41" t="s">
        <v>8021</v>
      </c>
      <c r="U115" s="15">
        <v>0</v>
      </c>
      <c r="V115" s="225">
        <v>0</v>
      </c>
      <c r="W115" s="197">
        <v>0</v>
      </c>
      <c r="X115" s="197">
        <v>0</v>
      </c>
    </row>
    <row r="116" spans="1:24" ht="27" x14ac:dyDescent="0.15">
      <c r="A116" s="41">
        <v>909155</v>
      </c>
      <c r="B116" s="227" t="s">
        <v>8027</v>
      </c>
      <c r="C116" s="41" t="s">
        <v>107</v>
      </c>
      <c r="D116" s="41">
        <v>1001</v>
      </c>
      <c r="E116" s="41">
        <v>2</v>
      </c>
      <c r="F116" s="41">
        <v>0</v>
      </c>
      <c r="G116" s="74">
        <v>0</v>
      </c>
      <c r="H116" s="74">
        <v>0</v>
      </c>
      <c r="I116" s="74">
        <v>1</v>
      </c>
      <c r="J116" s="74" t="b">
        <v>0</v>
      </c>
      <c r="K116" s="74">
        <v>-1</v>
      </c>
      <c r="L116" s="74">
        <v>0</v>
      </c>
      <c r="M116" s="74">
        <v>0</v>
      </c>
      <c r="N116" s="41">
        <v>1</v>
      </c>
      <c r="O116" s="74">
        <v>0</v>
      </c>
      <c r="P116" s="222">
        <v>0</v>
      </c>
      <c r="Q116" s="222">
        <v>0</v>
      </c>
      <c r="R116" s="43" t="s">
        <v>7768</v>
      </c>
      <c r="S116" s="228" t="s">
        <v>8020</v>
      </c>
      <c r="T116" s="41" t="s">
        <v>8021</v>
      </c>
      <c r="U116" s="15">
        <v>0</v>
      </c>
      <c r="V116" s="225">
        <v>0</v>
      </c>
      <c r="W116" s="197">
        <v>0</v>
      </c>
      <c r="X116" s="197">
        <v>0</v>
      </c>
    </row>
    <row r="117" spans="1:24" ht="27" x14ac:dyDescent="0.15">
      <c r="A117" s="41">
        <v>909156</v>
      </c>
      <c r="B117" s="227" t="s">
        <v>8028</v>
      </c>
      <c r="C117" s="41" t="s">
        <v>107</v>
      </c>
      <c r="D117" s="41">
        <v>1001</v>
      </c>
      <c r="E117" s="41">
        <v>2</v>
      </c>
      <c r="F117" s="41">
        <v>0</v>
      </c>
      <c r="G117" s="74">
        <v>0</v>
      </c>
      <c r="H117" s="74">
        <v>0</v>
      </c>
      <c r="I117" s="74">
        <v>1</v>
      </c>
      <c r="J117" s="74" t="b">
        <v>0</v>
      </c>
      <c r="K117" s="74">
        <v>-1</v>
      </c>
      <c r="L117" s="74">
        <v>0</v>
      </c>
      <c r="M117" s="74">
        <v>0</v>
      </c>
      <c r="N117" s="41">
        <v>1</v>
      </c>
      <c r="O117" s="74">
        <v>0</v>
      </c>
      <c r="P117" s="222">
        <v>0</v>
      </c>
      <c r="Q117" s="222">
        <v>0</v>
      </c>
      <c r="R117" s="43" t="s">
        <v>7768</v>
      </c>
      <c r="S117" s="228" t="s">
        <v>8020</v>
      </c>
      <c r="T117" s="41" t="s">
        <v>8021</v>
      </c>
      <c r="U117" s="15">
        <v>0</v>
      </c>
      <c r="V117" s="225">
        <v>0</v>
      </c>
      <c r="W117" s="197">
        <v>0</v>
      </c>
      <c r="X117" s="197">
        <v>0</v>
      </c>
    </row>
    <row r="118" spans="1:24" ht="27" x14ac:dyDescent="0.15">
      <c r="A118" s="41">
        <v>909157</v>
      </c>
      <c r="B118" s="227" t="s">
        <v>8029</v>
      </c>
      <c r="C118" s="41" t="s">
        <v>107</v>
      </c>
      <c r="D118" s="41">
        <v>1001</v>
      </c>
      <c r="E118" s="41">
        <v>2</v>
      </c>
      <c r="F118" s="41">
        <v>0</v>
      </c>
      <c r="G118" s="74">
        <v>0</v>
      </c>
      <c r="H118" s="74">
        <v>0</v>
      </c>
      <c r="I118" s="74">
        <v>1</v>
      </c>
      <c r="J118" s="74" t="b">
        <v>0</v>
      </c>
      <c r="K118" s="74">
        <v>-1</v>
      </c>
      <c r="L118" s="74">
        <v>0</v>
      </c>
      <c r="M118" s="74">
        <v>0</v>
      </c>
      <c r="N118" s="41">
        <v>1</v>
      </c>
      <c r="O118" s="74">
        <v>0</v>
      </c>
      <c r="P118" s="222" t="s">
        <v>8030</v>
      </c>
      <c r="Q118" s="222" t="s">
        <v>7788</v>
      </c>
      <c r="R118" s="43" t="s">
        <v>7768</v>
      </c>
      <c r="S118" s="228" t="s">
        <v>8031</v>
      </c>
      <c r="T118" s="223" t="s">
        <v>7840</v>
      </c>
      <c r="U118" s="15">
        <v>0</v>
      </c>
      <c r="V118" s="225">
        <v>0</v>
      </c>
      <c r="W118" s="197">
        <v>0</v>
      </c>
      <c r="X118" s="197">
        <v>0</v>
      </c>
    </row>
    <row r="119" spans="1:24" ht="27" x14ac:dyDescent="0.15">
      <c r="A119" s="41">
        <v>909158</v>
      </c>
      <c r="B119" s="227" t="s">
        <v>8032</v>
      </c>
      <c r="C119" s="41" t="s">
        <v>107</v>
      </c>
      <c r="D119" s="41">
        <v>1001</v>
      </c>
      <c r="E119" s="41">
        <v>2</v>
      </c>
      <c r="F119" s="41">
        <v>0</v>
      </c>
      <c r="G119" s="74">
        <v>0</v>
      </c>
      <c r="H119" s="74">
        <v>0</v>
      </c>
      <c r="I119" s="74">
        <v>1</v>
      </c>
      <c r="J119" s="74" t="b">
        <v>0</v>
      </c>
      <c r="K119" s="74">
        <v>-1</v>
      </c>
      <c r="L119" s="74">
        <v>0</v>
      </c>
      <c r="M119" s="74">
        <v>0</v>
      </c>
      <c r="N119" s="41">
        <v>1</v>
      </c>
      <c r="O119" s="74">
        <v>0</v>
      </c>
      <c r="P119" s="222" t="s">
        <v>8033</v>
      </c>
      <c r="Q119" s="222" t="s">
        <v>7788</v>
      </c>
      <c r="R119" s="43" t="s">
        <v>7768</v>
      </c>
      <c r="S119" s="228" t="s">
        <v>8034</v>
      </c>
      <c r="T119" s="223" t="s">
        <v>7840</v>
      </c>
      <c r="U119" s="15">
        <v>0</v>
      </c>
      <c r="V119" s="225">
        <v>0</v>
      </c>
      <c r="W119" s="197">
        <v>0</v>
      </c>
      <c r="X119" s="197">
        <v>0</v>
      </c>
    </row>
    <row r="120" spans="1:24" ht="27" x14ac:dyDescent="0.15">
      <c r="A120" s="41">
        <v>909159</v>
      </c>
      <c r="B120" s="227" t="s">
        <v>8035</v>
      </c>
      <c r="C120" s="41" t="s">
        <v>107</v>
      </c>
      <c r="D120" s="41">
        <v>1001</v>
      </c>
      <c r="E120" s="41">
        <v>2</v>
      </c>
      <c r="F120" s="41">
        <v>0</v>
      </c>
      <c r="G120" s="74">
        <v>0</v>
      </c>
      <c r="H120" s="74">
        <v>0</v>
      </c>
      <c r="I120" s="74">
        <v>1</v>
      </c>
      <c r="J120" s="74" t="b">
        <v>0</v>
      </c>
      <c r="K120" s="74">
        <v>-1</v>
      </c>
      <c r="L120" s="74">
        <v>0</v>
      </c>
      <c r="M120" s="74">
        <v>0</v>
      </c>
      <c r="N120" s="41">
        <v>1</v>
      </c>
      <c r="O120" s="74">
        <v>0</v>
      </c>
      <c r="P120" s="222">
        <v>0</v>
      </c>
      <c r="Q120" s="222">
        <v>0</v>
      </c>
      <c r="R120" s="43" t="s">
        <v>7768</v>
      </c>
      <c r="S120" s="228" t="s">
        <v>8036</v>
      </c>
      <c r="T120" s="223" t="s">
        <v>7840</v>
      </c>
      <c r="U120" s="15">
        <v>0</v>
      </c>
      <c r="V120" s="225">
        <v>0</v>
      </c>
      <c r="W120" s="197">
        <v>0</v>
      </c>
      <c r="X120" s="197">
        <v>0</v>
      </c>
    </row>
    <row r="121" spans="1:24" ht="27" x14ac:dyDescent="0.15">
      <c r="A121" s="41">
        <v>909160</v>
      </c>
      <c r="B121" s="227" t="s">
        <v>8035</v>
      </c>
      <c r="C121" s="41" t="s">
        <v>107</v>
      </c>
      <c r="D121" s="41">
        <v>1001</v>
      </c>
      <c r="E121" s="41">
        <v>2</v>
      </c>
      <c r="F121" s="41">
        <v>0</v>
      </c>
      <c r="G121" s="74">
        <v>0</v>
      </c>
      <c r="H121" s="74">
        <v>0</v>
      </c>
      <c r="I121" s="74">
        <v>1</v>
      </c>
      <c r="J121" s="74" t="b">
        <v>0</v>
      </c>
      <c r="K121" s="74">
        <v>-1</v>
      </c>
      <c r="L121" s="74">
        <v>0</v>
      </c>
      <c r="M121" s="74">
        <v>0</v>
      </c>
      <c r="N121" s="41">
        <v>1</v>
      </c>
      <c r="O121" s="74">
        <v>0</v>
      </c>
      <c r="P121" s="222">
        <v>0</v>
      </c>
      <c r="Q121" s="222">
        <v>0</v>
      </c>
      <c r="R121" s="43" t="s">
        <v>7768</v>
      </c>
      <c r="S121" s="228" t="s">
        <v>8037</v>
      </c>
      <c r="T121" s="223" t="s">
        <v>7840</v>
      </c>
      <c r="U121" s="15">
        <v>0</v>
      </c>
      <c r="V121" s="225">
        <v>0</v>
      </c>
      <c r="W121" s="197">
        <v>0</v>
      </c>
      <c r="X121" s="197">
        <v>0</v>
      </c>
    </row>
    <row r="122" spans="1:24" ht="27" x14ac:dyDescent="0.15">
      <c r="A122" s="41">
        <v>909161</v>
      </c>
      <c r="B122" s="227" t="s">
        <v>8038</v>
      </c>
      <c r="C122" s="41" t="s">
        <v>107</v>
      </c>
      <c r="D122" s="41">
        <v>1001</v>
      </c>
      <c r="E122" s="41">
        <v>2</v>
      </c>
      <c r="F122" s="41">
        <v>0</v>
      </c>
      <c r="G122" s="74">
        <v>0</v>
      </c>
      <c r="H122" s="74">
        <v>0</v>
      </c>
      <c r="I122" s="74">
        <v>1</v>
      </c>
      <c r="J122" s="74" t="b">
        <v>0</v>
      </c>
      <c r="K122" s="74">
        <v>-1</v>
      </c>
      <c r="L122" s="74">
        <v>0</v>
      </c>
      <c r="M122" s="74">
        <v>0</v>
      </c>
      <c r="N122" s="41">
        <v>1</v>
      </c>
      <c r="O122" s="74">
        <v>0</v>
      </c>
      <c r="P122" s="222">
        <v>0</v>
      </c>
      <c r="Q122" s="222">
        <v>0</v>
      </c>
      <c r="R122" s="43" t="s">
        <v>7768</v>
      </c>
      <c r="S122" s="228" t="s">
        <v>8039</v>
      </c>
      <c r="T122" s="223" t="s">
        <v>7972</v>
      </c>
      <c r="U122" s="15">
        <v>0</v>
      </c>
      <c r="V122" s="225">
        <v>0</v>
      </c>
      <c r="W122" s="197">
        <v>0</v>
      </c>
      <c r="X122" s="197">
        <v>0</v>
      </c>
    </row>
    <row r="123" spans="1:24" ht="27" x14ac:dyDescent="0.15">
      <c r="A123" s="41">
        <v>909162</v>
      </c>
      <c r="B123" s="227" t="s">
        <v>8040</v>
      </c>
      <c r="C123" s="41" t="s">
        <v>107</v>
      </c>
      <c r="D123" s="41">
        <v>1001</v>
      </c>
      <c r="E123" s="41">
        <v>2</v>
      </c>
      <c r="F123" s="41">
        <v>0</v>
      </c>
      <c r="G123" s="74">
        <v>0</v>
      </c>
      <c r="H123" s="74">
        <v>0</v>
      </c>
      <c r="I123" s="74">
        <v>1</v>
      </c>
      <c r="J123" s="74" t="b">
        <v>0</v>
      </c>
      <c r="K123" s="74">
        <v>-1</v>
      </c>
      <c r="L123" s="74">
        <v>0</v>
      </c>
      <c r="M123" s="74">
        <v>0</v>
      </c>
      <c r="N123" s="41">
        <v>1</v>
      </c>
      <c r="O123" s="74">
        <v>0</v>
      </c>
      <c r="P123" s="222" t="s">
        <v>8041</v>
      </c>
      <c r="Q123" s="222" t="s">
        <v>7788</v>
      </c>
      <c r="R123" s="43" t="s">
        <v>7768</v>
      </c>
      <c r="S123" s="228" t="s">
        <v>8042</v>
      </c>
      <c r="T123" s="223" t="s">
        <v>7840</v>
      </c>
      <c r="U123" s="15">
        <v>0</v>
      </c>
      <c r="V123" s="225">
        <v>0</v>
      </c>
      <c r="W123" s="197">
        <v>0</v>
      </c>
      <c r="X123" s="197">
        <v>0</v>
      </c>
    </row>
    <row r="124" spans="1:24" ht="27" x14ac:dyDescent="0.15">
      <c r="A124" s="41">
        <v>909163</v>
      </c>
      <c r="B124" s="227" t="s">
        <v>8043</v>
      </c>
      <c r="C124" s="41" t="s">
        <v>107</v>
      </c>
      <c r="D124" s="41">
        <v>1001</v>
      </c>
      <c r="E124" s="41">
        <v>2</v>
      </c>
      <c r="F124" s="41">
        <v>0</v>
      </c>
      <c r="G124" s="74">
        <v>0</v>
      </c>
      <c r="H124" s="74">
        <v>0</v>
      </c>
      <c r="I124" s="74">
        <v>1</v>
      </c>
      <c r="J124" s="74" t="b">
        <v>0</v>
      </c>
      <c r="K124" s="74">
        <v>-1</v>
      </c>
      <c r="L124" s="74">
        <v>0</v>
      </c>
      <c r="M124" s="74">
        <v>0</v>
      </c>
      <c r="N124" s="41">
        <v>1</v>
      </c>
      <c r="O124" s="74">
        <v>0</v>
      </c>
      <c r="P124" s="41">
        <v>0</v>
      </c>
      <c r="Q124" s="222">
        <v>0</v>
      </c>
      <c r="R124" s="43" t="s">
        <v>7768</v>
      </c>
      <c r="S124" s="41" t="s">
        <v>8044</v>
      </c>
      <c r="T124" s="41" t="s">
        <v>7417</v>
      </c>
      <c r="U124" s="15">
        <v>0</v>
      </c>
      <c r="V124" s="225">
        <v>0</v>
      </c>
      <c r="W124" s="197">
        <v>0</v>
      </c>
      <c r="X124" s="197">
        <v>0</v>
      </c>
    </row>
    <row r="125" spans="1:24" ht="27" x14ac:dyDescent="0.15">
      <c r="A125" s="41">
        <v>909164</v>
      </c>
      <c r="B125" s="227" t="s">
        <v>8045</v>
      </c>
      <c r="C125" s="41" t="s">
        <v>107</v>
      </c>
      <c r="D125" s="41">
        <v>1001</v>
      </c>
      <c r="E125" s="41">
        <v>2</v>
      </c>
      <c r="F125" s="41">
        <v>0</v>
      </c>
      <c r="G125" s="74">
        <v>0</v>
      </c>
      <c r="H125" s="74">
        <v>0</v>
      </c>
      <c r="I125" s="74">
        <v>1</v>
      </c>
      <c r="J125" s="74" t="b">
        <v>0</v>
      </c>
      <c r="K125" s="74">
        <v>-1</v>
      </c>
      <c r="L125" s="74">
        <v>0</v>
      </c>
      <c r="M125" s="74">
        <v>0</v>
      </c>
      <c r="N125" s="41">
        <v>1</v>
      </c>
      <c r="O125" s="74">
        <v>0</v>
      </c>
      <c r="P125" s="41">
        <v>0</v>
      </c>
      <c r="Q125" s="222">
        <v>0</v>
      </c>
      <c r="R125" s="43" t="s">
        <v>7768</v>
      </c>
      <c r="S125" s="41" t="s">
        <v>8046</v>
      </c>
      <c r="T125" s="41" t="s">
        <v>8047</v>
      </c>
      <c r="U125" s="15">
        <v>0</v>
      </c>
      <c r="V125" s="225">
        <v>0</v>
      </c>
      <c r="W125" s="197">
        <v>0</v>
      </c>
      <c r="X125" s="197">
        <v>0</v>
      </c>
    </row>
    <row r="126" spans="1:24" ht="27" x14ac:dyDescent="0.15">
      <c r="A126" s="41">
        <v>909165</v>
      </c>
      <c r="B126" s="227" t="s">
        <v>7927</v>
      </c>
      <c r="C126" s="41" t="s">
        <v>107</v>
      </c>
      <c r="D126" s="41">
        <v>1001</v>
      </c>
      <c r="E126" s="41">
        <v>2</v>
      </c>
      <c r="F126" s="41">
        <v>0</v>
      </c>
      <c r="G126" s="74">
        <v>0</v>
      </c>
      <c r="H126" s="74">
        <v>0</v>
      </c>
      <c r="I126" s="74">
        <v>1</v>
      </c>
      <c r="J126" s="74" t="b">
        <v>0</v>
      </c>
      <c r="K126" s="74">
        <v>-1</v>
      </c>
      <c r="L126" s="74">
        <v>0</v>
      </c>
      <c r="M126" s="74">
        <v>0</v>
      </c>
      <c r="N126" s="41">
        <v>1</v>
      </c>
      <c r="O126" s="74">
        <v>0</v>
      </c>
      <c r="P126" s="41">
        <v>0</v>
      </c>
      <c r="Q126" s="222">
        <v>0</v>
      </c>
      <c r="R126" s="43" t="s">
        <v>7768</v>
      </c>
      <c r="S126" s="41" t="s">
        <v>8048</v>
      </c>
      <c r="T126" s="41" t="s">
        <v>1936</v>
      </c>
      <c r="U126" s="15">
        <v>0</v>
      </c>
      <c r="V126" s="225">
        <v>0</v>
      </c>
      <c r="W126" s="197">
        <v>0</v>
      </c>
      <c r="X126" s="197">
        <v>0</v>
      </c>
    </row>
    <row r="127" spans="1:24" ht="27" x14ac:dyDescent="0.15">
      <c r="A127" s="41">
        <v>909166</v>
      </c>
      <c r="B127" s="227" t="s">
        <v>8049</v>
      </c>
      <c r="C127" s="41" t="s">
        <v>107</v>
      </c>
      <c r="D127" s="41">
        <v>1001</v>
      </c>
      <c r="E127" s="41">
        <v>2</v>
      </c>
      <c r="F127" s="41">
        <v>0</v>
      </c>
      <c r="G127" s="74">
        <v>0</v>
      </c>
      <c r="H127" s="74">
        <v>0</v>
      </c>
      <c r="I127" s="74">
        <v>1</v>
      </c>
      <c r="J127" s="74" t="b">
        <v>0</v>
      </c>
      <c r="K127" s="74">
        <v>-1</v>
      </c>
      <c r="L127" s="74">
        <v>0</v>
      </c>
      <c r="M127" s="74">
        <v>0</v>
      </c>
      <c r="N127" s="41">
        <v>1</v>
      </c>
      <c r="O127" s="74">
        <v>0</v>
      </c>
      <c r="P127" s="41">
        <v>0</v>
      </c>
      <c r="Q127" s="222">
        <v>0</v>
      </c>
      <c r="R127" s="43" t="s">
        <v>7768</v>
      </c>
      <c r="S127" s="41" t="s">
        <v>8050</v>
      </c>
      <c r="T127" s="41" t="s">
        <v>7840</v>
      </c>
      <c r="U127" s="15">
        <v>0</v>
      </c>
      <c r="V127" s="225">
        <v>0</v>
      </c>
      <c r="W127" s="197">
        <v>0</v>
      </c>
      <c r="X127" s="197">
        <v>0</v>
      </c>
    </row>
    <row r="128" spans="1:24" ht="27" x14ac:dyDescent="0.15">
      <c r="A128" s="41">
        <v>909167</v>
      </c>
      <c r="B128" s="227" t="s">
        <v>8051</v>
      </c>
      <c r="C128" s="41" t="s">
        <v>107</v>
      </c>
      <c r="D128" s="41">
        <v>1001</v>
      </c>
      <c r="E128" s="41">
        <v>2</v>
      </c>
      <c r="F128" s="41">
        <v>0</v>
      </c>
      <c r="G128" s="41">
        <v>0</v>
      </c>
      <c r="H128" s="41">
        <v>0</v>
      </c>
      <c r="I128" s="41">
        <v>1</v>
      </c>
      <c r="J128" s="41" t="b">
        <v>0</v>
      </c>
      <c r="K128" s="41">
        <v>-1</v>
      </c>
      <c r="L128" s="41">
        <v>0</v>
      </c>
      <c r="M128" s="41">
        <v>0</v>
      </c>
      <c r="N128" s="41">
        <v>1</v>
      </c>
      <c r="O128" s="41">
        <v>0</v>
      </c>
      <c r="P128" s="41">
        <v>0</v>
      </c>
      <c r="Q128" s="222">
        <v>0</v>
      </c>
      <c r="R128" s="43" t="s">
        <v>7768</v>
      </c>
      <c r="S128" s="41" t="s">
        <v>8052</v>
      </c>
      <c r="T128" s="41" t="s">
        <v>7840</v>
      </c>
      <c r="U128" s="15">
        <v>0</v>
      </c>
      <c r="V128" s="225">
        <v>0</v>
      </c>
      <c r="W128" s="197">
        <v>0</v>
      </c>
      <c r="X128" s="197">
        <v>0</v>
      </c>
    </row>
    <row r="129" spans="1:24" ht="27" x14ac:dyDescent="0.15">
      <c r="A129" s="41">
        <v>909168</v>
      </c>
      <c r="B129" s="227" t="s">
        <v>8053</v>
      </c>
      <c r="C129" s="41" t="s">
        <v>107</v>
      </c>
      <c r="D129" s="41">
        <v>1001</v>
      </c>
      <c r="E129" s="41">
        <v>2</v>
      </c>
      <c r="F129" s="41">
        <v>0</v>
      </c>
      <c r="G129" s="41">
        <v>0</v>
      </c>
      <c r="H129" s="41">
        <v>0</v>
      </c>
      <c r="I129" s="41">
        <v>1</v>
      </c>
      <c r="J129" s="41" t="b">
        <v>0</v>
      </c>
      <c r="K129" s="41">
        <v>-1</v>
      </c>
      <c r="L129" s="41">
        <v>0</v>
      </c>
      <c r="M129" s="41">
        <v>0</v>
      </c>
      <c r="N129" s="41">
        <v>1</v>
      </c>
      <c r="O129" s="41">
        <v>0</v>
      </c>
      <c r="P129" s="41">
        <v>0</v>
      </c>
      <c r="Q129" s="222">
        <v>0</v>
      </c>
      <c r="R129" s="43" t="s">
        <v>7768</v>
      </c>
      <c r="S129" s="41" t="s">
        <v>8054</v>
      </c>
      <c r="T129" s="41" t="s">
        <v>7840</v>
      </c>
      <c r="U129" s="15">
        <v>0</v>
      </c>
      <c r="V129" s="225">
        <v>0</v>
      </c>
      <c r="W129" s="197">
        <v>0</v>
      </c>
      <c r="X129" s="197">
        <v>0</v>
      </c>
    </row>
    <row r="130" spans="1:24" ht="27" x14ac:dyDescent="0.15">
      <c r="A130" s="41">
        <v>909169</v>
      </c>
      <c r="B130" s="227" t="s">
        <v>8055</v>
      </c>
      <c r="C130" s="41" t="s">
        <v>107</v>
      </c>
      <c r="D130" s="41">
        <v>1001</v>
      </c>
      <c r="E130" s="41">
        <v>2</v>
      </c>
      <c r="F130" s="41">
        <v>0</v>
      </c>
      <c r="G130" s="41">
        <v>0</v>
      </c>
      <c r="H130" s="41">
        <v>0</v>
      </c>
      <c r="I130" s="41">
        <v>1</v>
      </c>
      <c r="J130" s="41" t="b">
        <v>0</v>
      </c>
      <c r="K130" s="41">
        <v>-1</v>
      </c>
      <c r="L130" s="41">
        <v>0</v>
      </c>
      <c r="M130" s="41">
        <v>0</v>
      </c>
      <c r="N130" s="41">
        <v>1</v>
      </c>
      <c r="O130" s="41">
        <v>0</v>
      </c>
      <c r="P130" s="41">
        <v>0</v>
      </c>
      <c r="Q130" s="222">
        <v>0</v>
      </c>
      <c r="R130" s="43" t="s">
        <v>7768</v>
      </c>
      <c r="S130" s="41" t="s">
        <v>8056</v>
      </c>
      <c r="T130" s="41" t="s">
        <v>4884</v>
      </c>
      <c r="U130" s="15">
        <v>0</v>
      </c>
      <c r="V130" s="225">
        <v>0</v>
      </c>
      <c r="W130" s="197">
        <v>0</v>
      </c>
      <c r="X130" s="197">
        <v>0</v>
      </c>
    </row>
    <row r="131" spans="1:24" ht="27" x14ac:dyDescent="0.15">
      <c r="A131" s="41">
        <v>909170</v>
      </c>
      <c r="B131" s="227" t="s">
        <v>8057</v>
      </c>
      <c r="C131" s="41" t="s">
        <v>107</v>
      </c>
      <c r="D131" s="41">
        <v>1001</v>
      </c>
      <c r="E131" s="41">
        <v>2</v>
      </c>
      <c r="F131" s="41">
        <v>0</v>
      </c>
      <c r="G131" s="41">
        <v>0</v>
      </c>
      <c r="H131" s="41">
        <v>0</v>
      </c>
      <c r="I131" s="41">
        <v>1</v>
      </c>
      <c r="J131" s="41" t="b">
        <v>0</v>
      </c>
      <c r="K131" s="41">
        <v>-1</v>
      </c>
      <c r="L131" s="41">
        <v>0</v>
      </c>
      <c r="M131" s="41">
        <v>0</v>
      </c>
      <c r="N131" s="41">
        <v>1</v>
      </c>
      <c r="O131" s="41">
        <v>0</v>
      </c>
      <c r="P131" s="222" t="s">
        <v>8058</v>
      </c>
      <c r="Q131" s="222" t="s">
        <v>7788</v>
      </c>
      <c r="R131" s="43" t="s">
        <v>7768</v>
      </c>
      <c r="S131" s="41" t="s">
        <v>8059</v>
      </c>
      <c r="T131" s="41" t="s">
        <v>3993</v>
      </c>
      <c r="U131" s="15">
        <v>0</v>
      </c>
      <c r="V131" s="225">
        <v>0</v>
      </c>
      <c r="W131" s="197">
        <v>0</v>
      </c>
      <c r="X131" s="197">
        <v>0</v>
      </c>
    </row>
    <row r="132" spans="1:24" ht="27" x14ac:dyDescent="0.15">
      <c r="A132" s="41">
        <v>909171</v>
      </c>
      <c r="B132" s="227" t="s">
        <v>8060</v>
      </c>
      <c r="C132" s="41" t="s">
        <v>107</v>
      </c>
      <c r="D132" s="41">
        <v>1001</v>
      </c>
      <c r="E132" s="41">
        <v>2</v>
      </c>
      <c r="F132" s="41">
        <v>0</v>
      </c>
      <c r="G132" s="41">
        <v>0</v>
      </c>
      <c r="H132" s="41">
        <v>0</v>
      </c>
      <c r="I132" s="41">
        <v>1</v>
      </c>
      <c r="J132" s="41" t="b">
        <v>0</v>
      </c>
      <c r="K132" s="41">
        <v>-1</v>
      </c>
      <c r="L132" s="41">
        <v>0</v>
      </c>
      <c r="M132" s="41">
        <v>0</v>
      </c>
      <c r="N132" s="41">
        <v>1</v>
      </c>
      <c r="O132" s="41">
        <v>0</v>
      </c>
      <c r="P132" s="41">
        <v>0</v>
      </c>
      <c r="Q132" s="222">
        <v>0</v>
      </c>
      <c r="R132" s="43" t="s">
        <v>7768</v>
      </c>
      <c r="S132" s="41" t="s">
        <v>8061</v>
      </c>
      <c r="T132" s="41" t="s">
        <v>8062</v>
      </c>
      <c r="U132" s="15">
        <v>0</v>
      </c>
      <c r="V132" s="225">
        <v>0</v>
      </c>
      <c r="W132" s="197">
        <v>0</v>
      </c>
      <c r="X132" s="197">
        <v>0</v>
      </c>
    </row>
    <row r="133" spans="1:24" ht="27" x14ac:dyDescent="0.15">
      <c r="A133" s="41">
        <v>909172</v>
      </c>
      <c r="B133" s="227" t="s">
        <v>8063</v>
      </c>
      <c r="C133" s="41" t="s">
        <v>107</v>
      </c>
      <c r="D133" s="41">
        <v>1001</v>
      </c>
      <c r="E133" s="41">
        <v>2</v>
      </c>
      <c r="F133" s="41">
        <v>0</v>
      </c>
      <c r="G133" s="41">
        <v>0</v>
      </c>
      <c r="H133" s="41">
        <v>0</v>
      </c>
      <c r="I133" s="41">
        <v>1</v>
      </c>
      <c r="J133" s="41" t="b">
        <v>0</v>
      </c>
      <c r="K133" s="41">
        <v>-1</v>
      </c>
      <c r="L133" s="41">
        <v>0</v>
      </c>
      <c r="M133" s="41">
        <v>0</v>
      </c>
      <c r="N133" s="41">
        <v>1</v>
      </c>
      <c r="O133" s="41">
        <v>0</v>
      </c>
      <c r="P133" s="222" t="s">
        <v>8064</v>
      </c>
      <c r="Q133" s="222" t="s">
        <v>7788</v>
      </c>
      <c r="R133" s="43" t="s">
        <v>7768</v>
      </c>
      <c r="S133" s="41" t="s">
        <v>8065</v>
      </c>
      <c r="T133" s="41" t="s">
        <v>8066</v>
      </c>
      <c r="U133" s="15">
        <v>0</v>
      </c>
      <c r="V133" s="225">
        <v>0</v>
      </c>
      <c r="W133" s="197">
        <v>0</v>
      </c>
      <c r="X133" s="197">
        <v>0</v>
      </c>
    </row>
    <row r="134" spans="1:24" ht="27" x14ac:dyDescent="0.15">
      <c r="A134" s="41">
        <v>909173</v>
      </c>
      <c r="B134" s="227" t="s">
        <v>8067</v>
      </c>
      <c r="C134" s="41" t="s">
        <v>107</v>
      </c>
      <c r="D134" s="41">
        <v>1001</v>
      </c>
      <c r="E134" s="41">
        <v>2</v>
      </c>
      <c r="F134" s="41">
        <v>0</v>
      </c>
      <c r="G134" s="41">
        <v>0</v>
      </c>
      <c r="H134" s="41">
        <v>0</v>
      </c>
      <c r="I134" s="41">
        <v>1</v>
      </c>
      <c r="J134" s="41" t="b">
        <v>0</v>
      </c>
      <c r="K134" s="41">
        <v>-1</v>
      </c>
      <c r="L134" s="41">
        <v>0</v>
      </c>
      <c r="M134" s="41">
        <v>0</v>
      </c>
      <c r="N134" s="41">
        <v>1</v>
      </c>
      <c r="O134" s="41">
        <v>0</v>
      </c>
      <c r="P134" s="41">
        <v>0</v>
      </c>
      <c r="Q134" s="222">
        <v>0</v>
      </c>
      <c r="R134" s="43" t="s">
        <v>7768</v>
      </c>
      <c r="S134" s="41" t="s">
        <v>8068</v>
      </c>
      <c r="T134" s="41" t="s">
        <v>3993</v>
      </c>
      <c r="U134" s="15">
        <v>0</v>
      </c>
      <c r="V134" s="225">
        <v>0</v>
      </c>
      <c r="W134" s="197">
        <v>0</v>
      </c>
      <c r="X134" s="197">
        <v>0</v>
      </c>
    </row>
    <row r="135" spans="1:24" ht="27" x14ac:dyDescent="0.15">
      <c r="A135" s="41">
        <v>909174</v>
      </c>
      <c r="B135" s="227" t="s">
        <v>8069</v>
      </c>
      <c r="C135" s="41" t="s">
        <v>107</v>
      </c>
      <c r="D135" s="41">
        <v>1001</v>
      </c>
      <c r="E135" s="41">
        <v>2</v>
      </c>
      <c r="F135" s="41">
        <v>0</v>
      </c>
      <c r="G135" s="41">
        <v>0</v>
      </c>
      <c r="H135" s="41">
        <v>0</v>
      </c>
      <c r="I135" s="41">
        <v>1</v>
      </c>
      <c r="J135" s="41" t="b">
        <v>0</v>
      </c>
      <c r="K135" s="41">
        <v>-1</v>
      </c>
      <c r="L135" s="41">
        <v>0</v>
      </c>
      <c r="M135" s="41">
        <v>0</v>
      </c>
      <c r="N135" s="41">
        <v>1</v>
      </c>
      <c r="O135" s="41">
        <v>0</v>
      </c>
      <c r="P135" s="222" t="s">
        <v>8070</v>
      </c>
      <c r="Q135" s="222" t="s">
        <v>7788</v>
      </c>
      <c r="R135" s="43" t="s">
        <v>7768</v>
      </c>
      <c r="S135" s="41" t="s">
        <v>8071</v>
      </c>
      <c r="T135" s="41" t="s">
        <v>3993</v>
      </c>
      <c r="U135" s="15">
        <v>0</v>
      </c>
      <c r="V135" s="225">
        <v>0</v>
      </c>
      <c r="W135" s="197">
        <v>0</v>
      </c>
      <c r="X135" s="197">
        <v>0</v>
      </c>
    </row>
    <row r="136" spans="1:24" ht="27" x14ac:dyDescent="0.15">
      <c r="A136" s="41">
        <v>909175</v>
      </c>
      <c r="B136" s="227" t="s">
        <v>8072</v>
      </c>
      <c r="C136" s="41" t="s">
        <v>107</v>
      </c>
      <c r="D136" s="41">
        <v>1001</v>
      </c>
      <c r="E136" s="41">
        <v>2</v>
      </c>
      <c r="F136" s="41">
        <v>0</v>
      </c>
      <c r="G136" s="41">
        <v>0</v>
      </c>
      <c r="H136" s="41">
        <v>0</v>
      </c>
      <c r="I136" s="41">
        <v>1</v>
      </c>
      <c r="J136" s="41" t="b">
        <v>0</v>
      </c>
      <c r="K136" s="41">
        <v>-1</v>
      </c>
      <c r="L136" s="41">
        <v>0</v>
      </c>
      <c r="M136" s="41">
        <v>0</v>
      </c>
      <c r="N136" s="41">
        <v>1</v>
      </c>
      <c r="O136" s="41">
        <v>0</v>
      </c>
      <c r="P136" s="41">
        <v>0</v>
      </c>
      <c r="Q136" s="222">
        <v>0</v>
      </c>
      <c r="R136" s="43" t="s">
        <v>7768</v>
      </c>
      <c r="S136" s="41" t="s">
        <v>8073</v>
      </c>
      <c r="T136" s="41" t="s">
        <v>4884</v>
      </c>
      <c r="U136" s="15">
        <v>0</v>
      </c>
      <c r="V136" s="225">
        <v>0</v>
      </c>
      <c r="W136" s="197">
        <v>0</v>
      </c>
      <c r="X136" s="197">
        <v>0</v>
      </c>
    </row>
    <row r="137" spans="1:24" ht="27" x14ac:dyDescent="0.15">
      <c r="A137" s="41">
        <v>909176</v>
      </c>
      <c r="B137" s="227" t="s">
        <v>8074</v>
      </c>
      <c r="C137" s="41" t="s">
        <v>107</v>
      </c>
      <c r="D137" s="41">
        <v>1001</v>
      </c>
      <c r="E137" s="41">
        <v>2</v>
      </c>
      <c r="F137" s="41">
        <v>0</v>
      </c>
      <c r="G137" s="41">
        <v>0</v>
      </c>
      <c r="H137" s="41">
        <v>0</v>
      </c>
      <c r="I137" s="41">
        <v>1</v>
      </c>
      <c r="J137" s="41" t="b">
        <v>0</v>
      </c>
      <c r="K137" s="41">
        <v>-1</v>
      </c>
      <c r="L137" s="41">
        <v>0</v>
      </c>
      <c r="M137" s="41">
        <v>0</v>
      </c>
      <c r="N137" s="41">
        <v>1</v>
      </c>
      <c r="O137" s="41">
        <v>0</v>
      </c>
      <c r="P137" s="41">
        <v>0</v>
      </c>
      <c r="Q137" s="222">
        <v>0</v>
      </c>
      <c r="R137" s="43" t="s">
        <v>7768</v>
      </c>
      <c r="S137" s="41" t="s">
        <v>8075</v>
      </c>
      <c r="T137" s="41" t="s">
        <v>5440</v>
      </c>
      <c r="U137" s="15">
        <v>0</v>
      </c>
      <c r="V137" s="225">
        <v>0</v>
      </c>
      <c r="W137" s="197">
        <v>0</v>
      </c>
      <c r="X137" s="197">
        <v>0</v>
      </c>
    </row>
    <row r="138" spans="1:24" ht="27" x14ac:dyDescent="0.15">
      <c r="A138" s="41">
        <v>909177</v>
      </c>
      <c r="B138" s="227" t="s">
        <v>8076</v>
      </c>
      <c r="C138" s="41" t="s">
        <v>107</v>
      </c>
      <c r="D138" s="41">
        <v>1001</v>
      </c>
      <c r="E138" s="41">
        <v>2</v>
      </c>
      <c r="F138" s="41">
        <v>0</v>
      </c>
      <c r="G138" s="41">
        <v>0</v>
      </c>
      <c r="H138" s="41">
        <v>0</v>
      </c>
      <c r="I138" s="41">
        <v>1</v>
      </c>
      <c r="J138" s="41" t="b">
        <v>0</v>
      </c>
      <c r="K138" s="41">
        <v>-1</v>
      </c>
      <c r="L138" s="41">
        <v>0</v>
      </c>
      <c r="M138" s="41">
        <v>0</v>
      </c>
      <c r="N138" s="41">
        <v>1</v>
      </c>
      <c r="O138" s="41">
        <v>0</v>
      </c>
      <c r="P138" s="41">
        <v>0</v>
      </c>
      <c r="Q138" s="222">
        <v>0</v>
      </c>
      <c r="R138" s="43" t="s">
        <v>7768</v>
      </c>
      <c r="S138" s="41" t="s">
        <v>8077</v>
      </c>
      <c r="T138" s="41" t="s">
        <v>5440</v>
      </c>
      <c r="U138" s="15">
        <v>0</v>
      </c>
      <c r="V138" s="225">
        <v>0</v>
      </c>
      <c r="W138" s="197">
        <v>0</v>
      </c>
      <c r="X138" s="197">
        <v>0</v>
      </c>
    </row>
    <row r="139" spans="1:24" ht="27" x14ac:dyDescent="0.15">
      <c r="A139" s="41">
        <v>909178</v>
      </c>
      <c r="B139" s="227" t="s">
        <v>8076</v>
      </c>
      <c r="C139" s="41" t="s">
        <v>107</v>
      </c>
      <c r="D139" s="41">
        <v>1001</v>
      </c>
      <c r="E139" s="41">
        <v>2</v>
      </c>
      <c r="F139" s="41">
        <v>0</v>
      </c>
      <c r="G139" s="41">
        <v>0</v>
      </c>
      <c r="H139" s="41">
        <v>0</v>
      </c>
      <c r="I139" s="41">
        <v>1</v>
      </c>
      <c r="J139" s="41" t="b">
        <v>0</v>
      </c>
      <c r="K139" s="41">
        <v>-1</v>
      </c>
      <c r="L139" s="41">
        <v>0</v>
      </c>
      <c r="M139" s="41">
        <v>0</v>
      </c>
      <c r="N139" s="41">
        <v>1</v>
      </c>
      <c r="O139" s="41">
        <v>0</v>
      </c>
      <c r="P139" s="41">
        <v>0</v>
      </c>
      <c r="Q139" s="222">
        <v>0</v>
      </c>
      <c r="R139" s="43" t="s">
        <v>7768</v>
      </c>
      <c r="S139" s="41" t="s">
        <v>8078</v>
      </c>
      <c r="T139" s="41" t="s">
        <v>5440</v>
      </c>
      <c r="U139" s="15">
        <v>0</v>
      </c>
      <c r="V139" s="225">
        <v>0</v>
      </c>
      <c r="W139" s="197">
        <v>0</v>
      </c>
      <c r="X139" s="197">
        <v>0</v>
      </c>
    </row>
    <row r="140" spans="1:24" ht="27" x14ac:dyDescent="0.15">
      <c r="A140" s="41">
        <v>909179</v>
      </c>
      <c r="B140" s="227" t="s">
        <v>8079</v>
      </c>
      <c r="C140" s="41" t="s">
        <v>107</v>
      </c>
      <c r="D140" s="41">
        <v>1001</v>
      </c>
      <c r="E140" s="41">
        <v>2</v>
      </c>
      <c r="F140" s="41">
        <v>0</v>
      </c>
      <c r="G140" s="41">
        <v>0</v>
      </c>
      <c r="H140" s="41">
        <v>0</v>
      </c>
      <c r="I140" s="41">
        <v>1</v>
      </c>
      <c r="J140" s="41" t="b">
        <v>0</v>
      </c>
      <c r="K140" s="41">
        <v>-1</v>
      </c>
      <c r="L140" s="41">
        <v>0</v>
      </c>
      <c r="M140" s="41">
        <v>0</v>
      </c>
      <c r="N140" s="41">
        <v>1</v>
      </c>
      <c r="O140" s="41">
        <v>0</v>
      </c>
      <c r="P140" s="222" t="s">
        <v>8080</v>
      </c>
      <c r="Q140" s="222" t="s">
        <v>7788</v>
      </c>
      <c r="R140" s="43" t="s">
        <v>7768</v>
      </c>
      <c r="S140" s="41" t="s">
        <v>7998</v>
      </c>
      <c r="T140" s="41" t="s">
        <v>7840</v>
      </c>
      <c r="U140" s="15">
        <v>0</v>
      </c>
      <c r="V140" s="225">
        <v>0</v>
      </c>
      <c r="W140" s="197">
        <v>0</v>
      </c>
      <c r="X140" s="197">
        <v>0</v>
      </c>
    </row>
    <row r="141" spans="1:24" ht="27" x14ac:dyDescent="0.15">
      <c r="A141" s="41">
        <v>909180</v>
      </c>
      <c r="B141" s="227" t="s">
        <v>8081</v>
      </c>
      <c r="C141" s="41" t="s">
        <v>107</v>
      </c>
      <c r="D141" s="41">
        <v>1001</v>
      </c>
      <c r="E141" s="41">
        <v>2</v>
      </c>
      <c r="F141" s="41">
        <v>0</v>
      </c>
      <c r="G141" s="41">
        <v>0</v>
      </c>
      <c r="H141" s="41">
        <v>0</v>
      </c>
      <c r="I141" s="41">
        <v>1</v>
      </c>
      <c r="J141" s="41" t="b">
        <v>0</v>
      </c>
      <c r="K141" s="41">
        <v>-1</v>
      </c>
      <c r="L141" s="41">
        <v>0</v>
      </c>
      <c r="M141" s="41">
        <v>0</v>
      </c>
      <c r="N141" s="41">
        <v>1</v>
      </c>
      <c r="O141" s="41">
        <v>0</v>
      </c>
      <c r="P141" s="41">
        <v>0</v>
      </c>
      <c r="Q141" s="222">
        <v>0</v>
      </c>
      <c r="R141" s="43" t="s">
        <v>7768</v>
      </c>
      <c r="S141" s="41" t="s">
        <v>8082</v>
      </c>
      <c r="T141" s="41" t="s">
        <v>7840</v>
      </c>
      <c r="U141" s="15">
        <v>0</v>
      </c>
      <c r="V141" s="225">
        <v>0</v>
      </c>
      <c r="W141" s="197">
        <v>0</v>
      </c>
      <c r="X141" s="197">
        <v>0</v>
      </c>
    </row>
    <row r="142" spans="1:24" ht="27" x14ac:dyDescent="0.15">
      <c r="A142" s="41">
        <v>909181</v>
      </c>
      <c r="B142" s="227" t="s">
        <v>8083</v>
      </c>
      <c r="C142" s="41" t="s">
        <v>107</v>
      </c>
      <c r="D142" s="41">
        <v>1001</v>
      </c>
      <c r="E142" s="41">
        <v>2</v>
      </c>
      <c r="F142" s="41">
        <v>0</v>
      </c>
      <c r="G142" s="41">
        <v>0</v>
      </c>
      <c r="H142" s="41">
        <v>0</v>
      </c>
      <c r="I142" s="41">
        <v>1</v>
      </c>
      <c r="J142" s="41" t="b">
        <v>0</v>
      </c>
      <c r="K142" s="41">
        <v>-1</v>
      </c>
      <c r="L142" s="41">
        <v>0</v>
      </c>
      <c r="M142" s="41">
        <v>0</v>
      </c>
      <c r="N142" s="41">
        <v>1</v>
      </c>
      <c r="O142" s="41">
        <v>0</v>
      </c>
      <c r="P142" s="41">
        <v>0</v>
      </c>
      <c r="Q142" s="222">
        <v>0</v>
      </c>
      <c r="R142" s="43" t="s">
        <v>7768</v>
      </c>
      <c r="S142" s="41" t="s">
        <v>8082</v>
      </c>
      <c r="T142" s="41" t="s">
        <v>7840</v>
      </c>
      <c r="U142" s="15">
        <v>0</v>
      </c>
      <c r="V142" s="225">
        <v>0</v>
      </c>
      <c r="W142" s="197">
        <v>0</v>
      </c>
      <c r="X142" s="197">
        <v>0</v>
      </c>
    </row>
    <row r="143" spans="1:24" ht="27" x14ac:dyDescent="0.15">
      <c r="A143" s="41">
        <v>909182</v>
      </c>
      <c r="B143" s="227" t="s">
        <v>8084</v>
      </c>
      <c r="C143" s="41" t="s">
        <v>107</v>
      </c>
      <c r="D143" s="41">
        <v>1001</v>
      </c>
      <c r="E143" s="41">
        <v>2</v>
      </c>
      <c r="F143" s="41">
        <v>0</v>
      </c>
      <c r="G143" s="41">
        <v>0</v>
      </c>
      <c r="H143" s="41">
        <v>0</v>
      </c>
      <c r="I143" s="41">
        <v>1</v>
      </c>
      <c r="J143" s="41" t="b">
        <v>0</v>
      </c>
      <c r="K143" s="41">
        <v>-1</v>
      </c>
      <c r="L143" s="41">
        <v>0</v>
      </c>
      <c r="M143" s="41">
        <v>0</v>
      </c>
      <c r="N143" s="41">
        <v>1</v>
      </c>
      <c r="O143" s="41">
        <v>0</v>
      </c>
      <c r="P143" s="41">
        <v>0</v>
      </c>
      <c r="Q143" s="222">
        <v>0</v>
      </c>
      <c r="R143" s="43" t="s">
        <v>7768</v>
      </c>
      <c r="S143" s="41" t="s">
        <v>8082</v>
      </c>
      <c r="T143" s="41" t="s">
        <v>7840</v>
      </c>
      <c r="U143" s="15">
        <v>0</v>
      </c>
      <c r="V143" s="225">
        <v>0</v>
      </c>
      <c r="W143" s="197">
        <v>0</v>
      </c>
      <c r="X143" s="197">
        <v>0</v>
      </c>
    </row>
    <row r="144" spans="1:24" ht="27" x14ac:dyDescent="0.15">
      <c r="A144" s="41">
        <v>909183</v>
      </c>
      <c r="B144" s="227" t="s">
        <v>8085</v>
      </c>
      <c r="C144" s="41" t="s">
        <v>107</v>
      </c>
      <c r="D144" s="41">
        <v>1001</v>
      </c>
      <c r="E144" s="41">
        <v>2</v>
      </c>
      <c r="F144" s="41">
        <v>0</v>
      </c>
      <c r="G144" s="41">
        <v>0</v>
      </c>
      <c r="H144" s="41">
        <v>0</v>
      </c>
      <c r="I144" s="41">
        <v>1</v>
      </c>
      <c r="J144" s="41" t="b">
        <v>0</v>
      </c>
      <c r="K144" s="41">
        <v>-1</v>
      </c>
      <c r="L144" s="41">
        <v>0</v>
      </c>
      <c r="M144" s="41">
        <v>0</v>
      </c>
      <c r="N144" s="41">
        <v>1</v>
      </c>
      <c r="O144" s="41">
        <v>0</v>
      </c>
      <c r="P144" s="41">
        <v>0</v>
      </c>
      <c r="Q144" s="222">
        <v>0</v>
      </c>
      <c r="R144" s="43" t="s">
        <v>7768</v>
      </c>
      <c r="S144" s="41" t="s">
        <v>8086</v>
      </c>
      <c r="T144" s="41" t="s">
        <v>3993</v>
      </c>
      <c r="U144" s="15">
        <v>0</v>
      </c>
      <c r="V144" s="225">
        <v>0</v>
      </c>
      <c r="W144" s="197">
        <v>0</v>
      </c>
      <c r="X144" s="197">
        <v>0</v>
      </c>
    </row>
    <row r="145" spans="1:24" ht="27" x14ac:dyDescent="0.15">
      <c r="A145" s="41">
        <v>909184</v>
      </c>
      <c r="B145" s="227" t="s">
        <v>8087</v>
      </c>
      <c r="C145" s="41" t="s">
        <v>107</v>
      </c>
      <c r="D145" s="41">
        <v>1001</v>
      </c>
      <c r="E145" s="41">
        <v>2</v>
      </c>
      <c r="F145" s="41">
        <v>0</v>
      </c>
      <c r="G145" s="41">
        <v>0</v>
      </c>
      <c r="H145" s="41">
        <v>0</v>
      </c>
      <c r="I145" s="41">
        <v>1</v>
      </c>
      <c r="J145" s="41" t="b">
        <v>0</v>
      </c>
      <c r="K145" s="41">
        <v>-1</v>
      </c>
      <c r="L145" s="41">
        <v>0</v>
      </c>
      <c r="M145" s="41">
        <v>0</v>
      </c>
      <c r="N145" s="41">
        <v>1</v>
      </c>
      <c r="O145" s="41">
        <v>0</v>
      </c>
      <c r="P145" s="41">
        <v>0</v>
      </c>
      <c r="Q145" s="222">
        <v>0</v>
      </c>
      <c r="R145" s="43" t="s">
        <v>7768</v>
      </c>
      <c r="S145" s="41" t="s">
        <v>8088</v>
      </c>
      <c r="T145" s="41" t="s">
        <v>7868</v>
      </c>
      <c r="U145" s="15">
        <v>0</v>
      </c>
      <c r="V145" s="225">
        <v>0</v>
      </c>
      <c r="W145" s="197">
        <v>0</v>
      </c>
      <c r="X145" s="197">
        <v>0</v>
      </c>
    </row>
    <row r="146" spans="1:24" ht="27" x14ac:dyDescent="0.15">
      <c r="A146" s="41">
        <v>909185</v>
      </c>
      <c r="B146" s="227" t="s">
        <v>8089</v>
      </c>
      <c r="C146" s="41" t="s">
        <v>107</v>
      </c>
      <c r="D146" s="41">
        <v>1001</v>
      </c>
      <c r="E146" s="41">
        <v>2</v>
      </c>
      <c r="F146" s="41">
        <v>0</v>
      </c>
      <c r="G146" s="41">
        <v>0</v>
      </c>
      <c r="H146" s="41">
        <v>0</v>
      </c>
      <c r="I146" s="41">
        <v>1</v>
      </c>
      <c r="J146" s="41" t="b">
        <v>0</v>
      </c>
      <c r="K146" s="41">
        <v>-1</v>
      </c>
      <c r="L146" s="41">
        <v>0</v>
      </c>
      <c r="M146" s="41">
        <v>0</v>
      </c>
      <c r="N146" s="41">
        <v>1</v>
      </c>
      <c r="O146" s="41">
        <v>0</v>
      </c>
      <c r="P146" s="41">
        <v>0</v>
      </c>
      <c r="Q146" s="222">
        <v>0</v>
      </c>
      <c r="R146" s="43" t="s">
        <v>7768</v>
      </c>
      <c r="S146" s="41" t="s">
        <v>8090</v>
      </c>
      <c r="T146" s="41" t="s">
        <v>7802</v>
      </c>
      <c r="U146" s="15">
        <v>0</v>
      </c>
      <c r="V146" s="225">
        <v>0</v>
      </c>
      <c r="W146" s="197">
        <v>0</v>
      </c>
      <c r="X146" s="197">
        <v>0</v>
      </c>
    </row>
    <row r="147" spans="1:24" ht="27" x14ac:dyDescent="0.15">
      <c r="A147" s="41">
        <v>909186</v>
      </c>
      <c r="B147" s="227" t="s">
        <v>8091</v>
      </c>
      <c r="C147" s="41" t="s">
        <v>107</v>
      </c>
      <c r="D147" s="41">
        <v>1001</v>
      </c>
      <c r="E147" s="41">
        <v>2</v>
      </c>
      <c r="F147" s="41">
        <v>0</v>
      </c>
      <c r="G147" s="41">
        <v>0</v>
      </c>
      <c r="H147" s="41">
        <v>0</v>
      </c>
      <c r="I147" s="41">
        <v>1</v>
      </c>
      <c r="J147" s="41" t="b">
        <v>0</v>
      </c>
      <c r="K147" s="41">
        <v>-1</v>
      </c>
      <c r="L147" s="41">
        <v>0</v>
      </c>
      <c r="M147" s="41">
        <v>0</v>
      </c>
      <c r="N147" s="41">
        <v>1</v>
      </c>
      <c r="O147" s="41">
        <v>0</v>
      </c>
      <c r="P147" s="74" t="s">
        <v>7832</v>
      </c>
      <c r="Q147" s="222" t="s">
        <v>7477</v>
      </c>
      <c r="R147" s="43"/>
      <c r="S147" s="228" t="s">
        <v>8092</v>
      </c>
      <c r="T147" s="41" t="s">
        <v>7840</v>
      </c>
      <c r="U147" s="15">
        <v>0</v>
      </c>
      <c r="V147" s="15">
        <v>16000</v>
      </c>
      <c r="W147" s="197">
        <v>0</v>
      </c>
      <c r="X147" s="197">
        <v>0</v>
      </c>
    </row>
    <row r="148" spans="1:24" ht="27" x14ac:dyDescent="0.15">
      <c r="A148" s="41">
        <v>909187</v>
      </c>
      <c r="B148" s="227" t="s">
        <v>8093</v>
      </c>
      <c r="C148" s="41" t="s">
        <v>107</v>
      </c>
      <c r="D148" s="41">
        <v>1001</v>
      </c>
      <c r="E148" s="41">
        <v>2</v>
      </c>
      <c r="F148" s="41">
        <v>0</v>
      </c>
      <c r="G148" s="41">
        <v>0</v>
      </c>
      <c r="H148" s="41">
        <v>0</v>
      </c>
      <c r="I148" s="41">
        <v>1</v>
      </c>
      <c r="J148" s="41" t="b">
        <v>0</v>
      </c>
      <c r="K148" s="41">
        <v>-1</v>
      </c>
      <c r="L148" s="41">
        <v>0</v>
      </c>
      <c r="M148" s="41">
        <v>0</v>
      </c>
      <c r="N148" s="41">
        <v>1</v>
      </c>
      <c r="O148" s="41">
        <v>0</v>
      </c>
      <c r="P148" s="222" t="s">
        <v>8094</v>
      </c>
      <c r="Q148" s="222" t="s">
        <v>7788</v>
      </c>
      <c r="R148" s="43" t="s">
        <v>7768</v>
      </c>
      <c r="S148" s="41" t="s">
        <v>8095</v>
      </c>
      <c r="T148" s="41" t="s">
        <v>7840</v>
      </c>
      <c r="U148" s="15">
        <v>0</v>
      </c>
      <c r="V148" s="225">
        <v>0</v>
      </c>
      <c r="W148" s="197">
        <v>0</v>
      </c>
      <c r="X148" s="197">
        <v>0</v>
      </c>
    </row>
    <row r="149" spans="1:24" ht="27" x14ac:dyDescent="0.15">
      <c r="A149" s="41">
        <v>909188</v>
      </c>
      <c r="B149" s="227" t="s">
        <v>8096</v>
      </c>
      <c r="C149" s="41" t="s">
        <v>107</v>
      </c>
      <c r="D149" s="41">
        <v>1001</v>
      </c>
      <c r="E149" s="41">
        <v>2</v>
      </c>
      <c r="F149" s="41">
        <v>0</v>
      </c>
      <c r="G149" s="41">
        <v>0</v>
      </c>
      <c r="H149" s="41">
        <v>0</v>
      </c>
      <c r="I149" s="41">
        <v>1</v>
      </c>
      <c r="J149" s="41" t="b">
        <v>0</v>
      </c>
      <c r="K149" s="41">
        <v>-1</v>
      </c>
      <c r="L149" s="41">
        <v>0</v>
      </c>
      <c r="M149" s="41">
        <v>0</v>
      </c>
      <c r="N149" s="41">
        <v>1</v>
      </c>
      <c r="O149" s="41">
        <v>0</v>
      </c>
      <c r="P149" s="222" t="s">
        <v>8097</v>
      </c>
      <c r="Q149" s="222" t="s">
        <v>7788</v>
      </c>
      <c r="R149" s="43" t="s">
        <v>7768</v>
      </c>
      <c r="S149" s="41" t="s">
        <v>8098</v>
      </c>
      <c r="T149" s="41" t="s">
        <v>7840</v>
      </c>
      <c r="U149" s="15">
        <v>0</v>
      </c>
      <c r="V149" s="225">
        <v>0</v>
      </c>
      <c r="W149" s="197">
        <v>0</v>
      </c>
      <c r="X149" s="197">
        <v>0</v>
      </c>
    </row>
    <row r="150" spans="1:24" customFormat="1" ht="27" x14ac:dyDescent="0.15">
      <c r="A150" s="41">
        <v>909189</v>
      </c>
      <c r="B150" s="227" t="s">
        <v>349</v>
      </c>
      <c r="C150" s="41" t="s">
        <v>107</v>
      </c>
      <c r="D150" s="41">
        <v>1001</v>
      </c>
      <c r="E150" s="41">
        <v>2</v>
      </c>
      <c r="F150" s="41">
        <v>0</v>
      </c>
      <c r="G150" s="41">
        <v>0</v>
      </c>
      <c r="H150" s="41">
        <v>0</v>
      </c>
      <c r="I150" s="41">
        <v>1</v>
      </c>
      <c r="J150" s="41" t="b">
        <v>0</v>
      </c>
      <c r="K150" s="41">
        <v>-1</v>
      </c>
      <c r="L150" s="41">
        <v>0</v>
      </c>
      <c r="M150" s="41">
        <v>0</v>
      </c>
      <c r="N150" s="41">
        <v>1</v>
      </c>
      <c r="O150" s="41">
        <v>0</v>
      </c>
      <c r="P150" s="222">
        <v>0</v>
      </c>
      <c r="Q150" s="222">
        <v>0</v>
      </c>
      <c r="R150" s="43" t="s">
        <v>7768</v>
      </c>
      <c r="S150" s="41" t="s">
        <v>351</v>
      </c>
      <c r="T150" s="41" t="s">
        <v>164</v>
      </c>
      <c r="U150" s="15">
        <v>0</v>
      </c>
      <c r="V150" s="225">
        <v>0</v>
      </c>
      <c r="W150" s="197">
        <v>0</v>
      </c>
      <c r="X150" s="197">
        <v>0</v>
      </c>
    </row>
    <row r="151" spans="1:24" ht="27" x14ac:dyDescent="0.15">
      <c r="A151" s="41">
        <v>909190</v>
      </c>
      <c r="B151" s="227" t="s">
        <v>8099</v>
      </c>
      <c r="C151" s="41" t="s">
        <v>107</v>
      </c>
      <c r="D151" s="41">
        <v>1001</v>
      </c>
      <c r="E151" s="41">
        <v>2</v>
      </c>
      <c r="F151" s="41">
        <v>0</v>
      </c>
      <c r="G151" s="41">
        <v>0</v>
      </c>
      <c r="H151" s="41">
        <v>0</v>
      </c>
      <c r="I151" s="41">
        <v>1</v>
      </c>
      <c r="J151" s="41" t="b">
        <v>0</v>
      </c>
      <c r="K151" s="41">
        <v>-1</v>
      </c>
      <c r="L151" s="41">
        <v>0</v>
      </c>
      <c r="M151" s="41">
        <v>0</v>
      </c>
      <c r="N151" s="41">
        <v>1</v>
      </c>
      <c r="O151" s="41">
        <v>0</v>
      </c>
      <c r="P151" s="222">
        <v>0</v>
      </c>
      <c r="Q151" s="222">
        <v>0</v>
      </c>
      <c r="R151" s="43" t="s">
        <v>7768</v>
      </c>
      <c r="S151" s="41" t="s">
        <v>8100</v>
      </c>
      <c r="T151" s="41" t="s">
        <v>8101</v>
      </c>
      <c r="U151" s="15">
        <v>0</v>
      </c>
      <c r="V151" s="225">
        <v>0</v>
      </c>
      <c r="W151" s="197">
        <v>0</v>
      </c>
      <c r="X151" s="197">
        <v>0</v>
      </c>
    </row>
    <row r="152" spans="1:24" ht="27" x14ac:dyDescent="0.15">
      <c r="A152" s="41">
        <v>909191</v>
      </c>
      <c r="B152" s="227" t="s">
        <v>8102</v>
      </c>
      <c r="C152" s="41" t="s">
        <v>107</v>
      </c>
      <c r="D152" s="41">
        <v>1001</v>
      </c>
      <c r="E152" s="41">
        <v>2</v>
      </c>
      <c r="F152" s="41">
        <v>0</v>
      </c>
      <c r="G152" s="41">
        <v>0</v>
      </c>
      <c r="H152" s="41">
        <v>0</v>
      </c>
      <c r="I152" s="41">
        <v>1</v>
      </c>
      <c r="J152" s="41" t="b">
        <v>0</v>
      </c>
      <c r="K152" s="41">
        <v>-1</v>
      </c>
      <c r="L152" s="41">
        <v>0</v>
      </c>
      <c r="M152" s="41">
        <v>0</v>
      </c>
      <c r="N152" s="41">
        <v>1</v>
      </c>
      <c r="O152" s="41">
        <v>0</v>
      </c>
      <c r="P152" s="222" t="s">
        <v>8103</v>
      </c>
      <c r="Q152" s="222" t="s">
        <v>7788</v>
      </c>
      <c r="R152" s="43" t="s">
        <v>7768</v>
      </c>
      <c r="S152" s="41" t="s">
        <v>8104</v>
      </c>
      <c r="T152" s="41" t="s">
        <v>7840</v>
      </c>
      <c r="U152" s="15">
        <v>0</v>
      </c>
      <c r="V152" s="225">
        <v>0</v>
      </c>
      <c r="W152" s="197">
        <v>0</v>
      </c>
      <c r="X152" s="197">
        <v>0</v>
      </c>
    </row>
    <row r="153" spans="1:24" customFormat="1" ht="27" x14ac:dyDescent="0.15">
      <c r="A153" s="41">
        <v>909192</v>
      </c>
      <c r="B153" s="229" t="s">
        <v>8105</v>
      </c>
      <c r="C153" s="41" t="s">
        <v>107</v>
      </c>
      <c r="D153" s="41">
        <v>1001</v>
      </c>
      <c r="E153" s="41">
        <v>2</v>
      </c>
      <c r="F153" s="41">
        <v>0</v>
      </c>
      <c r="G153" s="41">
        <v>0</v>
      </c>
      <c r="H153" s="41">
        <v>0</v>
      </c>
      <c r="I153" s="41">
        <v>1</v>
      </c>
      <c r="J153" s="41" t="b">
        <v>0</v>
      </c>
      <c r="K153" s="41">
        <v>-1</v>
      </c>
      <c r="L153" s="41">
        <v>0</v>
      </c>
      <c r="M153" s="41">
        <v>0</v>
      </c>
      <c r="N153" s="41">
        <v>1</v>
      </c>
      <c r="O153" s="41">
        <v>0</v>
      </c>
      <c r="P153" s="222">
        <v>0</v>
      </c>
      <c r="Q153" s="222">
        <v>0</v>
      </c>
      <c r="R153" s="43" t="s">
        <v>7768</v>
      </c>
      <c r="S153" s="41" t="s">
        <v>8106</v>
      </c>
      <c r="T153" s="41" t="s">
        <v>1773</v>
      </c>
      <c r="U153" s="15">
        <v>0</v>
      </c>
      <c r="V153" s="225">
        <v>0</v>
      </c>
      <c r="W153" s="197">
        <v>0</v>
      </c>
      <c r="X153" s="197">
        <v>0</v>
      </c>
    </row>
    <row r="154" spans="1:24" customFormat="1" ht="27" x14ac:dyDescent="0.15">
      <c r="A154" s="41">
        <v>909193</v>
      </c>
      <c r="B154" s="229" t="s">
        <v>8107</v>
      </c>
      <c r="C154" s="41" t="s">
        <v>107</v>
      </c>
      <c r="D154" s="41">
        <v>1001</v>
      </c>
      <c r="E154" s="41">
        <v>2</v>
      </c>
      <c r="F154" s="41">
        <v>0</v>
      </c>
      <c r="G154" s="41">
        <v>0</v>
      </c>
      <c r="H154" s="41">
        <v>0</v>
      </c>
      <c r="I154" s="41">
        <v>1</v>
      </c>
      <c r="J154" s="41" t="b">
        <v>0</v>
      </c>
      <c r="K154" s="41">
        <v>-1</v>
      </c>
      <c r="L154" s="41">
        <v>0</v>
      </c>
      <c r="M154" s="41">
        <v>0</v>
      </c>
      <c r="N154" s="41">
        <v>1</v>
      </c>
      <c r="O154" s="41">
        <v>0</v>
      </c>
      <c r="P154" s="222">
        <v>0</v>
      </c>
      <c r="Q154" s="222">
        <v>0</v>
      </c>
      <c r="R154" s="43" t="s">
        <v>7768</v>
      </c>
      <c r="S154" s="41" t="s">
        <v>8108</v>
      </c>
      <c r="T154" s="41" t="s">
        <v>3409</v>
      </c>
      <c r="U154" s="15">
        <v>0</v>
      </c>
      <c r="V154" s="225">
        <v>0</v>
      </c>
      <c r="W154" s="197">
        <v>0</v>
      </c>
      <c r="X154" s="197">
        <v>0</v>
      </c>
    </row>
    <row r="155" spans="1:24" customFormat="1" ht="27" x14ac:dyDescent="0.15">
      <c r="A155" s="41">
        <v>909194</v>
      </c>
      <c r="B155" s="229" t="s">
        <v>8109</v>
      </c>
      <c r="C155" s="41" t="s">
        <v>107</v>
      </c>
      <c r="D155" s="41">
        <v>1001</v>
      </c>
      <c r="E155" s="41">
        <v>2</v>
      </c>
      <c r="F155" s="41">
        <v>0</v>
      </c>
      <c r="G155" s="41">
        <v>0</v>
      </c>
      <c r="H155" s="41">
        <v>0</v>
      </c>
      <c r="I155" s="41">
        <v>1</v>
      </c>
      <c r="J155" s="41" t="b">
        <v>0</v>
      </c>
      <c r="K155" s="41">
        <v>-1</v>
      </c>
      <c r="L155" s="41">
        <v>0</v>
      </c>
      <c r="M155" s="41">
        <v>0</v>
      </c>
      <c r="N155" s="41">
        <v>1</v>
      </c>
      <c r="O155" s="41">
        <v>0</v>
      </c>
      <c r="P155" s="222">
        <v>0</v>
      </c>
      <c r="Q155" s="222">
        <v>0</v>
      </c>
      <c r="R155" s="43" t="s">
        <v>7768</v>
      </c>
      <c r="S155" s="41" t="s">
        <v>8110</v>
      </c>
      <c r="T155" s="41" t="s">
        <v>8111</v>
      </c>
      <c r="U155" s="15">
        <v>0</v>
      </c>
      <c r="V155" s="225">
        <v>0</v>
      </c>
      <c r="W155" s="197">
        <v>0</v>
      </c>
      <c r="X155" s="197">
        <v>0</v>
      </c>
    </row>
    <row r="156" spans="1:24" customFormat="1" ht="27" x14ac:dyDescent="0.15">
      <c r="A156" s="41">
        <v>909195</v>
      </c>
      <c r="B156" s="229" t="s">
        <v>8112</v>
      </c>
      <c r="C156" s="41" t="s">
        <v>107</v>
      </c>
      <c r="D156" s="41">
        <v>1001</v>
      </c>
      <c r="E156" s="41">
        <v>2</v>
      </c>
      <c r="F156" s="41">
        <v>0</v>
      </c>
      <c r="G156" s="41">
        <v>0</v>
      </c>
      <c r="H156" s="41">
        <v>0</v>
      </c>
      <c r="I156" s="41">
        <v>1</v>
      </c>
      <c r="J156" s="41" t="b">
        <v>0</v>
      </c>
      <c r="K156" s="41">
        <v>-1</v>
      </c>
      <c r="L156" s="41">
        <v>0</v>
      </c>
      <c r="M156" s="41">
        <v>0</v>
      </c>
      <c r="N156" s="41">
        <v>1</v>
      </c>
      <c r="O156" s="41">
        <v>0</v>
      </c>
      <c r="P156" s="222">
        <v>0</v>
      </c>
      <c r="Q156" s="222">
        <v>0</v>
      </c>
      <c r="R156" s="43" t="s">
        <v>7768</v>
      </c>
      <c r="S156" s="41" t="s">
        <v>8113</v>
      </c>
      <c r="T156" s="41" t="s">
        <v>7536</v>
      </c>
      <c r="U156" s="15">
        <v>0</v>
      </c>
      <c r="V156" s="225">
        <v>0</v>
      </c>
      <c r="W156" s="197">
        <v>0</v>
      </c>
      <c r="X156" s="197">
        <v>0</v>
      </c>
    </row>
    <row r="157" spans="1:24" customFormat="1" ht="27" x14ac:dyDescent="0.15">
      <c r="A157" s="41">
        <v>909196</v>
      </c>
      <c r="B157" s="229" t="s">
        <v>8114</v>
      </c>
      <c r="C157" s="41" t="s">
        <v>107</v>
      </c>
      <c r="D157" s="41">
        <v>1001</v>
      </c>
      <c r="E157" s="41">
        <v>2</v>
      </c>
      <c r="F157" s="41">
        <v>0</v>
      </c>
      <c r="G157" s="41">
        <v>0</v>
      </c>
      <c r="H157" s="41">
        <v>0</v>
      </c>
      <c r="I157" s="41">
        <v>1</v>
      </c>
      <c r="J157" s="41" t="b">
        <v>0</v>
      </c>
      <c r="K157" s="41">
        <v>-1</v>
      </c>
      <c r="L157" s="41">
        <v>0</v>
      </c>
      <c r="M157" s="41">
        <v>0</v>
      </c>
      <c r="N157" s="41">
        <v>1</v>
      </c>
      <c r="O157" s="41">
        <v>0</v>
      </c>
      <c r="P157" s="222">
        <v>0</v>
      </c>
      <c r="Q157" s="222">
        <v>0</v>
      </c>
      <c r="R157" s="43" t="s">
        <v>7768</v>
      </c>
      <c r="S157" s="41" t="s">
        <v>8115</v>
      </c>
      <c r="T157" s="41" t="s">
        <v>8111</v>
      </c>
      <c r="U157" s="15">
        <v>0</v>
      </c>
      <c r="V157" s="225">
        <v>0</v>
      </c>
      <c r="W157" s="197">
        <v>0</v>
      </c>
      <c r="X157" s="197">
        <v>0</v>
      </c>
    </row>
    <row r="158" spans="1:24" customFormat="1" ht="27" x14ac:dyDescent="0.15">
      <c r="A158" s="41">
        <v>909197</v>
      </c>
      <c r="B158" s="229" t="s">
        <v>8116</v>
      </c>
      <c r="C158" s="41" t="s">
        <v>107</v>
      </c>
      <c r="D158" s="41">
        <v>1001</v>
      </c>
      <c r="E158" s="41">
        <v>2</v>
      </c>
      <c r="F158" s="41">
        <v>0</v>
      </c>
      <c r="G158" s="41">
        <v>0</v>
      </c>
      <c r="H158" s="41">
        <v>0</v>
      </c>
      <c r="I158" s="41">
        <v>1</v>
      </c>
      <c r="J158" s="41" t="b">
        <v>0</v>
      </c>
      <c r="K158" s="41">
        <v>-1</v>
      </c>
      <c r="L158" s="41">
        <v>0</v>
      </c>
      <c r="M158" s="41">
        <v>0</v>
      </c>
      <c r="N158" s="41">
        <v>1</v>
      </c>
      <c r="O158" s="41">
        <v>0</v>
      </c>
      <c r="P158" s="222">
        <v>0</v>
      </c>
      <c r="Q158" s="222">
        <v>0</v>
      </c>
      <c r="R158" s="43" t="s">
        <v>7768</v>
      </c>
      <c r="S158" s="41" t="s">
        <v>8117</v>
      </c>
      <c r="T158" s="41" t="s">
        <v>3387</v>
      </c>
      <c r="U158" s="15">
        <v>0</v>
      </c>
      <c r="V158" s="225">
        <v>0</v>
      </c>
      <c r="W158" s="197">
        <v>0</v>
      </c>
      <c r="X158" s="197">
        <v>0</v>
      </c>
    </row>
    <row r="159" spans="1:24" customFormat="1" ht="27" x14ac:dyDescent="0.15">
      <c r="A159" s="41">
        <v>909198</v>
      </c>
      <c r="B159" s="229" t="s">
        <v>8118</v>
      </c>
      <c r="C159" s="41" t="s">
        <v>107</v>
      </c>
      <c r="D159" s="41">
        <v>1001</v>
      </c>
      <c r="E159" s="41">
        <v>2</v>
      </c>
      <c r="F159" s="41">
        <v>0</v>
      </c>
      <c r="G159" s="41">
        <v>0</v>
      </c>
      <c r="H159" s="41">
        <v>0</v>
      </c>
      <c r="I159" s="41">
        <v>1</v>
      </c>
      <c r="J159" s="41" t="b">
        <v>0</v>
      </c>
      <c r="K159" s="41">
        <v>-1</v>
      </c>
      <c r="L159" s="41">
        <v>0</v>
      </c>
      <c r="M159" s="41">
        <v>0</v>
      </c>
      <c r="N159" s="41">
        <v>1</v>
      </c>
      <c r="O159" s="41">
        <v>0</v>
      </c>
      <c r="P159" s="74" t="s">
        <v>7832</v>
      </c>
      <c r="Q159" s="222" t="s">
        <v>7477</v>
      </c>
      <c r="R159" s="43"/>
      <c r="S159" s="228" t="s">
        <v>8092</v>
      </c>
      <c r="T159" s="41" t="s">
        <v>7840</v>
      </c>
      <c r="U159" s="15">
        <v>0</v>
      </c>
      <c r="V159" s="15">
        <v>16000</v>
      </c>
      <c r="W159" s="197">
        <v>0</v>
      </c>
      <c r="X159" s="197">
        <v>0</v>
      </c>
    </row>
    <row r="160" spans="1:24" ht="27" x14ac:dyDescent="0.15">
      <c r="A160" s="102">
        <v>909199</v>
      </c>
      <c r="B160" s="230" t="s">
        <v>8119</v>
      </c>
      <c r="C160" s="102" t="s">
        <v>107</v>
      </c>
      <c r="D160" s="102">
        <v>1001</v>
      </c>
      <c r="E160" s="102">
        <v>2</v>
      </c>
      <c r="F160" s="102">
        <v>0</v>
      </c>
      <c r="G160" s="102">
        <v>0</v>
      </c>
      <c r="H160" s="102">
        <v>0</v>
      </c>
      <c r="I160" s="102">
        <v>1</v>
      </c>
      <c r="J160" s="102" t="b">
        <v>0</v>
      </c>
      <c r="K160" s="102">
        <v>-1</v>
      </c>
      <c r="L160" s="102">
        <v>0</v>
      </c>
      <c r="M160" s="102">
        <v>0</v>
      </c>
      <c r="N160" s="102">
        <v>1</v>
      </c>
      <c r="O160" s="102">
        <v>0</v>
      </c>
      <c r="P160" s="226">
        <v>0</v>
      </c>
      <c r="Q160" s="226">
        <v>0</v>
      </c>
      <c r="R160" s="104" t="s">
        <v>7768</v>
      </c>
      <c r="S160" s="224" t="s">
        <v>8120</v>
      </c>
      <c r="T160" s="224" t="s">
        <v>8021</v>
      </c>
      <c r="U160" s="102">
        <v>0</v>
      </c>
      <c r="V160" s="224">
        <v>0</v>
      </c>
      <c r="W160" s="210">
        <v>0</v>
      </c>
      <c r="X160" s="210">
        <v>0</v>
      </c>
    </row>
    <row r="161" spans="1:24" ht="27" x14ac:dyDescent="0.15">
      <c r="A161" s="102">
        <v>909200</v>
      </c>
      <c r="B161" s="230" t="s">
        <v>8121</v>
      </c>
      <c r="C161" s="102" t="s">
        <v>107</v>
      </c>
      <c r="D161" s="102">
        <v>1001</v>
      </c>
      <c r="E161" s="102">
        <v>2</v>
      </c>
      <c r="F161" s="102">
        <v>0</v>
      </c>
      <c r="G161" s="102">
        <v>0</v>
      </c>
      <c r="H161" s="102">
        <v>0</v>
      </c>
      <c r="I161" s="102">
        <v>1</v>
      </c>
      <c r="J161" s="102" t="b">
        <v>0</v>
      </c>
      <c r="K161" s="102">
        <v>-1</v>
      </c>
      <c r="L161" s="102">
        <v>0</v>
      </c>
      <c r="M161" s="102">
        <v>0</v>
      </c>
      <c r="N161" s="102">
        <v>1</v>
      </c>
      <c r="O161" s="102">
        <v>0</v>
      </c>
      <c r="P161" s="226" t="s">
        <v>8122</v>
      </c>
      <c r="Q161" s="226" t="s">
        <v>7788</v>
      </c>
      <c r="R161" s="104" t="s">
        <v>7768</v>
      </c>
      <c r="S161" s="224" t="s">
        <v>8123</v>
      </c>
      <c r="T161" s="224" t="s">
        <v>7840</v>
      </c>
      <c r="U161" s="102">
        <v>0</v>
      </c>
      <c r="V161" s="224">
        <v>0</v>
      </c>
      <c r="W161" s="210">
        <v>0</v>
      </c>
      <c r="X161" s="210">
        <v>0</v>
      </c>
    </row>
    <row r="162" spans="1:24" ht="27" x14ac:dyDescent="0.15">
      <c r="A162" s="102">
        <v>909201</v>
      </c>
      <c r="B162" s="230" t="s">
        <v>8124</v>
      </c>
      <c r="C162" s="102" t="s">
        <v>107</v>
      </c>
      <c r="D162" s="102">
        <v>1001</v>
      </c>
      <c r="E162" s="102">
        <v>2</v>
      </c>
      <c r="F162" s="102">
        <v>0</v>
      </c>
      <c r="G162" s="102">
        <v>0</v>
      </c>
      <c r="H162" s="102">
        <v>0</v>
      </c>
      <c r="I162" s="102">
        <v>1</v>
      </c>
      <c r="J162" s="102" t="b">
        <v>0</v>
      </c>
      <c r="K162" s="102">
        <v>-1</v>
      </c>
      <c r="L162" s="102">
        <v>0</v>
      </c>
      <c r="M162" s="102">
        <v>0</v>
      </c>
      <c r="N162" s="102">
        <v>1</v>
      </c>
      <c r="O162" s="102">
        <v>0</v>
      </c>
      <c r="P162" s="226">
        <v>0</v>
      </c>
      <c r="Q162" s="226">
        <v>0</v>
      </c>
      <c r="R162" s="104" t="s">
        <v>7768</v>
      </c>
      <c r="S162" s="224" t="s">
        <v>8125</v>
      </c>
      <c r="T162" s="224" t="s">
        <v>7861</v>
      </c>
      <c r="U162" s="102">
        <v>0</v>
      </c>
      <c r="V162" s="224">
        <v>0</v>
      </c>
      <c r="W162" s="210">
        <v>0</v>
      </c>
      <c r="X162" s="210">
        <v>0</v>
      </c>
    </row>
    <row r="163" spans="1:24" ht="27" x14ac:dyDescent="0.15">
      <c r="A163" s="102">
        <v>909202</v>
      </c>
      <c r="B163" s="230" t="s">
        <v>8126</v>
      </c>
      <c r="C163" s="102" t="s">
        <v>107</v>
      </c>
      <c r="D163" s="102">
        <v>1001</v>
      </c>
      <c r="E163" s="102">
        <v>2</v>
      </c>
      <c r="F163" s="102">
        <v>0</v>
      </c>
      <c r="G163" s="102">
        <v>0</v>
      </c>
      <c r="H163" s="102">
        <v>0</v>
      </c>
      <c r="I163" s="102">
        <v>1</v>
      </c>
      <c r="J163" s="102" t="b">
        <v>0</v>
      </c>
      <c r="K163" s="102">
        <v>-1</v>
      </c>
      <c r="L163" s="102">
        <v>0</v>
      </c>
      <c r="M163" s="102">
        <v>0</v>
      </c>
      <c r="N163" s="102">
        <v>1</v>
      </c>
      <c r="O163" s="102">
        <v>0</v>
      </c>
      <c r="P163" s="226">
        <v>0</v>
      </c>
      <c r="Q163" s="226">
        <v>0</v>
      </c>
      <c r="R163" s="104" t="s">
        <v>7768</v>
      </c>
      <c r="S163" s="224" t="s">
        <v>8127</v>
      </c>
      <c r="T163" s="224" t="s">
        <v>7530</v>
      </c>
      <c r="U163" s="102">
        <v>0</v>
      </c>
      <c r="V163" s="224">
        <v>0</v>
      </c>
      <c r="W163" s="210">
        <v>0</v>
      </c>
      <c r="X163" s="210">
        <v>0</v>
      </c>
    </row>
    <row r="164" spans="1:24" ht="27" x14ac:dyDescent="0.15">
      <c r="A164" s="102">
        <v>909203</v>
      </c>
      <c r="B164" s="230" t="s">
        <v>8128</v>
      </c>
      <c r="C164" s="102" t="s">
        <v>107</v>
      </c>
      <c r="D164" s="102">
        <v>1001</v>
      </c>
      <c r="E164" s="102">
        <v>2</v>
      </c>
      <c r="F164" s="102">
        <v>0</v>
      </c>
      <c r="G164" s="102">
        <v>0</v>
      </c>
      <c r="H164" s="102">
        <v>0</v>
      </c>
      <c r="I164" s="102">
        <v>1</v>
      </c>
      <c r="J164" s="102" t="b">
        <v>0</v>
      </c>
      <c r="K164" s="102">
        <v>-1</v>
      </c>
      <c r="L164" s="102">
        <v>0</v>
      </c>
      <c r="M164" s="102">
        <v>0</v>
      </c>
      <c r="N164" s="102">
        <v>1</v>
      </c>
      <c r="O164" s="102">
        <v>0</v>
      </c>
      <c r="P164" s="226">
        <v>0</v>
      </c>
      <c r="Q164" s="226">
        <v>0</v>
      </c>
      <c r="R164" s="104" t="s">
        <v>7768</v>
      </c>
      <c r="S164" s="224" t="s">
        <v>8129</v>
      </c>
      <c r="T164" s="224" t="s">
        <v>7942</v>
      </c>
      <c r="U164" s="102">
        <v>0</v>
      </c>
      <c r="V164" s="224">
        <v>0</v>
      </c>
      <c r="W164" s="210">
        <v>0</v>
      </c>
      <c r="X164" s="210">
        <v>0</v>
      </c>
    </row>
    <row r="165" spans="1:24" ht="27" x14ac:dyDescent="0.15">
      <c r="A165" s="102">
        <v>909204</v>
      </c>
      <c r="B165" s="230" t="s">
        <v>8130</v>
      </c>
      <c r="C165" s="102" t="s">
        <v>107</v>
      </c>
      <c r="D165" s="102">
        <v>1001</v>
      </c>
      <c r="E165" s="102">
        <v>2</v>
      </c>
      <c r="F165" s="102">
        <v>0</v>
      </c>
      <c r="G165" s="102">
        <v>0</v>
      </c>
      <c r="H165" s="102">
        <v>0</v>
      </c>
      <c r="I165" s="102">
        <v>1</v>
      </c>
      <c r="J165" s="102" t="b">
        <v>0</v>
      </c>
      <c r="K165" s="102">
        <v>-1</v>
      </c>
      <c r="L165" s="102">
        <v>0</v>
      </c>
      <c r="M165" s="102">
        <v>0</v>
      </c>
      <c r="N165" s="102">
        <v>1</v>
      </c>
      <c r="O165" s="102">
        <v>0</v>
      </c>
      <c r="P165" s="226">
        <v>0</v>
      </c>
      <c r="Q165" s="226">
        <v>0</v>
      </c>
      <c r="R165" s="104" t="s">
        <v>7768</v>
      </c>
      <c r="S165" s="224" t="s">
        <v>8131</v>
      </c>
      <c r="T165" s="224" t="s">
        <v>7799</v>
      </c>
      <c r="U165" s="102">
        <v>0</v>
      </c>
      <c r="V165" s="224">
        <v>0</v>
      </c>
      <c r="W165" s="210">
        <v>0</v>
      </c>
      <c r="X165" s="210">
        <v>0</v>
      </c>
    </row>
    <row r="166" spans="1:24" ht="27" x14ac:dyDescent="0.15">
      <c r="A166" s="102">
        <v>909205</v>
      </c>
      <c r="B166" s="230" t="s">
        <v>8132</v>
      </c>
      <c r="C166" s="102" t="s">
        <v>107</v>
      </c>
      <c r="D166" s="102">
        <v>1001</v>
      </c>
      <c r="E166" s="102">
        <v>2</v>
      </c>
      <c r="F166" s="102">
        <v>0</v>
      </c>
      <c r="G166" s="102">
        <v>0</v>
      </c>
      <c r="H166" s="102">
        <v>0</v>
      </c>
      <c r="I166" s="102">
        <v>1</v>
      </c>
      <c r="J166" s="102" t="b">
        <v>0</v>
      </c>
      <c r="K166" s="102">
        <v>-1</v>
      </c>
      <c r="L166" s="102">
        <v>0</v>
      </c>
      <c r="M166" s="102">
        <v>0</v>
      </c>
      <c r="N166" s="102">
        <v>1</v>
      </c>
      <c r="O166" s="102">
        <v>0</v>
      </c>
      <c r="P166" s="226">
        <v>0</v>
      </c>
      <c r="Q166" s="226">
        <v>0</v>
      </c>
      <c r="R166" s="104" t="s">
        <v>7768</v>
      </c>
      <c r="S166" s="224" t="s">
        <v>8133</v>
      </c>
      <c r="T166" s="224" t="s">
        <v>3993</v>
      </c>
      <c r="U166" s="102">
        <v>0</v>
      </c>
      <c r="V166" s="224">
        <v>0</v>
      </c>
      <c r="W166" s="210">
        <v>0</v>
      </c>
      <c r="X166" s="210">
        <v>0</v>
      </c>
    </row>
    <row r="167" spans="1:24" customFormat="1" x14ac:dyDescent="0.15">
      <c r="A167" s="105">
        <v>909206</v>
      </c>
      <c r="B167" s="105" t="s">
        <v>302</v>
      </c>
      <c r="C167" s="105" t="s">
        <v>107</v>
      </c>
      <c r="D167" s="105">
        <v>1001</v>
      </c>
      <c r="E167" s="105">
        <v>5</v>
      </c>
      <c r="F167" s="105">
        <v>0</v>
      </c>
      <c r="G167" s="105">
        <v>0</v>
      </c>
      <c r="H167" s="105">
        <v>0</v>
      </c>
      <c r="I167" s="105">
        <v>1</v>
      </c>
      <c r="J167" s="105" t="b">
        <v>0</v>
      </c>
      <c r="K167" s="105">
        <v>-1</v>
      </c>
      <c r="L167" s="105">
        <v>0</v>
      </c>
      <c r="M167" s="105">
        <v>0</v>
      </c>
      <c r="N167" s="105">
        <v>1</v>
      </c>
      <c r="O167" s="105">
        <v>0</v>
      </c>
      <c r="P167" s="105">
        <v>0</v>
      </c>
      <c r="Q167" s="105">
        <v>0</v>
      </c>
      <c r="R167" s="105" t="s">
        <v>7768</v>
      </c>
      <c r="S167" s="105" t="s">
        <v>304</v>
      </c>
      <c r="T167" s="105" t="s">
        <v>306</v>
      </c>
      <c r="U167" s="105">
        <v>0</v>
      </c>
      <c r="V167" s="105">
        <v>0</v>
      </c>
      <c r="W167" s="105">
        <v>0</v>
      </c>
      <c r="X167" s="105">
        <v>0</v>
      </c>
    </row>
    <row r="168" spans="1:24" customFormat="1" x14ac:dyDescent="0.15">
      <c r="A168" s="105">
        <v>909207</v>
      </c>
      <c r="B168" s="105" t="s">
        <v>353</v>
      </c>
      <c r="C168" s="105" t="s">
        <v>107</v>
      </c>
      <c r="D168" s="105">
        <v>1001</v>
      </c>
      <c r="E168" s="105">
        <v>5</v>
      </c>
      <c r="F168" s="105">
        <v>0</v>
      </c>
      <c r="G168" s="105">
        <v>0</v>
      </c>
      <c r="H168" s="105">
        <v>0</v>
      </c>
      <c r="I168" s="105">
        <v>1</v>
      </c>
      <c r="J168" s="105" t="b">
        <v>0</v>
      </c>
      <c r="K168" s="105">
        <v>-1</v>
      </c>
      <c r="L168" s="105">
        <v>0</v>
      </c>
      <c r="M168" s="105">
        <v>0</v>
      </c>
      <c r="N168" s="105">
        <v>1</v>
      </c>
      <c r="O168" s="105">
        <v>0</v>
      </c>
      <c r="P168" s="105">
        <v>0</v>
      </c>
      <c r="Q168" s="105">
        <v>0</v>
      </c>
      <c r="R168" s="105" t="s">
        <v>7768</v>
      </c>
      <c r="S168" s="105" t="s">
        <v>355</v>
      </c>
      <c r="T168" s="105" t="s">
        <v>306</v>
      </c>
      <c r="U168" s="105">
        <v>0</v>
      </c>
      <c r="V168" s="105">
        <v>0</v>
      </c>
      <c r="W168" s="105">
        <v>0</v>
      </c>
      <c r="X168" s="105">
        <v>0</v>
      </c>
    </row>
    <row r="169" spans="1:24" customFormat="1" x14ac:dyDescent="0.15">
      <c r="A169" s="105">
        <v>909208</v>
      </c>
      <c r="B169" s="105" t="s">
        <v>357</v>
      </c>
      <c r="C169" s="105" t="s">
        <v>107</v>
      </c>
      <c r="D169" s="105">
        <v>1001</v>
      </c>
      <c r="E169" s="105">
        <v>5</v>
      </c>
      <c r="F169" s="105">
        <v>0</v>
      </c>
      <c r="G169" s="105">
        <v>0</v>
      </c>
      <c r="H169" s="105">
        <v>0</v>
      </c>
      <c r="I169" s="105">
        <v>1</v>
      </c>
      <c r="J169" s="105" t="b">
        <v>0</v>
      </c>
      <c r="K169" s="105">
        <v>-1</v>
      </c>
      <c r="L169" s="105">
        <v>0</v>
      </c>
      <c r="M169" s="105">
        <v>0</v>
      </c>
      <c r="N169" s="105">
        <v>1</v>
      </c>
      <c r="O169" s="105">
        <v>0</v>
      </c>
      <c r="P169" s="105">
        <v>0</v>
      </c>
      <c r="Q169" s="105">
        <v>0</v>
      </c>
      <c r="R169" s="105" t="s">
        <v>7768</v>
      </c>
      <c r="S169" s="105" t="s">
        <v>359</v>
      </c>
      <c r="T169" s="105" t="s">
        <v>306</v>
      </c>
      <c r="U169" s="105">
        <v>0</v>
      </c>
      <c r="V169" s="105">
        <v>0</v>
      </c>
      <c r="W169" s="105">
        <v>0</v>
      </c>
      <c r="X169" s="105">
        <v>0</v>
      </c>
    </row>
    <row r="170" spans="1:24" ht="43.15" customHeight="1" x14ac:dyDescent="0.15">
      <c r="A170" s="105">
        <v>909209</v>
      </c>
      <c r="B170" s="105" t="s">
        <v>8134</v>
      </c>
      <c r="C170" s="105" t="s">
        <v>107</v>
      </c>
      <c r="D170" s="105">
        <v>1001</v>
      </c>
      <c r="E170" s="105">
        <v>2</v>
      </c>
      <c r="F170" s="105">
        <v>0</v>
      </c>
      <c r="G170" s="105">
        <v>0</v>
      </c>
      <c r="H170" s="105">
        <v>0</v>
      </c>
      <c r="I170" s="105">
        <v>1</v>
      </c>
      <c r="J170" s="105" t="b">
        <v>0</v>
      </c>
      <c r="K170" s="105">
        <v>-1</v>
      </c>
      <c r="L170" s="105">
        <v>0</v>
      </c>
      <c r="M170" s="105">
        <v>0</v>
      </c>
      <c r="N170" s="105">
        <v>1</v>
      </c>
      <c r="O170" s="105">
        <v>0</v>
      </c>
      <c r="P170" s="105">
        <v>0</v>
      </c>
      <c r="Q170" s="105">
        <v>0</v>
      </c>
      <c r="R170" s="105" t="s">
        <v>7768</v>
      </c>
      <c r="S170" s="105" t="s">
        <v>8135</v>
      </c>
      <c r="T170" s="105" t="s">
        <v>8136</v>
      </c>
      <c r="U170" s="105">
        <v>0</v>
      </c>
      <c r="V170" s="105">
        <v>0</v>
      </c>
      <c r="W170" s="105">
        <v>0</v>
      </c>
      <c r="X170" s="105">
        <v>0</v>
      </c>
    </row>
  </sheetData>
  <autoFilter ref="A1:X170" xr:uid="{00000000-0009-0000-0000-00000D000000}"/>
  <phoneticPr fontId="45" type="noConversion"/>
  <conditionalFormatting sqref="A1:A132 A134:A149 A153:A166">
    <cfRule type="duplicateValues" dxfId="34" priority="29"/>
  </conditionalFormatting>
  <conditionalFormatting sqref="A133">
    <cfRule type="duplicateValues" dxfId="33" priority="26"/>
  </conditionalFormatting>
  <conditionalFormatting sqref="A150:A152">
    <cfRule type="duplicateValues" dxfId="32" priority="20"/>
  </conditionalFormatting>
  <conditionalFormatting sqref="A167:A170">
    <cfRule type="duplicateValues" dxfId="31" priority="19"/>
  </conditionalFormatting>
  <conditionalFormatting sqref="B167:B170">
    <cfRule type="duplicateValues" dxfId="30" priority="8"/>
  </conditionalFormatting>
  <pageMargins left="0.7" right="0.7" top="0.75" bottom="0.75" header="0.3" footer="0.3"/>
  <pageSetup paperSize="9" orientation="portrait"/>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X170"/>
  <sheetViews>
    <sheetView zoomScale="85" zoomScaleNormal="85" workbookViewId="0">
      <pane xSplit="2" topLeftCell="N1" activePane="topRight" state="frozen"/>
      <selection pane="topRight" activeCell="V10" sqref="V10"/>
    </sheetView>
  </sheetViews>
  <sheetFormatPr defaultColWidth="9" defaultRowHeight="13.5" x14ac:dyDescent="0.15"/>
  <cols>
    <col min="1" max="1" width="9" style="10"/>
    <col min="2" max="2" width="18.5" style="10" customWidth="1"/>
    <col min="3" max="3" width="9" style="10"/>
    <col min="4" max="4" width="9" style="10" customWidth="1"/>
    <col min="5" max="6" width="17.75" style="10" customWidth="1"/>
    <col min="7" max="11" width="9" style="10" customWidth="1"/>
    <col min="12" max="14" width="17.25" style="10" customWidth="1"/>
    <col min="15" max="15" width="11.375" style="10" customWidth="1"/>
    <col min="16" max="16" width="17.5" style="10" customWidth="1"/>
    <col min="17" max="17" width="9" style="10"/>
    <col min="18" max="18" width="22.25" customWidth="1"/>
    <col min="19" max="19" width="65.5" style="10" customWidth="1"/>
    <col min="20" max="21" width="9" style="10"/>
    <col min="22" max="22" width="21.25" style="10" customWidth="1"/>
    <col min="23" max="16384" width="9" style="10"/>
  </cols>
  <sheetData>
    <row r="1" spans="1:24" ht="27" x14ac:dyDescent="0.15">
      <c r="A1" s="70" t="s">
        <v>0</v>
      </c>
      <c r="B1" s="70" t="s">
        <v>1</v>
      </c>
      <c r="C1" s="70" t="s">
        <v>3</v>
      </c>
      <c r="D1" s="70" t="s">
        <v>3367</v>
      </c>
      <c r="E1" s="15" t="s">
        <v>7</v>
      </c>
      <c r="F1" s="15" t="s">
        <v>9</v>
      </c>
      <c r="G1" s="15" t="s">
        <v>10</v>
      </c>
      <c r="H1" s="15" t="s">
        <v>3369</v>
      </c>
      <c r="I1" s="15" t="s">
        <v>16</v>
      </c>
      <c r="J1" s="15" t="s">
        <v>17</v>
      </c>
      <c r="K1" s="15" t="s">
        <v>18</v>
      </c>
      <c r="L1" s="15" t="s">
        <v>3371</v>
      </c>
      <c r="M1" s="15" t="s">
        <v>3372</v>
      </c>
      <c r="N1" s="196" t="s">
        <v>22</v>
      </c>
      <c r="O1" s="15" t="s">
        <v>3585</v>
      </c>
      <c r="P1" s="15" t="s">
        <v>3375</v>
      </c>
      <c r="Q1" s="15" t="s">
        <v>23</v>
      </c>
      <c r="R1" s="220" t="s">
        <v>3376</v>
      </c>
      <c r="S1" s="15" t="s">
        <v>24</v>
      </c>
      <c r="T1" s="221" t="s">
        <v>26</v>
      </c>
      <c r="U1" s="15" t="s">
        <v>27</v>
      </c>
      <c r="V1" s="15" t="s">
        <v>7766</v>
      </c>
      <c r="W1" s="197" t="s">
        <v>28</v>
      </c>
      <c r="X1" s="197" t="s">
        <v>29</v>
      </c>
    </row>
    <row r="2" spans="1:24" ht="27" x14ac:dyDescent="0.15">
      <c r="A2" s="41">
        <v>908004</v>
      </c>
      <c r="B2" t="s">
        <v>8137</v>
      </c>
      <c r="C2" s="41" t="s">
        <v>107</v>
      </c>
      <c r="D2" s="41">
        <v>1001</v>
      </c>
      <c r="E2" s="41">
        <v>2</v>
      </c>
      <c r="F2" s="41">
        <v>0</v>
      </c>
      <c r="G2" s="41">
        <v>0</v>
      </c>
      <c r="H2" s="41">
        <v>0</v>
      </c>
      <c r="I2" s="41">
        <v>1</v>
      </c>
      <c r="J2" s="41" t="b">
        <v>0</v>
      </c>
      <c r="K2" s="41">
        <v>-1</v>
      </c>
      <c r="L2" s="41">
        <v>0</v>
      </c>
      <c r="M2" s="41">
        <v>0</v>
      </c>
      <c r="N2" s="41">
        <v>1</v>
      </c>
      <c r="O2" s="41">
        <v>0</v>
      </c>
      <c r="P2" s="41">
        <v>0</v>
      </c>
      <c r="Q2" s="222">
        <v>0</v>
      </c>
      <c r="R2" s="43" t="s">
        <v>7768</v>
      </c>
      <c r="S2" t="s">
        <v>8138</v>
      </c>
      <c r="T2" s="223" t="s">
        <v>7770</v>
      </c>
      <c r="U2" s="15">
        <v>0</v>
      </c>
      <c r="V2" s="15">
        <v>0</v>
      </c>
      <c r="W2" s="197">
        <v>0</v>
      </c>
      <c r="X2" s="197">
        <v>0</v>
      </c>
    </row>
    <row r="3" spans="1:24" ht="27" x14ac:dyDescent="0.15">
      <c r="A3" s="41">
        <v>908005</v>
      </c>
      <c r="B3" t="s">
        <v>8139</v>
      </c>
      <c r="C3" s="41" t="s">
        <v>107</v>
      </c>
      <c r="D3" s="41">
        <v>1001</v>
      </c>
      <c r="E3" s="41">
        <v>2</v>
      </c>
      <c r="F3" s="41">
        <v>0</v>
      </c>
      <c r="G3" s="41">
        <v>0</v>
      </c>
      <c r="H3" s="41">
        <v>0</v>
      </c>
      <c r="I3" s="41">
        <v>1</v>
      </c>
      <c r="J3" s="41" t="b">
        <v>0</v>
      </c>
      <c r="K3" s="41">
        <v>-1</v>
      </c>
      <c r="L3" s="41">
        <v>0</v>
      </c>
      <c r="M3" s="41">
        <v>0</v>
      </c>
      <c r="N3" s="41">
        <v>1</v>
      </c>
      <c r="O3" s="41">
        <v>0</v>
      </c>
      <c r="P3" s="41">
        <v>0</v>
      </c>
      <c r="Q3" s="222">
        <v>0</v>
      </c>
      <c r="R3" s="43" t="s">
        <v>7768</v>
      </c>
      <c r="S3" t="s">
        <v>8140</v>
      </c>
      <c r="T3" s="223" t="s">
        <v>7773</v>
      </c>
      <c r="U3" s="15">
        <v>0</v>
      </c>
      <c r="V3" s="15">
        <v>0</v>
      </c>
      <c r="W3" s="197">
        <v>0</v>
      </c>
      <c r="X3" s="197">
        <v>0</v>
      </c>
    </row>
    <row r="4" spans="1:24" ht="27" x14ac:dyDescent="0.15">
      <c r="A4" s="41">
        <v>908006</v>
      </c>
      <c r="B4" t="s">
        <v>8141</v>
      </c>
      <c r="C4" s="41" t="s">
        <v>107</v>
      </c>
      <c r="D4" s="41">
        <v>1001</v>
      </c>
      <c r="E4" s="41">
        <v>2</v>
      </c>
      <c r="F4" s="41">
        <v>0</v>
      </c>
      <c r="G4" s="41">
        <v>0</v>
      </c>
      <c r="H4" s="41">
        <v>0</v>
      </c>
      <c r="I4" s="41">
        <v>1</v>
      </c>
      <c r="J4" s="41" t="b">
        <v>0</v>
      </c>
      <c r="K4" s="41">
        <v>-1</v>
      </c>
      <c r="L4" s="41">
        <v>0</v>
      </c>
      <c r="M4" s="41">
        <v>0</v>
      </c>
      <c r="N4" s="41">
        <v>1</v>
      </c>
      <c r="O4" s="41">
        <v>0</v>
      </c>
      <c r="P4" s="41">
        <v>0</v>
      </c>
      <c r="Q4" s="222">
        <v>0</v>
      </c>
      <c r="R4" s="43" t="s">
        <v>7768</v>
      </c>
      <c r="S4" t="s">
        <v>8142</v>
      </c>
      <c r="T4" s="223" t="s">
        <v>7776</v>
      </c>
      <c r="U4" s="15">
        <v>0</v>
      </c>
      <c r="V4" s="15">
        <v>0</v>
      </c>
      <c r="W4" s="197">
        <v>0</v>
      </c>
      <c r="X4" s="197">
        <v>0</v>
      </c>
    </row>
    <row r="5" spans="1:24" ht="27" x14ac:dyDescent="0.15">
      <c r="A5" s="41">
        <v>908007</v>
      </c>
      <c r="B5" t="s">
        <v>8143</v>
      </c>
      <c r="C5" s="41" t="s">
        <v>107</v>
      </c>
      <c r="D5" s="41">
        <v>1001</v>
      </c>
      <c r="E5" s="41">
        <v>2</v>
      </c>
      <c r="F5" s="41">
        <v>0</v>
      </c>
      <c r="G5" s="41">
        <v>0</v>
      </c>
      <c r="H5" s="41">
        <v>0</v>
      </c>
      <c r="I5" s="41">
        <v>1</v>
      </c>
      <c r="J5" s="41" t="b">
        <v>0</v>
      </c>
      <c r="K5" s="41">
        <v>-1</v>
      </c>
      <c r="L5" s="41">
        <v>0</v>
      </c>
      <c r="M5" s="41">
        <v>0</v>
      </c>
      <c r="N5" s="41">
        <v>1</v>
      </c>
      <c r="O5" s="41">
        <v>0</v>
      </c>
      <c r="P5" s="41">
        <v>0</v>
      </c>
      <c r="Q5" s="222">
        <v>0</v>
      </c>
      <c r="R5" s="43" t="s">
        <v>7768</v>
      </c>
      <c r="S5" t="s">
        <v>8144</v>
      </c>
      <c r="T5" s="223" t="s">
        <v>7779</v>
      </c>
      <c r="U5" s="15">
        <v>0</v>
      </c>
      <c r="V5" s="15">
        <v>0</v>
      </c>
      <c r="W5" s="197">
        <v>0</v>
      </c>
      <c r="X5" s="197">
        <v>0</v>
      </c>
    </row>
    <row r="6" spans="1:24" customFormat="1" ht="43.15" customHeight="1" x14ac:dyDescent="0.15">
      <c r="A6" s="41">
        <v>908009</v>
      </c>
      <c r="B6" t="s">
        <v>8145</v>
      </c>
      <c r="C6" s="41" t="s">
        <v>107</v>
      </c>
      <c r="D6" s="41">
        <v>1001</v>
      </c>
      <c r="E6" s="41">
        <v>1</v>
      </c>
      <c r="F6" s="41">
        <v>0</v>
      </c>
      <c r="G6" s="41">
        <v>0</v>
      </c>
      <c r="H6" s="41">
        <v>0</v>
      </c>
      <c r="I6" s="41">
        <v>1</v>
      </c>
      <c r="J6" s="41" t="b">
        <v>0</v>
      </c>
      <c r="K6" s="41">
        <v>-1</v>
      </c>
      <c r="L6" s="41">
        <v>0</v>
      </c>
      <c r="M6" s="41">
        <v>0</v>
      </c>
      <c r="N6" s="41">
        <v>1</v>
      </c>
      <c r="O6" s="41">
        <v>0</v>
      </c>
      <c r="P6" s="41">
        <v>0</v>
      </c>
      <c r="Q6" s="222">
        <v>0</v>
      </c>
      <c r="R6" s="43" t="s">
        <v>7768</v>
      </c>
      <c r="S6" t="s">
        <v>8146</v>
      </c>
      <c r="T6" s="223" t="s">
        <v>7782</v>
      </c>
      <c r="U6" s="15">
        <v>0</v>
      </c>
      <c r="V6" s="15">
        <v>0</v>
      </c>
      <c r="W6" s="197">
        <v>0</v>
      </c>
      <c r="X6" s="197">
        <v>0</v>
      </c>
    </row>
    <row r="7" spans="1:24" customFormat="1" ht="43.15" customHeight="1" x14ac:dyDescent="0.15">
      <c r="A7" s="41">
        <v>908010</v>
      </c>
      <c r="B7" t="s">
        <v>8147</v>
      </c>
      <c r="C7" s="41" t="s">
        <v>107</v>
      </c>
      <c r="D7" s="41">
        <v>1001</v>
      </c>
      <c r="E7" s="41">
        <v>1</v>
      </c>
      <c r="F7" s="41">
        <v>0</v>
      </c>
      <c r="G7" s="41">
        <v>0</v>
      </c>
      <c r="H7" s="41">
        <v>0</v>
      </c>
      <c r="I7" s="41">
        <v>1</v>
      </c>
      <c r="J7" s="41" t="b">
        <v>0</v>
      </c>
      <c r="K7" s="41">
        <v>-1</v>
      </c>
      <c r="L7" s="41">
        <v>0</v>
      </c>
      <c r="M7" s="41">
        <v>0</v>
      </c>
      <c r="N7" s="41">
        <v>1</v>
      </c>
      <c r="O7" s="41">
        <v>0</v>
      </c>
      <c r="P7" s="41">
        <v>0</v>
      </c>
      <c r="Q7" s="222">
        <v>0</v>
      </c>
      <c r="R7" s="43" t="s">
        <v>7768</v>
      </c>
      <c r="S7" t="s">
        <v>8148</v>
      </c>
      <c r="T7" s="223" t="s">
        <v>7785</v>
      </c>
      <c r="U7" s="15">
        <v>0</v>
      </c>
      <c r="V7" s="15">
        <v>0</v>
      </c>
      <c r="W7" s="197">
        <v>0</v>
      </c>
      <c r="X7" s="197">
        <v>0</v>
      </c>
    </row>
    <row r="8" spans="1:24" customFormat="1" ht="43.15" customHeight="1" x14ac:dyDescent="0.15">
      <c r="A8" s="41">
        <v>908011</v>
      </c>
      <c r="B8" t="s">
        <v>8149</v>
      </c>
      <c r="C8" s="41" t="s">
        <v>107</v>
      </c>
      <c r="D8" s="41">
        <v>1001</v>
      </c>
      <c r="E8" s="41">
        <v>1</v>
      </c>
      <c r="F8" s="41">
        <v>0</v>
      </c>
      <c r="G8" s="41">
        <v>0</v>
      </c>
      <c r="H8" s="41">
        <v>0</v>
      </c>
      <c r="I8" s="41">
        <v>1</v>
      </c>
      <c r="J8" s="41" t="b">
        <v>0</v>
      </c>
      <c r="K8" s="41">
        <v>-1</v>
      </c>
      <c r="L8" s="41">
        <v>0</v>
      </c>
      <c r="M8" s="41">
        <v>0</v>
      </c>
      <c r="N8" s="41">
        <v>1</v>
      </c>
      <c r="O8" s="41">
        <v>0</v>
      </c>
      <c r="P8" s="41" t="s">
        <v>7787</v>
      </c>
      <c r="Q8" s="222" t="s">
        <v>7788</v>
      </c>
      <c r="R8" s="43" t="s">
        <v>7768</v>
      </c>
      <c r="S8" t="s">
        <v>8150</v>
      </c>
      <c r="T8" s="223" t="s">
        <v>7790</v>
      </c>
      <c r="U8" s="15">
        <v>0</v>
      </c>
      <c r="V8" s="15">
        <v>0</v>
      </c>
      <c r="W8" s="197">
        <v>0</v>
      </c>
      <c r="X8" s="197">
        <v>0</v>
      </c>
    </row>
    <row r="9" spans="1:24" customFormat="1" ht="43.15" customHeight="1" x14ac:dyDescent="0.15">
      <c r="A9" s="41">
        <v>908012</v>
      </c>
      <c r="B9" t="s">
        <v>8151</v>
      </c>
      <c r="C9" s="41" t="s">
        <v>107</v>
      </c>
      <c r="D9" s="41">
        <v>1001</v>
      </c>
      <c r="E9" s="41">
        <v>1</v>
      </c>
      <c r="F9" s="41">
        <v>0</v>
      </c>
      <c r="G9" s="41">
        <v>0</v>
      </c>
      <c r="H9" s="41">
        <v>0</v>
      </c>
      <c r="I9" s="41">
        <v>1</v>
      </c>
      <c r="J9" s="41" t="b">
        <v>0</v>
      </c>
      <c r="K9" s="41">
        <v>-1</v>
      </c>
      <c r="L9" s="41">
        <v>0</v>
      </c>
      <c r="M9" s="41">
        <v>0</v>
      </c>
      <c r="N9" s="41">
        <v>1</v>
      </c>
      <c r="O9" s="41">
        <v>0</v>
      </c>
      <c r="P9" s="41">
        <v>0</v>
      </c>
      <c r="Q9" s="222">
        <v>0</v>
      </c>
      <c r="R9" s="43" t="s">
        <v>7768</v>
      </c>
      <c r="S9" t="s">
        <v>8152</v>
      </c>
      <c r="T9" s="223" t="s">
        <v>7793</v>
      </c>
      <c r="U9" s="15">
        <v>0</v>
      </c>
      <c r="V9" s="15">
        <v>0</v>
      </c>
      <c r="W9" s="197">
        <v>0</v>
      </c>
      <c r="X9" s="197">
        <v>0</v>
      </c>
    </row>
    <row r="10" spans="1:24" customFormat="1" ht="43.15" customHeight="1" x14ac:dyDescent="0.15">
      <c r="A10" s="41">
        <v>908013</v>
      </c>
      <c r="B10" t="s">
        <v>8153</v>
      </c>
      <c r="C10" s="41" t="s">
        <v>107</v>
      </c>
      <c r="D10" s="41">
        <v>1001</v>
      </c>
      <c r="E10" s="41">
        <v>1</v>
      </c>
      <c r="F10" s="41">
        <v>0</v>
      </c>
      <c r="G10" s="41">
        <v>0</v>
      </c>
      <c r="H10" s="41">
        <v>0</v>
      </c>
      <c r="I10" s="41">
        <v>1</v>
      </c>
      <c r="J10" s="41" t="b">
        <v>0</v>
      </c>
      <c r="K10" s="41">
        <v>-1</v>
      </c>
      <c r="L10" s="41">
        <v>0</v>
      </c>
      <c r="M10" s="41">
        <v>0</v>
      </c>
      <c r="N10" s="41">
        <v>1</v>
      </c>
      <c r="O10" s="41">
        <v>0</v>
      </c>
      <c r="P10" s="41" t="s">
        <v>7795</v>
      </c>
      <c r="Q10" s="222" t="s">
        <v>7788</v>
      </c>
      <c r="R10" s="43" t="s">
        <v>7768</v>
      </c>
      <c r="S10" t="s">
        <v>8154</v>
      </c>
      <c r="T10" s="223" t="s">
        <v>7790</v>
      </c>
      <c r="U10" s="15">
        <v>0</v>
      </c>
      <c r="V10" s="15">
        <v>0</v>
      </c>
      <c r="W10" s="197">
        <v>0</v>
      </c>
      <c r="X10" s="197">
        <v>0</v>
      </c>
    </row>
    <row r="11" spans="1:24" customFormat="1" ht="43.15" customHeight="1" x14ac:dyDescent="0.15">
      <c r="A11" s="41">
        <v>908014</v>
      </c>
      <c r="B11" t="s">
        <v>8155</v>
      </c>
      <c r="C11" s="41" t="s">
        <v>107</v>
      </c>
      <c r="D11" s="41">
        <v>1001</v>
      </c>
      <c r="E11" s="41">
        <v>1</v>
      </c>
      <c r="F11" s="41">
        <v>0</v>
      </c>
      <c r="G11" s="41">
        <v>0</v>
      </c>
      <c r="H11" s="41">
        <v>0</v>
      </c>
      <c r="I11" s="41">
        <v>1</v>
      </c>
      <c r="J11" s="41" t="b">
        <v>0</v>
      </c>
      <c r="K11" s="41">
        <v>-1</v>
      </c>
      <c r="L11" s="41">
        <v>0</v>
      </c>
      <c r="M11" s="41">
        <v>0</v>
      </c>
      <c r="N11" s="41">
        <v>1</v>
      </c>
      <c r="O11" s="41">
        <v>0</v>
      </c>
      <c r="P11" s="41">
        <v>0</v>
      </c>
      <c r="Q11" s="222">
        <v>0</v>
      </c>
      <c r="R11" s="43" t="s">
        <v>7768</v>
      </c>
      <c r="S11" t="s">
        <v>8156</v>
      </c>
      <c r="T11" s="223" t="s">
        <v>7799</v>
      </c>
      <c r="U11" s="15">
        <v>0</v>
      </c>
      <c r="V11" s="15">
        <v>0</v>
      </c>
      <c r="W11" s="197">
        <v>0</v>
      </c>
      <c r="X11" s="197">
        <v>0</v>
      </c>
    </row>
    <row r="12" spans="1:24" customFormat="1" ht="43.15" customHeight="1" x14ac:dyDescent="0.15">
      <c r="A12" s="41">
        <v>908015</v>
      </c>
      <c r="B12" t="s">
        <v>8157</v>
      </c>
      <c r="C12" s="41" t="s">
        <v>107</v>
      </c>
      <c r="D12" s="41">
        <v>1001</v>
      </c>
      <c r="E12" s="41">
        <v>1</v>
      </c>
      <c r="F12" s="41">
        <v>0</v>
      </c>
      <c r="G12" s="41">
        <v>0</v>
      </c>
      <c r="H12" s="41">
        <v>0</v>
      </c>
      <c r="I12" s="41">
        <v>999</v>
      </c>
      <c r="J12" s="41" t="b">
        <v>0</v>
      </c>
      <c r="K12" s="41">
        <v>-1</v>
      </c>
      <c r="L12" s="41">
        <v>0</v>
      </c>
      <c r="M12" s="41">
        <v>0</v>
      </c>
      <c r="N12" s="41">
        <v>1</v>
      </c>
      <c r="O12" s="41">
        <v>0</v>
      </c>
      <c r="P12" s="41">
        <v>0</v>
      </c>
      <c r="Q12" s="222">
        <v>0</v>
      </c>
      <c r="R12" s="43" t="s">
        <v>7768</v>
      </c>
      <c r="S12" t="s">
        <v>8158</v>
      </c>
      <c r="T12" s="223" t="s">
        <v>7802</v>
      </c>
      <c r="U12" s="15">
        <v>0</v>
      </c>
      <c r="V12" s="15">
        <v>0</v>
      </c>
      <c r="W12" s="197">
        <v>0</v>
      </c>
      <c r="X12" s="197">
        <v>0</v>
      </c>
    </row>
    <row r="13" spans="1:24" ht="43.15" customHeight="1" x14ac:dyDescent="0.15">
      <c r="A13" s="41">
        <v>908016</v>
      </c>
      <c r="B13" t="s">
        <v>8159</v>
      </c>
      <c r="C13" s="41" t="s">
        <v>107</v>
      </c>
      <c r="D13" s="41">
        <v>1001</v>
      </c>
      <c r="E13" s="41">
        <v>2</v>
      </c>
      <c r="F13" s="41">
        <v>0</v>
      </c>
      <c r="G13" s="41">
        <v>0</v>
      </c>
      <c r="H13" s="41">
        <v>0</v>
      </c>
      <c r="I13" s="41">
        <v>1</v>
      </c>
      <c r="J13" s="41" t="b">
        <v>0</v>
      </c>
      <c r="K13" s="41">
        <v>-1</v>
      </c>
      <c r="L13" s="41">
        <v>0</v>
      </c>
      <c r="M13" s="41">
        <v>0</v>
      </c>
      <c r="N13" s="41">
        <v>1</v>
      </c>
      <c r="O13" s="41">
        <v>0</v>
      </c>
      <c r="P13" s="41" t="s">
        <v>7804</v>
      </c>
      <c r="Q13" s="222" t="s">
        <v>7788</v>
      </c>
      <c r="R13" s="43" t="s">
        <v>7768</v>
      </c>
      <c r="S13" t="s">
        <v>8160</v>
      </c>
      <c r="T13" s="223" t="s">
        <v>7790</v>
      </c>
      <c r="U13" s="15">
        <v>0</v>
      </c>
      <c r="V13" s="15">
        <v>0</v>
      </c>
      <c r="W13" s="197">
        <v>0</v>
      </c>
      <c r="X13" s="197">
        <v>0</v>
      </c>
    </row>
    <row r="14" spans="1:24" ht="43.15" customHeight="1" x14ac:dyDescent="0.15">
      <c r="A14" s="41">
        <v>908018</v>
      </c>
      <c r="B14" t="s">
        <v>8161</v>
      </c>
      <c r="C14" s="41" t="s">
        <v>107</v>
      </c>
      <c r="D14" s="41">
        <v>1001</v>
      </c>
      <c r="E14" s="41">
        <v>2</v>
      </c>
      <c r="F14" s="41">
        <v>0</v>
      </c>
      <c r="G14" s="41">
        <v>0</v>
      </c>
      <c r="H14" s="41">
        <v>0</v>
      </c>
      <c r="I14" s="41">
        <v>1</v>
      </c>
      <c r="J14" s="41" t="b">
        <v>0</v>
      </c>
      <c r="K14" s="41">
        <v>-1</v>
      </c>
      <c r="L14" s="41">
        <v>0</v>
      </c>
      <c r="M14" s="41">
        <v>0</v>
      </c>
      <c r="N14" s="41">
        <v>1</v>
      </c>
      <c r="O14" s="41">
        <v>0</v>
      </c>
      <c r="P14" s="41">
        <v>0</v>
      </c>
      <c r="Q14" s="222">
        <v>0</v>
      </c>
      <c r="R14" s="43" t="s">
        <v>7768</v>
      </c>
      <c r="S14" t="s">
        <v>8162</v>
      </c>
      <c r="T14" s="223" t="s">
        <v>7808</v>
      </c>
      <c r="U14" s="15">
        <v>0</v>
      </c>
      <c r="V14" s="15">
        <v>0</v>
      </c>
      <c r="W14" s="197">
        <v>0</v>
      </c>
      <c r="X14" s="197">
        <v>0</v>
      </c>
    </row>
    <row r="15" spans="1:24" ht="43.15" customHeight="1" x14ac:dyDescent="0.15">
      <c r="A15" s="41">
        <v>908019</v>
      </c>
      <c r="B15" t="s">
        <v>8163</v>
      </c>
      <c r="C15" s="41" t="s">
        <v>107</v>
      </c>
      <c r="D15" s="41">
        <v>1001</v>
      </c>
      <c r="E15" s="41">
        <v>2</v>
      </c>
      <c r="F15" s="41">
        <v>0</v>
      </c>
      <c r="G15" s="41">
        <v>0</v>
      </c>
      <c r="H15" s="41">
        <v>0</v>
      </c>
      <c r="I15" s="41">
        <v>1</v>
      </c>
      <c r="J15" s="41" t="b">
        <v>0</v>
      </c>
      <c r="K15" s="41">
        <v>-1</v>
      </c>
      <c r="L15" s="41">
        <v>0</v>
      </c>
      <c r="M15" s="41">
        <v>0</v>
      </c>
      <c r="N15" s="41">
        <v>1</v>
      </c>
      <c r="O15" s="41">
        <v>0</v>
      </c>
      <c r="P15" s="41">
        <v>0</v>
      </c>
      <c r="Q15" s="222">
        <v>0</v>
      </c>
      <c r="R15" s="43" t="s">
        <v>7768</v>
      </c>
      <c r="S15" t="s">
        <v>8164</v>
      </c>
      <c r="T15" s="223" t="s">
        <v>7811</v>
      </c>
      <c r="U15" s="15">
        <v>0</v>
      </c>
      <c r="V15" s="15">
        <v>0</v>
      </c>
      <c r="W15" s="197">
        <v>0</v>
      </c>
      <c r="X15" s="197">
        <v>0</v>
      </c>
    </row>
    <row r="16" spans="1:24" ht="43.15" customHeight="1" x14ac:dyDescent="0.15">
      <c r="A16" s="41">
        <v>908020</v>
      </c>
      <c r="B16" t="s">
        <v>8165</v>
      </c>
      <c r="C16" s="41" t="s">
        <v>107</v>
      </c>
      <c r="D16" s="41">
        <v>1001</v>
      </c>
      <c r="E16" s="41">
        <v>2</v>
      </c>
      <c r="F16" s="41">
        <v>0</v>
      </c>
      <c r="G16" s="41">
        <v>0</v>
      </c>
      <c r="H16" s="41">
        <v>0</v>
      </c>
      <c r="I16" s="41">
        <v>1</v>
      </c>
      <c r="J16" s="41" t="b">
        <v>0</v>
      </c>
      <c r="K16" s="41">
        <v>-1</v>
      </c>
      <c r="L16" s="41">
        <v>0</v>
      </c>
      <c r="M16" s="41">
        <v>0</v>
      </c>
      <c r="N16" s="41">
        <v>1</v>
      </c>
      <c r="O16" s="41">
        <v>0</v>
      </c>
      <c r="P16" s="41">
        <v>0</v>
      </c>
      <c r="Q16" s="222">
        <v>0</v>
      </c>
      <c r="R16" s="43" t="s">
        <v>7768</v>
      </c>
      <c r="S16" t="s">
        <v>8166</v>
      </c>
      <c r="T16" s="223" t="s">
        <v>7814</v>
      </c>
      <c r="U16" s="15">
        <v>0</v>
      </c>
      <c r="V16" s="15">
        <v>0</v>
      </c>
      <c r="W16" s="197">
        <v>0</v>
      </c>
      <c r="X16" s="197">
        <v>0</v>
      </c>
    </row>
    <row r="17" spans="1:24" ht="43.15" customHeight="1" x14ac:dyDescent="0.15">
      <c r="A17" s="41">
        <v>908021</v>
      </c>
      <c r="B17" t="s">
        <v>8167</v>
      </c>
      <c r="C17" s="41" t="s">
        <v>107</v>
      </c>
      <c r="D17" s="41">
        <v>1001</v>
      </c>
      <c r="E17" s="41">
        <v>2</v>
      </c>
      <c r="F17" s="41">
        <v>0</v>
      </c>
      <c r="G17" s="41">
        <v>0</v>
      </c>
      <c r="H17" s="41">
        <v>0</v>
      </c>
      <c r="I17" s="41">
        <v>1</v>
      </c>
      <c r="J17" s="41" t="b">
        <v>0</v>
      </c>
      <c r="K17" s="41">
        <v>-1</v>
      </c>
      <c r="L17" s="41">
        <v>0</v>
      </c>
      <c r="M17" s="41">
        <v>0</v>
      </c>
      <c r="N17" s="41">
        <v>1</v>
      </c>
      <c r="O17" s="41">
        <v>0</v>
      </c>
      <c r="P17" s="41" t="s">
        <v>7816</v>
      </c>
      <c r="Q17" s="222" t="s">
        <v>7788</v>
      </c>
      <c r="R17" s="43" t="s">
        <v>7768</v>
      </c>
      <c r="S17" t="s">
        <v>8168</v>
      </c>
      <c r="T17" s="223" t="s">
        <v>7818</v>
      </c>
      <c r="U17" s="15">
        <v>0</v>
      </c>
      <c r="V17" s="15">
        <v>0</v>
      </c>
      <c r="W17" s="197">
        <v>0</v>
      </c>
      <c r="X17" s="197">
        <v>0</v>
      </c>
    </row>
    <row r="18" spans="1:24" customFormat="1" ht="43.15" customHeight="1" x14ac:dyDescent="0.15">
      <c r="A18" s="41">
        <v>908022</v>
      </c>
      <c r="B18" t="s">
        <v>8169</v>
      </c>
      <c r="C18" s="41" t="s">
        <v>107</v>
      </c>
      <c r="D18" s="41">
        <v>1001</v>
      </c>
      <c r="E18" s="41">
        <v>1</v>
      </c>
      <c r="F18" s="41">
        <v>0</v>
      </c>
      <c r="G18" s="41">
        <v>0</v>
      </c>
      <c r="H18" s="41">
        <v>0</v>
      </c>
      <c r="I18" s="41">
        <v>1</v>
      </c>
      <c r="J18" s="41" t="b">
        <v>0</v>
      </c>
      <c r="K18" s="41">
        <v>-1</v>
      </c>
      <c r="L18" s="41">
        <v>0</v>
      </c>
      <c r="M18" s="41">
        <v>0</v>
      </c>
      <c r="N18" s="41">
        <v>1</v>
      </c>
      <c r="O18" s="41">
        <v>0</v>
      </c>
      <c r="P18" s="41">
        <v>0</v>
      </c>
      <c r="Q18" s="222">
        <v>0</v>
      </c>
      <c r="R18" s="43" t="s">
        <v>7768</v>
      </c>
      <c r="S18" t="s">
        <v>8170</v>
      </c>
      <c r="T18" s="223" t="s">
        <v>7821</v>
      </c>
      <c r="U18" s="15">
        <v>0</v>
      </c>
      <c r="V18" s="15">
        <v>0</v>
      </c>
      <c r="W18" s="197">
        <v>0</v>
      </c>
      <c r="X18" s="197">
        <v>0</v>
      </c>
    </row>
    <row r="19" spans="1:24" customFormat="1" ht="43.15" customHeight="1" x14ac:dyDescent="0.15">
      <c r="A19" s="41">
        <v>908023</v>
      </c>
      <c r="B19" t="s">
        <v>8171</v>
      </c>
      <c r="C19" s="41" t="s">
        <v>107</v>
      </c>
      <c r="D19" s="41">
        <v>1001</v>
      </c>
      <c r="E19" s="41">
        <v>1</v>
      </c>
      <c r="F19" s="41">
        <v>0</v>
      </c>
      <c r="G19" s="41">
        <v>0</v>
      </c>
      <c r="H19" s="41">
        <v>0</v>
      </c>
      <c r="I19" s="41">
        <v>999</v>
      </c>
      <c r="J19" s="41" t="b">
        <v>0</v>
      </c>
      <c r="K19" s="41">
        <v>-1</v>
      </c>
      <c r="L19" s="41">
        <v>0</v>
      </c>
      <c r="M19" s="41">
        <v>0</v>
      </c>
      <c r="N19" s="41">
        <v>1</v>
      </c>
      <c r="O19" s="41">
        <v>0</v>
      </c>
      <c r="P19" s="41">
        <v>0</v>
      </c>
      <c r="Q19" s="222">
        <v>0</v>
      </c>
      <c r="R19" s="43" t="s">
        <v>7768</v>
      </c>
      <c r="S19" t="s">
        <v>8172</v>
      </c>
      <c r="T19" s="223" t="s">
        <v>7824</v>
      </c>
      <c r="U19" s="15">
        <v>0</v>
      </c>
      <c r="V19" s="15">
        <v>0</v>
      </c>
      <c r="W19" s="197">
        <v>0</v>
      </c>
      <c r="X19" s="197">
        <v>0</v>
      </c>
    </row>
    <row r="20" spans="1:24" customFormat="1" ht="43.15" customHeight="1" x14ac:dyDescent="0.15">
      <c r="A20" s="41">
        <v>908024</v>
      </c>
      <c r="B20" t="s">
        <v>8173</v>
      </c>
      <c r="C20" s="41" t="s">
        <v>107</v>
      </c>
      <c r="D20" s="41">
        <v>1001</v>
      </c>
      <c r="E20" s="41">
        <v>1</v>
      </c>
      <c r="F20" s="41">
        <v>0</v>
      </c>
      <c r="G20" s="41">
        <v>0</v>
      </c>
      <c r="H20" s="41">
        <v>0</v>
      </c>
      <c r="I20" s="41">
        <v>1</v>
      </c>
      <c r="J20" s="41" t="b">
        <v>0</v>
      </c>
      <c r="K20" s="41">
        <v>-1</v>
      </c>
      <c r="L20" s="41">
        <v>0</v>
      </c>
      <c r="M20" s="41">
        <v>0</v>
      </c>
      <c r="N20" s="41">
        <v>1</v>
      </c>
      <c r="O20" s="41">
        <v>0</v>
      </c>
      <c r="P20" s="41">
        <v>0</v>
      </c>
      <c r="Q20" s="222">
        <v>0</v>
      </c>
      <c r="R20" s="43" t="s">
        <v>7768</v>
      </c>
      <c r="S20" t="s">
        <v>8174</v>
      </c>
      <c r="T20" s="223" t="s">
        <v>7827</v>
      </c>
      <c r="U20" s="15">
        <v>0</v>
      </c>
      <c r="V20" s="15">
        <v>0</v>
      </c>
      <c r="W20" s="197">
        <v>0</v>
      </c>
      <c r="X20" s="197">
        <v>0</v>
      </c>
    </row>
    <row r="21" spans="1:24" customFormat="1" ht="43.15" customHeight="1" x14ac:dyDescent="0.15">
      <c r="A21" s="41">
        <v>908025</v>
      </c>
      <c r="B21" t="s">
        <v>8175</v>
      </c>
      <c r="C21" s="41" t="s">
        <v>107</v>
      </c>
      <c r="D21" s="41">
        <v>1001</v>
      </c>
      <c r="E21" s="41">
        <v>1</v>
      </c>
      <c r="F21" s="41">
        <v>0</v>
      </c>
      <c r="G21" s="41">
        <v>0</v>
      </c>
      <c r="H21" s="41">
        <v>0</v>
      </c>
      <c r="I21" s="41">
        <v>1</v>
      </c>
      <c r="J21" s="41" t="b">
        <v>0</v>
      </c>
      <c r="K21" s="41">
        <v>-1</v>
      </c>
      <c r="L21" s="41">
        <v>0</v>
      </c>
      <c r="M21" s="41">
        <v>0</v>
      </c>
      <c r="N21" s="41">
        <v>1</v>
      </c>
      <c r="O21" s="41">
        <v>0</v>
      </c>
      <c r="P21" s="41">
        <v>0</v>
      </c>
      <c r="Q21" s="222">
        <v>0</v>
      </c>
      <c r="R21" s="43" t="s">
        <v>7768</v>
      </c>
      <c r="S21" t="s">
        <v>8176</v>
      </c>
      <c r="T21" s="223" t="s">
        <v>7830</v>
      </c>
      <c r="U21" s="15">
        <v>0</v>
      </c>
      <c r="V21" s="15">
        <v>0</v>
      </c>
      <c r="W21" s="197">
        <v>0</v>
      </c>
      <c r="X21" s="197">
        <v>0</v>
      </c>
    </row>
    <row r="22" spans="1:24" customFormat="1" ht="43.15" customHeight="1" x14ac:dyDescent="0.15">
      <c r="A22" s="41">
        <v>908026</v>
      </c>
      <c r="B22" t="s">
        <v>8177</v>
      </c>
      <c r="C22" s="41" t="s">
        <v>107</v>
      </c>
      <c r="D22" s="41">
        <v>1001</v>
      </c>
      <c r="E22" s="41">
        <v>1</v>
      </c>
      <c r="F22" s="41">
        <v>0</v>
      </c>
      <c r="G22" s="41">
        <v>0</v>
      </c>
      <c r="H22" s="41">
        <v>0</v>
      </c>
      <c r="I22" s="41">
        <v>1</v>
      </c>
      <c r="J22" s="41" t="b">
        <v>0</v>
      </c>
      <c r="K22" s="41">
        <v>-1</v>
      </c>
      <c r="L22" s="41">
        <v>0</v>
      </c>
      <c r="M22" s="41">
        <v>0</v>
      </c>
      <c r="N22" s="41">
        <v>1</v>
      </c>
      <c r="O22" s="41">
        <v>0</v>
      </c>
      <c r="P22" s="41" t="s">
        <v>7832</v>
      </c>
      <c r="Q22" s="222" t="s">
        <v>7477</v>
      </c>
      <c r="R22" s="43"/>
      <c r="S22" t="s">
        <v>8178</v>
      </c>
      <c r="T22" s="223" t="s">
        <v>7834</v>
      </c>
      <c r="U22" s="15">
        <v>0</v>
      </c>
      <c r="V22" s="15">
        <v>13000</v>
      </c>
      <c r="W22" s="197">
        <v>0</v>
      </c>
      <c r="X22" s="197">
        <v>0</v>
      </c>
    </row>
    <row r="23" spans="1:24" ht="43.15" customHeight="1" x14ac:dyDescent="0.15">
      <c r="A23" s="41">
        <v>908027</v>
      </c>
      <c r="B23" t="s">
        <v>8179</v>
      </c>
      <c r="C23" s="41" t="s">
        <v>107</v>
      </c>
      <c r="D23" s="41">
        <v>1001</v>
      </c>
      <c r="E23" s="41">
        <v>2</v>
      </c>
      <c r="F23" s="41">
        <v>0</v>
      </c>
      <c r="G23" s="41">
        <v>0</v>
      </c>
      <c r="H23" s="41">
        <v>0</v>
      </c>
      <c r="I23" s="41">
        <v>1</v>
      </c>
      <c r="J23" s="41" t="b">
        <v>0</v>
      </c>
      <c r="K23" s="41">
        <v>-1</v>
      </c>
      <c r="L23" s="41">
        <v>0</v>
      </c>
      <c r="M23" s="41">
        <v>0</v>
      </c>
      <c r="N23" s="41">
        <v>1</v>
      </c>
      <c r="O23" s="41">
        <v>0</v>
      </c>
      <c r="P23" s="41">
        <v>0</v>
      </c>
      <c r="Q23" s="222">
        <v>0</v>
      </c>
      <c r="R23" s="43" t="s">
        <v>7768</v>
      </c>
      <c r="S23" t="s">
        <v>8180</v>
      </c>
      <c r="T23" s="223" t="s">
        <v>7837</v>
      </c>
      <c r="U23" s="15">
        <v>0</v>
      </c>
      <c r="V23" s="15">
        <v>0</v>
      </c>
      <c r="W23" s="197">
        <v>0</v>
      </c>
      <c r="X23" s="197">
        <v>0</v>
      </c>
    </row>
    <row r="24" spans="1:24" ht="43.15" customHeight="1" x14ac:dyDescent="0.15">
      <c r="A24" s="41">
        <v>908028</v>
      </c>
      <c r="B24" t="s">
        <v>8181</v>
      </c>
      <c r="C24" s="41" t="s">
        <v>107</v>
      </c>
      <c r="D24" s="41">
        <v>1001</v>
      </c>
      <c r="E24" s="41">
        <v>2</v>
      </c>
      <c r="F24" s="41">
        <v>0</v>
      </c>
      <c r="G24" s="41">
        <v>0</v>
      </c>
      <c r="H24" s="41">
        <v>0</v>
      </c>
      <c r="I24" s="41">
        <v>1</v>
      </c>
      <c r="J24" s="41" t="b">
        <v>0</v>
      </c>
      <c r="K24" s="41">
        <v>-1</v>
      </c>
      <c r="L24" s="41">
        <v>0</v>
      </c>
      <c r="M24" s="41">
        <v>0</v>
      </c>
      <c r="N24" s="41">
        <v>1</v>
      </c>
      <c r="O24" s="41">
        <v>0</v>
      </c>
      <c r="P24" s="41">
        <v>0</v>
      </c>
      <c r="Q24" s="222">
        <v>0</v>
      </c>
      <c r="R24" s="43" t="s">
        <v>7768</v>
      </c>
      <c r="S24" t="s">
        <v>8182</v>
      </c>
      <c r="T24" s="223" t="s">
        <v>7840</v>
      </c>
      <c r="U24" s="15">
        <v>0</v>
      </c>
      <c r="V24" s="15">
        <v>0</v>
      </c>
      <c r="W24" s="197">
        <v>0</v>
      </c>
      <c r="X24" s="197">
        <v>0</v>
      </c>
    </row>
    <row r="25" spans="1:24" ht="43.15" customHeight="1" x14ac:dyDescent="0.15">
      <c r="A25" s="41">
        <v>908029</v>
      </c>
      <c r="B25" t="s">
        <v>8183</v>
      </c>
      <c r="C25" s="41" t="s">
        <v>107</v>
      </c>
      <c r="D25" s="41">
        <v>1001</v>
      </c>
      <c r="E25" s="41">
        <v>2</v>
      </c>
      <c r="F25" s="41">
        <v>0</v>
      </c>
      <c r="G25" s="41">
        <v>0</v>
      </c>
      <c r="H25" s="41">
        <v>0</v>
      </c>
      <c r="I25" s="41">
        <v>1</v>
      </c>
      <c r="J25" s="41" t="b">
        <v>0</v>
      </c>
      <c r="K25" s="41">
        <v>-1</v>
      </c>
      <c r="L25" s="41">
        <v>0</v>
      </c>
      <c r="M25" s="41">
        <v>0</v>
      </c>
      <c r="N25" s="41">
        <v>1</v>
      </c>
      <c r="O25" s="41">
        <v>0</v>
      </c>
      <c r="P25" s="41">
        <v>0</v>
      </c>
      <c r="Q25" s="222">
        <v>0</v>
      </c>
      <c r="R25" s="43" t="s">
        <v>7768</v>
      </c>
      <c r="S25" t="s">
        <v>8184</v>
      </c>
      <c r="T25" s="223" t="s">
        <v>7840</v>
      </c>
      <c r="U25" s="15">
        <v>0</v>
      </c>
      <c r="V25" s="15">
        <v>0</v>
      </c>
      <c r="W25" s="197">
        <v>0</v>
      </c>
      <c r="X25" s="197">
        <v>0</v>
      </c>
    </row>
    <row r="26" spans="1:24" ht="27" x14ac:dyDescent="0.15">
      <c r="A26" s="41">
        <v>908063</v>
      </c>
      <c r="B26" t="s">
        <v>8185</v>
      </c>
      <c r="C26" s="41" t="s">
        <v>107</v>
      </c>
      <c r="D26" s="41">
        <v>1001</v>
      </c>
      <c r="E26" s="41">
        <v>2</v>
      </c>
      <c r="F26" s="41">
        <v>0</v>
      </c>
      <c r="G26" s="41">
        <v>0</v>
      </c>
      <c r="H26" s="41">
        <v>0</v>
      </c>
      <c r="I26" s="41">
        <v>999</v>
      </c>
      <c r="J26" s="41" t="b">
        <v>0</v>
      </c>
      <c r="K26" s="41">
        <v>-1</v>
      </c>
      <c r="L26" s="41">
        <v>0</v>
      </c>
      <c r="M26" s="41">
        <v>0</v>
      </c>
      <c r="N26" s="41">
        <v>1</v>
      </c>
      <c r="O26" s="41">
        <v>0</v>
      </c>
      <c r="P26" s="41">
        <v>0</v>
      </c>
      <c r="Q26" s="222">
        <v>0</v>
      </c>
      <c r="R26" s="43" t="s">
        <v>7768</v>
      </c>
      <c r="S26" t="s">
        <v>8186</v>
      </c>
      <c r="T26" s="223" t="s">
        <v>7845</v>
      </c>
      <c r="U26" s="15">
        <v>0</v>
      </c>
      <c r="V26" s="15">
        <v>0</v>
      </c>
      <c r="W26" s="197">
        <v>0</v>
      </c>
      <c r="X26" s="197">
        <v>0</v>
      </c>
    </row>
    <row r="27" spans="1:24" ht="27" x14ac:dyDescent="0.15">
      <c r="A27" s="41">
        <v>908064</v>
      </c>
      <c r="B27" t="s">
        <v>8187</v>
      </c>
      <c r="C27" s="41" t="s">
        <v>107</v>
      </c>
      <c r="D27" s="41">
        <v>1001</v>
      </c>
      <c r="E27" s="41">
        <v>2</v>
      </c>
      <c r="F27" s="41">
        <v>0</v>
      </c>
      <c r="G27" s="41">
        <v>0</v>
      </c>
      <c r="H27" s="41">
        <v>0</v>
      </c>
      <c r="I27" s="41">
        <v>999</v>
      </c>
      <c r="J27" s="41" t="b">
        <v>0</v>
      </c>
      <c r="K27" s="41">
        <v>1</v>
      </c>
      <c r="L27" s="41">
        <v>0</v>
      </c>
      <c r="M27" s="41">
        <v>0</v>
      </c>
      <c r="N27" s="41">
        <v>1</v>
      </c>
      <c r="O27" s="41">
        <v>0</v>
      </c>
      <c r="P27" s="41">
        <v>0</v>
      </c>
      <c r="Q27" s="222">
        <v>0</v>
      </c>
      <c r="R27" s="43" t="s">
        <v>7768</v>
      </c>
      <c r="S27" t="s">
        <v>8188</v>
      </c>
      <c r="T27" s="223" t="s">
        <v>7848</v>
      </c>
      <c r="U27" s="15">
        <v>0</v>
      </c>
      <c r="V27" s="15">
        <v>0</v>
      </c>
      <c r="W27" s="197">
        <v>0</v>
      </c>
      <c r="X27" s="197">
        <v>0</v>
      </c>
    </row>
    <row r="28" spans="1:24" customFormat="1" ht="27" x14ac:dyDescent="0.15">
      <c r="A28" s="41">
        <v>908065</v>
      </c>
      <c r="B28" t="s">
        <v>8189</v>
      </c>
      <c r="C28" s="41" t="s">
        <v>107</v>
      </c>
      <c r="D28" s="41">
        <v>1001</v>
      </c>
      <c r="E28" s="41">
        <v>1</v>
      </c>
      <c r="F28" s="41">
        <v>0</v>
      </c>
      <c r="G28" s="41">
        <v>0</v>
      </c>
      <c r="H28" s="41">
        <v>0</v>
      </c>
      <c r="I28" s="41">
        <v>1</v>
      </c>
      <c r="J28" s="41" t="b">
        <v>0</v>
      </c>
      <c r="K28" s="41">
        <v>-1</v>
      </c>
      <c r="L28" s="41">
        <v>0</v>
      </c>
      <c r="M28" s="41">
        <v>0</v>
      </c>
      <c r="N28" s="41">
        <v>1</v>
      </c>
      <c r="O28" s="41">
        <v>0</v>
      </c>
      <c r="P28" s="41">
        <v>0</v>
      </c>
      <c r="Q28" s="222">
        <v>0</v>
      </c>
      <c r="R28" s="43" t="s">
        <v>7768</v>
      </c>
      <c r="S28" t="s">
        <v>8190</v>
      </c>
      <c r="T28" s="223" t="s">
        <v>7850</v>
      </c>
      <c r="U28" s="15">
        <v>0</v>
      </c>
      <c r="V28" s="15">
        <v>0</v>
      </c>
      <c r="W28" s="197">
        <v>0</v>
      </c>
      <c r="X28" s="197">
        <v>0</v>
      </c>
    </row>
    <row r="29" spans="1:24" customFormat="1" ht="27" x14ac:dyDescent="0.15">
      <c r="A29" s="41">
        <v>908066</v>
      </c>
      <c r="B29" t="s">
        <v>8191</v>
      </c>
      <c r="C29" s="41" t="s">
        <v>107</v>
      </c>
      <c r="D29" s="41">
        <v>1001</v>
      </c>
      <c r="E29" s="41">
        <v>1</v>
      </c>
      <c r="F29" s="41">
        <v>0</v>
      </c>
      <c r="G29" s="41">
        <v>0</v>
      </c>
      <c r="H29" s="41">
        <v>0</v>
      </c>
      <c r="I29" s="41">
        <v>1</v>
      </c>
      <c r="J29" s="41" t="b">
        <v>0</v>
      </c>
      <c r="K29" s="41">
        <v>-1</v>
      </c>
      <c r="L29" s="41">
        <v>0</v>
      </c>
      <c r="M29" s="41">
        <v>0</v>
      </c>
      <c r="N29" s="41">
        <v>1</v>
      </c>
      <c r="O29" s="41">
        <v>0</v>
      </c>
      <c r="P29" s="41" t="s">
        <v>7852</v>
      </c>
      <c r="Q29" s="222">
        <v>0</v>
      </c>
      <c r="R29" s="43" t="s">
        <v>7768</v>
      </c>
      <c r="S29" t="s">
        <v>8192</v>
      </c>
      <c r="T29" s="223" t="s">
        <v>7853</v>
      </c>
      <c r="U29" s="15">
        <v>0</v>
      </c>
      <c r="V29" s="15">
        <v>0</v>
      </c>
      <c r="W29" s="197">
        <v>0</v>
      </c>
      <c r="X29" s="197">
        <v>0</v>
      </c>
    </row>
    <row r="30" spans="1:24" customFormat="1" ht="27" x14ac:dyDescent="0.15">
      <c r="A30" s="41">
        <v>908067</v>
      </c>
      <c r="B30" t="s">
        <v>8193</v>
      </c>
      <c r="C30" s="41" t="s">
        <v>107</v>
      </c>
      <c r="D30" s="41">
        <v>1001</v>
      </c>
      <c r="E30" s="41">
        <v>1</v>
      </c>
      <c r="F30" s="41">
        <v>0</v>
      </c>
      <c r="G30" s="41">
        <v>0</v>
      </c>
      <c r="H30" s="41">
        <v>0</v>
      </c>
      <c r="I30" s="41">
        <v>1</v>
      </c>
      <c r="J30" s="41" t="b">
        <v>0</v>
      </c>
      <c r="K30" s="41">
        <v>-1</v>
      </c>
      <c r="L30" s="41">
        <v>0</v>
      </c>
      <c r="M30" s="41">
        <v>0</v>
      </c>
      <c r="N30" s="41">
        <v>1</v>
      </c>
      <c r="O30" s="41">
        <v>0</v>
      </c>
      <c r="P30" s="41" t="s">
        <v>7855</v>
      </c>
      <c r="Q30" s="222">
        <v>0</v>
      </c>
      <c r="R30" s="43" t="s">
        <v>7768</v>
      </c>
      <c r="S30" t="s">
        <v>8194</v>
      </c>
      <c r="T30" s="223" t="s">
        <v>7840</v>
      </c>
      <c r="U30" s="15">
        <v>0</v>
      </c>
      <c r="V30" s="15">
        <v>0</v>
      </c>
      <c r="W30" s="197">
        <v>0</v>
      </c>
      <c r="X30" s="197">
        <v>0</v>
      </c>
    </row>
    <row r="31" spans="1:24" customFormat="1" ht="27" x14ac:dyDescent="0.15">
      <c r="A31" s="41">
        <v>908068</v>
      </c>
      <c r="B31" t="s">
        <v>8195</v>
      </c>
      <c r="C31" s="41" t="s">
        <v>107</v>
      </c>
      <c r="D31" s="41">
        <v>1001</v>
      </c>
      <c r="E31" s="41">
        <v>1</v>
      </c>
      <c r="F31" s="41">
        <v>0</v>
      </c>
      <c r="G31" s="41">
        <v>0</v>
      </c>
      <c r="H31" s="41">
        <v>0</v>
      </c>
      <c r="I31" s="41">
        <v>1</v>
      </c>
      <c r="J31" s="41" t="b">
        <v>0</v>
      </c>
      <c r="K31" s="41">
        <v>-1</v>
      </c>
      <c r="L31" s="41">
        <v>0</v>
      </c>
      <c r="M31" s="41">
        <v>0</v>
      </c>
      <c r="N31" s="41">
        <v>1</v>
      </c>
      <c r="O31" s="41">
        <v>0</v>
      </c>
      <c r="P31" s="41">
        <v>0</v>
      </c>
      <c r="Q31" s="222">
        <v>0</v>
      </c>
      <c r="R31" s="43" t="s">
        <v>7768</v>
      </c>
      <c r="S31" t="s">
        <v>8196</v>
      </c>
      <c r="T31" s="223" t="s">
        <v>7857</v>
      </c>
      <c r="U31" s="15">
        <v>0</v>
      </c>
      <c r="V31" s="15">
        <v>0</v>
      </c>
      <c r="W31" s="197">
        <v>0</v>
      </c>
      <c r="X31" s="197">
        <v>0</v>
      </c>
    </row>
    <row r="32" spans="1:24" customFormat="1" ht="27" x14ac:dyDescent="0.15">
      <c r="A32" s="41">
        <v>908069</v>
      </c>
      <c r="B32" t="s">
        <v>8197</v>
      </c>
      <c r="C32" s="41" t="s">
        <v>107</v>
      </c>
      <c r="D32" s="41">
        <v>1001</v>
      </c>
      <c r="E32" s="41">
        <v>1</v>
      </c>
      <c r="F32" s="41">
        <v>0</v>
      </c>
      <c r="G32" s="41">
        <v>0</v>
      </c>
      <c r="H32" s="41">
        <v>0</v>
      </c>
      <c r="I32" s="41">
        <v>1</v>
      </c>
      <c r="J32" s="41" t="b">
        <v>0</v>
      </c>
      <c r="K32" s="41">
        <v>-1</v>
      </c>
      <c r="L32" s="41">
        <v>0</v>
      </c>
      <c r="M32" s="41">
        <v>0</v>
      </c>
      <c r="N32" s="41">
        <v>1</v>
      </c>
      <c r="O32" s="41">
        <v>0</v>
      </c>
      <c r="P32" s="41">
        <v>0</v>
      </c>
      <c r="Q32" s="222">
        <v>0</v>
      </c>
      <c r="R32" s="43" t="s">
        <v>7768</v>
      </c>
      <c r="S32" t="s">
        <v>8198</v>
      </c>
      <c r="T32" s="223" t="s">
        <v>7859</v>
      </c>
      <c r="U32" s="15">
        <v>0</v>
      </c>
      <c r="V32" s="15">
        <v>0</v>
      </c>
      <c r="W32" s="197">
        <v>0</v>
      </c>
      <c r="X32" s="197">
        <v>0</v>
      </c>
    </row>
    <row r="33" spans="1:24" customFormat="1" ht="27" x14ac:dyDescent="0.15">
      <c r="A33" s="41">
        <v>908070</v>
      </c>
      <c r="B33" t="s">
        <v>8199</v>
      </c>
      <c r="C33" s="41" t="s">
        <v>107</v>
      </c>
      <c r="D33" s="41">
        <v>1001</v>
      </c>
      <c r="E33" s="41">
        <v>3</v>
      </c>
      <c r="F33" s="41">
        <v>0</v>
      </c>
      <c r="G33" s="41">
        <v>0</v>
      </c>
      <c r="H33" s="41">
        <v>0</v>
      </c>
      <c r="I33" s="41">
        <v>1</v>
      </c>
      <c r="J33" s="41" t="b">
        <v>0</v>
      </c>
      <c r="K33" s="41">
        <v>-1</v>
      </c>
      <c r="L33" s="41">
        <v>0</v>
      </c>
      <c r="M33" s="41">
        <v>0</v>
      </c>
      <c r="N33" s="41">
        <v>1</v>
      </c>
      <c r="O33" s="41">
        <v>0</v>
      </c>
      <c r="P33" s="41">
        <v>0</v>
      </c>
      <c r="Q33" s="222">
        <v>0</v>
      </c>
      <c r="R33" s="43" t="s">
        <v>7768</v>
      </c>
      <c r="S33" t="s">
        <v>8200</v>
      </c>
      <c r="T33" s="223" t="s">
        <v>7861</v>
      </c>
      <c r="U33" s="15">
        <v>0</v>
      </c>
      <c r="V33" s="15">
        <v>0</v>
      </c>
      <c r="W33" s="197">
        <v>0</v>
      </c>
      <c r="X33" s="197">
        <v>0</v>
      </c>
    </row>
    <row r="34" spans="1:24" customFormat="1" ht="27" x14ac:dyDescent="0.15">
      <c r="A34" s="41">
        <v>908071</v>
      </c>
      <c r="B34" t="s">
        <v>8201</v>
      </c>
      <c r="C34" s="41" t="s">
        <v>107</v>
      </c>
      <c r="D34" s="41">
        <v>1001</v>
      </c>
      <c r="E34" s="41">
        <v>2</v>
      </c>
      <c r="F34" s="41">
        <v>0</v>
      </c>
      <c r="G34" s="41">
        <v>0</v>
      </c>
      <c r="H34" s="41">
        <v>0</v>
      </c>
      <c r="I34" s="41">
        <v>1</v>
      </c>
      <c r="J34" s="41" t="b">
        <v>0</v>
      </c>
      <c r="K34" s="41">
        <v>-1</v>
      </c>
      <c r="L34" s="41">
        <v>0</v>
      </c>
      <c r="M34" s="41">
        <v>0</v>
      </c>
      <c r="N34" s="41">
        <v>1</v>
      </c>
      <c r="O34" s="41">
        <v>0</v>
      </c>
      <c r="P34" s="41">
        <v>0</v>
      </c>
      <c r="Q34" s="222">
        <v>0</v>
      </c>
      <c r="R34" s="43" t="s">
        <v>7768</v>
      </c>
      <c r="S34" t="s">
        <v>8202</v>
      </c>
      <c r="T34" s="223" t="s">
        <v>7863</v>
      </c>
      <c r="U34" s="15">
        <v>0</v>
      </c>
      <c r="V34" s="15">
        <v>0</v>
      </c>
      <c r="W34" s="197">
        <v>0</v>
      </c>
      <c r="X34" s="197">
        <v>0</v>
      </c>
    </row>
    <row r="35" spans="1:24" customFormat="1" ht="27" x14ac:dyDescent="0.15">
      <c r="A35" s="41">
        <v>908072</v>
      </c>
      <c r="B35" t="s">
        <v>8203</v>
      </c>
      <c r="C35" s="41" t="s">
        <v>107</v>
      </c>
      <c r="D35" s="41">
        <v>1001</v>
      </c>
      <c r="E35" s="41">
        <v>5</v>
      </c>
      <c r="F35" s="41">
        <v>0</v>
      </c>
      <c r="G35" s="41">
        <v>0</v>
      </c>
      <c r="H35" s="41">
        <v>0</v>
      </c>
      <c r="I35" s="41">
        <v>1</v>
      </c>
      <c r="J35" s="41" t="b">
        <v>0</v>
      </c>
      <c r="K35" s="41">
        <v>-1</v>
      </c>
      <c r="L35" s="41">
        <v>0</v>
      </c>
      <c r="M35" s="41">
        <v>0</v>
      </c>
      <c r="N35" s="41">
        <v>1</v>
      </c>
      <c r="O35" s="41">
        <v>0</v>
      </c>
      <c r="P35" s="41">
        <v>0</v>
      </c>
      <c r="Q35" s="222">
        <v>0</v>
      </c>
      <c r="R35" s="43" t="s">
        <v>7768</v>
      </c>
      <c r="S35" t="s">
        <v>8204</v>
      </c>
      <c r="T35" s="223" t="s">
        <v>7865</v>
      </c>
      <c r="U35" s="15">
        <v>0</v>
      </c>
      <c r="V35" s="15">
        <v>0</v>
      </c>
      <c r="W35" s="197">
        <v>0</v>
      </c>
      <c r="X35" s="197">
        <v>0</v>
      </c>
    </row>
    <row r="36" spans="1:24" ht="27" x14ac:dyDescent="0.15">
      <c r="A36" s="41">
        <v>908073</v>
      </c>
      <c r="B36" t="s">
        <v>8205</v>
      </c>
      <c r="C36" s="41" t="s">
        <v>107</v>
      </c>
      <c r="D36" s="41">
        <v>1001</v>
      </c>
      <c r="E36" s="41">
        <v>2</v>
      </c>
      <c r="F36" s="41">
        <v>0</v>
      </c>
      <c r="G36" s="41">
        <v>0</v>
      </c>
      <c r="H36" s="41">
        <v>0</v>
      </c>
      <c r="I36" s="41">
        <v>1</v>
      </c>
      <c r="J36" s="41" t="b">
        <v>0</v>
      </c>
      <c r="K36" s="41">
        <f>K37</f>
        <v>-1</v>
      </c>
      <c r="L36" s="41">
        <v>0</v>
      </c>
      <c r="M36" s="41">
        <v>0</v>
      </c>
      <c r="N36" s="41">
        <v>1</v>
      </c>
      <c r="O36" s="41">
        <v>0</v>
      </c>
      <c r="P36" s="41">
        <v>0</v>
      </c>
      <c r="Q36" s="222">
        <v>0</v>
      </c>
      <c r="R36" s="43" t="s">
        <v>7768</v>
      </c>
      <c r="S36" t="s">
        <v>8206</v>
      </c>
      <c r="T36" s="223" t="s">
        <v>7868</v>
      </c>
      <c r="U36" s="15">
        <v>0</v>
      </c>
      <c r="V36" s="15">
        <v>0</v>
      </c>
      <c r="W36" s="197">
        <v>0</v>
      </c>
      <c r="X36" s="197">
        <v>0</v>
      </c>
    </row>
    <row r="37" spans="1:24" ht="27" x14ac:dyDescent="0.15">
      <c r="A37" s="41">
        <v>908074</v>
      </c>
      <c r="B37" t="s">
        <v>8207</v>
      </c>
      <c r="C37" s="41" t="s">
        <v>107</v>
      </c>
      <c r="D37" s="41">
        <v>1001</v>
      </c>
      <c r="E37" s="41">
        <v>2</v>
      </c>
      <c r="F37" s="41">
        <v>0</v>
      </c>
      <c r="G37" s="41">
        <v>0</v>
      </c>
      <c r="H37" s="41">
        <v>0</v>
      </c>
      <c r="I37" s="41">
        <v>1</v>
      </c>
      <c r="J37" s="41" t="b">
        <v>0</v>
      </c>
      <c r="K37" s="41">
        <v>-1</v>
      </c>
      <c r="L37" s="41">
        <v>0</v>
      </c>
      <c r="M37" s="41">
        <v>0</v>
      </c>
      <c r="N37" s="41">
        <v>1</v>
      </c>
      <c r="O37" s="41">
        <v>0</v>
      </c>
      <c r="P37" s="41">
        <v>0</v>
      </c>
      <c r="Q37" s="222">
        <v>0</v>
      </c>
      <c r="R37" s="43" t="s">
        <v>7768</v>
      </c>
      <c r="S37" t="s">
        <v>8208</v>
      </c>
      <c r="T37" s="223" t="s">
        <v>7840</v>
      </c>
      <c r="U37" s="15">
        <v>0</v>
      </c>
      <c r="V37" s="15">
        <v>0</v>
      </c>
      <c r="W37" s="197">
        <v>0</v>
      </c>
      <c r="X37" s="197">
        <v>0</v>
      </c>
    </row>
    <row r="38" spans="1:24" customFormat="1" ht="27" x14ac:dyDescent="0.15">
      <c r="A38" s="41">
        <v>908075</v>
      </c>
      <c r="B38" t="s">
        <v>8209</v>
      </c>
      <c r="C38" s="41" t="s">
        <v>107</v>
      </c>
      <c r="D38" s="41">
        <v>1001</v>
      </c>
      <c r="E38" s="41">
        <v>1</v>
      </c>
      <c r="F38" s="41">
        <v>0</v>
      </c>
      <c r="G38" s="41">
        <v>0</v>
      </c>
      <c r="H38" s="41">
        <v>0</v>
      </c>
      <c r="I38" s="41">
        <v>1</v>
      </c>
      <c r="J38" s="41" t="b">
        <v>0</v>
      </c>
      <c r="K38" s="41">
        <v>-1</v>
      </c>
      <c r="L38" s="41">
        <v>0</v>
      </c>
      <c r="M38" s="41">
        <v>0</v>
      </c>
      <c r="N38" s="41">
        <v>1</v>
      </c>
      <c r="O38" s="41">
        <v>0</v>
      </c>
      <c r="P38" s="41">
        <v>0</v>
      </c>
      <c r="Q38" s="222">
        <v>0</v>
      </c>
      <c r="R38" s="43" t="s">
        <v>7768</v>
      </c>
      <c r="S38" t="s">
        <v>8210</v>
      </c>
      <c r="T38" s="223" t="s">
        <v>2806</v>
      </c>
      <c r="U38" s="15">
        <v>0</v>
      </c>
      <c r="V38" s="15">
        <v>0</v>
      </c>
      <c r="W38" s="197">
        <v>0</v>
      </c>
      <c r="X38" s="197">
        <v>0</v>
      </c>
    </row>
    <row r="39" spans="1:24" customFormat="1" ht="27" x14ac:dyDescent="0.15">
      <c r="A39" s="41">
        <v>908076</v>
      </c>
      <c r="B39" t="s">
        <v>8211</v>
      </c>
      <c r="C39" s="41" t="s">
        <v>107</v>
      </c>
      <c r="D39" s="41">
        <v>1001</v>
      </c>
      <c r="E39" s="41">
        <v>1</v>
      </c>
      <c r="F39" s="41">
        <v>0</v>
      </c>
      <c r="G39" s="41">
        <v>0</v>
      </c>
      <c r="H39" s="41">
        <v>0</v>
      </c>
      <c r="I39" s="41">
        <v>1</v>
      </c>
      <c r="J39" s="41" t="b">
        <v>0</v>
      </c>
      <c r="K39" s="41">
        <v>-1</v>
      </c>
      <c r="L39" s="41">
        <v>0</v>
      </c>
      <c r="M39" s="41">
        <v>0</v>
      </c>
      <c r="N39" s="41">
        <v>1</v>
      </c>
      <c r="O39" s="41">
        <v>0</v>
      </c>
      <c r="P39" s="41">
        <v>0</v>
      </c>
      <c r="Q39" s="222">
        <v>0</v>
      </c>
      <c r="R39" s="43" t="s">
        <v>7768</v>
      </c>
      <c r="S39" t="s">
        <v>8212</v>
      </c>
      <c r="T39" s="223" t="s">
        <v>7872</v>
      </c>
      <c r="U39" s="15">
        <v>0</v>
      </c>
      <c r="V39" s="15">
        <v>0</v>
      </c>
      <c r="W39" s="197">
        <v>0</v>
      </c>
      <c r="X39" s="197">
        <v>0</v>
      </c>
    </row>
    <row r="40" spans="1:24" customFormat="1" ht="27" x14ac:dyDescent="0.15">
      <c r="A40" s="41">
        <v>908077</v>
      </c>
      <c r="B40" t="s">
        <v>8213</v>
      </c>
      <c r="C40" s="41" t="s">
        <v>107</v>
      </c>
      <c r="D40" s="41">
        <v>1001</v>
      </c>
      <c r="E40" s="41">
        <v>2</v>
      </c>
      <c r="F40" s="41">
        <v>0</v>
      </c>
      <c r="G40" s="41">
        <v>0</v>
      </c>
      <c r="H40" s="41">
        <v>0</v>
      </c>
      <c r="I40" s="41">
        <v>1</v>
      </c>
      <c r="J40" s="41" t="b">
        <v>0</v>
      </c>
      <c r="K40" s="41">
        <v>-1</v>
      </c>
      <c r="L40" s="41">
        <v>0</v>
      </c>
      <c r="M40" s="41">
        <v>0</v>
      </c>
      <c r="N40" s="41">
        <v>1</v>
      </c>
      <c r="O40" s="41">
        <v>0</v>
      </c>
      <c r="P40" s="41">
        <v>0</v>
      </c>
      <c r="Q40" s="222">
        <v>0</v>
      </c>
      <c r="R40" s="43" t="s">
        <v>7768</v>
      </c>
      <c r="S40" t="s">
        <v>8214</v>
      </c>
      <c r="T40" s="223" t="s">
        <v>7874</v>
      </c>
      <c r="U40" s="15">
        <v>0</v>
      </c>
      <c r="V40" s="15">
        <v>0</v>
      </c>
      <c r="W40" s="197">
        <v>0</v>
      </c>
      <c r="X40" s="197">
        <v>0</v>
      </c>
    </row>
    <row r="41" spans="1:24" customFormat="1" ht="27" x14ac:dyDescent="0.15">
      <c r="A41" s="41">
        <v>908078</v>
      </c>
      <c r="B41" t="s">
        <v>8215</v>
      </c>
      <c r="C41" s="41" t="s">
        <v>107</v>
      </c>
      <c r="D41" s="41">
        <v>1001</v>
      </c>
      <c r="E41" s="41">
        <v>2</v>
      </c>
      <c r="F41" s="41">
        <v>0</v>
      </c>
      <c r="G41" s="41">
        <v>0</v>
      </c>
      <c r="H41" s="41">
        <v>0</v>
      </c>
      <c r="I41" s="41">
        <v>1</v>
      </c>
      <c r="J41" s="41" t="b">
        <v>0</v>
      </c>
      <c r="K41" s="41">
        <v>-1</v>
      </c>
      <c r="L41" s="41">
        <v>0</v>
      </c>
      <c r="M41" s="41">
        <v>0</v>
      </c>
      <c r="N41" s="41">
        <v>1</v>
      </c>
      <c r="O41" s="41">
        <v>0</v>
      </c>
      <c r="P41" s="41" t="s">
        <v>7876</v>
      </c>
      <c r="Q41" s="222" t="s">
        <v>7788</v>
      </c>
      <c r="R41" s="43" t="s">
        <v>7768</v>
      </c>
      <c r="S41" t="s">
        <v>8216</v>
      </c>
      <c r="T41" s="223" t="s">
        <v>7877</v>
      </c>
      <c r="U41" s="15">
        <v>0</v>
      </c>
      <c r="V41" s="15">
        <v>0</v>
      </c>
      <c r="W41" s="197">
        <v>0</v>
      </c>
      <c r="X41" s="197">
        <v>0</v>
      </c>
    </row>
    <row r="42" spans="1:24" customFormat="1" ht="27" x14ac:dyDescent="0.15">
      <c r="A42" s="41">
        <v>908079</v>
      </c>
      <c r="B42" t="s">
        <v>8217</v>
      </c>
      <c r="C42" s="41" t="s">
        <v>107</v>
      </c>
      <c r="D42" s="41">
        <v>1001</v>
      </c>
      <c r="E42" s="41">
        <v>1</v>
      </c>
      <c r="F42" s="41">
        <v>0</v>
      </c>
      <c r="G42" s="41">
        <v>15</v>
      </c>
      <c r="H42" s="41">
        <v>0</v>
      </c>
      <c r="I42" s="41">
        <v>999</v>
      </c>
      <c r="J42" s="41" t="b">
        <v>1</v>
      </c>
      <c r="K42" s="41">
        <v>750</v>
      </c>
      <c r="L42" s="41">
        <v>0</v>
      </c>
      <c r="M42" s="41">
        <v>0</v>
      </c>
      <c r="N42" s="41">
        <v>1</v>
      </c>
      <c r="O42" s="41">
        <v>0</v>
      </c>
      <c r="P42" s="41">
        <v>0</v>
      </c>
      <c r="Q42" s="222">
        <v>0</v>
      </c>
      <c r="R42" s="43" t="s">
        <v>7768</v>
      </c>
      <c r="S42" t="s">
        <v>8218</v>
      </c>
      <c r="T42" s="223" t="s">
        <v>7879</v>
      </c>
      <c r="U42" s="15">
        <v>0</v>
      </c>
      <c r="V42" s="15">
        <v>0</v>
      </c>
      <c r="W42" s="197">
        <v>0</v>
      </c>
      <c r="X42" s="197">
        <v>0</v>
      </c>
    </row>
    <row r="43" spans="1:24" customFormat="1" ht="27" x14ac:dyDescent="0.15">
      <c r="A43" s="41">
        <v>908080</v>
      </c>
      <c r="B43" t="s">
        <v>8219</v>
      </c>
      <c r="C43" s="41" t="s">
        <v>107</v>
      </c>
      <c r="D43" s="41">
        <v>1001</v>
      </c>
      <c r="E43" s="41">
        <v>1</v>
      </c>
      <c r="F43" s="41">
        <v>0</v>
      </c>
      <c r="G43" s="41">
        <v>29</v>
      </c>
      <c r="H43" s="41">
        <v>0</v>
      </c>
      <c r="I43" s="41">
        <v>999</v>
      </c>
      <c r="J43" s="41" t="b">
        <v>1</v>
      </c>
      <c r="K43" s="41">
        <v>600</v>
      </c>
      <c r="L43" s="41">
        <v>0</v>
      </c>
      <c r="M43" s="41">
        <v>0</v>
      </c>
      <c r="N43" s="41">
        <v>1</v>
      </c>
      <c r="O43" s="41">
        <v>0</v>
      </c>
      <c r="P43" s="41">
        <v>0</v>
      </c>
      <c r="Q43" s="222">
        <v>0</v>
      </c>
      <c r="R43" s="43" t="s">
        <v>7768</v>
      </c>
      <c r="S43" t="s">
        <v>8220</v>
      </c>
      <c r="T43" s="223" t="s">
        <v>7881</v>
      </c>
      <c r="U43" s="15">
        <v>0</v>
      </c>
      <c r="V43" s="15">
        <v>0</v>
      </c>
      <c r="W43" s="197">
        <v>0</v>
      </c>
      <c r="X43" s="197">
        <v>0</v>
      </c>
    </row>
    <row r="44" spans="1:24" customFormat="1" ht="27" x14ac:dyDescent="0.15">
      <c r="A44" s="41">
        <v>908081</v>
      </c>
      <c r="B44" t="s">
        <v>8221</v>
      </c>
      <c r="C44" s="41" t="s">
        <v>107</v>
      </c>
      <c r="D44" s="41">
        <v>1001</v>
      </c>
      <c r="E44" s="41">
        <v>2</v>
      </c>
      <c r="F44" s="41">
        <v>0</v>
      </c>
      <c r="G44" s="41">
        <v>29</v>
      </c>
      <c r="H44" s="41">
        <v>0</v>
      </c>
      <c r="I44" s="41">
        <v>999</v>
      </c>
      <c r="J44" s="41" t="b">
        <v>1</v>
      </c>
      <c r="K44" s="41">
        <v>550</v>
      </c>
      <c r="L44" s="41">
        <v>0</v>
      </c>
      <c r="M44" s="41">
        <v>0</v>
      </c>
      <c r="N44" s="41">
        <v>1</v>
      </c>
      <c r="O44" s="41">
        <v>0</v>
      </c>
      <c r="P44" s="41">
        <v>0</v>
      </c>
      <c r="Q44" s="222">
        <v>0</v>
      </c>
      <c r="R44" s="43" t="s">
        <v>7768</v>
      </c>
      <c r="S44" t="s">
        <v>8222</v>
      </c>
      <c r="T44" s="223" t="s">
        <v>7883</v>
      </c>
      <c r="U44" s="15">
        <v>0</v>
      </c>
      <c r="V44" s="15">
        <v>0</v>
      </c>
      <c r="W44" s="197">
        <v>0</v>
      </c>
      <c r="X44" s="197">
        <v>0</v>
      </c>
    </row>
    <row r="45" spans="1:24" ht="27" x14ac:dyDescent="0.15">
      <c r="A45" s="41">
        <v>908082</v>
      </c>
      <c r="B45" t="s">
        <v>8223</v>
      </c>
      <c r="C45" s="41" t="s">
        <v>107</v>
      </c>
      <c r="D45" s="41">
        <v>1001</v>
      </c>
      <c r="E45" s="41">
        <v>2</v>
      </c>
      <c r="F45" s="41">
        <v>0</v>
      </c>
      <c r="G45" s="41">
        <v>0</v>
      </c>
      <c r="H45" s="41">
        <v>0</v>
      </c>
      <c r="I45" s="41">
        <v>1</v>
      </c>
      <c r="J45" s="41" t="b">
        <v>0</v>
      </c>
      <c r="K45" s="41">
        <v>-1</v>
      </c>
      <c r="L45" s="41">
        <v>0</v>
      </c>
      <c r="M45" s="41">
        <v>0</v>
      </c>
      <c r="N45" s="41">
        <v>1</v>
      </c>
      <c r="O45" s="41">
        <v>0</v>
      </c>
      <c r="P45" s="41" t="s">
        <v>7885</v>
      </c>
      <c r="Q45" s="222" t="s">
        <v>7788</v>
      </c>
      <c r="R45" s="43" t="s">
        <v>7768</v>
      </c>
      <c r="S45" t="s">
        <v>8224</v>
      </c>
      <c r="T45" s="223" t="s">
        <v>7840</v>
      </c>
      <c r="U45" s="15">
        <v>0</v>
      </c>
      <c r="V45" s="15">
        <v>0</v>
      </c>
      <c r="W45" s="197">
        <v>0</v>
      </c>
      <c r="X45" s="197">
        <v>0</v>
      </c>
    </row>
    <row r="46" spans="1:24" ht="27" x14ac:dyDescent="0.15">
      <c r="A46" s="41">
        <v>908085</v>
      </c>
      <c r="B46" t="s">
        <v>8225</v>
      </c>
      <c r="C46" s="41" t="s">
        <v>107</v>
      </c>
      <c r="D46" s="41">
        <v>1001</v>
      </c>
      <c r="E46" s="41">
        <v>2</v>
      </c>
      <c r="F46" s="41">
        <v>0</v>
      </c>
      <c r="G46" s="41">
        <v>0</v>
      </c>
      <c r="H46" s="41">
        <v>0</v>
      </c>
      <c r="I46" s="41">
        <v>1</v>
      </c>
      <c r="J46" s="41" t="b">
        <v>0</v>
      </c>
      <c r="K46" s="41">
        <v>-1</v>
      </c>
      <c r="L46" s="41">
        <v>0</v>
      </c>
      <c r="M46" s="41">
        <v>0</v>
      </c>
      <c r="N46" s="41">
        <v>1</v>
      </c>
      <c r="O46" s="41">
        <v>0</v>
      </c>
      <c r="P46" s="41">
        <v>0</v>
      </c>
      <c r="Q46" s="222">
        <v>0</v>
      </c>
      <c r="R46" s="43" t="s">
        <v>7768</v>
      </c>
      <c r="S46" t="s">
        <v>8226</v>
      </c>
      <c r="T46" s="223" t="s">
        <v>7840</v>
      </c>
      <c r="U46" s="15">
        <v>0</v>
      </c>
      <c r="V46" s="15">
        <v>0</v>
      </c>
      <c r="W46" s="197">
        <v>0</v>
      </c>
      <c r="X46" s="197">
        <v>0</v>
      </c>
    </row>
    <row r="47" spans="1:24" ht="27" x14ac:dyDescent="0.15">
      <c r="A47" s="41">
        <v>908086</v>
      </c>
      <c r="B47" t="s">
        <v>8225</v>
      </c>
      <c r="C47" s="41" t="s">
        <v>107</v>
      </c>
      <c r="D47" s="41">
        <v>1001</v>
      </c>
      <c r="E47" s="41">
        <v>2</v>
      </c>
      <c r="F47" s="41">
        <v>0</v>
      </c>
      <c r="G47" s="41">
        <v>0</v>
      </c>
      <c r="H47" s="41">
        <v>0</v>
      </c>
      <c r="I47" s="41">
        <v>1</v>
      </c>
      <c r="J47" s="41" t="b">
        <v>0</v>
      </c>
      <c r="K47" s="41">
        <v>-1</v>
      </c>
      <c r="L47" s="41">
        <v>0</v>
      </c>
      <c r="M47" s="41">
        <v>0</v>
      </c>
      <c r="N47" s="41">
        <v>1</v>
      </c>
      <c r="O47" s="41">
        <v>0</v>
      </c>
      <c r="P47" s="41">
        <v>0</v>
      </c>
      <c r="Q47" s="222">
        <v>0</v>
      </c>
      <c r="R47" s="43" t="s">
        <v>7768</v>
      </c>
      <c r="S47" t="s">
        <v>8227</v>
      </c>
      <c r="T47" s="223" t="s">
        <v>7840</v>
      </c>
      <c r="U47" s="15">
        <v>0</v>
      </c>
      <c r="V47" s="15">
        <v>0</v>
      </c>
      <c r="W47" s="197">
        <v>0</v>
      </c>
      <c r="X47" s="197">
        <v>0</v>
      </c>
    </row>
    <row r="48" spans="1:24" ht="27" x14ac:dyDescent="0.15">
      <c r="A48" s="41">
        <v>908087</v>
      </c>
      <c r="B48" t="s">
        <v>8225</v>
      </c>
      <c r="C48" s="41" t="s">
        <v>107</v>
      </c>
      <c r="D48" s="41">
        <v>1001</v>
      </c>
      <c r="E48" s="41">
        <v>2</v>
      </c>
      <c r="F48" s="41">
        <v>0</v>
      </c>
      <c r="G48" s="41">
        <v>0</v>
      </c>
      <c r="H48" s="41">
        <v>0</v>
      </c>
      <c r="I48" s="41">
        <v>1</v>
      </c>
      <c r="J48" s="41" t="b">
        <v>0</v>
      </c>
      <c r="K48" s="41">
        <v>-1</v>
      </c>
      <c r="L48" s="41">
        <v>0</v>
      </c>
      <c r="M48" s="41">
        <v>0</v>
      </c>
      <c r="N48" s="41">
        <v>1</v>
      </c>
      <c r="O48" s="41">
        <v>0</v>
      </c>
      <c r="P48" s="41">
        <v>0</v>
      </c>
      <c r="Q48" s="222">
        <v>0</v>
      </c>
      <c r="R48" s="43" t="s">
        <v>7768</v>
      </c>
      <c r="S48" t="s">
        <v>8228</v>
      </c>
      <c r="T48" s="223" t="s">
        <v>7840</v>
      </c>
      <c r="U48" s="15">
        <v>0</v>
      </c>
      <c r="V48" s="15">
        <v>0</v>
      </c>
      <c r="W48" s="197">
        <v>0</v>
      </c>
      <c r="X48" s="197">
        <v>0</v>
      </c>
    </row>
    <row r="49" spans="1:24" ht="27" x14ac:dyDescent="0.15">
      <c r="A49" s="41">
        <v>908088</v>
      </c>
      <c r="B49" t="s">
        <v>8229</v>
      </c>
      <c r="C49" s="41" t="s">
        <v>107</v>
      </c>
      <c r="D49" s="41">
        <v>1001</v>
      </c>
      <c r="E49" s="41">
        <v>2</v>
      </c>
      <c r="F49" s="41">
        <v>0</v>
      </c>
      <c r="G49" s="41">
        <v>0</v>
      </c>
      <c r="H49" s="41">
        <v>0</v>
      </c>
      <c r="I49" s="41">
        <v>1</v>
      </c>
      <c r="J49" s="41" t="b">
        <v>1</v>
      </c>
      <c r="K49" s="41">
        <v>-1</v>
      </c>
      <c r="L49" s="41">
        <v>0</v>
      </c>
      <c r="M49" s="41">
        <v>0</v>
      </c>
      <c r="N49" s="41">
        <v>1</v>
      </c>
      <c r="O49" s="41">
        <v>0</v>
      </c>
      <c r="P49" s="41" t="s">
        <v>7891</v>
      </c>
      <c r="Q49" s="222" t="s">
        <v>7788</v>
      </c>
      <c r="R49" s="43" t="s">
        <v>7768</v>
      </c>
      <c r="S49" t="s">
        <v>8230</v>
      </c>
      <c r="T49" s="223" t="s">
        <v>3993</v>
      </c>
      <c r="U49" s="15">
        <v>0</v>
      </c>
      <c r="V49" s="15">
        <v>0</v>
      </c>
      <c r="W49" s="197">
        <v>0</v>
      </c>
      <c r="X49" s="197">
        <v>0</v>
      </c>
    </row>
    <row r="50" spans="1:24" ht="28.9" customHeight="1" x14ac:dyDescent="0.15">
      <c r="A50" s="41">
        <v>909089</v>
      </c>
      <c r="B50" t="s">
        <v>8231</v>
      </c>
      <c r="C50" s="41" t="s">
        <v>107</v>
      </c>
      <c r="D50" s="41">
        <v>1001</v>
      </c>
      <c r="E50" s="41">
        <v>7</v>
      </c>
      <c r="F50" s="41">
        <v>0</v>
      </c>
      <c r="G50" s="41">
        <v>0</v>
      </c>
      <c r="H50" s="41">
        <v>0</v>
      </c>
      <c r="I50" s="41">
        <v>1</v>
      </c>
      <c r="J50" s="41" t="b">
        <v>0</v>
      </c>
      <c r="K50" s="41">
        <v>-1</v>
      </c>
      <c r="L50" s="41">
        <v>0</v>
      </c>
      <c r="M50" s="41">
        <v>0</v>
      </c>
      <c r="N50" s="41">
        <v>1</v>
      </c>
      <c r="O50" s="41">
        <v>0</v>
      </c>
      <c r="P50" s="41">
        <v>0</v>
      </c>
      <c r="Q50" s="222">
        <v>0</v>
      </c>
      <c r="R50" s="43" t="s">
        <v>7768</v>
      </c>
      <c r="S50" t="s">
        <v>8232</v>
      </c>
      <c r="T50" s="223" t="s">
        <v>7895</v>
      </c>
      <c r="U50" s="15">
        <v>0</v>
      </c>
      <c r="V50" s="15">
        <v>0</v>
      </c>
      <c r="W50" s="197">
        <v>0</v>
      </c>
      <c r="X50" s="197">
        <v>0</v>
      </c>
    </row>
    <row r="51" spans="1:24" ht="28.9" customHeight="1" x14ac:dyDescent="0.15">
      <c r="A51" s="41">
        <v>909090</v>
      </c>
      <c r="B51" t="s">
        <v>8233</v>
      </c>
      <c r="C51" s="41" t="s">
        <v>107</v>
      </c>
      <c r="D51" s="41">
        <v>1001</v>
      </c>
      <c r="E51" s="41">
        <v>7</v>
      </c>
      <c r="F51" s="41">
        <v>0</v>
      </c>
      <c r="G51" s="41">
        <v>0</v>
      </c>
      <c r="H51" s="41">
        <v>0</v>
      </c>
      <c r="I51" s="41">
        <v>1</v>
      </c>
      <c r="J51" s="41" t="b">
        <v>0</v>
      </c>
      <c r="K51" s="41">
        <v>-1</v>
      </c>
      <c r="L51" s="41">
        <v>0</v>
      </c>
      <c r="M51" s="41">
        <v>0</v>
      </c>
      <c r="N51" s="41">
        <v>1</v>
      </c>
      <c r="O51" s="41">
        <v>0</v>
      </c>
      <c r="P51" s="41">
        <v>0</v>
      </c>
      <c r="Q51" s="222">
        <v>0</v>
      </c>
      <c r="R51" s="43" t="s">
        <v>7768</v>
      </c>
      <c r="S51" t="s">
        <v>8234</v>
      </c>
      <c r="T51" s="223" t="s">
        <v>7898</v>
      </c>
      <c r="U51" s="15">
        <v>0</v>
      </c>
      <c r="V51" s="15">
        <v>0</v>
      </c>
      <c r="W51" s="197">
        <v>0</v>
      </c>
      <c r="X51" s="197">
        <v>0</v>
      </c>
    </row>
    <row r="52" spans="1:24" ht="28.9" customHeight="1" x14ac:dyDescent="0.15">
      <c r="A52" s="41">
        <v>909091</v>
      </c>
      <c r="B52" t="s">
        <v>8235</v>
      </c>
      <c r="C52" s="41" t="s">
        <v>107</v>
      </c>
      <c r="D52" s="41">
        <v>1001</v>
      </c>
      <c r="E52" s="41">
        <v>7</v>
      </c>
      <c r="F52" s="41">
        <v>0</v>
      </c>
      <c r="G52" s="41">
        <v>0</v>
      </c>
      <c r="H52" s="41">
        <v>0</v>
      </c>
      <c r="I52" s="41">
        <v>1</v>
      </c>
      <c r="J52" s="41" t="b">
        <v>0</v>
      </c>
      <c r="K52" s="41">
        <v>-1</v>
      </c>
      <c r="L52" s="41">
        <v>0</v>
      </c>
      <c r="M52" s="41">
        <v>0</v>
      </c>
      <c r="N52" s="41">
        <v>1</v>
      </c>
      <c r="O52" s="41">
        <v>0</v>
      </c>
      <c r="P52" s="41">
        <v>0</v>
      </c>
      <c r="Q52" s="222">
        <v>0</v>
      </c>
      <c r="R52" s="43" t="s">
        <v>7768</v>
      </c>
      <c r="S52" t="s">
        <v>8236</v>
      </c>
      <c r="T52" s="223" t="s">
        <v>7901</v>
      </c>
      <c r="U52" s="15">
        <v>0</v>
      </c>
      <c r="V52" s="15">
        <v>0</v>
      </c>
      <c r="W52" s="197">
        <v>0</v>
      </c>
      <c r="X52" s="197">
        <v>0</v>
      </c>
    </row>
    <row r="53" spans="1:24" ht="28.9" customHeight="1" x14ac:dyDescent="0.15">
      <c r="A53" s="41">
        <v>909092</v>
      </c>
      <c r="B53" t="s">
        <v>8237</v>
      </c>
      <c r="C53" s="41" t="s">
        <v>107</v>
      </c>
      <c r="D53" s="41">
        <v>1001</v>
      </c>
      <c r="E53" s="41">
        <v>1</v>
      </c>
      <c r="F53" s="41">
        <v>0</v>
      </c>
      <c r="G53" s="41">
        <v>0</v>
      </c>
      <c r="H53" s="41">
        <v>0</v>
      </c>
      <c r="I53" s="41">
        <v>999</v>
      </c>
      <c r="J53" s="41" t="b">
        <v>0</v>
      </c>
      <c r="K53" s="41">
        <v>-1</v>
      </c>
      <c r="L53" s="41">
        <v>0</v>
      </c>
      <c r="M53" s="41">
        <v>0</v>
      </c>
      <c r="N53" s="41">
        <v>1</v>
      </c>
      <c r="O53" s="41">
        <v>0</v>
      </c>
      <c r="P53" s="41">
        <v>0</v>
      </c>
      <c r="Q53" s="222">
        <v>0</v>
      </c>
      <c r="R53" s="43" t="s">
        <v>7768</v>
      </c>
      <c r="S53" t="s">
        <v>8238</v>
      </c>
      <c r="T53" s="223" t="s">
        <v>7895</v>
      </c>
      <c r="U53" s="15">
        <v>0</v>
      </c>
      <c r="V53" s="15">
        <v>0</v>
      </c>
      <c r="W53" s="197">
        <v>0</v>
      </c>
      <c r="X53" s="197">
        <v>0</v>
      </c>
    </row>
    <row r="54" spans="1:24" ht="28.9" customHeight="1" x14ac:dyDescent="0.15">
      <c r="A54" s="41">
        <v>909093</v>
      </c>
      <c r="B54" t="s">
        <v>8239</v>
      </c>
      <c r="C54" s="41" t="s">
        <v>107</v>
      </c>
      <c r="D54" s="41">
        <v>1001</v>
      </c>
      <c r="E54" s="41">
        <v>1</v>
      </c>
      <c r="F54" s="41">
        <v>0</v>
      </c>
      <c r="G54" s="41">
        <v>0</v>
      </c>
      <c r="H54" s="41">
        <v>0</v>
      </c>
      <c r="I54" s="41">
        <v>999</v>
      </c>
      <c r="J54" s="41" t="b">
        <v>0</v>
      </c>
      <c r="K54" s="41">
        <v>-1</v>
      </c>
      <c r="L54" s="41">
        <v>0</v>
      </c>
      <c r="M54" s="41">
        <v>0</v>
      </c>
      <c r="N54" s="41">
        <v>1</v>
      </c>
      <c r="O54" s="41">
        <v>0</v>
      </c>
      <c r="P54" s="41">
        <v>0</v>
      </c>
      <c r="Q54" s="222">
        <v>0</v>
      </c>
      <c r="R54" s="43" t="s">
        <v>7768</v>
      </c>
      <c r="S54" t="s">
        <v>8238</v>
      </c>
      <c r="T54" s="223" t="s">
        <v>7898</v>
      </c>
      <c r="U54" s="15">
        <v>0</v>
      </c>
      <c r="V54" s="15">
        <v>0</v>
      </c>
      <c r="W54" s="197">
        <v>0</v>
      </c>
      <c r="X54" s="197">
        <v>0</v>
      </c>
    </row>
    <row r="55" spans="1:24" ht="28.9" customHeight="1" x14ac:dyDescent="0.15">
      <c r="A55" s="41">
        <v>909094</v>
      </c>
      <c r="B55" t="s">
        <v>8235</v>
      </c>
      <c r="C55" s="41" t="s">
        <v>107</v>
      </c>
      <c r="D55" s="41">
        <v>1001</v>
      </c>
      <c r="E55" s="41">
        <v>1</v>
      </c>
      <c r="F55" s="41">
        <v>0</v>
      </c>
      <c r="G55" s="41">
        <v>0</v>
      </c>
      <c r="H55" s="41">
        <v>0</v>
      </c>
      <c r="I55" s="41">
        <v>999</v>
      </c>
      <c r="J55" s="41" t="b">
        <v>0</v>
      </c>
      <c r="K55" s="41">
        <v>-1</v>
      </c>
      <c r="L55" s="41">
        <v>0</v>
      </c>
      <c r="M55" s="41">
        <v>0</v>
      </c>
      <c r="N55" s="41">
        <v>1</v>
      </c>
      <c r="O55" s="41">
        <v>0</v>
      </c>
      <c r="P55" s="41">
        <v>0</v>
      </c>
      <c r="Q55" s="222">
        <v>0</v>
      </c>
      <c r="R55" s="43" t="s">
        <v>7768</v>
      </c>
      <c r="S55" t="s">
        <v>8238</v>
      </c>
      <c r="T55" s="223" t="s">
        <v>7901</v>
      </c>
      <c r="U55" s="15">
        <v>0</v>
      </c>
      <c r="V55" s="15">
        <v>0</v>
      </c>
      <c r="W55" s="197">
        <v>0</v>
      </c>
      <c r="X55" s="197">
        <v>0</v>
      </c>
    </row>
    <row r="56" spans="1:24" ht="28.9" customHeight="1" x14ac:dyDescent="0.15">
      <c r="A56" s="41">
        <v>909095</v>
      </c>
      <c r="B56" t="s">
        <v>8240</v>
      </c>
      <c r="C56" s="41" t="s">
        <v>107</v>
      </c>
      <c r="D56" s="41">
        <v>1001</v>
      </c>
      <c r="E56" s="41">
        <v>4</v>
      </c>
      <c r="F56" s="41">
        <v>0</v>
      </c>
      <c r="G56" s="41">
        <v>0</v>
      </c>
      <c r="H56" s="41">
        <v>0</v>
      </c>
      <c r="I56" s="41">
        <v>1</v>
      </c>
      <c r="J56" s="41" t="b">
        <v>0</v>
      </c>
      <c r="K56" s="41">
        <v>-1</v>
      </c>
      <c r="L56" s="41">
        <v>0</v>
      </c>
      <c r="M56" s="41">
        <v>0</v>
      </c>
      <c r="N56" s="41">
        <v>1</v>
      </c>
      <c r="O56" s="41">
        <v>0</v>
      </c>
      <c r="P56" s="41">
        <v>0</v>
      </c>
      <c r="Q56" s="222">
        <v>0</v>
      </c>
      <c r="R56" s="43" t="s">
        <v>7768</v>
      </c>
      <c r="S56" t="s">
        <v>8241</v>
      </c>
      <c r="T56" s="223" t="s">
        <v>7908</v>
      </c>
      <c r="U56" s="15">
        <v>0</v>
      </c>
      <c r="V56" s="15">
        <v>0</v>
      </c>
      <c r="W56" s="197">
        <v>0</v>
      </c>
      <c r="X56" s="197">
        <v>0</v>
      </c>
    </row>
    <row r="57" spans="1:24" ht="28.9" customHeight="1" x14ac:dyDescent="0.15">
      <c r="A57" s="41">
        <v>909096</v>
      </c>
      <c r="B57" t="s">
        <v>8242</v>
      </c>
      <c r="C57" s="41" t="s">
        <v>107</v>
      </c>
      <c r="D57" s="41">
        <v>1001</v>
      </c>
      <c r="E57" s="41">
        <v>4</v>
      </c>
      <c r="F57" s="41">
        <v>0</v>
      </c>
      <c r="G57" s="41">
        <v>0</v>
      </c>
      <c r="H57" s="41">
        <v>0</v>
      </c>
      <c r="I57" s="41">
        <v>1</v>
      </c>
      <c r="J57" s="41" t="b">
        <v>0</v>
      </c>
      <c r="K57" s="41">
        <v>-1</v>
      </c>
      <c r="L57" s="41">
        <v>0</v>
      </c>
      <c r="M57" s="41">
        <v>0</v>
      </c>
      <c r="N57" s="41">
        <v>1</v>
      </c>
      <c r="O57" s="41">
        <v>0</v>
      </c>
      <c r="P57" s="41">
        <v>0</v>
      </c>
      <c r="Q57" s="222">
        <v>0</v>
      </c>
      <c r="R57" s="43" t="s">
        <v>7768</v>
      </c>
      <c r="S57" t="s">
        <v>8241</v>
      </c>
      <c r="T57" s="223" t="s">
        <v>7910</v>
      </c>
      <c r="U57" s="15">
        <v>0</v>
      </c>
      <c r="V57" s="15">
        <v>0</v>
      </c>
      <c r="W57" s="197">
        <v>0</v>
      </c>
      <c r="X57" s="197">
        <v>0</v>
      </c>
    </row>
    <row r="58" spans="1:24" ht="28.9" customHeight="1" x14ac:dyDescent="0.15">
      <c r="A58" s="41">
        <v>909097</v>
      </c>
      <c r="B58" t="s">
        <v>8243</v>
      </c>
      <c r="C58" s="41" t="s">
        <v>107</v>
      </c>
      <c r="D58" s="41">
        <v>1001</v>
      </c>
      <c r="E58" s="41">
        <v>4</v>
      </c>
      <c r="F58" s="41">
        <v>0</v>
      </c>
      <c r="G58" s="41">
        <v>0</v>
      </c>
      <c r="H58" s="41">
        <v>0</v>
      </c>
      <c r="I58" s="41">
        <v>1</v>
      </c>
      <c r="J58" s="41" t="b">
        <v>0</v>
      </c>
      <c r="K58" s="41">
        <v>-1</v>
      </c>
      <c r="L58" s="41">
        <v>0</v>
      </c>
      <c r="M58" s="41">
        <v>0</v>
      </c>
      <c r="N58" s="41">
        <v>1</v>
      </c>
      <c r="O58" s="41">
        <v>0</v>
      </c>
      <c r="P58" s="41">
        <v>0</v>
      </c>
      <c r="Q58" s="222">
        <v>0</v>
      </c>
      <c r="R58" s="43" t="s">
        <v>7768</v>
      </c>
      <c r="S58" t="s">
        <v>8241</v>
      </c>
      <c r="T58" s="223" t="s">
        <v>7473</v>
      </c>
      <c r="U58" s="15">
        <v>0</v>
      </c>
      <c r="V58" s="15">
        <v>0</v>
      </c>
      <c r="W58" s="197">
        <v>0</v>
      </c>
      <c r="X58" s="197">
        <v>0</v>
      </c>
    </row>
    <row r="59" spans="1:24" ht="28.9" customHeight="1" x14ac:dyDescent="0.15">
      <c r="A59" s="41">
        <v>909098</v>
      </c>
      <c r="B59" t="s">
        <v>8244</v>
      </c>
      <c r="C59" s="41" t="s">
        <v>107</v>
      </c>
      <c r="D59" s="41">
        <v>1001</v>
      </c>
      <c r="E59" s="41">
        <v>4</v>
      </c>
      <c r="F59" s="41">
        <v>0</v>
      </c>
      <c r="G59" s="41">
        <v>0</v>
      </c>
      <c r="H59" s="41">
        <v>0</v>
      </c>
      <c r="I59" s="41">
        <v>1</v>
      </c>
      <c r="J59" s="41" t="b">
        <v>0</v>
      </c>
      <c r="K59" s="41">
        <v>-1</v>
      </c>
      <c r="L59" s="41">
        <v>0</v>
      </c>
      <c r="M59" s="41">
        <v>0</v>
      </c>
      <c r="N59" s="41">
        <v>1</v>
      </c>
      <c r="O59" s="41">
        <v>0</v>
      </c>
      <c r="P59" s="41">
        <v>0</v>
      </c>
      <c r="Q59" s="222">
        <v>0</v>
      </c>
      <c r="R59" s="43" t="s">
        <v>7768</v>
      </c>
      <c r="S59" t="s">
        <v>8241</v>
      </c>
      <c r="T59" s="223" t="s">
        <v>7913</v>
      </c>
      <c r="U59" s="15">
        <v>0</v>
      </c>
      <c r="V59" s="15">
        <v>0</v>
      </c>
      <c r="W59" s="197">
        <v>0</v>
      </c>
      <c r="X59" s="197">
        <v>0</v>
      </c>
    </row>
    <row r="60" spans="1:24" ht="28.9" customHeight="1" x14ac:dyDescent="0.15">
      <c r="A60" s="41">
        <v>909099</v>
      </c>
      <c r="B60" t="s">
        <v>8245</v>
      </c>
      <c r="C60" s="41" t="s">
        <v>107</v>
      </c>
      <c r="D60" s="41">
        <v>1001</v>
      </c>
      <c r="E60" s="41">
        <v>3</v>
      </c>
      <c r="F60" s="41">
        <v>0</v>
      </c>
      <c r="G60" s="41">
        <v>0</v>
      </c>
      <c r="H60" s="41">
        <v>0</v>
      </c>
      <c r="I60" s="41">
        <v>1</v>
      </c>
      <c r="J60" s="41" t="b">
        <v>0</v>
      </c>
      <c r="K60" s="41">
        <v>-1</v>
      </c>
      <c r="L60" s="41">
        <v>0</v>
      </c>
      <c r="M60" s="41">
        <v>0</v>
      </c>
      <c r="N60" s="41">
        <v>1</v>
      </c>
      <c r="O60" s="41">
        <v>0</v>
      </c>
      <c r="P60" s="41">
        <v>0</v>
      </c>
      <c r="Q60" s="222">
        <v>0</v>
      </c>
      <c r="R60" s="43" t="s">
        <v>7768</v>
      </c>
      <c r="S60" t="s">
        <v>8246</v>
      </c>
      <c r="T60" s="223" t="s">
        <v>7916</v>
      </c>
      <c r="U60" s="15">
        <v>0</v>
      </c>
      <c r="V60" s="15">
        <v>0</v>
      </c>
      <c r="W60" s="197">
        <v>0</v>
      </c>
      <c r="X60" s="197">
        <v>0</v>
      </c>
    </row>
    <row r="61" spans="1:24" ht="28.9" customHeight="1" x14ac:dyDescent="0.15">
      <c r="A61" s="41">
        <v>909100</v>
      </c>
      <c r="B61" t="s">
        <v>8247</v>
      </c>
      <c r="C61" s="41" t="s">
        <v>107</v>
      </c>
      <c r="D61" s="41">
        <v>1001</v>
      </c>
      <c r="E61" s="41">
        <v>3</v>
      </c>
      <c r="F61" s="41">
        <v>0</v>
      </c>
      <c r="G61" s="41">
        <v>0</v>
      </c>
      <c r="H61" s="41">
        <v>0</v>
      </c>
      <c r="I61" s="41">
        <v>1</v>
      </c>
      <c r="J61" s="41" t="b">
        <v>0</v>
      </c>
      <c r="K61" s="41">
        <v>-1</v>
      </c>
      <c r="L61" s="41">
        <v>0</v>
      </c>
      <c r="M61" s="41">
        <v>0</v>
      </c>
      <c r="N61" s="41">
        <v>1</v>
      </c>
      <c r="O61" s="41">
        <v>0</v>
      </c>
      <c r="P61" s="41">
        <v>0</v>
      </c>
      <c r="Q61" s="222">
        <v>0</v>
      </c>
      <c r="R61" s="43" t="s">
        <v>7768</v>
      </c>
      <c r="S61" t="s">
        <v>8246</v>
      </c>
      <c r="T61" s="223" t="s">
        <v>7916</v>
      </c>
      <c r="U61" s="15">
        <v>0</v>
      </c>
      <c r="V61" s="15">
        <v>0</v>
      </c>
      <c r="W61" s="197">
        <v>0</v>
      </c>
      <c r="X61" s="197">
        <v>0</v>
      </c>
    </row>
    <row r="62" spans="1:24" ht="28.9" customHeight="1" x14ac:dyDescent="0.15">
      <c r="A62" s="41">
        <v>909101</v>
      </c>
      <c r="B62" t="s">
        <v>8248</v>
      </c>
      <c r="C62" s="41" t="s">
        <v>107</v>
      </c>
      <c r="D62" s="41">
        <v>1001</v>
      </c>
      <c r="E62" s="41">
        <v>3</v>
      </c>
      <c r="F62" s="41">
        <v>0</v>
      </c>
      <c r="G62" s="41">
        <v>0</v>
      </c>
      <c r="H62" s="41">
        <v>0</v>
      </c>
      <c r="I62" s="41">
        <v>1</v>
      </c>
      <c r="J62" s="41" t="b">
        <v>0</v>
      </c>
      <c r="K62" s="41">
        <v>-1</v>
      </c>
      <c r="L62" s="41">
        <v>0</v>
      </c>
      <c r="M62" s="41">
        <v>0</v>
      </c>
      <c r="N62" s="41">
        <v>1</v>
      </c>
      <c r="O62" s="41">
        <v>0</v>
      </c>
      <c r="P62" s="41">
        <v>0</v>
      </c>
      <c r="Q62" s="222">
        <v>0</v>
      </c>
      <c r="R62" s="43" t="s">
        <v>7768</v>
      </c>
      <c r="S62" t="s">
        <v>8246</v>
      </c>
      <c r="T62" s="223" t="s">
        <v>7916</v>
      </c>
      <c r="U62" s="15">
        <v>0</v>
      </c>
      <c r="V62" s="15">
        <v>0</v>
      </c>
      <c r="W62" s="197">
        <v>0</v>
      </c>
      <c r="X62" s="197">
        <v>0</v>
      </c>
    </row>
    <row r="63" spans="1:24" ht="28.9" customHeight="1" x14ac:dyDescent="0.15">
      <c r="A63" s="41">
        <v>909102</v>
      </c>
      <c r="B63" t="s">
        <v>8249</v>
      </c>
      <c r="C63" s="41" t="s">
        <v>107</v>
      </c>
      <c r="D63" s="41">
        <v>1001</v>
      </c>
      <c r="E63" s="41">
        <v>3</v>
      </c>
      <c r="F63" s="41">
        <v>0</v>
      </c>
      <c r="G63" s="41">
        <v>0</v>
      </c>
      <c r="H63" s="41">
        <v>0</v>
      </c>
      <c r="I63" s="41">
        <v>1</v>
      </c>
      <c r="J63" s="41" t="b">
        <v>0</v>
      </c>
      <c r="K63" s="41">
        <v>-1</v>
      </c>
      <c r="L63" s="41">
        <v>0</v>
      </c>
      <c r="M63" s="41">
        <v>0</v>
      </c>
      <c r="N63" s="41">
        <v>1</v>
      </c>
      <c r="O63" s="41">
        <v>0</v>
      </c>
      <c r="P63" s="41">
        <v>0</v>
      </c>
      <c r="Q63" s="222">
        <v>0</v>
      </c>
      <c r="R63" s="43" t="s">
        <v>7768</v>
      </c>
      <c r="S63" t="s">
        <v>8246</v>
      </c>
      <c r="T63" s="223" t="s">
        <v>7916</v>
      </c>
      <c r="U63" s="15">
        <v>0</v>
      </c>
      <c r="V63" s="15">
        <v>0</v>
      </c>
      <c r="W63" s="197">
        <v>0</v>
      </c>
      <c r="X63" s="197">
        <v>0</v>
      </c>
    </row>
    <row r="64" spans="1:24" ht="28.9" customHeight="1" x14ac:dyDescent="0.15">
      <c r="A64" s="41">
        <v>909103</v>
      </c>
      <c r="B64" t="s">
        <v>8250</v>
      </c>
      <c r="C64" s="41" t="s">
        <v>107</v>
      </c>
      <c r="D64" s="41">
        <v>1001</v>
      </c>
      <c r="E64" s="41">
        <v>3</v>
      </c>
      <c r="F64" s="41">
        <v>0</v>
      </c>
      <c r="G64" s="41">
        <v>0</v>
      </c>
      <c r="H64" s="41">
        <v>0</v>
      </c>
      <c r="I64" s="41">
        <v>1</v>
      </c>
      <c r="J64" s="41" t="b">
        <v>0</v>
      </c>
      <c r="K64" s="41">
        <v>-1</v>
      </c>
      <c r="L64" s="41">
        <v>0</v>
      </c>
      <c r="M64" s="41">
        <v>0</v>
      </c>
      <c r="N64" s="41">
        <v>1</v>
      </c>
      <c r="O64" s="41">
        <v>0</v>
      </c>
      <c r="P64" s="41">
        <v>0</v>
      </c>
      <c r="Q64" s="222">
        <v>0</v>
      </c>
      <c r="R64" s="43" t="s">
        <v>7768</v>
      </c>
      <c r="S64" t="s">
        <v>8246</v>
      </c>
      <c r="T64" s="223" t="s">
        <v>7916</v>
      </c>
      <c r="U64" s="15">
        <v>0</v>
      </c>
      <c r="V64" s="15">
        <v>0</v>
      </c>
      <c r="W64" s="197">
        <v>0</v>
      </c>
      <c r="X64" s="197">
        <v>0</v>
      </c>
    </row>
    <row r="65" spans="1:24" ht="28.9" customHeight="1" x14ac:dyDescent="0.15">
      <c r="A65" s="41">
        <v>909104</v>
      </c>
      <c r="B65" t="s">
        <v>8251</v>
      </c>
      <c r="C65" s="41" t="s">
        <v>107</v>
      </c>
      <c r="D65" s="41">
        <v>1001</v>
      </c>
      <c r="E65" s="41">
        <v>3</v>
      </c>
      <c r="F65" s="41">
        <v>0</v>
      </c>
      <c r="G65" s="41">
        <v>0</v>
      </c>
      <c r="H65" s="41">
        <v>0</v>
      </c>
      <c r="I65" s="41">
        <v>1</v>
      </c>
      <c r="J65" s="41" t="b">
        <v>0</v>
      </c>
      <c r="K65" s="41">
        <v>-1</v>
      </c>
      <c r="L65" s="41">
        <v>0</v>
      </c>
      <c r="M65" s="41">
        <v>0</v>
      </c>
      <c r="N65" s="41">
        <v>1</v>
      </c>
      <c r="O65" s="41">
        <v>0</v>
      </c>
      <c r="P65" s="41">
        <v>0</v>
      </c>
      <c r="Q65" s="222">
        <v>0</v>
      </c>
      <c r="R65" s="43" t="s">
        <v>7768</v>
      </c>
      <c r="S65" t="s">
        <v>8246</v>
      </c>
      <c r="T65" s="223" t="s">
        <v>7916</v>
      </c>
      <c r="U65" s="15">
        <v>0</v>
      </c>
      <c r="V65" s="15">
        <v>0</v>
      </c>
      <c r="W65" s="197">
        <v>0</v>
      </c>
      <c r="X65" s="197">
        <v>0</v>
      </c>
    </row>
    <row r="66" spans="1:24" ht="28.9" customHeight="1" x14ac:dyDescent="0.15">
      <c r="A66" s="41">
        <v>909105</v>
      </c>
      <c r="B66" t="s">
        <v>8252</v>
      </c>
      <c r="C66" s="41" t="s">
        <v>107</v>
      </c>
      <c r="D66" s="41">
        <v>1001</v>
      </c>
      <c r="E66" s="41">
        <v>3</v>
      </c>
      <c r="F66" s="41">
        <v>0</v>
      </c>
      <c r="G66" s="41">
        <v>0</v>
      </c>
      <c r="H66" s="41">
        <v>0</v>
      </c>
      <c r="I66" s="41">
        <v>1</v>
      </c>
      <c r="J66" s="41" t="b">
        <v>0</v>
      </c>
      <c r="K66" s="41">
        <v>-1</v>
      </c>
      <c r="L66" s="41">
        <v>0</v>
      </c>
      <c r="M66" s="41">
        <v>0</v>
      </c>
      <c r="N66" s="41">
        <v>1</v>
      </c>
      <c r="O66" s="41">
        <v>0</v>
      </c>
      <c r="P66" s="41">
        <v>0</v>
      </c>
      <c r="Q66" s="222">
        <v>0</v>
      </c>
      <c r="R66" s="43" t="s">
        <v>7768</v>
      </c>
      <c r="S66" t="s">
        <v>8246</v>
      </c>
      <c r="T66" s="223" t="s">
        <v>7916</v>
      </c>
      <c r="U66" s="15">
        <v>0</v>
      </c>
      <c r="V66" s="15">
        <v>0</v>
      </c>
      <c r="W66" s="197">
        <v>0</v>
      </c>
      <c r="X66" s="197">
        <v>0</v>
      </c>
    </row>
    <row r="67" spans="1:24" ht="28.9" customHeight="1" x14ac:dyDescent="0.15">
      <c r="A67" s="41">
        <v>909106</v>
      </c>
      <c r="B67" t="s">
        <v>8253</v>
      </c>
      <c r="C67" s="41" t="s">
        <v>107</v>
      </c>
      <c r="D67" s="41">
        <v>1001</v>
      </c>
      <c r="E67" s="41">
        <v>3</v>
      </c>
      <c r="F67" s="41">
        <v>0</v>
      </c>
      <c r="G67" s="41">
        <v>0</v>
      </c>
      <c r="H67" s="41">
        <v>0</v>
      </c>
      <c r="I67" s="41">
        <v>1</v>
      </c>
      <c r="J67" s="41" t="b">
        <v>0</v>
      </c>
      <c r="K67" s="41">
        <v>-1</v>
      </c>
      <c r="L67" s="41">
        <v>0</v>
      </c>
      <c r="M67" s="41">
        <v>0</v>
      </c>
      <c r="N67" s="41">
        <v>1</v>
      </c>
      <c r="O67" s="41">
        <v>0</v>
      </c>
      <c r="P67" s="41">
        <v>0</v>
      </c>
      <c r="Q67" s="222">
        <v>0</v>
      </c>
      <c r="R67" s="43" t="s">
        <v>7768</v>
      </c>
      <c r="S67" t="s">
        <v>8246</v>
      </c>
      <c r="T67" s="223" t="s">
        <v>7916</v>
      </c>
      <c r="U67" s="15">
        <v>0</v>
      </c>
      <c r="V67" s="15">
        <v>0</v>
      </c>
      <c r="W67" s="197">
        <v>0</v>
      </c>
      <c r="X67" s="197">
        <v>0</v>
      </c>
    </row>
    <row r="68" spans="1:24" ht="28.9" customHeight="1" x14ac:dyDescent="0.15">
      <c r="A68" s="41">
        <v>909107</v>
      </c>
      <c r="B68" t="s">
        <v>8254</v>
      </c>
      <c r="C68" s="41" t="s">
        <v>107</v>
      </c>
      <c r="D68" s="41">
        <v>1001</v>
      </c>
      <c r="E68" s="41">
        <v>2</v>
      </c>
      <c r="F68" s="41">
        <v>0</v>
      </c>
      <c r="G68" s="41">
        <v>0</v>
      </c>
      <c r="H68" s="41">
        <v>0</v>
      </c>
      <c r="I68" s="41">
        <v>1</v>
      </c>
      <c r="J68" s="41" t="b">
        <v>0</v>
      </c>
      <c r="K68" s="41">
        <v>-1</v>
      </c>
      <c r="L68" s="41">
        <v>0</v>
      </c>
      <c r="M68" s="41">
        <v>0</v>
      </c>
      <c r="N68" s="41">
        <v>1</v>
      </c>
      <c r="O68" s="41">
        <v>0</v>
      </c>
      <c r="P68" s="41">
        <v>0</v>
      </c>
      <c r="Q68" s="222">
        <v>0</v>
      </c>
      <c r="R68" s="43" t="s">
        <v>7768</v>
      </c>
      <c r="S68" t="s">
        <v>8255</v>
      </c>
      <c r="T68" s="223" t="s">
        <v>7926</v>
      </c>
      <c r="U68" s="15">
        <v>0</v>
      </c>
      <c r="V68" s="15">
        <v>0</v>
      </c>
      <c r="W68" s="197">
        <v>0</v>
      </c>
      <c r="X68" s="197">
        <v>0</v>
      </c>
    </row>
    <row r="69" spans="1:24" ht="28.9" customHeight="1" x14ac:dyDescent="0.15">
      <c r="A69" s="41">
        <v>909108</v>
      </c>
      <c r="B69" t="s">
        <v>8256</v>
      </c>
      <c r="C69" s="41" t="s">
        <v>107</v>
      </c>
      <c r="D69" s="41">
        <v>1001</v>
      </c>
      <c r="E69" s="41">
        <v>2</v>
      </c>
      <c r="F69" s="41">
        <v>0</v>
      </c>
      <c r="G69" s="41">
        <v>0</v>
      </c>
      <c r="H69" s="41">
        <v>0</v>
      </c>
      <c r="I69" s="41">
        <v>1</v>
      </c>
      <c r="J69" s="41" t="b">
        <v>0</v>
      </c>
      <c r="K69" s="41">
        <v>-1</v>
      </c>
      <c r="L69" s="41">
        <v>0</v>
      </c>
      <c r="M69" s="41">
        <v>0</v>
      </c>
      <c r="N69" s="41">
        <v>1</v>
      </c>
      <c r="O69" s="41">
        <v>0</v>
      </c>
      <c r="P69" s="41">
        <v>0</v>
      </c>
      <c r="Q69" s="222">
        <v>0</v>
      </c>
      <c r="R69" s="43" t="s">
        <v>7768</v>
      </c>
      <c r="S69" t="s">
        <v>8257</v>
      </c>
      <c r="T69" s="223" t="s">
        <v>1936</v>
      </c>
      <c r="U69" s="15">
        <v>0</v>
      </c>
      <c r="V69" s="15">
        <v>0</v>
      </c>
      <c r="W69" s="197">
        <v>0</v>
      </c>
      <c r="X69" s="197">
        <v>0</v>
      </c>
    </row>
    <row r="70" spans="1:24" ht="28.9" customHeight="1" x14ac:dyDescent="0.15">
      <c r="A70" s="41">
        <v>909109</v>
      </c>
      <c r="B70" t="s">
        <v>8258</v>
      </c>
      <c r="C70" s="41" t="s">
        <v>107</v>
      </c>
      <c r="D70" s="41">
        <v>1001</v>
      </c>
      <c r="E70" s="41">
        <v>2</v>
      </c>
      <c r="F70" s="41">
        <v>0</v>
      </c>
      <c r="G70" s="41">
        <v>0</v>
      </c>
      <c r="H70" s="41">
        <v>0</v>
      </c>
      <c r="I70" s="41">
        <v>1</v>
      </c>
      <c r="J70" s="41" t="b">
        <v>0</v>
      </c>
      <c r="K70" s="41">
        <v>-1</v>
      </c>
      <c r="L70" s="41">
        <v>0</v>
      </c>
      <c r="M70" s="41">
        <v>0</v>
      </c>
      <c r="N70" s="41">
        <v>1</v>
      </c>
      <c r="O70" s="41">
        <v>0</v>
      </c>
      <c r="P70" s="74" t="s">
        <v>7832</v>
      </c>
      <c r="Q70" s="222" t="s">
        <v>7788</v>
      </c>
      <c r="R70" s="43"/>
      <c r="S70" t="s">
        <v>8259</v>
      </c>
      <c r="T70" s="223" t="s">
        <v>7853</v>
      </c>
      <c r="U70" s="15">
        <v>0</v>
      </c>
      <c r="V70" s="15">
        <v>15000</v>
      </c>
      <c r="W70" s="197">
        <v>0</v>
      </c>
      <c r="X70" s="197">
        <v>0</v>
      </c>
    </row>
    <row r="71" spans="1:24" ht="28.9" customHeight="1" x14ac:dyDescent="0.15">
      <c r="A71" s="41">
        <v>909110</v>
      </c>
      <c r="B71" t="s">
        <v>8260</v>
      </c>
      <c r="C71" s="41" t="s">
        <v>107</v>
      </c>
      <c r="D71" s="41">
        <v>1001</v>
      </c>
      <c r="E71" s="41">
        <v>2</v>
      </c>
      <c r="F71" s="41">
        <v>0</v>
      </c>
      <c r="G71" s="41">
        <v>0</v>
      </c>
      <c r="H71" s="41">
        <v>0</v>
      </c>
      <c r="I71" s="41">
        <v>1</v>
      </c>
      <c r="J71" s="41" t="b">
        <v>0</v>
      </c>
      <c r="K71" s="41">
        <v>-1</v>
      </c>
      <c r="L71" s="41">
        <v>0</v>
      </c>
      <c r="M71" s="41">
        <v>0</v>
      </c>
      <c r="N71" s="41">
        <v>1</v>
      </c>
      <c r="O71" s="41">
        <v>0</v>
      </c>
      <c r="P71" s="41">
        <v>0</v>
      </c>
      <c r="Q71" s="222">
        <v>0</v>
      </c>
      <c r="R71" s="43" t="s">
        <v>7768</v>
      </c>
      <c r="S71" t="s">
        <v>8261</v>
      </c>
      <c r="T71" s="223" t="s">
        <v>7933</v>
      </c>
      <c r="U71" s="15">
        <v>0</v>
      </c>
      <c r="V71" s="15">
        <v>0</v>
      </c>
      <c r="W71" s="197">
        <v>0</v>
      </c>
      <c r="X71" s="197">
        <v>0</v>
      </c>
    </row>
    <row r="72" spans="1:24" ht="28.9" customHeight="1" x14ac:dyDescent="0.15">
      <c r="A72" s="41">
        <v>909111</v>
      </c>
      <c r="B72" t="s">
        <v>8262</v>
      </c>
      <c r="C72" s="41" t="s">
        <v>107</v>
      </c>
      <c r="D72" s="41">
        <v>1001</v>
      </c>
      <c r="E72" s="41">
        <v>2</v>
      </c>
      <c r="F72" s="41">
        <v>0</v>
      </c>
      <c r="G72" s="41">
        <v>0</v>
      </c>
      <c r="H72" s="41">
        <v>0</v>
      </c>
      <c r="I72" s="41">
        <v>1</v>
      </c>
      <c r="J72" s="41" t="b">
        <v>0</v>
      </c>
      <c r="K72" s="41">
        <v>-1</v>
      </c>
      <c r="L72" s="41">
        <v>0</v>
      </c>
      <c r="M72" s="41">
        <v>0</v>
      </c>
      <c r="N72" s="41">
        <v>1</v>
      </c>
      <c r="O72" s="41">
        <v>0</v>
      </c>
      <c r="P72" s="41">
        <v>0</v>
      </c>
      <c r="Q72" s="222">
        <v>0</v>
      </c>
      <c r="R72" s="43" t="s">
        <v>7768</v>
      </c>
      <c r="S72" t="s">
        <v>8263</v>
      </c>
      <c r="T72" s="223" t="s">
        <v>7936</v>
      </c>
      <c r="U72" s="15">
        <v>0</v>
      </c>
      <c r="V72" s="15">
        <v>0</v>
      </c>
      <c r="W72" s="197">
        <v>0</v>
      </c>
      <c r="X72" s="197">
        <v>0</v>
      </c>
    </row>
    <row r="73" spans="1:24" ht="28.9" customHeight="1" x14ac:dyDescent="0.15">
      <c r="A73" s="41">
        <v>909112</v>
      </c>
      <c r="B73" t="s">
        <v>8264</v>
      </c>
      <c r="C73" s="41" t="s">
        <v>107</v>
      </c>
      <c r="D73" s="41">
        <v>1001</v>
      </c>
      <c r="E73" s="41">
        <v>3</v>
      </c>
      <c r="F73" s="41">
        <v>0</v>
      </c>
      <c r="G73" s="41">
        <v>0</v>
      </c>
      <c r="H73" s="41">
        <v>0</v>
      </c>
      <c r="I73" s="41">
        <v>1</v>
      </c>
      <c r="J73" s="41" t="b">
        <v>0</v>
      </c>
      <c r="K73" s="41">
        <v>-1</v>
      </c>
      <c r="L73" s="41">
        <v>0</v>
      </c>
      <c r="M73" s="41">
        <v>0</v>
      </c>
      <c r="N73" s="41">
        <v>1</v>
      </c>
      <c r="O73" s="41">
        <v>0</v>
      </c>
      <c r="P73" s="41">
        <v>0</v>
      </c>
      <c r="Q73" s="222">
        <v>0</v>
      </c>
      <c r="R73" s="43" t="s">
        <v>7768</v>
      </c>
      <c r="S73" t="s">
        <v>8265</v>
      </c>
      <c r="T73" s="223" t="s">
        <v>7939</v>
      </c>
      <c r="U73" s="15">
        <v>0</v>
      </c>
      <c r="V73" s="15">
        <v>0</v>
      </c>
      <c r="W73" s="197">
        <v>0</v>
      </c>
      <c r="X73" s="197">
        <v>0</v>
      </c>
    </row>
    <row r="74" spans="1:24" ht="28.9" customHeight="1" x14ac:dyDescent="0.15">
      <c r="A74" s="41">
        <v>909113</v>
      </c>
      <c r="B74" t="s">
        <v>8266</v>
      </c>
      <c r="C74" s="41" t="s">
        <v>107</v>
      </c>
      <c r="D74" s="41">
        <v>1001</v>
      </c>
      <c r="E74" s="41">
        <v>2</v>
      </c>
      <c r="F74" s="41">
        <v>0</v>
      </c>
      <c r="G74" s="41">
        <v>0</v>
      </c>
      <c r="H74" s="41">
        <v>0</v>
      </c>
      <c r="I74" s="41">
        <v>1</v>
      </c>
      <c r="J74" s="41" t="b">
        <v>0</v>
      </c>
      <c r="K74" s="41">
        <v>-1</v>
      </c>
      <c r="L74" s="41">
        <v>0</v>
      </c>
      <c r="M74" s="41">
        <v>0</v>
      </c>
      <c r="N74" s="41">
        <v>1</v>
      </c>
      <c r="O74" s="41">
        <v>0</v>
      </c>
      <c r="P74" s="41">
        <v>0</v>
      </c>
      <c r="Q74" s="222">
        <v>0</v>
      </c>
      <c r="R74" s="43" t="s">
        <v>7768</v>
      </c>
      <c r="S74" t="s">
        <v>8267</v>
      </c>
      <c r="T74" s="223" t="s">
        <v>7942</v>
      </c>
      <c r="U74" s="15">
        <v>0</v>
      </c>
      <c r="V74" s="15">
        <v>0</v>
      </c>
      <c r="W74" s="197">
        <v>0</v>
      </c>
      <c r="X74" s="197">
        <v>0</v>
      </c>
    </row>
    <row r="75" spans="1:24" ht="28.9" customHeight="1" x14ac:dyDescent="0.15">
      <c r="A75" s="41">
        <v>909114</v>
      </c>
      <c r="B75" t="s">
        <v>8268</v>
      </c>
      <c r="C75" s="41" t="s">
        <v>107</v>
      </c>
      <c r="D75" s="41">
        <v>1001</v>
      </c>
      <c r="E75" s="41">
        <v>4</v>
      </c>
      <c r="F75" s="41">
        <v>0</v>
      </c>
      <c r="G75" s="41">
        <v>0</v>
      </c>
      <c r="H75" s="41">
        <v>0</v>
      </c>
      <c r="I75" s="41">
        <v>1</v>
      </c>
      <c r="J75" s="41" t="b">
        <v>0</v>
      </c>
      <c r="K75" s="41">
        <v>-1</v>
      </c>
      <c r="L75" s="41">
        <v>0</v>
      </c>
      <c r="M75" s="41">
        <v>0</v>
      </c>
      <c r="N75" s="41">
        <v>1</v>
      </c>
      <c r="O75" s="41">
        <v>0</v>
      </c>
      <c r="P75" s="41">
        <v>0</v>
      </c>
      <c r="Q75" s="222">
        <v>0</v>
      </c>
      <c r="R75" s="43" t="s">
        <v>7768</v>
      </c>
      <c r="S75" t="s">
        <v>8269</v>
      </c>
      <c r="T75" s="223" t="s">
        <v>7945</v>
      </c>
      <c r="U75" s="15">
        <v>0</v>
      </c>
      <c r="V75" s="15">
        <v>0</v>
      </c>
      <c r="W75" s="197">
        <v>0</v>
      </c>
      <c r="X75" s="197">
        <v>0</v>
      </c>
    </row>
    <row r="76" spans="1:24" ht="28.9" customHeight="1" x14ac:dyDescent="0.15">
      <c r="A76" s="41">
        <v>909115</v>
      </c>
      <c r="B76" t="s">
        <v>8270</v>
      </c>
      <c r="C76" s="41" t="s">
        <v>107</v>
      </c>
      <c r="D76" s="41">
        <v>1001</v>
      </c>
      <c r="E76" s="41">
        <v>3</v>
      </c>
      <c r="F76" s="41">
        <v>0</v>
      </c>
      <c r="G76" s="41">
        <v>0</v>
      </c>
      <c r="H76" s="41">
        <v>0</v>
      </c>
      <c r="I76" s="41">
        <v>1</v>
      </c>
      <c r="J76" s="41" t="b">
        <v>0</v>
      </c>
      <c r="K76" s="41">
        <v>-1</v>
      </c>
      <c r="L76" s="41">
        <v>0</v>
      </c>
      <c r="M76" s="41">
        <v>0</v>
      </c>
      <c r="N76" s="41">
        <v>1</v>
      </c>
      <c r="O76" s="41">
        <v>0</v>
      </c>
      <c r="P76" s="41">
        <v>0</v>
      </c>
      <c r="Q76" s="222">
        <v>0</v>
      </c>
      <c r="R76" s="43" t="s">
        <v>7768</v>
      </c>
      <c r="S76" t="s">
        <v>8271</v>
      </c>
      <c r="T76" s="223" t="s">
        <v>7948</v>
      </c>
      <c r="U76" s="15">
        <v>0</v>
      </c>
      <c r="V76" s="15">
        <v>0</v>
      </c>
      <c r="W76" s="197">
        <v>0</v>
      </c>
      <c r="X76" s="197">
        <v>0</v>
      </c>
    </row>
    <row r="77" spans="1:24" ht="28.9" customHeight="1" x14ac:dyDescent="0.15">
      <c r="A77" s="41">
        <v>909116</v>
      </c>
      <c r="B77" t="s">
        <v>8272</v>
      </c>
      <c r="C77" s="41" t="s">
        <v>107</v>
      </c>
      <c r="D77" s="41">
        <v>1001</v>
      </c>
      <c r="E77" s="41">
        <v>2</v>
      </c>
      <c r="F77" s="41">
        <v>0</v>
      </c>
      <c r="G77" s="41">
        <v>0</v>
      </c>
      <c r="H77" s="41">
        <v>0</v>
      </c>
      <c r="I77" s="41">
        <v>1</v>
      </c>
      <c r="J77" s="41" t="b">
        <v>0</v>
      </c>
      <c r="K77" s="41">
        <v>-1</v>
      </c>
      <c r="L77" s="41">
        <v>0</v>
      </c>
      <c r="M77" s="41">
        <v>0</v>
      </c>
      <c r="N77" s="41">
        <v>1</v>
      </c>
      <c r="O77" s="41">
        <v>0</v>
      </c>
      <c r="P77" s="41">
        <v>0</v>
      </c>
      <c r="Q77" s="222">
        <v>0</v>
      </c>
      <c r="R77" s="43" t="s">
        <v>7768</v>
      </c>
      <c r="S77" t="s">
        <v>8273</v>
      </c>
      <c r="T77" s="223" t="s">
        <v>7951</v>
      </c>
      <c r="U77" s="15">
        <v>0</v>
      </c>
      <c r="V77" s="15">
        <v>0</v>
      </c>
      <c r="W77" s="197">
        <v>0</v>
      </c>
      <c r="X77" s="197">
        <v>0</v>
      </c>
    </row>
    <row r="78" spans="1:24" ht="28.9" customHeight="1" x14ac:dyDescent="0.15">
      <c r="A78" s="41">
        <v>909117</v>
      </c>
      <c r="B78" t="s">
        <v>3911</v>
      </c>
      <c r="C78" s="41" t="s">
        <v>107</v>
      </c>
      <c r="D78" s="41">
        <v>1001</v>
      </c>
      <c r="E78" s="41">
        <v>2</v>
      </c>
      <c r="F78" s="41">
        <v>0</v>
      </c>
      <c r="G78" s="41">
        <v>0</v>
      </c>
      <c r="H78" s="41">
        <v>0</v>
      </c>
      <c r="I78" s="41">
        <v>1</v>
      </c>
      <c r="J78" s="41" t="b">
        <v>0</v>
      </c>
      <c r="K78" s="41">
        <v>-1</v>
      </c>
      <c r="L78" s="41">
        <v>0</v>
      </c>
      <c r="M78" s="41">
        <v>0</v>
      </c>
      <c r="N78" s="41">
        <v>1</v>
      </c>
      <c r="O78" s="41">
        <v>0</v>
      </c>
      <c r="P78" s="41">
        <v>0</v>
      </c>
      <c r="Q78" s="222">
        <v>0</v>
      </c>
      <c r="R78" s="43" t="s">
        <v>7768</v>
      </c>
      <c r="S78" t="s">
        <v>8274</v>
      </c>
      <c r="T78" s="223" t="s">
        <v>3724</v>
      </c>
      <c r="U78" s="15">
        <v>0</v>
      </c>
      <c r="V78" s="15">
        <v>0</v>
      </c>
      <c r="W78" s="197">
        <v>0</v>
      </c>
      <c r="X78" s="197">
        <v>0</v>
      </c>
    </row>
    <row r="79" spans="1:24" ht="28.9" customHeight="1" x14ac:dyDescent="0.15">
      <c r="A79" s="41">
        <v>909118</v>
      </c>
      <c r="B79" t="s">
        <v>8275</v>
      </c>
      <c r="C79" s="41" t="s">
        <v>107</v>
      </c>
      <c r="D79" s="41">
        <v>1001</v>
      </c>
      <c r="E79" s="41">
        <v>2</v>
      </c>
      <c r="F79" s="41">
        <v>0</v>
      </c>
      <c r="G79" s="41">
        <v>0</v>
      </c>
      <c r="H79" s="41">
        <v>0</v>
      </c>
      <c r="I79" s="41">
        <v>1</v>
      </c>
      <c r="J79" s="41" t="b">
        <v>0</v>
      </c>
      <c r="K79" s="41">
        <v>-1</v>
      </c>
      <c r="L79" s="41">
        <v>0</v>
      </c>
      <c r="M79" s="41">
        <v>0</v>
      </c>
      <c r="N79" s="41">
        <v>1</v>
      </c>
      <c r="O79" s="41">
        <v>0</v>
      </c>
      <c r="P79" s="41">
        <v>0</v>
      </c>
      <c r="Q79" s="222">
        <v>0</v>
      </c>
      <c r="R79" s="43" t="s">
        <v>7768</v>
      </c>
      <c r="S79" t="s">
        <v>8276</v>
      </c>
      <c r="T79" s="223" t="s">
        <v>7954</v>
      </c>
      <c r="U79" s="15">
        <v>0</v>
      </c>
      <c r="V79" s="15">
        <v>0</v>
      </c>
      <c r="W79" s="197">
        <v>0</v>
      </c>
      <c r="X79" s="197">
        <v>0</v>
      </c>
    </row>
    <row r="80" spans="1:24" ht="28.9" customHeight="1" x14ac:dyDescent="0.15">
      <c r="A80" s="41">
        <v>909119</v>
      </c>
      <c r="B80" t="s">
        <v>8277</v>
      </c>
      <c r="C80" s="41" t="s">
        <v>107</v>
      </c>
      <c r="D80" s="41">
        <v>1001</v>
      </c>
      <c r="E80" s="41">
        <v>2</v>
      </c>
      <c r="F80" s="41">
        <v>0</v>
      </c>
      <c r="G80" s="41">
        <v>0</v>
      </c>
      <c r="H80" s="41">
        <v>0</v>
      </c>
      <c r="I80" s="41">
        <v>1</v>
      </c>
      <c r="J80" s="41" t="b">
        <v>0</v>
      </c>
      <c r="K80" s="41">
        <v>-1</v>
      </c>
      <c r="L80" s="41">
        <v>0</v>
      </c>
      <c r="M80" s="41">
        <v>0</v>
      </c>
      <c r="N80" s="41">
        <v>1</v>
      </c>
      <c r="O80" s="41">
        <v>0</v>
      </c>
      <c r="P80" s="41">
        <v>0</v>
      </c>
      <c r="Q80" s="222">
        <v>0</v>
      </c>
      <c r="R80" s="43" t="s">
        <v>7768</v>
      </c>
      <c r="S80" t="s">
        <v>8278</v>
      </c>
      <c r="T80" s="223" t="s">
        <v>3993</v>
      </c>
      <c r="U80" s="15">
        <v>0</v>
      </c>
      <c r="V80" s="15">
        <v>0</v>
      </c>
      <c r="W80" s="197">
        <v>0</v>
      </c>
      <c r="X80" s="197">
        <v>0</v>
      </c>
    </row>
    <row r="81" spans="1:24" ht="28.9" customHeight="1" x14ac:dyDescent="0.15">
      <c r="A81" s="41">
        <v>909120</v>
      </c>
      <c r="B81" t="s">
        <v>8279</v>
      </c>
      <c r="C81" s="41" t="s">
        <v>107</v>
      </c>
      <c r="D81" s="41">
        <v>1001</v>
      </c>
      <c r="E81" s="41">
        <v>2</v>
      </c>
      <c r="F81" s="41">
        <v>0</v>
      </c>
      <c r="G81" s="41">
        <v>0</v>
      </c>
      <c r="H81" s="41">
        <v>0</v>
      </c>
      <c r="I81" s="41">
        <v>1</v>
      </c>
      <c r="J81" s="41" t="b">
        <v>0</v>
      </c>
      <c r="K81" s="41">
        <v>-1</v>
      </c>
      <c r="L81" s="41">
        <v>0</v>
      </c>
      <c r="M81" s="41">
        <v>0</v>
      </c>
      <c r="N81" s="41">
        <v>1</v>
      </c>
      <c r="O81" s="41">
        <v>0</v>
      </c>
      <c r="P81" s="41">
        <v>0</v>
      </c>
      <c r="Q81" s="222">
        <v>0</v>
      </c>
      <c r="R81" s="43" t="s">
        <v>7768</v>
      </c>
      <c r="S81" t="s">
        <v>8280</v>
      </c>
      <c r="T81" s="223" t="s">
        <v>7959</v>
      </c>
      <c r="U81" s="15">
        <v>0</v>
      </c>
      <c r="V81" s="15">
        <v>0</v>
      </c>
      <c r="W81" s="197">
        <v>0</v>
      </c>
      <c r="X81" s="197">
        <v>0</v>
      </c>
    </row>
    <row r="82" spans="1:24" ht="28.9" customHeight="1" x14ac:dyDescent="0.15">
      <c r="A82" s="41">
        <v>909121</v>
      </c>
      <c r="B82" t="s">
        <v>8281</v>
      </c>
      <c r="C82" s="41" t="s">
        <v>107</v>
      </c>
      <c r="D82" s="41">
        <v>1001</v>
      </c>
      <c r="E82" s="41">
        <v>2</v>
      </c>
      <c r="F82" s="41">
        <v>0</v>
      </c>
      <c r="G82" s="74">
        <v>0</v>
      </c>
      <c r="H82" s="74">
        <v>0</v>
      </c>
      <c r="I82" s="74">
        <v>1</v>
      </c>
      <c r="J82" s="74" t="b">
        <v>0</v>
      </c>
      <c r="K82" s="74">
        <v>-1</v>
      </c>
      <c r="L82" s="74">
        <v>0</v>
      </c>
      <c r="M82" s="74">
        <v>0</v>
      </c>
      <c r="N82" s="41">
        <v>1</v>
      </c>
      <c r="O82" s="74">
        <v>0</v>
      </c>
      <c r="P82" s="74">
        <v>0</v>
      </c>
      <c r="Q82" s="222">
        <v>0</v>
      </c>
      <c r="R82" s="43" t="s">
        <v>7768</v>
      </c>
      <c r="S82" t="s">
        <v>8282</v>
      </c>
      <c r="T82" s="223" t="s">
        <v>7861</v>
      </c>
      <c r="U82" s="15">
        <v>0</v>
      </c>
      <c r="V82" s="15">
        <v>0</v>
      </c>
      <c r="W82" s="197">
        <v>0</v>
      </c>
      <c r="X82" s="197">
        <v>0</v>
      </c>
    </row>
    <row r="83" spans="1:24" ht="28.9" customHeight="1" x14ac:dyDescent="0.15">
      <c r="A83" s="41">
        <v>909122</v>
      </c>
      <c r="B83" t="s">
        <v>8283</v>
      </c>
      <c r="C83" s="41" t="s">
        <v>107</v>
      </c>
      <c r="D83" s="41">
        <v>1001</v>
      </c>
      <c r="E83" s="41">
        <v>2</v>
      </c>
      <c r="F83" s="41">
        <v>0</v>
      </c>
      <c r="G83" s="74">
        <v>0</v>
      </c>
      <c r="H83" s="74">
        <v>0</v>
      </c>
      <c r="I83" s="74">
        <v>1</v>
      </c>
      <c r="J83" s="74" t="b">
        <v>0</v>
      </c>
      <c r="K83" s="74">
        <v>-1</v>
      </c>
      <c r="L83" s="74">
        <v>0</v>
      </c>
      <c r="M83" s="74">
        <v>0</v>
      </c>
      <c r="N83" s="41">
        <v>1</v>
      </c>
      <c r="O83" s="74">
        <v>0</v>
      </c>
      <c r="P83" s="74">
        <v>0</v>
      </c>
      <c r="Q83" s="222">
        <v>0</v>
      </c>
      <c r="R83" s="43" t="s">
        <v>7768</v>
      </c>
      <c r="S83" t="s">
        <v>8284</v>
      </c>
      <c r="T83" s="223" t="s">
        <v>3395</v>
      </c>
      <c r="U83" s="15">
        <v>0</v>
      </c>
      <c r="V83" s="15">
        <v>0</v>
      </c>
      <c r="W83" s="197">
        <v>0</v>
      </c>
      <c r="X83" s="197">
        <v>0</v>
      </c>
    </row>
    <row r="84" spans="1:24" ht="28.9" customHeight="1" x14ac:dyDescent="0.15">
      <c r="A84" s="41">
        <v>909123</v>
      </c>
      <c r="B84" t="s">
        <v>8175</v>
      </c>
      <c r="C84" s="41" t="s">
        <v>107</v>
      </c>
      <c r="D84" s="41">
        <v>1001</v>
      </c>
      <c r="E84" s="41">
        <v>1</v>
      </c>
      <c r="F84" s="41">
        <v>0</v>
      </c>
      <c r="G84" s="74">
        <v>0</v>
      </c>
      <c r="H84" s="74">
        <v>0</v>
      </c>
      <c r="I84" s="74">
        <v>1</v>
      </c>
      <c r="J84" s="74" t="b">
        <v>1</v>
      </c>
      <c r="K84" s="74">
        <v>1</v>
      </c>
      <c r="L84" s="74">
        <v>0</v>
      </c>
      <c r="M84" s="74">
        <v>0</v>
      </c>
      <c r="N84" s="41">
        <v>1</v>
      </c>
      <c r="O84" s="74">
        <v>0</v>
      </c>
      <c r="P84" s="74">
        <v>0</v>
      </c>
      <c r="Q84" s="222">
        <v>0</v>
      </c>
      <c r="R84" s="43" t="s">
        <v>7768</v>
      </c>
      <c r="S84" t="s">
        <v>8285</v>
      </c>
      <c r="T84" s="223" t="s">
        <v>7830</v>
      </c>
      <c r="U84" s="15">
        <v>0</v>
      </c>
      <c r="V84" s="15">
        <v>0</v>
      </c>
      <c r="W84" s="197">
        <v>0</v>
      </c>
      <c r="X84" s="197">
        <v>0</v>
      </c>
    </row>
    <row r="85" spans="1:24" ht="28.9" customHeight="1" x14ac:dyDescent="0.15">
      <c r="A85" s="41">
        <v>909124</v>
      </c>
      <c r="B85" t="s">
        <v>8175</v>
      </c>
      <c r="C85" s="41" t="s">
        <v>107</v>
      </c>
      <c r="D85" s="41">
        <v>1001</v>
      </c>
      <c r="E85" s="41">
        <v>2</v>
      </c>
      <c r="F85" s="41">
        <v>0</v>
      </c>
      <c r="G85" s="74">
        <v>0</v>
      </c>
      <c r="H85" s="74">
        <v>0</v>
      </c>
      <c r="I85" s="74">
        <v>1</v>
      </c>
      <c r="J85" s="74" t="b">
        <v>0</v>
      </c>
      <c r="K85" s="74">
        <v>-1</v>
      </c>
      <c r="L85" s="74">
        <v>0</v>
      </c>
      <c r="M85" s="74">
        <v>0</v>
      </c>
      <c r="N85" s="41">
        <v>1</v>
      </c>
      <c r="O85" s="74">
        <v>0</v>
      </c>
      <c r="P85" s="74" t="s">
        <v>7832</v>
      </c>
      <c r="Q85" s="222" t="s">
        <v>7477</v>
      </c>
      <c r="R85" s="43"/>
      <c r="S85" t="s">
        <v>8286</v>
      </c>
      <c r="T85" s="223" t="s">
        <v>7830</v>
      </c>
      <c r="U85" s="15">
        <v>0</v>
      </c>
      <c r="V85" s="225">
        <v>13000</v>
      </c>
      <c r="W85" s="197">
        <v>0</v>
      </c>
      <c r="X85" s="197">
        <v>0</v>
      </c>
    </row>
    <row r="86" spans="1:24" ht="28.9" customHeight="1" x14ac:dyDescent="0.15">
      <c r="A86" s="41">
        <v>909125</v>
      </c>
      <c r="B86" t="s">
        <v>8287</v>
      </c>
      <c r="C86" s="41" t="s">
        <v>107</v>
      </c>
      <c r="D86" s="41">
        <v>1001</v>
      </c>
      <c r="E86" s="41">
        <v>2</v>
      </c>
      <c r="F86" s="41">
        <v>0</v>
      </c>
      <c r="G86" s="74">
        <v>0</v>
      </c>
      <c r="H86" s="74">
        <v>0</v>
      </c>
      <c r="I86" s="74">
        <v>1</v>
      </c>
      <c r="J86" s="74" t="b">
        <v>0</v>
      </c>
      <c r="K86" s="74">
        <v>-1</v>
      </c>
      <c r="L86" s="74">
        <v>0</v>
      </c>
      <c r="M86" s="74">
        <v>0</v>
      </c>
      <c r="N86" s="41">
        <v>1</v>
      </c>
      <c r="O86" s="74">
        <v>0</v>
      </c>
      <c r="P86" s="74">
        <v>0</v>
      </c>
      <c r="Q86" s="222">
        <v>0</v>
      </c>
      <c r="R86" s="43" t="s">
        <v>7768</v>
      </c>
      <c r="S86" t="s">
        <v>8288</v>
      </c>
      <c r="T86" s="223" t="s">
        <v>7969</v>
      </c>
      <c r="U86" s="15">
        <v>0</v>
      </c>
      <c r="V86" s="15">
        <v>0</v>
      </c>
      <c r="W86" s="197">
        <v>0</v>
      </c>
      <c r="X86" s="197">
        <v>0</v>
      </c>
    </row>
    <row r="87" spans="1:24" ht="28.9" customHeight="1" x14ac:dyDescent="0.15">
      <c r="A87" s="41">
        <v>909126</v>
      </c>
      <c r="B87" t="s">
        <v>8289</v>
      </c>
      <c r="C87" s="41" t="s">
        <v>107</v>
      </c>
      <c r="D87" s="41">
        <v>1001</v>
      </c>
      <c r="E87" s="41">
        <v>2</v>
      </c>
      <c r="F87" s="41">
        <v>0</v>
      </c>
      <c r="G87" s="74">
        <v>0</v>
      </c>
      <c r="H87" s="74">
        <v>0</v>
      </c>
      <c r="I87" s="74">
        <v>1</v>
      </c>
      <c r="J87" s="74" t="b">
        <v>0</v>
      </c>
      <c r="K87" s="74">
        <v>-1</v>
      </c>
      <c r="L87" s="74">
        <v>0</v>
      </c>
      <c r="M87" s="74">
        <v>0</v>
      </c>
      <c r="N87" s="41">
        <v>1</v>
      </c>
      <c r="O87" s="74">
        <v>0</v>
      </c>
      <c r="P87" s="74">
        <v>0</v>
      </c>
      <c r="Q87" s="222">
        <v>0</v>
      </c>
      <c r="R87" s="43" t="s">
        <v>7768</v>
      </c>
      <c r="S87" t="s">
        <v>8290</v>
      </c>
      <c r="T87" s="223" t="s">
        <v>7972</v>
      </c>
      <c r="U87" s="15">
        <v>0</v>
      </c>
      <c r="V87" s="15">
        <v>0</v>
      </c>
      <c r="W87" s="197">
        <v>0</v>
      </c>
      <c r="X87" s="197">
        <v>0</v>
      </c>
    </row>
    <row r="88" spans="1:24" ht="28.9" customHeight="1" x14ac:dyDescent="0.15">
      <c r="A88" s="41">
        <v>909127</v>
      </c>
      <c r="B88" t="s">
        <v>8291</v>
      </c>
      <c r="C88" s="41" t="s">
        <v>107</v>
      </c>
      <c r="D88" s="41">
        <v>1001</v>
      </c>
      <c r="E88" s="41">
        <v>2</v>
      </c>
      <c r="F88" s="41">
        <v>0</v>
      </c>
      <c r="G88" s="74">
        <v>0</v>
      </c>
      <c r="H88" s="74">
        <v>0</v>
      </c>
      <c r="I88" s="74">
        <v>1</v>
      </c>
      <c r="J88" s="74" t="b">
        <v>0</v>
      </c>
      <c r="K88" s="74">
        <v>-1</v>
      </c>
      <c r="L88" s="74">
        <v>0</v>
      </c>
      <c r="M88" s="74">
        <v>0</v>
      </c>
      <c r="N88" s="41">
        <v>1</v>
      </c>
      <c r="O88" s="74">
        <v>0</v>
      </c>
      <c r="P88" s="74">
        <v>0</v>
      </c>
      <c r="Q88" s="222">
        <v>0</v>
      </c>
      <c r="R88" s="43" t="s">
        <v>7768</v>
      </c>
      <c r="S88" t="s">
        <v>8292</v>
      </c>
      <c r="T88" s="223" t="s">
        <v>3730</v>
      </c>
      <c r="U88" s="15">
        <v>0</v>
      </c>
      <c r="V88" s="15">
        <v>0</v>
      </c>
      <c r="W88" s="197">
        <v>0</v>
      </c>
      <c r="X88" s="197">
        <v>0</v>
      </c>
    </row>
    <row r="89" spans="1:24" ht="28.9" customHeight="1" x14ac:dyDescent="0.15">
      <c r="A89" s="41">
        <v>909128</v>
      </c>
      <c r="B89" t="s">
        <v>8293</v>
      </c>
      <c r="C89" s="41" t="s">
        <v>107</v>
      </c>
      <c r="D89" s="41">
        <v>1001</v>
      </c>
      <c r="E89" s="41">
        <v>2</v>
      </c>
      <c r="F89" s="41">
        <v>0</v>
      </c>
      <c r="G89" s="74">
        <v>0</v>
      </c>
      <c r="H89" s="74">
        <v>0</v>
      </c>
      <c r="I89" s="74">
        <v>1</v>
      </c>
      <c r="J89" s="74" t="b">
        <v>0</v>
      </c>
      <c r="K89" s="74">
        <v>-1</v>
      </c>
      <c r="L89" s="74">
        <v>0</v>
      </c>
      <c r="M89" s="74">
        <v>0</v>
      </c>
      <c r="N89" s="41">
        <v>1</v>
      </c>
      <c r="O89" s="74">
        <v>0</v>
      </c>
      <c r="P89" s="74">
        <v>0</v>
      </c>
      <c r="Q89" s="222">
        <v>0</v>
      </c>
      <c r="R89" s="43" t="s">
        <v>7768</v>
      </c>
      <c r="S89" t="s">
        <v>8294</v>
      </c>
      <c r="T89" s="223" t="s">
        <v>7969</v>
      </c>
      <c r="U89" s="15">
        <v>0</v>
      </c>
      <c r="V89" s="15">
        <v>0</v>
      </c>
      <c r="W89" s="197">
        <v>0</v>
      </c>
      <c r="X89" s="197">
        <v>0</v>
      </c>
    </row>
    <row r="90" spans="1:24" ht="28.9" customHeight="1" x14ac:dyDescent="0.15">
      <c r="A90" s="41">
        <v>909129</v>
      </c>
      <c r="B90" t="s">
        <v>8295</v>
      </c>
      <c r="C90" s="41" t="s">
        <v>107</v>
      </c>
      <c r="D90" s="41">
        <v>1001</v>
      </c>
      <c r="E90" s="41">
        <v>2</v>
      </c>
      <c r="F90" s="41">
        <v>0</v>
      </c>
      <c r="G90" s="74">
        <v>0</v>
      </c>
      <c r="H90" s="74">
        <v>0</v>
      </c>
      <c r="I90" s="74">
        <v>1</v>
      </c>
      <c r="J90" s="74" t="b">
        <v>0</v>
      </c>
      <c r="K90" s="74">
        <v>-1</v>
      </c>
      <c r="L90" s="74">
        <v>0</v>
      </c>
      <c r="M90" s="74">
        <v>0</v>
      </c>
      <c r="N90" s="41">
        <v>1</v>
      </c>
      <c r="O90" s="74">
        <v>0</v>
      </c>
      <c r="P90" s="74">
        <v>0</v>
      </c>
      <c r="Q90" s="222">
        <v>0</v>
      </c>
      <c r="R90" s="43" t="s">
        <v>7768</v>
      </c>
      <c r="S90" t="s">
        <v>8296</v>
      </c>
      <c r="T90" s="223" t="s">
        <v>7972</v>
      </c>
      <c r="U90" s="15">
        <v>0</v>
      </c>
      <c r="V90" s="15">
        <v>0</v>
      </c>
      <c r="W90" s="197">
        <v>0</v>
      </c>
      <c r="X90" s="197">
        <v>0</v>
      </c>
    </row>
    <row r="91" spans="1:24" ht="28.9" customHeight="1" x14ac:dyDescent="0.15">
      <c r="A91" s="41">
        <v>909130</v>
      </c>
      <c r="B91" t="s">
        <v>8297</v>
      </c>
      <c r="C91" s="41" t="s">
        <v>107</v>
      </c>
      <c r="D91" s="41">
        <v>1001</v>
      </c>
      <c r="E91" s="41">
        <v>2</v>
      </c>
      <c r="F91" s="41">
        <v>0</v>
      </c>
      <c r="G91" s="74">
        <v>0</v>
      </c>
      <c r="H91" s="74">
        <v>0</v>
      </c>
      <c r="I91" s="74">
        <v>1</v>
      </c>
      <c r="J91" s="74" t="b">
        <v>0</v>
      </c>
      <c r="K91" s="74">
        <v>-1</v>
      </c>
      <c r="L91" s="74">
        <v>0</v>
      </c>
      <c r="M91" s="74">
        <v>0</v>
      </c>
      <c r="N91" s="41">
        <v>1</v>
      </c>
      <c r="O91" s="74">
        <v>0</v>
      </c>
      <c r="P91" s="74">
        <v>0</v>
      </c>
      <c r="Q91" s="222">
        <v>0</v>
      </c>
      <c r="R91" s="43" t="s">
        <v>7768</v>
      </c>
      <c r="S91" t="s">
        <v>8298</v>
      </c>
      <c r="T91" s="223" t="s">
        <v>7802</v>
      </c>
      <c r="U91" s="15">
        <v>0</v>
      </c>
      <c r="V91" s="15">
        <v>0</v>
      </c>
      <c r="W91" s="197">
        <v>0</v>
      </c>
      <c r="X91" s="197">
        <v>0</v>
      </c>
    </row>
    <row r="92" spans="1:24" ht="28.9" customHeight="1" x14ac:dyDescent="0.15">
      <c r="A92" s="41">
        <v>909131</v>
      </c>
      <c r="B92" t="s">
        <v>8299</v>
      </c>
      <c r="C92" s="41" t="s">
        <v>107</v>
      </c>
      <c r="D92" s="41">
        <v>1001</v>
      </c>
      <c r="E92" s="41">
        <v>5</v>
      </c>
      <c r="F92" s="41">
        <v>0</v>
      </c>
      <c r="G92" s="74">
        <v>0</v>
      </c>
      <c r="H92" s="74">
        <v>0</v>
      </c>
      <c r="I92" s="74">
        <v>1</v>
      </c>
      <c r="J92" s="74" t="b">
        <v>1</v>
      </c>
      <c r="K92" s="224">
        <v>10000</v>
      </c>
      <c r="L92" s="74">
        <v>0</v>
      </c>
      <c r="M92" s="74">
        <v>0</v>
      </c>
      <c r="N92" s="41">
        <v>1</v>
      </c>
      <c r="O92" s="74">
        <v>0</v>
      </c>
      <c r="P92" s="74">
        <v>0</v>
      </c>
      <c r="Q92" s="222">
        <v>0</v>
      </c>
      <c r="R92" s="43" t="s">
        <v>7768</v>
      </c>
      <c r="S92" t="s">
        <v>8300</v>
      </c>
      <c r="T92" s="223" t="s">
        <v>3761</v>
      </c>
      <c r="U92" s="15">
        <v>0</v>
      </c>
      <c r="V92" s="15">
        <v>0</v>
      </c>
      <c r="W92" s="197">
        <v>0</v>
      </c>
      <c r="X92" s="197">
        <v>0</v>
      </c>
    </row>
    <row r="93" spans="1:24" ht="28.9" customHeight="1" x14ac:dyDescent="0.15">
      <c r="A93" s="41">
        <v>909132</v>
      </c>
      <c r="B93" t="s">
        <v>8301</v>
      </c>
      <c r="C93" s="41" t="s">
        <v>107</v>
      </c>
      <c r="D93" s="41">
        <v>1001</v>
      </c>
      <c r="E93" s="41">
        <v>2</v>
      </c>
      <c r="F93" s="41">
        <v>0</v>
      </c>
      <c r="G93" s="74">
        <v>0</v>
      </c>
      <c r="H93" s="74">
        <v>0</v>
      </c>
      <c r="I93" s="74">
        <v>1</v>
      </c>
      <c r="J93" s="74" t="b">
        <v>0</v>
      </c>
      <c r="K93" s="74">
        <v>-1</v>
      </c>
      <c r="L93" s="74">
        <v>0</v>
      </c>
      <c r="M93" s="74">
        <v>0</v>
      </c>
      <c r="N93" s="41">
        <v>1</v>
      </c>
      <c r="O93" s="74">
        <v>0</v>
      </c>
      <c r="P93" s="74">
        <v>0</v>
      </c>
      <c r="Q93" s="222">
        <v>0</v>
      </c>
      <c r="R93" s="43" t="s">
        <v>7768</v>
      </c>
      <c r="S93" t="s">
        <v>8302</v>
      </c>
      <c r="T93" s="223" t="s">
        <v>7972</v>
      </c>
      <c r="U93" s="15">
        <v>0</v>
      </c>
      <c r="V93" s="15">
        <v>0</v>
      </c>
      <c r="W93" s="197">
        <v>0</v>
      </c>
      <c r="X93" s="197">
        <v>0</v>
      </c>
    </row>
    <row r="94" spans="1:24" ht="28.9" customHeight="1" x14ac:dyDescent="0.15">
      <c r="A94" s="41">
        <v>909133</v>
      </c>
      <c r="B94" t="s">
        <v>8303</v>
      </c>
      <c r="C94" s="41" t="s">
        <v>107</v>
      </c>
      <c r="D94" s="41">
        <v>1001</v>
      </c>
      <c r="E94" s="41">
        <v>3</v>
      </c>
      <c r="F94" s="41">
        <v>0</v>
      </c>
      <c r="G94" s="74">
        <v>0</v>
      </c>
      <c r="H94" s="74">
        <v>0</v>
      </c>
      <c r="I94" s="74">
        <v>1</v>
      </c>
      <c r="J94" s="74" t="b">
        <v>0</v>
      </c>
      <c r="K94" s="74">
        <v>-1</v>
      </c>
      <c r="L94" s="74">
        <v>0</v>
      </c>
      <c r="M94" s="74">
        <v>0</v>
      </c>
      <c r="N94" s="41">
        <v>1</v>
      </c>
      <c r="O94" s="74">
        <v>0</v>
      </c>
      <c r="P94" s="74">
        <v>0</v>
      </c>
      <c r="Q94" s="222">
        <v>0</v>
      </c>
      <c r="R94" s="43" t="s">
        <v>7768</v>
      </c>
      <c r="S94" t="s">
        <v>8304</v>
      </c>
      <c r="T94" s="223" t="s">
        <v>7987</v>
      </c>
      <c r="U94" s="15">
        <v>0</v>
      </c>
      <c r="V94" s="15">
        <v>0</v>
      </c>
      <c r="W94" s="197">
        <v>0</v>
      </c>
      <c r="X94" s="197">
        <v>0</v>
      </c>
    </row>
    <row r="95" spans="1:24" ht="28.9" customHeight="1" x14ac:dyDescent="0.15">
      <c r="A95" s="41">
        <v>909134</v>
      </c>
      <c r="B95" t="s">
        <v>8305</v>
      </c>
      <c r="C95" s="41" t="s">
        <v>107</v>
      </c>
      <c r="D95" s="41">
        <v>1001</v>
      </c>
      <c r="E95" s="41">
        <v>2</v>
      </c>
      <c r="F95" s="41">
        <v>0</v>
      </c>
      <c r="G95" s="74">
        <v>0</v>
      </c>
      <c r="H95" s="74">
        <v>0</v>
      </c>
      <c r="I95" s="74">
        <v>1</v>
      </c>
      <c r="J95" s="74" t="b">
        <v>0</v>
      </c>
      <c r="K95" s="74">
        <v>-1</v>
      </c>
      <c r="L95" s="74">
        <v>0</v>
      </c>
      <c r="M95" s="74">
        <v>0</v>
      </c>
      <c r="N95" s="41">
        <v>1</v>
      </c>
      <c r="O95" s="74">
        <v>0</v>
      </c>
      <c r="P95" s="74">
        <v>0</v>
      </c>
      <c r="Q95" s="222">
        <v>0</v>
      </c>
      <c r="R95" s="43" t="s">
        <v>7768</v>
      </c>
      <c r="S95" t="s">
        <v>8306</v>
      </c>
      <c r="T95" s="223" t="s">
        <v>7417</v>
      </c>
      <c r="U95" s="15">
        <v>0</v>
      </c>
      <c r="V95" s="15">
        <v>0</v>
      </c>
      <c r="W95" s="197">
        <v>0</v>
      </c>
      <c r="X95" s="197">
        <v>0</v>
      </c>
    </row>
    <row r="96" spans="1:24" ht="28.9" customHeight="1" x14ac:dyDescent="0.15">
      <c r="A96" s="41">
        <v>909135</v>
      </c>
      <c r="B96" t="s">
        <v>8307</v>
      </c>
      <c r="C96" s="41" t="s">
        <v>107</v>
      </c>
      <c r="D96" s="41">
        <v>1001</v>
      </c>
      <c r="E96" s="41">
        <v>2</v>
      </c>
      <c r="F96" s="41">
        <v>0</v>
      </c>
      <c r="G96" s="74">
        <v>0</v>
      </c>
      <c r="H96" s="74">
        <v>0</v>
      </c>
      <c r="I96" s="74">
        <v>1</v>
      </c>
      <c r="J96" s="74" t="b">
        <v>0</v>
      </c>
      <c r="K96" s="74">
        <v>-1</v>
      </c>
      <c r="L96" s="74">
        <v>0</v>
      </c>
      <c r="M96" s="74">
        <v>0</v>
      </c>
      <c r="N96" s="41">
        <v>1</v>
      </c>
      <c r="O96" s="74">
        <v>0</v>
      </c>
      <c r="P96" s="74">
        <v>0</v>
      </c>
      <c r="Q96" s="222">
        <v>0</v>
      </c>
      <c r="R96" s="43" t="s">
        <v>7768</v>
      </c>
      <c r="S96" t="s">
        <v>8308</v>
      </c>
      <c r="T96" s="223" t="s">
        <v>7420</v>
      </c>
      <c r="U96" s="15">
        <v>0</v>
      </c>
      <c r="V96" s="15">
        <v>0</v>
      </c>
      <c r="W96" s="197">
        <v>0</v>
      </c>
      <c r="X96" s="197">
        <v>0</v>
      </c>
    </row>
    <row r="97" spans="1:24" ht="28.9" customHeight="1" x14ac:dyDescent="0.15">
      <c r="A97" s="41">
        <v>909136</v>
      </c>
      <c r="B97" t="s">
        <v>8275</v>
      </c>
      <c r="C97" s="41" t="s">
        <v>107</v>
      </c>
      <c r="D97" s="41">
        <v>1001</v>
      </c>
      <c r="E97" s="41">
        <v>2</v>
      </c>
      <c r="F97" s="41">
        <v>0</v>
      </c>
      <c r="G97" s="74">
        <v>0</v>
      </c>
      <c r="H97" s="74">
        <v>0</v>
      </c>
      <c r="I97" s="74">
        <v>1</v>
      </c>
      <c r="J97" s="74" t="b">
        <v>0</v>
      </c>
      <c r="K97" s="74">
        <v>-1</v>
      </c>
      <c r="L97" s="74">
        <v>0</v>
      </c>
      <c r="M97" s="74">
        <v>0</v>
      </c>
      <c r="N97" s="41">
        <v>1</v>
      </c>
      <c r="O97" s="74">
        <v>0</v>
      </c>
      <c r="P97" s="74">
        <v>0</v>
      </c>
      <c r="Q97" s="222">
        <v>0</v>
      </c>
      <c r="R97" s="43" t="s">
        <v>7768</v>
      </c>
      <c r="S97" t="s">
        <v>8309</v>
      </c>
      <c r="T97" s="223" t="s">
        <v>7993</v>
      </c>
      <c r="U97" s="15">
        <v>0</v>
      </c>
      <c r="V97" s="15">
        <v>0</v>
      </c>
      <c r="W97" s="197">
        <v>0</v>
      </c>
      <c r="X97" s="197">
        <v>0</v>
      </c>
    </row>
    <row r="98" spans="1:24" ht="28.9" customHeight="1" x14ac:dyDescent="0.15">
      <c r="A98" s="41">
        <v>909137</v>
      </c>
      <c r="B98" t="s">
        <v>8310</v>
      </c>
      <c r="C98" s="41" t="s">
        <v>107</v>
      </c>
      <c r="D98" s="41">
        <v>1001</v>
      </c>
      <c r="E98" s="41">
        <v>2</v>
      </c>
      <c r="F98" s="41">
        <v>0</v>
      </c>
      <c r="G98" s="74">
        <v>0</v>
      </c>
      <c r="H98" s="74">
        <v>0</v>
      </c>
      <c r="I98" s="74">
        <v>1</v>
      </c>
      <c r="J98" s="74" t="b">
        <v>1</v>
      </c>
      <c r="K98" s="74">
        <v>1</v>
      </c>
      <c r="L98" s="74">
        <v>0</v>
      </c>
      <c r="M98" s="74">
        <v>0</v>
      </c>
      <c r="N98" s="41">
        <v>1</v>
      </c>
      <c r="O98" s="74">
        <v>0</v>
      </c>
      <c r="P98" s="74">
        <v>0</v>
      </c>
      <c r="Q98" s="222">
        <v>0</v>
      </c>
      <c r="R98" s="43" t="s">
        <v>7768</v>
      </c>
      <c r="S98" t="s">
        <v>8311</v>
      </c>
      <c r="T98" s="223" t="s">
        <v>7993</v>
      </c>
      <c r="U98" s="15">
        <v>0</v>
      </c>
      <c r="V98" s="15">
        <v>0</v>
      </c>
      <c r="W98" s="197">
        <v>0</v>
      </c>
      <c r="X98" s="197">
        <v>0</v>
      </c>
    </row>
    <row r="99" spans="1:24" ht="28.9" customHeight="1" x14ac:dyDescent="0.15">
      <c r="A99" s="41">
        <v>909138</v>
      </c>
      <c r="B99" t="s">
        <v>8312</v>
      </c>
      <c r="C99" s="41" t="s">
        <v>107</v>
      </c>
      <c r="D99" s="41">
        <v>1001</v>
      </c>
      <c r="E99" s="41">
        <v>2</v>
      </c>
      <c r="F99" s="41">
        <v>0</v>
      </c>
      <c r="G99" s="74">
        <v>0</v>
      </c>
      <c r="H99" s="74">
        <v>0</v>
      </c>
      <c r="I99" s="74">
        <v>1</v>
      </c>
      <c r="J99" s="74" t="b">
        <v>0</v>
      </c>
      <c r="K99" s="74">
        <v>-1</v>
      </c>
      <c r="L99" s="74">
        <v>0</v>
      </c>
      <c r="M99" s="74">
        <v>0</v>
      </c>
      <c r="N99" s="41">
        <v>1</v>
      </c>
      <c r="O99" s="74">
        <v>0</v>
      </c>
      <c r="P99" s="222" t="s">
        <v>7997</v>
      </c>
      <c r="Q99" s="222" t="s">
        <v>7788</v>
      </c>
      <c r="R99" s="43" t="s">
        <v>7768</v>
      </c>
      <c r="S99" t="s">
        <v>8313</v>
      </c>
      <c r="T99" s="223" t="s">
        <v>7993</v>
      </c>
      <c r="U99" s="15">
        <v>0</v>
      </c>
      <c r="V99" s="15">
        <v>0</v>
      </c>
      <c r="W99" s="197">
        <v>0</v>
      </c>
      <c r="X99" s="197">
        <v>0</v>
      </c>
    </row>
    <row r="100" spans="1:24" ht="28.9" customHeight="1" x14ac:dyDescent="0.15">
      <c r="A100" s="41">
        <v>909139</v>
      </c>
      <c r="B100" t="s">
        <v>8266</v>
      </c>
      <c r="C100" s="41" t="s">
        <v>107</v>
      </c>
      <c r="D100" s="41">
        <v>1001</v>
      </c>
      <c r="E100" s="41">
        <v>2</v>
      </c>
      <c r="F100" s="41">
        <v>0</v>
      </c>
      <c r="G100" s="74">
        <v>0</v>
      </c>
      <c r="H100" s="74">
        <v>0</v>
      </c>
      <c r="I100" s="74">
        <v>1</v>
      </c>
      <c r="J100" s="74" t="b">
        <v>1</v>
      </c>
      <c r="K100" s="74">
        <v>800</v>
      </c>
      <c r="L100" s="74">
        <v>0</v>
      </c>
      <c r="M100" s="74">
        <v>0</v>
      </c>
      <c r="N100" s="41">
        <v>1</v>
      </c>
      <c r="O100" s="74">
        <v>0</v>
      </c>
      <c r="P100" s="74" t="s">
        <v>7832</v>
      </c>
      <c r="Q100" s="222" t="s">
        <v>7477</v>
      </c>
      <c r="R100" s="43"/>
      <c r="S100" t="s">
        <v>8314</v>
      </c>
      <c r="T100" s="41" t="s">
        <v>7942</v>
      </c>
      <c r="U100" s="15">
        <v>0</v>
      </c>
      <c r="V100" s="15">
        <v>20000</v>
      </c>
      <c r="W100" s="197">
        <v>0</v>
      </c>
      <c r="X100" s="197">
        <v>0</v>
      </c>
    </row>
    <row r="101" spans="1:24" ht="27" x14ac:dyDescent="0.15">
      <c r="A101" s="41">
        <v>909140</v>
      </c>
      <c r="B101" t="s">
        <v>8315</v>
      </c>
      <c r="C101" s="41" t="s">
        <v>107</v>
      </c>
      <c r="D101" s="41">
        <v>1001</v>
      </c>
      <c r="E101" s="41">
        <v>2</v>
      </c>
      <c r="F101" s="41">
        <v>0</v>
      </c>
      <c r="G101" s="74">
        <v>0</v>
      </c>
      <c r="H101" s="74">
        <v>0</v>
      </c>
      <c r="I101" s="74">
        <v>1</v>
      </c>
      <c r="J101" s="74" t="b">
        <v>0</v>
      </c>
      <c r="K101" s="74">
        <v>-1</v>
      </c>
      <c r="L101" s="74">
        <v>0</v>
      </c>
      <c r="M101" s="74">
        <v>0</v>
      </c>
      <c r="N101" s="41">
        <v>1</v>
      </c>
      <c r="O101" s="74">
        <v>0</v>
      </c>
      <c r="P101" s="222">
        <v>0</v>
      </c>
      <c r="Q101" s="222">
        <v>0</v>
      </c>
      <c r="R101" s="43" t="s">
        <v>7768</v>
      </c>
      <c r="S101" t="s">
        <v>8316</v>
      </c>
      <c r="T101" s="41" t="s">
        <v>7811</v>
      </c>
      <c r="U101" s="15">
        <v>0</v>
      </c>
      <c r="V101" s="225">
        <v>0</v>
      </c>
      <c r="W101" s="197">
        <v>0</v>
      </c>
      <c r="X101" s="197">
        <v>0</v>
      </c>
    </row>
    <row r="102" spans="1:24" ht="27" x14ac:dyDescent="0.15">
      <c r="A102" s="41">
        <v>909141</v>
      </c>
      <c r="B102" t="s">
        <v>8317</v>
      </c>
      <c r="C102" s="41" t="s">
        <v>107</v>
      </c>
      <c r="D102" s="41">
        <v>1001</v>
      </c>
      <c r="E102" s="41">
        <v>2</v>
      </c>
      <c r="F102" s="41">
        <v>0</v>
      </c>
      <c r="G102" s="74">
        <v>0</v>
      </c>
      <c r="H102" s="74">
        <v>0</v>
      </c>
      <c r="I102" s="74">
        <v>1</v>
      </c>
      <c r="J102" s="74" t="b">
        <v>0</v>
      </c>
      <c r="K102" s="74">
        <v>-1</v>
      </c>
      <c r="L102" s="74">
        <v>0</v>
      </c>
      <c r="M102" s="74">
        <v>0</v>
      </c>
      <c r="N102" s="41">
        <v>1</v>
      </c>
      <c r="O102" s="74">
        <v>0</v>
      </c>
      <c r="P102" s="222">
        <v>0</v>
      </c>
      <c r="Q102" s="222">
        <v>0</v>
      </c>
      <c r="R102" s="43" t="s">
        <v>7768</v>
      </c>
      <c r="S102" t="s">
        <v>8318</v>
      </c>
      <c r="T102" s="41" t="s">
        <v>1984</v>
      </c>
      <c r="U102" s="15">
        <v>0</v>
      </c>
      <c r="V102" s="225">
        <v>0</v>
      </c>
      <c r="W102" s="197">
        <v>0</v>
      </c>
      <c r="X102" s="197">
        <v>0</v>
      </c>
    </row>
    <row r="103" spans="1:24" ht="27" x14ac:dyDescent="0.15">
      <c r="A103" s="41">
        <v>909142</v>
      </c>
      <c r="B103" t="s">
        <v>8319</v>
      </c>
      <c r="C103" s="41" t="s">
        <v>107</v>
      </c>
      <c r="D103" s="41">
        <v>1001</v>
      </c>
      <c r="E103" s="41">
        <v>2</v>
      </c>
      <c r="F103" s="41">
        <v>0</v>
      </c>
      <c r="G103" s="74">
        <v>0</v>
      </c>
      <c r="H103" s="74">
        <v>0</v>
      </c>
      <c r="I103" s="74">
        <v>1</v>
      </c>
      <c r="J103" s="74" t="b">
        <v>0</v>
      </c>
      <c r="K103" s="74">
        <v>-1</v>
      </c>
      <c r="L103" s="74">
        <v>0</v>
      </c>
      <c r="M103" s="74">
        <v>0</v>
      </c>
      <c r="N103" s="41">
        <v>1</v>
      </c>
      <c r="O103" s="74">
        <v>0</v>
      </c>
      <c r="P103" s="222">
        <v>0</v>
      </c>
      <c r="Q103" s="222">
        <v>0</v>
      </c>
      <c r="R103" s="43" t="s">
        <v>7768</v>
      </c>
      <c r="S103" t="s">
        <v>8320</v>
      </c>
      <c r="T103" s="41" t="s">
        <v>7868</v>
      </c>
      <c r="U103" s="15">
        <v>0</v>
      </c>
      <c r="V103" s="225">
        <v>0</v>
      </c>
      <c r="W103" s="197">
        <v>0</v>
      </c>
      <c r="X103" s="197">
        <v>0</v>
      </c>
    </row>
    <row r="104" spans="1:24" ht="27" x14ac:dyDescent="0.15">
      <c r="A104" s="41">
        <v>909143</v>
      </c>
      <c r="B104" t="s">
        <v>8321</v>
      </c>
      <c r="C104" s="41" t="s">
        <v>107</v>
      </c>
      <c r="D104" s="41">
        <v>1001</v>
      </c>
      <c r="E104" s="41">
        <v>2</v>
      </c>
      <c r="F104" s="41">
        <v>0</v>
      </c>
      <c r="G104" s="74">
        <v>0</v>
      </c>
      <c r="H104" s="74">
        <v>0</v>
      </c>
      <c r="I104" s="74">
        <v>1</v>
      </c>
      <c r="J104" s="74" t="b">
        <v>0</v>
      </c>
      <c r="K104" s="74">
        <v>-1</v>
      </c>
      <c r="L104" s="74">
        <v>0</v>
      </c>
      <c r="M104" s="74">
        <v>0</v>
      </c>
      <c r="N104" s="41">
        <v>1</v>
      </c>
      <c r="O104" s="74">
        <v>0</v>
      </c>
      <c r="P104" s="222">
        <v>0</v>
      </c>
      <c r="Q104" s="222">
        <v>0</v>
      </c>
      <c r="R104" s="43" t="s">
        <v>7768</v>
      </c>
      <c r="S104" t="s">
        <v>8322</v>
      </c>
      <c r="T104" s="223" t="s">
        <v>7840</v>
      </c>
      <c r="U104" s="15">
        <v>0</v>
      </c>
      <c r="V104" s="225">
        <v>0</v>
      </c>
      <c r="W104" s="197">
        <v>0</v>
      </c>
      <c r="X104" s="197">
        <v>0</v>
      </c>
    </row>
    <row r="105" spans="1:24" ht="27" x14ac:dyDescent="0.15">
      <c r="A105" s="41">
        <v>909144</v>
      </c>
      <c r="B105" t="s">
        <v>8323</v>
      </c>
      <c r="C105" s="41" t="s">
        <v>107</v>
      </c>
      <c r="D105" s="41">
        <v>1001</v>
      </c>
      <c r="E105" s="41">
        <v>2</v>
      </c>
      <c r="F105" s="41">
        <v>0</v>
      </c>
      <c r="G105" s="74">
        <v>0</v>
      </c>
      <c r="H105" s="74">
        <v>0</v>
      </c>
      <c r="I105" s="74">
        <v>1</v>
      </c>
      <c r="J105" s="74" t="b">
        <v>0</v>
      </c>
      <c r="K105" s="74">
        <v>-1</v>
      </c>
      <c r="L105" s="74">
        <v>0</v>
      </c>
      <c r="M105" s="74">
        <v>0</v>
      </c>
      <c r="N105" s="41">
        <v>1</v>
      </c>
      <c r="O105" s="74">
        <v>0</v>
      </c>
      <c r="P105" s="222" t="s">
        <v>8009</v>
      </c>
      <c r="Q105" s="222" t="s">
        <v>7788</v>
      </c>
      <c r="R105" s="43" t="s">
        <v>7768</v>
      </c>
      <c r="S105" t="s">
        <v>8324</v>
      </c>
      <c r="T105" s="41" t="s">
        <v>1971</v>
      </c>
      <c r="U105" s="15">
        <v>0</v>
      </c>
      <c r="V105" s="225">
        <v>0</v>
      </c>
      <c r="W105" s="197">
        <v>0</v>
      </c>
      <c r="X105" s="197">
        <v>0</v>
      </c>
    </row>
    <row r="106" spans="1:24" ht="27" x14ac:dyDescent="0.15">
      <c r="A106" s="41">
        <v>909145</v>
      </c>
      <c r="B106" t="s">
        <v>8325</v>
      </c>
      <c r="C106" s="41" t="s">
        <v>107</v>
      </c>
      <c r="D106" s="41">
        <v>1001</v>
      </c>
      <c r="E106" s="41">
        <v>2</v>
      </c>
      <c r="F106" s="41">
        <v>0</v>
      </c>
      <c r="G106" s="74">
        <v>0</v>
      </c>
      <c r="H106" s="74">
        <v>0</v>
      </c>
      <c r="I106" s="74">
        <v>1</v>
      </c>
      <c r="J106" s="74" t="b">
        <v>0</v>
      </c>
      <c r="K106" s="74">
        <v>-1</v>
      </c>
      <c r="L106" s="74">
        <v>0</v>
      </c>
      <c r="M106" s="74">
        <v>0</v>
      </c>
      <c r="N106" s="41">
        <v>1</v>
      </c>
      <c r="O106" s="74">
        <v>0</v>
      </c>
      <c r="P106" s="222">
        <v>0</v>
      </c>
      <c r="Q106" s="222">
        <v>0</v>
      </c>
      <c r="R106" s="43" t="s">
        <v>7768</v>
      </c>
      <c r="S106" t="s">
        <v>8326</v>
      </c>
      <c r="T106" s="41" t="s">
        <v>3993</v>
      </c>
      <c r="U106" s="15">
        <v>0</v>
      </c>
      <c r="V106" s="225">
        <v>0</v>
      </c>
      <c r="W106" s="197">
        <v>0</v>
      </c>
      <c r="X106" s="197">
        <v>0</v>
      </c>
    </row>
    <row r="107" spans="1:24" ht="27" x14ac:dyDescent="0.15">
      <c r="A107" s="41">
        <v>909146</v>
      </c>
      <c r="B107" t="s">
        <v>8327</v>
      </c>
      <c r="C107" s="41" t="s">
        <v>107</v>
      </c>
      <c r="D107" s="41">
        <v>1001</v>
      </c>
      <c r="E107" s="41">
        <v>2</v>
      </c>
      <c r="F107" s="41">
        <v>0</v>
      </c>
      <c r="G107" s="74">
        <v>0</v>
      </c>
      <c r="H107" s="74">
        <v>0</v>
      </c>
      <c r="I107" s="74">
        <v>1</v>
      </c>
      <c r="J107" s="74" t="b">
        <v>0</v>
      </c>
      <c r="K107" s="74">
        <v>-1</v>
      </c>
      <c r="L107" s="74">
        <v>0</v>
      </c>
      <c r="M107" s="74">
        <v>0</v>
      </c>
      <c r="N107" s="41">
        <v>1</v>
      </c>
      <c r="O107" s="74">
        <v>0</v>
      </c>
      <c r="P107" s="222">
        <v>0</v>
      </c>
      <c r="Q107" s="222">
        <v>0</v>
      </c>
      <c r="R107" s="43" t="s">
        <v>7768</v>
      </c>
      <c r="S107" t="s">
        <v>8328</v>
      </c>
      <c r="T107" s="41" t="s">
        <v>7857</v>
      </c>
      <c r="U107" s="15">
        <v>0</v>
      </c>
      <c r="V107" s="225">
        <v>0</v>
      </c>
      <c r="W107" s="197">
        <v>0</v>
      </c>
      <c r="X107" s="197">
        <v>0</v>
      </c>
    </row>
    <row r="108" spans="1:24" ht="27" x14ac:dyDescent="0.15">
      <c r="A108" s="41">
        <v>909147</v>
      </c>
      <c r="B108" t="s">
        <v>8329</v>
      </c>
      <c r="C108" s="41" t="s">
        <v>107</v>
      </c>
      <c r="D108" s="41">
        <v>1001</v>
      </c>
      <c r="E108" s="41">
        <v>2</v>
      </c>
      <c r="F108" s="41">
        <v>0</v>
      </c>
      <c r="G108" s="74">
        <v>0</v>
      </c>
      <c r="H108" s="74">
        <v>0</v>
      </c>
      <c r="I108" s="74">
        <v>999</v>
      </c>
      <c r="J108" s="74" t="b">
        <v>1</v>
      </c>
      <c r="K108" s="74">
        <v>1</v>
      </c>
      <c r="L108" s="74">
        <v>0</v>
      </c>
      <c r="M108" s="74">
        <v>0</v>
      </c>
      <c r="N108" s="41">
        <v>1</v>
      </c>
      <c r="O108" s="74">
        <v>0</v>
      </c>
      <c r="P108" s="222">
        <v>0</v>
      </c>
      <c r="Q108" s="222">
        <v>0</v>
      </c>
      <c r="R108" s="43" t="s">
        <v>7768</v>
      </c>
      <c r="S108" t="s">
        <v>8330</v>
      </c>
      <c r="T108" s="41" t="s">
        <v>7455</v>
      </c>
      <c r="U108" s="15">
        <v>0</v>
      </c>
      <c r="V108" s="225">
        <v>0</v>
      </c>
      <c r="W108" s="197">
        <v>0</v>
      </c>
      <c r="X108" s="197">
        <v>0</v>
      </c>
    </row>
    <row r="109" spans="1:24" ht="27" x14ac:dyDescent="0.15">
      <c r="A109" s="41">
        <v>909148</v>
      </c>
      <c r="B109" t="s">
        <v>8331</v>
      </c>
      <c r="C109" s="41" t="s">
        <v>107</v>
      </c>
      <c r="D109" s="41">
        <v>1001</v>
      </c>
      <c r="E109" s="41">
        <v>2</v>
      </c>
      <c r="F109" s="41">
        <v>0</v>
      </c>
      <c r="G109" s="74">
        <v>0</v>
      </c>
      <c r="H109" s="74">
        <v>0</v>
      </c>
      <c r="I109" s="74">
        <v>1</v>
      </c>
      <c r="J109" s="74" t="b">
        <v>0</v>
      </c>
      <c r="K109" s="74">
        <v>-1</v>
      </c>
      <c r="L109" s="74">
        <v>0</v>
      </c>
      <c r="M109" s="74">
        <v>0</v>
      </c>
      <c r="N109" s="41">
        <v>1</v>
      </c>
      <c r="O109" s="74">
        <v>0</v>
      </c>
      <c r="P109" s="222">
        <v>0</v>
      </c>
      <c r="Q109" s="222">
        <v>0</v>
      </c>
      <c r="R109" s="43" t="s">
        <v>7768</v>
      </c>
      <c r="S109" t="s">
        <v>8332</v>
      </c>
      <c r="T109" s="41" t="s">
        <v>7799</v>
      </c>
      <c r="U109" s="15">
        <v>0</v>
      </c>
      <c r="V109" s="225">
        <v>0</v>
      </c>
      <c r="W109" s="197">
        <v>0</v>
      </c>
      <c r="X109" s="197">
        <v>0</v>
      </c>
    </row>
    <row r="110" spans="1:24" ht="27" x14ac:dyDescent="0.15">
      <c r="A110" s="41">
        <v>909149</v>
      </c>
      <c r="B110" t="s">
        <v>8333</v>
      </c>
      <c r="C110" s="41" t="s">
        <v>107</v>
      </c>
      <c r="D110" s="41">
        <v>1001</v>
      </c>
      <c r="E110" s="41">
        <v>2</v>
      </c>
      <c r="F110" s="41">
        <v>0</v>
      </c>
      <c r="G110" s="74">
        <v>0</v>
      </c>
      <c r="H110" s="74">
        <v>0</v>
      </c>
      <c r="I110" s="74">
        <v>1</v>
      </c>
      <c r="J110" s="74" t="b">
        <v>0</v>
      </c>
      <c r="K110" s="74">
        <v>-1</v>
      </c>
      <c r="L110" s="74">
        <v>0</v>
      </c>
      <c r="M110" s="74">
        <v>0</v>
      </c>
      <c r="N110" s="41">
        <v>1</v>
      </c>
      <c r="O110" s="74">
        <v>0</v>
      </c>
      <c r="P110" s="222">
        <v>0</v>
      </c>
      <c r="Q110" s="222">
        <v>0</v>
      </c>
      <c r="R110" s="43" t="s">
        <v>7768</v>
      </c>
      <c r="S110" t="s">
        <v>8334</v>
      </c>
      <c r="T110" s="41" t="s">
        <v>8021</v>
      </c>
      <c r="U110" s="15">
        <v>0</v>
      </c>
      <c r="V110" s="225">
        <v>0</v>
      </c>
      <c r="W110" s="197">
        <v>0</v>
      </c>
      <c r="X110" s="197">
        <v>0</v>
      </c>
    </row>
    <row r="111" spans="1:24" ht="27" x14ac:dyDescent="0.15">
      <c r="A111" s="41">
        <v>909150</v>
      </c>
      <c r="B111" t="s">
        <v>8335</v>
      </c>
      <c r="C111" s="41" t="s">
        <v>107</v>
      </c>
      <c r="D111" s="41">
        <v>1001</v>
      </c>
      <c r="E111" s="41">
        <v>2</v>
      </c>
      <c r="F111" s="41">
        <v>0</v>
      </c>
      <c r="G111" s="74">
        <v>0</v>
      </c>
      <c r="H111" s="74">
        <v>0</v>
      </c>
      <c r="I111" s="74">
        <v>1</v>
      </c>
      <c r="J111" s="74" t="b">
        <v>0</v>
      </c>
      <c r="K111" s="74">
        <v>-1</v>
      </c>
      <c r="L111" s="74">
        <v>0</v>
      </c>
      <c r="M111" s="74">
        <v>0</v>
      </c>
      <c r="N111" s="41">
        <v>1</v>
      </c>
      <c r="O111" s="74">
        <v>0</v>
      </c>
      <c r="P111" s="222">
        <v>0</v>
      </c>
      <c r="Q111" s="222">
        <v>0</v>
      </c>
      <c r="R111" s="43" t="s">
        <v>7768</v>
      </c>
      <c r="S111" t="s">
        <v>8334</v>
      </c>
      <c r="T111" s="41" t="s">
        <v>8021</v>
      </c>
      <c r="U111" s="15">
        <v>0</v>
      </c>
      <c r="V111" s="225">
        <v>0</v>
      </c>
      <c r="W111" s="197">
        <v>0</v>
      </c>
      <c r="X111" s="197">
        <v>0</v>
      </c>
    </row>
    <row r="112" spans="1:24" ht="27" x14ac:dyDescent="0.15">
      <c r="A112" s="41">
        <v>909151</v>
      </c>
      <c r="B112" t="s">
        <v>8336</v>
      </c>
      <c r="C112" s="41" t="s">
        <v>107</v>
      </c>
      <c r="D112" s="41">
        <v>1001</v>
      </c>
      <c r="E112" s="41">
        <v>2</v>
      </c>
      <c r="F112" s="41">
        <v>0</v>
      </c>
      <c r="G112" s="74">
        <v>0</v>
      </c>
      <c r="H112" s="74">
        <v>0</v>
      </c>
      <c r="I112" s="74">
        <v>1</v>
      </c>
      <c r="J112" s="74" t="b">
        <v>0</v>
      </c>
      <c r="K112" s="74">
        <v>-1</v>
      </c>
      <c r="L112" s="74">
        <v>0</v>
      </c>
      <c r="M112" s="74">
        <v>0</v>
      </c>
      <c r="N112" s="41">
        <v>1</v>
      </c>
      <c r="O112" s="74">
        <v>0</v>
      </c>
      <c r="P112" s="222">
        <v>0</v>
      </c>
      <c r="Q112" s="222">
        <v>0</v>
      </c>
      <c r="R112" s="43" t="s">
        <v>7768</v>
      </c>
      <c r="S112" t="s">
        <v>8334</v>
      </c>
      <c r="T112" s="41" t="s">
        <v>8021</v>
      </c>
      <c r="U112" s="15">
        <v>0</v>
      </c>
      <c r="V112" s="225">
        <v>0</v>
      </c>
      <c r="W112" s="197">
        <v>0</v>
      </c>
      <c r="X112" s="197">
        <v>0</v>
      </c>
    </row>
    <row r="113" spans="1:24" ht="27" x14ac:dyDescent="0.15">
      <c r="A113" s="41">
        <v>909152</v>
      </c>
      <c r="B113" t="s">
        <v>8337</v>
      </c>
      <c r="C113" s="41" t="s">
        <v>107</v>
      </c>
      <c r="D113" s="41">
        <v>1001</v>
      </c>
      <c r="E113" s="41">
        <v>2</v>
      </c>
      <c r="F113" s="41">
        <v>0</v>
      </c>
      <c r="G113" s="74">
        <v>0</v>
      </c>
      <c r="H113" s="74">
        <v>0</v>
      </c>
      <c r="I113" s="74">
        <v>1</v>
      </c>
      <c r="J113" s="74" t="b">
        <v>0</v>
      </c>
      <c r="K113" s="74">
        <v>-1</v>
      </c>
      <c r="L113" s="74">
        <v>0</v>
      </c>
      <c r="M113" s="74">
        <v>0</v>
      </c>
      <c r="N113" s="41">
        <v>1</v>
      </c>
      <c r="O113" s="74">
        <v>0</v>
      </c>
      <c r="P113" s="222">
        <v>0</v>
      </c>
      <c r="Q113" s="222">
        <v>0</v>
      </c>
      <c r="R113" s="43" t="s">
        <v>7768</v>
      </c>
      <c r="S113" t="s">
        <v>8334</v>
      </c>
      <c r="T113" s="41" t="s">
        <v>8021</v>
      </c>
      <c r="U113" s="15">
        <v>0</v>
      </c>
      <c r="V113" s="225">
        <v>0</v>
      </c>
      <c r="W113" s="197">
        <v>0</v>
      </c>
      <c r="X113" s="197">
        <v>0</v>
      </c>
    </row>
    <row r="114" spans="1:24" ht="27" x14ac:dyDescent="0.15">
      <c r="A114" s="41">
        <v>909153</v>
      </c>
      <c r="B114" t="s">
        <v>8338</v>
      </c>
      <c r="C114" s="41" t="s">
        <v>107</v>
      </c>
      <c r="D114" s="41">
        <v>1001</v>
      </c>
      <c r="E114" s="41">
        <v>2</v>
      </c>
      <c r="F114" s="41">
        <v>0</v>
      </c>
      <c r="G114" s="74">
        <v>0</v>
      </c>
      <c r="H114" s="74">
        <v>0</v>
      </c>
      <c r="I114" s="74">
        <v>1</v>
      </c>
      <c r="J114" s="74" t="b">
        <v>0</v>
      </c>
      <c r="K114" s="74">
        <v>-1</v>
      </c>
      <c r="L114" s="74">
        <v>0</v>
      </c>
      <c r="M114" s="74">
        <v>0</v>
      </c>
      <c r="N114" s="41">
        <v>1</v>
      </c>
      <c r="O114" s="74">
        <v>0</v>
      </c>
      <c r="P114" s="222">
        <v>0</v>
      </c>
      <c r="Q114" s="222">
        <v>0</v>
      </c>
      <c r="R114" s="43" t="s">
        <v>7768</v>
      </c>
      <c r="S114" t="s">
        <v>8334</v>
      </c>
      <c r="T114" s="41" t="s">
        <v>8021</v>
      </c>
      <c r="U114" s="15">
        <v>0</v>
      </c>
      <c r="V114" s="225">
        <v>0</v>
      </c>
      <c r="W114" s="197">
        <v>0</v>
      </c>
      <c r="X114" s="197">
        <v>0</v>
      </c>
    </row>
    <row r="115" spans="1:24" ht="27" x14ac:dyDescent="0.15">
      <c r="A115" s="41">
        <v>909154</v>
      </c>
      <c r="B115" t="s">
        <v>8339</v>
      </c>
      <c r="C115" s="41" t="s">
        <v>107</v>
      </c>
      <c r="D115" s="41">
        <v>1001</v>
      </c>
      <c r="E115" s="41">
        <v>2</v>
      </c>
      <c r="F115" s="41">
        <v>0</v>
      </c>
      <c r="G115" s="74">
        <v>0</v>
      </c>
      <c r="H115" s="74">
        <v>0</v>
      </c>
      <c r="I115" s="74">
        <v>1</v>
      </c>
      <c r="J115" s="74" t="b">
        <v>0</v>
      </c>
      <c r="K115" s="74">
        <v>-1</v>
      </c>
      <c r="L115" s="74">
        <v>0</v>
      </c>
      <c r="M115" s="74">
        <v>0</v>
      </c>
      <c r="N115" s="41">
        <v>1</v>
      </c>
      <c r="O115" s="74">
        <v>0</v>
      </c>
      <c r="P115" s="222">
        <v>0</v>
      </c>
      <c r="Q115" s="222">
        <v>0</v>
      </c>
      <c r="R115" s="43" t="s">
        <v>7768</v>
      </c>
      <c r="S115" t="s">
        <v>8334</v>
      </c>
      <c r="T115" s="41" t="s">
        <v>8021</v>
      </c>
      <c r="U115" s="15">
        <v>0</v>
      </c>
      <c r="V115" s="225">
        <v>0</v>
      </c>
      <c r="W115" s="197">
        <v>0</v>
      </c>
      <c r="X115" s="197">
        <v>0</v>
      </c>
    </row>
    <row r="116" spans="1:24" ht="27" x14ac:dyDescent="0.15">
      <c r="A116" s="41">
        <v>909155</v>
      </c>
      <c r="B116" t="s">
        <v>8340</v>
      </c>
      <c r="C116" s="41" t="s">
        <v>107</v>
      </c>
      <c r="D116" s="41">
        <v>1001</v>
      </c>
      <c r="E116" s="41">
        <v>2</v>
      </c>
      <c r="F116" s="41">
        <v>0</v>
      </c>
      <c r="G116" s="74">
        <v>0</v>
      </c>
      <c r="H116" s="74">
        <v>0</v>
      </c>
      <c r="I116" s="74">
        <v>1</v>
      </c>
      <c r="J116" s="74" t="b">
        <v>0</v>
      </c>
      <c r="K116" s="74">
        <v>-1</v>
      </c>
      <c r="L116" s="74">
        <v>0</v>
      </c>
      <c r="M116" s="74">
        <v>0</v>
      </c>
      <c r="N116" s="41">
        <v>1</v>
      </c>
      <c r="O116" s="74">
        <v>0</v>
      </c>
      <c r="P116" s="222">
        <v>0</v>
      </c>
      <c r="Q116" s="222">
        <v>0</v>
      </c>
      <c r="R116" s="43" t="s">
        <v>7768</v>
      </c>
      <c r="S116" t="s">
        <v>8334</v>
      </c>
      <c r="T116" s="41" t="s">
        <v>8021</v>
      </c>
      <c r="U116" s="15">
        <v>0</v>
      </c>
      <c r="V116" s="225">
        <v>0</v>
      </c>
      <c r="W116" s="197">
        <v>0</v>
      </c>
      <c r="X116" s="197">
        <v>0</v>
      </c>
    </row>
    <row r="117" spans="1:24" ht="27" x14ac:dyDescent="0.15">
      <c r="A117" s="41">
        <v>909156</v>
      </c>
      <c r="B117" t="s">
        <v>8341</v>
      </c>
      <c r="C117" s="41" t="s">
        <v>107</v>
      </c>
      <c r="D117" s="41">
        <v>1001</v>
      </c>
      <c r="E117" s="41">
        <v>2</v>
      </c>
      <c r="F117" s="41">
        <v>0</v>
      </c>
      <c r="G117" s="74">
        <v>0</v>
      </c>
      <c r="H117" s="74">
        <v>0</v>
      </c>
      <c r="I117" s="74">
        <v>1</v>
      </c>
      <c r="J117" s="74" t="b">
        <v>0</v>
      </c>
      <c r="K117" s="74">
        <v>-1</v>
      </c>
      <c r="L117" s="74">
        <v>0</v>
      </c>
      <c r="M117" s="74">
        <v>0</v>
      </c>
      <c r="N117" s="41">
        <v>1</v>
      </c>
      <c r="O117" s="74">
        <v>0</v>
      </c>
      <c r="P117" s="222">
        <v>0</v>
      </c>
      <c r="Q117" s="222">
        <v>0</v>
      </c>
      <c r="R117" s="43" t="s">
        <v>7768</v>
      </c>
      <c r="S117" t="s">
        <v>8334</v>
      </c>
      <c r="T117" s="41" t="s">
        <v>8021</v>
      </c>
      <c r="U117" s="15">
        <v>0</v>
      </c>
      <c r="V117" s="225">
        <v>0</v>
      </c>
      <c r="W117" s="197">
        <v>0</v>
      </c>
      <c r="X117" s="197">
        <v>0</v>
      </c>
    </row>
    <row r="118" spans="1:24" ht="27" x14ac:dyDescent="0.15">
      <c r="A118" s="41">
        <v>909157</v>
      </c>
      <c r="B118" t="s">
        <v>8342</v>
      </c>
      <c r="C118" s="41" t="s">
        <v>107</v>
      </c>
      <c r="D118" s="41">
        <v>1001</v>
      </c>
      <c r="E118" s="41">
        <v>2</v>
      </c>
      <c r="F118" s="41">
        <v>0</v>
      </c>
      <c r="G118" s="74">
        <v>0</v>
      </c>
      <c r="H118" s="74">
        <v>0</v>
      </c>
      <c r="I118" s="74">
        <v>1</v>
      </c>
      <c r="J118" s="74" t="b">
        <v>0</v>
      </c>
      <c r="K118" s="74">
        <v>-1</v>
      </c>
      <c r="L118" s="74">
        <v>0</v>
      </c>
      <c r="M118" s="74">
        <v>0</v>
      </c>
      <c r="N118" s="41">
        <v>1</v>
      </c>
      <c r="O118" s="74">
        <v>0</v>
      </c>
      <c r="P118" s="222" t="s">
        <v>8030</v>
      </c>
      <c r="Q118" s="222" t="s">
        <v>7788</v>
      </c>
      <c r="R118" s="43" t="s">
        <v>7768</v>
      </c>
      <c r="S118" t="s">
        <v>8343</v>
      </c>
      <c r="T118" s="223" t="s">
        <v>7840</v>
      </c>
      <c r="U118" s="15">
        <v>0</v>
      </c>
      <c r="V118" s="225">
        <v>0</v>
      </c>
      <c r="W118" s="197">
        <v>0</v>
      </c>
      <c r="X118" s="197">
        <v>0</v>
      </c>
    </row>
    <row r="119" spans="1:24" ht="27" x14ac:dyDescent="0.15">
      <c r="A119" s="41">
        <v>909158</v>
      </c>
      <c r="B119" t="s">
        <v>8344</v>
      </c>
      <c r="C119" s="41" t="s">
        <v>107</v>
      </c>
      <c r="D119" s="41">
        <v>1001</v>
      </c>
      <c r="E119" s="41">
        <v>2</v>
      </c>
      <c r="F119" s="41">
        <v>0</v>
      </c>
      <c r="G119" s="74">
        <v>0</v>
      </c>
      <c r="H119" s="74">
        <v>0</v>
      </c>
      <c r="I119" s="74">
        <v>1</v>
      </c>
      <c r="J119" s="74" t="b">
        <v>0</v>
      </c>
      <c r="K119" s="74">
        <v>-1</v>
      </c>
      <c r="L119" s="74">
        <v>0</v>
      </c>
      <c r="M119" s="74">
        <v>0</v>
      </c>
      <c r="N119" s="41">
        <v>1</v>
      </c>
      <c r="O119" s="74">
        <v>0</v>
      </c>
      <c r="P119" s="222" t="s">
        <v>8033</v>
      </c>
      <c r="Q119" s="222" t="s">
        <v>7788</v>
      </c>
      <c r="R119" s="43" t="s">
        <v>7768</v>
      </c>
      <c r="S119" t="s">
        <v>8345</v>
      </c>
      <c r="T119" s="223" t="s">
        <v>7840</v>
      </c>
      <c r="U119" s="15">
        <v>0</v>
      </c>
      <c r="V119" s="225">
        <v>0</v>
      </c>
      <c r="W119" s="197">
        <v>0</v>
      </c>
      <c r="X119" s="197">
        <v>0</v>
      </c>
    </row>
    <row r="120" spans="1:24" ht="27" x14ac:dyDescent="0.15">
      <c r="A120" s="41">
        <v>909159</v>
      </c>
      <c r="B120" t="s">
        <v>8346</v>
      </c>
      <c r="C120" s="41" t="s">
        <v>107</v>
      </c>
      <c r="D120" s="41">
        <v>1001</v>
      </c>
      <c r="E120" s="41">
        <v>2</v>
      </c>
      <c r="F120" s="41">
        <v>0</v>
      </c>
      <c r="G120" s="74">
        <v>0</v>
      </c>
      <c r="H120" s="74">
        <v>0</v>
      </c>
      <c r="I120" s="74">
        <v>1</v>
      </c>
      <c r="J120" s="74" t="b">
        <v>0</v>
      </c>
      <c r="K120" s="74">
        <v>-1</v>
      </c>
      <c r="L120" s="74">
        <v>0</v>
      </c>
      <c r="M120" s="74">
        <v>0</v>
      </c>
      <c r="N120" s="41">
        <v>1</v>
      </c>
      <c r="O120" s="74">
        <v>0</v>
      </c>
      <c r="P120" s="222">
        <v>0</v>
      </c>
      <c r="Q120" s="222">
        <v>0</v>
      </c>
      <c r="R120" s="43" t="s">
        <v>7768</v>
      </c>
      <c r="S120" t="s">
        <v>8347</v>
      </c>
      <c r="T120" s="223" t="s">
        <v>7840</v>
      </c>
      <c r="U120" s="15">
        <v>0</v>
      </c>
      <c r="V120" s="225">
        <v>0</v>
      </c>
      <c r="W120" s="197">
        <v>0</v>
      </c>
      <c r="X120" s="197">
        <v>0</v>
      </c>
    </row>
    <row r="121" spans="1:24" ht="27" x14ac:dyDescent="0.15">
      <c r="A121" s="41">
        <v>909160</v>
      </c>
      <c r="B121" t="s">
        <v>8346</v>
      </c>
      <c r="C121" s="41" t="s">
        <v>107</v>
      </c>
      <c r="D121" s="41">
        <v>1001</v>
      </c>
      <c r="E121" s="41">
        <v>2</v>
      </c>
      <c r="F121" s="41">
        <v>0</v>
      </c>
      <c r="G121" s="74">
        <v>0</v>
      </c>
      <c r="H121" s="74">
        <v>0</v>
      </c>
      <c r="I121" s="74">
        <v>1</v>
      </c>
      <c r="J121" s="74" t="b">
        <v>0</v>
      </c>
      <c r="K121" s="74">
        <v>-1</v>
      </c>
      <c r="L121" s="74">
        <v>0</v>
      </c>
      <c r="M121" s="74">
        <v>0</v>
      </c>
      <c r="N121" s="41">
        <v>1</v>
      </c>
      <c r="O121" s="74">
        <v>0</v>
      </c>
      <c r="P121" s="222">
        <v>0</v>
      </c>
      <c r="Q121" s="222">
        <v>0</v>
      </c>
      <c r="R121" s="43" t="s">
        <v>7768</v>
      </c>
      <c r="S121" t="s">
        <v>8348</v>
      </c>
      <c r="T121" s="223" t="s">
        <v>7840</v>
      </c>
      <c r="U121" s="15">
        <v>0</v>
      </c>
      <c r="V121" s="225">
        <v>0</v>
      </c>
      <c r="W121" s="197">
        <v>0</v>
      </c>
      <c r="X121" s="197">
        <v>0</v>
      </c>
    </row>
    <row r="122" spans="1:24" ht="27" x14ac:dyDescent="0.15">
      <c r="A122" s="41">
        <v>909161</v>
      </c>
      <c r="B122" t="s">
        <v>8349</v>
      </c>
      <c r="C122" s="41" t="s">
        <v>107</v>
      </c>
      <c r="D122" s="41">
        <v>1001</v>
      </c>
      <c r="E122" s="41">
        <v>2</v>
      </c>
      <c r="F122" s="41">
        <v>0</v>
      </c>
      <c r="G122" s="74">
        <v>0</v>
      </c>
      <c r="H122" s="74">
        <v>0</v>
      </c>
      <c r="I122" s="74">
        <v>1</v>
      </c>
      <c r="J122" s="74" t="b">
        <v>0</v>
      </c>
      <c r="K122" s="74">
        <v>-1</v>
      </c>
      <c r="L122" s="74">
        <v>0</v>
      </c>
      <c r="M122" s="74">
        <v>0</v>
      </c>
      <c r="N122" s="41">
        <v>1</v>
      </c>
      <c r="O122" s="74">
        <v>0</v>
      </c>
      <c r="P122" s="222">
        <v>0</v>
      </c>
      <c r="Q122" s="222">
        <v>0</v>
      </c>
      <c r="R122" s="43" t="s">
        <v>7768</v>
      </c>
      <c r="S122" t="s">
        <v>8350</v>
      </c>
      <c r="T122" s="223" t="s">
        <v>7972</v>
      </c>
      <c r="U122" s="15">
        <v>0</v>
      </c>
      <c r="V122" s="225">
        <v>0</v>
      </c>
      <c r="W122" s="197">
        <v>0</v>
      </c>
      <c r="X122" s="197">
        <v>0</v>
      </c>
    </row>
    <row r="123" spans="1:24" ht="27" x14ac:dyDescent="0.15">
      <c r="A123" s="41">
        <v>909162</v>
      </c>
      <c r="B123" t="s">
        <v>8351</v>
      </c>
      <c r="C123" s="41" t="s">
        <v>107</v>
      </c>
      <c r="D123" s="41">
        <v>1001</v>
      </c>
      <c r="E123" s="41">
        <v>2</v>
      </c>
      <c r="F123" s="41">
        <v>0</v>
      </c>
      <c r="G123" s="74">
        <v>0</v>
      </c>
      <c r="H123" s="74">
        <v>0</v>
      </c>
      <c r="I123" s="74">
        <v>1</v>
      </c>
      <c r="J123" s="74" t="b">
        <v>0</v>
      </c>
      <c r="K123" s="74">
        <v>-1</v>
      </c>
      <c r="L123" s="74">
        <v>0</v>
      </c>
      <c r="M123" s="74">
        <v>0</v>
      </c>
      <c r="N123" s="41">
        <v>1</v>
      </c>
      <c r="O123" s="74">
        <v>0</v>
      </c>
      <c r="P123" s="222" t="s">
        <v>8041</v>
      </c>
      <c r="Q123" s="222" t="s">
        <v>7788</v>
      </c>
      <c r="R123" s="43" t="s">
        <v>7768</v>
      </c>
      <c r="S123" t="s">
        <v>8352</v>
      </c>
      <c r="T123" s="223" t="s">
        <v>7840</v>
      </c>
      <c r="U123" s="15">
        <v>0</v>
      </c>
      <c r="V123" s="225">
        <v>0</v>
      </c>
      <c r="W123" s="197">
        <v>0</v>
      </c>
      <c r="X123" s="197">
        <v>0</v>
      </c>
    </row>
    <row r="124" spans="1:24" ht="27" x14ac:dyDescent="0.15">
      <c r="A124" s="41">
        <v>909163</v>
      </c>
      <c r="B124" t="s">
        <v>8353</v>
      </c>
      <c r="C124" s="41" t="s">
        <v>107</v>
      </c>
      <c r="D124" s="41">
        <v>1001</v>
      </c>
      <c r="E124" s="41">
        <v>2</v>
      </c>
      <c r="F124" s="41">
        <v>0</v>
      </c>
      <c r="G124" s="74">
        <v>0</v>
      </c>
      <c r="H124" s="74">
        <v>0</v>
      </c>
      <c r="I124" s="74">
        <v>1</v>
      </c>
      <c r="J124" s="74" t="b">
        <v>0</v>
      </c>
      <c r="K124" s="74">
        <v>-1</v>
      </c>
      <c r="L124" s="74">
        <v>0</v>
      </c>
      <c r="M124" s="74">
        <v>0</v>
      </c>
      <c r="N124" s="41">
        <v>1</v>
      </c>
      <c r="O124" s="74">
        <v>0</v>
      </c>
      <c r="P124" s="41">
        <v>0</v>
      </c>
      <c r="Q124" s="222">
        <v>0</v>
      </c>
      <c r="R124" s="43" t="s">
        <v>7768</v>
      </c>
      <c r="S124" t="s">
        <v>8354</v>
      </c>
      <c r="T124" s="41" t="s">
        <v>7417</v>
      </c>
      <c r="U124" s="15">
        <v>0</v>
      </c>
      <c r="V124" s="225">
        <v>0</v>
      </c>
      <c r="W124" s="197">
        <v>0</v>
      </c>
      <c r="X124" s="197">
        <v>0</v>
      </c>
    </row>
    <row r="125" spans="1:24" ht="27" x14ac:dyDescent="0.15">
      <c r="A125" s="41">
        <v>909164</v>
      </c>
      <c r="B125" t="s">
        <v>8355</v>
      </c>
      <c r="C125" s="41" t="s">
        <v>107</v>
      </c>
      <c r="D125" s="41">
        <v>1001</v>
      </c>
      <c r="E125" s="41">
        <v>2</v>
      </c>
      <c r="F125" s="41">
        <v>0</v>
      </c>
      <c r="G125" s="74">
        <v>0</v>
      </c>
      <c r="H125" s="74">
        <v>0</v>
      </c>
      <c r="I125" s="74">
        <v>1</v>
      </c>
      <c r="J125" s="74" t="b">
        <v>0</v>
      </c>
      <c r="K125" s="74">
        <v>-1</v>
      </c>
      <c r="L125" s="74">
        <v>0</v>
      </c>
      <c r="M125" s="74">
        <v>0</v>
      </c>
      <c r="N125" s="41">
        <v>1</v>
      </c>
      <c r="O125" s="74">
        <v>0</v>
      </c>
      <c r="P125" s="41">
        <v>0</v>
      </c>
      <c r="Q125" s="222">
        <v>0</v>
      </c>
      <c r="R125" s="43" t="s">
        <v>7768</v>
      </c>
      <c r="S125" t="s">
        <v>8356</v>
      </c>
      <c r="T125" s="41" t="s">
        <v>8047</v>
      </c>
      <c r="U125" s="15">
        <v>0</v>
      </c>
      <c r="V125" s="225">
        <v>0</v>
      </c>
      <c r="W125" s="197">
        <v>0</v>
      </c>
      <c r="X125" s="197">
        <v>0</v>
      </c>
    </row>
    <row r="126" spans="1:24" ht="27" x14ac:dyDescent="0.15">
      <c r="A126" s="41">
        <v>909165</v>
      </c>
      <c r="B126" t="s">
        <v>8256</v>
      </c>
      <c r="C126" s="41" t="s">
        <v>107</v>
      </c>
      <c r="D126" s="41">
        <v>1001</v>
      </c>
      <c r="E126" s="41">
        <v>2</v>
      </c>
      <c r="F126" s="41">
        <v>0</v>
      </c>
      <c r="G126" s="74">
        <v>0</v>
      </c>
      <c r="H126" s="74">
        <v>0</v>
      </c>
      <c r="I126" s="74">
        <v>1</v>
      </c>
      <c r="J126" s="74" t="b">
        <v>0</v>
      </c>
      <c r="K126" s="74">
        <v>-1</v>
      </c>
      <c r="L126" s="74">
        <v>0</v>
      </c>
      <c r="M126" s="74">
        <v>0</v>
      </c>
      <c r="N126" s="41">
        <v>1</v>
      </c>
      <c r="O126" s="74">
        <v>0</v>
      </c>
      <c r="P126" s="41">
        <v>0</v>
      </c>
      <c r="Q126" s="222">
        <v>0</v>
      </c>
      <c r="R126" s="43" t="s">
        <v>7768</v>
      </c>
      <c r="S126" t="s">
        <v>8357</v>
      </c>
      <c r="T126" s="41" t="s">
        <v>1936</v>
      </c>
      <c r="U126" s="15">
        <v>0</v>
      </c>
      <c r="V126" s="225">
        <v>0</v>
      </c>
      <c r="W126" s="197">
        <v>0</v>
      </c>
      <c r="X126" s="197">
        <v>0</v>
      </c>
    </row>
    <row r="127" spans="1:24" ht="27" x14ac:dyDescent="0.15">
      <c r="A127" s="41">
        <v>909166</v>
      </c>
      <c r="B127" t="s">
        <v>8358</v>
      </c>
      <c r="C127" s="41" t="s">
        <v>107</v>
      </c>
      <c r="D127" s="41">
        <v>1001</v>
      </c>
      <c r="E127" s="41">
        <v>2</v>
      </c>
      <c r="F127" s="41">
        <v>0</v>
      </c>
      <c r="G127" s="74">
        <v>0</v>
      </c>
      <c r="H127" s="74">
        <v>0</v>
      </c>
      <c r="I127" s="74">
        <v>1</v>
      </c>
      <c r="J127" s="74" t="b">
        <v>0</v>
      </c>
      <c r="K127" s="74">
        <v>-1</v>
      </c>
      <c r="L127" s="74">
        <v>0</v>
      </c>
      <c r="M127" s="74">
        <v>0</v>
      </c>
      <c r="N127" s="41">
        <v>1</v>
      </c>
      <c r="O127" s="74">
        <v>0</v>
      </c>
      <c r="P127" s="41">
        <v>0</v>
      </c>
      <c r="Q127" s="222">
        <v>0</v>
      </c>
      <c r="R127" s="43" t="s">
        <v>7768</v>
      </c>
      <c r="S127" t="s">
        <v>8359</v>
      </c>
      <c r="T127" s="41" t="s">
        <v>7840</v>
      </c>
      <c r="U127" s="15">
        <v>0</v>
      </c>
      <c r="V127" s="225">
        <v>0</v>
      </c>
      <c r="W127" s="197">
        <v>0</v>
      </c>
      <c r="X127" s="197">
        <v>0</v>
      </c>
    </row>
    <row r="128" spans="1:24" ht="27" x14ac:dyDescent="0.15">
      <c r="A128" s="41">
        <v>909167</v>
      </c>
      <c r="B128" t="s">
        <v>8360</v>
      </c>
      <c r="C128" s="41" t="s">
        <v>107</v>
      </c>
      <c r="D128" s="41">
        <v>1001</v>
      </c>
      <c r="E128" s="41">
        <v>2</v>
      </c>
      <c r="F128" s="41">
        <v>0</v>
      </c>
      <c r="G128" s="41">
        <v>0</v>
      </c>
      <c r="H128" s="41">
        <v>0</v>
      </c>
      <c r="I128" s="41">
        <v>1</v>
      </c>
      <c r="J128" s="41" t="b">
        <v>0</v>
      </c>
      <c r="K128" s="41">
        <v>-1</v>
      </c>
      <c r="L128" s="41">
        <v>0</v>
      </c>
      <c r="M128" s="41">
        <v>0</v>
      </c>
      <c r="N128" s="41">
        <v>1</v>
      </c>
      <c r="O128" s="41">
        <v>0</v>
      </c>
      <c r="P128" s="41">
        <v>0</v>
      </c>
      <c r="Q128" s="222">
        <v>0</v>
      </c>
      <c r="R128" s="43" t="s">
        <v>7768</v>
      </c>
      <c r="S128" t="s">
        <v>8361</v>
      </c>
      <c r="T128" s="41" t="s">
        <v>7840</v>
      </c>
      <c r="U128" s="15">
        <v>0</v>
      </c>
      <c r="V128" s="225">
        <v>0</v>
      </c>
      <c r="W128" s="197">
        <v>0</v>
      </c>
      <c r="X128" s="197">
        <v>0</v>
      </c>
    </row>
    <row r="129" spans="1:24" ht="27" x14ac:dyDescent="0.15">
      <c r="A129" s="41">
        <v>909168</v>
      </c>
      <c r="B129" t="s">
        <v>8362</v>
      </c>
      <c r="C129" s="41" t="s">
        <v>107</v>
      </c>
      <c r="D129" s="41">
        <v>1001</v>
      </c>
      <c r="E129" s="41">
        <v>2</v>
      </c>
      <c r="F129" s="41">
        <v>0</v>
      </c>
      <c r="G129" s="41">
        <v>0</v>
      </c>
      <c r="H129" s="41">
        <v>0</v>
      </c>
      <c r="I129" s="41">
        <v>1</v>
      </c>
      <c r="J129" s="41" t="b">
        <v>0</v>
      </c>
      <c r="K129" s="41">
        <v>-1</v>
      </c>
      <c r="L129" s="41">
        <v>0</v>
      </c>
      <c r="M129" s="41">
        <v>0</v>
      </c>
      <c r="N129" s="41">
        <v>1</v>
      </c>
      <c r="O129" s="41">
        <v>0</v>
      </c>
      <c r="P129" s="41">
        <v>0</v>
      </c>
      <c r="Q129" s="222">
        <v>0</v>
      </c>
      <c r="R129" s="43" t="s">
        <v>7768</v>
      </c>
      <c r="S129" t="s">
        <v>8363</v>
      </c>
      <c r="T129" s="41" t="s">
        <v>7840</v>
      </c>
      <c r="U129" s="15">
        <v>0</v>
      </c>
      <c r="V129" s="225">
        <v>0</v>
      </c>
      <c r="W129" s="197">
        <v>0</v>
      </c>
      <c r="X129" s="197">
        <v>0</v>
      </c>
    </row>
    <row r="130" spans="1:24" ht="27" x14ac:dyDescent="0.15">
      <c r="A130" s="41">
        <v>909169</v>
      </c>
      <c r="B130" t="s">
        <v>8364</v>
      </c>
      <c r="C130" s="41" t="s">
        <v>107</v>
      </c>
      <c r="D130" s="41">
        <v>1001</v>
      </c>
      <c r="E130" s="41">
        <v>2</v>
      </c>
      <c r="F130" s="41">
        <v>0</v>
      </c>
      <c r="G130" s="41">
        <v>0</v>
      </c>
      <c r="H130" s="41">
        <v>0</v>
      </c>
      <c r="I130" s="41">
        <v>1</v>
      </c>
      <c r="J130" s="41" t="b">
        <v>0</v>
      </c>
      <c r="K130" s="41">
        <v>-1</v>
      </c>
      <c r="L130" s="41">
        <v>0</v>
      </c>
      <c r="M130" s="41">
        <v>0</v>
      </c>
      <c r="N130" s="41">
        <v>1</v>
      </c>
      <c r="O130" s="41">
        <v>0</v>
      </c>
      <c r="P130" s="41">
        <v>0</v>
      </c>
      <c r="Q130" s="222">
        <v>0</v>
      </c>
      <c r="R130" s="43" t="s">
        <v>7768</v>
      </c>
      <c r="S130" t="s">
        <v>8365</v>
      </c>
      <c r="T130" s="41" t="s">
        <v>4884</v>
      </c>
      <c r="U130" s="15">
        <v>0</v>
      </c>
      <c r="V130" s="225">
        <v>0</v>
      </c>
      <c r="W130" s="197">
        <v>0</v>
      </c>
      <c r="X130" s="197">
        <v>0</v>
      </c>
    </row>
    <row r="131" spans="1:24" ht="27" x14ac:dyDescent="0.15">
      <c r="A131" s="41">
        <v>909170</v>
      </c>
      <c r="B131" t="s">
        <v>8366</v>
      </c>
      <c r="C131" s="41" t="s">
        <v>107</v>
      </c>
      <c r="D131" s="41">
        <v>1001</v>
      </c>
      <c r="E131" s="41">
        <v>2</v>
      </c>
      <c r="F131" s="41">
        <v>0</v>
      </c>
      <c r="G131" s="41">
        <v>0</v>
      </c>
      <c r="H131" s="41">
        <v>0</v>
      </c>
      <c r="I131" s="41">
        <v>1</v>
      </c>
      <c r="J131" s="41" t="b">
        <v>0</v>
      </c>
      <c r="K131" s="41">
        <v>-1</v>
      </c>
      <c r="L131" s="41">
        <v>0</v>
      </c>
      <c r="M131" s="41">
        <v>0</v>
      </c>
      <c r="N131" s="41">
        <v>1</v>
      </c>
      <c r="O131" s="41">
        <v>0</v>
      </c>
      <c r="P131" s="222" t="s">
        <v>8058</v>
      </c>
      <c r="Q131" s="222" t="s">
        <v>7788</v>
      </c>
      <c r="R131" s="43" t="s">
        <v>7768</v>
      </c>
      <c r="S131" t="s">
        <v>8367</v>
      </c>
      <c r="T131" s="41" t="s">
        <v>3993</v>
      </c>
      <c r="U131" s="15">
        <v>0</v>
      </c>
      <c r="V131" s="225">
        <v>0</v>
      </c>
      <c r="W131" s="197">
        <v>0</v>
      </c>
      <c r="X131" s="197">
        <v>0</v>
      </c>
    </row>
    <row r="132" spans="1:24" ht="27" x14ac:dyDescent="0.15">
      <c r="A132" s="41">
        <v>909171</v>
      </c>
      <c r="B132" t="s">
        <v>8368</v>
      </c>
      <c r="C132" s="41" t="s">
        <v>107</v>
      </c>
      <c r="D132" s="41">
        <v>1001</v>
      </c>
      <c r="E132" s="41">
        <v>2</v>
      </c>
      <c r="F132" s="41">
        <v>0</v>
      </c>
      <c r="G132" s="41">
        <v>0</v>
      </c>
      <c r="H132" s="41">
        <v>0</v>
      </c>
      <c r="I132" s="41">
        <v>1</v>
      </c>
      <c r="J132" s="41" t="b">
        <v>0</v>
      </c>
      <c r="K132" s="41">
        <v>-1</v>
      </c>
      <c r="L132" s="41">
        <v>0</v>
      </c>
      <c r="M132" s="41">
        <v>0</v>
      </c>
      <c r="N132" s="41">
        <v>1</v>
      </c>
      <c r="O132" s="41">
        <v>0</v>
      </c>
      <c r="P132" s="41">
        <v>0</v>
      </c>
      <c r="Q132" s="222">
        <v>0</v>
      </c>
      <c r="R132" s="43" t="s">
        <v>7768</v>
      </c>
      <c r="S132" t="s">
        <v>8369</v>
      </c>
      <c r="T132" s="41" t="s">
        <v>8062</v>
      </c>
      <c r="U132" s="15">
        <v>0</v>
      </c>
      <c r="V132" s="225">
        <v>0</v>
      </c>
      <c r="W132" s="197">
        <v>0</v>
      </c>
      <c r="X132" s="197">
        <v>0</v>
      </c>
    </row>
    <row r="133" spans="1:24" ht="27" x14ac:dyDescent="0.15">
      <c r="A133" s="41">
        <v>909172</v>
      </c>
      <c r="B133" t="s">
        <v>8370</v>
      </c>
      <c r="C133" s="41" t="s">
        <v>107</v>
      </c>
      <c r="D133" s="41">
        <v>1001</v>
      </c>
      <c r="E133" s="41">
        <v>2</v>
      </c>
      <c r="F133" s="41">
        <v>0</v>
      </c>
      <c r="G133" s="41">
        <v>0</v>
      </c>
      <c r="H133" s="41">
        <v>0</v>
      </c>
      <c r="I133" s="41">
        <v>1</v>
      </c>
      <c r="J133" s="41" t="b">
        <v>0</v>
      </c>
      <c r="K133" s="41">
        <v>-1</v>
      </c>
      <c r="L133" s="41">
        <v>0</v>
      </c>
      <c r="M133" s="41">
        <v>0</v>
      </c>
      <c r="N133" s="41">
        <v>1</v>
      </c>
      <c r="O133" s="41">
        <v>0</v>
      </c>
      <c r="P133" s="222" t="s">
        <v>8064</v>
      </c>
      <c r="Q133" s="222" t="s">
        <v>7788</v>
      </c>
      <c r="R133" s="43" t="s">
        <v>7768</v>
      </c>
      <c r="S133" t="s">
        <v>8371</v>
      </c>
      <c r="T133" s="41" t="s">
        <v>8066</v>
      </c>
      <c r="U133" s="15">
        <v>0</v>
      </c>
      <c r="V133" s="225">
        <v>0</v>
      </c>
      <c r="W133" s="197">
        <v>0</v>
      </c>
      <c r="X133" s="197">
        <v>0</v>
      </c>
    </row>
    <row r="134" spans="1:24" ht="27" x14ac:dyDescent="0.15">
      <c r="A134" s="41">
        <v>909173</v>
      </c>
      <c r="B134" t="s">
        <v>8372</v>
      </c>
      <c r="C134" s="41" t="s">
        <v>107</v>
      </c>
      <c r="D134" s="41">
        <v>1001</v>
      </c>
      <c r="E134" s="41">
        <v>2</v>
      </c>
      <c r="F134" s="41">
        <v>0</v>
      </c>
      <c r="G134" s="41">
        <v>0</v>
      </c>
      <c r="H134" s="41">
        <v>0</v>
      </c>
      <c r="I134" s="41">
        <v>1</v>
      </c>
      <c r="J134" s="41" t="b">
        <v>0</v>
      </c>
      <c r="K134" s="41">
        <v>-1</v>
      </c>
      <c r="L134" s="41">
        <v>0</v>
      </c>
      <c r="M134" s="41">
        <v>0</v>
      </c>
      <c r="N134" s="41">
        <v>1</v>
      </c>
      <c r="O134" s="41">
        <v>0</v>
      </c>
      <c r="P134" s="41">
        <v>0</v>
      </c>
      <c r="Q134" s="222">
        <v>0</v>
      </c>
      <c r="R134" s="43" t="s">
        <v>7768</v>
      </c>
      <c r="S134" t="s">
        <v>8373</v>
      </c>
      <c r="T134" s="41" t="s">
        <v>3993</v>
      </c>
      <c r="U134" s="15">
        <v>0</v>
      </c>
      <c r="V134" s="225">
        <v>0</v>
      </c>
      <c r="W134" s="197">
        <v>0</v>
      </c>
      <c r="X134" s="197">
        <v>0</v>
      </c>
    </row>
    <row r="135" spans="1:24" ht="27" x14ac:dyDescent="0.15">
      <c r="A135" s="41">
        <v>909174</v>
      </c>
      <c r="B135" t="s">
        <v>8374</v>
      </c>
      <c r="C135" s="41" t="s">
        <v>107</v>
      </c>
      <c r="D135" s="41">
        <v>1001</v>
      </c>
      <c r="E135" s="41">
        <v>2</v>
      </c>
      <c r="F135" s="41">
        <v>0</v>
      </c>
      <c r="G135" s="41">
        <v>0</v>
      </c>
      <c r="H135" s="41">
        <v>0</v>
      </c>
      <c r="I135" s="41">
        <v>1</v>
      </c>
      <c r="J135" s="41" t="b">
        <v>0</v>
      </c>
      <c r="K135" s="41">
        <v>-1</v>
      </c>
      <c r="L135" s="41">
        <v>0</v>
      </c>
      <c r="M135" s="41">
        <v>0</v>
      </c>
      <c r="N135" s="41">
        <v>1</v>
      </c>
      <c r="O135" s="41">
        <v>0</v>
      </c>
      <c r="P135" s="222" t="s">
        <v>8070</v>
      </c>
      <c r="Q135" s="222" t="s">
        <v>7788</v>
      </c>
      <c r="R135" s="43" t="s">
        <v>7768</v>
      </c>
      <c r="S135" t="s">
        <v>8375</v>
      </c>
      <c r="T135" s="41" t="s">
        <v>3993</v>
      </c>
      <c r="U135" s="15">
        <v>0</v>
      </c>
      <c r="V135" s="225">
        <v>0</v>
      </c>
      <c r="W135" s="197">
        <v>0</v>
      </c>
      <c r="X135" s="197">
        <v>0</v>
      </c>
    </row>
    <row r="136" spans="1:24" ht="27" x14ac:dyDescent="0.15">
      <c r="A136" s="41">
        <v>909175</v>
      </c>
      <c r="B136" t="s">
        <v>8376</v>
      </c>
      <c r="C136" s="41" t="s">
        <v>107</v>
      </c>
      <c r="D136" s="41">
        <v>1001</v>
      </c>
      <c r="E136" s="41">
        <v>2</v>
      </c>
      <c r="F136" s="41">
        <v>0</v>
      </c>
      <c r="G136" s="41">
        <v>0</v>
      </c>
      <c r="H136" s="41">
        <v>0</v>
      </c>
      <c r="I136" s="41">
        <v>1</v>
      </c>
      <c r="J136" s="41" t="b">
        <v>0</v>
      </c>
      <c r="K136" s="41">
        <v>-1</v>
      </c>
      <c r="L136" s="41">
        <v>0</v>
      </c>
      <c r="M136" s="41">
        <v>0</v>
      </c>
      <c r="N136" s="41">
        <v>1</v>
      </c>
      <c r="O136" s="41">
        <v>0</v>
      </c>
      <c r="P136" s="41">
        <v>0</v>
      </c>
      <c r="Q136" s="222">
        <v>0</v>
      </c>
      <c r="R136" s="43" t="s">
        <v>7768</v>
      </c>
      <c r="S136" t="s">
        <v>8377</v>
      </c>
      <c r="T136" s="41" t="s">
        <v>4884</v>
      </c>
      <c r="U136" s="15">
        <v>0</v>
      </c>
      <c r="V136" s="225">
        <v>0</v>
      </c>
      <c r="W136" s="197">
        <v>0</v>
      </c>
      <c r="X136" s="197">
        <v>0</v>
      </c>
    </row>
    <row r="137" spans="1:24" ht="27" x14ac:dyDescent="0.15">
      <c r="A137" s="41">
        <v>909176</v>
      </c>
      <c r="B137" t="s">
        <v>8378</v>
      </c>
      <c r="C137" s="41" t="s">
        <v>107</v>
      </c>
      <c r="D137" s="41">
        <v>1001</v>
      </c>
      <c r="E137" s="41">
        <v>2</v>
      </c>
      <c r="F137" s="41">
        <v>0</v>
      </c>
      <c r="G137" s="41">
        <v>0</v>
      </c>
      <c r="H137" s="41">
        <v>0</v>
      </c>
      <c r="I137" s="41">
        <v>1</v>
      </c>
      <c r="J137" s="41" t="b">
        <v>0</v>
      </c>
      <c r="K137" s="41">
        <v>-1</v>
      </c>
      <c r="L137" s="41">
        <v>0</v>
      </c>
      <c r="M137" s="41">
        <v>0</v>
      </c>
      <c r="N137" s="41">
        <v>1</v>
      </c>
      <c r="O137" s="41">
        <v>0</v>
      </c>
      <c r="P137" s="41">
        <v>0</v>
      </c>
      <c r="Q137" s="222">
        <v>0</v>
      </c>
      <c r="R137" s="43" t="s">
        <v>7768</v>
      </c>
      <c r="S137" t="s">
        <v>8379</v>
      </c>
      <c r="T137" s="41" t="s">
        <v>5440</v>
      </c>
      <c r="U137" s="15">
        <v>0</v>
      </c>
      <c r="V137" s="225">
        <v>0</v>
      </c>
      <c r="W137" s="197">
        <v>0</v>
      </c>
      <c r="X137" s="197">
        <v>0</v>
      </c>
    </row>
    <row r="138" spans="1:24" ht="27" x14ac:dyDescent="0.15">
      <c r="A138" s="41">
        <v>909177</v>
      </c>
      <c r="B138" t="s">
        <v>8380</v>
      </c>
      <c r="C138" s="41" t="s">
        <v>107</v>
      </c>
      <c r="D138" s="41">
        <v>1001</v>
      </c>
      <c r="E138" s="41">
        <v>2</v>
      </c>
      <c r="F138" s="41">
        <v>0</v>
      </c>
      <c r="G138" s="41">
        <v>0</v>
      </c>
      <c r="H138" s="41">
        <v>0</v>
      </c>
      <c r="I138" s="41">
        <v>1</v>
      </c>
      <c r="J138" s="41" t="b">
        <v>0</v>
      </c>
      <c r="K138" s="41">
        <v>-1</v>
      </c>
      <c r="L138" s="41">
        <v>0</v>
      </c>
      <c r="M138" s="41">
        <v>0</v>
      </c>
      <c r="N138" s="41">
        <v>1</v>
      </c>
      <c r="O138" s="41">
        <v>0</v>
      </c>
      <c r="P138" s="41">
        <v>0</v>
      </c>
      <c r="Q138" s="222">
        <v>0</v>
      </c>
      <c r="R138" s="43" t="s">
        <v>7768</v>
      </c>
      <c r="S138" t="s">
        <v>8381</v>
      </c>
      <c r="T138" s="41" t="s">
        <v>5440</v>
      </c>
      <c r="U138" s="15">
        <v>0</v>
      </c>
      <c r="V138" s="225">
        <v>0</v>
      </c>
      <c r="W138" s="197">
        <v>0</v>
      </c>
      <c r="X138" s="197">
        <v>0</v>
      </c>
    </row>
    <row r="139" spans="1:24" ht="27" x14ac:dyDescent="0.15">
      <c r="A139" s="41">
        <v>909178</v>
      </c>
      <c r="B139" t="s">
        <v>8380</v>
      </c>
      <c r="C139" s="41" t="s">
        <v>107</v>
      </c>
      <c r="D139" s="41">
        <v>1001</v>
      </c>
      <c r="E139" s="41">
        <v>2</v>
      </c>
      <c r="F139" s="41">
        <v>0</v>
      </c>
      <c r="G139" s="41">
        <v>0</v>
      </c>
      <c r="H139" s="41">
        <v>0</v>
      </c>
      <c r="I139" s="41">
        <v>1</v>
      </c>
      <c r="J139" s="41" t="b">
        <v>0</v>
      </c>
      <c r="K139" s="41">
        <v>-1</v>
      </c>
      <c r="L139" s="41">
        <v>0</v>
      </c>
      <c r="M139" s="41">
        <v>0</v>
      </c>
      <c r="N139" s="41">
        <v>1</v>
      </c>
      <c r="O139" s="41">
        <v>0</v>
      </c>
      <c r="P139" s="41">
        <v>0</v>
      </c>
      <c r="Q139" s="222">
        <v>0</v>
      </c>
      <c r="R139" s="43" t="s">
        <v>7768</v>
      </c>
      <c r="S139" t="s">
        <v>8382</v>
      </c>
      <c r="T139" s="41" t="s">
        <v>5440</v>
      </c>
      <c r="U139" s="15">
        <v>0</v>
      </c>
      <c r="V139" s="225">
        <v>0</v>
      </c>
      <c r="W139" s="197">
        <v>0</v>
      </c>
      <c r="X139" s="197">
        <v>0</v>
      </c>
    </row>
    <row r="140" spans="1:24" ht="27" x14ac:dyDescent="0.15">
      <c r="A140" s="41">
        <v>909179</v>
      </c>
      <c r="B140" t="s">
        <v>8383</v>
      </c>
      <c r="C140" s="41" t="s">
        <v>107</v>
      </c>
      <c r="D140" s="41">
        <v>1001</v>
      </c>
      <c r="E140" s="41">
        <v>2</v>
      </c>
      <c r="F140" s="41">
        <v>0</v>
      </c>
      <c r="G140" s="41">
        <v>0</v>
      </c>
      <c r="H140" s="41">
        <v>0</v>
      </c>
      <c r="I140" s="41">
        <v>1</v>
      </c>
      <c r="J140" s="41" t="b">
        <v>0</v>
      </c>
      <c r="K140" s="41">
        <v>-1</v>
      </c>
      <c r="L140" s="41">
        <v>0</v>
      </c>
      <c r="M140" s="41">
        <v>0</v>
      </c>
      <c r="N140" s="41">
        <v>1</v>
      </c>
      <c r="O140" s="41">
        <v>0</v>
      </c>
      <c r="P140" s="222" t="s">
        <v>8080</v>
      </c>
      <c r="Q140" s="222" t="s">
        <v>7788</v>
      </c>
      <c r="R140" s="43" t="s">
        <v>7768</v>
      </c>
      <c r="S140" t="s">
        <v>8313</v>
      </c>
      <c r="T140" s="41" t="s">
        <v>7840</v>
      </c>
      <c r="U140" s="15">
        <v>0</v>
      </c>
      <c r="V140" s="225">
        <v>0</v>
      </c>
      <c r="W140" s="197">
        <v>0</v>
      </c>
      <c r="X140" s="197">
        <v>0</v>
      </c>
    </row>
    <row r="141" spans="1:24" ht="27" x14ac:dyDescent="0.15">
      <c r="A141" s="41">
        <v>909180</v>
      </c>
      <c r="B141" t="s">
        <v>8384</v>
      </c>
      <c r="C141" s="41" t="s">
        <v>107</v>
      </c>
      <c r="D141" s="41">
        <v>1001</v>
      </c>
      <c r="E141" s="41">
        <v>2</v>
      </c>
      <c r="F141" s="41">
        <v>0</v>
      </c>
      <c r="G141" s="41">
        <v>0</v>
      </c>
      <c r="H141" s="41">
        <v>0</v>
      </c>
      <c r="I141" s="41">
        <v>1</v>
      </c>
      <c r="J141" s="41" t="b">
        <v>0</v>
      </c>
      <c r="K141" s="41">
        <v>-1</v>
      </c>
      <c r="L141" s="41">
        <v>0</v>
      </c>
      <c r="M141" s="41">
        <v>0</v>
      </c>
      <c r="N141" s="41">
        <v>1</v>
      </c>
      <c r="O141" s="41">
        <v>0</v>
      </c>
      <c r="P141" s="41">
        <v>0</v>
      </c>
      <c r="Q141" s="222">
        <v>0</v>
      </c>
      <c r="R141" s="43" t="s">
        <v>7768</v>
      </c>
      <c r="S141" t="s">
        <v>8385</v>
      </c>
      <c r="T141" s="41" t="s">
        <v>7840</v>
      </c>
      <c r="U141" s="15">
        <v>0</v>
      </c>
      <c r="V141" s="225">
        <v>0</v>
      </c>
      <c r="W141" s="197">
        <v>0</v>
      </c>
      <c r="X141" s="197">
        <v>0</v>
      </c>
    </row>
    <row r="142" spans="1:24" ht="27" x14ac:dyDescent="0.15">
      <c r="A142" s="41">
        <v>909181</v>
      </c>
      <c r="B142" t="s">
        <v>8386</v>
      </c>
      <c r="C142" s="41" t="s">
        <v>107</v>
      </c>
      <c r="D142" s="41">
        <v>1001</v>
      </c>
      <c r="E142" s="41">
        <v>2</v>
      </c>
      <c r="F142" s="41">
        <v>0</v>
      </c>
      <c r="G142" s="41">
        <v>0</v>
      </c>
      <c r="H142" s="41">
        <v>0</v>
      </c>
      <c r="I142" s="41">
        <v>1</v>
      </c>
      <c r="J142" s="41" t="b">
        <v>0</v>
      </c>
      <c r="K142" s="41">
        <v>-1</v>
      </c>
      <c r="L142" s="41">
        <v>0</v>
      </c>
      <c r="M142" s="41">
        <v>0</v>
      </c>
      <c r="N142" s="41">
        <v>1</v>
      </c>
      <c r="O142" s="41">
        <v>0</v>
      </c>
      <c r="P142" s="41">
        <v>0</v>
      </c>
      <c r="Q142" s="222">
        <v>0</v>
      </c>
      <c r="R142" s="43" t="s">
        <v>7768</v>
      </c>
      <c r="S142" t="s">
        <v>8385</v>
      </c>
      <c r="T142" s="41" t="s">
        <v>7840</v>
      </c>
      <c r="U142" s="15">
        <v>0</v>
      </c>
      <c r="V142" s="225">
        <v>0</v>
      </c>
      <c r="W142" s="197">
        <v>0</v>
      </c>
      <c r="X142" s="197">
        <v>0</v>
      </c>
    </row>
    <row r="143" spans="1:24" ht="27" x14ac:dyDescent="0.15">
      <c r="A143" s="41">
        <v>909182</v>
      </c>
      <c r="B143" t="s">
        <v>8387</v>
      </c>
      <c r="C143" s="41" t="s">
        <v>107</v>
      </c>
      <c r="D143" s="41">
        <v>1001</v>
      </c>
      <c r="E143" s="41">
        <v>2</v>
      </c>
      <c r="F143" s="41">
        <v>0</v>
      </c>
      <c r="G143" s="41">
        <v>0</v>
      </c>
      <c r="H143" s="41">
        <v>0</v>
      </c>
      <c r="I143" s="41">
        <v>1</v>
      </c>
      <c r="J143" s="41" t="b">
        <v>0</v>
      </c>
      <c r="K143" s="41">
        <v>-1</v>
      </c>
      <c r="L143" s="41">
        <v>0</v>
      </c>
      <c r="M143" s="41">
        <v>0</v>
      </c>
      <c r="N143" s="41">
        <v>1</v>
      </c>
      <c r="O143" s="41">
        <v>0</v>
      </c>
      <c r="P143" s="41">
        <v>0</v>
      </c>
      <c r="Q143" s="222">
        <v>0</v>
      </c>
      <c r="R143" s="43" t="s">
        <v>7768</v>
      </c>
      <c r="S143" t="s">
        <v>8385</v>
      </c>
      <c r="T143" s="41" t="s">
        <v>7840</v>
      </c>
      <c r="U143" s="15">
        <v>0</v>
      </c>
      <c r="V143" s="225">
        <v>0</v>
      </c>
      <c r="W143" s="197">
        <v>0</v>
      </c>
      <c r="X143" s="197">
        <v>0</v>
      </c>
    </row>
    <row r="144" spans="1:24" ht="27" x14ac:dyDescent="0.15">
      <c r="A144" s="41">
        <v>909183</v>
      </c>
      <c r="B144" t="s">
        <v>8388</v>
      </c>
      <c r="C144" s="41" t="s">
        <v>107</v>
      </c>
      <c r="D144" s="41">
        <v>1001</v>
      </c>
      <c r="E144" s="41">
        <v>2</v>
      </c>
      <c r="F144" s="41">
        <v>0</v>
      </c>
      <c r="G144" s="41">
        <v>0</v>
      </c>
      <c r="H144" s="41">
        <v>0</v>
      </c>
      <c r="I144" s="41">
        <v>1</v>
      </c>
      <c r="J144" s="41" t="b">
        <v>0</v>
      </c>
      <c r="K144" s="41">
        <v>-1</v>
      </c>
      <c r="L144" s="41">
        <v>0</v>
      </c>
      <c r="M144" s="41">
        <v>0</v>
      </c>
      <c r="N144" s="41">
        <v>1</v>
      </c>
      <c r="O144" s="41">
        <v>0</v>
      </c>
      <c r="P144" s="41">
        <v>0</v>
      </c>
      <c r="Q144" s="222">
        <v>0</v>
      </c>
      <c r="R144" s="43" t="s">
        <v>7768</v>
      </c>
      <c r="S144" t="s">
        <v>8389</v>
      </c>
      <c r="T144" s="41" t="s">
        <v>3993</v>
      </c>
      <c r="U144" s="15">
        <v>0</v>
      </c>
      <c r="V144" s="225">
        <v>0</v>
      </c>
      <c r="W144" s="197">
        <v>0</v>
      </c>
      <c r="X144" s="197">
        <v>0</v>
      </c>
    </row>
    <row r="145" spans="1:24" ht="27" x14ac:dyDescent="0.15">
      <c r="A145" s="41">
        <v>909184</v>
      </c>
      <c r="B145" t="s">
        <v>8205</v>
      </c>
      <c r="C145" s="41" t="s">
        <v>107</v>
      </c>
      <c r="D145" s="41">
        <v>1001</v>
      </c>
      <c r="E145" s="41">
        <v>2</v>
      </c>
      <c r="F145" s="41">
        <v>0</v>
      </c>
      <c r="G145" s="41">
        <v>0</v>
      </c>
      <c r="H145" s="41">
        <v>0</v>
      </c>
      <c r="I145" s="41">
        <v>1</v>
      </c>
      <c r="J145" s="41" t="b">
        <v>0</v>
      </c>
      <c r="K145" s="41">
        <v>-1</v>
      </c>
      <c r="L145" s="41">
        <v>0</v>
      </c>
      <c r="M145" s="41">
        <v>0</v>
      </c>
      <c r="N145" s="41">
        <v>1</v>
      </c>
      <c r="O145" s="41">
        <v>0</v>
      </c>
      <c r="P145" s="41">
        <v>0</v>
      </c>
      <c r="Q145" s="222">
        <v>0</v>
      </c>
      <c r="R145" s="43" t="s">
        <v>7768</v>
      </c>
      <c r="S145" t="s">
        <v>8390</v>
      </c>
      <c r="T145" s="41" t="s">
        <v>7868</v>
      </c>
      <c r="U145" s="15">
        <v>0</v>
      </c>
      <c r="V145" s="225">
        <v>0</v>
      </c>
      <c r="W145" s="197">
        <v>0</v>
      </c>
      <c r="X145" s="197">
        <v>0</v>
      </c>
    </row>
    <row r="146" spans="1:24" ht="27" x14ac:dyDescent="0.15">
      <c r="A146" s="41">
        <v>909185</v>
      </c>
      <c r="B146" t="s">
        <v>8391</v>
      </c>
      <c r="C146" s="41" t="s">
        <v>107</v>
      </c>
      <c r="D146" s="41">
        <v>1001</v>
      </c>
      <c r="E146" s="41">
        <v>2</v>
      </c>
      <c r="F146" s="41">
        <v>0</v>
      </c>
      <c r="G146" s="41">
        <v>0</v>
      </c>
      <c r="H146" s="41">
        <v>0</v>
      </c>
      <c r="I146" s="41">
        <v>1</v>
      </c>
      <c r="J146" s="41" t="b">
        <v>0</v>
      </c>
      <c r="K146" s="41">
        <v>-1</v>
      </c>
      <c r="L146" s="41">
        <v>0</v>
      </c>
      <c r="M146" s="41">
        <v>0</v>
      </c>
      <c r="N146" s="41">
        <v>1</v>
      </c>
      <c r="O146" s="41">
        <v>0</v>
      </c>
      <c r="P146" s="41">
        <v>0</v>
      </c>
      <c r="Q146" s="222">
        <v>0</v>
      </c>
      <c r="R146" s="43" t="s">
        <v>7768</v>
      </c>
      <c r="S146" t="s">
        <v>8392</v>
      </c>
      <c r="T146" s="41" t="s">
        <v>7802</v>
      </c>
      <c r="U146" s="15">
        <v>0</v>
      </c>
      <c r="V146" s="225">
        <v>0</v>
      </c>
      <c r="W146" s="197">
        <v>0</v>
      </c>
      <c r="X146" s="197">
        <v>0</v>
      </c>
    </row>
    <row r="147" spans="1:24" ht="27" x14ac:dyDescent="0.15">
      <c r="A147" s="41">
        <v>909186</v>
      </c>
      <c r="B147" t="s">
        <v>8393</v>
      </c>
      <c r="C147" s="41" t="s">
        <v>107</v>
      </c>
      <c r="D147" s="41">
        <v>1001</v>
      </c>
      <c r="E147" s="41">
        <v>2</v>
      </c>
      <c r="F147" s="41">
        <v>0</v>
      </c>
      <c r="G147" s="41">
        <v>0</v>
      </c>
      <c r="H147" s="41">
        <v>0</v>
      </c>
      <c r="I147" s="41">
        <v>1</v>
      </c>
      <c r="J147" s="41" t="b">
        <v>0</v>
      </c>
      <c r="K147" s="41">
        <v>-1</v>
      </c>
      <c r="L147" s="41">
        <v>0</v>
      </c>
      <c r="M147" s="41">
        <v>0</v>
      </c>
      <c r="N147" s="41">
        <v>1</v>
      </c>
      <c r="O147" s="41">
        <v>0</v>
      </c>
      <c r="P147" s="74" t="s">
        <v>7832</v>
      </c>
      <c r="Q147" s="222" t="s">
        <v>7477</v>
      </c>
      <c r="R147" s="43"/>
      <c r="S147" t="s">
        <v>8394</v>
      </c>
      <c r="T147" s="41" t="s">
        <v>7840</v>
      </c>
      <c r="U147" s="15">
        <v>0</v>
      </c>
      <c r="V147" s="15">
        <v>16000</v>
      </c>
      <c r="W147" s="197">
        <v>0</v>
      </c>
      <c r="X147" s="197">
        <v>0</v>
      </c>
    </row>
    <row r="148" spans="1:24" ht="27" x14ac:dyDescent="0.15">
      <c r="A148" s="41">
        <v>909187</v>
      </c>
      <c r="B148" t="s">
        <v>8395</v>
      </c>
      <c r="C148" s="41" t="s">
        <v>107</v>
      </c>
      <c r="D148" s="41">
        <v>1001</v>
      </c>
      <c r="E148" s="41">
        <v>2</v>
      </c>
      <c r="F148" s="41">
        <v>0</v>
      </c>
      <c r="G148" s="41">
        <v>0</v>
      </c>
      <c r="H148" s="41">
        <v>0</v>
      </c>
      <c r="I148" s="41">
        <v>1</v>
      </c>
      <c r="J148" s="41" t="b">
        <v>0</v>
      </c>
      <c r="K148" s="41">
        <v>-1</v>
      </c>
      <c r="L148" s="41">
        <v>0</v>
      </c>
      <c r="M148" s="41">
        <v>0</v>
      </c>
      <c r="N148" s="41">
        <v>1</v>
      </c>
      <c r="O148" s="41">
        <v>0</v>
      </c>
      <c r="P148" s="222" t="s">
        <v>8094</v>
      </c>
      <c r="Q148" s="222" t="s">
        <v>7788</v>
      </c>
      <c r="R148" s="43" t="s">
        <v>7768</v>
      </c>
      <c r="S148" t="s">
        <v>8396</v>
      </c>
      <c r="T148" s="41" t="s">
        <v>7840</v>
      </c>
      <c r="U148" s="15">
        <v>0</v>
      </c>
      <c r="V148" s="225">
        <v>0</v>
      </c>
      <c r="W148" s="197">
        <v>0</v>
      </c>
      <c r="X148" s="197">
        <v>0</v>
      </c>
    </row>
    <row r="149" spans="1:24" ht="27" x14ac:dyDescent="0.15">
      <c r="A149" s="41">
        <v>909188</v>
      </c>
      <c r="B149" t="s">
        <v>8397</v>
      </c>
      <c r="C149" s="41" t="s">
        <v>107</v>
      </c>
      <c r="D149" s="41">
        <v>1001</v>
      </c>
      <c r="E149" s="41">
        <v>2</v>
      </c>
      <c r="F149" s="41">
        <v>0</v>
      </c>
      <c r="G149" s="41">
        <v>0</v>
      </c>
      <c r="H149" s="41">
        <v>0</v>
      </c>
      <c r="I149" s="41">
        <v>1</v>
      </c>
      <c r="J149" s="41" t="b">
        <v>0</v>
      </c>
      <c r="K149" s="41">
        <v>-1</v>
      </c>
      <c r="L149" s="41">
        <v>0</v>
      </c>
      <c r="M149" s="41">
        <v>0</v>
      </c>
      <c r="N149" s="41">
        <v>1</v>
      </c>
      <c r="O149" s="41">
        <v>0</v>
      </c>
      <c r="P149" s="222" t="s">
        <v>8097</v>
      </c>
      <c r="Q149" s="222" t="s">
        <v>7788</v>
      </c>
      <c r="R149" s="43" t="s">
        <v>7768</v>
      </c>
      <c r="S149" t="s">
        <v>8398</v>
      </c>
      <c r="T149" s="41" t="s">
        <v>7840</v>
      </c>
      <c r="U149" s="15">
        <v>0</v>
      </c>
      <c r="V149" s="225">
        <v>0</v>
      </c>
      <c r="W149" s="197">
        <v>0</v>
      </c>
      <c r="X149" s="197">
        <v>0</v>
      </c>
    </row>
    <row r="150" spans="1:24" customFormat="1" ht="27" x14ac:dyDescent="0.15">
      <c r="A150" s="41">
        <v>909189</v>
      </c>
      <c r="B150" t="s">
        <v>8399</v>
      </c>
      <c r="C150" s="41" t="s">
        <v>107</v>
      </c>
      <c r="D150" s="41">
        <v>1001</v>
      </c>
      <c r="E150" s="41">
        <v>2</v>
      </c>
      <c r="F150" s="41">
        <v>0</v>
      </c>
      <c r="G150" s="41">
        <v>0</v>
      </c>
      <c r="H150" s="41">
        <v>0</v>
      </c>
      <c r="I150" s="41">
        <v>1</v>
      </c>
      <c r="J150" s="41" t="b">
        <v>0</v>
      </c>
      <c r="K150" s="41">
        <v>-1</v>
      </c>
      <c r="L150" s="41">
        <v>0</v>
      </c>
      <c r="M150" s="41">
        <v>0</v>
      </c>
      <c r="N150" s="41">
        <v>1</v>
      </c>
      <c r="O150" s="41">
        <v>0</v>
      </c>
      <c r="P150" s="222">
        <v>0</v>
      </c>
      <c r="Q150" s="222">
        <v>0</v>
      </c>
      <c r="R150" s="43" t="s">
        <v>7768</v>
      </c>
      <c r="S150" t="s">
        <v>8400</v>
      </c>
      <c r="T150" s="41" t="s">
        <v>164</v>
      </c>
      <c r="U150" s="15">
        <v>0</v>
      </c>
      <c r="V150" s="225">
        <v>0</v>
      </c>
      <c r="W150" s="197">
        <v>0</v>
      </c>
      <c r="X150" s="197">
        <v>0</v>
      </c>
    </row>
    <row r="151" spans="1:24" ht="27" x14ac:dyDescent="0.15">
      <c r="A151" s="41">
        <v>909190</v>
      </c>
      <c r="B151" t="s">
        <v>8401</v>
      </c>
      <c r="C151" s="41" t="s">
        <v>107</v>
      </c>
      <c r="D151" s="41">
        <v>1001</v>
      </c>
      <c r="E151" s="41">
        <v>2</v>
      </c>
      <c r="F151" s="41">
        <v>0</v>
      </c>
      <c r="G151" s="41">
        <v>0</v>
      </c>
      <c r="H151" s="41">
        <v>0</v>
      </c>
      <c r="I151" s="41">
        <v>1</v>
      </c>
      <c r="J151" s="41" t="b">
        <v>0</v>
      </c>
      <c r="K151" s="41">
        <v>-1</v>
      </c>
      <c r="L151" s="41">
        <v>0</v>
      </c>
      <c r="M151" s="41">
        <v>0</v>
      </c>
      <c r="N151" s="41">
        <v>1</v>
      </c>
      <c r="O151" s="41">
        <v>0</v>
      </c>
      <c r="P151" s="222">
        <v>0</v>
      </c>
      <c r="Q151" s="222">
        <v>0</v>
      </c>
      <c r="R151" s="43" t="s">
        <v>7768</v>
      </c>
      <c r="S151" t="s">
        <v>8402</v>
      </c>
      <c r="T151" s="41" t="s">
        <v>8101</v>
      </c>
      <c r="U151" s="15">
        <v>0</v>
      </c>
      <c r="V151" s="225">
        <v>0</v>
      </c>
      <c r="W151" s="197">
        <v>0</v>
      </c>
      <c r="X151" s="197">
        <v>0</v>
      </c>
    </row>
    <row r="152" spans="1:24" ht="27" x14ac:dyDescent="0.15">
      <c r="A152" s="41">
        <v>909191</v>
      </c>
      <c r="B152" t="s">
        <v>8403</v>
      </c>
      <c r="C152" s="41" t="s">
        <v>107</v>
      </c>
      <c r="D152" s="41">
        <v>1001</v>
      </c>
      <c r="E152" s="41">
        <v>2</v>
      </c>
      <c r="F152" s="41">
        <v>0</v>
      </c>
      <c r="G152" s="41">
        <v>0</v>
      </c>
      <c r="H152" s="41">
        <v>0</v>
      </c>
      <c r="I152" s="41">
        <v>1</v>
      </c>
      <c r="J152" s="41" t="b">
        <v>0</v>
      </c>
      <c r="K152" s="41">
        <v>-1</v>
      </c>
      <c r="L152" s="41">
        <v>0</v>
      </c>
      <c r="M152" s="41">
        <v>0</v>
      </c>
      <c r="N152" s="41">
        <v>1</v>
      </c>
      <c r="O152" s="41">
        <v>0</v>
      </c>
      <c r="P152" s="222" t="s">
        <v>8103</v>
      </c>
      <c r="Q152" s="222" t="s">
        <v>7788</v>
      </c>
      <c r="R152" s="43" t="s">
        <v>7768</v>
      </c>
      <c r="S152" t="s">
        <v>8404</v>
      </c>
      <c r="T152" s="41" t="s">
        <v>7840</v>
      </c>
      <c r="U152" s="15">
        <v>0</v>
      </c>
      <c r="V152" s="225">
        <v>0</v>
      </c>
      <c r="W152" s="197">
        <v>0</v>
      </c>
      <c r="X152" s="197">
        <v>0</v>
      </c>
    </row>
    <row r="153" spans="1:24" customFormat="1" ht="27" x14ac:dyDescent="0.15">
      <c r="A153" s="41">
        <v>909192</v>
      </c>
      <c r="B153" t="s">
        <v>8405</v>
      </c>
      <c r="C153" s="41" t="s">
        <v>107</v>
      </c>
      <c r="D153" s="41">
        <v>1001</v>
      </c>
      <c r="E153" s="41">
        <v>2</v>
      </c>
      <c r="F153" s="41">
        <v>0</v>
      </c>
      <c r="G153" s="41">
        <v>0</v>
      </c>
      <c r="H153" s="41">
        <v>0</v>
      </c>
      <c r="I153" s="41">
        <v>1</v>
      </c>
      <c r="J153" s="41" t="b">
        <v>0</v>
      </c>
      <c r="K153" s="41">
        <v>-1</v>
      </c>
      <c r="L153" s="41">
        <v>0</v>
      </c>
      <c r="M153" s="41">
        <v>0</v>
      </c>
      <c r="N153" s="41">
        <v>1</v>
      </c>
      <c r="O153" s="41">
        <v>0</v>
      </c>
      <c r="P153" s="222">
        <v>0</v>
      </c>
      <c r="Q153" s="222">
        <v>0</v>
      </c>
      <c r="R153" s="43" t="s">
        <v>7768</v>
      </c>
      <c r="S153" t="s">
        <v>8406</v>
      </c>
      <c r="T153" s="41" t="s">
        <v>1773</v>
      </c>
      <c r="U153" s="15">
        <v>0</v>
      </c>
      <c r="V153" s="225">
        <v>0</v>
      </c>
      <c r="W153" s="197">
        <v>0</v>
      </c>
      <c r="X153" s="197">
        <v>0</v>
      </c>
    </row>
    <row r="154" spans="1:24" customFormat="1" ht="27" x14ac:dyDescent="0.15">
      <c r="A154" s="41">
        <v>909193</v>
      </c>
      <c r="B154" t="s">
        <v>8407</v>
      </c>
      <c r="C154" s="41" t="s">
        <v>107</v>
      </c>
      <c r="D154" s="41">
        <v>1001</v>
      </c>
      <c r="E154" s="41">
        <v>2</v>
      </c>
      <c r="F154" s="41">
        <v>0</v>
      </c>
      <c r="G154" s="41">
        <v>0</v>
      </c>
      <c r="H154" s="41">
        <v>0</v>
      </c>
      <c r="I154" s="41">
        <v>1</v>
      </c>
      <c r="J154" s="41" t="b">
        <v>0</v>
      </c>
      <c r="K154" s="41">
        <v>-1</v>
      </c>
      <c r="L154" s="41">
        <v>0</v>
      </c>
      <c r="M154" s="41">
        <v>0</v>
      </c>
      <c r="N154" s="41">
        <v>1</v>
      </c>
      <c r="O154" s="41">
        <v>0</v>
      </c>
      <c r="P154" s="222">
        <v>0</v>
      </c>
      <c r="Q154" s="222">
        <v>0</v>
      </c>
      <c r="R154" s="43" t="s">
        <v>7768</v>
      </c>
      <c r="S154" t="s">
        <v>8408</v>
      </c>
      <c r="T154" s="41" t="s">
        <v>3409</v>
      </c>
      <c r="U154" s="15">
        <v>0</v>
      </c>
      <c r="V154" s="225">
        <v>0</v>
      </c>
      <c r="W154" s="197">
        <v>0</v>
      </c>
      <c r="X154" s="197">
        <v>0</v>
      </c>
    </row>
    <row r="155" spans="1:24" customFormat="1" ht="27" x14ac:dyDescent="0.15">
      <c r="A155" s="41">
        <v>909194</v>
      </c>
      <c r="B155" t="s">
        <v>8409</v>
      </c>
      <c r="C155" s="41" t="s">
        <v>107</v>
      </c>
      <c r="D155" s="41">
        <v>1001</v>
      </c>
      <c r="E155" s="41">
        <v>2</v>
      </c>
      <c r="F155" s="41">
        <v>0</v>
      </c>
      <c r="G155" s="41">
        <v>0</v>
      </c>
      <c r="H155" s="41">
        <v>0</v>
      </c>
      <c r="I155" s="41">
        <v>1</v>
      </c>
      <c r="J155" s="41" t="b">
        <v>0</v>
      </c>
      <c r="K155" s="41">
        <v>-1</v>
      </c>
      <c r="L155" s="41">
        <v>0</v>
      </c>
      <c r="M155" s="41">
        <v>0</v>
      </c>
      <c r="N155" s="41">
        <v>1</v>
      </c>
      <c r="O155" s="41">
        <v>0</v>
      </c>
      <c r="P155" s="222">
        <v>0</v>
      </c>
      <c r="Q155" s="222">
        <v>0</v>
      </c>
      <c r="R155" s="43" t="s">
        <v>7768</v>
      </c>
      <c r="S155" t="s">
        <v>8410</v>
      </c>
      <c r="T155" s="41" t="s">
        <v>8111</v>
      </c>
      <c r="U155" s="15">
        <v>0</v>
      </c>
      <c r="V155" s="225">
        <v>0</v>
      </c>
      <c r="W155" s="197">
        <v>0</v>
      </c>
      <c r="X155" s="197">
        <v>0</v>
      </c>
    </row>
    <row r="156" spans="1:24" customFormat="1" ht="27" x14ac:dyDescent="0.15">
      <c r="A156" s="41">
        <v>909195</v>
      </c>
      <c r="B156" t="s">
        <v>8411</v>
      </c>
      <c r="C156" s="41" t="s">
        <v>107</v>
      </c>
      <c r="D156" s="41">
        <v>1001</v>
      </c>
      <c r="E156" s="41">
        <v>2</v>
      </c>
      <c r="F156" s="41">
        <v>0</v>
      </c>
      <c r="G156" s="41">
        <v>0</v>
      </c>
      <c r="H156" s="41">
        <v>0</v>
      </c>
      <c r="I156" s="41">
        <v>1</v>
      </c>
      <c r="J156" s="41" t="b">
        <v>0</v>
      </c>
      <c r="K156" s="41">
        <v>-1</v>
      </c>
      <c r="L156" s="41">
        <v>0</v>
      </c>
      <c r="M156" s="41">
        <v>0</v>
      </c>
      <c r="N156" s="41">
        <v>1</v>
      </c>
      <c r="O156" s="41">
        <v>0</v>
      </c>
      <c r="P156" s="222">
        <v>0</v>
      </c>
      <c r="Q156" s="222">
        <v>0</v>
      </c>
      <c r="R156" s="43" t="s">
        <v>7768</v>
      </c>
      <c r="S156" t="s">
        <v>8412</v>
      </c>
      <c r="T156" s="41" t="s">
        <v>7536</v>
      </c>
      <c r="U156" s="15">
        <v>0</v>
      </c>
      <c r="V156" s="225">
        <v>0</v>
      </c>
      <c r="W156" s="197">
        <v>0</v>
      </c>
      <c r="X156" s="197">
        <v>0</v>
      </c>
    </row>
    <row r="157" spans="1:24" customFormat="1" ht="27" x14ac:dyDescent="0.15">
      <c r="A157" s="41">
        <v>909196</v>
      </c>
      <c r="B157" t="s">
        <v>8413</v>
      </c>
      <c r="C157" s="41" t="s">
        <v>107</v>
      </c>
      <c r="D157" s="41">
        <v>1001</v>
      </c>
      <c r="E157" s="41">
        <v>2</v>
      </c>
      <c r="F157" s="41">
        <v>0</v>
      </c>
      <c r="G157" s="41">
        <v>0</v>
      </c>
      <c r="H157" s="41">
        <v>0</v>
      </c>
      <c r="I157" s="41">
        <v>1</v>
      </c>
      <c r="J157" s="41" t="b">
        <v>0</v>
      </c>
      <c r="K157" s="41">
        <v>-1</v>
      </c>
      <c r="L157" s="41">
        <v>0</v>
      </c>
      <c r="M157" s="41">
        <v>0</v>
      </c>
      <c r="N157" s="41">
        <v>1</v>
      </c>
      <c r="O157" s="41">
        <v>0</v>
      </c>
      <c r="P157" s="222">
        <v>0</v>
      </c>
      <c r="Q157" s="222">
        <v>0</v>
      </c>
      <c r="R157" s="43" t="s">
        <v>7768</v>
      </c>
      <c r="S157" t="s">
        <v>8414</v>
      </c>
      <c r="T157" s="41" t="s">
        <v>8111</v>
      </c>
      <c r="U157" s="15">
        <v>0</v>
      </c>
      <c r="V157" s="225">
        <v>0</v>
      </c>
      <c r="W157" s="197">
        <v>0</v>
      </c>
      <c r="X157" s="197">
        <v>0</v>
      </c>
    </row>
    <row r="158" spans="1:24" customFormat="1" ht="27" x14ac:dyDescent="0.15">
      <c r="A158" s="41">
        <v>909197</v>
      </c>
      <c r="B158" t="s">
        <v>8415</v>
      </c>
      <c r="C158" s="41" t="s">
        <v>107</v>
      </c>
      <c r="D158" s="41">
        <v>1001</v>
      </c>
      <c r="E158" s="41">
        <v>2</v>
      </c>
      <c r="F158" s="41">
        <v>0</v>
      </c>
      <c r="G158" s="41">
        <v>0</v>
      </c>
      <c r="H158" s="41">
        <v>0</v>
      </c>
      <c r="I158" s="41">
        <v>1</v>
      </c>
      <c r="J158" s="41" t="b">
        <v>0</v>
      </c>
      <c r="K158" s="41">
        <v>-1</v>
      </c>
      <c r="L158" s="41">
        <v>0</v>
      </c>
      <c r="M158" s="41">
        <v>0</v>
      </c>
      <c r="N158" s="41">
        <v>1</v>
      </c>
      <c r="O158" s="41">
        <v>0</v>
      </c>
      <c r="P158" s="222">
        <v>0</v>
      </c>
      <c r="Q158" s="222">
        <v>0</v>
      </c>
      <c r="R158" s="43" t="s">
        <v>7768</v>
      </c>
      <c r="S158" t="s">
        <v>8416</v>
      </c>
      <c r="T158" s="41" t="s">
        <v>3387</v>
      </c>
      <c r="U158" s="15">
        <v>0</v>
      </c>
      <c r="V158" s="225">
        <v>0</v>
      </c>
      <c r="W158" s="197">
        <v>0</v>
      </c>
      <c r="X158" s="197">
        <v>0</v>
      </c>
    </row>
    <row r="159" spans="1:24" customFormat="1" ht="27" x14ac:dyDescent="0.15">
      <c r="A159" s="41">
        <v>909198</v>
      </c>
      <c r="B159" t="s">
        <v>8417</v>
      </c>
      <c r="C159" s="41" t="s">
        <v>107</v>
      </c>
      <c r="D159" s="41">
        <v>1001</v>
      </c>
      <c r="E159" s="41">
        <v>2</v>
      </c>
      <c r="F159" s="41">
        <v>0</v>
      </c>
      <c r="G159" s="41">
        <v>0</v>
      </c>
      <c r="H159" s="41">
        <v>0</v>
      </c>
      <c r="I159" s="41">
        <v>1</v>
      </c>
      <c r="J159" s="41" t="b">
        <v>0</v>
      </c>
      <c r="K159" s="41">
        <v>-1</v>
      </c>
      <c r="L159" s="41">
        <v>0</v>
      </c>
      <c r="M159" s="41">
        <v>0</v>
      </c>
      <c r="N159" s="41">
        <v>1</v>
      </c>
      <c r="O159" s="41">
        <v>0</v>
      </c>
      <c r="P159" s="74" t="s">
        <v>7832</v>
      </c>
      <c r="Q159" s="222" t="s">
        <v>7477</v>
      </c>
      <c r="R159" s="43"/>
      <c r="S159" t="s">
        <v>8394</v>
      </c>
      <c r="T159" s="41" t="s">
        <v>7840</v>
      </c>
      <c r="U159" s="15">
        <v>0</v>
      </c>
      <c r="V159" s="15">
        <v>16000</v>
      </c>
      <c r="W159" s="197">
        <v>0</v>
      </c>
      <c r="X159" s="197">
        <v>0</v>
      </c>
    </row>
    <row r="160" spans="1:24" ht="27" x14ac:dyDescent="0.15">
      <c r="A160" s="102">
        <v>909199</v>
      </c>
      <c r="B160" t="s">
        <v>8418</v>
      </c>
      <c r="C160" s="102" t="s">
        <v>107</v>
      </c>
      <c r="D160" s="102">
        <v>1001</v>
      </c>
      <c r="E160" s="102">
        <v>2</v>
      </c>
      <c r="F160" s="102">
        <v>0</v>
      </c>
      <c r="G160" s="102">
        <v>0</v>
      </c>
      <c r="H160" s="102">
        <v>0</v>
      </c>
      <c r="I160" s="102">
        <v>1</v>
      </c>
      <c r="J160" s="102" t="b">
        <v>0</v>
      </c>
      <c r="K160" s="102">
        <v>-1</v>
      </c>
      <c r="L160" s="102">
        <v>0</v>
      </c>
      <c r="M160" s="102">
        <v>0</v>
      </c>
      <c r="N160" s="102">
        <v>1</v>
      </c>
      <c r="O160" s="102">
        <v>0</v>
      </c>
      <c r="P160" s="226">
        <v>0</v>
      </c>
      <c r="Q160" s="226">
        <v>0</v>
      </c>
      <c r="R160" s="104" t="s">
        <v>7768</v>
      </c>
      <c r="S160" t="s">
        <v>8419</v>
      </c>
      <c r="T160" s="224" t="s">
        <v>8021</v>
      </c>
      <c r="U160" s="102">
        <v>0</v>
      </c>
      <c r="V160" s="224">
        <v>0</v>
      </c>
      <c r="W160" s="210">
        <v>0</v>
      </c>
      <c r="X160" s="210">
        <v>0</v>
      </c>
    </row>
    <row r="161" spans="1:24" ht="27" x14ac:dyDescent="0.15">
      <c r="A161" s="102">
        <v>909200</v>
      </c>
      <c r="B161" t="s">
        <v>8420</v>
      </c>
      <c r="C161" s="102" t="s">
        <v>107</v>
      </c>
      <c r="D161" s="102">
        <v>1001</v>
      </c>
      <c r="E161" s="102">
        <v>2</v>
      </c>
      <c r="F161" s="102">
        <v>0</v>
      </c>
      <c r="G161" s="102">
        <v>0</v>
      </c>
      <c r="H161" s="102">
        <v>0</v>
      </c>
      <c r="I161" s="102">
        <v>1</v>
      </c>
      <c r="J161" s="102" t="b">
        <v>0</v>
      </c>
      <c r="K161" s="102">
        <v>-1</v>
      </c>
      <c r="L161" s="102">
        <v>0</v>
      </c>
      <c r="M161" s="102">
        <v>0</v>
      </c>
      <c r="N161" s="102">
        <v>1</v>
      </c>
      <c r="O161" s="102">
        <v>0</v>
      </c>
      <c r="P161" s="226" t="s">
        <v>8122</v>
      </c>
      <c r="Q161" s="226" t="s">
        <v>7788</v>
      </c>
      <c r="R161" s="104" t="s">
        <v>7768</v>
      </c>
      <c r="S161" t="s">
        <v>8421</v>
      </c>
      <c r="T161" s="224" t="s">
        <v>7840</v>
      </c>
      <c r="U161" s="102">
        <v>0</v>
      </c>
      <c r="V161" s="224">
        <v>0</v>
      </c>
      <c r="W161" s="210">
        <v>0</v>
      </c>
      <c r="X161" s="210">
        <v>0</v>
      </c>
    </row>
    <row r="162" spans="1:24" ht="27" x14ac:dyDescent="0.15">
      <c r="A162" s="102">
        <v>909201</v>
      </c>
      <c r="B162" t="s">
        <v>8422</v>
      </c>
      <c r="C162" s="102" t="s">
        <v>107</v>
      </c>
      <c r="D162" s="102">
        <v>1001</v>
      </c>
      <c r="E162" s="102">
        <v>2</v>
      </c>
      <c r="F162" s="102">
        <v>0</v>
      </c>
      <c r="G162" s="102">
        <v>0</v>
      </c>
      <c r="H162" s="102">
        <v>0</v>
      </c>
      <c r="I162" s="102">
        <v>1</v>
      </c>
      <c r="J162" s="102" t="b">
        <v>0</v>
      </c>
      <c r="K162" s="102">
        <v>-1</v>
      </c>
      <c r="L162" s="102">
        <v>0</v>
      </c>
      <c r="M162" s="102">
        <v>0</v>
      </c>
      <c r="N162" s="102">
        <v>1</v>
      </c>
      <c r="O162" s="102">
        <v>0</v>
      </c>
      <c r="P162" s="226">
        <v>0</v>
      </c>
      <c r="Q162" s="226">
        <v>0</v>
      </c>
      <c r="R162" s="104" t="s">
        <v>7768</v>
      </c>
      <c r="S162" t="s">
        <v>8423</v>
      </c>
      <c r="T162" s="224" t="s">
        <v>7861</v>
      </c>
      <c r="U162" s="102">
        <v>0</v>
      </c>
      <c r="V162" s="224">
        <v>0</v>
      </c>
      <c r="W162" s="210">
        <v>0</v>
      </c>
      <c r="X162" s="210">
        <v>0</v>
      </c>
    </row>
    <row r="163" spans="1:24" ht="27" x14ac:dyDescent="0.15">
      <c r="A163" s="102">
        <v>909202</v>
      </c>
      <c r="B163" t="s">
        <v>8424</v>
      </c>
      <c r="C163" s="102" t="s">
        <v>107</v>
      </c>
      <c r="D163" s="102">
        <v>1001</v>
      </c>
      <c r="E163" s="102">
        <v>2</v>
      </c>
      <c r="F163" s="102">
        <v>0</v>
      </c>
      <c r="G163" s="102">
        <v>0</v>
      </c>
      <c r="H163" s="102">
        <v>0</v>
      </c>
      <c r="I163" s="102">
        <v>1</v>
      </c>
      <c r="J163" s="102" t="b">
        <v>0</v>
      </c>
      <c r="K163" s="102">
        <v>-1</v>
      </c>
      <c r="L163" s="102">
        <v>0</v>
      </c>
      <c r="M163" s="102">
        <v>0</v>
      </c>
      <c r="N163" s="102">
        <v>1</v>
      </c>
      <c r="O163" s="102">
        <v>0</v>
      </c>
      <c r="P163" s="226">
        <v>0</v>
      </c>
      <c r="Q163" s="226">
        <v>0</v>
      </c>
      <c r="R163" s="104" t="s">
        <v>7768</v>
      </c>
      <c r="S163" t="s">
        <v>8425</v>
      </c>
      <c r="T163" s="224" t="s">
        <v>7530</v>
      </c>
      <c r="U163" s="102">
        <v>0</v>
      </c>
      <c r="V163" s="224">
        <v>0</v>
      </c>
      <c r="W163" s="210">
        <v>0</v>
      </c>
      <c r="X163" s="210">
        <v>0</v>
      </c>
    </row>
    <row r="164" spans="1:24" ht="27" x14ac:dyDescent="0.15">
      <c r="A164" s="102">
        <v>909203</v>
      </c>
      <c r="B164" t="s">
        <v>8426</v>
      </c>
      <c r="C164" s="102" t="s">
        <v>107</v>
      </c>
      <c r="D164" s="102">
        <v>1001</v>
      </c>
      <c r="E164" s="102">
        <v>2</v>
      </c>
      <c r="F164" s="102">
        <v>0</v>
      </c>
      <c r="G164" s="102">
        <v>0</v>
      </c>
      <c r="H164" s="102">
        <v>0</v>
      </c>
      <c r="I164" s="102">
        <v>1</v>
      </c>
      <c r="J164" s="102" t="b">
        <v>0</v>
      </c>
      <c r="K164" s="102">
        <v>-1</v>
      </c>
      <c r="L164" s="102">
        <v>0</v>
      </c>
      <c r="M164" s="102">
        <v>0</v>
      </c>
      <c r="N164" s="102">
        <v>1</v>
      </c>
      <c r="O164" s="102">
        <v>0</v>
      </c>
      <c r="P164" s="226">
        <v>0</v>
      </c>
      <c r="Q164" s="226">
        <v>0</v>
      </c>
      <c r="R164" s="104" t="s">
        <v>7768</v>
      </c>
      <c r="S164" t="s">
        <v>8427</v>
      </c>
      <c r="T164" s="224" t="s">
        <v>7942</v>
      </c>
      <c r="U164" s="102">
        <v>0</v>
      </c>
      <c r="V164" s="224">
        <v>0</v>
      </c>
      <c r="W164" s="210">
        <v>0</v>
      </c>
      <c r="X164" s="210">
        <v>0</v>
      </c>
    </row>
    <row r="165" spans="1:24" ht="27" x14ac:dyDescent="0.15">
      <c r="A165" s="102">
        <v>909204</v>
      </c>
      <c r="B165" t="s">
        <v>8428</v>
      </c>
      <c r="C165" s="102" t="s">
        <v>107</v>
      </c>
      <c r="D165" s="102">
        <v>1001</v>
      </c>
      <c r="E165" s="102">
        <v>2</v>
      </c>
      <c r="F165" s="102">
        <v>0</v>
      </c>
      <c r="G165" s="102">
        <v>0</v>
      </c>
      <c r="H165" s="102">
        <v>0</v>
      </c>
      <c r="I165" s="102">
        <v>1</v>
      </c>
      <c r="J165" s="102" t="b">
        <v>0</v>
      </c>
      <c r="K165" s="102">
        <v>-1</v>
      </c>
      <c r="L165" s="102">
        <v>0</v>
      </c>
      <c r="M165" s="102">
        <v>0</v>
      </c>
      <c r="N165" s="102">
        <v>1</v>
      </c>
      <c r="O165" s="102">
        <v>0</v>
      </c>
      <c r="P165" s="226">
        <v>0</v>
      </c>
      <c r="Q165" s="226">
        <v>0</v>
      </c>
      <c r="R165" s="104" t="s">
        <v>7768</v>
      </c>
      <c r="S165" t="s">
        <v>8429</v>
      </c>
      <c r="T165" s="224" t="s">
        <v>7799</v>
      </c>
      <c r="U165" s="102">
        <v>0</v>
      </c>
      <c r="V165" s="224">
        <v>0</v>
      </c>
      <c r="W165" s="210">
        <v>0</v>
      </c>
      <c r="X165" s="210">
        <v>0</v>
      </c>
    </row>
    <row r="166" spans="1:24" ht="27" x14ac:dyDescent="0.15">
      <c r="A166" s="102">
        <v>909205</v>
      </c>
      <c r="B166" t="s">
        <v>8430</v>
      </c>
      <c r="C166" s="102" t="s">
        <v>107</v>
      </c>
      <c r="D166" s="102">
        <v>1001</v>
      </c>
      <c r="E166" s="102">
        <v>2</v>
      </c>
      <c r="F166" s="102">
        <v>0</v>
      </c>
      <c r="G166" s="102">
        <v>0</v>
      </c>
      <c r="H166" s="102">
        <v>0</v>
      </c>
      <c r="I166" s="102">
        <v>1</v>
      </c>
      <c r="J166" s="102" t="b">
        <v>0</v>
      </c>
      <c r="K166" s="102">
        <v>-1</v>
      </c>
      <c r="L166" s="102">
        <v>0</v>
      </c>
      <c r="M166" s="102">
        <v>0</v>
      </c>
      <c r="N166" s="102">
        <v>1</v>
      </c>
      <c r="O166" s="102">
        <v>0</v>
      </c>
      <c r="P166" s="226">
        <v>0</v>
      </c>
      <c r="Q166" s="226">
        <v>0</v>
      </c>
      <c r="R166" s="104" t="s">
        <v>7768</v>
      </c>
      <c r="S166" t="s">
        <v>8431</v>
      </c>
      <c r="T166" s="224" t="s">
        <v>3993</v>
      </c>
      <c r="U166" s="102">
        <v>0</v>
      </c>
      <c r="V166" s="224">
        <v>0</v>
      </c>
      <c r="W166" s="210">
        <v>0</v>
      </c>
      <c r="X166" s="210">
        <v>0</v>
      </c>
    </row>
    <row r="167" spans="1:24" customFormat="1" x14ac:dyDescent="0.15">
      <c r="A167" s="105">
        <v>909206</v>
      </c>
      <c r="B167" t="s">
        <v>8432</v>
      </c>
      <c r="C167" s="105" t="s">
        <v>107</v>
      </c>
      <c r="D167" s="105">
        <v>1001</v>
      </c>
      <c r="E167" s="105">
        <v>5</v>
      </c>
      <c r="F167" s="105">
        <v>0</v>
      </c>
      <c r="G167" s="105">
        <v>0</v>
      </c>
      <c r="H167" s="105">
        <v>0</v>
      </c>
      <c r="I167" s="105">
        <v>1</v>
      </c>
      <c r="J167" s="105" t="b">
        <v>0</v>
      </c>
      <c r="K167" s="105">
        <v>-1</v>
      </c>
      <c r="L167" s="105">
        <v>0</v>
      </c>
      <c r="M167" s="105">
        <v>0</v>
      </c>
      <c r="N167" s="105">
        <v>1</v>
      </c>
      <c r="O167" s="105">
        <v>0</v>
      </c>
      <c r="P167" s="105">
        <v>0</v>
      </c>
      <c r="Q167" s="105">
        <v>0</v>
      </c>
      <c r="R167" s="105" t="s">
        <v>7768</v>
      </c>
      <c r="S167" t="s">
        <v>8433</v>
      </c>
      <c r="T167" s="105" t="s">
        <v>306</v>
      </c>
      <c r="U167" s="105">
        <v>0</v>
      </c>
      <c r="V167" s="105">
        <v>0</v>
      </c>
      <c r="W167" s="105">
        <v>0</v>
      </c>
      <c r="X167" s="105">
        <v>0</v>
      </c>
    </row>
    <row r="168" spans="1:24" customFormat="1" x14ac:dyDescent="0.15">
      <c r="A168" s="105">
        <v>909207</v>
      </c>
      <c r="B168" t="s">
        <v>8434</v>
      </c>
      <c r="C168" s="105" t="s">
        <v>107</v>
      </c>
      <c r="D168" s="105">
        <v>1001</v>
      </c>
      <c r="E168" s="105">
        <v>5</v>
      </c>
      <c r="F168" s="105">
        <v>0</v>
      </c>
      <c r="G168" s="105">
        <v>0</v>
      </c>
      <c r="H168" s="105">
        <v>0</v>
      </c>
      <c r="I168" s="105">
        <v>1</v>
      </c>
      <c r="J168" s="105" t="b">
        <v>0</v>
      </c>
      <c r="K168" s="105">
        <v>-1</v>
      </c>
      <c r="L168" s="105">
        <v>0</v>
      </c>
      <c r="M168" s="105">
        <v>0</v>
      </c>
      <c r="N168" s="105">
        <v>1</v>
      </c>
      <c r="O168" s="105">
        <v>0</v>
      </c>
      <c r="P168" s="105">
        <v>0</v>
      </c>
      <c r="Q168" s="105">
        <v>0</v>
      </c>
      <c r="R168" s="105" t="s">
        <v>7768</v>
      </c>
      <c r="S168" t="s">
        <v>8435</v>
      </c>
      <c r="T168" s="105" t="s">
        <v>306</v>
      </c>
      <c r="U168" s="105">
        <v>0</v>
      </c>
      <c r="V168" s="105">
        <v>0</v>
      </c>
      <c r="W168" s="105">
        <v>0</v>
      </c>
      <c r="X168" s="105">
        <v>0</v>
      </c>
    </row>
    <row r="169" spans="1:24" customFormat="1" x14ac:dyDescent="0.15">
      <c r="A169" s="105">
        <v>909208</v>
      </c>
      <c r="B169" t="s">
        <v>8436</v>
      </c>
      <c r="C169" s="105" t="s">
        <v>107</v>
      </c>
      <c r="D169" s="105">
        <v>1001</v>
      </c>
      <c r="E169" s="105">
        <v>5</v>
      </c>
      <c r="F169" s="105">
        <v>0</v>
      </c>
      <c r="G169" s="105">
        <v>0</v>
      </c>
      <c r="H169" s="105">
        <v>0</v>
      </c>
      <c r="I169" s="105">
        <v>1</v>
      </c>
      <c r="J169" s="105" t="b">
        <v>0</v>
      </c>
      <c r="K169" s="105">
        <v>-1</v>
      </c>
      <c r="L169" s="105">
        <v>0</v>
      </c>
      <c r="M169" s="105">
        <v>0</v>
      </c>
      <c r="N169" s="105">
        <v>1</v>
      </c>
      <c r="O169" s="105">
        <v>0</v>
      </c>
      <c r="P169" s="105">
        <v>0</v>
      </c>
      <c r="Q169" s="105">
        <v>0</v>
      </c>
      <c r="R169" s="105" t="s">
        <v>7768</v>
      </c>
      <c r="S169" t="s">
        <v>8437</v>
      </c>
      <c r="T169" s="105" t="s">
        <v>306</v>
      </c>
      <c r="U169" s="105">
        <v>0</v>
      </c>
      <c r="V169" s="105">
        <v>0</v>
      </c>
      <c r="W169" s="105">
        <v>0</v>
      </c>
      <c r="X169" s="105">
        <v>0</v>
      </c>
    </row>
    <row r="170" spans="1:24" ht="43.15" customHeight="1" x14ac:dyDescent="0.15">
      <c r="A170" s="105">
        <v>909209</v>
      </c>
      <c r="B170" t="s">
        <v>8438</v>
      </c>
      <c r="C170" s="105" t="s">
        <v>107</v>
      </c>
      <c r="D170" s="105">
        <v>1001</v>
      </c>
      <c r="E170" s="105">
        <v>2</v>
      </c>
      <c r="F170" s="105">
        <v>0</v>
      </c>
      <c r="G170" s="105">
        <v>0</v>
      </c>
      <c r="H170" s="105">
        <v>0</v>
      </c>
      <c r="I170" s="105">
        <v>1</v>
      </c>
      <c r="J170" s="105" t="b">
        <v>0</v>
      </c>
      <c r="K170" s="105">
        <v>-1</v>
      </c>
      <c r="L170" s="105">
        <v>0</v>
      </c>
      <c r="M170" s="105">
        <v>0</v>
      </c>
      <c r="N170" s="105">
        <v>1</v>
      </c>
      <c r="O170" s="105">
        <v>0</v>
      </c>
      <c r="P170" s="105">
        <v>0</v>
      </c>
      <c r="Q170" s="105">
        <v>0</v>
      </c>
      <c r="R170" s="105" t="s">
        <v>7768</v>
      </c>
      <c r="S170" t="s">
        <v>8439</v>
      </c>
      <c r="T170" s="105" t="s">
        <v>8136</v>
      </c>
      <c r="U170" s="105">
        <v>0</v>
      </c>
      <c r="V170" s="105">
        <v>0</v>
      </c>
      <c r="W170" s="105">
        <v>0</v>
      </c>
      <c r="X170" s="105">
        <v>0</v>
      </c>
    </row>
  </sheetData>
  <autoFilter ref="A1:X170" xr:uid="{00000000-0009-0000-0000-00000E000000}"/>
  <phoneticPr fontId="45" type="noConversion"/>
  <conditionalFormatting sqref="A1:A132 A134:A149 A153:A166">
    <cfRule type="duplicateValues" dxfId="29" priority="5"/>
  </conditionalFormatting>
  <conditionalFormatting sqref="A133">
    <cfRule type="duplicateValues" dxfId="28" priority="4"/>
  </conditionalFormatting>
  <conditionalFormatting sqref="A150:A152">
    <cfRule type="duplicateValues" dxfId="27" priority="3"/>
  </conditionalFormatting>
  <conditionalFormatting sqref="A167:A170">
    <cfRule type="duplicateValues" dxfId="26" priority="2"/>
  </conditionalFormatting>
  <conditionalFormatting sqref="B167:B170">
    <cfRule type="duplicateValues" dxfId="25" priority="1"/>
  </conditionalFormatting>
  <pageMargins left="0.7" right="0.7" top="0.75" bottom="0.75" header="0.3" footer="0.3"/>
  <pageSetup paperSize="9" orientation="portrait"/>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A1:Y161"/>
  <sheetViews>
    <sheetView zoomScale="85" zoomScaleNormal="85" workbookViewId="0">
      <pane ySplit="1" topLeftCell="A92" activePane="bottomLeft" state="frozen"/>
      <selection pane="bottomLeft" activeCell="B170" sqref="B170"/>
    </sheetView>
  </sheetViews>
  <sheetFormatPr defaultColWidth="9" defaultRowHeight="13.5" x14ac:dyDescent="0.15"/>
  <cols>
    <col min="1" max="1" width="7.5" style="98" customWidth="1"/>
    <col min="2" max="2" width="22.625" style="98" customWidth="1"/>
    <col min="3" max="4" width="11.625" style="98" customWidth="1"/>
    <col min="5" max="5" width="5.5" customWidth="1"/>
    <col min="6" max="6" width="19.5" customWidth="1"/>
    <col min="7" max="10" width="9.5" customWidth="1"/>
    <col min="11" max="11" width="9" customWidth="1"/>
    <col min="12" max="12" width="16.25" customWidth="1"/>
    <col min="13" max="13" width="18.5" customWidth="1"/>
    <col min="14" max="14" width="9" customWidth="1"/>
    <col min="15" max="16" width="10.5" customWidth="1"/>
    <col min="17" max="17" width="6.5" customWidth="1"/>
    <col min="18" max="18" width="9" customWidth="1"/>
    <col min="19" max="19" width="17.25" customWidth="1"/>
    <col min="20" max="20" width="37.875" customWidth="1"/>
    <col min="22" max="22" width="91.875" customWidth="1"/>
    <col min="23" max="23" width="12.375" customWidth="1"/>
  </cols>
  <sheetData>
    <row r="1" spans="1:25" ht="40.5" x14ac:dyDescent="0.15">
      <c r="A1" s="109" t="s">
        <v>0</v>
      </c>
      <c r="B1" s="109" t="s">
        <v>1</v>
      </c>
      <c r="C1" s="109" t="s">
        <v>3</v>
      </c>
      <c r="D1" s="109" t="s">
        <v>3367</v>
      </c>
      <c r="E1" s="191" t="s">
        <v>7</v>
      </c>
      <c r="F1" s="191" t="s">
        <v>9</v>
      </c>
      <c r="G1" s="191" t="s">
        <v>10</v>
      </c>
      <c r="H1" s="191" t="s">
        <v>3369</v>
      </c>
      <c r="I1" s="191" t="s">
        <v>16</v>
      </c>
      <c r="J1" s="191" t="s">
        <v>17</v>
      </c>
      <c r="K1" s="191" t="s">
        <v>18</v>
      </c>
      <c r="L1" s="195" t="s">
        <v>19</v>
      </c>
      <c r="M1" s="195" t="s">
        <v>20</v>
      </c>
      <c r="N1" s="191" t="s">
        <v>3371</v>
      </c>
      <c r="O1" s="191" t="s">
        <v>3372</v>
      </c>
      <c r="P1" s="196" t="s">
        <v>22</v>
      </c>
      <c r="Q1" s="191" t="s">
        <v>3585</v>
      </c>
      <c r="R1" s="191" t="s">
        <v>3375</v>
      </c>
      <c r="S1" s="191" t="s">
        <v>23</v>
      </c>
      <c r="T1" s="191" t="s">
        <v>24</v>
      </c>
      <c r="U1" s="15" t="s">
        <v>26</v>
      </c>
      <c r="V1" s="15" t="s">
        <v>27</v>
      </c>
      <c r="W1" s="197" t="s">
        <v>28</v>
      </c>
      <c r="X1" s="197" t="s">
        <v>29</v>
      </c>
      <c r="Y1" s="199" t="s">
        <v>8440</v>
      </c>
    </row>
    <row r="2" spans="1:25" s="5" customFormat="1" ht="27" x14ac:dyDescent="0.15">
      <c r="A2" s="192">
        <v>908008</v>
      </c>
      <c r="B2" s="212" t="s">
        <v>3697</v>
      </c>
      <c r="C2" s="192" t="s">
        <v>8441</v>
      </c>
      <c r="D2" s="192">
        <v>1001</v>
      </c>
      <c r="E2" s="192">
        <v>2</v>
      </c>
      <c r="F2" s="192">
        <v>0</v>
      </c>
      <c r="G2" s="192">
        <v>0</v>
      </c>
      <c r="H2" s="192">
        <v>0</v>
      </c>
      <c r="I2" s="192">
        <v>999</v>
      </c>
      <c r="J2" s="192" t="b">
        <v>1</v>
      </c>
      <c r="K2" s="192">
        <v>2</v>
      </c>
      <c r="L2" s="192">
        <v>4</v>
      </c>
      <c r="M2" s="192">
        <v>6</v>
      </c>
      <c r="N2" s="192">
        <v>0</v>
      </c>
      <c r="O2" s="192">
        <v>0</v>
      </c>
      <c r="P2" s="192">
        <v>1</v>
      </c>
      <c r="Q2" s="192">
        <v>0</v>
      </c>
      <c r="R2" s="192">
        <v>0</v>
      </c>
      <c r="S2" s="192">
        <v>0</v>
      </c>
      <c r="T2" s="192" t="s">
        <v>3698</v>
      </c>
      <c r="U2" s="13" t="s">
        <v>3700</v>
      </c>
      <c r="V2" s="13">
        <v>0</v>
      </c>
      <c r="W2" s="197">
        <v>1</v>
      </c>
      <c r="X2" s="197">
        <v>1</v>
      </c>
      <c r="Y2" s="41"/>
    </row>
    <row r="3" spans="1:25" s="97" customFormat="1" ht="43.15" customHeight="1" x14ac:dyDescent="0.15">
      <c r="A3" s="88">
        <v>908030</v>
      </c>
      <c r="B3" s="193" t="s">
        <v>7373</v>
      </c>
      <c r="C3" s="88" t="s">
        <v>8441</v>
      </c>
      <c r="D3" s="88">
        <v>1001</v>
      </c>
      <c r="E3" s="88">
        <v>2</v>
      </c>
      <c r="F3" s="88">
        <v>0</v>
      </c>
      <c r="G3" s="88">
        <v>0</v>
      </c>
      <c r="H3" s="193">
        <v>0</v>
      </c>
      <c r="I3" s="88">
        <v>999</v>
      </c>
      <c r="J3" s="88" t="b">
        <v>1</v>
      </c>
      <c r="K3" s="193">
        <v>1</v>
      </c>
      <c r="L3" s="193">
        <v>2</v>
      </c>
      <c r="M3" s="193">
        <v>3</v>
      </c>
      <c r="N3" s="88">
        <v>0</v>
      </c>
      <c r="O3" s="88">
        <v>0</v>
      </c>
      <c r="P3" s="88">
        <v>1</v>
      </c>
      <c r="Q3" s="88">
        <v>0</v>
      </c>
      <c r="R3" s="88">
        <v>0</v>
      </c>
      <c r="S3" s="88">
        <v>0</v>
      </c>
      <c r="T3" s="88" t="s">
        <v>7375</v>
      </c>
      <c r="U3" s="41" t="s">
        <v>8442</v>
      </c>
      <c r="V3" s="41">
        <v>0</v>
      </c>
      <c r="W3" s="197">
        <v>1</v>
      </c>
      <c r="X3" s="197">
        <v>1</v>
      </c>
    </row>
    <row r="4" spans="1:25" s="97" customFormat="1" ht="43.15" customHeight="1" x14ac:dyDescent="0.15">
      <c r="A4" s="88">
        <v>908032</v>
      </c>
      <c r="B4" s="193" t="s">
        <v>7377</v>
      </c>
      <c r="C4" s="88" t="s">
        <v>8441</v>
      </c>
      <c r="D4" s="88">
        <v>1001</v>
      </c>
      <c r="E4" s="88">
        <v>2</v>
      </c>
      <c r="F4" s="88">
        <v>0</v>
      </c>
      <c r="G4" s="88">
        <v>0</v>
      </c>
      <c r="H4" s="193">
        <v>0</v>
      </c>
      <c r="I4" s="88">
        <v>999</v>
      </c>
      <c r="J4" s="88" t="b">
        <v>1</v>
      </c>
      <c r="K4" s="193">
        <v>1</v>
      </c>
      <c r="L4" s="193">
        <v>2</v>
      </c>
      <c r="M4" s="193">
        <v>3</v>
      </c>
      <c r="N4" s="88">
        <v>0</v>
      </c>
      <c r="O4" s="88">
        <v>0</v>
      </c>
      <c r="P4" s="88">
        <v>1</v>
      </c>
      <c r="Q4" s="88">
        <v>0</v>
      </c>
      <c r="R4" s="88">
        <v>0</v>
      </c>
      <c r="S4" s="88">
        <v>0</v>
      </c>
      <c r="T4" s="88" t="s">
        <v>8443</v>
      </c>
      <c r="U4" s="41" t="s">
        <v>8444</v>
      </c>
      <c r="V4" s="41">
        <v>0</v>
      </c>
      <c r="W4" s="197">
        <v>1</v>
      </c>
      <c r="X4" s="197">
        <v>1</v>
      </c>
    </row>
    <row r="5" spans="1:25" s="97" customFormat="1" ht="43.15" customHeight="1" x14ac:dyDescent="0.15">
      <c r="A5" s="88">
        <v>908033</v>
      </c>
      <c r="B5" s="193" t="s">
        <v>7380</v>
      </c>
      <c r="C5" s="88" t="s">
        <v>8441</v>
      </c>
      <c r="D5" s="88">
        <v>1001</v>
      </c>
      <c r="E5" s="88">
        <v>2</v>
      </c>
      <c r="F5" s="88">
        <v>0</v>
      </c>
      <c r="G5" s="88">
        <v>0</v>
      </c>
      <c r="H5" s="193">
        <v>0</v>
      </c>
      <c r="I5" s="88">
        <v>999</v>
      </c>
      <c r="J5" s="88" t="b">
        <v>1</v>
      </c>
      <c r="K5" s="193">
        <v>1</v>
      </c>
      <c r="L5" s="193">
        <v>2</v>
      </c>
      <c r="M5" s="193">
        <v>3</v>
      </c>
      <c r="N5" s="88">
        <v>0</v>
      </c>
      <c r="O5" s="88">
        <v>0</v>
      </c>
      <c r="P5" s="88">
        <v>1</v>
      </c>
      <c r="Q5" s="88">
        <v>0</v>
      </c>
      <c r="R5" s="88">
        <v>0</v>
      </c>
      <c r="S5" s="88">
        <v>0</v>
      </c>
      <c r="T5" s="88" t="s">
        <v>8445</v>
      </c>
      <c r="U5" s="41" t="s">
        <v>8446</v>
      </c>
      <c r="V5" s="41">
        <v>0</v>
      </c>
      <c r="W5" s="197">
        <v>1</v>
      </c>
      <c r="X5" s="197">
        <v>1</v>
      </c>
    </row>
    <row r="6" spans="1:25" s="5" customFormat="1" ht="27" x14ac:dyDescent="0.15">
      <c r="A6" s="88">
        <v>908037</v>
      </c>
      <c r="B6" s="193" t="s">
        <v>7383</v>
      </c>
      <c r="C6" s="88" t="s">
        <v>8441</v>
      </c>
      <c r="D6" s="88">
        <v>1001</v>
      </c>
      <c r="E6" s="88">
        <v>2</v>
      </c>
      <c r="F6" s="88">
        <v>0</v>
      </c>
      <c r="G6" s="88">
        <v>0</v>
      </c>
      <c r="H6" s="193">
        <v>0</v>
      </c>
      <c r="I6" s="88">
        <v>999</v>
      </c>
      <c r="J6" s="88" t="b">
        <v>1</v>
      </c>
      <c r="K6" s="193">
        <v>1</v>
      </c>
      <c r="L6" s="193">
        <v>2</v>
      </c>
      <c r="M6" s="193">
        <v>3</v>
      </c>
      <c r="N6" s="88">
        <v>0</v>
      </c>
      <c r="O6" s="88">
        <v>0</v>
      </c>
      <c r="P6" s="88">
        <v>1</v>
      </c>
      <c r="Q6" s="88">
        <v>0</v>
      </c>
      <c r="R6" s="88">
        <v>0</v>
      </c>
      <c r="S6" s="88">
        <v>0</v>
      </c>
      <c r="T6" s="88" t="s">
        <v>7384</v>
      </c>
      <c r="U6" s="41" t="s">
        <v>8447</v>
      </c>
      <c r="V6" s="41">
        <v>0</v>
      </c>
      <c r="W6" s="197">
        <v>1</v>
      </c>
      <c r="X6" s="197">
        <v>1</v>
      </c>
    </row>
    <row r="7" spans="1:25" s="5" customFormat="1" ht="27" x14ac:dyDescent="0.15">
      <c r="A7" s="88">
        <v>908038</v>
      </c>
      <c r="B7" s="213" t="s">
        <v>3684</v>
      </c>
      <c r="C7" s="88" t="s">
        <v>8441</v>
      </c>
      <c r="D7" s="88">
        <v>1001</v>
      </c>
      <c r="E7" s="88">
        <v>2</v>
      </c>
      <c r="F7" s="88">
        <v>0</v>
      </c>
      <c r="G7" s="88">
        <v>0</v>
      </c>
      <c r="H7" s="193">
        <v>0</v>
      </c>
      <c r="I7" s="88">
        <v>999</v>
      </c>
      <c r="J7" s="88" t="b">
        <v>1</v>
      </c>
      <c r="K7" s="193">
        <v>1</v>
      </c>
      <c r="L7" s="193">
        <v>2</v>
      </c>
      <c r="M7" s="193">
        <v>3</v>
      </c>
      <c r="N7" s="88">
        <v>0</v>
      </c>
      <c r="O7" s="88">
        <v>0</v>
      </c>
      <c r="P7" s="88">
        <v>1</v>
      </c>
      <c r="Q7" s="88">
        <v>0</v>
      </c>
      <c r="R7" s="88">
        <v>0</v>
      </c>
      <c r="S7" s="88">
        <v>0</v>
      </c>
      <c r="T7" s="216" t="s">
        <v>8448</v>
      </c>
      <c r="U7" s="41" t="s">
        <v>8449</v>
      </c>
      <c r="V7" s="41">
        <v>0</v>
      </c>
      <c r="W7" s="197">
        <v>1</v>
      </c>
      <c r="X7" s="197">
        <v>1</v>
      </c>
    </row>
    <row r="8" spans="1:25" s="5" customFormat="1" ht="27" x14ac:dyDescent="0.15">
      <c r="A8" s="88">
        <v>908039</v>
      </c>
      <c r="B8" s="213" t="s">
        <v>3689</v>
      </c>
      <c r="C8" s="88" t="s">
        <v>8441</v>
      </c>
      <c r="D8" s="88">
        <v>1001</v>
      </c>
      <c r="E8" s="88">
        <v>2</v>
      </c>
      <c r="F8" s="88">
        <v>0</v>
      </c>
      <c r="G8" s="88">
        <v>0</v>
      </c>
      <c r="H8" s="193">
        <v>0</v>
      </c>
      <c r="I8" s="88">
        <v>999</v>
      </c>
      <c r="J8" s="88" t="b">
        <v>1</v>
      </c>
      <c r="K8" s="193">
        <v>2</v>
      </c>
      <c r="L8" s="193">
        <v>4</v>
      </c>
      <c r="M8" s="193">
        <v>6</v>
      </c>
      <c r="N8" s="88">
        <v>0</v>
      </c>
      <c r="O8" s="88">
        <v>0</v>
      </c>
      <c r="P8" s="88">
        <v>1</v>
      </c>
      <c r="Q8" s="88">
        <v>0</v>
      </c>
      <c r="R8" s="88">
        <v>0</v>
      </c>
      <c r="S8" s="88">
        <v>0</v>
      </c>
      <c r="T8" s="216" t="s">
        <v>8450</v>
      </c>
      <c r="U8" s="41" t="s">
        <v>8451</v>
      </c>
      <c r="V8" s="41">
        <v>0</v>
      </c>
      <c r="W8" s="197">
        <v>1</v>
      </c>
      <c r="X8" s="197">
        <v>1</v>
      </c>
    </row>
    <row r="9" spans="1:25" s="5" customFormat="1" ht="27" x14ac:dyDescent="0.15">
      <c r="A9" s="88">
        <v>908040</v>
      </c>
      <c r="B9" s="213" t="s">
        <v>7386</v>
      </c>
      <c r="C9" s="88" t="s">
        <v>8441</v>
      </c>
      <c r="D9" s="88">
        <v>1001</v>
      </c>
      <c r="E9" s="88">
        <v>2</v>
      </c>
      <c r="F9" s="88">
        <v>0</v>
      </c>
      <c r="G9" s="88">
        <v>0</v>
      </c>
      <c r="H9" s="193">
        <v>0</v>
      </c>
      <c r="I9" s="88">
        <v>999</v>
      </c>
      <c r="J9" s="88" t="b">
        <v>1</v>
      </c>
      <c r="K9" s="193">
        <v>1</v>
      </c>
      <c r="L9" s="193">
        <v>2</v>
      </c>
      <c r="M9" s="193">
        <v>3</v>
      </c>
      <c r="N9" s="88">
        <v>0</v>
      </c>
      <c r="O9" s="88">
        <v>0</v>
      </c>
      <c r="P9" s="88">
        <v>1</v>
      </c>
      <c r="Q9" s="88">
        <v>0</v>
      </c>
      <c r="R9" s="88">
        <v>0</v>
      </c>
      <c r="S9" s="88">
        <v>0</v>
      </c>
      <c r="T9" s="216" t="s">
        <v>7387</v>
      </c>
      <c r="U9" s="41" t="s">
        <v>8452</v>
      </c>
      <c r="V9" s="41">
        <v>0</v>
      </c>
      <c r="W9" s="197">
        <v>1</v>
      </c>
      <c r="X9" s="197">
        <v>1</v>
      </c>
    </row>
    <row r="10" spans="1:25" s="5" customFormat="1" ht="27" x14ac:dyDescent="0.15">
      <c r="A10" s="88">
        <v>908041</v>
      </c>
      <c r="B10" s="193" t="s">
        <v>7389</v>
      </c>
      <c r="C10" s="88" t="s">
        <v>8441</v>
      </c>
      <c r="D10" s="88">
        <v>1001</v>
      </c>
      <c r="E10" s="88">
        <v>2</v>
      </c>
      <c r="F10" s="88">
        <v>0</v>
      </c>
      <c r="G10" s="88">
        <v>0</v>
      </c>
      <c r="H10" s="193">
        <v>0</v>
      </c>
      <c r="I10" s="88">
        <v>999</v>
      </c>
      <c r="J10" s="88" t="b">
        <v>1</v>
      </c>
      <c r="K10" s="193">
        <v>1</v>
      </c>
      <c r="L10" s="193">
        <v>2</v>
      </c>
      <c r="M10" s="193">
        <v>3</v>
      </c>
      <c r="N10" s="88">
        <v>0</v>
      </c>
      <c r="O10" s="88">
        <v>0</v>
      </c>
      <c r="P10" s="88">
        <v>1</v>
      </c>
      <c r="Q10" s="88">
        <v>0</v>
      </c>
      <c r="R10" s="88">
        <v>0</v>
      </c>
      <c r="S10" s="88">
        <v>0</v>
      </c>
      <c r="T10" s="216" t="s">
        <v>7390</v>
      </c>
      <c r="U10" s="41" t="s">
        <v>8453</v>
      </c>
      <c r="V10" s="41">
        <v>0</v>
      </c>
      <c r="W10" s="197">
        <v>1</v>
      </c>
      <c r="X10" s="197">
        <v>1</v>
      </c>
    </row>
    <row r="11" spans="1:25" s="5" customFormat="1" ht="27" x14ac:dyDescent="0.15">
      <c r="A11" s="88">
        <v>908042</v>
      </c>
      <c r="B11" s="193" t="s">
        <v>7392</v>
      </c>
      <c r="C11" s="88" t="s">
        <v>8441</v>
      </c>
      <c r="D11" s="88">
        <v>1001</v>
      </c>
      <c r="E11" s="88">
        <v>2</v>
      </c>
      <c r="F11" s="88">
        <v>0</v>
      </c>
      <c r="G11" s="88">
        <v>0</v>
      </c>
      <c r="H11" s="193">
        <v>0</v>
      </c>
      <c r="I11" s="88">
        <v>999</v>
      </c>
      <c r="J11" s="88" t="b">
        <v>1</v>
      </c>
      <c r="K11" s="193">
        <v>1</v>
      </c>
      <c r="L11" s="193">
        <v>2</v>
      </c>
      <c r="M11" s="193">
        <v>3</v>
      </c>
      <c r="N11" s="88">
        <v>0</v>
      </c>
      <c r="O11" s="88">
        <v>0</v>
      </c>
      <c r="P11" s="88">
        <v>1</v>
      </c>
      <c r="Q11" s="88">
        <v>0</v>
      </c>
      <c r="R11" s="88">
        <v>0</v>
      </c>
      <c r="S11" s="88">
        <v>0</v>
      </c>
      <c r="T11" s="91" t="s">
        <v>7393</v>
      </c>
      <c r="U11" s="41" t="s">
        <v>8454</v>
      </c>
      <c r="V11" s="41">
        <v>0</v>
      </c>
      <c r="W11" s="197">
        <v>1</v>
      </c>
      <c r="X11" s="197">
        <v>1</v>
      </c>
    </row>
    <row r="12" spans="1:25" s="5" customFormat="1" ht="27" x14ac:dyDescent="0.15">
      <c r="A12" s="88">
        <v>908045</v>
      </c>
      <c r="B12" s="193" t="s">
        <v>7395</v>
      </c>
      <c r="C12" s="88" t="s">
        <v>8441</v>
      </c>
      <c r="D12" s="88">
        <v>1001</v>
      </c>
      <c r="E12" s="88">
        <v>2</v>
      </c>
      <c r="F12" s="88">
        <v>0</v>
      </c>
      <c r="G12" s="88">
        <v>7</v>
      </c>
      <c r="H12" s="193">
        <v>0</v>
      </c>
      <c r="I12" s="88">
        <v>999</v>
      </c>
      <c r="J12" s="88" t="b">
        <v>1</v>
      </c>
      <c r="K12" s="193">
        <v>1</v>
      </c>
      <c r="L12" s="193">
        <v>2</v>
      </c>
      <c r="M12" s="193">
        <v>3</v>
      </c>
      <c r="N12" s="193">
        <v>0</v>
      </c>
      <c r="O12" s="193">
        <v>0</v>
      </c>
      <c r="P12" s="88">
        <v>1</v>
      </c>
      <c r="Q12" s="88">
        <v>0</v>
      </c>
      <c r="R12" s="88">
        <v>0</v>
      </c>
      <c r="S12" s="88">
        <v>0</v>
      </c>
      <c r="T12" s="91" t="s">
        <v>7396</v>
      </c>
      <c r="U12" s="41" t="s">
        <v>8455</v>
      </c>
      <c r="V12" s="41">
        <v>0</v>
      </c>
      <c r="W12" s="197">
        <v>1</v>
      </c>
      <c r="X12" s="197">
        <v>1</v>
      </c>
    </row>
    <row r="13" spans="1:25" s="5" customFormat="1" ht="27" x14ac:dyDescent="0.15">
      <c r="A13" s="88">
        <v>908046</v>
      </c>
      <c r="B13" s="193" t="s">
        <v>7398</v>
      </c>
      <c r="C13" s="88" t="s">
        <v>8441</v>
      </c>
      <c r="D13" s="88">
        <v>1001</v>
      </c>
      <c r="E13" s="88">
        <v>2</v>
      </c>
      <c r="F13" s="88">
        <v>0</v>
      </c>
      <c r="G13" s="88">
        <v>0</v>
      </c>
      <c r="H13" s="193">
        <v>0</v>
      </c>
      <c r="I13" s="88">
        <v>999</v>
      </c>
      <c r="J13" s="88" t="b">
        <v>1</v>
      </c>
      <c r="K13" s="193">
        <v>1</v>
      </c>
      <c r="L13" s="193">
        <v>2</v>
      </c>
      <c r="M13" s="193">
        <v>3</v>
      </c>
      <c r="N13" s="193">
        <v>0</v>
      </c>
      <c r="O13" s="193">
        <v>0</v>
      </c>
      <c r="P13" s="88">
        <v>1</v>
      </c>
      <c r="Q13" s="88">
        <v>0</v>
      </c>
      <c r="R13" s="88">
        <v>0</v>
      </c>
      <c r="S13" s="88">
        <v>0</v>
      </c>
      <c r="T13" s="91" t="s">
        <v>7399</v>
      </c>
      <c r="U13" s="41" t="s">
        <v>8456</v>
      </c>
      <c r="V13" s="41">
        <v>0</v>
      </c>
      <c r="W13" s="197">
        <v>1</v>
      </c>
      <c r="X13" s="197">
        <v>1</v>
      </c>
    </row>
    <row r="14" spans="1:25" s="5" customFormat="1" ht="27" x14ac:dyDescent="0.15">
      <c r="A14" s="88">
        <v>908047</v>
      </c>
      <c r="B14" s="193" t="s">
        <v>7401</v>
      </c>
      <c r="C14" s="193" t="s">
        <v>8441</v>
      </c>
      <c r="D14" s="88">
        <v>1001</v>
      </c>
      <c r="E14" s="88">
        <v>2</v>
      </c>
      <c r="F14" s="88">
        <v>0</v>
      </c>
      <c r="G14" s="88">
        <v>0</v>
      </c>
      <c r="H14" s="193">
        <v>0</v>
      </c>
      <c r="I14" s="88">
        <v>999</v>
      </c>
      <c r="J14" s="88" t="b">
        <v>1</v>
      </c>
      <c r="K14" s="193">
        <v>1</v>
      </c>
      <c r="L14" s="193">
        <v>2</v>
      </c>
      <c r="M14" s="193">
        <v>3</v>
      </c>
      <c r="N14" s="193">
        <v>0</v>
      </c>
      <c r="O14" s="193">
        <v>0</v>
      </c>
      <c r="P14" s="88">
        <v>1</v>
      </c>
      <c r="Q14" s="88">
        <v>0</v>
      </c>
      <c r="R14" s="88">
        <v>0</v>
      </c>
      <c r="S14" s="88">
        <v>0</v>
      </c>
      <c r="T14" s="91" t="s">
        <v>7402</v>
      </c>
      <c r="U14" s="41" t="s">
        <v>8457</v>
      </c>
      <c r="V14" s="41">
        <v>0</v>
      </c>
      <c r="W14" s="197">
        <v>1</v>
      </c>
      <c r="X14" s="197">
        <v>1</v>
      </c>
    </row>
    <row r="15" spans="1:25" s="5" customFormat="1" ht="27" x14ac:dyDescent="0.15">
      <c r="A15" s="88">
        <v>908054</v>
      </c>
      <c r="B15" s="193" t="s">
        <v>3693</v>
      </c>
      <c r="C15" s="193" t="s">
        <v>8441</v>
      </c>
      <c r="D15" s="88">
        <v>1001</v>
      </c>
      <c r="E15" s="88">
        <v>2</v>
      </c>
      <c r="F15" s="88">
        <v>0</v>
      </c>
      <c r="G15" s="88">
        <v>0</v>
      </c>
      <c r="H15" s="193">
        <v>0</v>
      </c>
      <c r="I15" s="88">
        <v>999</v>
      </c>
      <c r="J15" s="88" t="b">
        <v>1</v>
      </c>
      <c r="K15" s="193">
        <v>1</v>
      </c>
      <c r="L15" s="193">
        <v>2</v>
      </c>
      <c r="M15" s="193">
        <v>3</v>
      </c>
      <c r="N15" s="193">
        <v>0</v>
      </c>
      <c r="O15" s="193">
        <v>0</v>
      </c>
      <c r="P15" s="88">
        <v>1</v>
      </c>
      <c r="Q15" s="88">
        <v>0</v>
      </c>
      <c r="R15" s="88">
        <v>0</v>
      </c>
      <c r="S15" s="88">
        <v>0</v>
      </c>
      <c r="T15" s="217" t="s">
        <v>3694</v>
      </c>
      <c r="U15" s="41" t="s">
        <v>3696</v>
      </c>
      <c r="V15" s="41">
        <v>0</v>
      </c>
      <c r="W15" s="197">
        <v>1</v>
      </c>
      <c r="X15" s="197">
        <v>1</v>
      </c>
    </row>
    <row r="16" spans="1:25" s="5" customFormat="1" ht="27" x14ac:dyDescent="0.15">
      <c r="A16" s="193">
        <v>908083</v>
      </c>
      <c r="B16" s="214" t="s">
        <v>8458</v>
      </c>
      <c r="C16" s="193" t="s">
        <v>8441</v>
      </c>
      <c r="D16" s="88">
        <v>1001</v>
      </c>
      <c r="E16" s="88">
        <v>2</v>
      </c>
      <c r="F16" s="88">
        <v>0</v>
      </c>
      <c r="G16" s="193">
        <v>0</v>
      </c>
      <c r="H16" s="193">
        <v>0</v>
      </c>
      <c r="I16" s="88">
        <v>1</v>
      </c>
      <c r="J16" s="88" t="b">
        <v>0</v>
      </c>
      <c r="K16" s="193">
        <v>-1</v>
      </c>
      <c r="L16" s="193">
        <v>-2</v>
      </c>
      <c r="M16" s="193">
        <v>-3</v>
      </c>
      <c r="N16" s="193">
        <v>0</v>
      </c>
      <c r="O16" s="193">
        <v>0</v>
      </c>
      <c r="P16" s="88">
        <v>1</v>
      </c>
      <c r="Q16" s="193">
        <v>0</v>
      </c>
      <c r="R16" s="193">
        <v>0</v>
      </c>
      <c r="S16" s="193">
        <v>0</v>
      </c>
      <c r="T16" s="214" t="s">
        <v>8459</v>
      </c>
      <c r="U16" s="41" t="s">
        <v>7868</v>
      </c>
      <c r="V16" s="198">
        <v>0</v>
      </c>
      <c r="W16" s="197">
        <v>0</v>
      </c>
      <c r="X16" s="197">
        <v>1</v>
      </c>
    </row>
    <row r="17" spans="1:25" s="5" customFormat="1" ht="27" x14ac:dyDescent="0.15">
      <c r="A17" s="193">
        <v>908084</v>
      </c>
      <c r="B17" s="214" t="s">
        <v>8460</v>
      </c>
      <c r="C17" s="193" t="s">
        <v>8441</v>
      </c>
      <c r="D17" s="88">
        <v>1001</v>
      </c>
      <c r="E17" s="88">
        <v>2</v>
      </c>
      <c r="F17" s="88">
        <v>0</v>
      </c>
      <c r="G17" s="193">
        <v>0</v>
      </c>
      <c r="H17" s="193">
        <v>0</v>
      </c>
      <c r="I17" s="88">
        <v>1</v>
      </c>
      <c r="J17" s="88" t="b">
        <v>0</v>
      </c>
      <c r="K17" s="193">
        <v>-1</v>
      </c>
      <c r="L17" s="193">
        <v>-2</v>
      </c>
      <c r="M17" s="193">
        <v>-3</v>
      </c>
      <c r="N17" s="193">
        <v>0</v>
      </c>
      <c r="O17" s="193">
        <v>0</v>
      </c>
      <c r="P17" s="88">
        <v>1</v>
      </c>
      <c r="Q17" s="193">
        <v>0</v>
      </c>
      <c r="R17" s="193">
        <v>0</v>
      </c>
      <c r="S17" s="193">
        <v>0</v>
      </c>
      <c r="T17" s="214" t="s">
        <v>8461</v>
      </c>
      <c r="U17" s="41" t="s">
        <v>7868</v>
      </c>
      <c r="V17" s="198">
        <v>0</v>
      </c>
      <c r="W17" s="197">
        <v>0</v>
      </c>
      <c r="X17" s="197">
        <v>1</v>
      </c>
    </row>
    <row r="18" spans="1:25" s="5" customFormat="1" ht="27" x14ac:dyDescent="0.15">
      <c r="A18" s="193">
        <v>908089</v>
      </c>
      <c r="B18" s="214" t="s">
        <v>8462</v>
      </c>
      <c r="C18" s="157" t="s">
        <v>8441</v>
      </c>
      <c r="D18" s="88">
        <v>1001</v>
      </c>
      <c r="E18" s="88">
        <v>2</v>
      </c>
      <c r="F18" s="88">
        <v>0</v>
      </c>
      <c r="G18" s="193">
        <v>0</v>
      </c>
      <c r="H18" s="193">
        <v>0</v>
      </c>
      <c r="I18" s="88">
        <v>1</v>
      </c>
      <c r="J18" s="88" t="b">
        <v>0</v>
      </c>
      <c r="K18" s="193">
        <v>-1</v>
      </c>
      <c r="L18" s="193">
        <v>-2</v>
      </c>
      <c r="M18" s="193">
        <v>-3</v>
      </c>
      <c r="N18" s="193">
        <v>0</v>
      </c>
      <c r="O18" s="193">
        <v>0</v>
      </c>
      <c r="P18" s="88">
        <v>1</v>
      </c>
      <c r="Q18" s="193">
        <v>0</v>
      </c>
      <c r="R18" s="193">
        <v>0</v>
      </c>
      <c r="S18" s="193">
        <v>0</v>
      </c>
      <c r="T18" s="214" t="s">
        <v>8462</v>
      </c>
      <c r="U18" s="41" t="s">
        <v>7868</v>
      </c>
      <c r="V18" s="198">
        <v>0</v>
      </c>
      <c r="W18" s="197">
        <v>0</v>
      </c>
      <c r="X18" s="197">
        <v>1</v>
      </c>
    </row>
    <row r="19" spans="1:25" s="5" customFormat="1" ht="27" x14ac:dyDescent="0.15">
      <c r="A19" s="193">
        <v>908090</v>
      </c>
      <c r="B19" s="214" t="s">
        <v>8463</v>
      </c>
      <c r="C19" s="157" t="s">
        <v>8441</v>
      </c>
      <c r="D19" s="88">
        <v>1001</v>
      </c>
      <c r="E19" s="193">
        <v>2</v>
      </c>
      <c r="F19" s="88">
        <v>0</v>
      </c>
      <c r="G19" s="193">
        <v>0</v>
      </c>
      <c r="H19" s="193">
        <v>0</v>
      </c>
      <c r="I19" s="88">
        <v>1</v>
      </c>
      <c r="J19" s="88" t="b">
        <v>0</v>
      </c>
      <c r="K19" s="193">
        <v>-1</v>
      </c>
      <c r="L19" s="193">
        <v>-2</v>
      </c>
      <c r="M19" s="193">
        <v>-3</v>
      </c>
      <c r="N19" s="193">
        <v>0</v>
      </c>
      <c r="O19" s="193">
        <v>0</v>
      </c>
      <c r="P19" s="88">
        <v>1</v>
      </c>
      <c r="Q19" s="193">
        <v>0</v>
      </c>
      <c r="R19" s="193">
        <v>0</v>
      </c>
      <c r="S19" s="193">
        <v>0</v>
      </c>
      <c r="T19" s="214" t="s">
        <v>8463</v>
      </c>
      <c r="U19" s="41" t="s">
        <v>7868</v>
      </c>
      <c r="V19" s="198">
        <v>0</v>
      </c>
      <c r="W19" s="197">
        <v>0</v>
      </c>
      <c r="X19" s="197">
        <v>1</v>
      </c>
    </row>
    <row r="20" spans="1:25" s="5" customFormat="1" ht="27" x14ac:dyDescent="0.15">
      <c r="A20" s="193">
        <v>908091</v>
      </c>
      <c r="B20" s="214" t="s">
        <v>8464</v>
      </c>
      <c r="C20" s="157" t="s">
        <v>8441</v>
      </c>
      <c r="D20" s="88">
        <v>1001</v>
      </c>
      <c r="E20" s="193">
        <v>2</v>
      </c>
      <c r="F20" s="88">
        <v>0</v>
      </c>
      <c r="G20" s="193">
        <v>0</v>
      </c>
      <c r="H20" s="193">
        <v>0</v>
      </c>
      <c r="I20" s="88">
        <v>1</v>
      </c>
      <c r="J20" s="88" t="b">
        <v>0</v>
      </c>
      <c r="K20" s="193">
        <v>-1</v>
      </c>
      <c r="L20" s="193">
        <v>-2</v>
      </c>
      <c r="M20" s="193">
        <v>-3</v>
      </c>
      <c r="N20" s="193">
        <v>0</v>
      </c>
      <c r="O20" s="193">
        <v>0</v>
      </c>
      <c r="P20" s="88">
        <v>1</v>
      </c>
      <c r="Q20" s="193">
        <v>0</v>
      </c>
      <c r="R20" s="193">
        <v>0</v>
      </c>
      <c r="S20" s="193">
        <v>0</v>
      </c>
      <c r="T20" s="214" t="s">
        <v>8465</v>
      </c>
      <c r="U20" s="41" t="s">
        <v>8466</v>
      </c>
      <c r="V20" s="198">
        <v>0</v>
      </c>
      <c r="W20" s="197">
        <v>0</v>
      </c>
      <c r="X20" s="197">
        <v>0</v>
      </c>
      <c r="Y20" s="5">
        <v>1</v>
      </c>
    </row>
    <row r="21" spans="1:25" ht="27" x14ac:dyDescent="0.15">
      <c r="A21" s="193">
        <v>908092</v>
      </c>
      <c r="B21" s="157" t="s">
        <v>8467</v>
      </c>
      <c r="C21" s="157" t="s">
        <v>8441</v>
      </c>
      <c r="D21" s="88">
        <v>1001</v>
      </c>
      <c r="E21" s="193">
        <v>2</v>
      </c>
      <c r="F21" s="193">
        <v>1</v>
      </c>
      <c r="G21" s="193">
        <v>0</v>
      </c>
      <c r="H21" s="193">
        <v>0</v>
      </c>
      <c r="I21" s="88">
        <v>999</v>
      </c>
      <c r="J21" s="88" t="b">
        <v>1</v>
      </c>
      <c r="K21" s="193">
        <v>10</v>
      </c>
      <c r="L21" s="193">
        <v>20</v>
      </c>
      <c r="M21" s="193">
        <v>30</v>
      </c>
      <c r="N21" s="193">
        <v>0</v>
      </c>
      <c r="O21" s="193">
        <v>0</v>
      </c>
      <c r="P21" s="88">
        <v>1</v>
      </c>
      <c r="Q21" s="193">
        <v>0</v>
      </c>
      <c r="R21" s="193">
        <v>0</v>
      </c>
      <c r="S21" s="193">
        <v>0</v>
      </c>
      <c r="T21" s="214" t="s">
        <v>8468</v>
      </c>
      <c r="U21" s="41" t="s">
        <v>8469</v>
      </c>
      <c r="V21" s="198">
        <v>0</v>
      </c>
      <c r="W21" s="197">
        <v>1</v>
      </c>
      <c r="X21" s="197">
        <v>1</v>
      </c>
    </row>
    <row r="22" spans="1:25" ht="27" x14ac:dyDescent="0.15">
      <c r="A22" s="193">
        <v>908093</v>
      </c>
      <c r="B22" s="157" t="s">
        <v>8470</v>
      </c>
      <c r="C22" s="157" t="s">
        <v>8441</v>
      </c>
      <c r="D22" s="88">
        <v>1001</v>
      </c>
      <c r="E22" s="193">
        <v>2</v>
      </c>
      <c r="F22" s="193">
        <v>1</v>
      </c>
      <c r="G22" s="193">
        <v>0</v>
      </c>
      <c r="H22" s="193">
        <v>0</v>
      </c>
      <c r="I22" s="88">
        <v>999</v>
      </c>
      <c r="J22" s="88" t="b">
        <v>1</v>
      </c>
      <c r="K22" s="193">
        <v>10</v>
      </c>
      <c r="L22" s="193">
        <v>20</v>
      </c>
      <c r="M22" s="193">
        <v>30</v>
      </c>
      <c r="N22" s="193">
        <v>0</v>
      </c>
      <c r="O22" s="193">
        <v>0</v>
      </c>
      <c r="P22" s="88">
        <v>1</v>
      </c>
      <c r="Q22" s="193">
        <v>0</v>
      </c>
      <c r="R22" s="193">
        <v>0</v>
      </c>
      <c r="S22" s="193">
        <v>0</v>
      </c>
      <c r="T22" s="214" t="s">
        <v>8471</v>
      </c>
      <c r="U22" s="41" t="s">
        <v>8472</v>
      </c>
      <c r="V22" s="198">
        <v>0</v>
      </c>
      <c r="W22" s="197">
        <v>1</v>
      </c>
      <c r="X22" s="197">
        <v>1</v>
      </c>
    </row>
    <row r="23" spans="1:25" ht="27" x14ac:dyDescent="0.15">
      <c r="A23" s="193">
        <v>908094</v>
      </c>
      <c r="B23" s="157" t="s">
        <v>8473</v>
      </c>
      <c r="C23" s="157" t="s">
        <v>8441</v>
      </c>
      <c r="D23" s="88">
        <v>1001</v>
      </c>
      <c r="E23" s="193">
        <v>2</v>
      </c>
      <c r="F23" s="193">
        <v>1</v>
      </c>
      <c r="G23" s="193">
        <v>0</v>
      </c>
      <c r="H23" s="193">
        <v>0</v>
      </c>
      <c r="I23" s="88">
        <v>999</v>
      </c>
      <c r="J23" s="88" t="b">
        <v>1</v>
      </c>
      <c r="K23" s="193">
        <v>10</v>
      </c>
      <c r="L23" s="193">
        <v>20</v>
      </c>
      <c r="M23" s="193">
        <v>30</v>
      </c>
      <c r="N23" s="193">
        <v>0</v>
      </c>
      <c r="O23" s="193">
        <v>0</v>
      </c>
      <c r="P23" s="88">
        <v>1</v>
      </c>
      <c r="Q23" s="193">
        <v>0</v>
      </c>
      <c r="R23" s="193">
        <v>0</v>
      </c>
      <c r="S23" s="193">
        <v>0</v>
      </c>
      <c r="T23" s="214" t="s">
        <v>8474</v>
      </c>
      <c r="U23" s="41" t="s">
        <v>8475</v>
      </c>
      <c r="V23" s="198">
        <v>0</v>
      </c>
      <c r="W23" s="197">
        <v>1</v>
      </c>
      <c r="X23" s="197">
        <v>1</v>
      </c>
    </row>
    <row r="24" spans="1:25" ht="27" x14ac:dyDescent="0.15">
      <c r="A24" s="193">
        <v>908095</v>
      </c>
      <c r="B24" s="157" t="s">
        <v>8476</v>
      </c>
      <c r="C24" s="157" t="s">
        <v>8441</v>
      </c>
      <c r="D24" s="88">
        <v>1001</v>
      </c>
      <c r="E24" s="193">
        <v>2</v>
      </c>
      <c r="F24" s="193">
        <v>1</v>
      </c>
      <c r="G24" s="193">
        <v>0</v>
      </c>
      <c r="H24" s="193">
        <v>0</v>
      </c>
      <c r="I24" s="88">
        <v>999</v>
      </c>
      <c r="J24" s="88" t="b">
        <v>1</v>
      </c>
      <c r="K24" s="193">
        <v>10</v>
      </c>
      <c r="L24" s="193">
        <v>20</v>
      </c>
      <c r="M24" s="193">
        <v>30</v>
      </c>
      <c r="N24" s="193">
        <v>0</v>
      </c>
      <c r="O24" s="193">
        <v>0</v>
      </c>
      <c r="P24" s="88">
        <v>1</v>
      </c>
      <c r="Q24" s="193">
        <v>0</v>
      </c>
      <c r="R24" s="193">
        <v>0</v>
      </c>
      <c r="S24" s="193">
        <v>0</v>
      </c>
      <c r="T24" s="214" t="s">
        <v>8477</v>
      </c>
      <c r="U24" s="41" t="s">
        <v>8478</v>
      </c>
      <c r="V24" s="198">
        <v>0</v>
      </c>
      <c r="W24" s="197">
        <v>1</v>
      </c>
      <c r="X24" s="197">
        <v>1</v>
      </c>
    </row>
    <row r="25" spans="1:25" ht="27" x14ac:dyDescent="0.15">
      <c r="A25" s="193">
        <v>908096</v>
      </c>
      <c r="B25" s="157" t="s">
        <v>8479</v>
      </c>
      <c r="C25" s="157" t="s">
        <v>8441</v>
      </c>
      <c r="D25" s="88">
        <v>1001</v>
      </c>
      <c r="E25" s="193">
        <v>2</v>
      </c>
      <c r="F25" s="193">
        <v>1</v>
      </c>
      <c r="G25" s="193">
        <v>0</v>
      </c>
      <c r="H25" s="193">
        <v>0</v>
      </c>
      <c r="I25" s="88">
        <v>999</v>
      </c>
      <c r="J25" s="88" t="b">
        <v>1</v>
      </c>
      <c r="K25" s="193">
        <v>10</v>
      </c>
      <c r="L25" s="193">
        <v>20</v>
      </c>
      <c r="M25" s="193">
        <v>30</v>
      </c>
      <c r="N25" s="193">
        <v>0</v>
      </c>
      <c r="O25" s="193">
        <v>0</v>
      </c>
      <c r="P25" s="88">
        <v>1</v>
      </c>
      <c r="Q25" s="193">
        <v>0</v>
      </c>
      <c r="R25" s="193">
        <v>0</v>
      </c>
      <c r="S25" s="193">
        <v>0</v>
      </c>
      <c r="T25" s="214" t="s">
        <v>8480</v>
      </c>
      <c r="U25" s="41" t="s">
        <v>8481</v>
      </c>
      <c r="V25" s="198">
        <v>0</v>
      </c>
      <c r="W25" s="197">
        <v>1</v>
      </c>
      <c r="X25" s="197">
        <v>1</v>
      </c>
    </row>
    <row r="26" spans="1:25" ht="27" x14ac:dyDescent="0.15">
      <c r="A26" s="193">
        <v>908097</v>
      </c>
      <c r="B26" s="157" t="s">
        <v>8482</v>
      </c>
      <c r="C26" s="157" t="s">
        <v>8441</v>
      </c>
      <c r="D26" s="88">
        <v>1001</v>
      </c>
      <c r="E26" s="193">
        <v>2</v>
      </c>
      <c r="F26" s="193">
        <v>1</v>
      </c>
      <c r="G26" s="193">
        <v>0</v>
      </c>
      <c r="H26" s="193">
        <v>0</v>
      </c>
      <c r="I26" s="88">
        <v>999</v>
      </c>
      <c r="J26" s="88" t="b">
        <v>1</v>
      </c>
      <c r="K26" s="193">
        <v>10</v>
      </c>
      <c r="L26" s="193">
        <v>20</v>
      </c>
      <c r="M26" s="193">
        <v>30</v>
      </c>
      <c r="N26" s="193">
        <v>0</v>
      </c>
      <c r="O26" s="193">
        <v>0</v>
      </c>
      <c r="P26" s="88">
        <v>1</v>
      </c>
      <c r="Q26" s="193">
        <v>0</v>
      </c>
      <c r="R26" s="193">
        <v>0</v>
      </c>
      <c r="S26" s="193">
        <v>0</v>
      </c>
      <c r="T26" s="214" t="s">
        <v>8483</v>
      </c>
      <c r="U26" s="41" t="s">
        <v>8484</v>
      </c>
      <c r="V26" s="198">
        <v>0</v>
      </c>
      <c r="W26" s="197">
        <v>1</v>
      </c>
      <c r="X26" s="197">
        <v>1</v>
      </c>
    </row>
    <row r="27" spans="1:25" ht="16.5" x14ac:dyDescent="0.15">
      <c r="A27" s="193">
        <v>908098</v>
      </c>
      <c r="B27" s="215" t="s">
        <v>8485</v>
      </c>
      <c r="C27" s="157" t="s">
        <v>8441</v>
      </c>
      <c r="D27" s="179">
        <v>1001</v>
      </c>
      <c r="E27" s="194">
        <v>2</v>
      </c>
      <c r="F27" s="194">
        <v>1</v>
      </c>
      <c r="G27" s="194">
        <v>0</v>
      </c>
      <c r="H27" s="194">
        <v>0</v>
      </c>
      <c r="I27" s="88">
        <v>999</v>
      </c>
      <c r="J27" s="194" t="b">
        <v>1</v>
      </c>
      <c r="K27" s="194">
        <v>10</v>
      </c>
      <c r="L27" s="194">
        <v>150</v>
      </c>
      <c r="M27" s="194">
        <v>200</v>
      </c>
      <c r="N27" s="194">
        <v>0</v>
      </c>
      <c r="O27" s="194">
        <v>1</v>
      </c>
      <c r="P27" s="88">
        <v>1</v>
      </c>
      <c r="Q27" s="194">
        <v>0</v>
      </c>
      <c r="R27" s="194">
        <v>0</v>
      </c>
      <c r="S27" s="194" t="s">
        <v>38</v>
      </c>
      <c r="T27" s="43" t="s">
        <v>8486</v>
      </c>
      <c r="U27" s="25" t="s">
        <v>8487</v>
      </c>
      <c r="V27" s="25">
        <v>0</v>
      </c>
      <c r="W27" s="197">
        <v>1</v>
      </c>
      <c r="X27" s="197">
        <v>1</v>
      </c>
    </row>
    <row r="28" spans="1:25" ht="16.5" x14ac:dyDescent="0.15">
      <c r="A28" s="193">
        <v>908099</v>
      </c>
      <c r="B28" s="215" t="s">
        <v>8488</v>
      </c>
      <c r="C28" s="157" t="s">
        <v>8441</v>
      </c>
      <c r="D28" s="179">
        <v>1001</v>
      </c>
      <c r="E28" s="194">
        <v>2</v>
      </c>
      <c r="F28" s="194">
        <v>1</v>
      </c>
      <c r="G28" s="194">
        <v>0</v>
      </c>
      <c r="H28" s="194">
        <v>0</v>
      </c>
      <c r="I28" s="88">
        <v>999</v>
      </c>
      <c r="J28" s="194" t="b">
        <v>1</v>
      </c>
      <c r="K28" s="194">
        <v>10</v>
      </c>
      <c r="L28" s="194">
        <v>150</v>
      </c>
      <c r="M28" s="194">
        <v>200</v>
      </c>
      <c r="N28" s="194">
        <v>0</v>
      </c>
      <c r="O28" s="194">
        <v>1</v>
      </c>
      <c r="P28" s="88">
        <v>1</v>
      </c>
      <c r="Q28" s="194">
        <v>0</v>
      </c>
      <c r="R28" s="194">
        <v>0</v>
      </c>
      <c r="S28" s="194" t="s">
        <v>38</v>
      </c>
      <c r="T28" s="43" t="s">
        <v>8489</v>
      </c>
      <c r="U28" s="25" t="s">
        <v>8490</v>
      </c>
      <c r="V28" s="25">
        <v>0</v>
      </c>
      <c r="W28" s="197">
        <v>1</v>
      </c>
      <c r="X28" s="197">
        <v>1</v>
      </c>
    </row>
    <row r="29" spans="1:25" ht="16.5" x14ac:dyDescent="0.15">
      <c r="A29" s="193">
        <v>908100</v>
      </c>
      <c r="B29" s="215" t="s">
        <v>8491</v>
      </c>
      <c r="C29" s="157" t="s">
        <v>8441</v>
      </c>
      <c r="D29" s="179">
        <v>1001</v>
      </c>
      <c r="E29" s="194">
        <v>2</v>
      </c>
      <c r="F29" s="194">
        <v>1</v>
      </c>
      <c r="G29" s="194">
        <v>0</v>
      </c>
      <c r="H29" s="194">
        <v>0</v>
      </c>
      <c r="I29" s="88">
        <v>999</v>
      </c>
      <c r="J29" s="194" t="b">
        <v>1</v>
      </c>
      <c r="K29" s="194">
        <v>10</v>
      </c>
      <c r="L29" s="194">
        <v>150</v>
      </c>
      <c r="M29" s="194">
        <v>200</v>
      </c>
      <c r="N29" s="194">
        <v>0</v>
      </c>
      <c r="O29" s="194">
        <v>1</v>
      </c>
      <c r="P29" s="88">
        <v>1</v>
      </c>
      <c r="Q29" s="194">
        <v>0</v>
      </c>
      <c r="R29" s="194">
        <v>0</v>
      </c>
      <c r="S29" s="194" t="s">
        <v>38</v>
      </c>
      <c r="T29" s="43" t="s">
        <v>8492</v>
      </c>
      <c r="U29" s="25" t="s">
        <v>8493</v>
      </c>
      <c r="V29" s="25">
        <v>0</v>
      </c>
      <c r="W29" s="197">
        <v>1</v>
      </c>
      <c r="X29" s="197">
        <v>1</v>
      </c>
    </row>
    <row r="30" spans="1:25" ht="16.5" x14ac:dyDescent="0.15">
      <c r="A30" s="193">
        <v>908101</v>
      </c>
      <c r="B30" s="215" t="s">
        <v>8494</v>
      </c>
      <c r="C30" s="157" t="s">
        <v>8441</v>
      </c>
      <c r="D30" s="179">
        <v>1001</v>
      </c>
      <c r="E30" s="194">
        <v>2</v>
      </c>
      <c r="F30" s="194">
        <v>1</v>
      </c>
      <c r="G30" s="194">
        <v>0</v>
      </c>
      <c r="H30" s="194">
        <v>0</v>
      </c>
      <c r="I30" s="88">
        <v>999</v>
      </c>
      <c r="J30" s="194" t="b">
        <v>1</v>
      </c>
      <c r="K30" s="194">
        <v>10</v>
      </c>
      <c r="L30" s="194">
        <v>150</v>
      </c>
      <c r="M30" s="194">
        <v>200</v>
      </c>
      <c r="N30" s="194">
        <v>0</v>
      </c>
      <c r="O30" s="194">
        <v>1</v>
      </c>
      <c r="P30" s="88">
        <v>1</v>
      </c>
      <c r="Q30" s="194">
        <v>0</v>
      </c>
      <c r="R30" s="194">
        <v>0</v>
      </c>
      <c r="S30" s="194" t="s">
        <v>38</v>
      </c>
      <c r="T30" s="43" t="s">
        <v>8495</v>
      </c>
      <c r="U30" s="25" t="s">
        <v>8496</v>
      </c>
      <c r="V30" s="25">
        <v>0</v>
      </c>
      <c r="W30" s="197">
        <v>1</v>
      </c>
      <c r="X30" s="197">
        <v>1</v>
      </c>
    </row>
    <row r="31" spans="1:25" ht="16.5" x14ac:dyDescent="0.15">
      <c r="A31" s="193">
        <v>908102</v>
      </c>
      <c r="B31" s="215" t="s">
        <v>8497</v>
      </c>
      <c r="C31" s="157" t="s">
        <v>8441</v>
      </c>
      <c r="D31" s="179">
        <v>1001</v>
      </c>
      <c r="E31" s="194">
        <v>2</v>
      </c>
      <c r="F31" s="194">
        <v>1</v>
      </c>
      <c r="G31" s="194">
        <v>0</v>
      </c>
      <c r="H31" s="194">
        <v>0</v>
      </c>
      <c r="I31" s="88">
        <v>999</v>
      </c>
      <c r="J31" s="194" t="b">
        <v>1</v>
      </c>
      <c r="K31" s="194">
        <v>10</v>
      </c>
      <c r="L31" s="194">
        <v>150</v>
      </c>
      <c r="M31" s="194">
        <v>200</v>
      </c>
      <c r="N31" s="194">
        <v>0</v>
      </c>
      <c r="O31" s="194">
        <v>1</v>
      </c>
      <c r="P31" s="88">
        <v>1</v>
      </c>
      <c r="Q31" s="194">
        <v>0</v>
      </c>
      <c r="R31" s="194">
        <v>0</v>
      </c>
      <c r="S31" s="194" t="s">
        <v>38</v>
      </c>
      <c r="T31" s="43" t="s">
        <v>8498</v>
      </c>
      <c r="U31" s="25" t="s">
        <v>8499</v>
      </c>
      <c r="V31" s="25">
        <v>0</v>
      </c>
      <c r="W31" s="197">
        <v>1</v>
      </c>
      <c r="X31" s="197">
        <v>1</v>
      </c>
    </row>
    <row r="32" spans="1:25" ht="16.5" x14ac:dyDescent="0.15">
      <c r="A32" s="193">
        <v>908103</v>
      </c>
      <c r="B32" s="215" t="s">
        <v>8500</v>
      </c>
      <c r="C32" s="157" t="s">
        <v>8441</v>
      </c>
      <c r="D32" s="179">
        <v>1001</v>
      </c>
      <c r="E32" s="194">
        <v>2</v>
      </c>
      <c r="F32" s="194">
        <v>1</v>
      </c>
      <c r="G32" s="194">
        <v>0</v>
      </c>
      <c r="H32" s="194">
        <v>0</v>
      </c>
      <c r="I32" s="88">
        <v>999</v>
      </c>
      <c r="J32" s="194" t="b">
        <v>1</v>
      </c>
      <c r="K32" s="194">
        <v>10</v>
      </c>
      <c r="L32" s="194">
        <v>150</v>
      </c>
      <c r="M32" s="194">
        <v>200</v>
      </c>
      <c r="N32" s="194">
        <v>0</v>
      </c>
      <c r="O32" s="194">
        <v>1</v>
      </c>
      <c r="P32" s="88">
        <v>1</v>
      </c>
      <c r="Q32" s="194">
        <v>0</v>
      </c>
      <c r="R32" s="194">
        <v>0</v>
      </c>
      <c r="S32" s="194" t="s">
        <v>38</v>
      </c>
      <c r="T32" s="43" t="s">
        <v>8501</v>
      </c>
      <c r="U32" s="25" t="s">
        <v>8502</v>
      </c>
      <c r="V32" s="25">
        <v>0</v>
      </c>
      <c r="W32" s="197">
        <v>1</v>
      </c>
      <c r="X32" s="197">
        <v>1</v>
      </c>
    </row>
    <row r="33" spans="1:24" ht="16.5" x14ac:dyDescent="0.15">
      <c r="A33" s="193">
        <v>908104</v>
      </c>
      <c r="B33" s="215" t="s">
        <v>8503</v>
      </c>
      <c r="C33" s="157" t="s">
        <v>8441</v>
      </c>
      <c r="D33" s="179">
        <v>1001</v>
      </c>
      <c r="E33" s="194">
        <v>2</v>
      </c>
      <c r="F33" s="194">
        <v>1</v>
      </c>
      <c r="G33" s="194">
        <v>0</v>
      </c>
      <c r="H33" s="194">
        <v>0</v>
      </c>
      <c r="I33" s="88">
        <v>999</v>
      </c>
      <c r="J33" s="194" t="b">
        <v>1</v>
      </c>
      <c r="K33" s="194">
        <v>10</v>
      </c>
      <c r="L33" s="194">
        <v>150</v>
      </c>
      <c r="M33" s="194">
        <v>200</v>
      </c>
      <c r="N33" s="194">
        <v>0</v>
      </c>
      <c r="O33" s="194">
        <v>1</v>
      </c>
      <c r="P33" s="88">
        <v>1</v>
      </c>
      <c r="Q33" s="194">
        <v>0</v>
      </c>
      <c r="R33" s="194">
        <v>0</v>
      </c>
      <c r="S33" s="194" t="s">
        <v>38</v>
      </c>
      <c r="T33" s="43" t="s">
        <v>8504</v>
      </c>
      <c r="U33" s="25" t="s">
        <v>8505</v>
      </c>
      <c r="V33" s="25">
        <v>0</v>
      </c>
      <c r="W33" s="197">
        <v>1</v>
      </c>
      <c r="X33" s="197">
        <v>1</v>
      </c>
    </row>
    <row r="34" spans="1:24" ht="16.5" x14ac:dyDescent="0.15">
      <c r="A34" s="193">
        <v>908105</v>
      </c>
      <c r="B34" s="215" t="s">
        <v>8506</v>
      </c>
      <c r="C34" s="157" t="s">
        <v>8441</v>
      </c>
      <c r="D34" s="179">
        <v>1001</v>
      </c>
      <c r="E34" s="194">
        <v>2</v>
      </c>
      <c r="F34" s="194">
        <v>1</v>
      </c>
      <c r="G34" s="194">
        <v>0</v>
      </c>
      <c r="H34" s="194">
        <v>0</v>
      </c>
      <c r="I34" s="88">
        <v>999</v>
      </c>
      <c r="J34" s="194" t="b">
        <v>1</v>
      </c>
      <c r="K34" s="194">
        <v>10</v>
      </c>
      <c r="L34" s="194">
        <v>150</v>
      </c>
      <c r="M34" s="194">
        <v>200</v>
      </c>
      <c r="N34" s="194">
        <v>0</v>
      </c>
      <c r="O34" s="194">
        <v>1</v>
      </c>
      <c r="P34" s="88">
        <v>1</v>
      </c>
      <c r="Q34" s="194">
        <v>0</v>
      </c>
      <c r="R34" s="194">
        <v>0</v>
      </c>
      <c r="S34" s="194" t="s">
        <v>38</v>
      </c>
      <c r="T34" s="43" t="s">
        <v>8507</v>
      </c>
      <c r="U34" s="25" t="s">
        <v>8508</v>
      </c>
      <c r="V34" s="25">
        <v>0</v>
      </c>
      <c r="W34" s="197">
        <v>1</v>
      </c>
      <c r="X34" s="197">
        <v>1</v>
      </c>
    </row>
    <row r="35" spans="1:24" ht="16.5" x14ac:dyDescent="0.15">
      <c r="A35" s="193">
        <v>908106</v>
      </c>
      <c r="B35" s="215" t="s">
        <v>8509</v>
      </c>
      <c r="C35" s="157" t="s">
        <v>8441</v>
      </c>
      <c r="D35" s="179">
        <v>1001</v>
      </c>
      <c r="E35" s="194">
        <v>2</v>
      </c>
      <c r="F35" s="194">
        <v>1</v>
      </c>
      <c r="G35" s="194">
        <v>0</v>
      </c>
      <c r="H35" s="194">
        <v>0</v>
      </c>
      <c r="I35" s="88">
        <v>999</v>
      </c>
      <c r="J35" s="194" t="b">
        <v>1</v>
      </c>
      <c r="K35" s="194">
        <v>10</v>
      </c>
      <c r="L35" s="194">
        <v>150</v>
      </c>
      <c r="M35" s="194">
        <v>200</v>
      </c>
      <c r="N35" s="194">
        <v>0</v>
      </c>
      <c r="O35" s="194">
        <v>1</v>
      </c>
      <c r="P35" s="88">
        <v>1</v>
      </c>
      <c r="Q35" s="194">
        <v>0</v>
      </c>
      <c r="R35" s="194">
        <v>0</v>
      </c>
      <c r="S35" s="194" t="s">
        <v>38</v>
      </c>
      <c r="T35" s="43" t="s">
        <v>8510</v>
      </c>
      <c r="U35" s="25" t="s">
        <v>8511</v>
      </c>
      <c r="V35" s="25">
        <v>0</v>
      </c>
      <c r="W35" s="197">
        <v>1</v>
      </c>
      <c r="X35" s="197">
        <v>1</v>
      </c>
    </row>
    <row r="36" spans="1:24" ht="16.5" x14ac:dyDescent="0.15">
      <c r="A36" s="193">
        <v>908107</v>
      </c>
      <c r="B36" s="215" t="s">
        <v>8512</v>
      </c>
      <c r="C36" s="157" t="s">
        <v>8441</v>
      </c>
      <c r="D36" s="179">
        <v>1001</v>
      </c>
      <c r="E36" s="194">
        <v>2</v>
      </c>
      <c r="F36" s="194">
        <v>1</v>
      </c>
      <c r="G36" s="194">
        <v>0</v>
      </c>
      <c r="H36" s="194">
        <v>0</v>
      </c>
      <c r="I36" s="88">
        <v>999</v>
      </c>
      <c r="J36" s="194" t="b">
        <v>1</v>
      </c>
      <c r="K36" s="194">
        <v>10</v>
      </c>
      <c r="L36" s="194">
        <v>150</v>
      </c>
      <c r="M36" s="194">
        <v>200</v>
      </c>
      <c r="N36" s="194">
        <v>0</v>
      </c>
      <c r="O36" s="194">
        <v>1</v>
      </c>
      <c r="P36" s="88">
        <v>1</v>
      </c>
      <c r="Q36" s="194">
        <v>0</v>
      </c>
      <c r="R36" s="194">
        <v>0</v>
      </c>
      <c r="S36" s="194" t="s">
        <v>38</v>
      </c>
      <c r="T36" s="43" t="s">
        <v>8513</v>
      </c>
      <c r="U36" s="25" t="s">
        <v>8514</v>
      </c>
      <c r="V36" s="25">
        <v>0</v>
      </c>
      <c r="W36" s="197">
        <v>1</v>
      </c>
      <c r="X36" s="197">
        <v>1</v>
      </c>
    </row>
    <row r="37" spans="1:24" ht="16.5" x14ac:dyDescent="0.15">
      <c r="A37" s="193">
        <v>908108</v>
      </c>
      <c r="B37" s="215" t="s">
        <v>8515</v>
      </c>
      <c r="C37" s="157" t="s">
        <v>8441</v>
      </c>
      <c r="D37" s="179">
        <v>1001</v>
      </c>
      <c r="E37" s="194">
        <v>2</v>
      </c>
      <c r="F37" s="194">
        <v>1</v>
      </c>
      <c r="G37" s="194">
        <v>0</v>
      </c>
      <c r="H37" s="194">
        <v>0</v>
      </c>
      <c r="I37" s="88">
        <v>999</v>
      </c>
      <c r="J37" s="194" t="b">
        <v>1</v>
      </c>
      <c r="K37" s="194">
        <v>10</v>
      </c>
      <c r="L37" s="194">
        <v>150</v>
      </c>
      <c r="M37" s="194">
        <v>200</v>
      </c>
      <c r="N37" s="194">
        <v>0</v>
      </c>
      <c r="O37" s="194">
        <v>1</v>
      </c>
      <c r="P37" s="88">
        <v>1</v>
      </c>
      <c r="Q37" s="194">
        <v>0</v>
      </c>
      <c r="R37" s="194">
        <v>0</v>
      </c>
      <c r="S37" s="194" t="s">
        <v>38</v>
      </c>
      <c r="T37" s="43" t="s">
        <v>8516</v>
      </c>
      <c r="U37" s="25" t="s">
        <v>8517</v>
      </c>
      <c r="V37" s="25">
        <v>0</v>
      </c>
      <c r="W37" s="197">
        <v>1</v>
      </c>
      <c r="X37" s="197">
        <v>1</v>
      </c>
    </row>
    <row r="38" spans="1:24" ht="16.5" x14ac:dyDescent="0.15">
      <c r="A38" s="193">
        <v>908109</v>
      </c>
      <c r="B38" s="215" t="s">
        <v>8518</v>
      </c>
      <c r="C38" s="157" t="s">
        <v>8441</v>
      </c>
      <c r="D38" s="179">
        <v>1001</v>
      </c>
      <c r="E38" s="194">
        <v>2</v>
      </c>
      <c r="F38" s="194">
        <v>1</v>
      </c>
      <c r="G38" s="194">
        <v>0</v>
      </c>
      <c r="H38" s="194">
        <v>0</v>
      </c>
      <c r="I38" s="88">
        <v>999</v>
      </c>
      <c r="J38" s="194" t="b">
        <v>1</v>
      </c>
      <c r="K38" s="194">
        <v>10</v>
      </c>
      <c r="L38" s="194">
        <v>150</v>
      </c>
      <c r="M38" s="194">
        <v>200</v>
      </c>
      <c r="N38" s="194">
        <v>0</v>
      </c>
      <c r="O38" s="194">
        <v>1</v>
      </c>
      <c r="P38" s="88">
        <v>1</v>
      </c>
      <c r="Q38" s="194">
        <v>0</v>
      </c>
      <c r="R38" s="194">
        <v>0</v>
      </c>
      <c r="S38" s="194" t="s">
        <v>38</v>
      </c>
      <c r="T38" s="43" t="s">
        <v>8519</v>
      </c>
      <c r="U38" s="25" t="s">
        <v>8520</v>
      </c>
      <c r="V38" s="25">
        <v>0</v>
      </c>
      <c r="W38" s="197">
        <v>1</v>
      </c>
      <c r="X38" s="197">
        <v>1</v>
      </c>
    </row>
    <row r="39" spans="1:24" ht="16.5" x14ac:dyDescent="0.15">
      <c r="A39" s="193">
        <v>908110</v>
      </c>
      <c r="B39" s="215" t="s">
        <v>8521</v>
      </c>
      <c r="C39" s="157" t="s">
        <v>8441</v>
      </c>
      <c r="D39" s="179">
        <v>1001</v>
      </c>
      <c r="E39" s="194">
        <v>2</v>
      </c>
      <c r="F39" s="194">
        <v>1</v>
      </c>
      <c r="G39" s="194">
        <v>0</v>
      </c>
      <c r="H39" s="194">
        <v>0</v>
      </c>
      <c r="I39" s="88">
        <v>999</v>
      </c>
      <c r="J39" s="194" t="b">
        <v>1</v>
      </c>
      <c r="K39" s="194">
        <v>10</v>
      </c>
      <c r="L39" s="194">
        <v>150</v>
      </c>
      <c r="M39" s="194">
        <v>200</v>
      </c>
      <c r="N39" s="194">
        <v>0</v>
      </c>
      <c r="O39" s="194">
        <v>1</v>
      </c>
      <c r="P39" s="88">
        <v>1</v>
      </c>
      <c r="Q39" s="194">
        <v>0</v>
      </c>
      <c r="R39" s="194">
        <v>0</v>
      </c>
      <c r="S39" s="194" t="s">
        <v>38</v>
      </c>
      <c r="T39" s="43" t="s">
        <v>8522</v>
      </c>
      <c r="U39" s="25" t="s">
        <v>8523</v>
      </c>
      <c r="V39" s="25">
        <v>0</v>
      </c>
      <c r="W39" s="197">
        <v>1</v>
      </c>
      <c r="X39" s="197">
        <v>1</v>
      </c>
    </row>
    <row r="40" spans="1:24" ht="16.5" x14ac:dyDescent="0.15">
      <c r="A40" s="193">
        <v>908111</v>
      </c>
      <c r="B40" s="215" t="s">
        <v>8524</v>
      </c>
      <c r="C40" s="157" t="s">
        <v>8441</v>
      </c>
      <c r="D40" s="179">
        <v>1001</v>
      </c>
      <c r="E40" s="194">
        <v>2</v>
      </c>
      <c r="F40" s="194">
        <v>1</v>
      </c>
      <c r="G40" s="194">
        <v>0</v>
      </c>
      <c r="H40" s="194">
        <v>0</v>
      </c>
      <c r="I40" s="88">
        <v>999</v>
      </c>
      <c r="J40" s="194" t="b">
        <v>1</v>
      </c>
      <c r="K40" s="194">
        <v>10</v>
      </c>
      <c r="L40" s="194">
        <v>150</v>
      </c>
      <c r="M40" s="194">
        <v>200</v>
      </c>
      <c r="N40" s="194">
        <v>0</v>
      </c>
      <c r="O40" s="194">
        <v>1</v>
      </c>
      <c r="P40" s="88">
        <v>1</v>
      </c>
      <c r="Q40" s="194">
        <v>0</v>
      </c>
      <c r="R40" s="194">
        <v>0</v>
      </c>
      <c r="S40" s="194" t="s">
        <v>38</v>
      </c>
      <c r="T40" s="43" t="s">
        <v>8525</v>
      </c>
      <c r="U40" s="25" t="s">
        <v>8526</v>
      </c>
      <c r="V40" s="25">
        <v>0</v>
      </c>
      <c r="W40" s="197">
        <v>1</v>
      </c>
      <c r="X40" s="197">
        <v>1</v>
      </c>
    </row>
    <row r="41" spans="1:24" ht="16.5" x14ac:dyDescent="0.15">
      <c r="A41" s="193">
        <v>908112</v>
      </c>
      <c r="B41" s="215" t="s">
        <v>8527</v>
      </c>
      <c r="C41" s="157" t="s">
        <v>8441</v>
      </c>
      <c r="D41" s="179">
        <v>1001</v>
      </c>
      <c r="E41" s="194">
        <v>2</v>
      </c>
      <c r="F41" s="194">
        <v>1</v>
      </c>
      <c r="G41" s="194">
        <v>0</v>
      </c>
      <c r="H41" s="194">
        <v>0</v>
      </c>
      <c r="I41" s="88">
        <v>999</v>
      </c>
      <c r="J41" s="194" t="b">
        <v>1</v>
      </c>
      <c r="K41" s="194">
        <v>10</v>
      </c>
      <c r="L41" s="194">
        <v>150</v>
      </c>
      <c r="M41" s="194">
        <v>200</v>
      </c>
      <c r="N41" s="194">
        <v>0</v>
      </c>
      <c r="O41" s="194">
        <v>1</v>
      </c>
      <c r="P41" s="88">
        <v>1</v>
      </c>
      <c r="Q41" s="194">
        <v>0</v>
      </c>
      <c r="R41" s="194">
        <v>0</v>
      </c>
      <c r="S41" s="194" t="s">
        <v>38</v>
      </c>
      <c r="T41" s="43" t="s">
        <v>8528</v>
      </c>
      <c r="U41" s="25" t="s">
        <v>8529</v>
      </c>
      <c r="V41" s="25">
        <v>0</v>
      </c>
      <c r="W41" s="197">
        <v>1</v>
      </c>
      <c r="X41" s="197">
        <v>1</v>
      </c>
    </row>
    <row r="42" spans="1:24" ht="16.5" x14ac:dyDescent="0.15">
      <c r="A42" s="193">
        <v>908113</v>
      </c>
      <c r="B42" s="215" t="s">
        <v>8530</v>
      </c>
      <c r="C42" s="157" t="s">
        <v>8441</v>
      </c>
      <c r="D42" s="179">
        <v>1001</v>
      </c>
      <c r="E42" s="194">
        <v>2</v>
      </c>
      <c r="F42" s="194">
        <v>1</v>
      </c>
      <c r="G42" s="194">
        <v>0</v>
      </c>
      <c r="H42" s="194">
        <v>0</v>
      </c>
      <c r="I42" s="88">
        <v>999</v>
      </c>
      <c r="J42" s="194" t="b">
        <v>1</v>
      </c>
      <c r="K42" s="194">
        <v>10</v>
      </c>
      <c r="L42" s="194">
        <v>150</v>
      </c>
      <c r="M42" s="194">
        <v>200</v>
      </c>
      <c r="N42" s="194">
        <v>0</v>
      </c>
      <c r="O42" s="194">
        <v>1</v>
      </c>
      <c r="P42" s="88">
        <v>1</v>
      </c>
      <c r="Q42" s="194">
        <v>0</v>
      </c>
      <c r="R42" s="194">
        <v>0</v>
      </c>
      <c r="S42" s="194" t="s">
        <v>38</v>
      </c>
      <c r="T42" s="43" t="s">
        <v>8531</v>
      </c>
      <c r="U42" s="25" t="s">
        <v>8532</v>
      </c>
      <c r="V42" s="25">
        <v>0</v>
      </c>
      <c r="W42" s="197">
        <v>1</v>
      </c>
      <c r="X42" s="197">
        <v>1</v>
      </c>
    </row>
    <row r="43" spans="1:24" ht="16.5" x14ac:dyDescent="0.15">
      <c r="A43" s="193">
        <v>908114</v>
      </c>
      <c r="B43" s="215" t="s">
        <v>8533</v>
      </c>
      <c r="C43" s="157" t="s">
        <v>8441</v>
      </c>
      <c r="D43" s="179">
        <v>1001</v>
      </c>
      <c r="E43" s="194">
        <v>2</v>
      </c>
      <c r="F43" s="194">
        <v>1</v>
      </c>
      <c r="G43" s="194">
        <v>0</v>
      </c>
      <c r="H43" s="194">
        <v>0</v>
      </c>
      <c r="I43" s="88">
        <v>999</v>
      </c>
      <c r="J43" s="194" t="b">
        <v>1</v>
      </c>
      <c r="K43" s="194">
        <v>10</v>
      </c>
      <c r="L43" s="194">
        <v>150</v>
      </c>
      <c r="M43" s="194">
        <v>200</v>
      </c>
      <c r="N43" s="194">
        <v>0</v>
      </c>
      <c r="O43" s="194">
        <v>1</v>
      </c>
      <c r="P43" s="88">
        <v>1</v>
      </c>
      <c r="Q43" s="194">
        <v>0</v>
      </c>
      <c r="R43" s="194">
        <v>0</v>
      </c>
      <c r="S43" s="194" t="s">
        <v>38</v>
      </c>
      <c r="T43" s="43" t="s">
        <v>8534</v>
      </c>
      <c r="U43" s="25" t="s">
        <v>8535</v>
      </c>
      <c r="V43" s="25">
        <v>0</v>
      </c>
      <c r="W43" s="197">
        <v>1</v>
      </c>
      <c r="X43" s="197">
        <v>1</v>
      </c>
    </row>
    <row r="44" spans="1:24" ht="16.5" x14ac:dyDescent="0.15">
      <c r="A44" s="193">
        <v>908115</v>
      </c>
      <c r="B44" s="215" t="s">
        <v>8536</v>
      </c>
      <c r="C44" s="157" t="s">
        <v>8441</v>
      </c>
      <c r="D44" s="179">
        <v>1001</v>
      </c>
      <c r="E44" s="194">
        <v>2</v>
      </c>
      <c r="F44" s="194">
        <v>1</v>
      </c>
      <c r="G44" s="194">
        <v>0</v>
      </c>
      <c r="H44" s="194">
        <v>0</v>
      </c>
      <c r="I44" s="88">
        <v>999</v>
      </c>
      <c r="J44" s="194" t="b">
        <v>1</v>
      </c>
      <c r="K44" s="194">
        <v>10</v>
      </c>
      <c r="L44" s="194">
        <v>150</v>
      </c>
      <c r="M44" s="194">
        <v>200</v>
      </c>
      <c r="N44" s="194">
        <v>0</v>
      </c>
      <c r="O44" s="194">
        <v>1</v>
      </c>
      <c r="P44" s="88">
        <v>1</v>
      </c>
      <c r="Q44" s="194">
        <v>0</v>
      </c>
      <c r="R44" s="194">
        <v>0</v>
      </c>
      <c r="S44" s="194" t="s">
        <v>38</v>
      </c>
      <c r="T44" s="43" t="s">
        <v>8534</v>
      </c>
      <c r="U44" s="25" t="s">
        <v>8537</v>
      </c>
      <c r="V44" s="25">
        <v>0</v>
      </c>
      <c r="W44" s="197">
        <v>1</v>
      </c>
      <c r="X44" s="197">
        <v>1</v>
      </c>
    </row>
    <row r="45" spans="1:24" ht="16.5" x14ac:dyDescent="0.15">
      <c r="A45" s="193">
        <v>908116</v>
      </c>
      <c r="B45" s="215" t="s">
        <v>8538</v>
      </c>
      <c r="C45" s="157" t="s">
        <v>8441</v>
      </c>
      <c r="D45" s="179">
        <v>1001</v>
      </c>
      <c r="E45" s="194">
        <v>2</v>
      </c>
      <c r="F45" s="194">
        <v>1</v>
      </c>
      <c r="G45" s="194">
        <v>0</v>
      </c>
      <c r="H45" s="194">
        <v>0</v>
      </c>
      <c r="I45" s="88">
        <v>999</v>
      </c>
      <c r="J45" s="194" t="b">
        <v>1</v>
      </c>
      <c r="K45" s="194">
        <v>10</v>
      </c>
      <c r="L45" s="194">
        <v>150</v>
      </c>
      <c r="M45" s="194">
        <v>200</v>
      </c>
      <c r="N45" s="194">
        <v>0</v>
      </c>
      <c r="O45" s="194">
        <v>1</v>
      </c>
      <c r="P45" s="88">
        <v>1</v>
      </c>
      <c r="Q45" s="194">
        <v>0</v>
      </c>
      <c r="R45" s="194">
        <v>0</v>
      </c>
      <c r="S45" s="194" t="s">
        <v>38</v>
      </c>
      <c r="T45" s="43" t="s">
        <v>8534</v>
      </c>
      <c r="U45" s="25" t="s">
        <v>8539</v>
      </c>
      <c r="V45" s="25">
        <v>0</v>
      </c>
      <c r="W45" s="197">
        <v>1</v>
      </c>
      <c r="X45" s="197">
        <v>1</v>
      </c>
    </row>
    <row r="46" spans="1:24" ht="16.5" x14ac:dyDescent="0.15">
      <c r="A46" s="193">
        <v>908117</v>
      </c>
      <c r="B46" s="215" t="s">
        <v>8540</v>
      </c>
      <c r="C46" s="157" t="s">
        <v>8441</v>
      </c>
      <c r="D46" s="179">
        <v>1001</v>
      </c>
      <c r="E46" s="194">
        <v>2</v>
      </c>
      <c r="F46" s="194">
        <v>1</v>
      </c>
      <c r="G46" s="194">
        <v>0</v>
      </c>
      <c r="H46" s="194">
        <v>0</v>
      </c>
      <c r="I46" s="88">
        <v>999</v>
      </c>
      <c r="J46" s="194" t="b">
        <v>1</v>
      </c>
      <c r="K46" s="194">
        <v>10</v>
      </c>
      <c r="L46" s="194">
        <v>150</v>
      </c>
      <c r="M46" s="194">
        <v>200</v>
      </c>
      <c r="N46" s="194">
        <v>0</v>
      </c>
      <c r="O46" s="194">
        <v>1</v>
      </c>
      <c r="P46" s="88">
        <v>1</v>
      </c>
      <c r="Q46" s="194">
        <v>0</v>
      </c>
      <c r="R46" s="194">
        <v>0</v>
      </c>
      <c r="S46" s="194" t="s">
        <v>38</v>
      </c>
      <c r="T46" s="43" t="s">
        <v>8534</v>
      </c>
      <c r="U46" s="25" t="s">
        <v>8541</v>
      </c>
      <c r="V46" s="25">
        <v>0</v>
      </c>
      <c r="W46" s="197">
        <v>1</v>
      </c>
      <c r="X46" s="197">
        <v>1</v>
      </c>
    </row>
    <row r="47" spans="1:24" ht="16.5" x14ac:dyDescent="0.15">
      <c r="A47" s="193">
        <v>908118</v>
      </c>
      <c r="B47" s="215" t="s">
        <v>8542</v>
      </c>
      <c r="C47" s="157" t="s">
        <v>8441</v>
      </c>
      <c r="D47" s="179">
        <v>1001</v>
      </c>
      <c r="E47" s="194">
        <v>2</v>
      </c>
      <c r="F47" s="194">
        <v>0</v>
      </c>
      <c r="G47" s="194">
        <v>0</v>
      </c>
      <c r="H47" s="194">
        <v>0</v>
      </c>
      <c r="I47" s="88">
        <v>999</v>
      </c>
      <c r="J47" s="194" t="b">
        <v>1</v>
      </c>
      <c r="K47" s="194">
        <v>10</v>
      </c>
      <c r="L47" s="194">
        <v>150</v>
      </c>
      <c r="M47" s="194">
        <v>200</v>
      </c>
      <c r="N47" s="194">
        <v>0</v>
      </c>
      <c r="O47" s="194">
        <v>1</v>
      </c>
      <c r="P47" s="88">
        <v>1</v>
      </c>
      <c r="Q47" s="194">
        <v>0</v>
      </c>
      <c r="R47" s="194">
        <v>0</v>
      </c>
      <c r="S47" s="194" t="s">
        <v>38</v>
      </c>
      <c r="T47" s="43" t="s">
        <v>8543</v>
      </c>
      <c r="U47" s="25" t="s">
        <v>8544</v>
      </c>
      <c r="V47" s="25">
        <v>0</v>
      </c>
      <c r="W47" s="197">
        <v>1</v>
      </c>
      <c r="X47" s="197">
        <v>1</v>
      </c>
    </row>
    <row r="48" spans="1:24" ht="16.5" x14ac:dyDescent="0.15">
      <c r="A48" s="193">
        <v>908119</v>
      </c>
      <c r="B48" s="215" t="s">
        <v>8545</v>
      </c>
      <c r="C48" s="157" t="s">
        <v>8441</v>
      </c>
      <c r="D48" s="179">
        <v>1001</v>
      </c>
      <c r="E48" s="194">
        <v>2</v>
      </c>
      <c r="F48" s="194">
        <v>0</v>
      </c>
      <c r="G48" s="194">
        <v>0</v>
      </c>
      <c r="H48" s="194">
        <v>0</v>
      </c>
      <c r="I48" s="88">
        <v>999</v>
      </c>
      <c r="J48" s="194" t="b">
        <v>1</v>
      </c>
      <c r="K48" s="194">
        <v>10</v>
      </c>
      <c r="L48" s="194">
        <v>150</v>
      </c>
      <c r="M48" s="194">
        <v>200</v>
      </c>
      <c r="N48" s="194">
        <v>0</v>
      </c>
      <c r="O48" s="194">
        <v>1</v>
      </c>
      <c r="P48" s="88">
        <v>1</v>
      </c>
      <c r="Q48" s="194">
        <v>0</v>
      </c>
      <c r="R48" s="194">
        <v>0</v>
      </c>
      <c r="S48" s="194" t="s">
        <v>38</v>
      </c>
      <c r="T48" s="43" t="s">
        <v>8543</v>
      </c>
      <c r="U48" s="25" t="s">
        <v>8546</v>
      </c>
      <c r="V48" s="25">
        <v>0</v>
      </c>
      <c r="W48" s="197">
        <v>1</v>
      </c>
      <c r="X48" s="197">
        <v>1</v>
      </c>
    </row>
    <row r="49" spans="1:24" ht="16.5" x14ac:dyDescent="0.15">
      <c r="A49" s="193">
        <v>908120</v>
      </c>
      <c r="B49" s="215" t="s">
        <v>8547</v>
      </c>
      <c r="C49" s="157" t="s">
        <v>8441</v>
      </c>
      <c r="D49" s="179">
        <v>1001</v>
      </c>
      <c r="E49" s="194">
        <v>2</v>
      </c>
      <c r="F49" s="194">
        <v>0</v>
      </c>
      <c r="G49" s="194">
        <v>0</v>
      </c>
      <c r="H49" s="194">
        <v>0</v>
      </c>
      <c r="I49" s="88">
        <v>999</v>
      </c>
      <c r="J49" s="194" t="b">
        <v>1</v>
      </c>
      <c r="K49" s="194">
        <v>10</v>
      </c>
      <c r="L49" s="194">
        <v>150</v>
      </c>
      <c r="M49" s="194">
        <v>200</v>
      </c>
      <c r="N49" s="194">
        <v>0</v>
      </c>
      <c r="O49" s="194">
        <v>1</v>
      </c>
      <c r="P49" s="88">
        <v>1</v>
      </c>
      <c r="Q49" s="194">
        <v>0</v>
      </c>
      <c r="R49" s="194">
        <v>0</v>
      </c>
      <c r="S49" s="194" t="s">
        <v>38</v>
      </c>
      <c r="T49" s="43" t="s">
        <v>8543</v>
      </c>
      <c r="U49" s="25" t="s">
        <v>8548</v>
      </c>
      <c r="V49" s="25">
        <v>0</v>
      </c>
      <c r="W49" s="197">
        <v>1</v>
      </c>
      <c r="X49" s="197">
        <v>1</v>
      </c>
    </row>
    <row r="50" spans="1:24" ht="16.5" x14ac:dyDescent="0.15">
      <c r="A50" s="193">
        <v>908121</v>
      </c>
      <c r="B50" s="215" t="s">
        <v>8549</v>
      </c>
      <c r="C50" s="157" t="s">
        <v>8441</v>
      </c>
      <c r="D50" s="179">
        <v>1001</v>
      </c>
      <c r="E50" s="194">
        <v>2</v>
      </c>
      <c r="F50" s="194">
        <v>1</v>
      </c>
      <c r="G50" s="194">
        <v>0</v>
      </c>
      <c r="H50" s="194">
        <v>0</v>
      </c>
      <c r="I50" s="88">
        <v>999</v>
      </c>
      <c r="J50" s="194" t="b">
        <v>1</v>
      </c>
      <c r="K50" s="194">
        <v>10</v>
      </c>
      <c r="L50" s="194">
        <v>150</v>
      </c>
      <c r="M50" s="194">
        <v>200</v>
      </c>
      <c r="N50" s="194">
        <v>0</v>
      </c>
      <c r="O50" s="194">
        <v>1</v>
      </c>
      <c r="P50" s="88">
        <v>1</v>
      </c>
      <c r="Q50" s="194">
        <v>0</v>
      </c>
      <c r="R50" s="194">
        <v>0</v>
      </c>
      <c r="S50" s="194" t="s">
        <v>38</v>
      </c>
      <c r="T50" s="43" t="s">
        <v>8550</v>
      </c>
      <c r="U50" s="25" t="s">
        <v>8551</v>
      </c>
      <c r="V50" s="25">
        <v>0</v>
      </c>
      <c r="W50" s="197">
        <v>1</v>
      </c>
      <c r="X50" s="197">
        <v>1</v>
      </c>
    </row>
    <row r="51" spans="1:24" ht="16.5" x14ac:dyDescent="0.15">
      <c r="A51" s="193">
        <v>908122</v>
      </c>
      <c r="B51" s="215" t="s">
        <v>8552</v>
      </c>
      <c r="C51" s="157" t="s">
        <v>8441</v>
      </c>
      <c r="D51" s="179">
        <v>1001</v>
      </c>
      <c r="E51" s="194">
        <v>2</v>
      </c>
      <c r="F51" s="194">
        <v>1</v>
      </c>
      <c r="G51" s="194">
        <v>0</v>
      </c>
      <c r="H51" s="194">
        <v>0</v>
      </c>
      <c r="I51" s="88">
        <v>999</v>
      </c>
      <c r="J51" s="194" t="b">
        <v>1</v>
      </c>
      <c r="K51" s="194">
        <v>10</v>
      </c>
      <c r="L51" s="194">
        <v>150</v>
      </c>
      <c r="M51" s="194">
        <v>200</v>
      </c>
      <c r="N51" s="194">
        <v>0</v>
      </c>
      <c r="O51" s="194">
        <v>1</v>
      </c>
      <c r="P51" s="88">
        <v>1</v>
      </c>
      <c r="Q51" s="194">
        <v>0</v>
      </c>
      <c r="R51" s="194">
        <v>0</v>
      </c>
      <c r="S51" s="194" t="s">
        <v>38</v>
      </c>
      <c r="T51" s="43" t="s">
        <v>8553</v>
      </c>
      <c r="U51" s="25" t="s">
        <v>8554</v>
      </c>
      <c r="V51" s="25">
        <v>0</v>
      </c>
      <c r="W51" s="197">
        <v>1</v>
      </c>
      <c r="X51" s="197">
        <v>1</v>
      </c>
    </row>
    <row r="52" spans="1:24" ht="16.5" x14ac:dyDescent="0.15">
      <c r="A52" s="193">
        <v>908123</v>
      </c>
      <c r="B52" s="215" t="s">
        <v>8555</v>
      </c>
      <c r="C52" s="157" t="s">
        <v>8441</v>
      </c>
      <c r="D52" s="179">
        <v>1001</v>
      </c>
      <c r="E52" s="194">
        <v>2</v>
      </c>
      <c r="F52" s="194">
        <v>1</v>
      </c>
      <c r="G52" s="194">
        <v>0</v>
      </c>
      <c r="H52" s="194">
        <v>0</v>
      </c>
      <c r="I52" s="88">
        <v>999</v>
      </c>
      <c r="J52" s="194" t="b">
        <v>1</v>
      </c>
      <c r="K52" s="194">
        <v>10</v>
      </c>
      <c r="L52" s="194">
        <v>150</v>
      </c>
      <c r="M52" s="194">
        <v>200</v>
      </c>
      <c r="N52" s="194">
        <v>0</v>
      </c>
      <c r="O52" s="194">
        <v>1</v>
      </c>
      <c r="P52" s="88">
        <v>1</v>
      </c>
      <c r="Q52" s="194">
        <v>0</v>
      </c>
      <c r="R52" s="194">
        <v>0</v>
      </c>
      <c r="S52" s="194" t="s">
        <v>38</v>
      </c>
      <c r="T52" s="43" t="s">
        <v>8556</v>
      </c>
      <c r="U52" s="25" t="s">
        <v>8557</v>
      </c>
      <c r="V52" s="25">
        <v>0</v>
      </c>
      <c r="W52" s="197">
        <v>1</v>
      </c>
      <c r="X52" s="197">
        <v>1</v>
      </c>
    </row>
    <row r="53" spans="1:24" ht="16.5" x14ac:dyDescent="0.15">
      <c r="A53" s="193">
        <v>908124</v>
      </c>
      <c r="B53" s="215" t="s">
        <v>8558</v>
      </c>
      <c r="C53" s="157" t="s">
        <v>8441</v>
      </c>
      <c r="D53" s="179">
        <v>1001</v>
      </c>
      <c r="E53" s="194">
        <v>2</v>
      </c>
      <c r="F53" s="194">
        <v>1</v>
      </c>
      <c r="G53" s="194">
        <v>0</v>
      </c>
      <c r="H53" s="194">
        <v>0</v>
      </c>
      <c r="I53" s="88">
        <v>999</v>
      </c>
      <c r="J53" s="194" t="b">
        <v>1</v>
      </c>
      <c r="K53" s="194">
        <v>10</v>
      </c>
      <c r="L53" s="194">
        <v>150</v>
      </c>
      <c r="M53" s="194">
        <v>200</v>
      </c>
      <c r="N53" s="194">
        <v>0</v>
      </c>
      <c r="O53" s="194">
        <v>1</v>
      </c>
      <c r="P53" s="88">
        <v>1</v>
      </c>
      <c r="Q53" s="194">
        <v>0</v>
      </c>
      <c r="R53" s="194">
        <v>0</v>
      </c>
      <c r="S53" s="194" t="s">
        <v>38</v>
      </c>
      <c r="T53" s="43" t="s">
        <v>8495</v>
      </c>
      <c r="U53" s="25" t="s">
        <v>8559</v>
      </c>
      <c r="V53" s="25">
        <v>0</v>
      </c>
      <c r="W53" s="197">
        <v>1</v>
      </c>
      <c r="X53" s="197">
        <v>1</v>
      </c>
    </row>
    <row r="54" spans="1:24" ht="16.5" x14ac:dyDescent="0.15">
      <c r="A54" s="193">
        <v>908125</v>
      </c>
      <c r="B54" s="215" t="s">
        <v>8560</v>
      </c>
      <c r="C54" s="157" t="s">
        <v>8441</v>
      </c>
      <c r="D54" s="179">
        <v>1001</v>
      </c>
      <c r="E54" s="194">
        <v>2</v>
      </c>
      <c r="F54" s="194">
        <v>1</v>
      </c>
      <c r="G54" s="194">
        <v>0</v>
      </c>
      <c r="H54" s="194">
        <v>0</v>
      </c>
      <c r="I54" s="88">
        <v>999</v>
      </c>
      <c r="J54" s="194" t="b">
        <v>1</v>
      </c>
      <c r="K54" s="194">
        <v>10</v>
      </c>
      <c r="L54" s="194">
        <v>150</v>
      </c>
      <c r="M54" s="194">
        <v>200</v>
      </c>
      <c r="N54" s="194">
        <v>0</v>
      </c>
      <c r="O54" s="194">
        <v>1</v>
      </c>
      <c r="P54" s="88">
        <v>1</v>
      </c>
      <c r="Q54" s="194">
        <v>0</v>
      </c>
      <c r="R54" s="194">
        <v>0</v>
      </c>
      <c r="S54" s="194" t="s">
        <v>38</v>
      </c>
      <c r="T54" s="43" t="s">
        <v>8561</v>
      </c>
      <c r="U54" s="25" t="s">
        <v>8562</v>
      </c>
      <c r="V54" s="25">
        <v>0</v>
      </c>
      <c r="W54" s="197">
        <v>1</v>
      </c>
      <c r="X54" s="197">
        <v>1</v>
      </c>
    </row>
    <row r="55" spans="1:24" ht="16.5" x14ac:dyDescent="0.15">
      <c r="A55" s="193">
        <v>908126</v>
      </c>
      <c r="B55" s="215" t="s">
        <v>8563</v>
      </c>
      <c r="C55" s="157" t="s">
        <v>8441</v>
      </c>
      <c r="D55" s="179">
        <v>1001</v>
      </c>
      <c r="E55" s="194">
        <v>2</v>
      </c>
      <c r="F55" s="194">
        <v>1</v>
      </c>
      <c r="G55" s="194">
        <v>0</v>
      </c>
      <c r="H55" s="194">
        <v>0</v>
      </c>
      <c r="I55" s="88">
        <v>999</v>
      </c>
      <c r="J55" s="194" t="b">
        <v>1</v>
      </c>
      <c r="K55" s="194">
        <v>10</v>
      </c>
      <c r="L55" s="194">
        <v>150</v>
      </c>
      <c r="M55" s="194">
        <v>200</v>
      </c>
      <c r="N55" s="194">
        <v>0</v>
      </c>
      <c r="O55" s="194">
        <v>1</v>
      </c>
      <c r="P55" s="88">
        <v>1</v>
      </c>
      <c r="Q55" s="194">
        <v>0</v>
      </c>
      <c r="R55" s="194">
        <v>0</v>
      </c>
      <c r="S55" s="194" t="s">
        <v>38</v>
      </c>
      <c r="T55" s="43" t="s">
        <v>8501</v>
      </c>
      <c r="U55" s="25" t="s">
        <v>8564</v>
      </c>
      <c r="V55" s="25">
        <v>0</v>
      </c>
      <c r="W55" s="197">
        <v>1</v>
      </c>
      <c r="X55" s="197">
        <v>1</v>
      </c>
    </row>
    <row r="56" spans="1:24" ht="16.5" x14ac:dyDescent="0.15">
      <c r="A56" s="193">
        <v>908127</v>
      </c>
      <c r="B56" s="215" t="s">
        <v>8565</v>
      </c>
      <c r="C56" s="157" t="s">
        <v>8441</v>
      </c>
      <c r="D56" s="179">
        <v>1001</v>
      </c>
      <c r="E56" s="194">
        <v>2</v>
      </c>
      <c r="F56" s="194">
        <v>1</v>
      </c>
      <c r="G56" s="194">
        <v>0</v>
      </c>
      <c r="H56" s="194">
        <v>0</v>
      </c>
      <c r="I56" s="88">
        <v>999</v>
      </c>
      <c r="J56" s="194" t="b">
        <v>1</v>
      </c>
      <c r="K56" s="194">
        <v>10</v>
      </c>
      <c r="L56" s="194">
        <v>150</v>
      </c>
      <c r="M56" s="194">
        <v>200</v>
      </c>
      <c r="N56" s="194">
        <v>0</v>
      </c>
      <c r="O56" s="194">
        <v>1</v>
      </c>
      <c r="P56" s="88">
        <v>1</v>
      </c>
      <c r="Q56" s="194">
        <v>0</v>
      </c>
      <c r="R56" s="194">
        <v>0</v>
      </c>
      <c r="S56" s="194" t="s">
        <v>38</v>
      </c>
      <c r="T56" s="43" t="s">
        <v>8566</v>
      </c>
      <c r="U56" s="25" t="s">
        <v>8567</v>
      </c>
      <c r="V56" s="25">
        <v>0</v>
      </c>
      <c r="W56" s="197">
        <v>1</v>
      </c>
      <c r="X56" s="197">
        <v>1</v>
      </c>
    </row>
    <row r="57" spans="1:24" ht="16.5" x14ac:dyDescent="0.15">
      <c r="A57" s="193">
        <v>908128</v>
      </c>
      <c r="B57" s="215" t="s">
        <v>8568</v>
      </c>
      <c r="C57" s="157" t="s">
        <v>8441</v>
      </c>
      <c r="D57" s="179">
        <v>1001</v>
      </c>
      <c r="E57" s="194">
        <v>2</v>
      </c>
      <c r="F57" s="194">
        <v>1</v>
      </c>
      <c r="G57" s="194">
        <v>0</v>
      </c>
      <c r="H57" s="194">
        <v>0</v>
      </c>
      <c r="I57" s="88">
        <v>999</v>
      </c>
      <c r="J57" s="194" t="b">
        <v>1</v>
      </c>
      <c r="K57" s="194">
        <v>10</v>
      </c>
      <c r="L57" s="194">
        <v>150</v>
      </c>
      <c r="M57" s="194">
        <v>200</v>
      </c>
      <c r="N57" s="194">
        <v>0</v>
      </c>
      <c r="O57" s="194">
        <v>1</v>
      </c>
      <c r="P57" s="88">
        <v>1</v>
      </c>
      <c r="Q57" s="194">
        <v>0</v>
      </c>
      <c r="R57" s="194">
        <v>0</v>
      </c>
      <c r="S57" s="194" t="s">
        <v>38</v>
      </c>
      <c r="T57" s="43" t="s">
        <v>8507</v>
      </c>
      <c r="U57" s="25" t="s">
        <v>8569</v>
      </c>
      <c r="V57" s="25">
        <v>0</v>
      </c>
      <c r="W57" s="197">
        <v>1</v>
      </c>
      <c r="X57" s="197">
        <v>1</v>
      </c>
    </row>
    <row r="58" spans="1:24" ht="16.5" x14ac:dyDescent="0.15">
      <c r="A58" s="193">
        <v>908129</v>
      </c>
      <c r="B58" s="215" t="s">
        <v>8570</v>
      </c>
      <c r="C58" s="157" t="s">
        <v>8441</v>
      </c>
      <c r="D58" s="179">
        <v>1001</v>
      </c>
      <c r="E58" s="194">
        <v>2</v>
      </c>
      <c r="F58" s="194">
        <v>1</v>
      </c>
      <c r="G58" s="194">
        <v>0</v>
      </c>
      <c r="H58" s="194">
        <v>0</v>
      </c>
      <c r="I58" s="88">
        <v>999</v>
      </c>
      <c r="J58" s="194" t="b">
        <v>1</v>
      </c>
      <c r="K58" s="194">
        <v>10</v>
      </c>
      <c r="L58" s="194">
        <v>150</v>
      </c>
      <c r="M58" s="194">
        <v>200</v>
      </c>
      <c r="N58" s="194">
        <v>0</v>
      </c>
      <c r="O58" s="194">
        <v>1</v>
      </c>
      <c r="P58" s="88">
        <v>1</v>
      </c>
      <c r="Q58" s="194">
        <v>0</v>
      </c>
      <c r="R58" s="194">
        <v>0</v>
      </c>
      <c r="S58" s="194" t="s">
        <v>38</v>
      </c>
      <c r="T58" s="43" t="s">
        <v>8571</v>
      </c>
      <c r="U58" s="25" t="s">
        <v>8572</v>
      </c>
      <c r="V58" s="25">
        <v>0</v>
      </c>
      <c r="W58" s="197">
        <v>1</v>
      </c>
      <c r="X58" s="197">
        <v>1</v>
      </c>
    </row>
    <row r="59" spans="1:24" ht="16.5" x14ac:dyDescent="0.15">
      <c r="A59" s="193">
        <v>908130</v>
      </c>
      <c r="B59" s="215" t="s">
        <v>8573</v>
      </c>
      <c r="C59" s="157" t="s">
        <v>8441</v>
      </c>
      <c r="D59" s="179">
        <v>1001</v>
      </c>
      <c r="E59" s="194">
        <v>2</v>
      </c>
      <c r="F59" s="194">
        <v>1</v>
      </c>
      <c r="G59" s="194">
        <v>0</v>
      </c>
      <c r="H59" s="194">
        <v>0</v>
      </c>
      <c r="I59" s="88">
        <v>999</v>
      </c>
      <c r="J59" s="194" t="b">
        <v>1</v>
      </c>
      <c r="K59" s="194">
        <v>10</v>
      </c>
      <c r="L59" s="194">
        <v>150</v>
      </c>
      <c r="M59" s="194">
        <v>200</v>
      </c>
      <c r="N59" s="194">
        <v>0</v>
      </c>
      <c r="O59" s="194">
        <v>1</v>
      </c>
      <c r="P59" s="88">
        <v>1</v>
      </c>
      <c r="Q59" s="194">
        <v>0</v>
      </c>
      <c r="R59" s="194">
        <v>0</v>
      </c>
      <c r="S59" s="194" t="s">
        <v>38</v>
      </c>
      <c r="T59" s="43" t="s">
        <v>8516</v>
      </c>
      <c r="U59" s="25" t="s">
        <v>8574</v>
      </c>
      <c r="V59" s="25">
        <v>0</v>
      </c>
      <c r="W59" s="197">
        <v>1</v>
      </c>
      <c r="X59" s="197">
        <v>1</v>
      </c>
    </row>
    <row r="60" spans="1:24" ht="16.5" x14ac:dyDescent="0.15">
      <c r="A60" s="193">
        <v>908131</v>
      </c>
      <c r="B60" s="215" t="s">
        <v>8575</v>
      </c>
      <c r="C60" s="157" t="s">
        <v>8441</v>
      </c>
      <c r="D60" s="179">
        <v>1001</v>
      </c>
      <c r="E60" s="194">
        <v>2</v>
      </c>
      <c r="F60" s="194">
        <v>1</v>
      </c>
      <c r="G60" s="194">
        <v>0</v>
      </c>
      <c r="H60" s="194">
        <v>0</v>
      </c>
      <c r="I60" s="88">
        <v>999</v>
      </c>
      <c r="J60" s="194" t="b">
        <v>1</v>
      </c>
      <c r="K60" s="194">
        <v>10</v>
      </c>
      <c r="L60" s="194">
        <v>150</v>
      </c>
      <c r="M60" s="194">
        <v>200</v>
      </c>
      <c r="N60" s="194">
        <v>0</v>
      </c>
      <c r="O60" s="194">
        <v>1</v>
      </c>
      <c r="P60" s="88">
        <v>1</v>
      </c>
      <c r="Q60" s="194">
        <v>0</v>
      </c>
      <c r="R60" s="194">
        <v>0</v>
      </c>
      <c r="S60" s="194" t="s">
        <v>38</v>
      </c>
      <c r="T60" s="43" t="s">
        <v>8522</v>
      </c>
      <c r="U60" s="25" t="s">
        <v>8576</v>
      </c>
      <c r="V60" s="25">
        <v>0</v>
      </c>
      <c r="W60" s="197">
        <v>1</v>
      </c>
      <c r="X60" s="197">
        <v>1</v>
      </c>
    </row>
    <row r="61" spans="1:24" ht="16.5" x14ac:dyDescent="0.15">
      <c r="A61" s="193">
        <v>908132</v>
      </c>
      <c r="B61" s="215" t="s">
        <v>8577</v>
      </c>
      <c r="C61" s="157" t="s">
        <v>8441</v>
      </c>
      <c r="D61" s="179">
        <v>1001</v>
      </c>
      <c r="E61" s="194">
        <v>2</v>
      </c>
      <c r="F61" s="194">
        <v>1</v>
      </c>
      <c r="G61" s="194">
        <v>0</v>
      </c>
      <c r="H61" s="194">
        <v>0</v>
      </c>
      <c r="I61" s="88">
        <v>999</v>
      </c>
      <c r="J61" s="194" t="b">
        <v>1</v>
      </c>
      <c r="K61" s="194">
        <v>10</v>
      </c>
      <c r="L61" s="194">
        <v>150</v>
      </c>
      <c r="M61" s="194">
        <v>200</v>
      </c>
      <c r="N61" s="194">
        <v>0</v>
      </c>
      <c r="O61" s="194">
        <v>1</v>
      </c>
      <c r="P61" s="88">
        <v>1</v>
      </c>
      <c r="Q61" s="194">
        <v>0</v>
      </c>
      <c r="R61" s="194">
        <v>0</v>
      </c>
      <c r="S61" s="194" t="s">
        <v>38</v>
      </c>
      <c r="T61" s="43" t="s">
        <v>8578</v>
      </c>
      <c r="U61" s="25" t="s">
        <v>8579</v>
      </c>
      <c r="V61" s="25">
        <v>0</v>
      </c>
      <c r="W61" s="197">
        <v>1</v>
      </c>
      <c r="X61" s="197">
        <v>1</v>
      </c>
    </row>
    <row r="62" spans="1:24" ht="16.5" x14ac:dyDescent="0.15">
      <c r="A62" s="193">
        <v>908133</v>
      </c>
      <c r="B62" s="215" t="s">
        <v>8580</v>
      </c>
      <c r="C62" s="157" t="s">
        <v>8441</v>
      </c>
      <c r="D62" s="179">
        <v>1001</v>
      </c>
      <c r="E62" s="194">
        <v>2</v>
      </c>
      <c r="F62" s="194">
        <v>1</v>
      </c>
      <c r="G62" s="194">
        <v>0</v>
      </c>
      <c r="H62" s="194">
        <v>0</v>
      </c>
      <c r="I62" s="88">
        <v>999</v>
      </c>
      <c r="J62" s="194" t="b">
        <v>1</v>
      </c>
      <c r="K62" s="194">
        <v>10</v>
      </c>
      <c r="L62" s="194">
        <v>150</v>
      </c>
      <c r="M62" s="194">
        <v>200</v>
      </c>
      <c r="N62" s="194">
        <v>0</v>
      </c>
      <c r="O62" s="194">
        <v>1</v>
      </c>
      <c r="P62" s="88">
        <v>1</v>
      </c>
      <c r="Q62" s="194">
        <v>0</v>
      </c>
      <c r="R62" s="194">
        <v>0</v>
      </c>
      <c r="S62" s="194" t="s">
        <v>38</v>
      </c>
      <c r="T62" s="43" t="s">
        <v>8528</v>
      </c>
      <c r="U62" s="25" t="s">
        <v>8581</v>
      </c>
      <c r="V62" s="25">
        <v>0</v>
      </c>
      <c r="W62" s="197">
        <v>1</v>
      </c>
      <c r="X62" s="197">
        <v>1</v>
      </c>
    </row>
    <row r="63" spans="1:24" ht="16.5" x14ac:dyDescent="0.15">
      <c r="A63" s="193">
        <v>908134</v>
      </c>
      <c r="B63" s="215" t="s">
        <v>8582</v>
      </c>
      <c r="C63" s="157" t="s">
        <v>8441</v>
      </c>
      <c r="D63" s="179">
        <v>1001</v>
      </c>
      <c r="E63" s="194">
        <v>2</v>
      </c>
      <c r="F63" s="194">
        <v>1</v>
      </c>
      <c r="G63" s="194">
        <v>0</v>
      </c>
      <c r="H63" s="194">
        <v>0</v>
      </c>
      <c r="I63" s="88">
        <v>999</v>
      </c>
      <c r="J63" s="194" t="b">
        <v>1</v>
      </c>
      <c r="K63" s="194">
        <v>10</v>
      </c>
      <c r="L63" s="194">
        <v>150</v>
      </c>
      <c r="M63" s="194">
        <v>200</v>
      </c>
      <c r="N63" s="194">
        <v>0</v>
      </c>
      <c r="O63" s="194">
        <v>1</v>
      </c>
      <c r="P63" s="88">
        <v>1</v>
      </c>
      <c r="Q63" s="194">
        <v>0</v>
      </c>
      <c r="R63" s="194">
        <v>0</v>
      </c>
      <c r="S63" s="194" t="s">
        <v>38</v>
      </c>
      <c r="T63" s="43" t="s">
        <v>8531</v>
      </c>
      <c r="U63" s="25" t="s">
        <v>8583</v>
      </c>
      <c r="V63" s="25">
        <v>0</v>
      </c>
      <c r="W63" s="197">
        <v>1</v>
      </c>
      <c r="X63" s="197">
        <v>1</v>
      </c>
    </row>
    <row r="64" spans="1:24" ht="16.5" x14ac:dyDescent="0.15">
      <c r="A64" s="193">
        <v>908135</v>
      </c>
      <c r="B64" s="215" t="s">
        <v>8584</v>
      </c>
      <c r="C64" s="157" t="s">
        <v>8441</v>
      </c>
      <c r="D64" s="179">
        <v>1001</v>
      </c>
      <c r="E64" s="194">
        <v>2</v>
      </c>
      <c r="F64" s="194">
        <v>0</v>
      </c>
      <c r="G64" s="194">
        <v>0</v>
      </c>
      <c r="H64" s="194">
        <v>0</v>
      </c>
      <c r="I64" s="88">
        <v>999</v>
      </c>
      <c r="J64" s="194" t="b">
        <v>1</v>
      </c>
      <c r="K64" s="194">
        <v>10</v>
      </c>
      <c r="L64" s="194">
        <v>150</v>
      </c>
      <c r="M64" s="194">
        <v>200</v>
      </c>
      <c r="N64" s="194">
        <v>0</v>
      </c>
      <c r="O64" s="194">
        <v>1</v>
      </c>
      <c r="P64" s="88">
        <v>1</v>
      </c>
      <c r="Q64" s="194">
        <v>0</v>
      </c>
      <c r="R64" s="194">
        <v>0</v>
      </c>
      <c r="S64" s="194" t="s">
        <v>38</v>
      </c>
      <c r="T64" s="43" t="s">
        <v>8543</v>
      </c>
      <c r="U64" s="25" t="s">
        <v>8585</v>
      </c>
      <c r="V64" s="25">
        <v>0</v>
      </c>
      <c r="W64" s="197">
        <v>1</v>
      </c>
      <c r="X64" s="197">
        <v>1</v>
      </c>
    </row>
    <row r="65" spans="1:24" ht="16.5" x14ac:dyDescent="0.15">
      <c r="A65" s="193">
        <v>908136</v>
      </c>
      <c r="B65" s="215" t="s">
        <v>8586</v>
      </c>
      <c r="C65" s="157" t="s">
        <v>8441</v>
      </c>
      <c r="D65" s="179">
        <v>1001</v>
      </c>
      <c r="E65" s="194">
        <v>2</v>
      </c>
      <c r="F65" s="194">
        <v>0</v>
      </c>
      <c r="G65" s="194">
        <v>0</v>
      </c>
      <c r="H65" s="194">
        <v>0</v>
      </c>
      <c r="I65" s="88">
        <v>999</v>
      </c>
      <c r="J65" s="194" t="b">
        <v>1</v>
      </c>
      <c r="K65" s="194">
        <v>10</v>
      </c>
      <c r="L65" s="194">
        <v>150</v>
      </c>
      <c r="M65" s="194">
        <v>200</v>
      </c>
      <c r="N65" s="194">
        <v>0</v>
      </c>
      <c r="O65" s="194">
        <v>1</v>
      </c>
      <c r="P65" s="88">
        <v>1</v>
      </c>
      <c r="Q65" s="194">
        <v>0</v>
      </c>
      <c r="R65" s="194">
        <v>0</v>
      </c>
      <c r="S65" s="194" t="s">
        <v>38</v>
      </c>
      <c r="T65" s="43" t="s">
        <v>8543</v>
      </c>
      <c r="U65" s="25" t="s">
        <v>8587</v>
      </c>
      <c r="V65" s="25">
        <v>0</v>
      </c>
      <c r="W65" s="197">
        <v>1</v>
      </c>
      <c r="X65" s="197">
        <v>1</v>
      </c>
    </row>
    <row r="66" spans="1:24" ht="16.5" x14ac:dyDescent="0.15">
      <c r="A66" s="193">
        <v>908137</v>
      </c>
      <c r="B66" s="215" t="s">
        <v>8588</v>
      </c>
      <c r="C66" s="157" t="s">
        <v>8441</v>
      </c>
      <c r="D66" s="179">
        <v>1001</v>
      </c>
      <c r="E66" s="194">
        <v>2</v>
      </c>
      <c r="F66" s="194">
        <v>0</v>
      </c>
      <c r="G66" s="194">
        <v>0</v>
      </c>
      <c r="H66" s="194">
        <v>0</v>
      </c>
      <c r="I66" s="88">
        <v>999</v>
      </c>
      <c r="J66" s="194" t="b">
        <v>1</v>
      </c>
      <c r="K66" s="194">
        <v>10</v>
      </c>
      <c r="L66" s="194">
        <v>150</v>
      </c>
      <c r="M66" s="194">
        <v>200</v>
      </c>
      <c r="N66" s="194">
        <v>0</v>
      </c>
      <c r="O66" s="194">
        <v>1</v>
      </c>
      <c r="P66" s="88">
        <v>1</v>
      </c>
      <c r="Q66" s="194">
        <v>0</v>
      </c>
      <c r="R66" s="194">
        <v>0</v>
      </c>
      <c r="S66" s="194" t="s">
        <v>38</v>
      </c>
      <c r="T66" s="43" t="s">
        <v>8543</v>
      </c>
      <c r="U66" s="25" t="s">
        <v>8589</v>
      </c>
      <c r="V66" s="25">
        <v>0</v>
      </c>
      <c r="W66" s="197">
        <v>1</v>
      </c>
      <c r="X66" s="197">
        <v>1</v>
      </c>
    </row>
    <row r="67" spans="1:24" ht="16.5" x14ac:dyDescent="0.15">
      <c r="A67" s="193">
        <v>908138</v>
      </c>
      <c r="B67" s="215" t="s">
        <v>8590</v>
      </c>
      <c r="C67" s="157" t="s">
        <v>8441</v>
      </c>
      <c r="D67" s="179">
        <v>1001</v>
      </c>
      <c r="E67" s="194">
        <v>2</v>
      </c>
      <c r="F67" s="194">
        <v>0</v>
      </c>
      <c r="G67" s="194">
        <v>0</v>
      </c>
      <c r="H67" s="194">
        <v>0</v>
      </c>
      <c r="I67" s="88">
        <v>999</v>
      </c>
      <c r="J67" s="194" t="b">
        <v>1</v>
      </c>
      <c r="K67" s="194">
        <v>10</v>
      </c>
      <c r="L67" s="194">
        <v>150</v>
      </c>
      <c r="M67" s="194">
        <v>200</v>
      </c>
      <c r="N67" s="194">
        <v>0</v>
      </c>
      <c r="O67" s="194">
        <v>1</v>
      </c>
      <c r="P67" s="88">
        <v>1</v>
      </c>
      <c r="Q67" s="194">
        <v>0</v>
      </c>
      <c r="R67" s="194">
        <v>0</v>
      </c>
      <c r="S67" s="194" t="s">
        <v>38</v>
      </c>
      <c r="T67" s="43" t="s">
        <v>8591</v>
      </c>
      <c r="U67" s="25" t="s">
        <v>8592</v>
      </c>
      <c r="V67" s="25">
        <v>0</v>
      </c>
      <c r="W67" s="197">
        <v>1</v>
      </c>
      <c r="X67" s="197">
        <v>1</v>
      </c>
    </row>
    <row r="68" spans="1:24" ht="16.5" x14ac:dyDescent="0.15">
      <c r="A68" s="193">
        <v>908139</v>
      </c>
      <c r="B68" s="215" t="s">
        <v>8593</v>
      </c>
      <c r="C68" s="157" t="s">
        <v>8441</v>
      </c>
      <c r="D68" s="179">
        <v>1001</v>
      </c>
      <c r="E68" s="194">
        <v>2</v>
      </c>
      <c r="F68" s="194">
        <v>0</v>
      </c>
      <c r="G68" s="194">
        <v>0</v>
      </c>
      <c r="H68" s="194">
        <v>0</v>
      </c>
      <c r="I68" s="88">
        <v>999</v>
      </c>
      <c r="J68" s="194" t="b">
        <v>1</v>
      </c>
      <c r="K68" s="194">
        <v>10</v>
      </c>
      <c r="L68" s="194">
        <v>150</v>
      </c>
      <c r="M68" s="194">
        <v>200</v>
      </c>
      <c r="N68" s="194">
        <v>0</v>
      </c>
      <c r="O68" s="194">
        <v>1</v>
      </c>
      <c r="P68" s="88">
        <v>1</v>
      </c>
      <c r="Q68" s="194">
        <v>0</v>
      </c>
      <c r="R68" s="194">
        <v>0</v>
      </c>
      <c r="S68" s="194" t="s">
        <v>38</v>
      </c>
      <c r="T68" s="43" t="s">
        <v>8594</v>
      </c>
      <c r="U68" s="25" t="s">
        <v>8595</v>
      </c>
      <c r="V68" s="25">
        <v>0</v>
      </c>
      <c r="W68" s="197">
        <v>1</v>
      </c>
      <c r="X68" s="197">
        <v>1</v>
      </c>
    </row>
    <row r="69" spans="1:24" ht="16.5" x14ac:dyDescent="0.15">
      <c r="A69" s="193">
        <v>908140</v>
      </c>
      <c r="B69" s="215" t="s">
        <v>8596</v>
      </c>
      <c r="C69" s="157" t="s">
        <v>8441</v>
      </c>
      <c r="D69" s="179">
        <v>1001</v>
      </c>
      <c r="E69" s="194">
        <v>2</v>
      </c>
      <c r="F69" s="194">
        <v>0</v>
      </c>
      <c r="G69" s="194">
        <v>0</v>
      </c>
      <c r="H69" s="194">
        <v>0</v>
      </c>
      <c r="I69" s="88">
        <v>999</v>
      </c>
      <c r="J69" s="194" t="b">
        <v>1</v>
      </c>
      <c r="K69" s="194">
        <v>10</v>
      </c>
      <c r="L69" s="194">
        <v>150</v>
      </c>
      <c r="M69" s="194">
        <v>200</v>
      </c>
      <c r="N69" s="194">
        <v>0</v>
      </c>
      <c r="O69" s="194">
        <v>1</v>
      </c>
      <c r="P69" s="88">
        <v>1</v>
      </c>
      <c r="Q69" s="194">
        <v>0</v>
      </c>
      <c r="R69" s="194">
        <v>0</v>
      </c>
      <c r="S69" s="194" t="s">
        <v>38</v>
      </c>
      <c r="T69" s="43" t="s">
        <v>8597</v>
      </c>
      <c r="U69" s="25" t="s">
        <v>8598</v>
      </c>
      <c r="V69" s="25">
        <v>0</v>
      </c>
      <c r="W69" s="197">
        <v>1</v>
      </c>
      <c r="X69" s="197">
        <v>1</v>
      </c>
    </row>
    <row r="70" spans="1:24" ht="16.5" x14ac:dyDescent="0.15">
      <c r="A70" s="193">
        <v>908141</v>
      </c>
      <c r="B70" s="215" t="s">
        <v>8599</v>
      </c>
      <c r="C70" s="157" t="s">
        <v>8441</v>
      </c>
      <c r="D70" s="179">
        <v>1001</v>
      </c>
      <c r="E70" s="194">
        <v>2</v>
      </c>
      <c r="F70" s="194">
        <v>1</v>
      </c>
      <c r="G70" s="194">
        <v>0</v>
      </c>
      <c r="H70" s="194">
        <v>0</v>
      </c>
      <c r="I70" s="88">
        <v>999</v>
      </c>
      <c r="J70" s="194" t="b">
        <v>1</v>
      </c>
      <c r="K70" s="194">
        <v>10</v>
      </c>
      <c r="L70" s="194">
        <v>150</v>
      </c>
      <c r="M70" s="194">
        <v>200</v>
      </c>
      <c r="N70" s="194">
        <v>0</v>
      </c>
      <c r="O70" s="194">
        <v>1</v>
      </c>
      <c r="P70" s="88">
        <v>1</v>
      </c>
      <c r="Q70" s="194">
        <v>0</v>
      </c>
      <c r="R70" s="194">
        <v>0</v>
      </c>
      <c r="S70" s="194" t="s">
        <v>38</v>
      </c>
      <c r="T70" s="43" t="s">
        <v>8594</v>
      </c>
      <c r="U70" s="25" t="s">
        <v>8600</v>
      </c>
      <c r="V70" s="25">
        <v>0</v>
      </c>
      <c r="W70" s="197">
        <v>1</v>
      </c>
      <c r="X70" s="197">
        <v>1</v>
      </c>
    </row>
    <row r="71" spans="1:24" ht="16.5" x14ac:dyDescent="0.15">
      <c r="A71" s="193">
        <v>908142</v>
      </c>
      <c r="B71" s="215" t="s">
        <v>8601</v>
      </c>
      <c r="C71" s="157" t="s">
        <v>8441</v>
      </c>
      <c r="D71" s="179">
        <v>1001</v>
      </c>
      <c r="E71" s="194">
        <v>2</v>
      </c>
      <c r="F71" s="194">
        <v>1</v>
      </c>
      <c r="G71" s="194">
        <v>0</v>
      </c>
      <c r="H71" s="194">
        <v>0</v>
      </c>
      <c r="I71" s="88">
        <v>999</v>
      </c>
      <c r="J71" s="194" t="b">
        <v>1</v>
      </c>
      <c r="K71" s="194">
        <v>10</v>
      </c>
      <c r="L71" s="194">
        <v>150</v>
      </c>
      <c r="M71" s="194">
        <v>200</v>
      </c>
      <c r="N71" s="194">
        <v>0</v>
      </c>
      <c r="O71" s="194">
        <v>1</v>
      </c>
      <c r="P71" s="88">
        <v>1</v>
      </c>
      <c r="Q71" s="194">
        <v>0</v>
      </c>
      <c r="R71" s="194">
        <v>0</v>
      </c>
      <c r="S71" s="194" t="s">
        <v>38</v>
      </c>
      <c r="T71" s="43" t="s">
        <v>8534</v>
      </c>
      <c r="U71" s="25" t="s">
        <v>8602</v>
      </c>
      <c r="V71" s="25">
        <v>0</v>
      </c>
      <c r="W71" s="197">
        <v>1</v>
      </c>
      <c r="X71" s="197">
        <v>1</v>
      </c>
    </row>
    <row r="72" spans="1:24" ht="16.5" x14ac:dyDescent="0.15">
      <c r="A72" s="193">
        <v>908143</v>
      </c>
      <c r="B72" s="215" t="s">
        <v>8603</v>
      </c>
      <c r="C72" s="157" t="s">
        <v>8441</v>
      </c>
      <c r="D72" s="179">
        <v>1001</v>
      </c>
      <c r="E72" s="194">
        <v>2</v>
      </c>
      <c r="F72" s="194">
        <v>1</v>
      </c>
      <c r="G72" s="194">
        <v>0</v>
      </c>
      <c r="H72" s="194">
        <v>0</v>
      </c>
      <c r="I72" s="88">
        <v>999</v>
      </c>
      <c r="J72" s="194" t="b">
        <v>1</v>
      </c>
      <c r="K72" s="194">
        <v>10</v>
      </c>
      <c r="L72" s="194">
        <v>150</v>
      </c>
      <c r="M72" s="194">
        <v>200</v>
      </c>
      <c r="N72" s="194">
        <v>0</v>
      </c>
      <c r="O72" s="194">
        <v>1</v>
      </c>
      <c r="P72" s="88">
        <v>1</v>
      </c>
      <c r="Q72" s="194">
        <v>0</v>
      </c>
      <c r="R72" s="194">
        <v>0</v>
      </c>
      <c r="S72" s="194" t="s">
        <v>38</v>
      </c>
      <c r="T72" s="43" t="s">
        <v>8534</v>
      </c>
      <c r="U72" s="25" t="s">
        <v>8604</v>
      </c>
      <c r="V72" s="25">
        <v>0</v>
      </c>
      <c r="W72" s="197">
        <v>1</v>
      </c>
      <c r="X72" s="197">
        <v>1</v>
      </c>
    </row>
    <row r="73" spans="1:24" ht="16.5" x14ac:dyDescent="0.15">
      <c r="A73" s="193">
        <v>908144</v>
      </c>
      <c r="B73" s="215" t="s">
        <v>8605</v>
      </c>
      <c r="C73" s="157" t="s">
        <v>8441</v>
      </c>
      <c r="D73" s="179">
        <v>1001</v>
      </c>
      <c r="E73" s="194">
        <v>2</v>
      </c>
      <c r="F73" s="194">
        <v>1</v>
      </c>
      <c r="G73" s="194">
        <v>0</v>
      </c>
      <c r="H73" s="194">
        <v>0</v>
      </c>
      <c r="I73" s="88">
        <v>999</v>
      </c>
      <c r="J73" s="194" t="b">
        <v>1</v>
      </c>
      <c r="K73" s="194">
        <v>10</v>
      </c>
      <c r="L73" s="194">
        <v>150</v>
      </c>
      <c r="M73" s="194">
        <v>200</v>
      </c>
      <c r="N73" s="194">
        <v>0</v>
      </c>
      <c r="O73" s="194">
        <v>1</v>
      </c>
      <c r="P73" s="88">
        <v>1</v>
      </c>
      <c r="Q73" s="194">
        <v>0</v>
      </c>
      <c r="R73" s="194">
        <v>0</v>
      </c>
      <c r="S73" s="194" t="s">
        <v>38</v>
      </c>
      <c r="T73" s="43" t="s">
        <v>8534</v>
      </c>
      <c r="U73" s="25" t="s">
        <v>8606</v>
      </c>
      <c r="V73" s="25">
        <v>0</v>
      </c>
      <c r="W73" s="197">
        <v>1</v>
      </c>
      <c r="X73" s="197">
        <v>1</v>
      </c>
    </row>
    <row r="74" spans="1:24" ht="16.5" x14ac:dyDescent="0.15">
      <c r="A74" s="193">
        <v>908145</v>
      </c>
      <c r="B74" s="215" t="s">
        <v>8607</v>
      </c>
      <c r="C74" s="157" t="s">
        <v>8441</v>
      </c>
      <c r="D74" s="179">
        <v>1001</v>
      </c>
      <c r="E74" s="194">
        <v>2</v>
      </c>
      <c r="F74" s="194">
        <v>0</v>
      </c>
      <c r="G74" s="194">
        <v>0</v>
      </c>
      <c r="H74" s="194">
        <v>0</v>
      </c>
      <c r="I74" s="88">
        <v>999</v>
      </c>
      <c r="J74" s="194" t="b">
        <v>1</v>
      </c>
      <c r="K74" s="194">
        <v>10</v>
      </c>
      <c r="L74" s="194">
        <v>150</v>
      </c>
      <c r="M74" s="194">
        <v>200</v>
      </c>
      <c r="N74" s="194">
        <v>0</v>
      </c>
      <c r="O74" s="194">
        <v>1</v>
      </c>
      <c r="P74" s="88">
        <v>1</v>
      </c>
      <c r="Q74" s="194">
        <v>0</v>
      </c>
      <c r="R74" s="194">
        <v>0</v>
      </c>
      <c r="S74" s="194" t="s">
        <v>38</v>
      </c>
      <c r="T74" s="43" t="s">
        <v>8597</v>
      </c>
      <c r="U74" s="25" t="s">
        <v>8608</v>
      </c>
      <c r="V74" s="25">
        <v>0</v>
      </c>
      <c r="W74" s="197">
        <v>1</v>
      </c>
      <c r="X74" s="197">
        <v>1</v>
      </c>
    </row>
    <row r="75" spans="1:24" ht="16.5" x14ac:dyDescent="0.2">
      <c r="A75" s="193">
        <v>908146</v>
      </c>
      <c r="B75" s="215" t="s">
        <v>8609</v>
      </c>
      <c r="C75" s="157" t="s">
        <v>8441</v>
      </c>
      <c r="D75" s="179">
        <v>1001</v>
      </c>
      <c r="E75" s="194">
        <v>2</v>
      </c>
      <c r="F75" s="194">
        <v>1</v>
      </c>
      <c r="G75" s="194">
        <v>0</v>
      </c>
      <c r="H75" s="194">
        <v>0</v>
      </c>
      <c r="I75" s="88">
        <v>999</v>
      </c>
      <c r="J75" s="194" t="b">
        <v>1</v>
      </c>
      <c r="K75" s="194">
        <v>10</v>
      </c>
      <c r="L75" s="194">
        <v>150</v>
      </c>
      <c r="M75" s="194">
        <v>200</v>
      </c>
      <c r="N75" s="194">
        <v>0</v>
      </c>
      <c r="O75" s="194">
        <v>1</v>
      </c>
      <c r="P75" s="88">
        <v>1</v>
      </c>
      <c r="Q75" s="194">
        <v>0</v>
      </c>
      <c r="R75" s="194">
        <v>0</v>
      </c>
      <c r="S75" s="194" t="s">
        <v>38</v>
      </c>
      <c r="T75" s="43" t="s">
        <v>8610</v>
      </c>
      <c r="U75" s="25" t="s">
        <v>8611</v>
      </c>
      <c r="V75" s="25">
        <v>0</v>
      </c>
      <c r="W75" s="197">
        <v>1</v>
      </c>
      <c r="X75" s="197">
        <v>1</v>
      </c>
    </row>
    <row r="76" spans="1:24" ht="16.5" x14ac:dyDescent="0.15">
      <c r="A76" s="193">
        <v>908147</v>
      </c>
      <c r="B76" s="215" t="s">
        <v>8612</v>
      </c>
      <c r="C76" s="157" t="s">
        <v>8441</v>
      </c>
      <c r="D76" s="179">
        <v>1001</v>
      </c>
      <c r="E76" s="194">
        <v>2</v>
      </c>
      <c r="F76" s="194">
        <v>1</v>
      </c>
      <c r="G76" s="194">
        <v>0</v>
      </c>
      <c r="H76" s="194">
        <v>0</v>
      </c>
      <c r="I76" s="88">
        <v>999</v>
      </c>
      <c r="J76" s="194" t="b">
        <v>1</v>
      </c>
      <c r="K76" s="194">
        <v>10</v>
      </c>
      <c r="L76" s="194">
        <v>150</v>
      </c>
      <c r="M76" s="194">
        <v>200</v>
      </c>
      <c r="N76" s="194">
        <v>0</v>
      </c>
      <c r="O76" s="194">
        <v>1</v>
      </c>
      <c r="P76" s="88">
        <v>1</v>
      </c>
      <c r="Q76" s="194">
        <v>0</v>
      </c>
      <c r="R76" s="194">
        <v>0</v>
      </c>
      <c r="S76" s="194" t="s">
        <v>38</v>
      </c>
      <c r="T76" s="43" t="s">
        <v>8613</v>
      </c>
      <c r="U76" s="25" t="s">
        <v>8614</v>
      </c>
      <c r="V76" s="25">
        <v>0</v>
      </c>
      <c r="W76" s="197">
        <v>1</v>
      </c>
      <c r="X76" s="197">
        <v>1</v>
      </c>
    </row>
    <row r="77" spans="1:24" ht="16.5" x14ac:dyDescent="0.15">
      <c r="A77" s="193">
        <v>908148</v>
      </c>
      <c r="B77" s="215" t="s">
        <v>8615</v>
      </c>
      <c r="C77" s="157" t="s">
        <v>8441</v>
      </c>
      <c r="D77" s="179">
        <v>1001</v>
      </c>
      <c r="E77" s="194">
        <v>2</v>
      </c>
      <c r="F77" s="194">
        <v>1</v>
      </c>
      <c r="G77" s="194">
        <v>0</v>
      </c>
      <c r="H77" s="194">
        <v>0</v>
      </c>
      <c r="I77" s="88">
        <v>999</v>
      </c>
      <c r="J77" s="194" t="b">
        <v>1</v>
      </c>
      <c r="K77" s="194">
        <v>10</v>
      </c>
      <c r="L77" s="194">
        <v>150</v>
      </c>
      <c r="M77" s="194">
        <v>200</v>
      </c>
      <c r="N77" s="194">
        <v>0</v>
      </c>
      <c r="O77" s="194">
        <v>1</v>
      </c>
      <c r="P77" s="88">
        <v>1</v>
      </c>
      <c r="Q77" s="194">
        <v>0</v>
      </c>
      <c r="R77" s="194">
        <v>0</v>
      </c>
      <c r="S77" s="194" t="s">
        <v>38</v>
      </c>
      <c r="T77" s="43" t="s">
        <v>8616</v>
      </c>
      <c r="U77" s="25" t="s">
        <v>8617</v>
      </c>
      <c r="V77" s="25">
        <v>0</v>
      </c>
      <c r="W77" s="197">
        <v>1</v>
      </c>
      <c r="X77" s="197">
        <v>1</v>
      </c>
    </row>
    <row r="78" spans="1:24" ht="16.5" x14ac:dyDescent="0.15">
      <c r="A78" s="193">
        <v>908149</v>
      </c>
      <c r="B78" s="215" t="s">
        <v>8618</v>
      </c>
      <c r="C78" s="157" t="s">
        <v>8441</v>
      </c>
      <c r="D78" s="179">
        <v>1001</v>
      </c>
      <c r="E78" s="194">
        <v>2</v>
      </c>
      <c r="F78" s="194">
        <v>1</v>
      </c>
      <c r="G78" s="194">
        <v>0</v>
      </c>
      <c r="H78" s="194">
        <v>0</v>
      </c>
      <c r="I78" s="88">
        <v>999</v>
      </c>
      <c r="J78" s="194" t="b">
        <v>1</v>
      </c>
      <c r="K78" s="194">
        <v>10</v>
      </c>
      <c r="L78" s="194">
        <v>150</v>
      </c>
      <c r="M78" s="194">
        <v>200</v>
      </c>
      <c r="N78" s="194">
        <v>0</v>
      </c>
      <c r="O78" s="194">
        <v>1</v>
      </c>
      <c r="P78" s="88">
        <v>1</v>
      </c>
      <c r="Q78" s="194">
        <v>0</v>
      </c>
      <c r="R78" s="194">
        <v>0</v>
      </c>
      <c r="S78" s="194" t="s">
        <v>38</v>
      </c>
      <c r="T78" s="43" t="s">
        <v>8619</v>
      </c>
      <c r="U78" s="25" t="s">
        <v>8620</v>
      </c>
      <c r="V78" s="25">
        <v>0</v>
      </c>
      <c r="W78" s="197">
        <v>1</v>
      </c>
      <c r="X78" s="197">
        <v>1</v>
      </c>
    </row>
    <row r="79" spans="1:24" ht="16.5" x14ac:dyDescent="0.15">
      <c r="A79" s="193">
        <v>908150</v>
      </c>
      <c r="B79" s="215" t="s">
        <v>8621</v>
      </c>
      <c r="C79" s="157" t="s">
        <v>8441</v>
      </c>
      <c r="D79" s="179">
        <v>1001</v>
      </c>
      <c r="E79" s="194">
        <v>2</v>
      </c>
      <c r="F79" s="194">
        <v>1</v>
      </c>
      <c r="G79" s="194">
        <v>0</v>
      </c>
      <c r="H79" s="194">
        <v>0</v>
      </c>
      <c r="I79" s="88">
        <v>999</v>
      </c>
      <c r="J79" s="194" t="b">
        <v>1</v>
      </c>
      <c r="K79" s="194">
        <v>10</v>
      </c>
      <c r="L79" s="194">
        <v>150</v>
      </c>
      <c r="M79" s="194">
        <v>200</v>
      </c>
      <c r="N79" s="194">
        <v>0</v>
      </c>
      <c r="O79" s="194">
        <v>1</v>
      </c>
      <c r="P79" s="88">
        <v>1</v>
      </c>
      <c r="Q79" s="194">
        <v>0</v>
      </c>
      <c r="R79" s="194">
        <v>0</v>
      </c>
      <c r="S79" s="194" t="s">
        <v>38</v>
      </c>
      <c r="T79" s="43" t="s">
        <v>8622</v>
      </c>
      <c r="U79" s="25" t="s">
        <v>8623</v>
      </c>
      <c r="V79" s="25">
        <v>0</v>
      </c>
      <c r="W79" s="197">
        <v>1</v>
      </c>
      <c r="X79" s="197">
        <v>1</v>
      </c>
    </row>
    <row r="80" spans="1:24" ht="16.5" x14ac:dyDescent="0.15">
      <c r="A80" s="193">
        <v>908151</v>
      </c>
      <c r="B80" s="215" t="s">
        <v>8624</v>
      </c>
      <c r="C80" s="157" t="s">
        <v>8441</v>
      </c>
      <c r="D80" s="179">
        <v>1001</v>
      </c>
      <c r="E80" s="194">
        <v>2</v>
      </c>
      <c r="F80" s="194">
        <v>1</v>
      </c>
      <c r="G80" s="194">
        <v>0</v>
      </c>
      <c r="H80" s="194">
        <v>0</v>
      </c>
      <c r="I80" s="88">
        <v>999</v>
      </c>
      <c r="J80" s="194" t="b">
        <v>1</v>
      </c>
      <c r="K80" s="194">
        <v>10</v>
      </c>
      <c r="L80" s="194">
        <v>150</v>
      </c>
      <c r="M80" s="194">
        <v>200</v>
      </c>
      <c r="N80" s="194">
        <v>0</v>
      </c>
      <c r="O80" s="194">
        <v>1</v>
      </c>
      <c r="P80" s="88">
        <v>1</v>
      </c>
      <c r="Q80" s="194">
        <v>0</v>
      </c>
      <c r="R80" s="194">
        <v>0</v>
      </c>
      <c r="S80" s="194" t="s">
        <v>38</v>
      </c>
      <c r="T80" s="43" t="s">
        <v>8625</v>
      </c>
      <c r="U80" s="25" t="s">
        <v>8626</v>
      </c>
      <c r="V80" s="25">
        <v>0</v>
      </c>
      <c r="W80" s="197">
        <v>1</v>
      </c>
      <c r="X80" s="197">
        <v>1</v>
      </c>
    </row>
    <row r="81" spans="1:24" ht="16.5" x14ac:dyDescent="0.15">
      <c r="A81" s="193">
        <v>908152</v>
      </c>
      <c r="B81" s="215" t="s">
        <v>8627</v>
      </c>
      <c r="C81" s="157" t="s">
        <v>8441</v>
      </c>
      <c r="D81" s="179">
        <v>1001</v>
      </c>
      <c r="E81" s="194">
        <v>2</v>
      </c>
      <c r="F81" s="194">
        <v>1</v>
      </c>
      <c r="G81" s="194">
        <v>0</v>
      </c>
      <c r="H81" s="194">
        <v>0</v>
      </c>
      <c r="I81" s="88">
        <v>999</v>
      </c>
      <c r="J81" s="194" t="b">
        <v>1</v>
      </c>
      <c r="K81" s="194">
        <v>10</v>
      </c>
      <c r="L81" s="194">
        <v>150</v>
      </c>
      <c r="M81" s="194">
        <v>200</v>
      </c>
      <c r="N81" s="194">
        <v>0</v>
      </c>
      <c r="O81" s="194">
        <v>1</v>
      </c>
      <c r="P81" s="88">
        <v>1</v>
      </c>
      <c r="Q81" s="194">
        <v>0</v>
      </c>
      <c r="R81" s="194">
        <v>0</v>
      </c>
      <c r="S81" s="194" t="s">
        <v>38</v>
      </c>
      <c r="T81" s="43" t="s">
        <v>8628</v>
      </c>
      <c r="U81" s="25" t="s">
        <v>8629</v>
      </c>
      <c r="V81" s="25">
        <v>0</v>
      </c>
      <c r="W81" s="197">
        <v>1</v>
      </c>
      <c r="X81" s="197">
        <v>1</v>
      </c>
    </row>
    <row r="82" spans="1:24" ht="16.5" x14ac:dyDescent="0.15">
      <c r="A82" s="193">
        <v>908153</v>
      </c>
      <c r="B82" s="215" t="s">
        <v>8630</v>
      </c>
      <c r="C82" s="157" t="s">
        <v>8441</v>
      </c>
      <c r="D82" s="179">
        <v>1001</v>
      </c>
      <c r="E82" s="194">
        <v>2</v>
      </c>
      <c r="F82" s="194">
        <v>1</v>
      </c>
      <c r="G82" s="194">
        <v>0</v>
      </c>
      <c r="H82" s="194">
        <v>0</v>
      </c>
      <c r="I82" s="88">
        <v>999</v>
      </c>
      <c r="J82" s="194" t="b">
        <v>1</v>
      </c>
      <c r="K82" s="194">
        <v>10</v>
      </c>
      <c r="L82" s="194">
        <v>150</v>
      </c>
      <c r="M82" s="194">
        <v>200</v>
      </c>
      <c r="N82" s="194">
        <v>0</v>
      </c>
      <c r="O82" s="194">
        <v>1</v>
      </c>
      <c r="P82" s="88">
        <v>1</v>
      </c>
      <c r="Q82" s="194">
        <v>0</v>
      </c>
      <c r="R82" s="194">
        <v>0</v>
      </c>
      <c r="S82" s="194" t="s">
        <v>38</v>
      </c>
      <c r="T82" s="43" t="s">
        <v>8631</v>
      </c>
      <c r="U82" s="25" t="s">
        <v>8632</v>
      </c>
      <c r="V82" s="25">
        <v>0</v>
      </c>
      <c r="W82" s="197">
        <v>1</v>
      </c>
      <c r="X82" s="197">
        <v>1</v>
      </c>
    </row>
    <row r="83" spans="1:24" ht="16.5" x14ac:dyDescent="0.15">
      <c r="A83" s="193">
        <v>908154</v>
      </c>
      <c r="B83" s="215" t="s">
        <v>8633</v>
      </c>
      <c r="C83" s="157" t="s">
        <v>8441</v>
      </c>
      <c r="D83" s="179">
        <v>1001</v>
      </c>
      <c r="E83" s="194">
        <v>2</v>
      </c>
      <c r="F83" s="194">
        <v>1</v>
      </c>
      <c r="G83" s="194">
        <v>0</v>
      </c>
      <c r="H83" s="194">
        <v>0</v>
      </c>
      <c r="I83" s="88">
        <v>999</v>
      </c>
      <c r="J83" s="194" t="b">
        <v>1</v>
      </c>
      <c r="K83" s="194">
        <v>10</v>
      </c>
      <c r="L83" s="194">
        <v>150</v>
      </c>
      <c r="M83" s="194">
        <v>200</v>
      </c>
      <c r="N83" s="194">
        <v>0</v>
      </c>
      <c r="O83" s="194">
        <v>1</v>
      </c>
      <c r="P83" s="88">
        <v>1</v>
      </c>
      <c r="Q83" s="194">
        <v>0</v>
      </c>
      <c r="R83" s="194">
        <v>0</v>
      </c>
      <c r="S83" s="194" t="s">
        <v>38</v>
      </c>
      <c r="T83" s="43" t="s">
        <v>8634</v>
      </c>
      <c r="U83" s="25" t="s">
        <v>8635</v>
      </c>
      <c r="V83" s="25">
        <v>0</v>
      </c>
      <c r="W83" s="197">
        <v>1</v>
      </c>
      <c r="X83" s="197">
        <v>1</v>
      </c>
    </row>
    <row r="84" spans="1:24" ht="16.5" x14ac:dyDescent="0.15">
      <c r="A84" s="193">
        <v>908155</v>
      </c>
      <c r="B84" s="215" t="s">
        <v>8636</v>
      </c>
      <c r="C84" s="157" t="s">
        <v>8441</v>
      </c>
      <c r="D84" s="179">
        <v>1001</v>
      </c>
      <c r="E84" s="194">
        <v>2</v>
      </c>
      <c r="F84" s="194">
        <v>1</v>
      </c>
      <c r="G84" s="194">
        <v>0</v>
      </c>
      <c r="H84" s="194">
        <v>0</v>
      </c>
      <c r="I84" s="88">
        <v>999</v>
      </c>
      <c r="J84" s="194" t="b">
        <v>1</v>
      </c>
      <c r="K84" s="194">
        <v>10</v>
      </c>
      <c r="L84" s="194">
        <v>150</v>
      </c>
      <c r="M84" s="194">
        <v>200</v>
      </c>
      <c r="N84" s="194">
        <v>0</v>
      </c>
      <c r="O84" s="194">
        <v>1</v>
      </c>
      <c r="P84" s="88">
        <v>1</v>
      </c>
      <c r="Q84" s="194">
        <v>0</v>
      </c>
      <c r="R84" s="194">
        <v>0</v>
      </c>
      <c r="S84" s="194" t="s">
        <v>38</v>
      </c>
      <c r="T84" s="43" t="s">
        <v>8637</v>
      </c>
      <c r="U84" s="25" t="s">
        <v>8638</v>
      </c>
      <c r="V84" s="25">
        <v>0</v>
      </c>
      <c r="W84" s="197">
        <v>1</v>
      </c>
      <c r="X84" s="197">
        <v>1</v>
      </c>
    </row>
    <row r="85" spans="1:24" ht="16.5" x14ac:dyDescent="0.15">
      <c r="A85" s="193">
        <v>908156</v>
      </c>
      <c r="B85" s="215" t="s">
        <v>8639</v>
      </c>
      <c r="C85" s="157" t="s">
        <v>8441</v>
      </c>
      <c r="D85" s="179">
        <v>1001</v>
      </c>
      <c r="E85" s="194">
        <v>2</v>
      </c>
      <c r="F85" s="194">
        <v>1</v>
      </c>
      <c r="G85" s="194">
        <v>0</v>
      </c>
      <c r="H85" s="194">
        <v>0</v>
      </c>
      <c r="I85" s="88">
        <v>999</v>
      </c>
      <c r="J85" s="194" t="b">
        <v>1</v>
      </c>
      <c r="K85" s="194">
        <v>10</v>
      </c>
      <c r="L85" s="194">
        <v>150</v>
      </c>
      <c r="M85" s="194">
        <v>200</v>
      </c>
      <c r="N85" s="194">
        <v>0</v>
      </c>
      <c r="O85" s="194">
        <v>1</v>
      </c>
      <c r="P85" s="88">
        <v>1</v>
      </c>
      <c r="Q85" s="194">
        <v>0</v>
      </c>
      <c r="R85" s="194">
        <v>0</v>
      </c>
      <c r="S85" s="194" t="s">
        <v>38</v>
      </c>
      <c r="T85" s="43" t="s">
        <v>8640</v>
      </c>
      <c r="U85" s="25" t="s">
        <v>8641</v>
      </c>
      <c r="V85" s="25">
        <v>0</v>
      </c>
      <c r="W85" s="197">
        <v>1</v>
      </c>
      <c r="X85" s="197">
        <v>1</v>
      </c>
    </row>
    <row r="86" spans="1:24" ht="16.5" x14ac:dyDescent="0.15">
      <c r="A86" s="193">
        <v>908157</v>
      </c>
      <c r="B86" s="215" t="s">
        <v>8642</v>
      </c>
      <c r="C86" s="157" t="s">
        <v>8441</v>
      </c>
      <c r="D86" s="179">
        <v>1001</v>
      </c>
      <c r="E86" s="194">
        <v>2</v>
      </c>
      <c r="F86" s="194">
        <v>1</v>
      </c>
      <c r="G86" s="194">
        <v>0</v>
      </c>
      <c r="H86" s="194">
        <v>0</v>
      </c>
      <c r="I86" s="88">
        <v>999</v>
      </c>
      <c r="J86" s="194" t="b">
        <v>1</v>
      </c>
      <c r="K86" s="194">
        <v>10</v>
      </c>
      <c r="L86" s="194">
        <v>150</v>
      </c>
      <c r="M86" s="194">
        <v>200</v>
      </c>
      <c r="N86" s="194">
        <v>0</v>
      </c>
      <c r="O86" s="194">
        <v>1</v>
      </c>
      <c r="P86" s="88">
        <v>1</v>
      </c>
      <c r="Q86" s="194">
        <v>0</v>
      </c>
      <c r="R86" s="194">
        <v>0</v>
      </c>
      <c r="S86" s="194" t="s">
        <v>38</v>
      </c>
      <c r="T86" s="43" t="s">
        <v>8643</v>
      </c>
      <c r="U86" s="25" t="s">
        <v>8644</v>
      </c>
      <c r="V86" s="25">
        <v>0</v>
      </c>
      <c r="W86" s="197">
        <v>1</v>
      </c>
      <c r="X86" s="197">
        <v>1</v>
      </c>
    </row>
    <row r="87" spans="1:24" ht="16.5" x14ac:dyDescent="0.15">
      <c r="A87" s="193">
        <v>908158</v>
      </c>
      <c r="B87" s="215" t="s">
        <v>8503</v>
      </c>
      <c r="C87" s="157" t="s">
        <v>8441</v>
      </c>
      <c r="D87" s="179">
        <v>1001</v>
      </c>
      <c r="E87" s="194">
        <v>2</v>
      </c>
      <c r="F87" s="194">
        <v>1</v>
      </c>
      <c r="G87" s="194">
        <v>0</v>
      </c>
      <c r="H87" s="194">
        <v>0</v>
      </c>
      <c r="I87" s="88">
        <v>999</v>
      </c>
      <c r="J87" s="194" t="b">
        <v>1</v>
      </c>
      <c r="K87" s="194">
        <v>10</v>
      </c>
      <c r="L87" s="194">
        <v>150</v>
      </c>
      <c r="M87" s="194">
        <v>200</v>
      </c>
      <c r="N87" s="194">
        <v>0</v>
      </c>
      <c r="O87" s="194">
        <v>1</v>
      </c>
      <c r="P87" s="88">
        <v>1</v>
      </c>
      <c r="Q87" s="194">
        <v>0</v>
      </c>
      <c r="R87" s="194">
        <v>0</v>
      </c>
      <c r="S87" s="194" t="s">
        <v>38</v>
      </c>
      <c r="T87" s="43" t="s">
        <v>8504</v>
      </c>
      <c r="U87" s="25" t="s">
        <v>8645</v>
      </c>
      <c r="V87" s="25">
        <v>0</v>
      </c>
      <c r="W87" s="197">
        <v>1</v>
      </c>
      <c r="X87" s="197">
        <v>1</v>
      </c>
    </row>
    <row r="88" spans="1:24" ht="16.5" x14ac:dyDescent="0.15">
      <c r="A88" s="193">
        <v>908159</v>
      </c>
      <c r="B88" s="215" t="s">
        <v>8646</v>
      </c>
      <c r="C88" s="157" t="s">
        <v>8441</v>
      </c>
      <c r="D88" s="179">
        <v>1001</v>
      </c>
      <c r="E88" s="194">
        <v>2</v>
      </c>
      <c r="F88" s="194">
        <v>1</v>
      </c>
      <c r="G88" s="194">
        <v>0</v>
      </c>
      <c r="H88" s="194">
        <v>0</v>
      </c>
      <c r="I88" s="88">
        <v>999</v>
      </c>
      <c r="J88" s="194" t="b">
        <v>1</v>
      </c>
      <c r="K88" s="194">
        <v>10</v>
      </c>
      <c r="L88" s="194">
        <v>150</v>
      </c>
      <c r="M88" s="194">
        <v>200</v>
      </c>
      <c r="N88" s="194">
        <v>0</v>
      </c>
      <c r="O88" s="194">
        <v>1</v>
      </c>
      <c r="P88" s="88">
        <v>1</v>
      </c>
      <c r="Q88" s="194">
        <v>0</v>
      </c>
      <c r="R88" s="194">
        <v>0</v>
      </c>
      <c r="S88" s="194" t="s">
        <v>38</v>
      </c>
      <c r="T88" s="43" t="s">
        <v>8619</v>
      </c>
      <c r="U88" s="25" t="s">
        <v>8647</v>
      </c>
      <c r="V88" s="25">
        <v>0</v>
      </c>
      <c r="W88" s="197">
        <v>1</v>
      </c>
      <c r="X88" s="197">
        <v>1</v>
      </c>
    </row>
    <row r="89" spans="1:24" ht="16.5" x14ac:dyDescent="0.15">
      <c r="A89" s="193">
        <v>908160</v>
      </c>
      <c r="B89" s="215" t="s">
        <v>8648</v>
      </c>
      <c r="C89" s="157" t="s">
        <v>8441</v>
      </c>
      <c r="D89" s="179">
        <v>1001</v>
      </c>
      <c r="E89" s="194">
        <v>2</v>
      </c>
      <c r="F89" s="194">
        <v>1</v>
      </c>
      <c r="G89" s="194">
        <v>0</v>
      </c>
      <c r="H89" s="194">
        <v>0</v>
      </c>
      <c r="I89" s="88">
        <v>999</v>
      </c>
      <c r="J89" s="194" t="b">
        <v>1</v>
      </c>
      <c r="K89" s="194">
        <v>10</v>
      </c>
      <c r="L89" s="194">
        <v>150</v>
      </c>
      <c r="M89" s="194">
        <v>200</v>
      </c>
      <c r="N89" s="194">
        <v>0</v>
      </c>
      <c r="O89" s="194">
        <v>1</v>
      </c>
      <c r="P89" s="88">
        <v>1</v>
      </c>
      <c r="Q89" s="194">
        <v>0</v>
      </c>
      <c r="R89" s="194">
        <v>0</v>
      </c>
      <c r="S89" s="194" t="s">
        <v>38</v>
      </c>
      <c r="T89" s="43" t="s">
        <v>8649</v>
      </c>
      <c r="U89" s="25" t="s">
        <v>8650</v>
      </c>
      <c r="V89" s="25">
        <v>0</v>
      </c>
      <c r="W89" s="197">
        <v>1</v>
      </c>
      <c r="X89" s="197">
        <v>1</v>
      </c>
    </row>
    <row r="90" spans="1:24" ht="16.5" x14ac:dyDescent="0.15">
      <c r="A90" s="193">
        <v>908161</v>
      </c>
      <c r="B90" s="215" t="s">
        <v>8651</v>
      </c>
      <c r="C90" s="157" t="s">
        <v>8441</v>
      </c>
      <c r="D90" s="179">
        <v>1001</v>
      </c>
      <c r="E90" s="194">
        <v>2</v>
      </c>
      <c r="F90" s="194">
        <v>1</v>
      </c>
      <c r="G90" s="194">
        <v>0</v>
      </c>
      <c r="H90" s="194">
        <v>0</v>
      </c>
      <c r="I90" s="88">
        <v>999</v>
      </c>
      <c r="J90" s="194" t="b">
        <v>1</v>
      </c>
      <c r="K90" s="194">
        <v>10</v>
      </c>
      <c r="L90" s="194">
        <v>150</v>
      </c>
      <c r="M90" s="194">
        <v>200</v>
      </c>
      <c r="N90" s="194">
        <v>0</v>
      </c>
      <c r="O90" s="194">
        <v>1</v>
      </c>
      <c r="P90" s="88">
        <v>1</v>
      </c>
      <c r="Q90" s="194">
        <v>0</v>
      </c>
      <c r="R90" s="194">
        <v>0</v>
      </c>
      <c r="S90" s="194" t="s">
        <v>38</v>
      </c>
      <c r="T90" s="43" t="s">
        <v>8652</v>
      </c>
      <c r="U90" s="25" t="s">
        <v>8653</v>
      </c>
      <c r="V90" s="25">
        <v>0</v>
      </c>
      <c r="W90" s="197">
        <v>1</v>
      </c>
      <c r="X90" s="197">
        <v>1</v>
      </c>
    </row>
    <row r="91" spans="1:24" ht="16.5" x14ac:dyDescent="0.15">
      <c r="A91" s="193">
        <v>908162</v>
      </c>
      <c r="B91" s="215" t="s">
        <v>8654</v>
      </c>
      <c r="C91" s="157" t="s">
        <v>8441</v>
      </c>
      <c r="D91" s="179">
        <v>1001</v>
      </c>
      <c r="E91" s="194">
        <v>2</v>
      </c>
      <c r="F91" s="194">
        <v>1</v>
      </c>
      <c r="G91" s="194">
        <v>0</v>
      </c>
      <c r="H91" s="194">
        <v>0</v>
      </c>
      <c r="I91" s="88">
        <v>999</v>
      </c>
      <c r="J91" s="194" t="b">
        <v>1</v>
      </c>
      <c r="K91" s="194">
        <v>10</v>
      </c>
      <c r="L91" s="194">
        <v>150</v>
      </c>
      <c r="M91" s="194">
        <v>200</v>
      </c>
      <c r="N91" s="194">
        <v>0</v>
      </c>
      <c r="O91" s="194">
        <v>1</v>
      </c>
      <c r="P91" s="88">
        <v>1</v>
      </c>
      <c r="Q91" s="194">
        <v>0</v>
      </c>
      <c r="R91" s="194">
        <v>0</v>
      </c>
      <c r="S91" s="194" t="s">
        <v>38</v>
      </c>
      <c r="T91" s="43" t="s">
        <v>8628</v>
      </c>
      <c r="U91" s="25" t="s">
        <v>8655</v>
      </c>
      <c r="V91" s="25">
        <v>0</v>
      </c>
      <c r="W91" s="197">
        <v>1</v>
      </c>
      <c r="X91" s="197">
        <v>1</v>
      </c>
    </row>
    <row r="92" spans="1:24" ht="16.5" x14ac:dyDescent="0.15">
      <c r="A92" s="193">
        <v>908163</v>
      </c>
      <c r="B92" s="215" t="s">
        <v>8656</v>
      </c>
      <c r="C92" s="157" t="s">
        <v>8441</v>
      </c>
      <c r="D92" s="179">
        <v>1001</v>
      </c>
      <c r="E92" s="194">
        <v>2</v>
      </c>
      <c r="F92" s="194">
        <v>1</v>
      </c>
      <c r="G92" s="194">
        <v>0</v>
      </c>
      <c r="H92" s="194">
        <v>0</v>
      </c>
      <c r="I92" s="88">
        <v>999</v>
      </c>
      <c r="J92" s="194" t="b">
        <v>1</v>
      </c>
      <c r="K92" s="194">
        <v>10</v>
      </c>
      <c r="L92" s="194">
        <v>150</v>
      </c>
      <c r="M92" s="194">
        <v>200</v>
      </c>
      <c r="N92" s="194">
        <v>0</v>
      </c>
      <c r="O92" s="194">
        <v>1</v>
      </c>
      <c r="P92" s="88">
        <v>1</v>
      </c>
      <c r="Q92" s="194">
        <v>0</v>
      </c>
      <c r="R92" s="194">
        <v>0</v>
      </c>
      <c r="S92" s="194" t="s">
        <v>38</v>
      </c>
      <c r="T92" s="43" t="s">
        <v>8657</v>
      </c>
      <c r="U92" s="25" t="s">
        <v>8658</v>
      </c>
      <c r="V92" s="25">
        <v>0</v>
      </c>
      <c r="W92" s="197">
        <v>1</v>
      </c>
      <c r="X92" s="197">
        <v>1</v>
      </c>
    </row>
    <row r="93" spans="1:24" ht="16.5" x14ac:dyDescent="0.15">
      <c r="A93" s="193">
        <v>908164</v>
      </c>
      <c r="B93" s="215" t="s">
        <v>8659</v>
      </c>
      <c r="C93" s="157" t="s">
        <v>8441</v>
      </c>
      <c r="D93" s="179">
        <v>1001</v>
      </c>
      <c r="E93" s="194">
        <v>2</v>
      </c>
      <c r="F93" s="194">
        <v>1</v>
      </c>
      <c r="G93" s="194">
        <v>0</v>
      </c>
      <c r="H93" s="194">
        <v>0</v>
      </c>
      <c r="I93" s="88">
        <v>999</v>
      </c>
      <c r="J93" s="194" t="b">
        <v>1</v>
      </c>
      <c r="K93" s="194">
        <v>10</v>
      </c>
      <c r="L93" s="194">
        <v>150</v>
      </c>
      <c r="M93" s="194">
        <v>200</v>
      </c>
      <c r="N93" s="194">
        <v>0</v>
      </c>
      <c r="O93" s="194">
        <v>1</v>
      </c>
      <c r="P93" s="88">
        <v>1</v>
      </c>
      <c r="Q93" s="194">
        <v>0</v>
      </c>
      <c r="R93" s="194">
        <v>0</v>
      </c>
      <c r="S93" s="194" t="s">
        <v>38</v>
      </c>
      <c r="T93" s="43" t="s">
        <v>8660</v>
      </c>
      <c r="U93" s="25" t="s">
        <v>8661</v>
      </c>
      <c r="V93" s="25">
        <v>0</v>
      </c>
      <c r="W93" s="197">
        <v>1</v>
      </c>
      <c r="X93" s="197">
        <v>1</v>
      </c>
    </row>
    <row r="94" spans="1:24" ht="16.5" x14ac:dyDescent="0.15">
      <c r="A94" s="193">
        <v>908165</v>
      </c>
      <c r="B94" s="215" t="s">
        <v>8662</v>
      </c>
      <c r="C94" s="157" t="s">
        <v>8441</v>
      </c>
      <c r="D94" s="179">
        <v>1001</v>
      </c>
      <c r="E94" s="194">
        <v>2</v>
      </c>
      <c r="F94" s="194">
        <v>1</v>
      </c>
      <c r="G94" s="194">
        <v>0</v>
      </c>
      <c r="H94" s="194">
        <v>0</v>
      </c>
      <c r="I94" s="88">
        <v>999</v>
      </c>
      <c r="J94" s="194" t="b">
        <v>1</v>
      </c>
      <c r="K94" s="194">
        <v>10</v>
      </c>
      <c r="L94" s="194">
        <v>150</v>
      </c>
      <c r="M94" s="194">
        <v>200</v>
      </c>
      <c r="N94" s="194">
        <v>0</v>
      </c>
      <c r="O94" s="194">
        <v>1</v>
      </c>
      <c r="P94" s="88">
        <v>1</v>
      </c>
      <c r="Q94" s="194">
        <v>0</v>
      </c>
      <c r="R94" s="194">
        <v>0</v>
      </c>
      <c r="S94" s="194" t="s">
        <v>38</v>
      </c>
      <c r="T94" s="43" t="s">
        <v>8663</v>
      </c>
      <c r="U94" s="25" t="s">
        <v>8664</v>
      </c>
      <c r="V94" s="25">
        <v>0</v>
      </c>
      <c r="W94" s="197">
        <v>1</v>
      </c>
      <c r="X94" s="197">
        <v>1</v>
      </c>
    </row>
    <row r="95" spans="1:24" ht="16.5" x14ac:dyDescent="0.15">
      <c r="A95" s="193">
        <v>908166</v>
      </c>
      <c r="B95" s="215" t="s">
        <v>8665</v>
      </c>
      <c r="C95" s="157" t="s">
        <v>8441</v>
      </c>
      <c r="D95" s="179">
        <v>1001</v>
      </c>
      <c r="E95" s="194">
        <v>2</v>
      </c>
      <c r="F95" s="194">
        <v>1</v>
      </c>
      <c r="G95" s="194">
        <v>0</v>
      </c>
      <c r="H95" s="194">
        <v>0</v>
      </c>
      <c r="I95" s="88">
        <v>999</v>
      </c>
      <c r="J95" s="194" t="b">
        <v>1</v>
      </c>
      <c r="K95" s="194">
        <v>10</v>
      </c>
      <c r="L95" s="194">
        <v>150</v>
      </c>
      <c r="M95" s="194">
        <v>200</v>
      </c>
      <c r="N95" s="194">
        <v>0</v>
      </c>
      <c r="O95" s="194">
        <v>1</v>
      </c>
      <c r="P95" s="88">
        <v>1</v>
      </c>
      <c r="Q95" s="194">
        <v>0</v>
      </c>
      <c r="R95" s="194">
        <v>0</v>
      </c>
      <c r="S95" s="194" t="s">
        <v>38</v>
      </c>
      <c r="T95" s="43" t="s">
        <v>8666</v>
      </c>
      <c r="U95" s="25" t="s">
        <v>8667</v>
      </c>
      <c r="V95" s="25">
        <v>0</v>
      </c>
      <c r="W95" s="197">
        <v>1</v>
      </c>
      <c r="X95" s="197">
        <v>1</v>
      </c>
    </row>
    <row r="96" spans="1:24" ht="16.5" x14ac:dyDescent="0.15">
      <c r="A96" s="193">
        <v>908167</v>
      </c>
      <c r="B96" s="215" t="s">
        <v>8590</v>
      </c>
      <c r="C96" s="157" t="s">
        <v>8441</v>
      </c>
      <c r="D96" s="179">
        <v>1001</v>
      </c>
      <c r="E96" s="194">
        <v>2</v>
      </c>
      <c r="F96" s="194">
        <v>0</v>
      </c>
      <c r="G96" s="194">
        <v>0</v>
      </c>
      <c r="H96" s="194">
        <v>0</v>
      </c>
      <c r="I96" s="88">
        <v>999</v>
      </c>
      <c r="J96" s="194" t="b">
        <v>1</v>
      </c>
      <c r="K96" s="194">
        <v>10</v>
      </c>
      <c r="L96" s="194">
        <v>150</v>
      </c>
      <c r="M96" s="194">
        <v>200</v>
      </c>
      <c r="N96" s="194">
        <v>0</v>
      </c>
      <c r="O96" s="194">
        <v>1</v>
      </c>
      <c r="P96" s="88">
        <v>1</v>
      </c>
      <c r="Q96" s="194">
        <v>0</v>
      </c>
      <c r="R96" s="194">
        <v>0</v>
      </c>
      <c r="S96" s="194" t="s">
        <v>38</v>
      </c>
      <c r="T96" s="43" t="s">
        <v>8591</v>
      </c>
      <c r="U96" s="25" t="s">
        <v>8668</v>
      </c>
      <c r="V96" s="25">
        <v>0</v>
      </c>
      <c r="W96" s="197">
        <v>1</v>
      </c>
      <c r="X96" s="197">
        <v>1</v>
      </c>
    </row>
    <row r="97" spans="1:25" ht="16.5" x14ac:dyDescent="0.15">
      <c r="A97" s="193">
        <v>908168</v>
      </c>
      <c r="B97" s="215" t="s">
        <v>8669</v>
      </c>
      <c r="C97" s="157" t="s">
        <v>8441</v>
      </c>
      <c r="D97" s="179">
        <v>1001</v>
      </c>
      <c r="E97" s="194">
        <v>2</v>
      </c>
      <c r="F97" s="194">
        <v>0</v>
      </c>
      <c r="G97" s="194">
        <v>0</v>
      </c>
      <c r="H97" s="194">
        <v>0</v>
      </c>
      <c r="I97" s="88">
        <v>999</v>
      </c>
      <c r="J97" s="194" t="b">
        <v>1</v>
      </c>
      <c r="K97" s="194">
        <v>10</v>
      </c>
      <c r="L97" s="194">
        <v>150</v>
      </c>
      <c r="M97" s="194">
        <v>200</v>
      </c>
      <c r="N97" s="194">
        <v>0</v>
      </c>
      <c r="O97" s="194">
        <v>1</v>
      </c>
      <c r="P97" s="88">
        <v>1</v>
      </c>
      <c r="Q97" s="194">
        <v>0</v>
      </c>
      <c r="R97" s="194">
        <v>0</v>
      </c>
      <c r="S97" s="194" t="s">
        <v>38</v>
      </c>
      <c r="T97" s="43" t="s">
        <v>8594</v>
      </c>
      <c r="U97" s="25" t="s">
        <v>8670</v>
      </c>
      <c r="V97" s="25">
        <v>0</v>
      </c>
      <c r="W97" s="197">
        <v>1</v>
      </c>
      <c r="X97" s="197">
        <v>1</v>
      </c>
    </row>
    <row r="98" spans="1:25" ht="16.5" x14ac:dyDescent="0.15">
      <c r="A98" s="193">
        <v>908169</v>
      </c>
      <c r="B98" s="215" t="s">
        <v>8671</v>
      </c>
      <c r="C98" s="157" t="s">
        <v>8441</v>
      </c>
      <c r="D98" s="179">
        <v>1001</v>
      </c>
      <c r="E98" s="194">
        <v>2</v>
      </c>
      <c r="F98" s="194">
        <v>0</v>
      </c>
      <c r="G98" s="194">
        <v>0</v>
      </c>
      <c r="H98" s="194">
        <v>0</v>
      </c>
      <c r="I98" s="88">
        <v>999</v>
      </c>
      <c r="J98" s="194" t="b">
        <v>1</v>
      </c>
      <c r="K98" s="194">
        <v>10</v>
      </c>
      <c r="L98" s="194">
        <v>150</v>
      </c>
      <c r="M98" s="194">
        <v>200</v>
      </c>
      <c r="N98" s="194">
        <v>0</v>
      </c>
      <c r="O98" s="194">
        <v>1</v>
      </c>
      <c r="P98" s="88">
        <v>1</v>
      </c>
      <c r="Q98" s="194">
        <v>0</v>
      </c>
      <c r="R98" s="194">
        <v>0</v>
      </c>
      <c r="S98" s="194" t="s">
        <v>38</v>
      </c>
      <c r="T98" s="43" t="s">
        <v>8597</v>
      </c>
      <c r="U98" s="25" t="s">
        <v>8672</v>
      </c>
      <c r="V98" s="25">
        <v>0</v>
      </c>
      <c r="W98" s="197">
        <v>1</v>
      </c>
      <c r="X98" s="197">
        <v>1</v>
      </c>
    </row>
    <row r="99" spans="1:25" ht="16.5" x14ac:dyDescent="0.15">
      <c r="A99" s="193">
        <v>908170</v>
      </c>
      <c r="B99" s="215" t="s">
        <v>8673</v>
      </c>
      <c r="C99" s="157" t="s">
        <v>8441</v>
      </c>
      <c r="D99" s="179">
        <v>1001</v>
      </c>
      <c r="E99" s="194">
        <v>2</v>
      </c>
      <c r="F99" s="194">
        <v>0</v>
      </c>
      <c r="G99" s="194">
        <v>0</v>
      </c>
      <c r="H99" s="194">
        <v>0</v>
      </c>
      <c r="I99" s="88">
        <v>999</v>
      </c>
      <c r="J99" s="194" t="b">
        <v>1</v>
      </c>
      <c r="K99" s="194">
        <v>10</v>
      </c>
      <c r="L99" s="194">
        <v>150</v>
      </c>
      <c r="M99" s="194">
        <v>200</v>
      </c>
      <c r="N99" s="194">
        <v>0</v>
      </c>
      <c r="O99" s="194">
        <v>1</v>
      </c>
      <c r="P99" s="88">
        <v>1</v>
      </c>
      <c r="Q99" s="194">
        <v>0</v>
      </c>
      <c r="R99" s="194">
        <v>0</v>
      </c>
      <c r="S99" s="194" t="s">
        <v>38</v>
      </c>
      <c r="T99" s="43" t="s">
        <v>8594</v>
      </c>
      <c r="U99" s="25" t="s">
        <v>8674</v>
      </c>
      <c r="V99" s="25">
        <v>0</v>
      </c>
      <c r="W99" s="197">
        <v>1</v>
      </c>
      <c r="X99" s="197">
        <v>1</v>
      </c>
    </row>
    <row r="100" spans="1:25" ht="16.5" x14ac:dyDescent="0.15">
      <c r="A100" s="193">
        <v>908171</v>
      </c>
      <c r="B100" s="215" t="s">
        <v>8675</v>
      </c>
      <c r="C100" s="157" t="s">
        <v>8441</v>
      </c>
      <c r="D100" s="179">
        <v>1001</v>
      </c>
      <c r="E100" s="194">
        <v>2</v>
      </c>
      <c r="F100" s="194">
        <v>1</v>
      </c>
      <c r="G100" s="194">
        <v>0</v>
      </c>
      <c r="H100" s="194">
        <v>0</v>
      </c>
      <c r="I100" s="88">
        <v>999</v>
      </c>
      <c r="J100" s="194" t="b">
        <v>1</v>
      </c>
      <c r="K100" s="194">
        <v>10</v>
      </c>
      <c r="L100" s="194">
        <v>150</v>
      </c>
      <c r="M100" s="194">
        <v>200</v>
      </c>
      <c r="N100" s="194">
        <v>0</v>
      </c>
      <c r="O100" s="194">
        <v>1</v>
      </c>
      <c r="P100" s="88">
        <v>1</v>
      </c>
      <c r="Q100" s="194">
        <v>0</v>
      </c>
      <c r="R100" s="194">
        <v>0</v>
      </c>
      <c r="S100" s="194" t="s">
        <v>38</v>
      </c>
      <c r="T100" s="43" t="s">
        <v>8676</v>
      </c>
      <c r="U100" s="25" t="s">
        <v>8677</v>
      </c>
      <c r="V100" s="25">
        <v>0</v>
      </c>
      <c r="W100" s="197">
        <v>1</v>
      </c>
      <c r="X100" s="197">
        <v>1</v>
      </c>
    </row>
    <row r="101" spans="1:25" ht="16.5" x14ac:dyDescent="0.15">
      <c r="A101" s="193">
        <v>908172</v>
      </c>
      <c r="B101" s="215" t="s">
        <v>8678</v>
      </c>
      <c r="C101" s="157" t="s">
        <v>8441</v>
      </c>
      <c r="D101" s="179">
        <v>1001</v>
      </c>
      <c r="E101" s="194">
        <v>2</v>
      </c>
      <c r="F101" s="194">
        <v>1</v>
      </c>
      <c r="G101" s="194">
        <v>0</v>
      </c>
      <c r="H101" s="194">
        <v>0</v>
      </c>
      <c r="I101" s="88">
        <v>999</v>
      </c>
      <c r="J101" s="194" t="b">
        <v>1</v>
      </c>
      <c r="K101" s="194">
        <v>10</v>
      </c>
      <c r="L101" s="194">
        <v>150</v>
      </c>
      <c r="M101" s="194">
        <v>200</v>
      </c>
      <c r="N101" s="194">
        <v>0</v>
      </c>
      <c r="O101" s="194">
        <v>1</v>
      </c>
      <c r="P101" s="88">
        <v>1</v>
      </c>
      <c r="Q101" s="194">
        <v>0</v>
      </c>
      <c r="R101" s="194">
        <v>0</v>
      </c>
      <c r="S101" s="194" t="s">
        <v>38</v>
      </c>
      <c r="T101" s="43" t="s">
        <v>8679</v>
      </c>
      <c r="U101" s="25" t="s">
        <v>8680</v>
      </c>
      <c r="V101" s="25">
        <v>0</v>
      </c>
      <c r="W101" s="197">
        <v>1</v>
      </c>
      <c r="X101" s="197">
        <v>1</v>
      </c>
    </row>
    <row r="102" spans="1:25" ht="16.5" x14ac:dyDescent="0.15">
      <c r="A102" s="193">
        <v>908173</v>
      </c>
      <c r="B102" s="215" t="s">
        <v>8681</v>
      </c>
      <c r="C102" s="157" t="s">
        <v>8441</v>
      </c>
      <c r="D102" s="179">
        <v>1001</v>
      </c>
      <c r="E102" s="194">
        <v>2</v>
      </c>
      <c r="F102" s="194">
        <v>1</v>
      </c>
      <c r="G102" s="194">
        <v>0</v>
      </c>
      <c r="H102" s="194">
        <v>0</v>
      </c>
      <c r="I102" s="88">
        <v>999</v>
      </c>
      <c r="J102" s="194" t="b">
        <v>1</v>
      </c>
      <c r="K102" s="194">
        <v>10</v>
      </c>
      <c r="L102" s="194">
        <v>150</v>
      </c>
      <c r="M102" s="194">
        <v>200</v>
      </c>
      <c r="N102" s="194">
        <v>0</v>
      </c>
      <c r="O102" s="194">
        <v>1</v>
      </c>
      <c r="P102" s="88">
        <v>1</v>
      </c>
      <c r="Q102" s="194">
        <v>0</v>
      </c>
      <c r="R102" s="194">
        <v>0</v>
      </c>
      <c r="S102" s="194" t="s">
        <v>38</v>
      </c>
      <c r="T102" s="43" t="s">
        <v>8682</v>
      </c>
      <c r="U102" s="25" t="s">
        <v>8683</v>
      </c>
      <c r="V102" s="25">
        <v>0</v>
      </c>
      <c r="W102" s="197">
        <v>1</v>
      </c>
      <c r="X102" s="197">
        <v>1</v>
      </c>
    </row>
    <row r="103" spans="1:25" ht="16.5" x14ac:dyDescent="0.15">
      <c r="A103" s="193">
        <v>908174</v>
      </c>
      <c r="B103" s="215" t="s">
        <v>8684</v>
      </c>
      <c r="C103" s="157" t="s">
        <v>8441</v>
      </c>
      <c r="D103" s="179">
        <v>1001</v>
      </c>
      <c r="E103" s="194">
        <v>2</v>
      </c>
      <c r="F103" s="194">
        <v>1</v>
      </c>
      <c r="G103" s="194">
        <v>0</v>
      </c>
      <c r="H103" s="194">
        <v>0</v>
      </c>
      <c r="I103" s="88">
        <v>999</v>
      </c>
      <c r="J103" s="194" t="b">
        <v>1</v>
      </c>
      <c r="K103" s="194">
        <v>10</v>
      </c>
      <c r="L103" s="194">
        <v>150</v>
      </c>
      <c r="M103" s="194">
        <v>200</v>
      </c>
      <c r="N103" s="194">
        <v>0</v>
      </c>
      <c r="O103" s="194">
        <v>1</v>
      </c>
      <c r="P103" s="88">
        <v>1</v>
      </c>
      <c r="Q103" s="194">
        <v>0</v>
      </c>
      <c r="R103" s="194">
        <v>0</v>
      </c>
      <c r="S103" s="194" t="s">
        <v>38</v>
      </c>
      <c r="T103" s="43" t="s">
        <v>8685</v>
      </c>
      <c r="U103" s="25" t="s">
        <v>8686</v>
      </c>
      <c r="V103" s="25">
        <v>0</v>
      </c>
      <c r="W103" s="197">
        <v>1</v>
      </c>
      <c r="X103" s="197">
        <v>1</v>
      </c>
    </row>
    <row r="104" spans="1:25" ht="27" x14ac:dyDescent="0.15">
      <c r="A104" s="193">
        <v>908175</v>
      </c>
      <c r="B104" s="218" t="s">
        <v>8687</v>
      </c>
      <c r="C104" s="200" t="s">
        <v>8441</v>
      </c>
      <c r="D104" s="197">
        <v>1001</v>
      </c>
      <c r="E104" s="201">
        <v>2</v>
      </c>
      <c r="F104" s="201">
        <v>1</v>
      </c>
      <c r="G104" s="194">
        <v>0</v>
      </c>
      <c r="H104" s="194">
        <v>0</v>
      </c>
      <c r="I104" s="88">
        <v>999</v>
      </c>
      <c r="J104" s="197" t="b">
        <v>1</v>
      </c>
      <c r="K104" s="201">
        <v>10</v>
      </c>
      <c r="L104" s="194">
        <v>20</v>
      </c>
      <c r="M104" s="194">
        <v>30</v>
      </c>
      <c r="N104" s="194">
        <v>0</v>
      </c>
      <c r="O104" s="194">
        <v>1</v>
      </c>
      <c r="P104" s="88">
        <v>1</v>
      </c>
      <c r="Q104" s="201">
        <v>0</v>
      </c>
      <c r="R104" s="201">
        <v>0</v>
      </c>
      <c r="S104" s="201">
        <v>0</v>
      </c>
      <c r="T104" s="201" t="s">
        <v>8688</v>
      </c>
      <c r="U104" s="207" t="s">
        <v>8689</v>
      </c>
      <c r="V104" s="208">
        <v>0</v>
      </c>
      <c r="W104" s="191">
        <v>1</v>
      </c>
      <c r="X104" s="191">
        <v>1</v>
      </c>
      <c r="Y104">
        <v>1</v>
      </c>
    </row>
    <row r="105" spans="1:25" ht="27" x14ac:dyDescent="0.15">
      <c r="A105" s="193">
        <v>908176</v>
      </c>
      <c r="B105" s="218" t="s">
        <v>8690</v>
      </c>
      <c r="C105" s="200" t="s">
        <v>8441</v>
      </c>
      <c r="D105" s="197">
        <v>1001</v>
      </c>
      <c r="E105" s="201">
        <v>2</v>
      </c>
      <c r="F105" s="197">
        <v>0</v>
      </c>
      <c r="G105" s="194">
        <v>0</v>
      </c>
      <c r="H105" s="194">
        <v>0</v>
      </c>
      <c r="I105" s="88">
        <v>1</v>
      </c>
      <c r="J105" s="197" t="b">
        <v>0</v>
      </c>
      <c r="K105" s="201">
        <v>25</v>
      </c>
      <c r="L105" s="194">
        <v>375</v>
      </c>
      <c r="M105" s="194">
        <v>500</v>
      </c>
      <c r="N105" s="194">
        <v>0</v>
      </c>
      <c r="O105" s="194">
        <v>1</v>
      </c>
      <c r="P105" s="88">
        <v>1</v>
      </c>
      <c r="Q105" s="201">
        <v>0</v>
      </c>
      <c r="R105" s="201">
        <v>0</v>
      </c>
      <c r="S105" s="201">
        <v>0</v>
      </c>
      <c r="T105" s="201" t="s">
        <v>8691</v>
      </c>
      <c r="U105" s="207" t="s">
        <v>8692</v>
      </c>
      <c r="V105" s="208">
        <v>0</v>
      </c>
      <c r="W105" s="191">
        <v>1</v>
      </c>
      <c r="X105" s="191">
        <v>1</v>
      </c>
      <c r="Y105">
        <v>1</v>
      </c>
    </row>
    <row r="106" spans="1:25" ht="16.5" x14ac:dyDescent="0.15">
      <c r="A106" s="25">
        <v>908187</v>
      </c>
      <c r="B106" s="219" t="s">
        <v>8693</v>
      </c>
      <c r="C106" s="179" t="s">
        <v>8441</v>
      </c>
      <c r="D106" s="179">
        <v>1001</v>
      </c>
      <c r="E106" s="179">
        <v>2</v>
      </c>
      <c r="F106" s="179">
        <v>1</v>
      </c>
      <c r="G106" s="194">
        <v>0</v>
      </c>
      <c r="H106" s="194">
        <v>0</v>
      </c>
      <c r="I106" s="88">
        <v>999</v>
      </c>
      <c r="J106" s="194" t="b">
        <v>1</v>
      </c>
      <c r="K106" s="194">
        <v>10</v>
      </c>
      <c r="L106" s="194">
        <v>150</v>
      </c>
      <c r="M106" s="194">
        <v>200</v>
      </c>
      <c r="N106" s="194">
        <v>0</v>
      </c>
      <c r="O106" s="204">
        <v>1</v>
      </c>
      <c r="P106" s="88">
        <v>1</v>
      </c>
      <c r="Q106" s="194">
        <v>0</v>
      </c>
      <c r="R106" s="194">
        <v>0</v>
      </c>
      <c r="S106" s="194" t="s">
        <v>38</v>
      </c>
      <c r="T106" s="43" t="s">
        <v>8694</v>
      </c>
      <c r="U106" s="25" t="s">
        <v>8695</v>
      </c>
      <c r="V106" s="25">
        <v>0</v>
      </c>
      <c r="W106" s="109">
        <v>1</v>
      </c>
      <c r="X106" s="109">
        <v>1</v>
      </c>
    </row>
    <row r="107" spans="1:25" ht="16.5" x14ac:dyDescent="0.15">
      <c r="A107" s="25">
        <v>908188</v>
      </c>
      <c r="B107" s="219" t="s">
        <v>8696</v>
      </c>
      <c r="C107" s="179" t="s">
        <v>8441</v>
      </c>
      <c r="D107" s="179">
        <v>1001</v>
      </c>
      <c r="E107" s="179">
        <v>2</v>
      </c>
      <c r="F107" s="179">
        <v>1</v>
      </c>
      <c r="G107" s="194">
        <v>0</v>
      </c>
      <c r="H107" s="194">
        <v>0</v>
      </c>
      <c r="I107" s="88">
        <v>999</v>
      </c>
      <c r="J107" s="194" t="b">
        <v>1</v>
      </c>
      <c r="K107" s="194">
        <v>10</v>
      </c>
      <c r="L107" s="194">
        <v>150</v>
      </c>
      <c r="M107" s="194">
        <v>200</v>
      </c>
      <c r="N107" s="194">
        <v>0</v>
      </c>
      <c r="O107" s="204">
        <v>1</v>
      </c>
      <c r="P107" s="88">
        <v>1</v>
      </c>
      <c r="Q107" s="194">
        <v>0</v>
      </c>
      <c r="R107" s="194">
        <v>0</v>
      </c>
      <c r="S107" s="194" t="s">
        <v>38</v>
      </c>
      <c r="T107" s="43" t="s">
        <v>8697</v>
      </c>
      <c r="U107" s="25" t="s">
        <v>8698</v>
      </c>
      <c r="V107" s="25">
        <v>0</v>
      </c>
      <c r="W107" s="109">
        <v>1</v>
      </c>
      <c r="X107" s="109">
        <v>1</v>
      </c>
    </row>
    <row r="108" spans="1:25" ht="16.5" x14ac:dyDescent="0.15">
      <c r="A108" s="25">
        <v>908190</v>
      </c>
      <c r="B108" s="219" t="s">
        <v>8699</v>
      </c>
      <c r="C108" s="179" t="s">
        <v>8441</v>
      </c>
      <c r="D108" s="179">
        <v>1001</v>
      </c>
      <c r="E108" s="179">
        <v>2</v>
      </c>
      <c r="F108" s="179">
        <v>1</v>
      </c>
      <c r="G108" s="194">
        <v>0</v>
      </c>
      <c r="H108" s="194">
        <v>0</v>
      </c>
      <c r="I108" s="88">
        <v>999</v>
      </c>
      <c r="J108" s="194" t="b">
        <v>1</v>
      </c>
      <c r="K108" s="194">
        <v>10</v>
      </c>
      <c r="L108" s="194">
        <v>150</v>
      </c>
      <c r="M108" s="194">
        <v>200</v>
      </c>
      <c r="N108" s="194">
        <v>0</v>
      </c>
      <c r="O108" s="204">
        <v>1</v>
      </c>
      <c r="P108" s="88">
        <v>1</v>
      </c>
      <c r="Q108" s="194">
        <v>0</v>
      </c>
      <c r="R108" s="194">
        <v>0</v>
      </c>
      <c r="S108" s="194" t="s">
        <v>38</v>
      </c>
      <c r="T108" s="43" t="s">
        <v>8700</v>
      </c>
      <c r="U108" s="25" t="s">
        <v>8701</v>
      </c>
      <c r="V108" s="25">
        <v>0</v>
      </c>
      <c r="W108" s="109">
        <v>1</v>
      </c>
      <c r="X108" s="109">
        <v>1</v>
      </c>
    </row>
    <row r="109" spans="1:25" ht="16.5" x14ac:dyDescent="0.15">
      <c r="A109" s="25">
        <v>908191</v>
      </c>
      <c r="B109" s="219" t="s">
        <v>8702</v>
      </c>
      <c r="C109" s="179" t="s">
        <v>8441</v>
      </c>
      <c r="D109" s="179">
        <v>1001</v>
      </c>
      <c r="E109" s="179">
        <v>2</v>
      </c>
      <c r="F109" s="179">
        <v>1</v>
      </c>
      <c r="G109" s="194">
        <v>0</v>
      </c>
      <c r="H109" s="194">
        <v>0</v>
      </c>
      <c r="I109" s="88">
        <v>999</v>
      </c>
      <c r="J109" s="194" t="b">
        <v>1</v>
      </c>
      <c r="K109" s="194">
        <v>10</v>
      </c>
      <c r="L109" s="194">
        <v>150</v>
      </c>
      <c r="M109" s="194">
        <v>200</v>
      </c>
      <c r="N109" s="194">
        <v>0</v>
      </c>
      <c r="O109" s="204">
        <v>1</v>
      </c>
      <c r="P109" s="88">
        <v>1</v>
      </c>
      <c r="Q109" s="194">
        <v>0</v>
      </c>
      <c r="R109" s="194">
        <v>0</v>
      </c>
      <c r="S109" s="194" t="s">
        <v>38</v>
      </c>
      <c r="T109" s="43" t="s">
        <v>8703</v>
      </c>
      <c r="U109" s="25" t="s">
        <v>8704</v>
      </c>
      <c r="V109" s="25">
        <v>0</v>
      </c>
      <c r="W109" s="109">
        <v>1</v>
      </c>
      <c r="X109" s="109">
        <v>1</v>
      </c>
    </row>
    <row r="110" spans="1:25" ht="16.5" x14ac:dyDescent="0.15">
      <c r="A110" s="25">
        <v>908192</v>
      </c>
      <c r="B110" s="219" t="s">
        <v>8705</v>
      </c>
      <c r="C110" s="179" t="s">
        <v>8441</v>
      </c>
      <c r="D110" s="179">
        <v>1001</v>
      </c>
      <c r="E110" s="179">
        <v>2</v>
      </c>
      <c r="F110" s="179">
        <v>1</v>
      </c>
      <c r="G110" s="194">
        <v>0</v>
      </c>
      <c r="H110" s="194">
        <v>0</v>
      </c>
      <c r="I110" s="88">
        <v>999</v>
      </c>
      <c r="J110" s="194" t="b">
        <v>1</v>
      </c>
      <c r="K110" s="194">
        <v>10</v>
      </c>
      <c r="L110" s="194">
        <v>150</v>
      </c>
      <c r="M110" s="194">
        <v>200</v>
      </c>
      <c r="N110" s="194">
        <v>0</v>
      </c>
      <c r="O110" s="204">
        <v>1</v>
      </c>
      <c r="P110" s="88">
        <v>1</v>
      </c>
      <c r="Q110" s="194">
        <v>0</v>
      </c>
      <c r="R110" s="194">
        <v>0</v>
      </c>
      <c r="S110" s="194" t="s">
        <v>38</v>
      </c>
      <c r="T110" s="43" t="s">
        <v>8706</v>
      </c>
      <c r="U110" s="25" t="s">
        <v>8707</v>
      </c>
      <c r="V110" s="25">
        <v>0</v>
      </c>
      <c r="W110" s="109">
        <v>1</v>
      </c>
      <c r="X110" s="109">
        <v>1</v>
      </c>
    </row>
    <row r="111" spans="1:25" ht="16.5" x14ac:dyDescent="0.15">
      <c r="A111" s="25">
        <v>908193</v>
      </c>
      <c r="B111" s="219" t="s">
        <v>8708</v>
      </c>
      <c r="C111" s="179" t="s">
        <v>8441</v>
      </c>
      <c r="D111" s="179">
        <v>1001</v>
      </c>
      <c r="E111" s="179">
        <v>2</v>
      </c>
      <c r="F111" s="179">
        <v>1</v>
      </c>
      <c r="G111" s="194">
        <v>0</v>
      </c>
      <c r="H111" s="194">
        <v>0</v>
      </c>
      <c r="I111" s="88">
        <v>999</v>
      </c>
      <c r="J111" s="194" t="b">
        <v>1</v>
      </c>
      <c r="K111" s="194">
        <v>10</v>
      </c>
      <c r="L111" s="194">
        <v>150</v>
      </c>
      <c r="M111" s="194">
        <v>200</v>
      </c>
      <c r="N111" s="194">
        <v>0</v>
      </c>
      <c r="O111" s="204">
        <v>1</v>
      </c>
      <c r="P111" s="88">
        <v>1</v>
      </c>
      <c r="Q111" s="194">
        <v>0</v>
      </c>
      <c r="R111" s="194">
        <v>0</v>
      </c>
      <c r="S111" s="194" t="s">
        <v>38</v>
      </c>
      <c r="T111" s="43" t="s">
        <v>8709</v>
      </c>
      <c r="U111" s="25" t="s">
        <v>8710</v>
      </c>
      <c r="V111" s="25">
        <v>0</v>
      </c>
      <c r="W111" s="109">
        <v>1</v>
      </c>
      <c r="X111" s="109">
        <v>1</v>
      </c>
    </row>
    <row r="112" spans="1:25" ht="16.5" x14ac:dyDescent="0.15">
      <c r="A112" s="25">
        <v>908194</v>
      </c>
      <c r="B112" s="219" t="s">
        <v>8711</v>
      </c>
      <c r="C112" s="179" t="s">
        <v>8441</v>
      </c>
      <c r="D112" s="179">
        <v>1001</v>
      </c>
      <c r="E112" s="179">
        <v>2</v>
      </c>
      <c r="F112" s="179">
        <v>1</v>
      </c>
      <c r="G112" s="194">
        <v>0</v>
      </c>
      <c r="H112" s="194">
        <v>0</v>
      </c>
      <c r="I112" s="88">
        <v>999</v>
      </c>
      <c r="J112" s="194" t="b">
        <v>1</v>
      </c>
      <c r="K112" s="194">
        <v>10</v>
      </c>
      <c r="L112" s="194">
        <v>150</v>
      </c>
      <c r="M112" s="194">
        <v>200</v>
      </c>
      <c r="N112" s="194">
        <v>0</v>
      </c>
      <c r="O112" s="204">
        <v>1</v>
      </c>
      <c r="P112" s="88">
        <v>1</v>
      </c>
      <c r="Q112" s="194">
        <v>0</v>
      </c>
      <c r="R112" s="194">
        <v>0</v>
      </c>
      <c r="S112" s="194" t="s">
        <v>38</v>
      </c>
      <c r="T112" s="43" t="s">
        <v>8712</v>
      </c>
      <c r="U112" s="25" t="s">
        <v>8713</v>
      </c>
      <c r="V112" s="25">
        <v>0</v>
      </c>
      <c r="W112" s="109">
        <v>1</v>
      </c>
      <c r="X112" s="109">
        <v>1</v>
      </c>
    </row>
    <row r="113" spans="1:24" ht="16.5" x14ac:dyDescent="0.15">
      <c r="A113" s="25">
        <v>908195</v>
      </c>
      <c r="B113" s="219" t="s">
        <v>8714</v>
      </c>
      <c r="C113" s="179" t="s">
        <v>8441</v>
      </c>
      <c r="D113" s="179">
        <v>1001</v>
      </c>
      <c r="E113" s="179">
        <v>2</v>
      </c>
      <c r="F113" s="179">
        <v>1</v>
      </c>
      <c r="G113" s="194">
        <v>0</v>
      </c>
      <c r="H113" s="194">
        <v>0</v>
      </c>
      <c r="I113" s="88">
        <v>999</v>
      </c>
      <c r="J113" s="194" t="b">
        <v>1</v>
      </c>
      <c r="K113" s="194">
        <v>10</v>
      </c>
      <c r="L113" s="194">
        <v>150</v>
      </c>
      <c r="M113" s="194">
        <v>200</v>
      </c>
      <c r="N113" s="194">
        <v>0</v>
      </c>
      <c r="O113" s="204">
        <v>1</v>
      </c>
      <c r="P113" s="88">
        <v>1</v>
      </c>
      <c r="Q113" s="194">
        <v>0</v>
      </c>
      <c r="R113" s="194">
        <v>0</v>
      </c>
      <c r="S113" s="194" t="s">
        <v>38</v>
      </c>
      <c r="T113" s="43" t="s">
        <v>8712</v>
      </c>
      <c r="U113" s="25" t="s">
        <v>8715</v>
      </c>
      <c r="V113" s="25">
        <v>0</v>
      </c>
      <c r="W113" s="109">
        <v>1</v>
      </c>
      <c r="X113" s="109">
        <v>1</v>
      </c>
    </row>
    <row r="114" spans="1:24" ht="16.5" x14ac:dyDescent="0.15">
      <c r="A114" s="25">
        <v>908196</v>
      </c>
      <c r="B114" s="219" t="s">
        <v>8716</v>
      </c>
      <c r="C114" s="179" t="s">
        <v>8441</v>
      </c>
      <c r="D114" s="179">
        <v>1001</v>
      </c>
      <c r="E114" s="179">
        <v>2</v>
      </c>
      <c r="F114" s="179">
        <v>1</v>
      </c>
      <c r="G114" s="194">
        <v>0</v>
      </c>
      <c r="H114" s="194">
        <v>0</v>
      </c>
      <c r="I114" s="88">
        <v>999</v>
      </c>
      <c r="J114" s="194" t="b">
        <v>1</v>
      </c>
      <c r="K114" s="194">
        <v>10</v>
      </c>
      <c r="L114" s="194">
        <v>150</v>
      </c>
      <c r="M114" s="194">
        <v>200</v>
      </c>
      <c r="N114" s="194">
        <v>0</v>
      </c>
      <c r="O114" s="204">
        <v>1</v>
      </c>
      <c r="P114" s="88">
        <v>1</v>
      </c>
      <c r="Q114" s="194">
        <v>0</v>
      </c>
      <c r="R114" s="194">
        <v>0</v>
      </c>
      <c r="S114" s="194" t="s">
        <v>38</v>
      </c>
      <c r="T114" s="43" t="s">
        <v>8712</v>
      </c>
      <c r="U114" s="25" t="s">
        <v>8717</v>
      </c>
      <c r="V114" s="25">
        <v>0</v>
      </c>
      <c r="W114" s="109">
        <v>1</v>
      </c>
      <c r="X114" s="109">
        <v>1</v>
      </c>
    </row>
    <row r="115" spans="1:24" ht="16.5" x14ac:dyDescent="0.15">
      <c r="A115" s="25">
        <v>908197</v>
      </c>
      <c r="B115" s="219" t="s">
        <v>8718</v>
      </c>
      <c r="C115" s="179" t="s">
        <v>8441</v>
      </c>
      <c r="D115" s="179">
        <v>1001</v>
      </c>
      <c r="E115" s="179">
        <v>2</v>
      </c>
      <c r="F115" s="179">
        <v>1</v>
      </c>
      <c r="G115" s="194">
        <v>0</v>
      </c>
      <c r="H115" s="194">
        <v>0</v>
      </c>
      <c r="I115" s="88">
        <v>999</v>
      </c>
      <c r="J115" s="194" t="b">
        <v>1</v>
      </c>
      <c r="K115" s="194">
        <v>10</v>
      </c>
      <c r="L115" s="194">
        <v>150</v>
      </c>
      <c r="M115" s="194">
        <v>200</v>
      </c>
      <c r="N115" s="194">
        <v>0</v>
      </c>
      <c r="O115" s="204">
        <v>1</v>
      </c>
      <c r="P115" s="88">
        <v>1</v>
      </c>
      <c r="Q115" s="194">
        <v>0</v>
      </c>
      <c r="R115" s="194">
        <v>0</v>
      </c>
      <c r="S115" s="194" t="s">
        <v>38</v>
      </c>
      <c r="T115" s="43" t="s">
        <v>8719</v>
      </c>
      <c r="U115" s="25" t="s">
        <v>8720</v>
      </c>
      <c r="V115" s="25">
        <v>0</v>
      </c>
      <c r="W115" s="109">
        <v>1</v>
      </c>
      <c r="X115" s="109">
        <v>1</v>
      </c>
    </row>
    <row r="116" spans="1:24" ht="16.5" x14ac:dyDescent="0.15">
      <c r="A116" s="25">
        <v>908198</v>
      </c>
      <c r="B116" s="219" t="s">
        <v>8721</v>
      </c>
      <c r="C116" s="179" t="s">
        <v>8441</v>
      </c>
      <c r="D116" s="179">
        <v>1001</v>
      </c>
      <c r="E116" s="179">
        <v>2</v>
      </c>
      <c r="F116" s="179">
        <v>1</v>
      </c>
      <c r="G116" s="194">
        <v>0</v>
      </c>
      <c r="H116" s="194">
        <v>0</v>
      </c>
      <c r="I116" s="88">
        <v>999</v>
      </c>
      <c r="J116" s="194" t="b">
        <v>1</v>
      </c>
      <c r="K116" s="194">
        <v>10</v>
      </c>
      <c r="L116" s="194">
        <v>150</v>
      </c>
      <c r="M116" s="194">
        <v>200</v>
      </c>
      <c r="N116" s="194">
        <v>0</v>
      </c>
      <c r="O116" s="204">
        <v>1</v>
      </c>
      <c r="P116" s="88">
        <v>1</v>
      </c>
      <c r="Q116" s="194">
        <v>0</v>
      </c>
      <c r="R116" s="194">
        <v>0</v>
      </c>
      <c r="S116" s="194" t="s">
        <v>38</v>
      </c>
      <c r="T116" s="43" t="s">
        <v>8722</v>
      </c>
      <c r="U116" s="25" t="s">
        <v>8723</v>
      </c>
      <c r="V116" s="25">
        <v>0</v>
      </c>
      <c r="W116" s="109">
        <v>1</v>
      </c>
      <c r="X116" s="109">
        <v>1</v>
      </c>
    </row>
    <row r="117" spans="1:24" ht="16.5" x14ac:dyDescent="0.15">
      <c r="A117" s="25">
        <v>908199</v>
      </c>
      <c r="B117" s="219" t="s">
        <v>8724</v>
      </c>
      <c r="C117" s="179" t="s">
        <v>8441</v>
      </c>
      <c r="D117" s="179">
        <v>1001</v>
      </c>
      <c r="E117" s="179">
        <v>2</v>
      </c>
      <c r="F117" s="179">
        <v>1</v>
      </c>
      <c r="G117" s="194">
        <v>0</v>
      </c>
      <c r="H117" s="194">
        <v>0</v>
      </c>
      <c r="I117" s="88">
        <v>999</v>
      </c>
      <c r="J117" s="194" t="b">
        <v>1</v>
      </c>
      <c r="K117" s="194">
        <v>10</v>
      </c>
      <c r="L117" s="194">
        <v>150</v>
      </c>
      <c r="M117" s="194">
        <v>200</v>
      </c>
      <c r="N117" s="194">
        <v>0</v>
      </c>
      <c r="O117" s="204">
        <v>1</v>
      </c>
      <c r="P117" s="88">
        <v>1</v>
      </c>
      <c r="Q117" s="194">
        <v>0</v>
      </c>
      <c r="R117" s="194">
        <v>0</v>
      </c>
      <c r="S117" s="194" t="s">
        <v>38</v>
      </c>
      <c r="T117" s="43" t="s">
        <v>8725</v>
      </c>
      <c r="U117" s="25" t="s">
        <v>8726</v>
      </c>
      <c r="V117" s="25">
        <v>0</v>
      </c>
      <c r="W117" s="109">
        <v>1</v>
      </c>
      <c r="X117" s="109">
        <v>1</v>
      </c>
    </row>
    <row r="118" spans="1:24" ht="16.5" x14ac:dyDescent="0.15">
      <c r="A118" s="25">
        <v>908200</v>
      </c>
      <c r="B118" s="219" t="s">
        <v>8727</v>
      </c>
      <c r="C118" s="179" t="s">
        <v>8441</v>
      </c>
      <c r="D118" s="179">
        <v>1001</v>
      </c>
      <c r="E118" s="179">
        <v>2</v>
      </c>
      <c r="F118" s="179">
        <v>1</v>
      </c>
      <c r="G118" s="194">
        <v>0</v>
      </c>
      <c r="H118" s="194">
        <v>0</v>
      </c>
      <c r="I118" s="88">
        <v>999</v>
      </c>
      <c r="J118" s="194" t="b">
        <v>1</v>
      </c>
      <c r="K118" s="194">
        <v>10</v>
      </c>
      <c r="L118" s="194">
        <v>150</v>
      </c>
      <c r="M118" s="194">
        <v>200</v>
      </c>
      <c r="N118" s="194">
        <v>0</v>
      </c>
      <c r="O118" s="204">
        <v>1</v>
      </c>
      <c r="P118" s="88">
        <v>1</v>
      </c>
      <c r="Q118" s="194">
        <v>0</v>
      </c>
      <c r="R118" s="194">
        <v>0</v>
      </c>
      <c r="S118" s="194" t="s">
        <v>38</v>
      </c>
      <c r="T118" s="43" t="s">
        <v>8728</v>
      </c>
      <c r="U118" s="25" t="s">
        <v>8729</v>
      </c>
      <c r="V118" s="25">
        <v>0</v>
      </c>
      <c r="W118" s="109">
        <v>1</v>
      </c>
      <c r="X118" s="109">
        <v>1</v>
      </c>
    </row>
    <row r="119" spans="1:24" ht="16.5" x14ac:dyDescent="0.15">
      <c r="A119" s="25">
        <v>908201</v>
      </c>
      <c r="B119" s="219" t="s">
        <v>8730</v>
      </c>
      <c r="C119" s="179" t="s">
        <v>8441</v>
      </c>
      <c r="D119" s="179">
        <v>1001</v>
      </c>
      <c r="E119" s="179">
        <v>2</v>
      </c>
      <c r="F119" s="179">
        <v>1</v>
      </c>
      <c r="G119" s="194">
        <v>0</v>
      </c>
      <c r="H119" s="194">
        <v>0</v>
      </c>
      <c r="I119" s="88">
        <v>999</v>
      </c>
      <c r="J119" s="194" t="b">
        <v>1</v>
      </c>
      <c r="K119" s="194">
        <v>10</v>
      </c>
      <c r="L119" s="194">
        <v>150</v>
      </c>
      <c r="M119" s="194">
        <v>200</v>
      </c>
      <c r="N119" s="194">
        <v>0</v>
      </c>
      <c r="O119" s="204">
        <v>1</v>
      </c>
      <c r="P119" s="88">
        <v>1</v>
      </c>
      <c r="Q119" s="194">
        <v>0</v>
      </c>
      <c r="R119" s="194">
        <v>0</v>
      </c>
      <c r="S119" s="194" t="s">
        <v>38</v>
      </c>
      <c r="T119" s="43" t="s">
        <v>8731</v>
      </c>
      <c r="U119" s="25" t="s">
        <v>8732</v>
      </c>
      <c r="V119" s="25">
        <v>0</v>
      </c>
      <c r="W119" s="109">
        <v>1</v>
      </c>
      <c r="X119" s="109">
        <v>1</v>
      </c>
    </row>
    <row r="120" spans="1:24" ht="16.5" x14ac:dyDescent="0.15">
      <c r="A120" s="25">
        <v>908202</v>
      </c>
      <c r="B120" s="219" t="s">
        <v>8733</v>
      </c>
      <c r="C120" s="179" t="s">
        <v>8441</v>
      </c>
      <c r="D120" s="179">
        <v>1001</v>
      </c>
      <c r="E120" s="179">
        <v>2</v>
      </c>
      <c r="F120" s="179">
        <v>1</v>
      </c>
      <c r="G120" s="194">
        <v>0</v>
      </c>
      <c r="H120" s="194">
        <v>0</v>
      </c>
      <c r="I120" s="88">
        <v>999</v>
      </c>
      <c r="J120" s="194" t="b">
        <v>1</v>
      </c>
      <c r="K120" s="194">
        <v>10</v>
      </c>
      <c r="L120" s="194">
        <v>150</v>
      </c>
      <c r="M120" s="194">
        <v>200</v>
      </c>
      <c r="N120" s="194">
        <v>0</v>
      </c>
      <c r="O120" s="204">
        <v>1</v>
      </c>
      <c r="P120" s="88">
        <v>1</v>
      </c>
      <c r="Q120" s="194">
        <v>0</v>
      </c>
      <c r="R120" s="194">
        <v>0</v>
      </c>
      <c r="S120" s="194" t="s">
        <v>38</v>
      </c>
      <c r="T120" s="43" t="s">
        <v>8734</v>
      </c>
      <c r="U120" s="25" t="s">
        <v>8735</v>
      </c>
      <c r="V120" s="25">
        <v>0</v>
      </c>
      <c r="W120" s="109">
        <v>1</v>
      </c>
      <c r="X120" s="109">
        <v>1</v>
      </c>
    </row>
    <row r="121" spans="1:24" ht="16.5" x14ac:dyDescent="0.15">
      <c r="A121" s="25">
        <v>908204</v>
      </c>
      <c r="B121" s="219" t="s">
        <v>8736</v>
      </c>
      <c r="C121" s="179" t="s">
        <v>8441</v>
      </c>
      <c r="D121" s="179">
        <v>1001</v>
      </c>
      <c r="E121" s="179">
        <v>2</v>
      </c>
      <c r="F121" s="179">
        <v>1</v>
      </c>
      <c r="G121" s="194">
        <v>0</v>
      </c>
      <c r="H121" s="194">
        <v>0</v>
      </c>
      <c r="I121" s="88">
        <v>999</v>
      </c>
      <c r="J121" s="194" t="b">
        <v>1</v>
      </c>
      <c r="K121" s="194">
        <v>10</v>
      </c>
      <c r="L121" s="194">
        <v>150</v>
      </c>
      <c r="M121" s="194">
        <v>200</v>
      </c>
      <c r="N121" s="194">
        <v>0</v>
      </c>
      <c r="O121" s="204">
        <v>1</v>
      </c>
      <c r="P121" s="88">
        <v>1</v>
      </c>
      <c r="Q121" s="194">
        <v>0</v>
      </c>
      <c r="R121" s="194">
        <v>0</v>
      </c>
      <c r="S121" s="194" t="s">
        <v>38</v>
      </c>
      <c r="T121" s="43" t="s">
        <v>8728</v>
      </c>
      <c r="U121" s="25" t="s">
        <v>8737</v>
      </c>
      <c r="V121" s="25">
        <v>0</v>
      </c>
      <c r="W121" s="109">
        <v>1</v>
      </c>
      <c r="X121" s="109">
        <v>1</v>
      </c>
    </row>
    <row r="122" spans="1:24" ht="16.5" x14ac:dyDescent="0.15">
      <c r="A122" s="25">
        <v>908205</v>
      </c>
      <c r="B122" s="219" t="s">
        <v>8738</v>
      </c>
      <c r="C122" s="179" t="s">
        <v>8441</v>
      </c>
      <c r="D122" s="179">
        <v>1001</v>
      </c>
      <c r="E122" s="179">
        <v>2</v>
      </c>
      <c r="F122" s="179">
        <v>1</v>
      </c>
      <c r="G122" s="194">
        <v>0</v>
      </c>
      <c r="H122" s="194">
        <v>0</v>
      </c>
      <c r="I122" s="88">
        <v>999</v>
      </c>
      <c r="J122" s="194" t="b">
        <v>1</v>
      </c>
      <c r="K122" s="194">
        <v>10</v>
      </c>
      <c r="L122" s="194">
        <v>150</v>
      </c>
      <c r="M122" s="194">
        <v>200</v>
      </c>
      <c r="N122" s="194">
        <v>0</v>
      </c>
      <c r="O122" s="204">
        <v>1</v>
      </c>
      <c r="P122" s="88">
        <v>1</v>
      </c>
      <c r="Q122" s="194">
        <v>0</v>
      </c>
      <c r="R122" s="194">
        <v>0</v>
      </c>
      <c r="S122" s="194" t="s">
        <v>38</v>
      </c>
      <c r="T122" s="43" t="s">
        <v>8731</v>
      </c>
      <c r="U122" s="25" t="s">
        <v>8739</v>
      </c>
      <c r="V122" s="25">
        <v>0</v>
      </c>
      <c r="W122" s="109">
        <v>1</v>
      </c>
      <c r="X122" s="109">
        <v>1</v>
      </c>
    </row>
    <row r="123" spans="1:24" x14ac:dyDescent="0.15">
      <c r="A123" s="25">
        <v>908207</v>
      </c>
      <c r="B123" s="25" t="s">
        <v>8740</v>
      </c>
      <c r="C123" s="179" t="s">
        <v>8441</v>
      </c>
      <c r="D123" s="179">
        <v>1001</v>
      </c>
      <c r="E123" s="179">
        <v>2</v>
      </c>
      <c r="F123" s="179">
        <v>0</v>
      </c>
      <c r="G123" s="194">
        <v>0</v>
      </c>
      <c r="H123" s="194">
        <v>0</v>
      </c>
      <c r="I123" s="88">
        <v>999</v>
      </c>
      <c r="J123" s="194" t="b">
        <v>1</v>
      </c>
      <c r="K123" s="194">
        <v>10</v>
      </c>
      <c r="L123" s="194">
        <v>150</v>
      </c>
      <c r="M123" s="194">
        <v>200</v>
      </c>
      <c r="N123" s="194">
        <v>0</v>
      </c>
      <c r="O123" s="204">
        <v>0</v>
      </c>
      <c r="P123" s="88">
        <v>1</v>
      </c>
      <c r="Q123" s="194">
        <v>0</v>
      </c>
      <c r="R123" s="194">
        <v>0</v>
      </c>
      <c r="S123" s="194">
        <v>0</v>
      </c>
      <c r="T123" s="25" t="s">
        <v>8741</v>
      </c>
      <c r="U123" s="25" t="s">
        <v>8742</v>
      </c>
      <c r="V123" s="25">
        <v>0</v>
      </c>
      <c r="W123" s="109">
        <v>0</v>
      </c>
      <c r="X123" s="109">
        <v>0</v>
      </c>
    </row>
    <row r="124" spans="1:24" x14ac:dyDescent="0.15">
      <c r="A124" s="25">
        <v>908208</v>
      </c>
      <c r="B124" s="83" t="s">
        <v>8743</v>
      </c>
      <c r="C124" s="179" t="s">
        <v>8441</v>
      </c>
      <c r="D124" s="179">
        <v>1001</v>
      </c>
      <c r="E124" s="179">
        <v>2</v>
      </c>
      <c r="F124" s="179">
        <v>0</v>
      </c>
      <c r="G124" s="194">
        <v>0</v>
      </c>
      <c r="H124" s="194">
        <v>0</v>
      </c>
      <c r="I124" s="88">
        <v>999</v>
      </c>
      <c r="J124" s="194" t="b">
        <v>1</v>
      </c>
      <c r="K124" s="194">
        <v>10</v>
      </c>
      <c r="L124" s="194">
        <v>150</v>
      </c>
      <c r="M124" s="194">
        <v>200</v>
      </c>
      <c r="N124" s="194">
        <v>0</v>
      </c>
      <c r="O124" s="204">
        <v>0</v>
      </c>
      <c r="P124" s="88">
        <v>1</v>
      </c>
      <c r="Q124" s="194">
        <v>0</v>
      </c>
      <c r="R124" s="194">
        <v>0</v>
      </c>
      <c r="S124" s="194">
        <v>0</v>
      </c>
      <c r="T124" s="25" t="s">
        <v>8744</v>
      </c>
      <c r="U124" s="25" t="s">
        <v>8745</v>
      </c>
      <c r="V124" s="25">
        <v>0</v>
      </c>
      <c r="W124" s="109">
        <v>0</v>
      </c>
      <c r="X124" s="109">
        <v>0</v>
      </c>
    </row>
    <row r="125" spans="1:24" x14ac:dyDescent="0.15">
      <c r="A125" s="25">
        <v>908209</v>
      </c>
      <c r="B125" s="83" t="s">
        <v>8746</v>
      </c>
      <c r="C125" s="179" t="s">
        <v>8441</v>
      </c>
      <c r="D125" s="179">
        <v>1001</v>
      </c>
      <c r="E125" s="179">
        <v>2</v>
      </c>
      <c r="F125" s="179">
        <v>0</v>
      </c>
      <c r="G125" s="194">
        <v>0</v>
      </c>
      <c r="H125" s="194">
        <v>0</v>
      </c>
      <c r="I125" s="88">
        <v>999</v>
      </c>
      <c r="J125" s="194" t="b">
        <v>1</v>
      </c>
      <c r="K125" s="194">
        <v>360</v>
      </c>
      <c r="L125" s="194">
        <v>360</v>
      </c>
      <c r="M125" s="194">
        <v>360</v>
      </c>
      <c r="N125" s="194">
        <v>0</v>
      </c>
      <c r="O125" s="204">
        <v>0</v>
      </c>
      <c r="P125" s="88">
        <v>1</v>
      </c>
      <c r="Q125" s="194">
        <v>0</v>
      </c>
      <c r="R125" s="194">
        <v>0</v>
      </c>
      <c r="S125" s="194">
        <v>0</v>
      </c>
      <c r="T125" s="25" t="s">
        <v>8747</v>
      </c>
      <c r="U125" s="25" t="s">
        <v>8101</v>
      </c>
      <c r="V125" s="25">
        <v>0</v>
      </c>
      <c r="W125" s="109">
        <v>0</v>
      </c>
      <c r="X125" s="109">
        <v>0</v>
      </c>
    </row>
    <row r="126" spans="1:24" x14ac:dyDescent="0.15">
      <c r="A126" s="25">
        <v>908210</v>
      </c>
      <c r="B126" s="83" t="s">
        <v>8748</v>
      </c>
      <c r="C126" s="179" t="s">
        <v>8441</v>
      </c>
      <c r="D126" s="179">
        <v>1001</v>
      </c>
      <c r="E126" s="179">
        <v>2</v>
      </c>
      <c r="F126" s="179">
        <v>0</v>
      </c>
      <c r="G126" s="194">
        <v>0</v>
      </c>
      <c r="H126" s="194">
        <v>0</v>
      </c>
      <c r="I126" s="88">
        <v>999</v>
      </c>
      <c r="J126" s="194" t="b">
        <v>1</v>
      </c>
      <c r="K126" s="194">
        <v>360</v>
      </c>
      <c r="L126" s="194">
        <v>360</v>
      </c>
      <c r="M126" s="194">
        <v>360</v>
      </c>
      <c r="N126" s="194">
        <v>0</v>
      </c>
      <c r="O126" s="204">
        <v>0</v>
      </c>
      <c r="P126" s="88">
        <v>1</v>
      </c>
      <c r="Q126" s="194">
        <v>0</v>
      </c>
      <c r="R126" s="194">
        <v>0</v>
      </c>
      <c r="S126" s="194">
        <v>0</v>
      </c>
      <c r="T126" s="25" t="s">
        <v>8749</v>
      </c>
      <c r="U126" s="25" t="s">
        <v>7874</v>
      </c>
      <c r="V126" s="25">
        <v>0</v>
      </c>
      <c r="W126" s="109">
        <v>0</v>
      </c>
      <c r="X126" s="109">
        <v>0</v>
      </c>
    </row>
    <row r="127" spans="1:24" x14ac:dyDescent="0.15">
      <c r="A127" s="25">
        <v>908211</v>
      </c>
      <c r="B127" s="83" t="s">
        <v>8750</v>
      </c>
      <c r="C127" s="179" t="s">
        <v>8441</v>
      </c>
      <c r="D127" s="179">
        <v>1001</v>
      </c>
      <c r="E127" s="179">
        <v>2</v>
      </c>
      <c r="F127" s="179">
        <v>0</v>
      </c>
      <c r="G127" s="194">
        <v>0</v>
      </c>
      <c r="H127" s="194">
        <v>0</v>
      </c>
      <c r="I127" s="88">
        <v>999</v>
      </c>
      <c r="J127" s="194" t="b">
        <v>1</v>
      </c>
      <c r="K127" s="194">
        <v>360</v>
      </c>
      <c r="L127" s="194">
        <v>360</v>
      </c>
      <c r="M127" s="194">
        <v>360</v>
      </c>
      <c r="N127" s="194">
        <v>0</v>
      </c>
      <c r="O127" s="204">
        <v>0</v>
      </c>
      <c r="P127" s="88">
        <v>1</v>
      </c>
      <c r="Q127" s="194">
        <v>0</v>
      </c>
      <c r="R127" s="194">
        <v>0</v>
      </c>
      <c r="S127" s="194">
        <v>0</v>
      </c>
      <c r="T127" s="25" t="s">
        <v>8751</v>
      </c>
      <c r="U127" s="25" t="s">
        <v>2806</v>
      </c>
      <c r="V127" s="25">
        <v>0</v>
      </c>
      <c r="W127" s="109">
        <v>0</v>
      </c>
      <c r="X127" s="109">
        <v>0</v>
      </c>
    </row>
    <row r="128" spans="1:24" s="190" customFormat="1" x14ac:dyDescent="0.15">
      <c r="A128" s="202">
        <v>908212</v>
      </c>
      <c r="B128" s="190" t="s">
        <v>8752</v>
      </c>
      <c r="C128" s="203" t="s">
        <v>8441</v>
      </c>
      <c r="D128" s="203">
        <v>1001</v>
      </c>
      <c r="E128" s="203">
        <v>2</v>
      </c>
      <c r="F128" s="203">
        <v>0</v>
      </c>
      <c r="G128" s="203">
        <v>0</v>
      </c>
      <c r="H128" s="203">
        <v>0</v>
      </c>
      <c r="I128" s="88">
        <v>999</v>
      </c>
      <c r="J128" s="203" t="b">
        <v>1</v>
      </c>
      <c r="K128" s="203">
        <v>216</v>
      </c>
      <c r="L128" s="203"/>
      <c r="M128" s="203"/>
      <c r="N128" s="203">
        <v>0</v>
      </c>
      <c r="O128" s="203">
        <v>0</v>
      </c>
      <c r="P128" s="205">
        <v>1</v>
      </c>
      <c r="Q128" s="203">
        <v>0</v>
      </c>
      <c r="R128" s="203">
        <v>0</v>
      </c>
      <c r="S128" s="203">
        <v>0</v>
      </c>
      <c r="T128" s="203" t="s">
        <v>8752</v>
      </c>
      <c r="U128" s="202" t="s">
        <v>8753</v>
      </c>
      <c r="V128" s="202">
        <v>0</v>
      </c>
      <c r="W128" s="205">
        <v>0</v>
      </c>
      <c r="X128" s="205">
        <v>0</v>
      </c>
    </row>
    <row r="129" spans="1:24" s="190" customFormat="1" x14ac:dyDescent="0.15">
      <c r="A129" s="202">
        <v>908213</v>
      </c>
      <c r="B129" s="190" t="s">
        <v>8754</v>
      </c>
      <c r="C129" s="203" t="s">
        <v>8441</v>
      </c>
      <c r="D129" s="203">
        <v>1001</v>
      </c>
      <c r="E129" s="203">
        <v>2</v>
      </c>
      <c r="F129" s="203">
        <v>0</v>
      </c>
      <c r="G129" s="203">
        <v>0</v>
      </c>
      <c r="H129" s="203">
        <v>0</v>
      </c>
      <c r="I129" s="88">
        <v>999</v>
      </c>
      <c r="J129" s="203" t="b">
        <v>1</v>
      </c>
      <c r="K129" s="203">
        <v>300</v>
      </c>
      <c r="L129" s="203"/>
      <c r="M129" s="203"/>
      <c r="N129" s="203">
        <v>0</v>
      </c>
      <c r="O129" s="203">
        <v>0</v>
      </c>
      <c r="P129" s="205">
        <v>1</v>
      </c>
      <c r="Q129" s="203">
        <v>0</v>
      </c>
      <c r="R129" s="203">
        <v>0</v>
      </c>
      <c r="S129" s="203">
        <v>0</v>
      </c>
      <c r="T129" s="203" t="s">
        <v>8754</v>
      </c>
      <c r="U129" s="202" t="s">
        <v>8755</v>
      </c>
      <c r="V129" s="202">
        <v>0</v>
      </c>
      <c r="W129" s="205">
        <v>0</v>
      </c>
      <c r="X129" s="205">
        <v>0</v>
      </c>
    </row>
    <row r="130" spans="1:24" s="190" customFormat="1" x14ac:dyDescent="0.15">
      <c r="A130" s="202">
        <v>908214</v>
      </c>
      <c r="B130" s="190" t="s">
        <v>8756</v>
      </c>
      <c r="C130" s="203" t="s">
        <v>8441</v>
      </c>
      <c r="D130" s="203">
        <v>1001</v>
      </c>
      <c r="E130" s="203">
        <v>2</v>
      </c>
      <c r="F130" s="203">
        <v>0</v>
      </c>
      <c r="G130" s="203">
        <v>0</v>
      </c>
      <c r="H130" s="203">
        <v>0</v>
      </c>
      <c r="I130" s="88">
        <v>999</v>
      </c>
      <c r="J130" s="203" t="b">
        <v>1</v>
      </c>
      <c r="K130" s="203">
        <v>360</v>
      </c>
      <c r="L130" s="203"/>
      <c r="M130" s="203"/>
      <c r="N130" s="203">
        <v>0</v>
      </c>
      <c r="O130" s="203">
        <v>0</v>
      </c>
      <c r="P130" s="205">
        <v>1</v>
      </c>
      <c r="Q130" s="203">
        <v>0</v>
      </c>
      <c r="R130" s="203">
        <v>0</v>
      </c>
      <c r="S130" s="203">
        <v>0</v>
      </c>
      <c r="T130" s="203" t="s">
        <v>8756</v>
      </c>
      <c r="U130" s="202" t="s">
        <v>8757</v>
      </c>
      <c r="V130" s="202">
        <v>0</v>
      </c>
      <c r="W130" s="205">
        <v>0</v>
      </c>
      <c r="X130" s="205">
        <v>0</v>
      </c>
    </row>
    <row r="131" spans="1:24" x14ac:dyDescent="0.15">
      <c r="A131" s="83">
        <v>908218</v>
      </c>
      <c r="B131" s="83" t="s">
        <v>8758</v>
      </c>
      <c r="C131" s="83" t="s">
        <v>8441</v>
      </c>
      <c r="D131" s="179">
        <v>1001</v>
      </c>
      <c r="E131" s="179">
        <v>7</v>
      </c>
      <c r="F131" s="179">
        <v>0</v>
      </c>
      <c r="G131" s="179">
        <v>0</v>
      </c>
      <c r="H131" s="179">
        <v>0</v>
      </c>
      <c r="I131" s="88">
        <v>999</v>
      </c>
      <c r="J131" s="179" t="b">
        <v>0</v>
      </c>
      <c r="K131" s="179">
        <v>10</v>
      </c>
      <c r="L131" s="194">
        <v>150</v>
      </c>
      <c r="M131" s="194">
        <v>200</v>
      </c>
      <c r="N131" s="179">
        <v>0</v>
      </c>
      <c r="O131" s="179">
        <v>0</v>
      </c>
      <c r="P131" s="88">
        <v>1</v>
      </c>
      <c r="Q131" s="179">
        <v>0</v>
      </c>
      <c r="R131" s="179">
        <v>0</v>
      </c>
      <c r="S131" s="179">
        <v>0</v>
      </c>
      <c r="T131" s="25" t="s">
        <v>8759</v>
      </c>
      <c r="U131" s="179" t="s">
        <v>3761</v>
      </c>
      <c r="V131" s="25"/>
      <c r="W131" s="25"/>
      <c r="X131" s="25"/>
    </row>
    <row r="132" spans="1:24" x14ac:dyDescent="0.15">
      <c r="A132" s="83">
        <v>908219</v>
      </c>
      <c r="B132" s="83" t="s">
        <v>8760</v>
      </c>
      <c r="C132" s="179" t="s">
        <v>8441</v>
      </c>
      <c r="D132" s="179">
        <v>1001</v>
      </c>
      <c r="E132" s="179">
        <v>2</v>
      </c>
      <c r="F132" s="179">
        <v>0</v>
      </c>
      <c r="G132" s="194">
        <v>0</v>
      </c>
      <c r="H132" s="194">
        <v>0</v>
      </c>
      <c r="I132" s="88">
        <v>999</v>
      </c>
      <c r="J132" s="194" t="b">
        <v>1</v>
      </c>
      <c r="K132" s="194">
        <v>10</v>
      </c>
      <c r="L132" s="194">
        <v>150</v>
      </c>
      <c r="M132" s="194">
        <v>200</v>
      </c>
      <c r="N132" s="194">
        <v>0</v>
      </c>
      <c r="O132" s="204">
        <v>1</v>
      </c>
      <c r="P132" s="88">
        <v>1</v>
      </c>
      <c r="Q132" s="194">
        <v>0</v>
      </c>
      <c r="R132" s="194">
        <v>0</v>
      </c>
      <c r="S132" s="194" t="s">
        <v>38</v>
      </c>
      <c r="T132" s="179" t="s">
        <v>8761</v>
      </c>
      <c r="U132" s="25" t="s">
        <v>8762</v>
      </c>
      <c r="V132" s="25">
        <v>0</v>
      </c>
      <c r="W132" s="109">
        <v>1</v>
      </c>
      <c r="X132" s="109">
        <v>1</v>
      </c>
    </row>
    <row r="133" spans="1:24" x14ac:dyDescent="0.15">
      <c r="A133" s="83">
        <v>908220</v>
      </c>
      <c r="B133" s="83" t="s">
        <v>8763</v>
      </c>
      <c r="C133" s="179" t="s">
        <v>8441</v>
      </c>
      <c r="D133" s="179">
        <v>1001</v>
      </c>
      <c r="E133" s="179">
        <v>2</v>
      </c>
      <c r="F133" s="179">
        <v>0</v>
      </c>
      <c r="G133" s="194">
        <v>0</v>
      </c>
      <c r="H133" s="194">
        <v>0</v>
      </c>
      <c r="I133" s="88">
        <v>999</v>
      </c>
      <c r="J133" s="194" t="b">
        <v>1</v>
      </c>
      <c r="K133" s="194">
        <v>10</v>
      </c>
      <c r="L133" s="194">
        <v>150</v>
      </c>
      <c r="M133" s="194">
        <v>200</v>
      </c>
      <c r="N133" s="194">
        <v>0</v>
      </c>
      <c r="O133" s="204">
        <v>1</v>
      </c>
      <c r="P133" s="88">
        <v>1</v>
      </c>
      <c r="Q133" s="194">
        <v>0</v>
      </c>
      <c r="R133" s="194">
        <v>0</v>
      </c>
      <c r="S133" s="194" t="s">
        <v>38</v>
      </c>
      <c r="T133" s="179" t="s">
        <v>8761</v>
      </c>
      <c r="U133" s="25" t="s">
        <v>8764</v>
      </c>
      <c r="V133" s="25">
        <v>0</v>
      </c>
      <c r="W133" s="109">
        <v>1</v>
      </c>
      <c r="X133" s="109">
        <v>1</v>
      </c>
    </row>
    <row r="134" spans="1:24" x14ac:dyDescent="0.15">
      <c r="A134" s="98">
        <v>908221</v>
      </c>
      <c r="B134" s="98" t="s">
        <v>8765</v>
      </c>
      <c r="C134" s="98" t="s">
        <v>8441</v>
      </c>
      <c r="D134" s="98">
        <v>1001</v>
      </c>
      <c r="E134">
        <v>5</v>
      </c>
      <c r="F134">
        <v>0</v>
      </c>
      <c r="G134">
        <v>0</v>
      </c>
      <c r="H134">
        <v>0</v>
      </c>
      <c r="I134">
        <v>999</v>
      </c>
      <c r="J134" t="b">
        <v>1</v>
      </c>
      <c r="K134">
        <v>250</v>
      </c>
      <c r="L134">
        <v>500</v>
      </c>
      <c r="M134">
        <v>750</v>
      </c>
      <c r="N134">
        <v>0</v>
      </c>
      <c r="O134">
        <v>2</v>
      </c>
      <c r="P134">
        <v>1</v>
      </c>
      <c r="Q134">
        <v>0</v>
      </c>
      <c r="R134">
        <v>0</v>
      </c>
      <c r="S134" t="s">
        <v>7477</v>
      </c>
      <c r="T134" t="s">
        <v>8766</v>
      </c>
      <c r="U134" t="s">
        <v>8767</v>
      </c>
      <c r="V134">
        <v>0</v>
      </c>
      <c r="W134">
        <v>1</v>
      </c>
      <c r="X134">
        <v>1</v>
      </c>
    </row>
    <row r="135" spans="1:24" x14ac:dyDescent="0.15">
      <c r="A135" s="83">
        <v>908222</v>
      </c>
      <c r="B135" s="83" t="s">
        <v>8463</v>
      </c>
      <c r="C135" s="179" t="s">
        <v>8441</v>
      </c>
      <c r="D135" s="179">
        <v>1001</v>
      </c>
      <c r="E135" s="179">
        <v>2</v>
      </c>
      <c r="F135" s="179">
        <v>0</v>
      </c>
      <c r="G135" s="194">
        <v>0</v>
      </c>
      <c r="H135" s="194">
        <v>0</v>
      </c>
      <c r="I135" s="194">
        <v>1</v>
      </c>
      <c r="J135" s="194" t="b">
        <v>0</v>
      </c>
      <c r="K135" s="194">
        <v>-1</v>
      </c>
      <c r="L135" s="194">
        <v>-1</v>
      </c>
      <c r="M135" s="194">
        <v>-1</v>
      </c>
      <c r="N135" s="194">
        <v>0</v>
      </c>
      <c r="O135" s="204">
        <v>0</v>
      </c>
      <c r="P135" s="88">
        <v>1</v>
      </c>
      <c r="Q135" s="194">
        <v>0</v>
      </c>
      <c r="R135" s="194">
        <v>0</v>
      </c>
      <c r="S135" s="194">
        <v>0</v>
      </c>
      <c r="T135" s="179" t="s">
        <v>8768</v>
      </c>
      <c r="U135" s="25" t="s">
        <v>8062</v>
      </c>
      <c r="V135" s="83">
        <v>0</v>
      </c>
      <c r="W135" s="197">
        <v>0</v>
      </c>
      <c r="X135" s="197">
        <v>0</v>
      </c>
    </row>
    <row r="136" spans="1:24" x14ac:dyDescent="0.15">
      <c r="A136" s="83">
        <v>908223</v>
      </c>
      <c r="B136" s="83" t="s">
        <v>8463</v>
      </c>
      <c r="C136" s="179" t="s">
        <v>8441</v>
      </c>
      <c r="D136" s="179">
        <v>1001</v>
      </c>
      <c r="E136" s="179">
        <v>2</v>
      </c>
      <c r="F136" s="179">
        <v>0</v>
      </c>
      <c r="G136" s="194">
        <v>0</v>
      </c>
      <c r="H136" s="194">
        <v>0</v>
      </c>
      <c r="I136" s="194">
        <v>1</v>
      </c>
      <c r="J136" s="194" t="b">
        <v>0</v>
      </c>
      <c r="K136" s="194">
        <v>-1</v>
      </c>
      <c r="L136" s="194">
        <v>-1</v>
      </c>
      <c r="M136" s="194">
        <v>-1</v>
      </c>
      <c r="N136" s="194">
        <v>0</v>
      </c>
      <c r="O136" s="204">
        <v>0</v>
      </c>
      <c r="P136" s="88">
        <v>1</v>
      </c>
      <c r="Q136" s="194">
        <v>0</v>
      </c>
      <c r="R136" s="194">
        <v>0</v>
      </c>
      <c r="S136" s="194">
        <v>0</v>
      </c>
      <c r="T136" s="179" t="s">
        <v>8769</v>
      </c>
      <c r="U136" s="25" t="s">
        <v>7868</v>
      </c>
      <c r="V136" s="83">
        <v>0</v>
      </c>
      <c r="W136" s="197">
        <v>0</v>
      </c>
      <c r="X136" s="197">
        <v>0</v>
      </c>
    </row>
    <row r="137" spans="1:24" x14ac:dyDescent="0.15">
      <c r="A137" s="83">
        <v>908224</v>
      </c>
      <c r="B137" s="83" t="s">
        <v>8463</v>
      </c>
      <c r="C137" s="179" t="s">
        <v>8441</v>
      </c>
      <c r="D137" s="179">
        <v>1001</v>
      </c>
      <c r="E137" s="179">
        <v>2</v>
      </c>
      <c r="F137" s="179">
        <v>0</v>
      </c>
      <c r="G137" s="194">
        <v>0</v>
      </c>
      <c r="H137" s="194">
        <v>0</v>
      </c>
      <c r="I137" s="194">
        <v>1</v>
      </c>
      <c r="J137" s="194" t="b">
        <v>0</v>
      </c>
      <c r="K137" s="194">
        <v>-1</v>
      </c>
      <c r="L137" s="194">
        <v>-1</v>
      </c>
      <c r="M137" s="194">
        <v>-1</v>
      </c>
      <c r="N137" s="194">
        <v>0</v>
      </c>
      <c r="O137" s="204">
        <v>0</v>
      </c>
      <c r="P137" s="88">
        <v>1</v>
      </c>
      <c r="Q137" s="194">
        <v>0</v>
      </c>
      <c r="R137" s="194">
        <v>0</v>
      </c>
      <c r="S137" s="194">
        <v>0</v>
      </c>
      <c r="T137" s="179" t="s">
        <v>8770</v>
      </c>
      <c r="U137" s="25" t="s">
        <v>8062</v>
      </c>
      <c r="V137" s="83">
        <v>0</v>
      </c>
      <c r="W137" s="197">
        <v>0</v>
      </c>
      <c r="X137" s="197">
        <v>0</v>
      </c>
    </row>
    <row r="138" spans="1:24" x14ac:dyDescent="0.15">
      <c r="A138" s="83">
        <v>908225</v>
      </c>
      <c r="B138" s="83" t="s">
        <v>8771</v>
      </c>
      <c r="C138" s="179" t="s">
        <v>8441</v>
      </c>
      <c r="D138" s="179">
        <v>1001</v>
      </c>
      <c r="E138" s="179">
        <v>2</v>
      </c>
      <c r="F138" s="179">
        <v>0</v>
      </c>
      <c r="G138" s="194">
        <v>0</v>
      </c>
      <c r="H138" s="194">
        <v>0</v>
      </c>
      <c r="I138" s="194">
        <v>1</v>
      </c>
      <c r="J138" s="194" t="b">
        <v>0</v>
      </c>
      <c r="K138" s="194">
        <v>-1</v>
      </c>
      <c r="L138" s="194">
        <v>-1</v>
      </c>
      <c r="M138" s="194">
        <v>-1</v>
      </c>
      <c r="N138" s="194">
        <v>0</v>
      </c>
      <c r="O138" s="204">
        <v>0</v>
      </c>
      <c r="P138" s="88">
        <v>1</v>
      </c>
      <c r="Q138" s="194">
        <v>0</v>
      </c>
      <c r="R138" s="194">
        <v>0</v>
      </c>
      <c r="S138" s="194">
        <v>0</v>
      </c>
      <c r="T138" s="179" t="s">
        <v>8772</v>
      </c>
      <c r="U138" s="25" t="s">
        <v>7868</v>
      </c>
      <c r="V138" s="83">
        <v>0</v>
      </c>
      <c r="W138" s="197">
        <v>0</v>
      </c>
      <c r="X138" s="197">
        <v>0</v>
      </c>
    </row>
    <row r="139" spans="1:24" x14ac:dyDescent="0.15">
      <c r="A139" s="83">
        <v>908226</v>
      </c>
      <c r="B139" s="83" t="s">
        <v>8463</v>
      </c>
      <c r="C139" s="179" t="s">
        <v>8441</v>
      </c>
      <c r="D139" s="179">
        <v>1001</v>
      </c>
      <c r="E139" s="179">
        <v>2</v>
      </c>
      <c r="F139" s="179">
        <v>0</v>
      </c>
      <c r="G139" s="194">
        <v>0</v>
      </c>
      <c r="H139" s="194">
        <v>0</v>
      </c>
      <c r="I139" s="194">
        <v>1</v>
      </c>
      <c r="J139" s="194" t="b">
        <v>0</v>
      </c>
      <c r="K139" s="194">
        <v>-1</v>
      </c>
      <c r="L139" s="194">
        <v>-1</v>
      </c>
      <c r="M139" s="194">
        <v>-1</v>
      </c>
      <c r="N139" s="194">
        <v>0</v>
      </c>
      <c r="O139" s="204">
        <v>0</v>
      </c>
      <c r="P139" s="88">
        <v>1</v>
      </c>
      <c r="Q139" s="194">
        <v>0</v>
      </c>
      <c r="R139" s="194">
        <v>0</v>
      </c>
      <c r="S139" s="194">
        <v>0</v>
      </c>
      <c r="T139" s="179" t="s">
        <v>8773</v>
      </c>
      <c r="U139" s="25" t="s">
        <v>7868</v>
      </c>
      <c r="V139" s="83">
        <v>0</v>
      </c>
      <c r="W139" s="197">
        <v>0</v>
      </c>
      <c r="X139" s="197">
        <v>0</v>
      </c>
    </row>
    <row r="140" spans="1:24" x14ac:dyDescent="0.15">
      <c r="A140" s="83">
        <v>908227</v>
      </c>
      <c r="B140" s="83" t="s">
        <v>8463</v>
      </c>
      <c r="C140" s="179" t="s">
        <v>8441</v>
      </c>
      <c r="D140" s="179">
        <v>1001</v>
      </c>
      <c r="E140" s="179">
        <v>2</v>
      </c>
      <c r="F140" s="179">
        <v>0</v>
      </c>
      <c r="G140" s="194">
        <v>0</v>
      </c>
      <c r="H140" s="194">
        <v>0</v>
      </c>
      <c r="I140" s="194">
        <v>1</v>
      </c>
      <c r="J140" s="194" t="b">
        <v>0</v>
      </c>
      <c r="K140" s="194">
        <v>-1</v>
      </c>
      <c r="L140" s="194">
        <v>-1</v>
      </c>
      <c r="M140" s="194">
        <v>-1</v>
      </c>
      <c r="N140" s="194">
        <v>0</v>
      </c>
      <c r="O140" s="204">
        <v>0</v>
      </c>
      <c r="P140" s="88">
        <v>1</v>
      </c>
      <c r="Q140" s="194">
        <v>0</v>
      </c>
      <c r="R140" s="194">
        <v>0</v>
      </c>
      <c r="S140" s="194">
        <v>0</v>
      </c>
      <c r="T140" s="179" t="s">
        <v>8774</v>
      </c>
      <c r="U140" s="25" t="s">
        <v>8062</v>
      </c>
      <c r="V140" s="83">
        <v>0</v>
      </c>
      <c r="W140" s="197">
        <v>0</v>
      </c>
      <c r="X140" s="197">
        <v>0</v>
      </c>
    </row>
    <row r="141" spans="1:24" ht="16.5" x14ac:dyDescent="0.15">
      <c r="A141" s="83">
        <v>908228</v>
      </c>
      <c r="B141" s="219" t="s">
        <v>8775</v>
      </c>
      <c r="C141" s="179" t="s">
        <v>8441</v>
      </c>
      <c r="D141" s="179">
        <v>1001</v>
      </c>
      <c r="E141" s="179">
        <v>2</v>
      </c>
      <c r="F141" s="179">
        <v>0</v>
      </c>
      <c r="G141" s="194">
        <v>0</v>
      </c>
      <c r="H141" s="194">
        <v>0</v>
      </c>
      <c r="I141" s="88">
        <v>999</v>
      </c>
      <c r="J141" s="194" t="b">
        <v>1</v>
      </c>
      <c r="K141" s="194">
        <v>10</v>
      </c>
      <c r="L141" s="194">
        <v>150</v>
      </c>
      <c r="M141" s="194">
        <v>200</v>
      </c>
      <c r="N141" s="194">
        <v>0</v>
      </c>
      <c r="O141" s="204">
        <v>1</v>
      </c>
      <c r="P141" s="88">
        <v>1</v>
      </c>
      <c r="Q141" s="194">
        <v>0</v>
      </c>
      <c r="R141" s="194">
        <v>0</v>
      </c>
      <c r="S141" s="194" t="s">
        <v>38</v>
      </c>
      <c r="T141" s="43" t="s">
        <v>8776</v>
      </c>
      <c r="U141" s="25" t="s">
        <v>8777</v>
      </c>
      <c r="V141" s="25">
        <v>0</v>
      </c>
      <c r="W141" s="109">
        <v>1</v>
      </c>
      <c r="X141" s="109">
        <v>1</v>
      </c>
    </row>
    <row r="142" spans="1:24" ht="16.5" x14ac:dyDescent="0.15">
      <c r="A142" s="83">
        <v>908229</v>
      </c>
      <c r="B142" s="219" t="s">
        <v>8778</v>
      </c>
      <c r="C142" s="179" t="s">
        <v>8441</v>
      </c>
      <c r="D142" s="179">
        <v>1001</v>
      </c>
      <c r="E142" s="179">
        <v>2</v>
      </c>
      <c r="F142" s="179">
        <v>0</v>
      </c>
      <c r="G142" s="194">
        <v>0</v>
      </c>
      <c r="H142" s="194">
        <v>0</v>
      </c>
      <c r="I142" s="88">
        <v>999</v>
      </c>
      <c r="J142" s="194" t="b">
        <v>1</v>
      </c>
      <c r="K142" s="194">
        <v>10</v>
      </c>
      <c r="L142" s="194">
        <v>150</v>
      </c>
      <c r="M142" s="194">
        <v>200</v>
      </c>
      <c r="N142" s="194">
        <v>0</v>
      </c>
      <c r="O142" s="204">
        <v>1</v>
      </c>
      <c r="P142" s="88">
        <v>1</v>
      </c>
      <c r="Q142" s="194">
        <v>0</v>
      </c>
      <c r="R142" s="194">
        <v>0</v>
      </c>
      <c r="S142" s="194" t="s">
        <v>38</v>
      </c>
      <c r="T142" s="43" t="s">
        <v>8779</v>
      </c>
      <c r="U142" s="25" t="s">
        <v>8780</v>
      </c>
      <c r="V142" s="25">
        <v>0</v>
      </c>
      <c r="W142" s="109">
        <v>1</v>
      </c>
      <c r="X142" s="109">
        <v>1</v>
      </c>
    </row>
    <row r="143" spans="1:24" ht="16.5" x14ac:dyDescent="0.15">
      <c r="A143" s="83">
        <v>908230</v>
      </c>
      <c r="B143" s="219" t="s">
        <v>8781</v>
      </c>
      <c r="C143" s="179" t="s">
        <v>8441</v>
      </c>
      <c r="D143" s="179">
        <v>1001</v>
      </c>
      <c r="E143" s="179">
        <v>2</v>
      </c>
      <c r="F143" s="179">
        <v>0</v>
      </c>
      <c r="G143" s="194">
        <v>0</v>
      </c>
      <c r="H143" s="194">
        <v>0</v>
      </c>
      <c r="I143" s="88">
        <v>999</v>
      </c>
      <c r="J143" s="194" t="b">
        <v>1</v>
      </c>
      <c r="K143" s="194">
        <v>10</v>
      </c>
      <c r="L143" s="194">
        <v>150</v>
      </c>
      <c r="M143" s="194">
        <v>200</v>
      </c>
      <c r="N143" s="194">
        <v>0</v>
      </c>
      <c r="O143" s="204">
        <v>1</v>
      </c>
      <c r="P143" s="88">
        <v>1</v>
      </c>
      <c r="Q143" s="194">
        <v>0</v>
      </c>
      <c r="R143" s="194">
        <v>0</v>
      </c>
      <c r="S143" s="194" t="s">
        <v>38</v>
      </c>
      <c r="T143" s="43" t="s">
        <v>8776</v>
      </c>
      <c r="U143" s="25" t="s">
        <v>8782</v>
      </c>
      <c r="V143" s="25">
        <v>0</v>
      </c>
      <c r="W143" s="109">
        <v>1</v>
      </c>
      <c r="X143" s="109">
        <v>1</v>
      </c>
    </row>
    <row r="144" spans="1:24" ht="16.5" x14ac:dyDescent="0.15">
      <c r="A144" s="83">
        <v>908231</v>
      </c>
      <c r="B144" s="219" t="s">
        <v>8783</v>
      </c>
      <c r="C144" s="179" t="s">
        <v>8441</v>
      </c>
      <c r="D144" s="179">
        <v>1001</v>
      </c>
      <c r="E144" s="179">
        <v>2</v>
      </c>
      <c r="F144" s="179">
        <v>0</v>
      </c>
      <c r="G144" s="194">
        <v>0</v>
      </c>
      <c r="H144" s="194">
        <v>0</v>
      </c>
      <c r="I144" s="88">
        <v>999</v>
      </c>
      <c r="J144" s="194" t="b">
        <v>1</v>
      </c>
      <c r="K144" s="194">
        <v>10</v>
      </c>
      <c r="L144" s="194">
        <v>150</v>
      </c>
      <c r="M144" s="194">
        <v>200</v>
      </c>
      <c r="N144" s="194">
        <v>0</v>
      </c>
      <c r="O144" s="204">
        <v>1</v>
      </c>
      <c r="P144" s="88">
        <v>1</v>
      </c>
      <c r="Q144" s="194">
        <v>0</v>
      </c>
      <c r="R144" s="194">
        <v>0</v>
      </c>
      <c r="S144" s="194" t="s">
        <v>38</v>
      </c>
      <c r="T144" s="43" t="s">
        <v>8784</v>
      </c>
      <c r="U144" s="25" t="s">
        <v>8785</v>
      </c>
      <c r="V144" s="25">
        <v>0</v>
      </c>
      <c r="W144" s="109">
        <v>1</v>
      </c>
      <c r="X144" s="109">
        <v>1</v>
      </c>
    </row>
    <row r="145" spans="1:24" ht="16.5" x14ac:dyDescent="0.15">
      <c r="A145" s="83">
        <v>908232</v>
      </c>
      <c r="B145" s="219" t="s">
        <v>8786</v>
      </c>
      <c r="C145" s="179" t="s">
        <v>8441</v>
      </c>
      <c r="D145" s="179">
        <v>1001</v>
      </c>
      <c r="E145" s="179">
        <v>2</v>
      </c>
      <c r="F145" s="179">
        <v>1</v>
      </c>
      <c r="G145" s="194">
        <v>0</v>
      </c>
      <c r="H145" s="194">
        <v>0</v>
      </c>
      <c r="I145" s="88">
        <v>999</v>
      </c>
      <c r="J145" s="194" t="b">
        <v>1</v>
      </c>
      <c r="K145" s="194">
        <v>10</v>
      </c>
      <c r="L145" s="194">
        <v>150</v>
      </c>
      <c r="M145" s="194">
        <v>200</v>
      </c>
      <c r="N145" s="194">
        <v>0</v>
      </c>
      <c r="O145" s="204">
        <v>1</v>
      </c>
      <c r="P145" s="88">
        <v>1</v>
      </c>
      <c r="Q145" s="194">
        <v>0</v>
      </c>
      <c r="R145" s="194">
        <v>0</v>
      </c>
      <c r="S145" s="194" t="s">
        <v>38</v>
      </c>
      <c r="T145" s="43" t="s">
        <v>8787</v>
      </c>
      <c r="U145" s="25" t="s">
        <v>8788</v>
      </c>
      <c r="V145" s="25">
        <v>0</v>
      </c>
      <c r="W145" s="109">
        <v>1</v>
      </c>
      <c r="X145" s="109">
        <v>1</v>
      </c>
    </row>
    <row r="146" spans="1:24" ht="16.5" x14ac:dyDescent="0.15">
      <c r="A146" s="83">
        <v>908233</v>
      </c>
      <c r="B146" s="219" t="s">
        <v>8789</v>
      </c>
      <c r="C146" s="179" t="s">
        <v>8441</v>
      </c>
      <c r="D146" s="179">
        <v>1001</v>
      </c>
      <c r="E146" s="179">
        <v>2</v>
      </c>
      <c r="F146" s="179">
        <v>1</v>
      </c>
      <c r="G146" s="194">
        <v>0</v>
      </c>
      <c r="H146" s="194">
        <v>0</v>
      </c>
      <c r="I146" s="88">
        <v>999</v>
      </c>
      <c r="J146" s="194" t="b">
        <v>1</v>
      </c>
      <c r="K146" s="194">
        <v>10</v>
      </c>
      <c r="L146" s="194">
        <v>150</v>
      </c>
      <c r="M146" s="194">
        <v>200</v>
      </c>
      <c r="N146" s="194">
        <v>0</v>
      </c>
      <c r="O146" s="204">
        <v>1</v>
      </c>
      <c r="P146" s="88">
        <v>1</v>
      </c>
      <c r="Q146" s="194">
        <v>0</v>
      </c>
      <c r="R146" s="194">
        <v>0</v>
      </c>
      <c r="S146" s="194" t="s">
        <v>38</v>
      </c>
      <c r="T146" s="43" t="s">
        <v>8790</v>
      </c>
      <c r="U146" s="25" t="s">
        <v>8791</v>
      </c>
      <c r="V146" s="25">
        <v>0</v>
      </c>
      <c r="W146" s="109">
        <v>1</v>
      </c>
      <c r="X146" s="109">
        <v>1</v>
      </c>
    </row>
    <row r="147" spans="1:24" ht="16.5" x14ac:dyDescent="0.15">
      <c r="A147" s="83">
        <v>908234</v>
      </c>
      <c r="B147" s="219" t="s">
        <v>8792</v>
      </c>
      <c r="C147" s="179" t="s">
        <v>8441</v>
      </c>
      <c r="D147" s="179">
        <v>1001</v>
      </c>
      <c r="E147" s="179">
        <v>2</v>
      </c>
      <c r="F147" s="179">
        <v>0</v>
      </c>
      <c r="G147" s="194">
        <v>0</v>
      </c>
      <c r="H147" s="194">
        <v>0</v>
      </c>
      <c r="I147" s="88">
        <v>999</v>
      </c>
      <c r="J147" s="194" t="b">
        <v>1</v>
      </c>
      <c r="K147" s="194">
        <v>10</v>
      </c>
      <c r="L147" s="194">
        <v>150</v>
      </c>
      <c r="M147" s="194">
        <v>200</v>
      </c>
      <c r="N147" s="194">
        <v>0</v>
      </c>
      <c r="O147" s="204">
        <v>1</v>
      </c>
      <c r="P147" s="88">
        <v>1</v>
      </c>
      <c r="Q147" s="194">
        <v>0</v>
      </c>
      <c r="R147" s="194">
        <v>0</v>
      </c>
      <c r="S147" s="194" t="s">
        <v>38</v>
      </c>
      <c r="T147" s="43" t="s">
        <v>8793</v>
      </c>
      <c r="U147" s="25" t="s">
        <v>8794</v>
      </c>
      <c r="V147" s="25">
        <v>0</v>
      </c>
      <c r="W147" s="109">
        <v>1</v>
      </c>
      <c r="X147" s="109">
        <v>1</v>
      </c>
    </row>
    <row r="148" spans="1:24" ht="16.5" x14ac:dyDescent="0.15">
      <c r="A148" s="83">
        <v>908235</v>
      </c>
      <c r="B148" s="219" t="s">
        <v>8792</v>
      </c>
      <c r="C148" s="179" t="s">
        <v>8441</v>
      </c>
      <c r="D148" s="179">
        <v>1001</v>
      </c>
      <c r="E148" s="179">
        <v>2</v>
      </c>
      <c r="F148" s="179">
        <v>0</v>
      </c>
      <c r="G148" s="194">
        <v>0</v>
      </c>
      <c r="H148" s="194">
        <v>0</v>
      </c>
      <c r="I148" s="88">
        <v>999</v>
      </c>
      <c r="J148" s="194" t="b">
        <v>1</v>
      </c>
      <c r="K148" s="194">
        <v>10</v>
      </c>
      <c r="L148" s="194">
        <v>150</v>
      </c>
      <c r="M148" s="194">
        <v>200</v>
      </c>
      <c r="N148" s="194">
        <v>0</v>
      </c>
      <c r="O148" s="204">
        <v>1</v>
      </c>
      <c r="P148" s="88">
        <v>1</v>
      </c>
      <c r="Q148" s="194">
        <v>0</v>
      </c>
      <c r="R148" s="194">
        <v>0</v>
      </c>
      <c r="S148" s="194" t="s">
        <v>38</v>
      </c>
      <c r="T148" s="43" t="s">
        <v>8795</v>
      </c>
      <c r="U148" s="25" t="s">
        <v>8796</v>
      </c>
      <c r="V148" s="25">
        <v>0</v>
      </c>
      <c r="W148" s="109">
        <v>1</v>
      </c>
      <c r="X148" s="109">
        <v>1</v>
      </c>
    </row>
    <row r="149" spans="1:24" x14ac:dyDescent="0.15">
      <c r="A149" s="104">
        <v>908236</v>
      </c>
      <c r="B149" s="104" t="s">
        <v>8797</v>
      </c>
      <c r="C149" s="209" t="s">
        <v>8441</v>
      </c>
      <c r="D149" s="209">
        <v>1001</v>
      </c>
      <c r="E149" s="209">
        <v>2</v>
      </c>
      <c r="F149" s="209">
        <v>0</v>
      </c>
      <c r="G149" s="209">
        <v>0</v>
      </c>
      <c r="H149" s="209">
        <v>0</v>
      </c>
      <c r="I149" s="210">
        <v>999</v>
      </c>
      <c r="J149" s="209" t="b">
        <v>1</v>
      </c>
      <c r="K149" s="209">
        <v>10</v>
      </c>
      <c r="L149" s="209">
        <v>150</v>
      </c>
      <c r="M149" s="209">
        <v>200</v>
      </c>
      <c r="N149" s="209">
        <v>0</v>
      </c>
      <c r="O149" s="211">
        <v>1</v>
      </c>
      <c r="P149" s="210">
        <v>1</v>
      </c>
      <c r="Q149" s="209">
        <v>0</v>
      </c>
      <c r="R149" s="209">
        <v>0</v>
      </c>
      <c r="S149" s="209" t="s">
        <v>38</v>
      </c>
      <c r="T149" s="104" t="s">
        <v>8798</v>
      </c>
      <c r="U149" s="104" t="s">
        <v>8799</v>
      </c>
      <c r="V149" s="25">
        <v>0</v>
      </c>
      <c r="W149" s="109">
        <v>1</v>
      </c>
      <c r="X149" s="109">
        <v>1</v>
      </c>
    </row>
    <row r="150" spans="1:24" x14ac:dyDescent="0.15">
      <c r="A150" s="104">
        <v>908237</v>
      </c>
      <c r="B150" s="104" t="s">
        <v>8800</v>
      </c>
      <c r="C150" s="209" t="s">
        <v>8441</v>
      </c>
      <c r="D150" s="209">
        <v>1001</v>
      </c>
      <c r="E150" s="209">
        <v>2</v>
      </c>
      <c r="F150" s="209">
        <v>0</v>
      </c>
      <c r="G150" s="209">
        <v>0</v>
      </c>
      <c r="H150" s="209">
        <v>0</v>
      </c>
      <c r="I150" s="210">
        <v>999</v>
      </c>
      <c r="J150" s="209" t="b">
        <v>1</v>
      </c>
      <c r="K150" s="209">
        <v>10</v>
      </c>
      <c r="L150" s="209">
        <v>150</v>
      </c>
      <c r="M150" s="209">
        <v>200</v>
      </c>
      <c r="N150" s="209">
        <v>0</v>
      </c>
      <c r="O150" s="211">
        <v>1</v>
      </c>
      <c r="P150" s="210">
        <v>1</v>
      </c>
      <c r="Q150" s="209">
        <v>0</v>
      </c>
      <c r="R150" s="209">
        <v>0</v>
      </c>
      <c r="S150" s="209" t="s">
        <v>38</v>
      </c>
      <c r="T150" s="104" t="s">
        <v>8801</v>
      </c>
      <c r="U150" s="104" t="s">
        <v>8802</v>
      </c>
      <c r="V150" s="25">
        <v>0</v>
      </c>
      <c r="W150" s="109">
        <v>1</v>
      </c>
      <c r="X150" s="109">
        <v>1</v>
      </c>
    </row>
    <row r="151" spans="1:24" x14ac:dyDescent="0.15">
      <c r="A151" s="104">
        <v>908238</v>
      </c>
      <c r="B151" s="104" t="s">
        <v>8803</v>
      </c>
      <c r="C151" s="209" t="s">
        <v>8441</v>
      </c>
      <c r="D151" s="209">
        <v>1001</v>
      </c>
      <c r="E151" s="209">
        <v>2</v>
      </c>
      <c r="F151" s="209">
        <v>0</v>
      </c>
      <c r="G151" s="209">
        <v>0</v>
      </c>
      <c r="H151" s="209">
        <v>0</v>
      </c>
      <c r="I151" s="210">
        <v>999</v>
      </c>
      <c r="J151" s="209" t="b">
        <v>1</v>
      </c>
      <c r="K151" s="209">
        <v>10</v>
      </c>
      <c r="L151" s="209">
        <v>150</v>
      </c>
      <c r="M151" s="209">
        <v>200</v>
      </c>
      <c r="N151" s="209">
        <v>0</v>
      </c>
      <c r="O151" s="211">
        <v>1</v>
      </c>
      <c r="P151" s="210">
        <v>1</v>
      </c>
      <c r="Q151" s="209">
        <v>0</v>
      </c>
      <c r="R151" s="209">
        <v>0</v>
      </c>
      <c r="S151" s="209" t="s">
        <v>38</v>
      </c>
      <c r="T151" s="104" t="s">
        <v>8804</v>
      </c>
      <c r="U151" s="104" t="s">
        <v>8805</v>
      </c>
      <c r="V151" s="25">
        <v>0</v>
      </c>
      <c r="W151" s="109">
        <v>1</v>
      </c>
      <c r="X151" s="109">
        <v>1</v>
      </c>
    </row>
    <row r="152" spans="1:24" x14ac:dyDescent="0.15">
      <c r="A152" s="104">
        <v>908239</v>
      </c>
      <c r="B152" s="104" t="s">
        <v>8806</v>
      </c>
      <c r="C152" s="209" t="s">
        <v>8441</v>
      </c>
      <c r="D152" s="209">
        <v>1001</v>
      </c>
      <c r="E152" s="209">
        <v>2</v>
      </c>
      <c r="F152" s="209">
        <v>0</v>
      </c>
      <c r="G152" s="209">
        <v>0</v>
      </c>
      <c r="H152" s="209">
        <v>0</v>
      </c>
      <c r="I152" s="210">
        <v>999</v>
      </c>
      <c r="J152" s="209" t="b">
        <v>1</v>
      </c>
      <c r="K152" s="209">
        <v>10</v>
      </c>
      <c r="L152" s="209">
        <v>150</v>
      </c>
      <c r="M152" s="209">
        <v>200</v>
      </c>
      <c r="N152" s="209">
        <v>0</v>
      </c>
      <c r="O152" s="211">
        <v>1</v>
      </c>
      <c r="P152" s="210">
        <v>1</v>
      </c>
      <c r="Q152" s="209">
        <v>0</v>
      </c>
      <c r="R152" s="209">
        <v>0</v>
      </c>
      <c r="S152" s="209" t="s">
        <v>38</v>
      </c>
      <c r="T152" s="104" t="s">
        <v>8807</v>
      </c>
      <c r="U152" s="104" t="s">
        <v>8808</v>
      </c>
      <c r="V152" s="25">
        <v>0</v>
      </c>
      <c r="W152" s="109">
        <v>1</v>
      </c>
      <c r="X152" s="109">
        <v>1</v>
      </c>
    </row>
    <row r="153" spans="1:24" x14ac:dyDescent="0.15">
      <c r="A153" s="104">
        <v>908240</v>
      </c>
      <c r="B153" s="104" t="s">
        <v>8809</v>
      </c>
      <c r="C153" s="209" t="s">
        <v>8441</v>
      </c>
      <c r="D153" s="209">
        <v>1001</v>
      </c>
      <c r="E153" s="209">
        <v>2</v>
      </c>
      <c r="F153" s="209">
        <v>0</v>
      </c>
      <c r="G153" s="209">
        <v>0</v>
      </c>
      <c r="H153" s="209">
        <v>0</v>
      </c>
      <c r="I153" s="210">
        <v>999</v>
      </c>
      <c r="J153" s="209" t="b">
        <v>1</v>
      </c>
      <c r="K153" s="209">
        <v>10</v>
      </c>
      <c r="L153" s="209">
        <v>150</v>
      </c>
      <c r="M153" s="209">
        <v>200</v>
      </c>
      <c r="N153" s="209">
        <v>0</v>
      </c>
      <c r="O153" s="211">
        <v>1</v>
      </c>
      <c r="P153" s="210">
        <v>1</v>
      </c>
      <c r="Q153" s="209">
        <v>0</v>
      </c>
      <c r="R153" s="209">
        <v>0</v>
      </c>
      <c r="S153" s="209" t="s">
        <v>38</v>
      </c>
      <c r="T153" s="104" t="s">
        <v>8807</v>
      </c>
      <c r="U153" s="104" t="s">
        <v>8810</v>
      </c>
      <c r="V153" s="25">
        <v>0</v>
      </c>
      <c r="W153" s="109">
        <v>1</v>
      </c>
      <c r="X153" s="109">
        <v>1</v>
      </c>
    </row>
    <row r="154" spans="1:24" x14ac:dyDescent="0.15">
      <c r="A154" s="104">
        <v>908241</v>
      </c>
      <c r="B154" s="104" t="s">
        <v>8811</v>
      </c>
      <c r="C154" s="209" t="s">
        <v>8441</v>
      </c>
      <c r="D154" s="209">
        <v>1001</v>
      </c>
      <c r="E154" s="209">
        <v>2</v>
      </c>
      <c r="F154" s="209">
        <v>0</v>
      </c>
      <c r="G154" s="209">
        <v>0</v>
      </c>
      <c r="H154" s="209">
        <v>0</v>
      </c>
      <c r="I154" s="210">
        <v>999</v>
      </c>
      <c r="J154" s="209" t="b">
        <v>1</v>
      </c>
      <c r="K154" s="209">
        <v>10</v>
      </c>
      <c r="L154" s="209">
        <v>150</v>
      </c>
      <c r="M154" s="209">
        <v>200</v>
      </c>
      <c r="N154" s="209">
        <v>0</v>
      </c>
      <c r="O154" s="211">
        <v>1</v>
      </c>
      <c r="P154" s="210">
        <v>1</v>
      </c>
      <c r="Q154" s="209">
        <v>0</v>
      </c>
      <c r="R154" s="209">
        <v>0</v>
      </c>
      <c r="S154" s="209" t="s">
        <v>38</v>
      </c>
      <c r="T154" s="104" t="s">
        <v>8807</v>
      </c>
      <c r="U154" s="104" t="s">
        <v>8812</v>
      </c>
      <c r="V154" s="25">
        <v>0</v>
      </c>
      <c r="W154" s="109">
        <v>1</v>
      </c>
      <c r="X154" s="109">
        <v>1</v>
      </c>
    </row>
    <row r="155" spans="1:24" x14ac:dyDescent="0.15">
      <c r="A155" s="104">
        <v>908242</v>
      </c>
      <c r="B155" s="104" t="s">
        <v>8813</v>
      </c>
      <c r="C155" s="209" t="s">
        <v>8441</v>
      </c>
      <c r="D155" s="209">
        <v>1001</v>
      </c>
      <c r="E155" s="209">
        <v>2</v>
      </c>
      <c r="F155" s="209">
        <v>0</v>
      </c>
      <c r="G155" s="209">
        <v>0</v>
      </c>
      <c r="H155" s="209">
        <v>0</v>
      </c>
      <c r="I155" s="210">
        <v>999</v>
      </c>
      <c r="J155" s="209" t="b">
        <v>1</v>
      </c>
      <c r="K155" s="209">
        <v>10</v>
      </c>
      <c r="L155" s="209">
        <v>150</v>
      </c>
      <c r="M155" s="209">
        <v>200</v>
      </c>
      <c r="N155" s="209">
        <v>0</v>
      </c>
      <c r="O155" s="211">
        <v>1</v>
      </c>
      <c r="P155" s="210">
        <v>1</v>
      </c>
      <c r="Q155" s="209">
        <v>0</v>
      </c>
      <c r="R155" s="209">
        <v>0</v>
      </c>
      <c r="S155" s="209" t="s">
        <v>38</v>
      </c>
      <c r="T155" s="104" t="s">
        <v>8807</v>
      </c>
      <c r="U155" s="104" t="s">
        <v>8814</v>
      </c>
      <c r="V155" s="25">
        <v>0</v>
      </c>
      <c r="W155" s="109">
        <v>1</v>
      </c>
      <c r="X155" s="109">
        <v>1</v>
      </c>
    </row>
    <row r="156" spans="1:24" x14ac:dyDescent="0.15">
      <c r="A156" s="104">
        <v>908243</v>
      </c>
      <c r="B156" s="104" t="s">
        <v>8815</v>
      </c>
      <c r="C156" s="209" t="s">
        <v>8441</v>
      </c>
      <c r="D156" s="209">
        <v>1001</v>
      </c>
      <c r="E156" s="209">
        <v>2</v>
      </c>
      <c r="F156" s="209">
        <v>0</v>
      </c>
      <c r="G156" s="209">
        <v>0</v>
      </c>
      <c r="H156" s="209">
        <v>0</v>
      </c>
      <c r="I156" s="210">
        <v>999</v>
      </c>
      <c r="J156" s="209" t="b">
        <v>1</v>
      </c>
      <c r="K156" s="209">
        <v>10</v>
      </c>
      <c r="L156" s="209">
        <v>150</v>
      </c>
      <c r="M156" s="209">
        <v>200</v>
      </c>
      <c r="N156" s="209">
        <v>0</v>
      </c>
      <c r="O156" s="211">
        <v>1</v>
      </c>
      <c r="P156" s="210">
        <v>1</v>
      </c>
      <c r="Q156" s="209">
        <v>0</v>
      </c>
      <c r="R156" s="209">
        <v>0</v>
      </c>
      <c r="S156" s="209" t="s">
        <v>38</v>
      </c>
      <c r="T156" s="104" t="s">
        <v>8816</v>
      </c>
      <c r="U156" s="104" t="s">
        <v>8817</v>
      </c>
      <c r="V156" s="25">
        <v>0</v>
      </c>
      <c r="W156" s="109">
        <v>1</v>
      </c>
      <c r="X156" s="109">
        <v>1</v>
      </c>
    </row>
    <row r="157" spans="1:24" x14ac:dyDescent="0.15">
      <c r="A157" s="104">
        <v>908244</v>
      </c>
      <c r="B157" s="104" t="s">
        <v>8818</v>
      </c>
      <c r="C157" s="209" t="s">
        <v>8441</v>
      </c>
      <c r="D157" s="209">
        <v>1001</v>
      </c>
      <c r="E157" s="209">
        <v>2</v>
      </c>
      <c r="F157" s="209">
        <v>0</v>
      </c>
      <c r="G157" s="209">
        <v>0</v>
      </c>
      <c r="H157" s="209">
        <v>0</v>
      </c>
      <c r="I157" s="210">
        <v>999</v>
      </c>
      <c r="J157" s="209" t="b">
        <v>1</v>
      </c>
      <c r="K157" s="209">
        <v>10</v>
      </c>
      <c r="L157" s="209">
        <v>150</v>
      </c>
      <c r="M157" s="209">
        <v>200</v>
      </c>
      <c r="N157" s="209">
        <v>0</v>
      </c>
      <c r="O157" s="211">
        <v>1</v>
      </c>
      <c r="P157" s="210">
        <v>1</v>
      </c>
      <c r="Q157" s="209">
        <v>0</v>
      </c>
      <c r="R157" s="209">
        <v>0</v>
      </c>
      <c r="S157" s="209" t="s">
        <v>38</v>
      </c>
      <c r="T157" s="104" t="s">
        <v>8819</v>
      </c>
      <c r="U157" s="104" t="s">
        <v>8820</v>
      </c>
      <c r="V157" s="25">
        <v>0</v>
      </c>
      <c r="W157" s="109">
        <v>1</v>
      </c>
      <c r="X157" s="109">
        <v>1</v>
      </c>
    </row>
    <row r="158" spans="1:24" x14ac:dyDescent="0.15">
      <c r="A158" s="104">
        <v>908245</v>
      </c>
      <c r="B158" s="104" t="s">
        <v>8821</v>
      </c>
      <c r="C158" s="209" t="s">
        <v>8441</v>
      </c>
      <c r="D158" s="209">
        <v>1001</v>
      </c>
      <c r="E158" s="209">
        <v>2</v>
      </c>
      <c r="F158" s="209">
        <v>0</v>
      </c>
      <c r="G158" s="209">
        <v>0</v>
      </c>
      <c r="H158" s="209">
        <v>0</v>
      </c>
      <c r="I158" s="210">
        <v>999</v>
      </c>
      <c r="J158" s="209" t="b">
        <v>1</v>
      </c>
      <c r="K158" s="209">
        <v>10</v>
      </c>
      <c r="L158" s="209">
        <v>150</v>
      </c>
      <c r="M158" s="209">
        <v>200</v>
      </c>
      <c r="N158" s="209">
        <v>0</v>
      </c>
      <c r="O158" s="211">
        <v>1</v>
      </c>
      <c r="P158" s="210">
        <v>1</v>
      </c>
      <c r="Q158" s="209">
        <v>0</v>
      </c>
      <c r="R158" s="209">
        <v>0</v>
      </c>
      <c r="S158" s="209" t="s">
        <v>38</v>
      </c>
      <c r="T158" s="104" t="s">
        <v>8822</v>
      </c>
      <c r="U158" s="104" t="s">
        <v>8823</v>
      </c>
      <c r="V158" s="25">
        <v>0</v>
      </c>
      <c r="W158" s="109">
        <v>1</v>
      </c>
      <c r="X158" s="109">
        <v>1</v>
      </c>
    </row>
    <row r="159" spans="1:24" x14ac:dyDescent="0.15">
      <c r="A159" s="104">
        <v>908246</v>
      </c>
      <c r="B159" s="104" t="s">
        <v>8824</v>
      </c>
      <c r="C159" s="209" t="s">
        <v>8441</v>
      </c>
      <c r="D159" s="209">
        <v>1001</v>
      </c>
      <c r="E159" s="209">
        <v>2</v>
      </c>
      <c r="F159" s="209">
        <v>0</v>
      </c>
      <c r="G159" s="209">
        <v>0</v>
      </c>
      <c r="H159" s="209">
        <v>0</v>
      </c>
      <c r="I159" s="210">
        <v>999</v>
      </c>
      <c r="J159" s="209" t="b">
        <v>1</v>
      </c>
      <c r="K159" s="209">
        <v>10</v>
      </c>
      <c r="L159" s="209">
        <v>150</v>
      </c>
      <c r="M159" s="209">
        <v>200</v>
      </c>
      <c r="N159" s="209">
        <v>0</v>
      </c>
      <c r="O159" s="211">
        <v>1</v>
      </c>
      <c r="P159" s="210">
        <v>1</v>
      </c>
      <c r="Q159" s="209">
        <v>0</v>
      </c>
      <c r="R159" s="209">
        <v>0</v>
      </c>
      <c r="S159" s="209" t="s">
        <v>38</v>
      </c>
      <c r="T159" s="104" t="s">
        <v>8825</v>
      </c>
      <c r="U159" s="104" t="s">
        <v>8826</v>
      </c>
      <c r="V159" s="25">
        <v>0</v>
      </c>
      <c r="W159" s="109">
        <v>1</v>
      </c>
      <c r="X159" s="109">
        <v>1</v>
      </c>
    </row>
    <row r="160" spans="1:24" x14ac:dyDescent="0.15">
      <c r="A160" s="104">
        <v>908247</v>
      </c>
      <c r="B160" s="83" t="s">
        <v>8463</v>
      </c>
      <c r="C160" s="179" t="s">
        <v>8441</v>
      </c>
      <c r="D160" s="179">
        <v>1001</v>
      </c>
      <c r="E160" s="179">
        <v>2</v>
      </c>
      <c r="F160" s="179">
        <v>0</v>
      </c>
      <c r="G160" s="194">
        <v>0</v>
      </c>
      <c r="H160" s="194">
        <v>0</v>
      </c>
      <c r="I160" s="194">
        <v>1</v>
      </c>
      <c r="J160" s="194" t="b">
        <v>0</v>
      </c>
      <c r="K160" s="194">
        <v>-1</v>
      </c>
      <c r="L160" s="194">
        <v>-1</v>
      </c>
      <c r="M160" s="194">
        <v>-1</v>
      </c>
      <c r="N160" s="194">
        <v>0</v>
      </c>
      <c r="O160" s="204">
        <v>0</v>
      </c>
      <c r="P160" s="88">
        <v>1</v>
      </c>
      <c r="Q160" s="194">
        <v>0</v>
      </c>
      <c r="R160" s="194">
        <v>0</v>
      </c>
      <c r="S160" s="194">
        <v>0</v>
      </c>
      <c r="T160" s="179" t="s">
        <v>8827</v>
      </c>
      <c r="U160" s="25" t="s">
        <v>8062</v>
      </c>
      <c r="V160" s="83">
        <v>0</v>
      </c>
      <c r="W160" s="197">
        <v>0</v>
      </c>
      <c r="X160" s="197">
        <v>0</v>
      </c>
    </row>
    <row r="161" spans="1:24" x14ac:dyDescent="0.15">
      <c r="A161" s="104">
        <v>908248</v>
      </c>
      <c r="B161" s="83" t="s">
        <v>8463</v>
      </c>
      <c r="C161" s="179" t="s">
        <v>8441</v>
      </c>
      <c r="D161" s="179">
        <v>1001</v>
      </c>
      <c r="E161" s="179">
        <v>2</v>
      </c>
      <c r="F161" s="179">
        <v>0</v>
      </c>
      <c r="G161" s="194">
        <v>0</v>
      </c>
      <c r="H161" s="194">
        <v>0</v>
      </c>
      <c r="I161" s="194">
        <v>1</v>
      </c>
      <c r="J161" s="194" t="b">
        <v>0</v>
      </c>
      <c r="K161" s="194">
        <v>-1</v>
      </c>
      <c r="L161" s="194">
        <v>-1</v>
      </c>
      <c r="M161" s="194">
        <v>-1</v>
      </c>
      <c r="N161" s="194">
        <v>0</v>
      </c>
      <c r="O161" s="204">
        <v>0</v>
      </c>
      <c r="P161" s="88">
        <v>1</v>
      </c>
      <c r="Q161" s="194">
        <v>0</v>
      </c>
      <c r="R161" s="194">
        <v>0</v>
      </c>
      <c r="S161" s="194">
        <v>0</v>
      </c>
      <c r="T161" s="179" t="s">
        <v>8828</v>
      </c>
      <c r="U161" s="25" t="s">
        <v>8062</v>
      </c>
      <c r="V161" s="83">
        <v>0</v>
      </c>
      <c r="W161" s="197">
        <v>0</v>
      </c>
      <c r="X161" s="197">
        <v>0</v>
      </c>
    </row>
  </sheetData>
  <phoneticPr fontId="45" type="noConversion"/>
  <pageMargins left="0.7" right="0.7" top="0.75" bottom="0.75" header="0.3" footer="0.3"/>
  <pageSetup paperSize="9" orientation="portrait"/>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A1:Y161"/>
  <sheetViews>
    <sheetView zoomScale="85" zoomScaleNormal="85" workbookViewId="0">
      <pane ySplit="1" topLeftCell="A2" activePane="bottomLeft" state="frozen"/>
      <selection pane="bottomLeft" activeCell="Q9" sqref="Q9"/>
    </sheetView>
  </sheetViews>
  <sheetFormatPr defaultColWidth="9" defaultRowHeight="13.5" x14ac:dyDescent="0.15"/>
  <cols>
    <col min="1" max="1" width="7.5" style="98" customWidth="1"/>
    <col min="2" max="2" width="22.625" style="98" customWidth="1"/>
    <col min="3" max="4" width="11.625" style="98" customWidth="1"/>
    <col min="5" max="5" width="5.5" customWidth="1"/>
    <col min="6" max="6" width="19.5" customWidth="1"/>
    <col min="7" max="10" width="9.5" customWidth="1"/>
    <col min="11" max="11" width="9" customWidth="1"/>
    <col min="12" max="12" width="16.25" customWidth="1"/>
    <col min="13" max="13" width="18.5" customWidth="1"/>
    <col min="14" max="14" width="9" customWidth="1"/>
    <col min="15" max="16" width="10.5" customWidth="1"/>
    <col min="17" max="17" width="6.5" customWidth="1"/>
    <col min="18" max="18" width="9" customWidth="1"/>
    <col min="19" max="19" width="17.25" customWidth="1"/>
    <col min="20" max="20" width="37.875" customWidth="1"/>
    <col min="22" max="22" width="91.875" customWidth="1"/>
    <col min="23" max="23" width="12.375" customWidth="1"/>
  </cols>
  <sheetData>
    <row r="1" spans="1:25" ht="40.5" x14ac:dyDescent="0.15">
      <c r="A1" s="109" t="s">
        <v>0</v>
      </c>
      <c r="B1" s="109" t="s">
        <v>1</v>
      </c>
      <c r="C1" s="109" t="s">
        <v>3</v>
      </c>
      <c r="D1" s="109" t="s">
        <v>3367</v>
      </c>
      <c r="E1" s="191" t="s">
        <v>7</v>
      </c>
      <c r="F1" s="191" t="s">
        <v>9</v>
      </c>
      <c r="G1" s="191" t="s">
        <v>10</v>
      </c>
      <c r="H1" s="191" t="s">
        <v>3369</v>
      </c>
      <c r="I1" s="191" t="s">
        <v>16</v>
      </c>
      <c r="J1" s="191" t="s">
        <v>17</v>
      </c>
      <c r="K1" s="191" t="s">
        <v>18</v>
      </c>
      <c r="L1" s="195" t="s">
        <v>19</v>
      </c>
      <c r="M1" s="195" t="s">
        <v>20</v>
      </c>
      <c r="N1" s="191" t="s">
        <v>3371</v>
      </c>
      <c r="O1" s="191" t="s">
        <v>3372</v>
      </c>
      <c r="P1" s="196" t="s">
        <v>22</v>
      </c>
      <c r="Q1" s="191" t="s">
        <v>3585</v>
      </c>
      <c r="R1" s="191" t="s">
        <v>3375</v>
      </c>
      <c r="S1" s="191" t="s">
        <v>23</v>
      </c>
      <c r="T1" s="191" t="s">
        <v>24</v>
      </c>
      <c r="U1" s="15" t="s">
        <v>26</v>
      </c>
      <c r="V1" s="15" t="s">
        <v>27</v>
      </c>
      <c r="W1" s="197" t="s">
        <v>28</v>
      </c>
      <c r="X1" s="197" t="s">
        <v>29</v>
      </c>
      <c r="Y1" s="199" t="s">
        <v>8440</v>
      </c>
    </row>
    <row r="2" spans="1:25" s="5" customFormat="1" ht="27" x14ac:dyDescent="0.15">
      <c r="A2" s="192">
        <v>908008</v>
      </c>
      <c r="B2" t="s">
        <v>3893</v>
      </c>
      <c r="C2" s="192" t="s">
        <v>8441</v>
      </c>
      <c r="D2" s="192">
        <v>1001</v>
      </c>
      <c r="E2" s="192">
        <v>2</v>
      </c>
      <c r="F2" s="192">
        <v>0</v>
      </c>
      <c r="G2" s="192">
        <v>0</v>
      </c>
      <c r="H2" s="192">
        <v>0</v>
      </c>
      <c r="I2" s="192">
        <v>999</v>
      </c>
      <c r="J2" s="192" t="b">
        <v>1</v>
      </c>
      <c r="K2" s="192">
        <v>2</v>
      </c>
      <c r="L2" s="192">
        <v>4</v>
      </c>
      <c r="M2" s="192">
        <v>6</v>
      </c>
      <c r="N2" s="192">
        <v>0</v>
      </c>
      <c r="O2" s="192">
        <v>0</v>
      </c>
      <c r="P2" s="192">
        <v>1</v>
      </c>
      <c r="Q2" s="192">
        <v>0</v>
      </c>
      <c r="R2" s="192">
        <v>0</v>
      </c>
      <c r="S2" s="192">
        <v>0</v>
      </c>
      <c r="T2" t="s">
        <v>8829</v>
      </c>
      <c r="U2" s="13" t="s">
        <v>3700</v>
      </c>
      <c r="V2" s="13">
        <v>0</v>
      </c>
      <c r="W2" s="197">
        <v>1</v>
      </c>
      <c r="X2" s="197">
        <v>1</v>
      </c>
      <c r="Y2" s="41"/>
    </row>
    <row r="3" spans="1:25" s="97" customFormat="1" ht="43.15" customHeight="1" x14ac:dyDescent="0.15">
      <c r="A3" s="88">
        <v>908030</v>
      </c>
      <c r="B3" t="s">
        <v>7607</v>
      </c>
      <c r="C3" s="88" t="s">
        <v>8441</v>
      </c>
      <c r="D3" s="88">
        <v>1001</v>
      </c>
      <c r="E3" s="88">
        <v>2</v>
      </c>
      <c r="F3" s="88">
        <v>0</v>
      </c>
      <c r="G3" s="88">
        <v>0</v>
      </c>
      <c r="H3" s="193">
        <v>0</v>
      </c>
      <c r="I3" s="88">
        <v>999</v>
      </c>
      <c r="J3" s="88" t="b">
        <v>1</v>
      </c>
      <c r="K3" s="193">
        <v>1</v>
      </c>
      <c r="L3" s="193">
        <v>2</v>
      </c>
      <c r="M3" s="193">
        <v>3</v>
      </c>
      <c r="N3" s="88">
        <v>0</v>
      </c>
      <c r="O3" s="88">
        <v>0</v>
      </c>
      <c r="P3" s="88">
        <v>1</v>
      </c>
      <c r="Q3" s="88">
        <v>0</v>
      </c>
      <c r="R3" s="88">
        <v>0</v>
      </c>
      <c r="S3" s="88">
        <v>0</v>
      </c>
      <c r="T3" t="s">
        <v>8830</v>
      </c>
      <c r="U3" s="41" t="s">
        <v>8442</v>
      </c>
      <c r="V3" s="41">
        <v>0</v>
      </c>
      <c r="W3" s="197">
        <v>1</v>
      </c>
      <c r="X3" s="197">
        <v>1</v>
      </c>
    </row>
    <row r="4" spans="1:25" s="97" customFormat="1" ht="43.15" customHeight="1" x14ac:dyDescent="0.15">
      <c r="A4" s="88">
        <v>908032</v>
      </c>
      <c r="B4" t="s">
        <v>7609</v>
      </c>
      <c r="C4" s="88" t="s">
        <v>8441</v>
      </c>
      <c r="D4" s="88">
        <v>1001</v>
      </c>
      <c r="E4" s="88">
        <v>2</v>
      </c>
      <c r="F4" s="88">
        <v>0</v>
      </c>
      <c r="G4" s="88">
        <v>0</v>
      </c>
      <c r="H4" s="193">
        <v>0</v>
      </c>
      <c r="I4" s="88">
        <v>999</v>
      </c>
      <c r="J4" s="88" t="b">
        <v>1</v>
      </c>
      <c r="K4" s="193">
        <v>1</v>
      </c>
      <c r="L4" s="193">
        <v>2</v>
      </c>
      <c r="M4" s="193">
        <v>3</v>
      </c>
      <c r="N4" s="88">
        <v>0</v>
      </c>
      <c r="O4" s="88">
        <v>0</v>
      </c>
      <c r="P4" s="88">
        <v>1</v>
      </c>
      <c r="Q4" s="88">
        <v>0</v>
      </c>
      <c r="R4" s="88">
        <v>0</v>
      </c>
      <c r="S4" s="88">
        <v>0</v>
      </c>
      <c r="T4" t="s">
        <v>8831</v>
      </c>
      <c r="U4" s="41" t="s">
        <v>8444</v>
      </c>
      <c r="V4" s="41">
        <v>0</v>
      </c>
      <c r="W4" s="197">
        <v>1</v>
      </c>
      <c r="X4" s="197">
        <v>1</v>
      </c>
    </row>
    <row r="5" spans="1:25" s="97" customFormat="1" ht="43.15" customHeight="1" x14ac:dyDescent="0.15">
      <c r="A5" s="88">
        <v>908033</v>
      </c>
      <c r="B5" t="s">
        <v>7611</v>
      </c>
      <c r="C5" s="88" t="s">
        <v>8441</v>
      </c>
      <c r="D5" s="88">
        <v>1001</v>
      </c>
      <c r="E5" s="88">
        <v>2</v>
      </c>
      <c r="F5" s="88">
        <v>0</v>
      </c>
      <c r="G5" s="88">
        <v>0</v>
      </c>
      <c r="H5" s="193">
        <v>0</v>
      </c>
      <c r="I5" s="88">
        <v>999</v>
      </c>
      <c r="J5" s="88" t="b">
        <v>1</v>
      </c>
      <c r="K5" s="193">
        <v>1</v>
      </c>
      <c r="L5" s="193">
        <v>2</v>
      </c>
      <c r="M5" s="193">
        <v>3</v>
      </c>
      <c r="N5" s="88">
        <v>0</v>
      </c>
      <c r="O5" s="88">
        <v>0</v>
      </c>
      <c r="P5" s="88">
        <v>1</v>
      </c>
      <c r="Q5" s="88">
        <v>0</v>
      </c>
      <c r="R5" s="88">
        <v>0</v>
      </c>
      <c r="S5" s="88">
        <v>0</v>
      </c>
      <c r="T5" t="s">
        <v>8832</v>
      </c>
      <c r="U5" s="41" t="s">
        <v>8446</v>
      </c>
      <c r="V5" s="41">
        <v>0</v>
      </c>
      <c r="W5" s="197">
        <v>1</v>
      </c>
      <c r="X5" s="197">
        <v>1</v>
      </c>
    </row>
    <row r="6" spans="1:25" s="5" customFormat="1" ht="27" x14ac:dyDescent="0.15">
      <c r="A6" s="88">
        <v>908037</v>
      </c>
      <c r="B6" t="s">
        <v>7613</v>
      </c>
      <c r="C6" s="88" t="s">
        <v>8441</v>
      </c>
      <c r="D6" s="88">
        <v>1001</v>
      </c>
      <c r="E6" s="88">
        <v>2</v>
      </c>
      <c r="F6" s="88">
        <v>0</v>
      </c>
      <c r="G6" s="88">
        <v>0</v>
      </c>
      <c r="H6" s="193">
        <v>0</v>
      </c>
      <c r="I6" s="88">
        <v>999</v>
      </c>
      <c r="J6" s="88" t="b">
        <v>1</v>
      </c>
      <c r="K6" s="193">
        <v>1</v>
      </c>
      <c r="L6" s="193">
        <v>2</v>
      </c>
      <c r="M6" s="193">
        <v>3</v>
      </c>
      <c r="N6" s="88">
        <v>0</v>
      </c>
      <c r="O6" s="88">
        <v>0</v>
      </c>
      <c r="P6" s="88">
        <v>1</v>
      </c>
      <c r="Q6" s="88">
        <v>0</v>
      </c>
      <c r="R6" s="88">
        <v>0</v>
      </c>
      <c r="S6" s="88">
        <v>0</v>
      </c>
      <c r="T6" t="s">
        <v>8833</v>
      </c>
      <c r="U6" s="41" t="s">
        <v>8447</v>
      </c>
      <c r="V6" s="41">
        <v>0</v>
      </c>
      <c r="W6" s="197">
        <v>1</v>
      </c>
      <c r="X6" s="197">
        <v>1</v>
      </c>
    </row>
    <row r="7" spans="1:25" s="5" customFormat="1" ht="27" x14ac:dyDescent="0.15">
      <c r="A7" s="88">
        <v>908038</v>
      </c>
      <c r="B7" t="s">
        <v>8834</v>
      </c>
      <c r="C7" s="88" t="s">
        <v>8441</v>
      </c>
      <c r="D7" s="88">
        <v>1001</v>
      </c>
      <c r="E7" s="88">
        <v>2</v>
      </c>
      <c r="F7" s="88">
        <v>0</v>
      </c>
      <c r="G7" s="88">
        <v>0</v>
      </c>
      <c r="H7" s="193">
        <v>0</v>
      </c>
      <c r="I7" s="88">
        <v>999</v>
      </c>
      <c r="J7" s="88" t="b">
        <v>1</v>
      </c>
      <c r="K7" s="193">
        <v>1</v>
      </c>
      <c r="L7" s="193">
        <v>2</v>
      </c>
      <c r="M7" s="193">
        <v>3</v>
      </c>
      <c r="N7" s="88">
        <v>0</v>
      </c>
      <c r="O7" s="88">
        <v>0</v>
      </c>
      <c r="P7" s="88">
        <v>1</v>
      </c>
      <c r="Q7" s="88">
        <v>0</v>
      </c>
      <c r="R7" s="88">
        <v>0</v>
      </c>
      <c r="S7" s="88">
        <v>0</v>
      </c>
      <c r="T7" t="s">
        <v>8835</v>
      </c>
      <c r="U7" s="41" t="s">
        <v>8449</v>
      </c>
      <c r="V7" s="41">
        <v>0</v>
      </c>
      <c r="W7" s="197">
        <v>1</v>
      </c>
      <c r="X7" s="197">
        <v>1</v>
      </c>
    </row>
    <row r="8" spans="1:25" s="5" customFormat="1" ht="27" x14ac:dyDescent="0.15">
      <c r="A8" s="88">
        <v>908039</v>
      </c>
      <c r="B8" t="s">
        <v>8836</v>
      </c>
      <c r="C8" s="88" t="s">
        <v>8441</v>
      </c>
      <c r="D8" s="88">
        <v>1001</v>
      </c>
      <c r="E8" s="88">
        <v>2</v>
      </c>
      <c r="F8" s="88">
        <v>0</v>
      </c>
      <c r="G8" s="88">
        <v>0</v>
      </c>
      <c r="H8" s="193">
        <v>0</v>
      </c>
      <c r="I8" s="88">
        <v>999</v>
      </c>
      <c r="J8" s="88" t="b">
        <v>1</v>
      </c>
      <c r="K8" s="193">
        <v>2</v>
      </c>
      <c r="L8" s="193">
        <v>4</v>
      </c>
      <c r="M8" s="193">
        <v>6</v>
      </c>
      <c r="N8" s="88">
        <v>0</v>
      </c>
      <c r="O8" s="88">
        <v>0</v>
      </c>
      <c r="P8" s="88">
        <v>1</v>
      </c>
      <c r="Q8" s="88">
        <v>0</v>
      </c>
      <c r="R8" s="88">
        <v>0</v>
      </c>
      <c r="S8" s="88">
        <v>0</v>
      </c>
      <c r="T8" t="s">
        <v>8837</v>
      </c>
      <c r="U8" s="41" t="s">
        <v>8451</v>
      </c>
      <c r="V8" s="41">
        <v>0</v>
      </c>
      <c r="W8" s="197">
        <v>1</v>
      </c>
      <c r="X8" s="197">
        <v>1</v>
      </c>
    </row>
    <row r="9" spans="1:25" s="5" customFormat="1" ht="27" x14ac:dyDescent="0.15">
      <c r="A9" s="88">
        <v>908040</v>
      </c>
      <c r="B9" t="s">
        <v>7615</v>
      </c>
      <c r="C9" s="88" t="s">
        <v>8441</v>
      </c>
      <c r="D9" s="88">
        <v>1001</v>
      </c>
      <c r="E9" s="88">
        <v>2</v>
      </c>
      <c r="F9" s="88">
        <v>0</v>
      </c>
      <c r="G9" s="88">
        <v>0</v>
      </c>
      <c r="H9" s="193">
        <v>0</v>
      </c>
      <c r="I9" s="88">
        <v>999</v>
      </c>
      <c r="J9" s="88" t="b">
        <v>1</v>
      </c>
      <c r="K9" s="193">
        <v>1</v>
      </c>
      <c r="L9" s="193">
        <v>2</v>
      </c>
      <c r="M9" s="193">
        <v>3</v>
      </c>
      <c r="N9" s="88">
        <v>0</v>
      </c>
      <c r="O9" s="88">
        <v>0</v>
      </c>
      <c r="P9" s="88">
        <v>1</v>
      </c>
      <c r="Q9" s="88">
        <v>0</v>
      </c>
      <c r="R9" s="88">
        <v>0</v>
      </c>
      <c r="S9" s="88">
        <v>0</v>
      </c>
      <c r="T9" t="s">
        <v>8838</v>
      </c>
      <c r="U9" s="41" t="s">
        <v>8452</v>
      </c>
      <c r="V9" s="41">
        <v>0</v>
      </c>
      <c r="W9" s="197">
        <v>1</v>
      </c>
      <c r="X9" s="197">
        <v>1</v>
      </c>
    </row>
    <row r="10" spans="1:25" s="5" customFormat="1" ht="27" x14ac:dyDescent="0.15">
      <c r="A10" s="88">
        <v>908041</v>
      </c>
      <c r="B10" t="s">
        <v>7617</v>
      </c>
      <c r="C10" s="88" t="s">
        <v>8441</v>
      </c>
      <c r="D10" s="88">
        <v>1001</v>
      </c>
      <c r="E10" s="88">
        <v>2</v>
      </c>
      <c r="F10" s="88">
        <v>0</v>
      </c>
      <c r="G10" s="88">
        <v>0</v>
      </c>
      <c r="H10" s="193">
        <v>0</v>
      </c>
      <c r="I10" s="88">
        <v>999</v>
      </c>
      <c r="J10" s="88" t="b">
        <v>1</v>
      </c>
      <c r="K10" s="193">
        <v>1</v>
      </c>
      <c r="L10" s="193">
        <v>2</v>
      </c>
      <c r="M10" s="193">
        <v>3</v>
      </c>
      <c r="N10" s="88">
        <v>0</v>
      </c>
      <c r="O10" s="88">
        <v>0</v>
      </c>
      <c r="P10" s="88">
        <v>1</v>
      </c>
      <c r="Q10" s="88">
        <v>0</v>
      </c>
      <c r="R10" s="88">
        <v>0</v>
      </c>
      <c r="S10" s="88">
        <v>0</v>
      </c>
      <c r="T10" t="s">
        <v>8839</v>
      </c>
      <c r="U10" s="41" t="s">
        <v>8453</v>
      </c>
      <c r="V10" s="41">
        <v>0</v>
      </c>
      <c r="W10" s="197">
        <v>1</v>
      </c>
      <c r="X10" s="197">
        <v>1</v>
      </c>
    </row>
    <row r="11" spans="1:25" s="5" customFormat="1" ht="27" x14ac:dyDescent="0.15">
      <c r="A11" s="88">
        <v>908042</v>
      </c>
      <c r="B11" t="s">
        <v>7619</v>
      </c>
      <c r="C11" s="88" t="s">
        <v>8441</v>
      </c>
      <c r="D11" s="88">
        <v>1001</v>
      </c>
      <c r="E11" s="88">
        <v>2</v>
      </c>
      <c r="F11" s="88">
        <v>0</v>
      </c>
      <c r="G11" s="88">
        <v>0</v>
      </c>
      <c r="H11" s="193">
        <v>0</v>
      </c>
      <c r="I11" s="88">
        <v>999</v>
      </c>
      <c r="J11" s="88" t="b">
        <v>1</v>
      </c>
      <c r="K11" s="193">
        <v>1</v>
      </c>
      <c r="L11" s="193">
        <v>2</v>
      </c>
      <c r="M11" s="193">
        <v>3</v>
      </c>
      <c r="N11" s="88">
        <v>0</v>
      </c>
      <c r="O11" s="88">
        <v>0</v>
      </c>
      <c r="P11" s="88">
        <v>1</v>
      </c>
      <c r="Q11" s="88">
        <v>0</v>
      </c>
      <c r="R11" s="88">
        <v>0</v>
      </c>
      <c r="S11" s="88">
        <v>0</v>
      </c>
      <c r="T11" t="s">
        <v>8840</v>
      </c>
      <c r="U11" s="41" t="s">
        <v>8454</v>
      </c>
      <c r="V11" s="41">
        <v>0</v>
      </c>
      <c r="W11" s="197">
        <v>1</v>
      </c>
      <c r="X11" s="197">
        <v>1</v>
      </c>
    </row>
    <row r="12" spans="1:25" s="5" customFormat="1" ht="27" x14ac:dyDescent="0.15">
      <c r="A12" s="88">
        <v>908045</v>
      </c>
      <c r="B12" t="s">
        <v>7621</v>
      </c>
      <c r="C12" s="88" t="s">
        <v>8441</v>
      </c>
      <c r="D12" s="88">
        <v>1001</v>
      </c>
      <c r="E12" s="88">
        <v>2</v>
      </c>
      <c r="F12" s="88">
        <v>0</v>
      </c>
      <c r="G12" s="88">
        <v>7</v>
      </c>
      <c r="H12" s="193">
        <v>0</v>
      </c>
      <c r="I12" s="88">
        <v>999</v>
      </c>
      <c r="J12" s="88" t="b">
        <v>1</v>
      </c>
      <c r="K12" s="193">
        <v>1</v>
      </c>
      <c r="L12" s="193">
        <v>2</v>
      </c>
      <c r="M12" s="193">
        <v>3</v>
      </c>
      <c r="N12" s="193">
        <v>0</v>
      </c>
      <c r="O12" s="193">
        <v>0</v>
      </c>
      <c r="P12" s="88">
        <v>1</v>
      </c>
      <c r="Q12" s="88">
        <v>0</v>
      </c>
      <c r="R12" s="88">
        <v>0</v>
      </c>
      <c r="S12" s="88">
        <v>0</v>
      </c>
      <c r="T12" t="s">
        <v>8841</v>
      </c>
      <c r="U12" s="41" t="s">
        <v>8455</v>
      </c>
      <c r="V12" s="41">
        <v>0</v>
      </c>
      <c r="W12" s="197">
        <v>1</v>
      </c>
      <c r="X12" s="197">
        <v>1</v>
      </c>
    </row>
    <row r="13" spans="1:25" s="5" customFormat="1" ht="27" x14ac:dyDescent="0.15">
      <c r="A13" s="88">
        <v>908046</v>
      </c>
      <c r="B13" t="s">
        <v>7623</v>
      </c>
      <c r="C13" s="88" t="s">
        <v>8441</v>
      </c>
      <c r="D13" s="88">
        <v>1001</v>
      </c>
      <c r="E13" s="88">
        <v>2</v>
      </c>
      <c r="F13" s="88">
        <v>0</v>
      </c>
      <c r="G13" s="88">
        <v>0</v>
      </c>
      <c r="H13" s="193">
        <v>0</v>
      </c>
      <c r="I13" s="88">
        <v>999</v>
      </c>
      <c r="J13" s="88" t="b">
        <v>1</v>
      </c>
      <c r="K13" s="193">
        <v>1</v>
      </c>
      <c r="L13" s="193">
        <v>2</v>
      </c>
      <c r="M13" s="193">
        <v>3</v>
      </c>
      <c r="N13" s="193">
        <v>0</v>
      </c>
      <c r="O13" s="193">
        <v>0</v>
      </c>
      <c r="P13" s="88">
        <v>1</v>
      </c>
      <c r="Q13" s="88">
        <v>0</v>
      </c>
      <c r="R13" s="88">
        <v>0</v>
      </c>
      <c r="S13" s="88">
        <v>0</v>
      </c>
      <c r="T13" t="s">
        <v>7624</v>
      </c>
      <c r="U13" s="41" t="s">
        <v>8456</v>
      </c>
      <c r="V13" s="41">
        <v>0</v>
      </c>
      <c r="W13" s="197">
        <v>1</v>
      </c>
      <c r="X13" s="197">
        <v>1</v>
      </c>
    </row>
    <row r="14" spans="1:25" s="5" customFormat="1" ht="27" x14ac:dyDescent="0.15">
      <c r="A14" s="88">
        <v>908047</v>
      </c>
      <c r="B14" t="s">
        <v>7625</v>
      </c>
      <c r="C14" s="193" t="s">
        <v>8441</v>
      </c>
      <c r="D14" s="88">
        <v>1001</v>
      </c>
      <c r="E14" s="88">
        <v>2</v>
      </c>
      <c r="F14" s="88">
        <v>0</v>
      </c>
      <c r="G14" s="88">
        <v>0</v>
      </c>
      <c r="H14" s="193">
        <v>0</v>
      </c>
      <c r="I14" s="88">
        <v>999</v>
      </c>
      <c r="J14" s="88" t="b">
        <v>1</v>
      </c>
      <c r="K14" s="193">
        <v>1</v>
      </c>
      <c r="L14" s="193">
        <v>2</v>
      </c>
      <c r="M14" s="193">
        <v>3</v>
      </c>
      <c r="N14" s="193">
        <v>0</v>
      </c>
      <c r="O14" s="193">
        <v>0</v>
      </c>
      <c r="P14" s="88">
        <v>1</v>
      </c>
      <c r="Q14" s="88">
        <v>0</v>
      </c>
      <c r="R14" s="88">
        <v>0</v>
      </c>
      <c r="S14" s="88">
        <v>0</v>
      </c>
      <c r="T14" t="s">
        <v>8842</v>
      </c>
      <c r="U14" s="41" t="s">
        <v>8457</v>
      </c>
      <c r="V14" s="41">
        <v>0</v>
      </c>
      <c r="W14" s="197">
        <v>1</v>
      </c>
      <c r="X14" s="197">
        <v>1</v>
      </c>
    </row>
    <row r="15" spans="1:25" s="5" customFormat="1" ht="27" x14ac:dyDescent="0.15">
      <c r="A15" s="88">
        <v>908054</v>
      </c>
      <c r="B15" t="s">
        <v>3890</v>
      </c>
      <c r="C15" s="193" t="s">
        <v>8441</v>
      </c>
      <c r="D15" s="88">
        <v>1001</v>
      </c>
      <c r="E15" s="88">
        <v>2</v>
      </c>
      <c r="F15" s="88">
        <v>0</v>
      </c>
      <c r="G15" s="88">
        <v>0</v>
      </c>
      <c r="H15" s="193">
        <v>0</v>
      </c>
      <c r="I15" s="88">
        <v>999</v>
      </c>
      <c r="J15" s="88" t="b">
        <v>1</v>
      </c>
      <c r="K15" s="193">
        <v>1</v>
      </c>
      <c r="L15" s="193">
        <v>2</v>
      </c>
      <c r="M15" s="193">
        <v>3</v>
      </c>
      <c r="N15" s="193">
        <v>0</v>
      </c>
      <c r="O15" s="193">
        <v>0</v>
      </c>
      <c r="P15" s="88">
        <v>1</v>
      </c>
      <c r="Q15" s="88">
        <v>0</v>
      </c>
      <c r="R15" s="88">
        <v>0</v>
      </c>
      <c r="S15" s="88">
        <v>0</v>
      </c>
      <c r="T15" t="s">
        <v>8843</v>
      </c>
      <c r="U15" s="41" t="s">
        <v>3696</v>
      </c>
      <c r="V15" s="41">
        <v>0</v>
      </c>
      <c r="W15" s="197">
        <v>1</v>
      </c>
      <c r="X15" s="197">
        <v>1</v>
      </c>
    </row>
    <row r="16" spans="1:25" s="5" customFormat="1" ht="27" x14ac:dyDescent="0.15">
      <c r="A16" s="193">
        <v>908083</v>
      </c>
      <c r="B16" t="s">
        <v>8844</v>
      </c>
      <c r="C16" s="193" t="s">
        <v>8441</v>
      </c>
      <c r="D16" s="88">
        <v>1001</v>
      </c>
      <c r="E16" s="88">
        <v>2</v>
      </c>
      <c r="F16" s="88">
        <v>0</v>
      </c>
      <c r="G16" s="193">
        <v>0</v>
      </c>
      <c r="H16" s="193">
        <v>0</v>
      </c>
      <c r="I16" s="88">
        <v>1</v>
      </c>
      <c r="J16" s="88" t="b">
        <v>0</v>
      </c>
      <c r="K16" s="193">
        <v>-1</v>
      </c>
      <c r="L16" s="193">
        <v>-2</v>
      </c>
      <c r="M16" s="193">
        <v>-3</v>
      </c>
      <c r="N16" s="193">
        <v>0</v>
      </c>
      <c r="O16" s="193">
        <v>0</v>
      </c>
      <c r="P16" s="88">
        <v>1</v>
      </c>
      <c r="Q16" s="193">
        <v>0</v>
      </c>
      <c r="R16" s="193">
        <v>0</v>
      </c>
      <c r="S16" s="193">
        <v>0</v>
      </c>
      <c r="T16" t="s">
        <v>8844</v>
      </c>
      <c r="U16" s="41" t="s">
        <v>7868</v>
      </c>
      <c r="V16" s="198">
        <v>0</v>
      </c>
      <c r="W16" s="197">
        <v>0</v>
      </c>
      <c r="X16" s="197">
        <v>1</v>
      </c>
    </row>
    <row r="17" spans="1:25" s="5" customFormat="1" ht="27" x14ac:dyDescent="0.15">
      <c r="A17" s="193">
        <v>908084</v>
      </c>
      <c r="B17" t="s">
        <v>8845</v>
      </c>
      <c r="C17" s="193" t="s">
        <v>8441</v>
      </c>
      <c r="D17" s="88">
        <v>1001</v>
      </c>
      <c r="E17" s="88">
        <v>2</v>
      </c>
      <c r="F17" s="88">
        <v>0</v>
      </c>
      <c r="G17" s="193">
        <v>0</v>
      </c>
      <c r="H17" s="193">
        <v>0</v>
      </c>
      <c r="I17" s="88">
        <v>1</v>
      </c>
      <c r="J17" s="88" t="b">
        <v>0</v>
      </c>
      <c r="K17" s="193">
        <v>-1</v>
      </c>
      <c r="L17" s="193">
        <v>-2</v>
      </c>
      <c r="M17" s="193">
        <v>-3</v>
      </c>
      <c r="N17" s="193">
        <v>0</v>
      </c>
      <c r="O17" s="193">
        <v>0</v>
      </c>
      <c r="P17" s="88">
        <v>1</v>
      </c>
      <c r="Q17" s="193">
        <v>0</v>
      </c>
      <c r="R17" s="193">
        <v>0</v>
      </c>
      <c r="S17" s="193">
        <v>0</v>
      </c>
      <c r="T17" t="s">
        <v>8845</v>
      </c>
      <c r="U17" s="41" t="s">
        <v>7868</v>
      </c>
      <c r="V17" s="198">
        <v>0</v>
      </c>
      <c r="W17" s="197">
        <v>0</v>
      </c>
      <c r="X17" s="197">
        <v>1</v>
      </c>
    </row>
    <row r="18" spans="1:25" s="5" customFormat="1" ht="27" x14ac:dyDescent="0.15">
      <c r="A18" s="193">
        <v>908089</v>
      </c>
      <c r="B18" t="s">
        <v>8846</v>
      </c>
      <c r="C18" s="157" t="s">
        <v>8441</v>
      </c>
      <c r="D18" s="88">
        <v>1001</v>
      </c>
      <c r="E18" s="88">
        <v>2</v>
      </c>
      <c r="F18" s="88">
        <v>0</v>
      </c>
      <c r="G18" s="193">
        <v>0</v>
      </c>
      <c r="H18" s="193">
        <v>0</v>
      </c>
      <c r="I18" s="88">
        <v>1</v>
      </c>
      <c r="J18" s="88" t="b">
        <v>0</v>
      </c>
      <c r="K18" s="193">
        <v>-1</v>
      </c>
      <c r="L18" s="193">
        <v>-2</v>
      </c>
      <c r="M18" s="193">
        <v>-3</v>
      </c>
      <c r="N18" s="193">
        <v>0</v>
      </c>
      <c r="O18" s="193">
        <v>0</v>
      </c>
      <c r="P18" s="88">
        <v>1</v>
      </c>
      <c r="Q18" s="193">
        <v>0</v>
      </c>
      <c r="R18" s="193">
        <v>0</v>
      </c>
      <c r="S18" s="193">
        <v>0</v>
      </c>
      <c r="T18" t="s">
        <v>8846</v>
      </c>
      <c r="U18" s="41" t="s">
        <v>7868</v>
      </c>
      <c r="V18" s="198">
        <v>0</v>
      </c>
      <c r="W18" s="197">
        <v>0</v>
      </c>
      <c r="X18" s="197">
        <v>1</v>
      </c>
    </row>
    <row r="19" spans="1:25" s="5" customFormat="1" ht="27" x14ac:dyDescent="0.15">
      <c r="A19" s="193">
        <v>908090</v>
      </c>
      <c r="B19" t="s">
        <v>8847</v>
      </c>
      <c r="C19" s="157" t="s">
        <v>8441</v>
      </c>
      <c r="D19" s="88">
        <v>1001</v>
      </c>
      <c r="E19" s="193">
        <v>2</v>
      </c>
      <c r="F19" s="88">
        <v>0</v>
      </c>
      <c r="G19" s="193">
        <v>0</v>
      </c>
      <c r="H19" s="193">
        <v>0</v>
      </c>
      <c r="I19" s="88">
        <v>1</v>
      </c>
      <c r="J19" s="88" t="b">
        <v>0</v>
      </c>
      <c r="K19" s="193">
        <v>-1</v>
      </c>
      <c r="L19" s="193">
        <v>-2</v>
      </c>
      <c r="M19" s="193">
        <v>-3</v>
      </c>
      <c r="N19" s="193">
        <v>0</v>
      </c>
      <c r="O19" s="193">
        <v>0</v>
      </c>
      <c r="P19" s="88">
        <v>1</v>
      </c>
      <c r="Q19" s="193">
        <v>0</v>
      </c>
      <c r="R19" s="193">
        <v>0</v>
      </c>
      <c r="S19" s="193">
        <v>0</v>
      </c>
      <c r="T19" t="s">
        <v>8847</v>
      </c>
      <c r="U19" s="41" t="s">
        <v>7868</v>
      </c>
      <c r="V19" s="198">
        <v>0</v>
      </c>
      <c r="W19" s="197">
        <v>0</v>
      </c>
      <c r="X19" s="197">
        <v>1</v>
      </c>
    </row>
    <row r="20" spans="1:25" s="5" customFormat="1" ht="27" x14ac:dyDescent="0.15">
      <c r="A20" s="193">
        <v>908091</v>
      </c>
      <c r="B20" t="s">
        <v>8848</v>
      </c>
      <c r="C20" s="157" t="s">
        <v>8441</v>
      </c>
      <c r="D20" s="88">
        <v>1001</v>
      </c>
      <c r="E20" s="193">
        <v>2</v>
      </c>
      <c r="F20" s="88">
        <v>0</v>
      </c>
      <c r="G20" s="193">
        <v>0</v>
      </c>
      <c r="H20" s="193">
        <v>0</v>
      </c>
      <c r="I20" s="88">
        <v>1</v>
      </c>
      <c r="J20" s="88" t="b">
        <v>0</v>
      </c>
      <c r="K20" s="193">
        <v>-1</v>
      </c>
      <c r="L20" s="193">
        <v>-2</v>
      </c>
      <c r="M20" s="193">
        <v>-3</v>
      </c>
      <c r="N20" s="193">
        <v>0</v>
      </c>
      <c r="O20" s="193">
        <v>0</v>
      </c>
      <c r="P20" s="88">
        <v>1</v>
      </c>
      <c r="Q20" s="193">
        <v>0</v>
      </c>
      <c r="R20" s="193">
        <v>0</v>
      </c>
      <c r="S20" s="193">
        <v>0</v>
      </c>
      <c r="T20" t="s">
        <v>8849</v>
      </c>
      <c r="U20" s="41" t="s">
        <v>8466</v>
      </c>
      <c r="V20" s="198">
        <v>0</v>
      </c>
      <c r="W20" s="197">
        <v>0</v>
      </c>
      <c r="X20" s="197">
        <v>0</v>
      </c>
      <c r="Y20" s="5">
        <v>1</v>
      </c>
    </row>
    <row r="21" spans="1:25" ht="27" x14ac:dyDescent="0.15">
      <c r="A21" s="193">
        <v>908092</v>
      </c>
      <c r="B21" t="s">
        <v>8850</v>
      </c>
      <c r="C21" s="157" t="s">
        <v>8441</v>
      </c>
      <c r="D21" s="88">
        <v>1001</v>
      </c>
      <c r="E21" s="193">
        <v>2</v>
      </c>
      <c r="F21" s="193">
        <v>1</v>
      </c>
      <c r="G21" s="193">
        <v>0</v>
      </c>
      <c r="H21" s="193">
        <v>0</v>
      </c>
      <c r="I21" s="88">
        <v>999</v>
      </c>
      <c r="J21" s="88" t="b">
        <v>1</v>
      </c>
      <c r="K21" s="193">
        <v>10</v>
      </c>
      <c r="L21" s="193">
        <v>20</v>
      </c>
      <c r="M21" s="193">
        <v>30</v>
      </c>
      <c r="N21" s="193">
        <v>0</v>
      </c>
      <c r="O21" s="193">
        <v>0</v>
      </c>
      <c r="P21" s="88">
        <v>1</v>
      </c>
      <c r="Q21" s="193">
        <v>0</v>
      </c>
      <c r="R21" s="193">
        <v>0</v>
      </c>
      <c r="S21" s="193">
        <v>0</v>
      </c>
      <c r="T21" t="s">
        <v>8851</v>
      </c>
      <c r="U21" s="41" t="s">
        <v>8469</v>
      </c>
      <c r="V21" s="198">
        <v>0</v>
      </c>
      <c r="W21" s="197">
        <v>1</v>
      </c>
      <c r="X21" s="197">
        <v>1</v>
      </c>
    </row>
    <row r="22" spans="1:25" ht="27" x14ac:dyDescent="0.15">
      <c r="A22" s="193">
        <v>908093</v>
      </c>
      <c r="B22" t="s">
        <v>8852</v>
      </c>
      <c r="C22" s="157" t="s">
        <v>8441</v>
      </c>
      <c r="D22" s="88">
        <v>1001</v>
      </c>
      <c r="E22" s="193">
        <v>2</v>
      </c>
      <c r="F22" s="193">
        <v>1</v>
      </c>
      <c r="G22" s="193">
        <v>0</v>
      </c>
      <c r="H22" s="193">
        <v>0</v>
      </c>
      <c r="I22" s="88">
        <v>999</v>
      </c>
      <c r="J22" s="88" t="b">
        <v>1</v>
      </c>
      <c r="K22" s="193">
        <v>10</v>
      </c>
      <c r="L22" s="193">
        <v>20</v>
      </c>
      <c r="M22" s="193">
        <v>30</v>
      </c>
      <c r="N22" s="193">
        <v>0</v>
      </c>
      <c r="O22" s="193">
        <v>0</v>
      </c>
      <c r="P22" s="88">
        <v>1</v>
      </c>
      <c r="Q22" s="193">
        <v>0</v>
      </c>
      <c r="R22" s="193">
        <v>0</v>
      </c>
      <c r="S22" s="193">
        <v>0</v>
      </c>
      <c r="T22" t="s">
        <v>8853</v>
      </c>
      <c r="U22" s="41" t="s">
        <v>8472</v>
      </c>
      <c r="V22" s="198">
        <v>0</v>
      </c>
      <c r="W22" s="197">
        <v>1</v>
      </c>
      <c r="X22" s="197">
        <v>1</v>
      </c>
    </row>
    <row r="23" spans="1:25" ht="27" x14ac:dyDescent="0.15">
      <c r="A23" s="193">
        <v>908094</v>
      </c>
      <c r="B23" t="s">
        <v>8854</v>
      </c>
      <c r="C23" s="157" t="s">
        <v>8441</v>
      </c>
      <c r="D23" s="88">
        <v>1001</v>
      </c>
      <c r="E23" s="193">
        <v>2</v>
      </c>
      <c r="F23" s="193">
        <v>1</v>
      </c>
      <c r="G23" s="193">
        <v>0</v>
      </c>
      <c r="H23" s="193">
        <v>0</v>
      </c>
      <c r="I23" s="88">
        <v>999</v>
      </c>
      <c r="J23" s="88" t="b">
        <v>1</v>
      </c>
      <c r="K23" s="193">
        <v>10</v>
      </c>
      <c r="L23" s="193">
        <v>20</v>
      </c>
      <c r="M23" s="193">
        <v>30</v>
      </c>
      <c r="N23" s="193">
        <v>0</v>
      </c>
      <c r="O23" s="193">
        <v>0</v>
      </c>
      <c r="P23" s="88">
        <v>1</v>
      </c>
      <c r="Q23" s="193">
        <v>0</v>
      </c>
      <c r="R23" s="193">
        <v>0</v>
      </c>
      <c r="S23" s="193">
        <v>0</v>
      </c>
      <c r="T23" t="s">
        <v>8855</v>
      </c>
      <c r="U23" s="41" t="s">
        <v>8475</v>
      </c>
      <c r="V23" s="198">
        <v>0</v>
      </c>
      <c r="W23" s="197">
        <v>1</v>
      </c>
      <c r="X23" s="197">
        <v>1</v>
      </c>
    </row>
    <row r="24" spans="1:25" ht="27" x14ac:dyDescent="0.15">
      <c r="A24" s="193">
        <v>908095</v>
      </c>
      <c r="B24" t="s">
        <v>8856</v>
      </c>
      <c r="C24" s="157" t="s">
        <v>8441</v>
      </c>
      <c r="D24" s="88">
        <v>1001</v>
      </c>
      <c r="E24" s="193">
        <v>2</v>
      </c>
      <c r="F24" s="193">
        <v>1</v>
      </c>
      <c r="G24" s="193">
        <v>0</v>
      </c>
      <c r="H24" s="193">
        <v>0</v>
      </c>
      <c r="I24" s="88">
        <v>999</v>
      </c>
      <c r="J24" s="88" t="b">
        <v>1</v>
      </c>
      <c r="K24" s="193">
        <v>10</v>
      </c>
      <c r="L24" s="193">
        <v>20</v>
      </c>
      <c r="M24" s="193">
        <v>30</v>
      </c>
      <c r="N24" s="193">
        <v>0</v>
      </c>
      <c r="O24" s="193">
        <v>0</v>
      </c>
      <c r="P24" s="88">
        <v>1</v>
      </c>
      <c r="Q24" s="193">
        <v>0</v>
      </c>
      <c r="R24" s="193">
        <v>0</v>
      </c>
      <c r="S24" s="193">
        <v>0</v>
      </c>
      <c r="T24" t="s">
        <v>8857</v>
      </c>
      <c r="U24" s="41" t="s">
        <v>8478</v>
      </c>
      <c r="V24" s="198">
        <v>0</v>
      </c>
      <c r="W24" s="197">
        <v>1</v>
      </c>
      <c r="X24" s="197">
        <v>1</v>
      </c>
    </row>
    <row r="25" spans="1:25" ht="27" x14ac:dyDescent="0.15">
      <c r="A25" s="193">
        <v>908096</v>
      </c>
      <c r="B25" t="s">
        <v>8858</v>
      </c>
      <c r="C25" s="157" t="s">
        <v>8441</v>
      </c>
      <c r="D25" s="88">
        <v>1001</v>
      </c>
      <c r="E25" s="193">
        <v>2</v>
      </c>
      <c r="F25" s="193">
        <v>1</v>
      </c>
      <c r="G25" s="193">
        <v>0</v>
      </c>
      <c r="H25" s="193">
        <v>0</v>
      </c>
      <c r="I25" s="88">
        <v>999</v>
      </c>
      <c r="J25" s="88" t="b">
        <v>1</v>
      </c>
      <c r="K25" s="193">
        <v>10</v>
      </c>
      <c r="L25" s="193">
        <v>20</v>
      </c>
      <c r="M25" s="193">
        <v>30</v>
      </c>
      <c r="N25" s="193">
        <v>0</v>
      </c>
      <c r="O25" s="193">
        <v>0</v>
      </c>
      <c r="P25" s="88">
        <v>1</v>
      </c>
      <c r="Q25" s="193">
        <v>0</v>
      </c>
      <c r="R25" s="193">
        <v>0</v>
      </c>
      <c r="S25" s="193">
        <v>0</v>
      </c>
      <c r="T25" t="s">
        <v>8859</v>
      </c>
      <c r="U25" s="41" t="s">
        <v>8481</v>
      </c>
      <c r="V25" s="198">
        <v>0</v>
      </c>
      <c r="W25" s="197">
        <v>1</v>
      </c>
      <c r="X25" s="197">
        <v>1</v>
      </c>
    </row>
    <row r="26" spans="1:25" ht="27" x14ac:dyDescent="0.15">
      <c r="A26" s="193">
        <v>908097</v>
      </c>
      <c r="B26" t="s">
        <v>8860</v>
      </c>
      <c r="C26" s="157" t="s">
        <v>8441</v>
      </c>
      <c r="D26" s="88">
        <v>1001</v>
      </c>
      <c r="E26" s="193">
        <v>2</v>
      </c>
      <c r="F26" s="193">
        <v>1</v>
      </c>
      <c r="G26" s="193">
        <v>0</v>
      </c>
      <c r="H26" s="193">
        <v>0</v>
      </c>
      <c r="I26" s="88">
        <v>999</v>
      </c>
      <c r="J26" s="88" t="b">
        <v>1</v>
      </c>
      <c r="K26" s="193">
        <v>10</v>
      </c>
      <c r="L26" s="193">
        <v>20</v>
      </c>
      <c r="M26" s="193">
        <v>30</v>
      </c>
      <c r="N26" s="193">
        <v>0</v>
      </c>
      <c r="O26" s="193">
        <v>0</v>
      </c>
      <c r="P26" s="88">
        <v>1</v>
      </c>
      <c r="Q26" s="193">
        <v>0</v>
      </c>
      <c r="R26" s="193">
        <v>0</v>
      </c>
      <c r="S26" s="193">
        <v>0</v>
      </c>
      <c r="T26" t="s">
        <v>8861</v>
      </c>
      <c r="U26" s="41" t="s">
        <v>8484</v>
      </c>
      <c r="V26" s="198">
        <v>0</v>
      </c>
      <c r="W26" s="197">
        <v>1</v>
      </c>
      <c r="X26" s="197">
        <v>1</v>
      </c>
    </row>
    <row r="27" spans="1:25" x14ac:dyDescent="0.15">
      <c r="A27" s="193">
        <v>908098</v>
      </c>
      <c r="B27" t="s">
        <v>8862</v>
      </c>
      <c r="C27" s="157" t="s">
        <v>8441</v>
      </c>
      <c r="D27" s="179">
        <v>1001</v>
      </c>
      <c r="E27" s="194">
        <v>2</v>
      </c>
      <c r="F27" s="194">
        <v>1</v>
      </c>
      <c r="G27" s="194">
        <v>0</v>
      </c>
      <c r="H27" s="194">
        <v>0</v>
      </c>
      <c r="I27" s="88">
        <v>999</v>
      </c>
      <c r="J27" s="194" t="b">
        <v>1</v>
      </c>
      <c r="K27" s="194">
        <v>10</v>
      </c>
      <c r="L27" s="194">
        <v>150</v>
      </c>
      <c r="M27" s="194">
        <v>200</v>
      </c>
      <c r="N27" s="194">
        <v>0</v>
      </c>
      <c r="O27" s="194">
        <v>1</v>
      </c>
      <c r="P27" s="88">
        <v>1</v>
      </c>
      <c r="Q27" s="194">
        <v>0</v>
      </c>
      <c r="R27" s="194">
        <v>0</v>
      </c>
      <c r="S27" s="194" t="s">
        <v>38</v>
      </c>
      <c r="T27" t="s">
        <v>8863</v>
      </c>
      <c r="U27" s="25" t="s">
        <v>8487</v>
      </c>
      <c r="V27" s="25">
        <v>0</v>
      </c>
      <c r="W27" s="197">
        <v>1</v>
      </c>
      <c r="X27" s="197">
        <v>1</v>
      </c>
    </row>
    <row r="28" spans="1:25" x14ac:dyDescent="0.15">
      <c r="A28" s="193">
        <v>908099</v>
      </c>
      <c r="B28" t="s">
        <v>8864</v>
      </c>
      <c r="C28" s="157" t="s">
        <v>8441</v>
      </c>
      <c r="D28" s="179">
        <v>1001</v>
      </c>
      <c r="E28" s="194">
        <v>2</v>
      </c>
      <c r="F28" s="194">
        <v>1</v>
      </c>
      <c r="G28" s="194">
        <v>0</v>
      </c>
      <c r="H28" s="194">
        <v>0</v>
      </c>
      <c r="I28" s="88">
        <v>999</v>
      </c>
      <c r="J28" s="194" t="b">
        <v>1</v>
      </c>
      <c r="K28" s="194">
        <v>10</v>
      </c>
      <c r="L28" s="194">
        <v>150</v>
      </c>
      <c r="M28" s="194">
        <v>200</v>
      </c>
      <c r="N28" s="194">
        <v>0</v>
      </c>
      <c r="O28" s="194">
        <v>1</v>
      </c>
      <c r="P28" s="88">
        <v>1</v>
      </c>
      <c r="Q28" s="194">
        <v>0</v>
      </c>
      <c r="R28" s="194">
        <v>0</v>
      </c>
      <c r="S28" s="194" t="s">
        <v>38</v>
      </c>
      <c r="T28" t="s">
        <v>8865</v>
      </c>
      <c r="U28" s="25" t="s">
        <v>8490</v>
      </c>
      <c r="V28" s="25">
        <v>0</v>
      </c>
      <c r="W28" s="197">
        <v>1</v>
      </c>
      <c r="X28" s="197">
        <v>1</v>
      </c>
    </row>
    <row r="29" spans="1:25" x14ac:dyDescent="0.15">
      <c r="A29" s="193">
        <v>908100</v>
      </c>
      <c r="B29" t="s">
        <v>8866</v>
      </c>
      <c r="C29" s="157" t="s">
        <v>8441</v>
      </c>
      <c r="D29" s="179">
        <v>1001</v>
      </c>
      <c r="E29" s="194">
        <v>2</v>
      </c>
      <c r="F29" s="194">
        <v>1</v>
      </c>
      <c r="G29" s="194">
        <v>0</v>
      </c>
      <c r="H29" s="194">
        <v>0</v>
      </c>
      <c r="I29" s="88">
        <v>999</v>
      </c>
      <c r="J29" s="194" t="b">
        <v>1</v>
      </c>
      <c r="K29" s="194">
        <v>10</v>
      </c>
      <c r="L29" s="194">
        <v>150</v>
      </c>
      <c r="M29" s="194">
        <v>200</v>
      </c>
      <c r="N29" s="194">
        <v>0</v>
      </c>
      <c r="O29" s="194">
        <v>1</v>
      </c>
      <c r="P29" s="88">
        <v>1</v>
      </c>
      <c r="Q29" s="194">
        <v>0</v>
      </c>
      <c r="R29" s="194">
        <v>0</v>
      </c>
      <c r="S29" s="194" t="s">
        <v>38</v>
      </c>
      <c r="T29" t="s">
        <v>8867</v>
      </c>
      <c r="U29" s="25" t="s">
        <v>8493</v>
      </c>
      <c r="V29" s="25">
        <v>0</v>
      </c>
      <c r="W29" s="197">
        <v>1</v>
      </c>
      <c r="X29" s="197">
        <v>1</v>
      </c>
    </row>
    <row r="30" spans="1:25" x14ac:dyDescent="0.15">
      <c r="A30" s="193">
        <v>908101</v>
      </c>
      <c r="B30" t="s">
        <v>8868</v>
      </c>
      <c r="C30" s="157" t="s">
        <v>8441</v>
      </c>
      <c r="D30" s="179">
        <v>1001</v>
      </c>
      <c r="E30" s="194">
        <v>2</v>
      </c>
      <c r="F30" s="194">
        <v>1</v>
      </c>
      <c r="G30" s="194">
        <v>0</v>
      </c>
      <c r="H30" s="194">
        <v>0</v>
      </c>
      <c r="I30" s="88">
        <v>999</v>
      </c>
      <c r="J30" s="194" t="b">
        <v>1</v>
      </c>
      <c r="K30" s="194">
        <v>10</v>
      </c>
      <c r="L30" s="194">
        <v>150</v>
      </c>
      <c r="M30" s="194">
        <v>200</v>
      </c>
      <c r="N30" s="194">
        <v>0</v>
      </c>
      <c r="O30" s="194">
        <v>1</v>
      </c>
      <c r="P30" s="88">
        <v>1</v>
      </c>
      <c r="Q30" s="194">
        <v>0</v>
      </c>
      <c r="R30" s="194">
        <v>0</v>
      </c>
      <c r="S30" s="194" t="s">
        <v>38</v>
      </c>
      <c r="T30" t="s">
        <v>8869</v>
      </c>
      <c r="U30" s="25" t="s">
        <v>8496</v>
      </c>
      <c r="V30" s="25">
        <v>0</v>
      </c>
      <c r="W30" s="197">
        <v>1</v>
      </c>
      <c r="X30" s="197">
        <v>1</v>
      </c>
    </row>
    <row r="31" spans="1:25" x14ac:dyDescent="0.15">
      <c r="A31" s="193">
        <v>908102</v>
      </c>
      <c r="B31" t="s">
        <v>8870</v>
      </c>
      <c r="C31" s="157" t="s">
        <v>8441</v>
      </c>
      <c r="D31" s="179">
        <v>1001</v>
      </c>
      <c r="E31" s="194">
        <v>2</v>
      </c>
      <c r="F31" s="194">
        <v>1</v>
      </c>
      <c r="G31" s="194">
        <v>0</v>
      </c>
      <c r="H31" s="194">
        <v>0</v>
      </c>
      <c r="I31" s="88">
        <v>999</v>
      </c>
      <c r="J31" s="194" t="b">
        <v>1</v>
      </c>
      <c r="K31" s="194">
        <v>10</v>
      </c>
      <c r="L31" s="194">
        <v>150</v>
      </c>
      <c r="M31" s="194">
        <v>200</v>
      </c>
      <c r="N31" s="194">
        <v>0</v>
      </c>
      <c r="O31" s="194">
        <v>1</v>
      </c>
      <c r="P31" s="88">
        <v>1</v>
      </c>
      <c r="Q31" s="194">
        <v>0</v>
      </c>
      <c r="R31" s="194">
        <v>0</v>
      </c>
      <c r="S31" s="194" t="s">
        <v>38</v>
      </c>
      <c r="T31" t="s">
        <v>8871</v>
      </c>
      <c r="U31" s="25" t="s">
        <v>8499</v>
      </c>
      <c r="V31" s="25">
        <v>0</v>
      </c>
      <c r="W31" s="197">
        <v>1</v>
      </c>
      <c r="X31" s="197">
        <v>1</v>
      </c>
    </row>
    <row r="32" spans="1:25" x14ac:dyDescent="0.15">
      <c r="A32" s="193">
        <v>908103</v>
      </c>
      <c r="B32" t="s">
        <v>8872</v>
      </c>
      <c r="C32" s="157" t="s">
        <v>8441</v>
      </c>
      <c r="D32" s="179">
        <v>1001</v>
      </c>
      <c r="E32" s="194">
        <v>2</v>
      </c>
      <c r="F32" s="194">
        <v>1</v>
      </c>
      <c r="G32" s="194">
        <v>0</v>
      </c>
      <c r="H32" s="194">
        <v>0</v>
      </c>
      <c r="I32" s="88">
        <v>999</v>
      </c>
      <c r="J32" s="194" t="b">
        <v>1</v>
      </c>
      <c r="K32" s="194">
        <v>10</v>
      </c>
      <c r="L32" s="194">
        <v>150</v>
      </c>
      <c r="M32" s="194">
        <v>200</v>
      </c>
      <c r="N32" s="194">
        <v>0</v>
      </c>
      <c r="O32" s="194">
        <v>1</v>
      </c>
      <c r="P32" s="88">
        <v>1</v>
      </c>
      <c r="Q32" s="194">
        <v>0</v>
      </c>
      <c r="R32" s="194">
        <v>0</v>
      </c>
      <c r="S32" s="194" t="s">
        <v>38</v>
      </c>
      <c r="T32" t="s">
        <v>8873</v>
      </c>
      <c r="U32" s="25" t="s">
        <v>8502</v>
      </c>
      <c r="V32" s="25">
        <v>0</v>
      </c>
      <c r="W32" s="197">
        <v>1</v>
      </c>
      <c r="X32" s="197">
        <v>1</v>
      </c>
    </row>
    <row r="33" spans="1:24" x14ac:dyDescent="0.15">
      <c r="A33" s="193">
        <v>908104</v>
      </c>
      <c r="B33" t="s">
        <v>8874</v>
      </c>
      <c r="C33" s="157" t="s">
        <v>8441</v>
      </c>
      <c r="D33" s="179">
        <v>1001</v>
      </c>
      <c r="E33" s="194">
        <v>2</v>
      </c>
      <c r="F33" s="194">
        <v>1</v>
      </c>
      <c r="G33" s="194">
        <v>0</v>
      </c>
      <c r="H33" s="194">
        <v>0</v>
      </c>
      <c r="I33" s="88">
        <v>999</v>
      </c>
      <c r="J33" s="194" t="b">
        <v>1</v>
      </c>
      <c r="K33" s="194">
        <v>10</v>
      </c>
      <c r="L33" s="194">
        <v>150</v>
      </c>
      <c r="M33" s="194">
        <v>200</v>
      </c>
      <c r="N33" s="194">
        <v>0</v>
      </c>
      <c r="O33" s="194">
        <v>1</v>
      </c>
      <c r="P33" s="88">
        <v>1</v>
      </c>
      <c r="Q33" s="194">
        <v>0</v>
      </c>
      <c r="R33" s="194">
        <v>0</v>
      </c>
      <c r="S33" s="194" t="s">
        <v>38</v>
      </c>
      <c r="T33" t="s">
        <v>8875</v>
      </c>
      <c r="U33" s="25" t="s">
        <v>8505</v>
      </c>
      <c r="V33" s="25">
        <v>0</v>
      </c>
      <c r="W33" s="197">
        <v>1</v>
      </c>
      <c r="X33" s="197">
        <v>1</v>
      </c>
    </row>
    <row r="34" spans="1:24" x14ac:dyDescent="0.15">
      <c r="A34" s="193">
        <v>908105</v>
      </c>
      <c r="B34" t="s">
        <v>8876</v>
      </c>
      <c r="C34" s="157" t="s">
        <v>8441</v>
      </c>
      <c r="D34" s="179">
        <v>1001</v>
      </c>
      <c r="E34" s="194">
        <v>2</v>
      </c>
      <c r="F34" s="194">
        <v>1</v>
      </c>
      <c r="G34" s="194">
        <v>0</v>
      </c>
      <c r="H34" s="194">
        <v>0</v>
      </c>
      <c r="I34" s="88">
        <v>999</v>
      </c>
      <c r="J34" s="194" t="b">
        <v>1</v>
      </c>
      <c r="K34" s="194">
        <v>10</v>
      </c>
      <c r="L34" s="194">
        <v>150</v>
      </c>
      <c r="M34" s="194">
        <v>200</v>
      </c>
      <c r="N34" s="194">
        <v>0</v>
      </c>
      <c r="O34" s="194">
        <v>1</v>
      </c>
      <c r="P34" s="88">
        <v>1</v>
      </c>
      <c r="Q34" s="194">
        <v>0</v>
      </c>
      <c r="R34" s="194">
        <v>0</v>
      </c>
      <c r="S34" s="194" t="s">
        <v>38</v>
      </c>
      <c r="T34" t="s">
        <v>8877</v>
      </c>
      <c r="U34" s="25" t="s">
        <v>8508</v>
      </c>
      <c r="V34" s="25">
        <v>0</v>
      </c>
      <c r="W34" s="197">
        <v>1</v>
      </c>
      <c r="X34" s="197">
        <v>1</v>
      </c>
    </row>
    <row r="35" spans="1:24" x14ac:dyDescent="0.15">
      <c r="A35" s="193">
        <v>908106</v>
      </c>
      <c r="B35" t="s">
        <v>8878</v>
      </c>
      <c r="C35" s="157" t="s">
        <v>8441</v>
      </c>
      <c r="D35" s="179">
        <v>1001</v>
      </c>
      <c r="E35" s="194">
        <v>2</v>
      </c>
      <c r="F35" s="194">
        <v>1</v>
      </c>
      <c r="G35" s="194">
        <v>0</v>
      </c>
      <c r="H35" s="194">
        <v>0</v>
      </c>
      <c r="I35" s="88">
        <v>999</v>
      </c>
      <c r="J35" s="194" t="b">
        <v>1</v>
      </c>
      <c r="K35" s="194">
        <v>10</v>
      </c>
      <c r="L35" s="194">
        <v>150</v>
      </c>
      <c r="M35" s="194">
        <v>200</v>
      </c>
      <c r="N35" s="194">
        <v>0</v>
      </c>
      <c r="O35" s="194">
        <v>1</v>
      </c>
      <c r="P35" s="88">
        <v>1</v>
      </c>
      <c r="Q35" s="194">
        <v>0</v>
      </c>
      <c r="R35" s="194">
        <v>0</v>
      </c>
      <c r="S35" s="194" t="s">
        <v>38</v>
      </c>
      <c r="T35" t="s">
        <v>8879</v>
      </c>
      <c r="U35" s="25" t="s">
        <v>8511</v>
      </c>
      <c r="V35" s="25">
        <v>0</v>
      </c>
      <c r="W35" s="197">
        <v>1</v>
      </c>
      <c r="X35" s="197">
        <v>1</v>
      </c>
    </row>
    <row r="36" spans="1:24" x14ac:dyDescent="0.15">
      <c r="A36" s="193">
        <v>908107</v>
      </c>
      <c r="B36" t="s">
        <v>8880</v>
      </c>
      <c r="C36" s="157" t="s">
        <v>8441</v>
      </c>
      <c r="D36" s="179">
        <v>1001</v>
      </c>
      <c r="E36" s="194">
        <v>2</v>
      </c>
      <c r="F36" s="194">
        <v>1</v>
      </c>
      <c r="G36" s="194">
        <v>0</v>
      </c>
      <c r="H36" s="194">
        <v>0</v>
      </c>
      <c r="I36" s="88">
        <v>999</v>
      </c>
      <c r="J36" s="194" t="b">
        <v>1</v>
      </c>
      <c r="K36" s="194">
        <v>10</v>
      </c>
      <c r="L36" s="194">
        <v>150</v>
      </c>
      <c r="M36" s="194">
        <v>200</v>
      </c>
      <c r="N36" s="194">
        <v>0</v>
      </c>
      <c r="O36" s="194">
        <v>1</v>
      </c>
      <c r="P36" s="88">
        <v>1</v>
      </c>
      <c r="Q36" s="194">
        <v>0</v>
      </c>
      <c r="R36" s="194">
        <v>0</v>
      </c>
      <c r="S36" s="194" t="s">
        <v>38</v>
      </c>
      <c r="T36" t="s">
        <v>8881</v>
      </c>
      <c r="U36" s="25" t="s">
        <v>8514</v>
      </c>
      <c r="V36" s="25">
        <v>0</v>
      </c>
      <c r="W36" s="197">
        <v>1</v>
      </c>
      <c r="X36" s="197">
        <v>1</v>
      </c>
    </row>
    <row r="37" spans="1:24" x14ac:dyDescent="0.15">
      <c r="A37" s="193">
        <v>908108</v>
      </c>
      <c r="B37" t="s">
        <v>8882</v>
      </c>
      <c r="C37" s="157" t="s">
        <v>8441</v>
      </c>
      <c r="D37" s="179">
        <v>1001</v>
      </c>
      <c r="E37" s="194">
        <v>2</v>
      </c>
      <c r="F37" s="194">
        <v>1</v>
      </c>
      <c r="G37" s="194">
        <v>0</v>
      </c>
      <c r="H37" s="194">
        <v>0</v>
      </c>
      <c r="I37" s="88">
        <v>999</v>
      </c>
      <c r="J37" s="194" t="b">
        <v>1</v>
      </c>
      <c r="K37" s="194">
        <v>10</v>
      </c>
      <c r="L37" s="194">
        <v>150</v>
      </c>
      <c r="M37" s="194">
        <v>200</v>
      </c>
      <c r="N37" s="194">
        <v>0</v>
      </c>
      <c r="O37" s="194">
        <v>1</v>
      </c>
      <c r="P37" s="88">
        <v>1</v>
      </c>
      <c r="Q37" s="194">
        <v>0</v>
      </c>
      <c r="R37" s="194">
        <v>0</v>
      </c>
      <c r="S37" s="194" t="s">
        <v>38</v>
      </c>
      <c r="T37" t="s">
        <v>8883</v>
      </c>
      <c r="U37" s="25" t="s">
        <v>8517</v>
      </c>
      <c r="V37" s="25">
        <v>0</v>
      </c>
      <c r="W37" s="197">
        <v>1</v>
      </c>
      <c r="X37" s="197">
        <v>1</v>
      </c>
    </row>
    <row r="38" spans="1:24" x14ac:dyDescent="0.15">
      <c r="A38" s="193">
        <v>908109</v>
      </c>
      <c r="B38" t="s">
        <v>8884</v>
      </c>
      <c r="C38" s="157" t="s">
        <v>8441</v>
      </c>
      <c r="D38" s="179">
        <v>1001</v>
      </c>
      <c r="E38" s="194">
        <v>2</v>
      </c>
      <c r="F38" s="194">
        <v>1</v>
      </c>
      <c r="G38" s="194">
        <v>0</v>
      </c>
      <c r="H38" s="194">
        <v>0</v>
      </c>
      <c r="I38" s="88">
        <v>999</v>
      </c>
      <c r="J38" s="194" t="b">
        <v>1</v>
      </c>
      <c r="K38" s="194">
        <v>10</v>
      </c>
      <c r="L38" s="194">
        <v>150</v>
      </c>
      <c r="M38" s="194">
        <v>200</v>
      </c>
      <c r="N38" s="194">
        <v>0</v>
      </c>
      <c r="O38" s="194">
        <v>1</v>
      </c>
      <c r="P38" s="88">
        <v>1</v>
      </c>
      <c r="Q38" s="194">
        <v>0</v>
      </c>
      <c r="R38" s="194">
        <v>0</v>
      </c>
      <c r="S38" s="194" t="s">
        <v>38</v>
      </c>
      <c r="T38" t="s">
        <v>8885</v>
      </c>
      <c r="U38" s="25" t="s">
        <v>8520</v>
      </c>
      <c r="V38" s="25">
        <v>0</v>
      </c>
      <c r="W38" s="197">
        <v>1</v>
      </c>
      <c r="X38" s="197">
        <v>1</v>
      </c>
    </row>
    <row r="39" spans="1:24" x14ac:dyDescent="0.15">
      <c r="A39" s="193">
        <v>908110</v>
      </c>
      <c r="B39" t="s">
        <v>8886</v>
      </c>
      <c r="C39" s="157" t="s">
        <v>8441</v>
      </c>
      <c r="D39" s="179">
        <v>1001</v>
      </c>
      <c r="E39" s="194">
        <v>2</v>
      </c>
      <c r="F39" s="194">
        <v>1</v>
      </c>
      <c r="G39" s="194">
        <v>0</v>
      </c>
      <c r="H39" s="194">
        <v>0</v>
      </c>
      <c r="I39" s="88">
        <v>999</v>
      </c>
      <c r="J39" s="194" t="b">
        <v>1</v>
      </c>
      <c r="K39" s="194">
        <v>10</v>
      </c>
      <c r="L39" s="194">
        <v>150</v>
      </c>
      <c r="M39" s="194">
        <v>200</v>
      </c>
      <c r="N39" s="194">
        <v>0</v>
      </c>
      <c r="O39" s="194">
        <v>1</v>
      </c>
      <c r="P39" s="88">
        <v>1</v>
      </c>
      <c r="Q39" s="194">
        <v>0</v>
      </c>
      <c r="R39" s="194">
        <v>0</v>
      </c>
      <c r="S39" s="194" t="s">
        <v>38</v>
      </c>
      <c r="T39" t="s">
        <v>8887</v>
      </c>
      <c r="U39" s="25" t="s">
        <v>8523</v>
      </c>
      <c r="V39" s="25">
        <v>0</v>
      </c>
      <c r="W39" s="197">
        <v>1</v>
      </c>
      <c r="X39" s="197">
        <v>1</v>
      </c>
    </row>
    <row r="40" spans="1:24" x14ac:dyDescent="0.15">
      <c r="A40" s="193">
        <v>908111</v>
      </c>
      <c r="B40" t="s">
        <v>8888</v>
      </c>
      <c r="C40" s="157" t="s">
        <v>8441</v>
      </c>
      <c r="D40" s="179">
        <v>1001</v>
      </c>
      <c r="E40" s="194">
        <v>2</v>
      </c>
      <c r="F40" s="194">
        <v>1</v>
      </c>
      <c r="G40" s="194">
        <v>0</v>
      </c>
      <c r="H40" s="194">
        <v>0</v>
      </c>
      <c r="I40" s="88">
        <v>999</v>
      </c>
      <c r="J40" s="194" t="b">
        <v>1</v>
      </c>
      <c r="K40" s="194">
        <v>10</v>
      </c>
      <c r="L40" s="194">
        <v>150</v>
      </c>
      <c r="M40" s="194">
        <v>200</v>
      </c>
      <c r="N40" s="194">
        <v>0</v>
      </c>
      <c r="O40" s="194">
        <v>1</v>
      </c>
      <c r="P40" s="88">
        <v>1</v>
      </c>
      <c r="Q40" s="194">
        <v>0</v>
      </c>
      <c r="R40" s="194">
        <v>0</v>
      </c>
      <c r="S40" s="194" t="s">
        <v>38</v>
      </c>
      <c r="T40" t="s">
        <v>8889</v>
      </c>
      <c r="U40" s="25" t="s">
        <v>8526</v>
      </c>
      <c r="V40" s="25">
        <v>0</v>
      </c>
      <c r="W40" s="197">
        <v>1</v>
      </c>
      <c r="X40" s="197">
        <v>1</v>
      </c>
    </row>
    <row r="41" spans="1:24" x14ac:dyDescent="0.15">
      <c r="A41" s="193">
        <v>908112</v>
      </c>
      <c r="B41" t="s">
        <v>8890</v>
      </c>
      <c r="C41" s="157" t="s">
        <v>8441</v>
      </c>
      <c r="D41" s="179">
        <v>1001</v>
      </c>
      <c r="E41" s="194">
        <v>2</v>
      </c>
      <c r="F41" s="194">
        <v>1</v>
      </c>
      <c r="G41" s="194">
        <v>0</v>
      </c>
      <c r="H41" s="194">
        <v>0</v>
      </c>
      <c r="I41" s="88">
        <v>999</v>
      </c>
      <c r="J41" s="194" t="b">
        <v>1</v>
      </c>
      <c r="K41" s="194">
        <v>10</v>
      </c>
      <c r="L41" s="194">
        <v>150</v>
      </c>
      <c r="M41" s="194">
        <v>200</v>
      </c>
      <c r="N41" s="194">
        <v>0</v>
      </c>
      <c r="O41" s="194">
        <v>1</v>
      </c>
      <c r="P41" s="88">
        <v>1</v>
      </c>
      <c r="Q41" s="194">
        <v>0</v>
      </c>
      <c r="R41" s="194">
        <v>0</v>
      </c>
      <c r="S41" s="194" t="s">
        <v>38</v>
      </c>
      <c r="T41" t="s">
        <v>8891</v>
      </c>
      <c r="U41" s="25" t="s">
        <v>8529</v>
      </c>
      <c r="V41" s="25">
        <v>0</v>
      </c>
      <c r="W41" s="197">
        <v>1</v>
      </c>
      <c r="X41" s="197">
        <v>1</v>
      </c>
    </row>
    <row r="42" spans="1:24" x14ac:dyDescent="0.15">
      <c r="A42" s="193">
        <v>908113</v>
      </c>
      <c r="B42" t="s">
        <v>8892</v>
      </c>
      <c r="C42" s="157" t="s">
        <v>8441</v>
      </c>
      <c r="D42" s="179">
        <v>1001</v>
      </c>
      <c r="E42" s="194">
        <v>2</v>
      </c>
      <c r="F42" s="194">
        <v>1</v>
      </c>
      <c r="G42" s="194">
        <v>0</v>
      </c>
      <c r="H42" s="194">
        <v>0</v>
      </c>
      <c r="I42" s="88">
        <v>999</v>
      </c>
      <c r="J42" s="194" t="b">
        <v>1</v>
      </c>
      <c r="K42" s="194">
        <v>10</v>
      </c>
      <c r="L42" s="194">
        <v>150</v>
      </c>
      <c r="M42" s="194">
        <v>200</v>
      </c>
      <c r="N42" s="194">
        <v>0</v>
      </c>
      <c r="O42" s="194">
        <v>1</v>
      </c>
      <c r="P42" s="88">
        <v>1</v>
      </c>
      <c r="Q42" s="194">
        <v>0</v>
      </c>
      <c r="R42" s="194">
        <v>0</v>
      </c>
      <c r="S42" s="194" t="s">
        <v>38</v>
      </c>
      <c r="T42" t="s">
        <v>8893</v>
      </c>
      <c r="U42" s="25" t="s">
        <v>8532</v>
      </c>
      <c r="V42" s="25">
        <v>0</v>
      </c>
      <c r="W42" s="197">
        <v>1</v>
      </c>
      <c r="X42" s="197">
        <v>1</v>
      </c>
    </row>
    <row r="43" spans="1:24" x14ac:dyDescent="0.15">
      <c r="A43" s="193">
        <v>908114</v>
      </c>
      <c r="B43" t="s">
        <v>8894</v>
      </c>
      <c r="C43" s="157" t="s">
        <v>8441</v>
      </c>
      <c r="D43" s="179">
        <v>1001</v>
      </c>
      <c r="E43" s="194">
        <v>2</v>
      </c>
      <c r="F43" s="194">
        <v>1</v>
      </c>
      <c r="G43" s="194">
        <v>0</v>
      </c>
      <c r="H43" s="194">
        <v>0</v>
      </c>
      <c r="I43" s="88">
        <v>999</v>
      </c>
      <c r="J43" s="194" t="b">
        <v>1</v>
      </c>
      <c r="K43" s="194">
        <v>10</v>
      </c>
      <c r="L43" s="194">
        <v>150</v>
      </c>
      <c r="M43" s="194">
        <v>200</v>
      </c>
      <c r="N43" s="194">
        <v>0</v>
      </c>
      <c r="O43" s="194">
        <v>1</v>
      </c>
      <c r="P43" s="88">
        <v>1</v>
      </c>
      <c r="Q43" s="194">
        <v>0</v>
      </c>
      <c r="R43" s="194">
        <v>0</v>
      </c>
      <c r="S43" s="194" t="s">
        <v>38</v>
      </c>
      <c r="T43" t="s">
        <v>8895</v>
      </c>
      <c r="U43" s="25" t="s">
        <v>8535</v>
      </c>
      <c r="V43" s="25">
        <v>0</v>
      </c>
      <c r="W43" s="197">
        <v>1</v>
      </c>
      <c r="X43" s="197">
        <v>1</v>
      </c>
    </row>
    <row r="44" spans="1:24" x14ac:dyDescent="0.15">
      <c r="A44" s="193">
        <v>908115</v>
      </c>
      <c r="B44" t="s">
        <v>8896</v>
      </c>
      <c r="C44" s="157" t="s">
        <v>8441</v>
      </c>
      <c r="D44" s="179">
        <v>1001</v>
      </c>
      <c r="E44" s="194">
        <v>2</v>
      </c>
      <c r="F44" s="194">
        <v>1</v>
      </c>
      <c r="G44" s="194">
        <v>0</v>
      </c>
      <c r="H44" s="194">
        <v>0</v>
      </c>
      <c r="I44" s="88">
        <v>999</v>
      </c>
      <c r="J44" s="194" t="b">
        <v>1</v>
      </c>
      <c r="K44" s="194">
        <v>10</v>
      </c>
      <c r="L44" s="194">
        <v>150</v>
      </c>
      <c r="M44" s="194">
        <v>200</v>
      </c>
      <c r="N44" s="194">
        <v>0</v>
      </c>
      <c r="O44" s="194">
        <v>1</v>
      </c>
      <c r="P44" s="88">
        <v>1</v>
      </c>
      <c r="Q44" s="194">
        <v>0</v>
      </c>
      <c r="R44" s="194">
        <v>0</v>
      </c>
      <c r="S44" s="194" t="s">
        <v>38</v>
      </c>
      <c r="T44" t="s">
        <v>8895</v>
      </c>
      <c r="U44" s="25" t="s">
        <v>8537</v>
      </c>
      <c r="V44" s="25">
        <v>0</v>
      </c>
      <c r="W44" s="197">
        <v>1</v>
      </c>
      <c r="X44" s="197">
        <v>1</v>
      </c>
    </row>
    <row r="45" spans="1:24" x14ac:dyDescent="0.15">
      <c r="A45" s="193">
        <v>908116</v>
      </c>
      <c r="B45" t="s">
        <v>8897</v>
      </c>
      <c r="C45" s="157" t="s">
        <v>8441</v>
      </c>
      <c r="D45" s="179">
        <v>1001</v>
      </c>
      <c r="E45" s="194">
        <v>2</v>
      </c>
      <c r="F45" s="194">
        <v>1</v>
      </c>
      <c r="G45" s="194">
        <v>0</v>
      </c>
      <c r="H45" s="194">
        <v>0</v>
      </c>
      <c r="I45" s="88">
        <v>999</v>
      </c>
      <c r="J45" s="194" t="b">
        <v>1</v>
      </c>
      <c r="K45" s="194">
        <v>10</v>
      </c>
      <c r="L45" s="194">
        <v>150</v>
      </c>
      <c r="M45" s="194">
        <v>200</v>
      </c>
      <c r="N45" s="194">
        <v>0</v>
      </c>
      <c r="O45" s="194">
        <v>1</v>
      </c>
      <c r="P45" s="88">
        <v>1</v>
      </c>
      <c r="Q45" s="194">
        <v>0</v>
      </c>
      <c r="R45" s="194">
        <v>0</v>
      </c>
      <c r="S45" s="194" t="s">
        <v>38</v>
      </c>
      <c r="T45" t="s">
        <v>8895</v>
      </c>
      <c r="U45" s="25" t="s">
        <v>8539</v>
      </c>
      <c r="V45" s="25">
        <v>0</v>
      </c>
      <c r="W45" s="197">
        <v>1</v>
      </c>
      <c r="X45" s="197">
        <v>1</v>
      </c>
    </row>
    <row r="46" spans="1:24" x14ac:dyDescent="0.15">
      <c r="A46" s="193">
        <v>908117</v>
      </c>
      <c r="B46" t="s">
        <v>8898</v>
      </c>
      <c r="C46" s="157" t="s">
        <v>8441</v>
      </c>
      <c r="D46" s="179">
        <v>1001</v>
      </c>
      <c r="E46" s="194">
        <v>2</v>
      </c>
      <c r="F46" s="194">
        <v>1</v>
      </c>
      <c r="G46" s="194">
        <v>0</v>
      </c>
      <c r="H46" s="194">
        <v>0</v>
      </c>
      <c r="I46" s="88">
        <v>999</v>
      </c>
      <c r="J46" s="194" t="b">
        <v>1</v>
      </c>
      <c r="K46" s="194">
        <v>10</v>
      </c>
      <c r="L46" s="194">
        <v>150</v>
      </c>
      <c r="M46" s="194">
        <v>200</v>
      </c>
      <c r="N46" s="194">
        <v>0</v>
      </c>
      <c r="O46" s="194">
        <v>1</v>
      </c>
      <c r="P46" s="88">
        <v>1</v>
      </c>
      <c r="Q46" s="194">
        <v>0</v>
      </c>
      <c r="R46" s="194">
        <v>0</v>
      </c>
      <c r="S46" s="194" t="s">
        <v>38</v>
      </c>
      <c r="T46" t="s">
        <v>8895</v>
      </c>
      <c r="U46" s="25" t="s">
        <v>8541</v>
      </c>
      <c r="V46" s="25">
        <v>0</v>
      </c>
      <c r="W46" s="197">
        <v>1</v>
      </c>
      <c r="X46" s="197">
        <v>1</v>
      </c>
    </row>
    <row r="47" spans="1:24" x14ac:dyDescent="0.15">
      <c r="A47" s="193">
        <v>908118</v>
      </c>
      <c r="B47" t="s">
        <v>8899</v>
      </c>
      <c r="C47" s="157" t="s">
        <v>8441</v>
      </c>
      <c r="D47" s="179">
        <v>1001</v>
      </c>
      <c r="E47" s="194">
        <v>2</v>
      </c>
      <c r="F47" s="194">
        <v>0</v>
      </c>
      <c r="G47" s="194">
        <v>0</v>
      </c>
      <c r="H47" s="194">
        <v>0</v>
      </c>
      <c r="I47" s="88">
        <v>999</v>
      </c>
      <c r="J47" s="194" t="b">
        <v>1</v>
      </c>
      <c r="K47" s="194">
        <v>10</v>
      </c>
      <c r="L47" s="194">
        <v>150</v>
      </c>
      <c r="M47" s="194">
        <v>200</v>
      </c>
      <c r="N47" s="194">
        <v>0</v>
      </c>
      <c r="O47" s="194">
        <v>1</v>
      </c>
      <c r="P47" s="88">
        <v>1</v>
      </c>
      <c r="Q47" s="194">
        <v>0</v>
      </c>
      <c r="R47" s="194">
        <v>0</v>
      </c>
      <c r="S47" s="194" t="s">
        <v>38</v>
      </c>
      <c r="T47" t="s">
        <v>8900</v>
      </c>
      <c r="U47" s="25" t="s">
        <v>8544</v>
      </c>
      <c r="V47" s="25">
        <v>0</v>
      </c>
      <c r="W47" s="197">
        <v>1</v>
      </c>
      <c r="X47" s="197">
        <v>1</v>
      </c>
    </row>
    <row r="48" spans="1:24" x14ac:dyDescent="0.15">
      <c r="A48" s="193">
        <v>908119</v>
      </c>
      <c r="B48" t="s">
        <v>8901</v>
      </c>
      <c r="C48" s="157" t="s">
        <v>8441</v>
      </c>
      <c r="D48" s="179">
        <v>1001</v>
      </c>
      <c r="E48" s="194">
        <v>2</v>
      </c>
      <c r="F48" s="194">
        <v>0</v>
      </c>
      <c r="G48" s="194">
        <v>0</v>
      </c>
      <c r="H48" s="194">
        <v>0</v>
      </c>
      <c r="I48" s="88">
        <v>999</v>
      </c>
      <c r="J48" s="194" t="b">
        <v>1</v>
      </c>
      <c r="K48" s="194">
        <v>10</v>
      </c>
      <c r="L48" s="194">
        <v>150</v>
      </c>
      <c r="M48" s="194">
        <v>200</v>
      </c>
      <c r="N48" s="194">
        <v>0</v>
      </c>
      <c r="O48" s="194">
        <v>1</v>
      </c>
      <c r="P48" s="88">
        <v>1</v>
      </c>
      <c r="Q48" s="194">
        <v>0</v>
      </c>
      <c r="R48" s="194">
        <v>0</v>
      </c>
      <c r="S48" s="194" t="s">
        <v>38</v>
      </c>
      <c r="T48" t="s">
        <v>8902</v>
      </c>
      <c r="U48" s="25" t="s">
        <v>8546</v>
      </c>
      <c r="V48" s="25">
        <v>0</v>
      </c>
      <c r="W48" s="197">
        <v>1</v>
      </c>
      <c r="X48" s="197">
        <v>1</v>
      </c>
    </row>
    <row r="49" spans="1:24" x14ac:dyDescent="0.15">
      <c r="A49" s="193">
        <v>908120</v>
      </c>
      <c r="B49" t="s">
        <v>8903</v>
      </c>
      <c r="C49" s="157" t="s">
        <v>8441</v>
      </c>
      <c r="D49" s="179">
        <v>1001</v>
      </c>
      <c r="E49" s="194">
        <v>2</v>
      </c>
      <c r="F49" s="194">
        <v>0</v>
      </c>
      <c r="G49" s="194">
        <v>0</v>
      </c>
      <c r="H49" s="194">
        <v>0</v>
      </c>
      <c r="I49" s="88">
        <v>999</v>
      </c>
      <c r="J49" s="194" t="b">
        <v>1</v>
      </c>
      <c r="K49" s="194">
        <v>10</v>
      </c>
      <c r="L49" s="194">
        <v>150</v>
      </c>
      <c r="M49" s="194">
        <v>200</v>
      </c>
      <c r="N49" s="194">
        <v>0</v>
      </c>
      <c r="O49" s="194">
        <v>1</v>
      </c>
      <c r="P49" s="88">
        <v>1</v>
      </c>
      <c r="Q49" s="194">
        <v>0</v>
      </c>
      <c r="R49" s="194">
        <v>0</v>
      </c>
      <c r="S49" s="194" t="s">
        <v>38</v>
      </c>
      <c r="T49" t="s">
        <v>8904</v>
      </c>
      <c r="U49" s="25" t="s">
        <v>8548</v>
      </c>
      <c r="V49" s="25">
        <v>0</v>
      </c>
      <c r="W49" s="197">
        <v>1</v>
      </c>
      <c r="X49" s="197">
        <v>1</v>
      </c>
    </row>
    <row r="50" spans="1:24" x14ac:dyDescent="0.15">
      <c r="A50" s="193">
        <v>908121</v>
      </c>
      <c r="B50" t="s">
        <v>8905</v>
      </c>
      <c r="C50" s="157" t="s">
        <v>8441</v>
      </c>
      <c r="D50" s="179">
        <v>1001</v>
      </c>
      <c r="E50" s="194">
        <v>2</v>
      </c>
      <c r="F50" s="194">
        <v>1</v>
      </c>
      <c r="G50" s="194">
        <v>0</v>
      </c>
      <c r="H50" s="194">
        <v>0</v>
      </c>
      <c r="I50" s="88">
        <v>999</v>
      </c>
      <c r="J50" s="194" t="b">
        <v>1</v>
      </c>
      <c r="K50" s="194">
        <v>10</v>
      </c>
      <c r="L50" s="194">
        <v>150</v>
      </c>
      <c r="M50" s="194">
        <v>200</v>
      </c>
      <c r="N50" s="194">
        <v>0</v>
      </c>
      <c r="O50" s="194">
        <v>1</v>
      </c>
      <c r="P50" s="88">
        <v>1</v>
      </c>
      <c r="Q50" s="194">
        <v>0</v>
      </c>
      <c r="R50" s="194">
        <v>0</v>
      </c>
      <c r="S50" s="194" t="s">
        <v>38</v>
      </c>
      <c r="T50" t="s">
        <v>8906</v>
      </c>
      <c r="U50" s="25" t="s">
        <v>8551</v>
      </c>
      <c r="V50" s="25">
        <v>0</v>
      </c>
      <c r="W50" s="197">
        <v>1</v>
      </c>
      <c r="X50" s="197">
        <v>1</v>
      </c>
    </row>
    <row r="51" spans="1:24" x14ac:dyDescent="0.15">
      <c r="A51" s="193">
        <v>908122</v>
      </c>
      <c r="B51" t="s">
        <v>8907</v>
      </c>
      <c r="C51" s="157" t="s">
        <v>8441</v>
      </c>
      <c r="D51" s="179">
        <v>1001</v>
      </c>
      <c r="E51" s="194">
        <v>2</v>
      </c>
      <c r="F51" s="194">
        <v>1</v>
      </c>
      <c r="G51" s="194">
        <v>0</v>
      </c>
      <c r="H51" s="194">
        <v>0</v>
      </c>
      <c r="I51" s="88">
        <v>999</v>
      </c>
      <c r="J51" s="194" t="b">
        <v>1</v>
      </c>
      <c r="K51" s="194">
        <v>10</v>
      </c>
      <c r="L51" s="194">
        <v>150</v>
      </c>
      <c r="M51" s="194">
        <v>200</v>
      </c>
      <c r="N51" s="194">
        <v>0</v>
      </c>
      <c r="O51" s="194">
        <v>1</v>
      </c>
      <c r="P51" s="88">
        <v>1</v>
      </c>
      <c r="Q51" s="194">
        <v>0</v>
      </c>
      <c r="R51" s="194">
        <v>0</v>
      </c>
      <c r="S51" s="194" t="s">
        <v>38</v>
      </c>
      <c r="T51" t="s">
        <v>8908</v>
      </c>
      <c r="U51" s="25" t="s">
        <v>8554</v>
      </c>
      <c r="V51" s="25">
        <v>0</v>
      </c>
      <c r="W51" s="197">
        <v>1</v>
      </c>
      <c r="X51" s="197">
        <v>1</v>
      </c>
    </row>
    <row r="52" spans="1:24" x14ac:dyDescent="0.15">
      <c r="A52" s="193">
        <v>908123</v>
      </c>
      <c r="B52" t="s">
        <v>8909</v>
      </c>
      <c r="C52" s="157" t="s">
        <v>8441</v>
      </c>
      <c r="D52" s="179">
        <v>1001</v>
      </c>
      <c r="E52" s="194">
        <v>2</v>
      </c>
      <c r="F52" s="194">
        <v>1</v>
      </c>
      <c r="G52" s="194">
        <v>0</v>
      </c>
      <c r="H52" s="194">
        <v>0</v>
      </c>
      <c r="I52" s="88">
        <v>999</v>
      </c>
      <c r="J52" s="194" t="b">
        <v>1</v>
      </c>
      <c r="K52" s="194">
        <v>10</v>
      </c>
      <c r="L52" s="194">
        <v>150</v>
      </c>
      <c r="M52" s="194">
        <v>200</v>
      </c>
      <c r="N52" s="194">
        <v>0</v>
      </c>
      <c r="O52" s="194">
        <v>1</v>
      </c>
      <c r="P52" s="88">
        <v>1</v>
      </c>
      <c r="Q52" s="194">
        <v>0</v>
      </c>
      <c r="R52" s="194">
        <v>0</v>
      </c>
      <c r="S52" s="194" t="s">
        <v>38</v>
      </c>
      <c r="T52" t="s">
        <v>8910</v>
      </c>
      <c r="U52" s="25" t="s">
        <v>8557</v>
      </c>
      <c r="V52" s="25">
        <v>0</v>
      </c>
      <c r="W52" s="197">
        <v>1</v>
      </c>
      <c r="X52" s="197">
        <v>1</v>
      </c>
    </row>
    <row r="53" spans="1:24" x14ac:dyDescent="0.15">
      <c r="A53" s="193">
        <v>908124</v>
      </c>
      <c r="B53" t="s">
        <v>8911</v>
      </c>
      <c r="C53" s="157" t="s">
        <v>8441</v>
      </c>
      <c r="D53" s="179">
        <v>1001</v>
      </c>
      <c r="E53" s="194">
        <v>2</v>
      </c>
      <c r="F53" s="194">
        <v>1</v>
      </c>
      <c r="G53" s="194">
        <v>0</v>
      </c>
      <c r="H53" s="194">
        <v>0</v>
      </c>
      <c r="I53" s="88">
        <v>999</v>
      </c>
      <c r="J53" s="194" t="b">
        <v>1</v>
      </c>
      <c r="K53" s="194">
        <v>10</v>
      </c>
      <c r="L53" s="194">
        <v>150</v>
      </c>
      <c r="M53" s="194">
        <v>200</v>
      </c>
      <c r="N53" s="194">
        <v>0</v>
      </c>
      <c r="O53" s="194">
        <v>1</v>
      </c>
      <c r="P53" s="88">
        <v>1</v>
      </c>
      <c r="Q53" s="194">
        <v>0</v>
      </c>
      <c r="R53" s="194">
        <v>0</v>
      </c>
      <c r="S53" s="194" t="s">
        <v>38</v>
      </c>
      <c r="T53" t="s">
        <v>8869</v>
      </c>
      <c r="U53" s="25" t="s">
        <v>8559</v>
      </c>
      <c r="V53" s="25">
        <v>0</v>
      </c>
      <c r="W53" s="197">
        <v>1</v>
      </c>
      <c r="X53" s="197">
        <v>1</v>
      </c>
    </row>
    <row r="54" spans="1:24" x14ac:dyDescent="0.15">
      <c r="A54" s="193">
        <v>908125</v>
      </c>
      <c r="B54" t="s">
        <v>8912</v>
      </c>
      <c r="C54" s="157" t="s">
        <v>8441</v>
      </c>
      <c r="D54" s="179">
        <v>1001</v>
      </c>
      <c r="E54" s="194">
        <v>2</v>
      </c>
      <c r="F54" s="194">
        <v>1</v>
      </c>
      <c r="G54" s="194">
        <v>0</v>
      </c>
      <c r="H54" s="194">
        <v>0</v>
      </c>
      <c r="I54" s="88">
        <v>999</v>
      </c>
      <c r="J54" s="194" t="b">
        <v>1</v>
      </c>
      <c r="K54" s="194">
        <v>10</v>
      </c>
      <c r="L54" s="194">
        <v>150</v>
      </c>
      <c r="M54" s="194">
        <v>200</v>
      </c>
      <c r="N54" s="194">
        <v>0</v>
      </c>
      <c r="O54" s="194">
        <v>1</v>
      </c>
      <c r="P54" s="88">
        <v>1</v>
      </c>
      <c r="Q54" s="194">
        <v>0</v>
      </c>
      <c r="R54" s="194">
        <v>0</v>
      </c>
      <c r="S54" s="194" t="s">
        <v>38</v>
      </c>
      <c r="T54" t="s">
        <v>8913</v>
      </c>
      <c r="U54" s="25" t="s">
        <v>8562</v>
      </c>
      <c r="V54" s="25">
        <v>0</v>
      </c>
      <c r="W54" s="197">
        <v>1</v>
      </c>
      <c r="X54" s="197">
        <v>1</v>
      </c>
    </row>
    <row r="55" spans="1:24" x14ac:dyDescent="0.15">
      <c r="A55" s="193">
        <v>908126</v>
      </c>
      <c r="B55" t="s">
        <v>8914</v>
      </c>
      <c r="C55" s="157" t="s">
        <v>8441</v>
      </c>
      <c r="D55" s="179">
        <v>1001</v>
      </c>
      <c r="E55" s="194">
        <v>2</v>
      </c>
      <c r="F55" s="194">
        <v>1</v>
      </c>
      <c r="G55" s="194">
        <v>0</v>
      </c>
      <c r="H55" s="194">
        <v>0</v>
      </c>
      <c r="I55" s="88">
        <v>999</v>
      </c>
      <c r="J55" s="194" t="b">
        <v>1</v>
      </c>
      <c r="K55" s="194">
        <v>10</v>
      </c>
      <c r="L55" s="194">
        <v>150</v>
      </c>
      <c r="M55" s="194">
        <v>200</v>
      </c>
      <c r="N55" s="194">
        <v>0</v>
      </c>
      <c r="O55" s="194">
        <v>1</v>
      </c>
      <c r="P55" s="88">
        <v>1</v>
      </c>
      <c r="Q55" s="194">
        <v>0</v>
      </c>
      <c r="R55" s="194">
        <v>0</v>
      </c>
      <c r="S55" s="194" t="s">
        <v>38</v>
      </c>
      <c r="T55" t="s">
        <v>8915</v>
      </c>
      <c r="U55" s="25" t="s">
        <v>8564</v>
      </c>
      <c r="V55" s="25">
        <v>0</v>
      </c>
      <c r="W55" s="197">
        <v>1</v>
      </c>
      <c r="X55" s="197">
        <v>1</v>
      </c>
    </row>
    <row r="56" spans="1:24" x14ac:dyDescent="0.15">
      <c r="A56" s="193">
        <v>908127</v>
      </c>
      <c r="B56" t="s">
        <v>8916</v>
      </c>
      <c r="C56" s="157" t="s">
        <v>8441</v>
      </c>
      <c r="D56" s="179">
        <v>1001</v>
      </c>
      <c r="E56" s="194">
        <v>2</v>
      </c>
      <c r="F56" s="194">
        <v>1</v>
      </c>
      <c r="G56" s="194">
        <v>0</v>
      </c>
      <c r="H56" s="194">
        <v>0</v>
      </c>
      <c r="I56" s="88">
        <v>999</v>
      </c>
      <c r="J56" s="194" t="b">
        <v>1</v>
      </c>
      <c r="K56" s="194">
        <v>10</v>
      </c>
      <c r="L56" s="194">
        <v>150</v>
      </c>
      <c r="M56" s="194">
        <v>200</v>
      </c>
      <c r="N56" s="194">
        <v>0</v>
      </c>
      <c r="O56" s="194">
        <v>1</v>
      </c>
      <c r="P56" s="88">
        <v>1</v>
      </c>
      <c r="Q56" s="194">
        <v>0</v>
      </c>
      <c r="R56" s="194">
        <v>0</v>
      </c>
      <c r="S56" s="194" t="s">
        <v>38</v>
      </c>
      <c r="T56" t="s">
        <v>8917</v>
      </c>
      <c r="U56" s="25" t="s">
        <v>8567</v>
      </c>
      <c r="V56" s="25">
        <v>0</v>
      </c>
      <c r="W56" s="197">
        <v>1</v>
      </c>
      <c r="X56" s="197">
        <v>1</v>
      </c>
    </row>
    <row r="57" spans="1:24" x14ac:dyDescent="0.15">
      <c r="A57" s="193">
        <v>908128</v>
      </c>
      <c r="B57" t="s">
        <v>8918</v>
      </c>
      <c r="C57" s="157" t="s">
        <v>8441</v>
      </c>
      <c r="D57" s="179">
        <v>1001</v>
      </c>
      <c r="E57" s="194">
        <v>2</v>
      </c>
      <c r="F57" s="194">
        <v>1</v>
      </c>
      <c r="G57" s="194">
        <v>0</v>
      </c>
      <c r="H57" s="194">
        <v>0</v>
      </c>
      <c r="I57" s="88">
        <v>999</v>
      </c>
      <c r="J57" s="194" t="b">
        <v>1</v>
      </c>
      <c r="K57" s="194">
        <v>10</v>
      </c>
      <c r="L57" s="194">
        <v>150</v>
      </c>
      <c r="M57" s="194">
        <v>200</v>
      </c>
      <c r="N57" s="194">
        <v>0</v>
      </c>
      <c r="O57" s="194">
        <v>1</v>
      </c>
      <c r="P57" s="88">
        <v>1</v>
      </c>
      <c r="Q57" s="194">
        <v>0</v>
      </c>
      <c r="R57" s="194">
        <v>0</v>
      </c>
      <c r="S57" s="194" t="s">
        <v>38</v>
      </c>
      <c r="T57" t="s">
        <v>8877</v>
      </c>
      <c r="U57" s="25" t="s">
        <v>8569</v>
      </c>
      <c r="V57" s="25">
        <v>0</v>
      </c>
      <c r="W57" s="197">
        <v>1</v>
      </c>
      <c r="X57" s="197">
        <v>1</v>
      </c>
    </row>
    <row r="58" spans="1:24" x14ac:dyDescent="0.15">
      <c r="A58" s="193">
        <v>908129</v>
      </c>
      <c r="B58" t="s">
        <v>8919</v>
      </c>
      <c r="C58" s="157" t="s">
        <v>8441</v>
      </c>
      <c r="D58" s="179">
        <v>1001</v>
      </c>
      <c r="E58" s="194">
        <v>2</v>
      </c>
      <c r="F58" s="194">
        <v>1</v>
      </c>
      <c r="G58" s="194">
        <v>0</v>
      </c>
      <c r="H58" s="194">
        <v>0</v>
      </c>
      <c r="I58" s="88">
        <v>999</v>
      </c>
      <c r="J58" s="194" t="b">
        <v>1</v>
      </c>
      <c r="K58" s="194">
        <v>10</v>
      </c>
      <c r="L58" s="194">
        <v>150</v>
      </c>
      <c r="M58" s="194">
        <v>200</v>
      </c>
      <c r="N58" s="194">
        <v>0</v>
      </c>
      <c r="O58" s="194">
        <v>1</v>
      </c>
      <c r="P58" s="88">
        <v>1</v>
      </c>
      <c r="Q58" s="194">
        <v>0</v>
      </c>
      <c r="R58" s="194">
        <v>0</v>
      </c>
      <c r="S58" s="194" t="s">
        <v>38</v>
      </c>
      <c r="T58" t="s">
        <v>8920</v>
      </c>
      <c r="U58" s="25" t="s">
        <v>8572</v>
      </c>
      <c r="V58" s="25">
        <v>0</v>
      </c>
      <c r="W58" s="197">
        <v>1</v>
      </c>
      <c r="X58" s="197">
        <v>1</v>
      </c>
    </row>
    <row r="59" spans="1:24" x14ac:dyDescent="0.15">
      <c r="A59" s="193">
        <v>908130</v>
      </c>
      <c r="B59" t="s">
        <v>8921</v>
      </c>
      <c r="C59" s="157" t="s">
        <v>8441</v>
      </c>
      <c r="D59" s="179">
        <v>1001</v>
      </c>
      <c r="E59" s="194">
        <v>2</v>
      </c>
      <c r="F59" s="194">
        <v>1</v>
      </c>
      <c r="G59" s="194">
        <v>0</v>
      </c>
      <c r="H59" s="194">
        <v>0</v>
      </c>
      <c r="I59" s="88">
        <v>999</v>
      </c>
      <c r="J59" s="194" t="b">
        <v>1</v>
      </c>
      <c r="K59" s="194">
        <v>10</v>
      </c>
      <c r="L59" s="194">
        <v>150</v>
      </c>
      <c r="M59" s="194">
        <v>200</v>
      </c>
      <c r="N59" s="194">
        <v>0</v>
      </c>
      <c r="O59" s="194">
        <v>1</v>
      </c>
      <c r="P59" s="88">
        <v>1</v>
      </c>
      <c r="Q59" s="194">
        <v>0</v>
      </c>
      <c r="R59" s="194">
        <v>0</v>
      </c>
      <c r="S59" s="194" t="s">
        <v>38</v>
      </c>
      <c r="T59" t="s">
        <v>8883</v>
      </c>
      <c r="U59" s="25" t="s">
        <v>8574</v>
      </c>
      <c r="V59" s="25">
        <v>0</v>
      </c>
      <c r="W59" s="197">
        <v>1</v>
      </c>
      <c r="X59" s="197">
        <v>1</v>
      </c>
    </row>
    <row r="60" spans="1:24" x14ac:dyDescent="0.15">
      <c r="A60" s="193">
        <v>908131</v>
      </c>
      <c r="B60" t="s">
        <v>8922</v>
      </c>
      <c r="C60" s="157" t="s">
        <v>8441</v>
      </c>
      <c r="D60" s="179">
        <v>1001</v>
      </c>
      <c r="E60" s="194">
        <v>2</v>
      </c>
      <c r="F60" s="194">
        <v>1</v>
      </c>
      <c r="G60" s="194">
        <v>0</v>
      </c>
      <c r="H60" s="194">
        <v>0</v>
      </c>
      <c r="I60" s="88">
        <v>999</v>
      </c>
      <c r="J60" s="194" t="b">
        <v>1</v>
      </c>
      <c r="K60" s="194">
        <v>10</v>
      </c>
      <c r="L60" s="194">
        <v>150</v>
      </c>
      <c r="M60" s="194">
        <v>200</v>
      </c>
      <c r="N60" s="194">
        <v>0</v>
      </c>
      <c r="O60" s="194">
        <v>1</v>
      </c>
      <c r="P60" s="88">
        <v>1</v>
      </c>
      <c r="Q60" s="194">
        <v>0</v>
      </c>
      <c r="R60" s="194">
        <v>0</v>
      </c>
      <c r="S60" s="194" t="s">
        <v>38</v>
      </c>
      <c r="T60" t="s">
        <v>8887</v>
      </c>
      <c r="U60" s="25" t="s">
        <v>8576</v>
      </c>
      <c r="V60" s="25">
        <v>0</v>
      </c>
      <c r="W60" s="197">
        <v>1</v>
      </c>
      <c r="X60" s="197">
        <v>1</v>
      </c>
    </row>
    <row r="61" spans="1:24" x14ac:dyDescent="0.15">
      <c r="A61" s="193">
        <v>908132</v>
      </c>
      <c r="B61" t="s">
        <v>8923</v>
      </c>
      <c r="C61" s="157" t="s">
        <v>8441</v>
      </c>
      <c r="D61" s="179">
        <v>1001</v>
      </c>
      <c r="E61" s="194">
        <v>2</v>
      </c>
      <c r="F61" s="194">
        <v>1</v>
      </c>
      <c r="G61" s="194">
        <v>0</v>
      </c>
      <c r="H61" s="194">
        <v>0</v>
      </c>
      <c r="I61" s="88">
        <v>999</v>
      </c>
      <c r="J61" s="194" t="b">
        <v>1</v>
      </c>
      <c r="K61" s="194">
        <v>10</v>
      </c>
      <c r="L61" s="194">
        <v>150</v>
      </c>
      <c r="M61" s="194">
        <v>200</v>
      </c>
      <c r="N61" s="194">
        <v>0</v>
      </c>
      <c r="O61" s="194">
        <v>1</v>
      </c>
      <c r="P61" s="88">
        <v>1</v>
      </c>
      <c r="Q61" s="194">
        <v>0</v>
      </c>
      <c r="R61" s="194">
        <v>0</v>
      </c>
      <c r="S61" s="194" t="s">
        <v>38</v>
      </c>
      <c r="T61" t="s">
        <v>8924</v>
      </c>
      <c r="U61" s="25" t="s">
        <v>8579</v>
      </c>
      <c r="V61" s="25">
        <v>0</v>
      </c>
      <c r="W61" s="197">
        <v>1</v>
      </c>
      <c r="X61" s="197">
        <v>1</v>
      </c>
    </row>
    <row r="62" spans="1:24" x14ac:dyDescent="0.15">
      <c r="A62" s="193">
        <v>908133</v>
      </c>
      <c r="B62" t="s">
        <v>8925</v>
      </c>
      <c r="C62" s="157" t="s">
        <v>8441</v>
      </c>
      <c r="D62" s="179">
        <v>1001</v>
      </c>
      <c r="E62" s="194">
        <v>2</v>
      </c>
      <c r="F62" s="194">
        <v>1</v>
      </c>
      <c r="G62" s="194">
        <v>0</v>
      </c>
      <c r="H62" s="194">
        <v>0</v>
      </c>
      <c r="I62" s="88">
        <v>999</v>
      </c>
      <c r="J62" s="194" t="b">
        <v>1</v>
      </c>
      <c r="K62" s="194">
        <v>10</v>
      </c>
      <c r="L62" s="194">
        <v>150</v>
      </c>
      <c r="M62" s="194">
        <v>200</v>
      </c>
      <c r="N62" s="194">
        <v>0</v>
      </c>
      <c r="O62" s="194">
        <v>1</v>
      </c>
      <c r="P62" s="88">
        <v>1</v>
      </c>
      <c r="Q62" s="194">
        <v>0</v>
      </c>
      <c r="R62" s="194">
        <v>0</v>
      </c>
      <c r="S62" s="194" t="s">
        <v>38</v>
      </c>
      <c r="T62" t="s">
        <v>8891</v>
      </c>
      <c r="U62" s="25" t="s">
        <v>8581</v>
      </c>
      <c r="V62" s="25">
        <v>0</v>
      </c>
      <c r="W62" s="197">
        <v>1</v>
      </c>
      <c r="X62" s="197">
        <v>1</v>
      </c>
    </row>
    <row r="63" spans="1:24" x14ac:dyDescent="0.15">
      <c r="A63" s="193">
        <v>908134</v>
      </c>
      <c r="B63" t="s">
        <v>8926</v>
      </c>
      <c r="C63" s="157" t="s">
        <v>8441</v>
      </c>
      <c r="D63" s="179">
        <v>1001</v>
      </c>
      <c r="E63" s="194">
        <v>2</v>
      </c>
      <c r="F63" s="194">
        <v>1</v>
      </c>
      <c r="G63" s="194">
        <v>0</v>
      </c>
      <c r="H63" s="194">
        <v>0</v>
      </c>
      <c r="I63" s="88">
        <v>999</v>
      </c>
      <c r="J63" s="194" t="b">
        <v>1</v>
      </c>
      <c r="K63" s="194">
        <v>10</v>
      </c>
      <c r="L63" s="194">
        <v>150</v>
      </c>
      <c r="M63" s="194">
        <v>200</v>
      </c>
      <c r="N63" s="194">
        <v>0</v>
      </c>
      <c r="O63" s="194">
        <v>1</v>
      </c>
      <c r="P63" s="88">
        <v>1</v>
      </c>
      <c r="Q63" s="194">
        <v>0</v>
      </c>
      <c r="R63" s="194">
        <v>0</v>
      </c>
      <c r="S63" s="194" t="s">
        <v>38</v>
      </c>
      <c r="T63" t="s">
        <v>8893</v>
      </c>
      <c r="U63" s="25" t="s">
        <v>8583</v>
      </c>
      <c r="V63" s="25">
        <v>0</v>
      </c>
      <c r="W63" s="197">
        <v>1</v>
      </c>
      <c r="X63" s="197">
        <v>1</v>
      </c>
    </row>
    <row r="64" spans="1:24" x14ac:dyDescent="0.15">
      <c r="A64" s="193">
        <v>908135</v>
      </c>
      <c r="B64" t="s">
        <v>8927</v>
      </c>
      <c r="C64" s="157" t="s">
        <v>8441</v>
      </c>
      <c r="D64" s="179">
        <v>1001</v>
      </c>
      <c r="E64" s="194">
        <v>2</v>
      </c>
      <c r="F64" s="194">
        <v>0</v>
      </c>
      <c r="G64" s="194">
        <v>0</v>
      </c>
      <c r="H64" s="194">
        <v>0</v>
      </c>
      <c r="I64" s="88">
        <v>999</v>
      </c>
      <c r="J64" s="194" t="b">
        <v>1</v>
      </c>
      <c r="K64" s="194">
        <v>10</v>
      </c>
      <c r="L64" s="194">
        <v>150</v>
      </c>
      <c r="M64" s="194">
        <v>200</v>
      </c>
      <c r="N64" s="194">
        <v>0</v>
      </c>
      <c r="O64" s="194">
        <v>1</v>
      </c>
      <c r="P64" s="88">
        <v>1</v>
      </c>
      <c r="Q64" s="194">
        <v>0</v>
      </c>
      <c r="R64" s="194">
        <v>0</v>
      </c>
      <c r="S64" s="194" t="s">
        <v>38</v>
      </c>
      <c r="T64" t="s">
        <v>8928</v>
      </c>
      <c r="U64" s="25" t="s">
        <v>8585</v>
      </c>
      <c r="V64" s="25">
        <v>0</v>
      </c>
      <c r="W64" s="197">
        <v>1</v>
      </c>
      <c r="X64" s="197">
        <v>1</v>
      </c>
    </row>
    <row r="65" spans="1:24" x14ac:dyDescent="0.15">
      <c r="A65" s="193">
        <v>908136</v>
      </c>
      <c r="B65" t="s">
        <v>8929</v>
      </c>
      <c r="C65" s="157" t="s">
        <v>8441</v>
      </c>
      <c r="D65" s="179">
        <v>1001</v>
      </c>
      <c r="E65" s="194">
        <v>2</v>
      </c>
      <c r="F65" s="194">
        <v>0</v>
      </c>
      <c r="G65" s="194">
        <v>0</v>
      </c>
      <c r="H65" s="194">
        <v>0</v>
      </c>
      <c r="I65" s="88">
        <v>999</v>
      </c>
      <c r="J65" s="194" t="b">
        <v>1</v>
      </c>
      <c r="K65" s="194">
        <v>10</v>
      </c>
      <c r="L65" s="194">
        <v>150</v>
      </c>
      <c r="M65" s="194">
        <v>200</v>
      </c>
      <c r="N65" s="194">
        <v>0</v>
      </c>
      <c r="O65" s="194">
        <v>1</v>
      </c>
      <c r="P65" s="88">
        <v>1</v>
      </c>
      <c r="Q65" s="194">
        <v>0</v>
      </c>
      <c r="R65" s="194">
        <v>0</v>
      </c>
      <c r="S65" s="194" t="s">
        <v>38</v>
      </c>
      <c r="T65" t="s">
        <v>8930</v>
      </c>
      <c r="U65" s="25" t="s">
        <v>8587</v>
      </c>
      <c r="V65" s="25">
        <v>0</v>
      </c>
      <c r="W65" s="197">
        <v>1</v>
      </c>
      <c r="X65" s="197">
        <v>1</v>
      </c>
    </row>
    <row r="66" spans="1:24" x14ac:dyDescent="0.15">
      <c r="A66" s="193">
        <v>908137</v>
      </c>
      <c r="B66" t="s">
        <v>8931</v>
      </c>
      <c r="C66" s="157" t="s">
        <v>8441</v>
      </c>
      <c r="D66" s="179">
        <v>1001</v>
      </c>
      <c r="E66" s="194">
        <v>2</v>
      </c>
      <c r="F66" s="194">
        <v>0</v>
      </c>
      <c r="G66" s="194">
        <v>0</v>
      </c>
      <c r="H66" s="194">
        <v>0</v>
      </c>
      <c r="I66" s="88">
        <v>999</v>
      </c>
      <c r="J66" s="194" t="b">
        <v>1</v>
      </c>
      <c r="K66" s="194">
        <v>10</v>
      </c>
      <c r="L66" s="194">
        <v>150</v>
      </c>
      <c r="M66" s="194">
        <v>200</v>
      </c>
      <c r="N66" s="194">
        <v>0</v>
      </c>
      <c r="O66" s="194">
        <v>1</v>
      </c>
      <c r="P66" s="88">
        <v>1</v>
      </c>
      <c r="Q66" s="194">
        <v>0</v>
      </c>
      <c r="R66" s="194">
        <v>0</v>
      </c>
      <c r="S66" s="194" t="s">
        <v>38</v>
      </c>
      <c r="T66" t="s">
        <v>8932</v>
      </c>
      <c r="U66" s="25" t="s">
        <v>8589</v>
      </c>
      <c r="V66" s="25">
        <v>0</v>
      </c>
      <c r="W66" s="197">
        <v>1</v>
      </c>
      <c r="X66" s="197">
        <v>1</v>
      </c>
    </row>
    <row r="67" spans="1:24" x14ac:dyDescent="0.15">
      <c r="A67" s="193">
        <v>908138</v>
      </c>
      <c r="B67" t="s">
        <v>8933</v>
      </c>
      <c r="C67" s="157" t="s">
        <v>8441</v>
      </c>
      <c r="D67" s="179">
        <v>1001</v>
      </c>
      <c r="E67" s="194">
        <v>2</v>
      </c>
      <c r="F67" s="194">
        <v>0</v>
      </c>
      <c r="G67" s="194">
        <v>0</v>
      </c>
      <c r="H67" s="194">
        <v>0</v>
      </c>
      <c r="I67" s="88">
        <v>999</v>
      </c>
      <c r="J67" s="194" t="b">
        <v>1</v>
      </c>
      <c r="K67" s="194">
        <v>10</v>
      </c>
      <c r="L67" s="194">
        <v>150</v>
      </c>
      <c r="M67" s="194">
        <v>200</v>
      </c>
      <c r="N67" s="194">
        <v>0</v>
      </c>
      <c r="O67" s="194">
        <v>1</v>
      </c>
      <c r="P67" s="88">
        <v>1</v>
      </c>
      <c r="Q67" s="194">
        <v>0</v>
      </c>
      <c r="R67" s="194">
        <v>0</v>
      </c>
      <c r="S67" s="194" t="s">
        <v>38</v>
      </c>
      <c r="T67" t="s">
        <v>8934</v>
      </c>
      <c r="U67" s="25" t="s">
        <v>8592</v>
      </c>
      <c r="V67" s="25">
        <v>0</v>
      </c>
      <c r="W67" s="197">
        <v>1</v>
      </c>
      <c r="X67" s="197">
        <v>1</v>
      </c>
    </row>
    <row r="68" spans="1:24" x14ac:dyDescent="0.15">
      <c r="A68" s="193">
        <v>908139</v>
      </c>
      <c r="B68" t="s">
        <v>8935</v>
      </c>
      <c r="C68" s="157" t="s">
        <v>8441</v>
      </c>
      <c r="D68" s="179">
        <v>1001</v>
      </c>
      <c r="E68" s="194">
        <v>2</v>
      </c>
      <c r="F68" s="194">
        <v>0</v>
      </c>
      <c r="G68" s="194">
        <v>0</v>
      </c>
      <c r="H68" s="194">
        <v>0</v>
      </c>
      <c r="I68" s="88">
        <v>999</v>
      </c>
      <c r="J68" s="194" t="b">
        <v>1</v>
      </c>
      <c r="K68" s="194">
        <v>10</v>
      </c>
      <c r="L68" s="194">
        <v>150</v>
      </c>
      <c r="M68" s="194">
        <v>200</v>
      </c>
      <c r="N68" s="194">
        <v>0</v>
      </c>
      <c r="O68" s="194">
        <v>1</v>
      </c>
      <c r="P68" s="88">
        <v>1</v>
      </c>
      <c r="Q68" s="194">
        <v>0</v>
      </c>
      <c r="R68" s="194">
        <v>0</v>
      </c>
      <c r="S68" s="194" t="s">
        <v>38</v>
      </c>
      <c r="T68" t="s">
        <v>8936</v>
      </c>
      <c r="U68" s="25" t="s">
        <v>8595</v>
      </c>
      <c r="V68" s="25">
        <v>0</v>
      </c>
      <c r="W68" s="197">
        <v>1</v>
      </c>
      <c r="X68" s="197">
        <v>1</v>
      </c>
    </row>
    <row r="69" spans="1:24" x14ac:dyDescent="0.15">
      <c r="A69" s="193">
        <v>908140</v>
      </c>
      <c r="B69" t="s">
        <v>8937</v>
      </c>
      <c r="C69" s="157" t="s">
        <v>8441</v>
      </c>
      <c r="D69" s="179">
        <v>1001</v>
      </c>
      <c r="E69" s="194">
        <v>2</v>
      </c>
      <c r="F69" s="194">
        <v>0</v>
      </c>
      <c r="G69" s="194">
        <v>0</v>
      </c>
      <c r="H69" s="194">
        <v>0</v>
      </c>
      <c r="I69" s="88">
        <v>999</v>
      </c>
      <c r="J69" s="194" t="b">
        <v>1</v>
      </c>
      <c r="K69" s="194">
        <v>10</v>
      </c>
      <c r="L69" s="194">
        <v>150</v>
      </c>
      <c r="M69" s="194">
        <v>200</v>
      </c>
      <c r="N69" s="194">
        <v>0</v>
      </c>
      <c r="O69" s="194">
        <v>1</v>
      </c>
      <c r="P69" s="88">
        <v>1</v>
      </c>
      <c r="Q69" s="194">
        <v>0</v>
      </c>
      <c r="R69" s="194">
        <v>0</v>
      </c>
      <c r="S69" s="194" t="s">
        <v>38</v>
      </c>
      <c r="T69" t="s">
        <v>8938</v>
      </c>
      <c r="U69" s="25" t="s">
        <v>8598</v>
      </c>
      <c r="V69" s="25">
        <v>0</v>
      </c>
      <c r="W69" s="197">
        <v>1</v>
      </c>
      <c r="X69" s="197">
        <v>1</v>
      </c>
    </row>
    <row r="70" spans="1:24" x14ac:dyDescent="0.15">
      <c r="A70" s="193">
        <v>908141</v>
      </c>
      <c r="B70" t="s">
        <v>8939</v>
      </c>
      <c r="C70" s="157" t="s">
        <v>8441</v>
      </c>
      <c r="D70" s="179">
        <v>1001</v>
      </c>
      <c r="E70" s="194">
        <v>2</v>
      </c>
      <c r="F70" s="194">
        <v>1</v>
      </c>
      <c r="G70" s="194">
        <v>0</v>
      </c>
      <c r="H70" s="194">
        <v>0</v>
      </c>
      <c r="I70" s="88">
        <v>999</v>
      </c>
      <c r="J70" s="194" t="b">
        <v>1</v>
      </c>
      <c r="K70" s="194">
        <v>10</v>
      </c>
      <c r="L70" s="194">
        <v>150</v>
      </c>
      <c r="M70" s="194">
        <v>200</v>
      </c>
      <c r="N70" s="194">
        <v>0</v>
      </c>
      <c r="O70" s="194">
        <v>1</v>
      </c>
      <c r="P70" s="88">
        <v>1</v>
      </c>
      <c r="Q70" s="194">
        <v>0</v>
      </c>
      <c r="R70" s="194">
        <v>0</v>
      </c>
      <c r="S70" s="194" t="s">
        <v>38</v>
      </c>
      <c r="T70" t="s">
        <v>8936</v>
      </c>
      <c r="U70" s="25" t="s">
        <v>8600</v>
      </c>
      <c r="V70" s="25">
        <v>0</v>
      </c>
      <c r="W70" s="197">
        <v>1</v>
      </c>
      <c r="X70" s="197">
        <v>1</v>
      </c>
    </row>
    <row r="71" spans="1:24" x14ac:dyDescent="0.15">
      <c r="A71" s="193">
        <v>908142</v>
      </c>
      <c r="B71" t="s">
        <v>8940</v>
      </c>
      <c r="C71" s="157" t="s">
        <v>8441</v>
      </c>
      <c r="D71" s="179">
        <v>1001</v>
      </c>
      <c r="E71" s="194">
        <v>2</v>
      </c>
      <c r="F71" s="194">
        <v>1</v>
      </c>
      <c r="G71" s="194">
        <v>0</v>
      </c>
      <c r="H71" s="194">
        <v>0</v>
      </c>
      <c r="I71" s="88">
        <v>999</v>
      </c>
      <c r="J71" s="194" t="b">
        <v>1</v>
      </c>
      <c r="K71" s="194">
        <v>10</v>
      </c>
      <c r="L71" s="194">
        <v>150</v>
      </c>
      <c r="M71" s="194">
        <v>200</v>
      </c>
      <c r="N71" s="194">
        <v>0</v>
      </c>
      <c r="O71" s="194">
        <v>1</v>
      </c>
      <c r="P71" s="88">
        <v>1</v>
      </c>
      <c r="Q71" s="194">
        <v>0</v>
      </c>
      <c r="R71" s="194">
        <v>0</v>
      </c>
      <c r="S71" s="194" t="s">
        <v>38</v>
      </c>
      <c r="T71" t="s">
        <v>8895</v>
      </c>
      <c r="U71" s="25" t="s">
        <v>8602</v>
      </c>
      <c r="V71" s="25">
        <v>0</v>
      </c>
      <c r="W71" s="197">
        <v>1</v>
      </c>
      <c r="X71" s="197">
        <v>1</v>
      </c>
    </row>
    <row r="72" spans="1:24" x14ac:dyDescent="0.15">
      <c r="A72" s="193">
        <v>908143</v>
      </c>
      <c r="B72" t="s">
        <v>8941</v>
      </c>
      <c r="C72" s="157" t="s">
        <v>8441</v>
      </c>
      <c r="D72" s="179">
        <v>1001</v>
      </c>
      <c r="E72" s="194">
        <v>2</v>
      </c>
      <c r="F72" s="194">
        <v>1</v>
      </c>
      <c r="G72" s="194">
        <v>0</v>
      </c>
      <c r="H72" s="194">
        <v>0</v>
      </c>
      <c r="I72" s="88">
        <v>999</v>
      </c>
      <c r="J72" s="194" t="b">
        <v>1</v>
      </c>
      <c r="K72" s="194">
        <v>10</v>
      </c>
      <c r="L72" s="194">
        <v>150</v>
      </c>
      <c r="M72" s="194">
        <v>200</v>
      </c>
      <c r="N72" s="194">
        <v>0</v>
      </c>
      <c r="O72" s="194">
        <v>1</v>
      </c>
      <c r="P72" s="88">
        <v>1</v>
      </c>
      <c r="Q72" s="194">
        <v>0</v>
      </c>
      <c r="R72" s="194">
        <v>0</v>
      </c>
      <c r="S72" s="194" t="s">
        <v>38</v>
      </c>
      <c r="T72" t="s">
        <v>8895</v>
      </c>
      <c r="U72" s="25" t="s">
        <v>8604</v>
      </c>
      <c r="V72" s="25">
        <v>0</v>
      </c>
      <c r="W72" s="197">
        <v>1</v>
      </c>
      <c r="X72" s="197">
        <v>1</v>
      </c>
    </row>
    <row r="73" spans="1:24" x14ac:dyDescent="0.15">
      <c r="A73" s="193">
        <v>908144</v>
      </c>
      <c r="B73" t="s">
        <v>8942</v>
      </c>
      <c r="C73" s="157" t="s">
        <v>8441</v>
      </c>
      <c r="D73" s="179">
        <v>1001</v>
      </c>
      <c r="E73" s="194">
        <v>2</v>
      </c>
      <c r="F73" s="194">
        <v>1</v>
      </c>
      <c r="G73" s="194">
        <v>0</v>
      </c>
      <c r="H73" s="194">
        <v>0</v>
      </c>
      <c r="I73" s="88">
        <v>999</v>
      </c>
      <c r="J73" s="194" t="b">
        <v>1</v>
      </c>
      <c r="K73" s="194">
        <v>10</v>
      </c>
      <c r="L73" s="194">
        <v>150</v>
      </c>
      <c r="M73" s="194">
        <v>200</v>
      </c>
      <c r="N73" s="194">
        <v>0</v>
      </c>
      <c r="O73" s="194">
        <v>1</v>
      </c>
      <c r="P73" s="88">
        <v>1</v>
      </c>
      <c r="Q73" s="194">
        <v>0</v>
      </c>
      <c r="R73" s="194">
        <v>0</v>
      </c>
      <c r="S73" s="194" t="s">
        <v>38</v>
      </c>
      <c r="T73" t="s">
        <v>8895</v>
      </c>
      <c r="U73" s="25" t="s">
        <v>8606</v>
      </c>
      <c r="V73" s="25">
        <v>0</v>
      </c>
      <c r="W73" s="197">
        <v>1</v>
      </c>
      <c r="X73" s="197">
        <v>1</v>
      </c>
    </row>
    <row r="74" spans="1:24" x14ac:dyDescent="0.15">
      <c r="A74" s="193">
        <v>908145</v>
      </c>
      <c r="B74" t="s">
        <v>8943</v>
      </c>
      <c r="C74" s="157" t="s">
        <v>8441</v>
      </c>
      <c r="D74" s="179">
        <v>1001</v>
      </c>
      <c r="E74" s="194">
        <v>2</v>
      </c>
      <c r="F74" s="194">
        <v>0</v>
      </c>
      <c r="G74" s="194">
        <v>0</v>
      </c>
      <c r="H74" s="194">
        <v>0</v>
      </c>
      <c r="I74" s="88">
        <v>999</v>
      </c>
      <c r="J74" s="194" t="b">
        <v>1</v>
      </c>
      <c r="K74" s="194">
        <v>10</v>
      </c>
      <c r="L74" s="194">
        <v>150</v>
      </c>
      <c r="M74" s="194">
        <v>200</v>
      </c>
      <c r="N74" s="194">
        <v>0</v>
      </c>
      <c r="O74" s="194">
        <v>1</v>
      </c>
      <c r="P74" s="88">
        <v>1</v>
      </c>
      <c r="Q74" s="194">
        <v>0</v>
      </c>
      <c r="R74" s="194">
        <v>0</v>
      </c>
      <c r="S74" s="194" t="s">
        <v>38</v>
      </c>
      <c r="T74" t="s">
        <v>8938</v>
      </c>
      <c r="U74" s="25" t="s">
        <v>8608</v>
      </c>
      <c r="V74" s="25">
        <v>0</v>
      </c>
      <c r="W74" s="197">
        <v>1</v>
      </c>
      <c r="X74" s="197">
        <v>1</v>
      </c>
    </row>
    <row r="75" spans="1:24" x14ac:dyDescent="0.15">
      <c r="A75" s="193">
        <v>908146</v>
      </c>
      <c r="B75" t="s">
        <v>8944</v>
      </c>
      <c r="C75" s="157" t="s">
        <v>8441</v>
      </c>
      <c r="D75" s="179">
        <v>1001</v>
      </c>
      <c r="E75" s="194">
        <v>2</v>
      </c>
      <c r="F75" s="194">
        <v>1</v>
      </c>
      <c r="G75" s="194">
        <v>0</v>
      </c>
      <c r="H75" s="194">
        <v>0</v>
      </c>
      <c r="I75" s="88">
        <v>999</v>
      </c>
      <c r="J75" s="194" t="b">
        <v>1</v>
      </c>
      <c r="K75" s="194">
        <v>10</v>
      </c>
      <c r="L75" s="194">
        <v>150</v>
      </c>
      <c r="M75" s="194">
        <v>200</v>
      </c>
      <c r="N75" s="194">
        <v>0</v>
      </c>
      <c r="O75" s="194">
        <v>1</v>
      </c>
      <c r="P75" s="88">
        <v>1</v>
      </c>
      <c r="Q75" s="194">
        <v>0</v>
      </c>
      <c r="R75" s="194">
        <v>0</v>
      </c>
      <c r="S75" s="194" t="s">
        <v>38</v>
      </c>
      <c r="T75" t="s">
        <v>8945</v>
      </c>
      <c r="U75" s="25" t="s">
        <v>8611</v>
      </c>
      <c r="V75" s="25">
        <v>0</v>
      </c>
      <c r="W75" s="197">
        <v>1</v>
      </c>
      <c r="X75" s="197">
        <v>1</v>
      </c>
    </row>
    <row r="76" spans="1:24" x14ac:dyDescent="0.15">
      <c r="A76" s="193">
        <v>908147</v>
      </c>
      <c r="B76" t="s">
        <v>8946</v>
      </c>
      <c r="C76" s="157" t="s">
        <v>8441</v>
      </c>
      <c r="D76" s="179">
        <v>1001</v>
      </c>
      <c r="E76" s="194">
        <v>2</v>
      </c>
      <c r="F76" s="194">
        <v>1</v>
      </c>
      <c r="G76" s="194">
        <v>0</v>
      </c>
      <c r="H76" s="194">
        <v>0</v>
      </c>
      <c r="I76" s="88">
        <v>999</v>
      </c>
      <c r="J76" s="194" t="b">
        <v>1</v>
      </c>
      <c r="K76" s="194">
        <v>10</v>
      </c>
      <c r="L76" s="194">
        <v>150</v>
      </c>
      <c r="M76" s="194">
        <v>200</v>
      </c>
      <c r="N76" s="194">
        <v>0</v>
      </c>
      <c r="O76" s="194">
        <v>1</v>
      </c>
      <c r="P76" s="88">
        <v>1</v>
      </c>
      <c r="Q76" s="194">
        <v>0</v>
      </c>
      <c r="R76" s="194">
        <v>0</v>
      </c>
      <c r="S76" s="194" t="s">
        <v>38</v>
      </c>
      <c r="T76" t="s">
        <v>8947</v>
      </c>
      <c r="U76" s="25" t="s">
        <v>8614</v>
      </c>
      <c r="V76" s="25">
        <v>0</v>
      </c>
      <c r="W76" s="197">
        <v>1</v>
      </c>
      <c r="X76" s="197">
        <v>1</v>
      </c>
    </row>
    <row r="77" spans="1:24" x14ac:dyDescent="0.15">
      <c r="A77" s="193">
        <v>908148</v>
      </c>
      <c r="B77" t="s">
        <v>8948</v>
      </c>
      <c r="C77" s="157" t="s">
        <v>8441</v>
      </c>
      <c r="D77" s="179">
        <v>1001</v>
      </c>
      <c r="E77" s="194">
        <v>2</v>
      </c>
      <c r="F77" s="194">
        <v>1</v>
      </c>
      <c r="G77" s="194">
        <v>0</v>
      </c>
      <c r="H77" s="194">
        <v>0</v>
      </c>
      <c r="I77" s="88">
        <v>999</v>
      </c>
      <c r="J77" s="194" t="b">
        <v>1</v>
      </c>
      <c r="K77" s="194">
        <v>10</v>
      </c>
      <c r="L77" s="194">
        <v>150</v>
      </c>
      <c r="M77" s="194">
        <v>200</v>
      </c>
      <c r="N77" s="194">
        <v>0</v>
      </c>
      <c r="O77" s="194">
        <v>1</v>
      </c>
      <c r="P77" s="88">
        <v>1</v>
      </c>
      <c r="Q77" s="194">
        <v>0</v>
      </c>
      <c r="R77" s="194">
        <v>0</v>
      </c>
      <c r="S77" s="194" t="s">
        <v>38</v>
      </c>
      <c r="T77" t="s">
        <v>8949</v>
      </c>
      <c r="U77" s="25" t="s">
        <v>8617</v>
      </c>
      <c r="V77" s="25">
        <v>0</v>
      </c>
      <c r="W77" s="197">
        <v>1</v>
      </c>
      <c r="X77" s="197">
        <v>1</v>
      </c>
    </row>
    <row r="78" spans="1:24" x14ac:dyDescent="0.15">
      <c r="A78" s="193">
        <v>908149</v>
      </c>
      <c r="B78" t="s">
        <v>8950</v>
      </c>
      <c r="C78" s="157" t="s">
        <v>8441</v>
      </c>
      <c r="D78" s="179">
        <v>1001</v>
      </c>
      <c r="E78" s="194">
        <v>2</v>
      </c>
      <c r="F78" s="194">
        <v>1</v>
      </c>
      <c r="G78" s="194">
        <v>0</v>
      </c>
      <c r="H78" s="194">
        <v>0</v>
      </c>
      <c r="I78" s="88">
        <v>999</v>
      </c>
      <c r="J78" s="194" t="b">
        <v>1</v>
      </c>
      <c r="K78" s="194">
        <v>10</v>
      </c>
      <c r="L78" s="194">
        <v>150</v>
      </c>
      <c r="M78" s="194">
        <v>200</v>
      </c>
      <c r="N78" s="194">
        <v>0</v>
      </c>
      <c r="O78" s="194">
        <v>1</v>
      </c>
      <c r="P78" s="88">
        <v>1</v>
      </c>
      <c r="Q78" s="194">
        <v>0</v>
      </c>
      <c r="R78" s="194">
        <v>0</v>
      </c>
      <c r="S78" s="194" t="s">
        <v>38</v>
      </c>
      <c r="T78" t="s">
        <v>8951</v>
      </c>
      <c r="U78" s="25" t="s">
        <v>8620</v>
      </c>
      <c r="V78" s="25">
        <v>0</v>
      </c>
      <c r="W78" s="197">
        <v>1</v>
      </c>
      <c r="X78" s="197">
        <v>1</v>
      </c>
    </row>
    <row r="79" spans="1:24" x14ac:dyDescent="0.15">
      <c r="A79" s="193">
        <v>908150</v>
      </c>
      <c r="B79" t="s">
        <v>8952</v>
      </c>
      <c r="C79" s="157" t="s">
        <v>8441</v>
      </c>
      <c r="D79" s="179">
        <v>1001</v>
      </c>
      <c r="E79" s="194">
        <v>2</v>
      </c>
      <c r="F79" s="194">
        <v>1</v>
      </c>
      <c r="G79" s="194">
        <v>0</v>
      </c>
      <c r="H79" s="194">
        <v>0</v>
      </c>
      <c r="I79" s="88">
        <v>999</v>
      </c>
      <c r="J79" s="194" t="b">
        <v>1</v>
      </c>
      <c r="K79" s="194">
        <v>10</v>
      </c>
      <c r="L79" s="194">
        <v>150</v>
      </c>
      <c r="M79" s="194">
        <v>200</v>
      </c>
      <c r="N79" s="194">
        <v>0</v>
      </c>
      <c r="O79" s="194">
        <v>1</v>
      </c>
      <c r="P79" s="88">
        <v>1</v>
      </c>
      <c r="Q79" s="194">
        <v>0</v>
      </c>
      <c r="R79" s="194">
        <v>0</v>
      </c>
      <c r="S79" s="194" t="s">
        <v>38</v>
      </c>
      <c r="T79" t="s">
        <v>8953</v>
      </c>
      <c r="U79" s="25" t="s">
        <v>8623</v>
      </c>
      <c r="V79" s="25">
        <v>0</v>
      </c>
      <c r="W79" s="197">
        <v>1</v>
      </c>
      <c r="X79" s="197">
        <v>1</v>
      </c>
    </row>
    <row r="80" spans="1:24" x14ac:dyDescent="0.15">
      <c r="A80" s="193">
        <v>908151</v>
      </c>
      <c r="B80" t="s">
        <v>8954</v>
      </c>
      <c r="C80" s="157" t="s">
        <v>8441</v>
      </c>
      <c r="D80" s="179">
        <v>1001</v>
      </c>
      <c r="E80" s="194">
        <v>2</v>
      </c>
      <c r="F80" s="194">
        <v>1</v>
      </c>
      <c r="G80" s="194">
        <v>0</v>
      </c>
      <c r="H80" s="194">
        <v>0</v>
      </c>
      <c r="I80" s="88">
        <v>999</v>
      </c>
      <c r="J80" s="194" t="b">
        <v>1</v>
      </c>
      <c r="K80" s="194">
        <v>10</v>
      </c>
      <c r="L80" s="194">
        <v>150</v>
      </c>
      <c r="M80" s="194">
        <v>200</v>
      </c>
      <c r="N80" s="194">
        <v>0</v>
      </c>
      <c r="O80" s="194">
        <v>1</v>
      </c>
      <c r="P80" s="88">
        <v>1</v>
      </c>
      <c r="Q80" s="194">
        <v>0</v>
      </c>
      <c r="R80" s="194">
        <v>0</v>
      </c>
      <c r="S80" s="194" t="s">
        <v>38</v>
      </c>
      <c r="T80" t="s">
        <v>8955</v>
      </c>
      <c r="U80" s="25" t="s">
        <v>8626</v>
      </c>
      <c r="V80" s="25">
        <v>0</v>
      </c>
      <c r="W80" s="197">
        <v>1</v>
      </c>
      <c r="X80" s="197">
        <v>1</v>
      </c>
    </row>
    <row r="81" spans="1:24" x14ac:dyDescent="0.15">
      <c r="A81" s="193">
        <v>908152</v>
      </c>
      <c r="B81" t="s">
        <v>8956</v>
      </c>
      <c r="C81" s="157" t="s">
        <v>8441</v>
      </c>
      <c r="D81" s="179">
        <v>1001</v>
      </c>
      <c r="E81" s="194">
        <v>2</v>
      </c>
      <c r="F81" s="194">
        <v>1</v>
      </c>
      <c r="G81" s="194">
        <v>0</v>
      </c>
      <c r="H81" s="194">
        <v>0</v>
      </c>
      <c r="I81" s="88">
        <v>999</v>
      </c>
      <c r="J81" s="194" t="b">
        <v>1</v>
      </c>
      <c r="K81" s="194">
        <v>10</v>
      </c>
      <c r="L81" s="194">
        <v>150</v>
      </c>
      <c r="M81" s="194">
        <v>200</v>
      </c>
      <c r="N81" s="194">
        <v>0</v>
      </c>
      <c r="O81" s="194">
        <v>1</v>
      </c>
      <c r="P81" s="88">
        <v>1</v>
      </c>
      <c r="Q81" s="194">
        <v>0</v>
      </c>
      <c r="R81" s="194">
        <v>0</v>
      </c>
      <c r="S81" s="194" t="s">
        <v>38</v>
      </c>
      <c r="T81" t="s">
        <v>8957</v>
      </c>
      <c r="U81" s="25" t="s">
        <v>8629</v>
      </c>
      <c r="V81" s="25">
        <v>0</v>
      </c>
      <c r="W81" s="197">
        <v>1</v>
      </c>
      <c r="X81" s="197">
        <v>1</v>
      </c>
    </row>
    <row r="82" spans="1:24" x14ac:dyDescent="0.15">
      <c r="A82" s="193">
        <v>908153</v>
      </c>
      <c r="B82" t="s">
        <v>8958</v>
      </c>
      <c r="C82" s="157" t="s">
        <v>8441</v>
      </c>
      <c r="D82" s="179">
        <v>1001</v>
      </c>
      <c r="E82" s="194">
        <v>2</v>
      </c>
      <c r="F82" s="194">
        <v>1</v>
      </c>
      <c r="G82" s="194">
        <v>0</v>
      </c>
      <c r="H82" s="194">
        <v>0</v>
      </c>
      <c r="I82" s="88">
        <v>999</v>
      </c>
      <c r="J82" s="194" t="b">
        <v>1</v>
      </c>
      <c r="K82" s="194">
        <v>10</v>
      </c>
      <c r="L82" s="194">
        <v>150</v>
      </c>
      <c r="M82" s="194">
        <v>200</v>
      </c>
      <c r="N82" s="194">
        <v>0</v>
      </c>
      <c r="O82" s="194">
        <v>1</v>
      </c>
      <c r="P82" s="88">
        <v>1</v>
      </c>
      <c r="Q82" s="194">
        <v>0</v>
      </c>
      <c r="R82" s="194">
        <v>0</v>
      </c>
      <c r="S82" s="194" t="s">
        <v>38</v>
      </c>
      <c r="T82" t="s">
        <v>8959</v>
      </c>
      <c r="U82" s="25" t="s">
        <v>8632</v>
      </c>
      <c r="V82" s="25">
        <v>0</v>
      </c>
      <c r="W82" s="197">
        <v>1</v>
      </c>
      <c r="X82" s="197">
        <v>1</v>
      </c>
    </row>
    <row r="83" spans="1:24" x14ac:dyDescent="0.15">
      <c r="A83" s="193">
        <v>908154</v>
      </c>
      <c r="B83" t="s">
        <v>8960</v>
      </c>
      <c r="C83" s="157" t="s">
        <v>8441</v>
      </c>
      <c r="D83" s="179">
        <v>1001</v>
      </c>
      <c r="E83" s="194">
        <v>2</v>
      </c>
      <c r="F83" s="194">
        <v>1</v>
      </c>
      <c r="G83" s="194">
        <v>0</v>
      </c>
      <c r="H83" s="194">
        <v>0</v>
      </c>
      <c r="I83" s="88">
        <v>999</v>
      </c>
      <c r="J83" s="194" t="b">
        <v>1</v>
      </c>
      <c r="K83" s="194">
        <v>10</v>
      </c>
      <c r="L83" s="194">
        <v>150</v>
      </c>
      <c r="M83" s="194">
        <v>200</v>
      </c>
      <c r="N83" s="194">
        <v>0</v>
      </c>
      <c r="O83" s="194">
        <v>1</v>
      </c>
      <c r="P83" s="88">
        <v>1</v>
      </c>
      <c r="Q83" s="194">
        <v>0</v>
      </c>
      <c r="R83" s="194">
        <v>0</v>
      </c>
      <c r="S83" s="194" t="s">
        <v>38</v>
      </c>
      <c r="T83" t="s">
        <v>8961</v>
      </c>
      <c r="U83" s="25" t="s">
        <v>8635</v>
      </c>
      <c r="V83" s="25">
        <v>0</v>
      </c>
      <c r="W83" s="197">
        <v>1</v>
      </c>
      <c r="X83" s="197">
        <v>1</v>
      </c>
    </row>
    <row r="84" spans="1:24" x14ac:dyDescent="0.15">
      <c r="A84" s="193">
        <v>908155</v>
      </c>
      <c r="B84" t="s">
        <v>8962</v>
      </c>
      <c r="C84" s="157" t="s">
        <v>8441</v>
      </c>
      <c r="D84" s="179">
        <v>1001</v>
      </c>
      <c r="E84" s="194">
        <v>2</v>
      </c>
      <c r="F84" s="194">
        <v>1</v>
      </c>
      <c r="G84" s="194">
        <v>0</v>
      </c>
      <c r="H84" s="194">
        <v>0</v>
      </c>
      <c r="I84" s="88">
        <v>999</v>
      </c>
      <c r="J84" s="194" t="b">
        <v>1</v>
      </c>
      <c r="K84" s="194">
        <v>10</v>
      </c>
      <c r="L84" s="194">
        <v>150</v>
      </c>
      <c r="M84" s="194">
        <v>200</v>
      </c>
      <c r="N84" s="194">
        <v>0</v>
      </c>
      <c r="O84" s="194">
        <v>1</v>
      </c>
      <c r="P84" s="88">
        <v>1</v>
      </c>
      <c r="Q84" s="194">
        <v>0</v>
      </c>
      <c r="R84" s="194">
        <v>0</v>
      </c>
      <c r="S84" s="194" t="s">
        <v>38</v>
      </c>
      <c r="T84" t="s">
        <v>8963</v>
      </c>
      <c r="U84" s="25" t="s">
        <v>8638</v>
      </c>
      <c r="V84" s="25">
        <v>0</v>
      </c>
      <c r="W84" s="197">
        <v>1</v>
      </c>
      <c r="X84" s="197">
        <v>1</v>
      </c>
    </row>
    <row r="85" spans="1:24" x14ac:dyDescent="0.15">
      <c r="A85" s="193">
        <v>908156</v>
      </c>
      <c r="B85" t="s">
        <v>8964</v>
      </c>
      <c r="C85" s="157" t="s">
        <v>8441</v>
      </c>
      <c r="D85" s="179">
        <v>1001</v>
      </c>
      <c r="E85" s="194">
        <v>2</v>
      </c>
      <c r="F85" s="194">
        <v>1</v>
      </c>
      <c r="G85" s="194">
        <v>0</v>
      </c>
      <c r="H85" s="194">
        <v>0</v>
      </c>
      <c r="I85" s="88">
        <v>999</v>
      </c>
      <c r="J85" s="194" t="b">
        <v>1</v>
      </c>
      <c r="K85" s="194">
        <v>10</v>
      </c>
      <c r="L85" s="194">
        <v>150</v>
      </c>
      <c r="M85" s="194">
        <v>200</v>
      </c>
      <c r="N85" s="194">
        <v>0</v>
      </c>
      <c r="O85" s="194">
        <v>1</v>
      </c>
      <c r="P85" s="88">
        <v>1</v>
      </c>
      <c r="Q85" s="194">
        <v>0</v>
      </c>
      <c r="R85" s="194">
        <v>0</v>
      </c>
      <c r="S85" s="194" t="s">
        <v>38</v>
      </c>
      <c r="T85" t="s">
        <v>8965</v>
      </c>
      <c r="U85" s="25" t="s">
        <v>8641</v>
      </c>
      <c r="V85" s="25">
        <v>0</v>
      </c>
      <c r="W85" s="197">
        <v>1</v>
      </c>
      <c r="X85" s="197">
        <v>1</v>
      </c>
    </row>
    <row r="86" spans="1:24" x14ac:dyDescent="0.15">
      <c r="A86" s="193">
        <v>908157</v>
      </c>
      <c r="B86" t="s">
        <v>8966</v>
      </c>
      <c r="C86" s="157" t="s">
        <v>8441</v>
      </c>
      <c r="D86" s="179">
        <v>1001</v>
      </c>
      <c r="E86" s="194">
        <v>2</v>
      </c>
      <c r="F86" s="194">
        <v>1</v>
      </c>
      <c r="G86" s="194">
        <v>0</v>
      </c>
      <c r="H86" s="194">
        <v>0</v>
      </c>
      <c r="I86" s="88">
        <v>999</v>
      </c>
      <c r="J86" s="194" t="b">
        <v>1</v>
      </c>
      <c r="K86" s="194">
        <v>10</v>
      </c>
      <c r="L86" s="194">
        <v>150</v>
      </c>
      <c r="M86" s="194">
        <v>200</v>
      </c>
      <c r="N86" s="194">
        <v>0</v>
      </c>
      <c r="O86" s="194">
        <v>1</v>
      </c>
      <c r="P86" s="88">
        <v>1</v>
      </c>
      <c r="Q86" s="194">
        <v>0</v>
      </c>
      <c r="R86" s="194">
        <v>0</v>
      </c>
      <c r="S86" s="194" t="s">
        <v>38</v>
      </c>
      <c r="T86" t="s">
        <v>8967</v>
      </c>
      <c r="U86" s="25" t="s">
        <v>8644</v>
      </c>
      <c r="V86" s="25">
        <v>0</v>
      </c>
      <c r="W86" s="197">
        <v>1</v>
      </c>
      <c r="X86" s="197">
        <v>1</v>
      </c>
    </row>
    <row r="87" spans="1:24" x14ac:dyDescent="0.15">
      <c r="A87" s="193">
        <v>908158</v>
      </c>
      <c r="B87" t="s">
        <v>8968</v>
      </c>
      <c r="C87" s="157" t="s">
        <v>8441</v>
      </c>
      <c r="D87" s="179">
        <v>1001</v>
      </c>
      <c r="E87" s="194">
        <v>2</v>
      </c>
      <c r="F87" s="194">
        <v>1</v>
      </c>
      <c r="G87" s="194">
        <v>0</v>
      </c>
      <c r="H87" s="194">
        <v>0</v>
      </c>
      <c r="I87" s="88">
        <v>999</v>
      </c>
      <c r="J87" s="194" t="b">
        <v>1</v>
      </c>
      <c r="K87" s="194">
        <v>10</v>
      </c>
      <c r="L87" s="194">
        <v>150</v>
      </c>
      <c r="M87" s="194">
        <v>200</v>
      </c>
      <c r="N87" s="194">
        <v>0</v>
      </c>
      <c r="O87" s="194">
        <v>1</v>
      </c>
      <c r="P87" s="88">
        <v>1</v>
      </c>
      <c r="Q87" s="194">
        <v>0</v>
      </c>
      <c r="R87" s="194">
        <v>0</v>
      </c>
      <c r="S87" s="194" t="s">
        <v>38</v>
      </c>
      <c r="T87" t="s">
        <v>8969</v>
      </c>
      <c r="U87" s="25" t="s">
        <v>8645</v>
      </c>
      <c r="V87" s="25">
        <v>0</v>
      </c>
      <c r="W87" s="197">
        <v>1</v>
      </c>
      <c r="X87" s="197">
        <v>1</v>
      </c>
    </row>
    <row r="88" spans="1:24" x14ac:dyDescent="0.15">
      <c r="A88" s="193">
        <v>908159</v>
      </c>
      <c r="B88" t="s">
        <v>8970</v>
      </c>
      <c r="C88" s="157" t="s">
        <v>8441</v>
      </c>
      <c r="D88" s="179">
        <v>1001</v>
      </c>
      <c r="E88" s="194">
        <v>2</v>
      </c>
      <c r="F88" s="194">
        <v>1</v>
      </c>
      <c r="G88" s="194">
        <v>0</v>
      </c>
      <c r="H88" s="194">
        <v>0</v>
      </c>
      <c r="I88" s="88">
        <v>999</v>
      </c>
      <c r="J88" s="194" t="b">
        <v>1</v>
      </c>
      <c r="K88" s="194">
        <v>10</v>
      </c>
      <c r="L88" s="194">
        <v>150</v>
      </c>
      <c r="M88" s="194">
        <v>200</v>
      </c>
      <c r="N88" s="194">
        <v>0</v>
      </c>
      <c r="O88" s="194">
        <v>1</v>
      </c>
      <c r="P88" s="88">
        <v>1</v>
      </c>
      <c r="Q88" s="194">
        <v>0</v>
      </c>
      <c r="R88" s="194">
        <v>0</v>
      </c>
      <c r="S88" s="194" t="s">
        <v>38</v>
      </c>
      <c r="T88" t="s">
        <v>8951</v>
      </c>
      <c r="U88" s="25" t="s">
        <v>8647</v>
      </c>
      <c r="V88" s="25">
        <v>0</v>
      </c>
      <c r="W88" s="197">
        <v>1</v>
      </c>
      <c r="X88" s="197">
        <v>1</v>
      </c>
    </row>
    <row r="89" spans="1:24" x14ac:dyDescent="0.15">
      <c r="A89" s="193">
        <v>908160</v>
      </c>
      <c r="B89" t="s">
        <v>8971</v>
      </c>
      <c r="C89" s="157" t="s">
        <v>8441</v>
      </c>
      <c r="D89" s="179">
        <v>1001</v>
      </c>
      <c r="E89" s="194">
        <v>2</v>
      </c>
      <c r="F89" s="194">
        <v>1</v>
      </c>
      <c r="G89" s="194">
        <v>0</v>
      </c>
      <c r="H89" s="194">
        <v>0</v>
      </c>
      <c r="I89" s="88">
        <v>999</v>
      </c>
      <c r="J89" s="194" t="b">
        <v>1</v>
      </c>
      <c r="K89" s="194">
        <v>10</v>
      </c>
      <c r="L89" s="194">
        <v>150</v>
      </c>
      <c r="M89" s="194">
        <v>200</v>
      </c>
      <c r="N89" s="194">
        <v>0</v>
      </c>
      <c r="O89" s="194">
        <v>1</v>
      </c>
      <c r="P89" s="88">
        <v>1</v>
      </c>
      <c r="Q89" s="194">
        <v>0</v>
      </c>
      <c r="R89" s="194">
        <v>0</v>
      </c>
      <c r="S89" s="194" t="s">
        <v>38</v>
      </c>
      <c r="T89" t="s">
        <v>8972</v>
      </c>
      <c r="U89" s="25" t="s">
        <v>8650</v>
      </c>
      <c r="V89" s="25">
        <v>0</v>
      </c>
      <c r="W89" s="197">
        <v>1</v>
      </c>
      <c r="X89" s="197">
        <v>1</v>
      </c>
    </row>
    <row r="90" spans="1:24" x14ac:dyDescent="0.15">
      <c r="A90" s="193">
        <v>908161</v>
      </c>
      <c r="B90" t="s">
        <v>8973</v>
      </c>
      <c r="C90" s="157" t="s">
        <v>8441</v>
      </c>
      <c r="D90" s="179">
        <v>1001</v>
      </c>
      <c r="E90" s="194">
        <v>2</v>
      </c>
      <c r="F90" s="194">
        <v>1</v>
      </c>
      <c r="G90" s="194">
        <v>0</v>
      </c>
      <c r="H90" s="194">
        <v>0</v>
      </c>
      <c r="I90" s="88">
        <v>999</v>
      </c>
      <c r="J90" s="194" t="b">
        <v>1</v>
      </c>
      <c r="K90" s="194">
        <v>10</v>
      </c>
      <c r="L90" s="194">
        <v>150</v>
      </c>
      <c r="M90" s="194">
        <v>200</v>
      </c>
      <c r="N90" s="194">
        <v>0</v>
      </c>
      <c r="O90" s="194">
        <v>1</v>
      </c>
      <c r="P90" s="88">
        <v>1</v>
      </c>
      <c r="Q90" s="194">
        <v>0</v>
      </c>
      <c r="R90" s="194">
        <v>0</v>
      </c>
      <c r="S90" s="194" t="s">
        <v>38</v>
      </c>
      <c r="T90" t="s">
        <v>8974</v>
      </c>
      <c r="U90" s="25" t="s">
        <v>8653</v>
      </c>
      <c r="V90" s="25">
        <v>0</v>
      </c>
      <c r="W90" s="197">
        <v>1</v>
      </c>
      <c r="X90" s="197">
        <v>1</v>
      </c>
    </row>
    <row r="91" spans="1:24" x14ac:dyDescent="0.15">
      <c r="A91" s="193">
        <v>908162</v>
      </c>
      <c r="B91" t="s">
        <v>8975</v>
      </c>
      <c r="C91" s="157" t="s">
        <v>8441</v>
      </c>
      <c r="D91" s="179">
        <v>1001</v>
      </c>
      <c r="E91" s="194">
        <v>2</v>
      </c>
      <c r="F91" s="194">
        <v>1</v>
      </c>
      <c r="G91" s="194">
        <v>0</v>
      </c>
      <c r="H91" s="194">
        <v>0</v>
      </c>
      <c r="I91" s="88">
        <v>999</v>
      </c>
      <c r="J91" s="194" t="b">
        <v>1</v>
      </c>
      <c r="K91" s="194">
        <v>10</v>
      </c>
      <c r="L91" s="194">
        <v>150</v>
      </c>
      <c r="M91" s="194">
        <v>200</v>
      </c>
      <c r="N91" s="194">
        <v>0</v>
      </c>
      <c r="O91" s="194">
        <v>1</v>
      </c>
      <c r="P91" s="88">
        <v>1</v>
      </c>
      <c r="Q91" s="194">
        <v>0</v>
      </c>
      <c r="R91" s="194">
        <v>0</v>
      </c>
      <c r="S91" s="194" t="s">
        <v>38</v>
      </c>
      <c r="T91" t="s">
        <v>8957</v>
      </c>
      <c r="U91" s="25" t="s">
        <v>8655</v>
      </c>
      <c r="V91" s="25">
        <v>0</v>
      </c>
      <c r="W91" s="197">
        <v>1</v>
      </c>
      <c r="X91" s="197">
        <v>1</v>
      </c>
    </row>
    <row r="92" spans="1:24" x14ac:dyDescent="0.15">
      <c r="A92" s="193">
        <v>908163</v>
      </c>
      <c r="B92" t="s">
        <v>8976</v>
      </c>
      <c r="C92" s="157" t="s">
        <v>8441</v>
      </c>
      <c r="D92" s="179">
        <v>1001</v>
      </c>
      <c r="E92" s="194">
        <v>2</v>
      </c>
      <c r="F92" s="194">
        <v>1</v>
      </c>
      <c r="G92" s="194">
        <v>0</v>
      </c>
      <c r="H92" s="194">
        <v>0</v>
      </c>
      <c r="I92" s="88">
        <v>999</v>
      </c>
      <c r="J92" s="194" t="b">
        <v>1</v>
      </c>
      <c r="K92" s="194">
        <v>10</v>
      </c>
      <c r="L92" s="194">
        <v>150</v>
      </c>
      <c r="M92" s="194">
        <v>200</v>
      </c>
      <c r="N92" s="194">
        <v>0</v>
      </c>
      <c r="O92" s="194">
        <v>1</v>
      </c>
      <c r="P92" s="88">
        <v>1</v>
      </c>
      <c r="Q92" s="194">
        <v>0</v>
      </c>
      <c r="R92" s="194">
        <v>0</v>
      </c>
      <c r="S92" s="194" t="s">
        <v>38</v>
      </c>
      <c r="T92" t="s">
        <v>8977</v>
      </c>
      <c r="U92" s="25" t="s">
        <v>8658</v>
      </c>
      <c r="V92" s="25">
        <v>0</v>
      </c>
      <c r="W92" s="197">
        <v>1</v>
      </c>
      <c r="X92" s="197">
        <v>1</v>
      </c>
    </row>
    <row r="93" spans="1:24" x14ac:dyDescent="0.15">
      <c r="A93" s="193">
        <v>908164</v>
      </c>
      <c r="B93" t="s">
        <v>8978</v>
      </c>
      <c r="C93" s="157" t="s">
        <v>8441</v>
      </c>
      <c r="D93" s="179">
        <v>1001</v>
      </c>
      <c r="E93" s="194">
        <v>2</v>
      </c>
      <c r="F93" s="194">
        <v>1</v>
      </c>
      <c r="G93" s="194">
        <v>0</v>
      </c>
      <c r="H93" s="194">
        <v>0</v>
      </c>
      <c r="I93" s="88">
        <v>999</v>
      </c>
      <c r="J93" s="194" t="b">
        <v>1</v>
      </c>
      <c r="K93" s="194">
        <v>10</v>
      </c>
      <c r="L93" s="194">
        <v>150</v>
      </c>
      <c r="M93" s="194">
        <v>200</v>
      </c>
      <c r="N93" s="194">
        <v>0</v>
      </c>
      <c r="O93" s="194">
        <v>1</v>
      </c>
      <c r="P93" s="88">
        <v>1</v>
      </c>
      <c r="Q93" s="194">
        <v>0</v>
      </c>
      <c r="R93" s="194">
        <v>0</v>
      </c>
      <c r="S93" s="194" t="s">
        <v>38</v>
      </c>
      <c r="T93" t="s">
        <v>8979</v>
      </c>
      <c r="U93" s="25" t="s">
        <v>8661</v>
      </c>
      <c r="V93" s="25">
        <v>0</v>
      </c>
      <c r="W93" s="197">
        <v>1</v>
      </c>
      <c r="X93" s="197">
        <v>1</v>
      </c>
    </row>
    <row r="94" spans="1:24" x14ac:dyDescent="0.15">
      <c r="A94" s="193">
        <v>908165</v>
      </c>
      <c r="B94" t="s">
        <v>8980</v>
      </c>
      <c r="C94" s="157" t="s">
        <v>8441</v>
      </c>
      <c r="D94" s="179">
        <v>1001</v>
      </c>
      <c r="E94" s="194">
        <v>2</v>
      </c>
      <c r="F94" s="194">
        <v>1</v>
      </c>
      <c r="G94" s="194">
        <v>0</v>
      </c>
      <c r="H94" s="194">
        <v>0</v>
      </c>
      <c r="I94" s="88">
        <v>999</v>
      </c>
      <c r="J94" s="194" t="b">
        <v>1</v>
      </c>
      <c r="K94" s="194">
        <v>10</v>
      </c>
      <c r="L94" s="194">
        <v>150</v>
      </c>
      <c r="M94" s="194">
        <v>200</v>
      </c>
      <c r="N94" s="194">
        <v>0</v>
      </c>
      <c r="O94" s="194">
        <v>1</v>
      </c>
      <c r="P94" s="88">
        <v>1</v>
      </c>
      <c r="Q94" s="194">
        <v>0</v>
      </c>
      <c r="R94" s="194">
        <v>0</v>
      </c>
      <c r="S94" s="194" t="s">
        <v>38</v>
      </c>
      <c r="T94" t="s">
        <v>8981</v>
      </c>
      <c r="U94" s="25" t="s">
        <v>8664</v>
      </c>
      <c r="V94" s="25">
        <v>0</v>
      </c>
      <c r="W94" s="197">
        <v>1</v>
      </c>
      <c r="X94" s="197">
        <v>1</v>
      </c>
    </row>
    <row r="95" spans="1:24" x14ac:dyDescent="0.15">
      <c r="A95" s="193">
        <v>908166</v>
      </c>
      <c r="B95" t="s">
        <v>8982</v>
      </c>
      <c r="C95" s="157" t="s">
        <v>8441</v>
      </c>
      <c r="D95" s="179">
        <v>1001</v>
      </c>
      <c r="E95" s="194">
        <v>2</v>
      </c>
      <c r="F95" s="194">
        <v>1</v>
      </c>
      <c r="G95" s="194">
        <v>0</v>
      </c>
      <c r="H95" s="194">
        <v>0</v>
      </c>
      <c r="I95" s="88">
        <v>999</v>
      </c>
      <c r="J95" s="194" t="b">
        <v>1</v>
      </c>
      <c r="K95" s="194">
        <v>10</v>
      </c>
      <c r="L95" s="194">
        <v>150</v>
      </c>
      <c r="M95" s="194">
        <v>200</v>
      </c>
      <c r="N95" s="194">
        <v>0</v>
      </c>
      <c r="O95" s="194">
        <v>1</v>
      </c>
      <c r="P95" s="88">
        <v>1</v>
      </c>
      <c r="Q95" s="194">
        <v>0</v>
      </c>
      <c r="R95" s="194">
        <v>0</v>
      </c>
      <c r="S95" s="194" t="s">
        <v>38</v>
      </c>
      <c r="T95" t="s">
        <v>8983</v>
      </c>
      <c r="U95" s="25" t="s">
        <v>8667</v>
      </c>
      <c r="V95" s="25">
        <v>0</v>
      </c>
      <c r="W95" s="197">
        <v>1</v>
      </c>
      <c r="X95" s="197">
        <v>1</v>
      </c>
    </row>
    <row r="96" spans="1:24" x14ac:dyDescent="0.15">
      <c r="A96" s="193">
        <v>908167</v>
      </c>
      <c r="B96" t="s">
        <v>8933</v>
      </c>
      <c r="C96" s="157" t="s">
        <v>8441</v>
      </c>
      <c r="D96" s="179">
        <v>1001</v>
      </c>
      <c r="E96" s="194">
        <v>2</v>
      </c>
      <c r="F96" s="194">
        <v>0</v>
      </c>
      <c r="G96" s="194">
        <v>0</v>
      </c>
      <c r="H96" s="194">
        <v>0</v>
      </c>
      <c r="I96" s="88">
        <v>999</v>
      </c>
      <c r="J96" s="194" t="b">
        <v>1</v>
      </c>
      <c r="K96" s="194">
        <v>10</v>
      </c>
      <c r="L96" s="194">
        <v>150</v>
      </c>
      <c r="M96" s="194">
        <v>200</v>
      </c>
      <c r="N96" s="194">
        <v>0</v>
      </c>
      <c r="O96" s="194">
        <v>1</v>
      </c>
      <c r="P96" s="88">
        <v>1</v>
      </c>
      <c r="Q96" s="194">
        <v>0</v>
      </c>
      <c r="R96" s="194">
        <v>0</v>
      </c>
      <c r="S96" s="194" t="s">
        <v>38</v>
      </c>
      <c r="T96" t="s">
        <v>8934</v>
      </c>
      <c r="U96" s="25" t="s">
        <v>8668</v>
      </c>
      <c r="V96" s="25">
        <v>0</v>
      </c>
      <c r="W96" s="197">
        <v>1</v>
      </c>
      <c r="X96" s="197">
        <v>1</v>
      </c>
    </row>
    <row r="97" spans="1:25" x14ac:dyDescent="0.15">
      <c r="A97" s="193">
        <v>908168</v>
      </c>
      <c r="B97" t="s">
        <v>8984</v>
      </c>
      <c r="C97" s="157" t="s">
        <v>8441</v>
      </c>
      <c r="D97" s="179">
        <v>1001</v>
      </c>
      <c r="E97" s="194">
        <v>2</v>
      </c>
      <c r="F97" s="194">
        <v>0</v>
      </c>
      <c r="G97" s="194">
        <v>0</v>
      </c>
      <c r="H97" s="194">
        <v>0</v>
      </c>
      <c r="I97" s="88">
        <v>999</v>
      </c>
      <c r="J97" s="194" t="b">
        <v>1</v>
      </c>
      <c r="K97" s="194">
        <v>10</v>
      </c>
      <c r="L97" s="194">
        <v>150</v>
      </c>
      <c r="M97" s="194">
        <v>200</v>
      </c>
      <c r="N97" s="194">
        <v>0</v>
      </c>
      <c r="O97" s="194">
        <v>1</v>
      </c>
      <c r="P97" s="88">
        <v>1</v>
      </c>
      <c r="Q97" s="194">
        <v>0</v>
      </c>
      <c r="R97" s="194">
        <v>0</v>
      </c>
      <c r="S97" s="194" t="s">
        <v>38</v>
      </c>
      <c r="T97" t="s">
        <v>8936</v>
      </c>
      <c r="U97" s="25" t="s">
        <v>8670</v>
      </c>
      <c r="V97" s="25">
        <v>0</v>
      </c>
      <c r="W97" s="197">
        <v>1</v>
      </c>
      <c r="X97" s="197">
        <v>1</v>
      </c>
    </row>
    <row r="98" spans="1:25" x14ac:dyDescent="0.15">
      <c r="A98" s="193">
        <v>908169</v>
      </c>
      <c r="B98" t="s">
        <v>8985</v>
      </c>
      <c r="C98" s="157" t="s">
        <v>8441</v>
      </c>
      <c r="D98" s="179">
        <v>1001</v>
      </c>
      <c r="E98" s="194">
        <v>2</v>
      </c>
      <c r="F98" s="194">
        <v>0</v>
      </c>
      <c r="G98" s="194">
        <v>0</v>
      </c>
      <c r="H98" s="194">
        <v>0</v>
      </c>
      <c r="I98" s="88">
        <v>999</v>
      </c>
      <c r="J98" s="194" t="b">
        <v>1</v>
      </c>
      <c r="K98" s="194">
        <v>10</v>
      </c>
      <c r="L98" s="194">
        <v>150</v>
      </c>
      <c r="M98" s="194">
        <v>200</v>
      </c>
      <c r="N98" s="194">
        <v>0</v>
      </c>
      <c r="O98" s="194">
        <v>1</v>
      </c>
      <c r="P98" s="88">
        <v>1</v>
      </c>
      <c r="Q98" s="194">
        <v>0</v>
      </c>
      <c r="R98" s="194">
        <v>0</v>
      </c>
      <c r="S98" s="194" t="s">
        <v>38</v>
      </c>
      <c r="T98" t="s">
        <v>8938</v>
      </c>
      <c r="U98" s="25" t="s">
        <v>8672</v>
      </c>
      <c r="V98" s="25">
        <v>0</v>
      </c>
      <c r="W98" s="197">
        <v>1</v>
      </c>
      <c r="X98" s="197">
        <v>1</v>
      </c>
    </row>
    <row r="99" spans="1:25" x14ac:dyDescent="0.15">
      <c r="A99" s="193">
        <v>908170</v>
      </c>
      <c r="B99" t="s">
        <v>8986</v>
      </c>
      <c r="C99" s="157" t="s">
        <v>8441</v>
      </c>
      <c r="D99" s="179">
        <v>1001</v>
      </c>
      <c r="E99" s="194">
        <v>2</v>
      </c>
      <c r="F99" s="194">
        <v>0</v>
      </c>
      <c r="G99" s="194">
        <v>0</v>
      </c>
      <c r="H99" s="194">
        <v>0</v>
      </c>
      <c r="I99" s="88">
        <v>999</v>
      </c>
      <c r="J99" s="194" t="b">
        <v>1</v>
      </c>
      <c r="K99" s="194">
        <v>10</v>
      </c>
      <c r="L99" s="194">
        <v>150</v>
      </c>
      <c r="M99" s="194">
        <v>200</v>
      </c>
      <c r="N99" s="194">
        <v>0</v>
      </c>
      <c r="O99" s="194">
        <v>1</v>
      </c>
      <c r="P99" s="88">
        <v>1</v>
      </c>
      <c r="Q99" s="194">
        <v>0</v>
      </c>
      <c r="R99" s="194">
        <v>0</v>
      </c>
      <c r="S99" s="194" t="s">
        <v>38</v>
      </c>
      <c r="T99" t="s">
        <v>8936</v>
      </c>
      <c r="U99" s="25" t="s">
        <v>8674</v>
      </c>
      <c r="V99" s="25">
        <v>0</v>
      </c>
      <c r="W99" s="197">
        <v>1</v>
      </c>
      <c r="X99" s="197">
        <v>1</v>
      </c>
    </row>
    <row r="100" spans="1:25" x14ac:dyDescent="0.15">
      <c r="A100" s="193">
        <v>908171</v>
      </c>
      <c r="B100" t="s">
        <v>8987</v>
      </c>
      <c r="C100" s="157" t="s">
        <v>8441</v>
      </c>
      <c r="D100" s="179">
        <v>1001</v>
      </c>
      <c r="E100" s="194">
        <v>2</v>
      </c>
      <c r="F100" s="194">
        <v>1</v>
      </c>
      <c r="G100" s="194">
        <v>0</v>
      </c>
      <c r="H100" s="194">
        <v>0</v>
      </c>
      <c r="I100" s="88">
        <v>999</v>
      </c>
      <c r="J100" s="194" t="b">
        <v>1</v>
      </c>
      <c r="K100" s="194">
        <v>10</v>
      </c>
      <c r="L100" s="194">
        <v>150</v>
      </c>
      <c r="M100" s="194">
        <v>200</v>
      </c>
      <c r="N100" s="194">
        <v>0</v>
      </c>
      <c r="O100" s="194">
        <v>1</v>
      </c>
      <c r="P100" s="88">
        <v>1</v>
      </c>
      <c r="Q100" s="194">
        <v>0</v>
      </c>
      <c r="R100" s="194">
        <v>0</v>
      </c>
      <c r="S100" s="194" t="s">
        <v>38</v>
      </c>
      <c r="T100" t="s">
        <v>8988</v>
      </c>
      <c r="U100" s="25" t="s">
        <v>8677</v>
      </c>
      <c r="V100" s="25">
        <v>0</v>
      </c>
      <c r="W100" s="197">
        <v>1</v>
      </c>
      <c r="X100" s="197">
        <v>1</v>
      </c>
    </row>
    <row r="101" spans="1:25" x14ac:dyDescent="0.15">
      <c r="A101" s="193">
        <v>908172</v>
      </c>
      <c r="B101" t="s">
        <v>8989</v>
      </c>
      <c r="C101" s="157" t="s">
        <v>8441</v>
      </c>
      <c r="D101" s="179">
        <v>1001</v>
      </c>
      <c r="E101" s="194">
        <v>2</v>
      </c>
      <c r="F101" s="194">
        <v>1</v>
      </c>
      <c r="G101" s="194">
        <v>0</v>
      </c>
      <c r="H101" s="194">
        <v>0</v>
      </c>
      <c r="I101" s="88">
        <v>999</v>
      </c>
      <c r="J101" s="194" t="b">
        <v>1</v>
      </c>
      <c r="K101" s="194">
        <v>10</v>
      </c>
      <c r="L101" s="194">
        <v>150</v>
      </c>
      <c r="M101" s="194">
        <v>200</v>
      </c>
      <c r="N101" s="194">
        <v>0</v>
      </c>
      <c r="O101" s="194">
        <v>1</v>
      </c>
      <c r="P101" s="88">
        <v>1</v>
      </c>
      <c r="Q101" s="194">
        <v>0</v>
      </c>
      <c r="R101" s="194">
        <v>0</v>
      </c>
      <c r="S101" s="194" t="s">
        <v>38</v>
      </c>
      <c r="T101" t="s">
        <v>8990</v>
      </c>
      <c r="U101" s="25" t="s">
        <v>8680</v>
      </c>
      <c r="V101" s="25">
        <v>0</v>
      </c>
      <c r="W101" s="197">
        <v>1</v>
      </c>
      <c r="X101" s="197">
        <v>1</v>
      </c>
    </row>
    <row r="102" spans="1:25" x14ac:dyDescent="0.15">
      <c r="A102" s="193">
        <v>908173</v>
      </c>
      <c r="B102" t="s">
        <v>8991</v>
      </c>
      <c r="C102" s="157" t="s">
        <v>8441</v>
      </c>
      <c r="D102" s="179">
        <v>1001</v>
      </c>
      <c r="E102" s="194">
        <v>2</v>
      </c>
      <c r="F102" s="194">
        <v>1</v>
      </c>
      <c r="G102" s="194">
        <v>0</v>
      </c>
      <c r="H102" s="194">
        <v>0</v>
      </c>
      <c r="I102" s="88">
        <v>999</v>
      </c>
      <c r="J102" s="194" t="b">
        <v>1</v>
      </c>
      <c r="K102" s="194">
        <v>10</v>
      </c>
      <c r="L102" s="194">
        <v>150</v>
      </c>
      <c r="M102" s="194">
        <v>200</v>
      </c>
      <c r="N102" s="194">
        <v>0</v>
      </c>
      <c r="O102" s="194">
        <v>1</v>
      </c>
      <c r="P102" s="88">
        <v>1</v>
      </c>
      <c r="Q102" s="194">
        <v>0</v>
      </c>
      <c r="R102" s="194">
        <v>0</v>
      </c>
      <c r="S102" s="194" t="s">
        <v>38</v>
      </c>
      <c r="T102" t="s">
        <v>8992</v>
      </c>
      <c r="U102" s="25" t="s">
        <v>8683</v>
      </c>
      <c r="V102" s="25">
        <v>0</v>
      </c>
      <c r="W102" s="197">
        <v>1</v>
      </c>
      <c r="X102" s="197">
        <v>1</v>
      </c>
    </row>
    <row r="103" spans="1:25" x14ac:dyDescent="0.15">
      <c r="A103" s="193">
        <v>908174</v>
      </c>
      <c r="B103" t="s">
        <v>8993</v>
      </c>
      <c r="C103" s="157" t="s">
        <v>8441</v>
      </c>
      <c r="D103" s="179">
        <v>1001</v>
      </c>
      <c r="E103" s="194">
        <v>2</v>
      </c>
      <c r="F103" s="194">
        <v>1</v>
      </c>
      <c r="G103" s="194">
        <v>0</v>
      </c>
      <c r="H103" s="194">
        <v>0</v>
      </c>
      <c r="I103" s="88">
        <v>999</v>
      </c>
      <c r="J103" s="194" t="b">
        <v>1</v>
      </c>
      <c r="K103" s="194">
        <v>10</v>
      </c>
      <c r="L103" s="194">
        <v>150</v>
      </c>
      <c r="M103" s="194">
        <v>200</v>
      </c>
      <c r="N103" s="194">
        <v>0</v>
      </c>
      <c r="O103" s="194">
        <v>1</v>
      </c>
      <c r="P103" s="88">
        <v>1</v>
      </c>
      <c r="Q103" s="194">
        <v>0</v>
      </c>
      <c r="R103" s="194">
        <v>0</v>
      </c>
      <c r="S103" s="194" t="s">
        <v>38</v>
      </c>
      <c r="T103" t="s">
        <v>8994</v>
      </c>
      <c r="U103" s="25" t="s">
        <v>8686</v>
      </c>
      <c r="V103" s="25">
        <v>0</v>
      </c>
      <c r="W103" s="197">
        <v>1</v>
      </c>
      <c r="X103" s="197">
        <v>1</v>
      </c>
    </row>
    <row r="104" spans="1:25" ht="27" x14ac:dyDescent="0.3">
      <c r="A104" s="193">
        <v>908175</v>
      </c>
      <c r="B104" t="s">
        <v>8995</v>
      </c>
      <c r="C104" s="200" t="s">
        <v>8441</v>
      </c>
      <c r="D104" s="197">
        <v>1001</v>
      </c>
      <c r="E104" s="201">
        <v>2</v>
      </c>
      <c r="F104" s="201">
        <v>1</v>
      </c>
      <c r="G104" s="194">
        <v>0</v>
      </c>
      <c r="H104" s="194">
        <v>0</v>
      </c>
      <c r="I104" s="88">
        <v>999</v>
      </c>
      <c r="J104" s="197" t="b">
        <v>1</v>
      </c>
      <c r="K104" s="201">
        <v>10</v>
      </c>
      <c r="L104" s="194">
        <v>20</v>
      </c>
      <c r="M104" s="194">
        <v>30</v>
      </c>
      <c r="N104" s="194">
        <v>0</v>
      </c>
      <c r="O104" s="194">
        <v>1</v>
      </c>
      <c r="P104" s="88">
        <v>1</v>
      </c>
      <c r="Q104" s="201">
        <v>0</v>
      </c>
      <c r="R104" s="201">
        <v>0</v>
      </c>
      <c r="S104" s="201">
        <v>0</v>
      </c>
      <c r="T104" s="206" t="s">
        <v>8996</v>
      </c>
      <c r="U104" s="207" t="s">
        <v>8689</v>
      </c>
      <c r="V104" s="208">
        <v>0</v>
      </c>
      <c r="W104" s="191">
        <v>1</v>
      </c>
      <c r="X104" s="191">
        <v>1</v>
      </c>
      <c r="Y104">
        <v>1</v>
      </c>
    </row>
    <row r="105" spans="1:25" ht="27" x14ac:dyDescent="0.3">
      <c r="A105" s="193">
        <v>908176</v>
      </c>
      <c r="B105" t="s">
        <v>8997</v>
      </c>
      <c r="C105" s="200" t="s">
        <v>8441</v>
      </c>
      <c r="D105" s="197">
        <v>1001</v>
      </c>
      <c r="E105" s="201">
        <v>2</v>
      </c>
      <c r="F105" s="197">
        <v>0</v>
      </c>
      <c r="G105" s="194">
        <v>0</v>
      </c>
      <c r="H105" s="194">
        <v>0</v>
      </c>
      <c r="I105" s="88">
        <v>1</v>
      </c>
      <c r="J105" s="197" t="b">
        <v>0</v>
      </c>
      <c r="K105" s="201">
        <v>25</v>
      </c>
      <c r="L105" s="194">
        <v>375</v>
      </c>
      <c r="M105" s="194">
        <v>500</v>
      </c>
      <c r="N105" s="194">
        <v>0</v>
      </c>
      <c r="O105" s="194">
        <v>1</v>
      </c>
      <c r="P105" s="88">
        <v>1</v>
      </c>
      <c r="Q105" s="201">
        <v>0</v>
      </c>
      <c r="R105" s="201">
        <v>0</v>
      </c>
      <c r="S105" s="201">
        <v>0</v>
      </c>
      <c r="T105" s="206" t="s">
        <v>8998</v>
      </c>
      <c r="U105" s="207" t="s">
        <v>8692</v>
      </c>
      <c r="V105" s="208">
        <v>0</v>
      </c>
      <c r="W105" s="191">
        <v>1</v>
      </c>
      <c r="X105" s="191">
        <v>1</v>
      </c>
      <c r="Y105">
        <v>1</v>
      </c>
    </row>
    <row r="106" spans="1:25" ht="17.25" x14ac:dyDescent="0.3">
      <c r="A106" s="25">
        <v>908187</v>
      </c>
      <c r="B106" t="s">
        <v>8999</v>
      </c>
      <c r="C106" s="179" t="s">
        <v>8441</v>
      </c>
      <c r="D106" s="179">
        <v>1001</v>
      </c>
      <c r="E106" s="179">
        <v>2</v>
      </c>
      <c r="F106" s="179">
        <v>1</v>
      </c>
      <c r="G106" s="194">
        <v>0</v>
      </c>
      <c r="H106" s="194">
        <v>0</v>
      </c>
      <c r="I106" s="88">
        <v>999</v>
      </c>
      <c r="J106" s="194" t="b">
        <v>1</v>
      </c>
      <c r="K106" s="194">
        <v>10</v>
      </c>
      <c r="L106" s="194">
        <v>150</v>
      </c>
      <c r="M106" s="194">
        <v>200</v>
      </c>
      <c r="N106" s="194">
        <v>0</v>
      </c>
      <c r="O106" s="204">
        <v>1</v>
      </c>
      <c r="P106" s="88">
        <v>1</v>
      </c>
      <c r="Q106" s="194">
        <v>0</v>
      </c>
      <c r="R106" s="194">
        <v>0</v>
      </c>
      <c r="S106" s="194" t="s">
        <v>38</v>
      </c>
      <c r="T106" s="206" t="s">
        <v>9000</v>
      </c>
      <c r="U106" s="25" t="s">
        <v>8695</v>
      </c>
      <c r="V106" s="25">
        <v>0</v>
      </c>
      <c r="W106" s="109">
        <v>1</v>
      </c>
      <c r="X106" s="109">
        <v>1</v>
      </c>
    </row>
    <row r="107" spans="1:25" ht="17.25" x14ac:dyDescent="0.3">
      <c r="A107" s="25">
        <v>908188</v>
      </c>
      <c r="B107" t="s">
        <v>9001</v>
      </c>
      <c r="C107" s="179" t="s">
        <v>8441</v>
      </c>
      <c r="D107" s="179">
        <v>1001</v>
      </c>
      <c r="E107" s="179">
        <v>2</v>
      </c>
      <c r="F107" s="179">
        <v>1</v>
      </c>
      <c r="G107" s="194">
        <v>0</v>
      </c>
      <c r="H107" s="194">
        <v>0</v>
      </c>
      <c r="I107" s="88">
        <v>999</v>
      </c>
      <c r="J107" s="194" t="b">
        <v>1</v>
      </c>
      <c r="K107" s="194">
        <v>10</v>
      </c>
      <c r="L107" s="194">
        <v>150</v>
      </c>
      <c r="M107" s="194">
        <v>200</v>
      </c>
      <c r="N107" s="194">
        <v>0</v>
      </c>
      <c r="O107" s="204">
        <v>1</v>
      </c>
      <c r="P107" s="88">
        <v>1</v>
      </c>
      <c r="Q107" s="194">
        <v>0</v>
      </c>
      <c r="R107" s="194">
        <v>0</v>
      </c>
      <c r="S107" s="194" t="s">
        <v>38</v>
      </c>
      <c r="T107" s="206" t="s">
        <v>9002</v>
      </c>
      <c r="U107" s="25" t="s">
        <v>8698</v>
      </c>
      <c r="V107" s="25">
        <v>0</v>
      </c>
      <c r="W107" s="109">
        <v>1</v>
      </c>
      <c r="X107" s="109">
        <v>1</v>
      </c>
    </row>
    <row r="108" spans="1:25" ht="17.25" x14ac:dyDescent="0.3">
      <c r="A108" s="25">
        <v>908190</v>
      </c>
      <c r="B108" t="s">
        <v>9003</v>
      </c>
      <c r="C108" s="179" t="s">
        <v>8441</v>
      </c>
      <c r="D108" s="179">
        <v>1001</v>
      </c>
      <c r="E108" s="179">
        <v>2</v>
      </c>
      <c r="F108" s="179">
        <v>1</v>
      </c>
      <c r="G108" s="194">
        <v>0</v>
      </c>
      <c r="H108" s="194">
        <v>0</v>
      </c>
      <c r="I108" s="88">
        <v>999</v>
      </c>
      <c r="J108" s="194" t="b">
        <v>1</v>
      </c>
      <c r="K108" s="194">
        <v>10</v>
      </c>
      <c r="L108" s="194">
        <v>150</v>
      </c>
      <c r="M108" s="194">
        <v>200</v>
      </c>
      <c r="N108" s="194">
        <v>0</v>
      </c>
      <c r="O108" s="204">
        <v>1</v>
      </c>
      <c r="P108" s="88">
        <v>1</v>
      </c>
      <c r="Q108" s="194">
        <v>0</v>
      </c>
      <c r="R108" s="194">
        <v>0</v>
      </c>
      <c r="S108" s="194" t="s">
        <v>38</v>
      </c>
      <c r="T108" s="206" t="s">
        <v>9004</v>
      </c>
      <c r="U108" s="25" t="s">
        <v>8701</v>
      </c>
      <c r="V108" s="25">
        <v>0</v>
      </c>
      <c r="W108" s="109">
        <v>1</v>
      </c>
      <c r="X108" s="109">
        <v>1</v>
      </c>
    </row>
    <row r="109" spans="1:25" ht="17.25" x14ac:dyDescent="0.3">
      <c r="A109" s="25">
        <v>908191</v>
      </c>
      <c r="B109" t="s">
        <v>9005</v>
      </c>
      <c r="C109" s="179" t="s">
        <v>8441</v>
      </c>
      <c r="D109" s="179">
        <v>1001</v>
      </c>
      <c r="E109" s="179">
        <v>2</v>
      </c>
      <c r="F109" s="179">
        <v>1</v>
      </c>
      <c r="G109" s="194">
        <v>0</v>
      </c>
      <c r="H109" s="194">
        <v>0</v>
      </c>
      <c r="I109" s="88">
        <v>999</v>
      </c>
      <c r="J109" s="194" t="b">
        <v>1</v>
      </c>
      <c r="K109" s="194">
        <v>10</v>
      </c>
      <c r="L109" s="194">
        <v>150</v>
      </c>
      <c r="M109" s="194">
        <v>200</v>
      </c>
      <c r="N109" s="194">
        <v>0</v>
      </c>
      <c r="O109" s="204">
        <v>1</v>
      </c>
      <c r="P109" s="88">
        <v>1</v>
      </c>
      <c r="Q109" s="194">
        <v>0</v>
      </c>
      <c r="R109" s="194">
        <v>0</v>
      </c>
      <c r="S109" s="194" t="s">
        <v>38</v>
      </c>
      <c r="T109" s="206" t="s">
        <v>9006</v>
      </c>
      <c r="U109" s="25" t="s">
        <v>8704</v>
      </c>
      <c r="V109" s="25">
        <v>0</v>
      </c>
      <c r="W109" s="109">
        <v>1</v>
      </c>
      <c r="X109" s="109">
        <v>1</v>
      </c>
    </row>
    <row r="110" spans="1:25" ht="17.25" x14ac:dyDescent="0.3">
      <c r="A110" s="25">
        <v>908192</v>
      </c>
      <c r="B110" t="s">
        <v>9007</v>
      </c>
      <c r="C110" s="179" t="s">
        <v>8441</v>
      </c>
      <c r="D110" s="179">
        <v>1001</v>
      </c>
      <c r="E110" s="179">
        <v>2</v>
      </c>
      <c r="F110" s="179">
        <v>1</v>
      </c>
      <c r="G110" s="194">
        <v>0</v>
      </c>
      <c r="H110" s="194">
        <v>0</v>
      </c>
      <c r="I110" s="88">
        <v>999</v>
      </c>
      <c r="J110" s="194" t="b">
        <v>1</v>
      </c>
      <c r="K110" s="194">
        <v>10</v>
      </c>
      <c r="L110" s="194">
        <v>150</v>
      </c>
      <c r="M110" s="194">
        <v>200</v>
      </c>
      <c r="N110" s="194">
        <v>0</v>
      </c>
      <c r="O110" s="204">
        <v>1</v>
      </c>
      <c r="P110" s="88">
        <v>1</v>
      </c>
      <c r="Q110" s="194">
        <v>0</v>
      </c>
      <c r="R110" s="194">
        <v>0</v>
      </c>
      <c r="S110" s="194" t="s">
        <v>38</v>
      </c>
      <c r="T110" s="206" t="s">
        <v>9008</v>
      </c>
      <c r="U110" s="25" t="s">
        <v>8707</v>
      </c>
      <c r="V110" s="25">
        <v>0</v>
      </c>
      <c r="W110" s="109">
        <v>1</v>
      </c>
      <c r="X110" s="109">
        <v>1</v>
      </c>
    </row>
    <row r="111" spans="1:25" ht="17.25" x14ac:dyDescent="0.3">
      <c r="A111" s="25">
        <v>908193</v>
      </c>
      <c r="B111" t="s">
        <v>9009</v>
      </c>
      <c r="C111" s="179" t="s">
        <v>8441</v>
      </c>
      <c r="D111" s="179">
        <v>1001</v>
      </c>
      <c r="E111" s="179">
        <v>2</v>
      </c>
      <c r="F111" s="179">
        <v>1</v>
      </c>
      <c r="G111" s="194">
        <v>0</v>
      </c>
      <c r="H111" s="194">
        <v>0</v>
      </c>
      <c r="I111" s="88">
        <v>999</v>
      </c>
      <c r="J111" s="194" t="b">
        <v>1</v>
      </c>
      <c r="K111" s="194">
        <v>10</v>
      </c>
      <c r="L111" s="194">
        <v>150</v>
      </c>
      <c r="M111" s="194">
        <v>200</v>
      </c>
      <c r="N111" s="194">
        <v>0</v>
      </c>
      <c r="O111" s="204">
        <v>1</v>
      </c>
      <c r="P111" s="88">
        <v>1</v>
      </c>
      <c r="Q111" s="194">
        <v>0</v>
      </c>
      <c r="R111" s="194">
        <v>0</v>
      </c>
      <c r="S111" s="194" t="s">
        <v>38</v>
      </c>
      <c r="T111" s="206" t="s">
        <v>9010</v>
      </c>
      <c r="U111" s="25" t="s">
        <v>8710</v>
      </c>
      <c r="V111" s="25">
        <v>0</v>
      </c>
      <c r="W111" s="109">
        <v>1</v>
      </c>
      <c r="X111" s="109">
        <v>1</v>
      </c>
    </row>
    <row r="112" spans="1:25" ht="17.25" x14ac:dyDescent="0.3">
      <c r="A112" s="25">
        <v>908194</v>
      </c>
      <c r="B112" t="s">
        <v>9011</v>
      </c>
      <c r="C112" s="179" t="s">
        <v>8441</v>
      </c>
      <c r="D112" s="179">
        <v>1001</v>
      </c>
      <c r="E112" s="179">
        <v>2</v>
      </c>
      <c r="F112" s="179">
        <v>1</v>
      </c>
      <c r="G112" s="194">
        <v>0</v>
      </c>
      <c r="H112" s="194">
        <v>0</v>
      </c>
      <c r="I112" s="88">
        <v>999</v>
      </c>
      <c r="J112" s="194" t="b">
        <v>1</v>
      </c>
      <c r="K112" s="194">
        <v>10</v>
      </c>
      <c r="L112" s="194">
        <v>150</v>
      </c>
      <c r="M112" s="194">
        <v>200</v>
      </c>
      <c r="N112" s="194">
        <v>0</v>
      </c>
      <c r="O112" s="204">
        <v>1</v>
      </c>
      <c r="P112" s="88">
        <v>1</v>
      </c>
      <c r="Q112" s="194">
        <v>0</v>
      </c>
      <c r="R112" s="194">
        <v>0</v>
      </c>
      <c r="S112" s="194" t="s">
        <v>38</v>
      </c>
      <c r="T112" s="206" t="s">
        <v>9012</v>
      </c>
      <c r="U112" s="25" t="s">
        <v>8713</v>
      </c>
      <c r="V112" s="25">
        <v>0</v>
      </c>
      <c r="W112" s="109">
        <v>1</v>
      </c>
      <c r="X112" s="109">
        <v>1</v>
      </c>
    </row>
    <row r="113" spans="1:24" ht="17.25" x14ac:dyDescent="0.3">
      <c r="A113" s="25">
        <v>908195</v>
      </c>
      <c r="B113" t="s">
        <v>9013</v>
      </c>
      <c r="C113" s="179" t="s">
        <v>8441</v>
      </c>
      <c r="D113" s="179">
        <v>1001</v>
      </c>
      <c r="E113" s="179">
        <v>2</v>
      </c>
      <c r="F113" s="179">
        <v>1</v>
      </c>
      <c r="G113" s="194">
        <v>0</v>
      </c>
      <c r="H113" s="194">
        <v>0</v>
      </c>
      <c r="I113" s="88">
        <v>999</v>
      </c>
      <c r="J113" s="194" t="b">
        <v>1</v>
      </c>
      <c r="K113" s="194">
        <v>10</v>
      </c>
      <c r="L113" s="194">
        <v>150</v>
      </c>
      <c r="M113" s="194">
        <v>200</v>
      </c>
      <c r="N113" s="194">
        <v>0</v>
      </c>
      <c r="O113" s="204">
        <v>1</v>
      </c>
      <c r="P113" s="88">
        <v>1</v>
      </c>
      <c r="Q113" s="194">
        <v>0</v>
      </c>
      <c r="R113" s="194">
        <v>0</v>
      </c>
      <c r="S113" s="194" t="s">
        <v>38</v>
      </c>
      <c r="T113" s="206" t="s">
        <v>9012</v>
      </c>
      <c r="U113" s="25" t="s">
        <v>8715</v>
      </c>
      <c r="V113" s="25">
        <v>0</v>
      </c>
      <c r="W113" s="109">
        <v>1</v>
      </c>
      <c r="X113" s="109">
        <v>1</v>
      </c>
    </row>
    <row r="114" spans="1:24" ht="17.25" x14ac:dyDescent="0.3">
      <c r="A114" s="25">
        <v>908196</v>
      </c>
      <c r="B114" t="s">
        <v>9014</v>
      </c>
      <c r="C114" s="179" t="s">
        <v>8441</v>
      </c>
      <c r="D114" s="179">
        <v>1001</v>
      </c>
      <c r="E114" s="179">
        <v>2</v>
      </c>
      <c r="F114" s="179">
        <v>1</v>
      </c>
      <c r="G114" s="194">
        <v>0</v>
      </c>
      <c r="H114" s="194">
        <v>0</v>
      </c>
      <c r="I114" s="88">
        <v>999</v>
      </c>
      <c r="J114" s="194" t="b">
        <v>1</v>
      </c>
      <c r="K114" s="194">
        <v>10</v>
      </c>
      <c r="L114" s="194">
        <v>150</v>
      </c>
      <c r="M114" s="194">
        <v>200</v>
      </c>
      <c r="N114" s="194">
        <v>0</v>
      </c>
      <c r="O114" s="204">
        <v>1</v>
      </c>
      <c r="P114" s="88">
        <v>1</v>
      </c>
      <c r="Q114" s="194">
        <v>0</v>
      </c>
      <c r="R114" s="194">
        <v>0</v>
      </c>
      <c r="S114" s="194" t="s">
        <v>38</v>
      </c>
      <c r="T114" s="206" t="s">
        <v>9012</v>
      </c>
      <c r="U114" s="25" t="s">
        <v>8717</v>
      </c>
      <c r="V114" s="25">
        <v>0</v>
      </c>
      <c r="W114" s="109">
        <v>1</v>
      </c>
      <c r="X114" s="109">
        <v>1</v>
      </c>
    </row>
    <row r="115" spans="1:24" ht="17.25" x14ac:dyDescent="0.3">
      <c r="A115" s="25">
        <v>908197</v>
      </c>
      <c r="B115" t="s">
        <v>9015</v>
      </c>
      <c r="C115" s="179" t="s">
        <v>8441</v>
      </c>
      <c r="D115" s="179">
        <v>1001</v>
      </c>
      <c r="E115" s="179">
        <v>2</v>
      </c>
      <c r="F115" s="179">
        <v>1</v>
      </c>
      <c r="G115" s="194">
        <v>0</v>
      </c>
      <c r="H115" s="194">
        <v>0</v>
      </c>
      <c r="I115" s="88">
        <v>999</v>
      </c>
      <c r="J115" s="194" t="b">
        <v>1</v>
      </c>
      <c r="K115" s="194">
        <v>10</v>
      </c>
      <c r="L115" s="194">
        <v>150</v>
      </c>
      <c r="M115" s="194">
        <v>200</v>
      </c>
      <c r="N115" s="194">
        <v>0</v>
      </c>
      <c r="O115" s="204">
        <v>1</v>
      </c>
      <c r="P115" s="88">
        <v>1</v>
      </c>
      <c r="Q115" s="194">
        <v>0</v>
      </c>
      <c r="R115" s="194">
        <v>0</v>
      </c>
      <c r="S115" s="194" t="s">
        <v>38</v>
      </c>
      <c r="T115" s="206" t="s">
        <v>9016</v>
      </c>
      <c r="U115" s="25" t="s">
        <v>8720</v>
      </c>
      <c r="V115" s="25">
        <v>0</v>
      </c>
      <c r="W115" s="109">
        <v>1</v>
      </c>
      <c r="X115" s="109">
        <v>1</v>
      </c>
    </row>
    <row r="116" spans="1:24" ht="17.25" x14ac:dyDescent="0.3">
      <c r="A116" s="25">
        <v>908198</v>
      </c>
      <c r="B116" t="s">
        <v>9017</v>
      </c>
      <c r="C116" s="179" t="s">
        <v>8441</v>
      </c>
      <c r="D116" s="179">
        <v>1001</v>
      </c>
      <c r="E116" s="179">
        <v>2</v>
      </c>
      <c r="F116" s="179">
        <v>1</v>
      </c>
      <c r="G116" s="194">
        <v>0</v>
      </c>
      <c r="H116" s="194">
        <v>0</v>
      </c>
      <c r="I116" s="88">
        <v>999</v>
      </c>
      <c r="J116" s="194" t="b">
        <v>1</v>
      </c>
      <c r="K116" s="194">
        <v>10</v>
      </c>
      <c r="L116" s="194">
        <v>150</v>
      </c>
      <c r="M116" s="194">
        <v>200</v>
      </c>
      <c r="N116" s="194">
        <v>0</v>
      </c>
      <c r="O116" s="204">
        <v>1</v>
      </c>
      <c r="P116" s="88">
        <v>1</v>
      </c>
      <c r="Q116" s="194">
        <v>0</v>
      </c>
      <c r="R116" s="194">
        <v>0</v>
      </c>
      <c r="S116" s="194" t="s">
        <v>38</v>
      </c>
      <c r="T116" s="206" t="s">
        <v>9018</v>
      </c>
      <c r="U116" s="25" t="s">
        <v>8723</v>
      </c>
      <c r="V116" s="25">
        <v>0</v>
      </c>
      <c r="W116" s="109">
        <v>1</v>
      </c>
      <c r="X116" s="109">
        <v>1</v>
      </c>
    </row>
    <row r="117" spans="1:24" ht="17.25" x14ac:dyDescent="0.3">
      <c r="A117" s="25">
        <v>908199</v>
      </c>
      <c r="B117" t="s">
        <v>9019</v>
      </c>
      <c r="C117" s="179" t="s">
        <v>8441</v>
      </c>
      <c r="D117" s="179">
        <v>1001</v>
      </c>
      <c r="E117" s="179">
        <v>2</v>
      </c>
      <c r="F117" s="179">
        <v>1</v>
      </c>
      <c r="G117" s="194">
        <v>0</v>
      </c>
      <c r="H117" s="194">
        <v>0</v>
      </c>
      <c r="I117" s="88">
        <v>999</v>
      </c>
      <c r="J117" s="194" t="b">
        <v>1</v>
      </c>
      <c r="K117" s="194">
        <v>10</v>
      </c>
      <c r="L117" s="194">
        <v>150</v>
      </c>
      <c r="M117" s="194">
        <v>200</v>
      </c>
      <c r="N117" s="194">
        <v>0</v>
      </c>
      <c r="O117" s="204">
        <v>1</v>
      </c>
      <c r="P117" s="88">
        <v>1</v>
      </c>
      <c r="Q117" s="194">
        <v>0</v>
      </c>
      <c r="R117" s="194">
        <v>0</v>
      </c>
      <c r="S117" s="194" t="s">
        <v>38</v>
      </c>
      <c r="T117" s="206" t="s">
        <v>9020</v>
      </c>
      <c r="U117" s="25" t="s">
        <v>8726</v>
      </c>
      <c r="V117" s="25">
        <v>0</v>
      </c>
      <c r="W117" s="109">
        <v>1</v>
      </c>
      <c r="X117" s="109">
        <v>1</v>
      </c>
    </row>
    <row r="118" spans="1:24" ht="17.25" x14ac:dyDescent="0.3">
      <c r="A118" s="25">
        <v>908200</v>
      </c>
      <c r="B118" t="s">
        <v>9021</v>
      </c>
      <c r="C118" s="179" t="s">
        <v>8441</v>
      </c>
      <c r="D118" s="179">
        <v>1001</v>
      </c>
      <c r="E118" s="179">
        <v>2</v>
      </c>
      <c r="F118" s="179">
        <v>1</v>
      </c>
      <c r="G118" s="194">
        <v>0</v>
      </c>
      <c r="H118" s="194">
        <v>0</v>
      </c>
      <c r="I118" s="88">
        <v>999</v>
      </c>
      <c r="J118" s="194" t="b">
        <v>1</v>
      </c>
      <c r="K118" s="194">
        <v>10</v>
      </c>
      <c r="L118" s="194">
        <v>150</v>
      </c>
      <c r="M118" s="194">
        <v>200</v>
      </c>
      <c r="N118" s="194">
        <v>0</v>
      </c>
      <c r="O118" s="204">
        <v>1</v>
      </c>
      <c r="P118" s="88">
        <v>1</v>
      </c>
      <c r="Q118" s="194">
        <v>0</v>
      </c>
      <c r="R118" s="194">
        <v>0</v>
      </c>
      <c r="S118" s="194" t="s">
        <v>38</v>
      </c>
      <c r="T118" s="206" t="s">
        <v>9022</v>
      </c>
      <c r="U118" s="25" t="s">
        <v>8729</v>
      </c>
      <c r="V118" s="25">
        <v>0</v>
      </c>
      <c r="W118" s="109">
        <v>1</v>
      </c>
      <c r="X118" s="109">
        <v>1</v>
      </c>
    </row>
    <row r="119" spans="1:24" ht="17.25" x14ac:dyDescent="0.3">
      <c r="A119" s="25">
        <v>908201</v>
      </c>
      <c r="B119" t="s">
        <v>9023</v>
      </c>
      <c r="C119" s="179" t="s">
        <v>8441</v>
      </c>
      <c r="D119" s="179">
        <v>1001</v>
      </c>
      <c r="E119" s="179">
        <v>2</v>
      </c>
      <c r="F119" s="179">
        <v>1</v>
      </c>
      <c r="G119" s="194">
        <v>0</v>
      </c>
      <c r="H119" s="194">
        <v>0</v>
      </c>
      <c r="I119" s="88">
        <v>999</v>
      </c>
      <c r="J119" s="194" t="b">
        <v>1</v>
      </c>
      <c r="K119" s="194">
        <v>10</v>
      </c>
      <c r="L119" s="194">
        <v>150</v>
      </c>
      <c r="M119" s="194">
        <v>200</v>
      </c>
      <c r="N119" s="194">
        <v>0</v>
      </c>
      <c r="O119" s="204">
        <v>1</v>
      </c>
      <c r="P119" s="88">
        <v>1</v>
      </c>
      <c r="Q119" s="194">
        <v>0</v>
      </c>
      <c r="R119" s="194">
        <v>0</v>
      </c>
      <c r="S119" s="194" t="s">
        <v>38</v>
      </c>
      <c r="T119" s="206" t="s">
        <v>9024</v>
      </c>
      <c r="U119" s="25" t="s">
        <v>8732</v>
      </c>
      <c r="V119" s="25">
        <v>0</v>
      </c>
      <c r="W119" s="109">
        <v>1</v>
      </c>
      <c r="X119" s="109">
        <v>1</v>
      </c>
    </row>
    <row r="120" spans="1:24" ht="17.25" x14ac:dyDescent="0.3">
      <c r="A120" s="25">
        <v>908202</v>
      </c>
      <c r="B120" t="s">
        <v>9025</v>
      </c>
      <c r="C120" s="179" t="s">
        <v>8441</v>
      </c>
      <c r="D120" s="179">
        <v>1001</v>
      </c>
      <c r="E120" s="179">
        <v>2</v>
      </c>
      <c r="F120" s="179">
        <v>1</v>
      </c>
      <c r="G120" s="194">
        <v>0</v>
      </c>
      <c r="H120" s="194">
        <v>0</v>
      </c>
      <c r="I120" s="88">
        <v>999</v>
      </c>
      <c r="J120" s="194" t="b">
        <v>1</v>
      </c>
      <c r="K120" s="194">
        <v>10</v>
      </c>
      <c r="L120" s="194">
        <v>150</v>
      </c>
      <c r="M120" s="194">
        <v>200</v>
      </c>
      <c r="N120" s="194">
        <v>0</v>
      </c>
      <c r="O120" s="204">
        <v>1</v>
      </c>
      <c r="P120" s="88">
        <v>1</v>
      </c>
      <c r="Q120" s="194">
        <v>0</v>
      </c>
      <c r="R120" s="194">
        <v>0</v>
      </c>
      <c r="S120" s="194" t="s">
        <v>38</v>
      </c>
      <c r="T120" s="206" t="s">
        <v>9026</v>
      </c>
      <c r="U120" s="25" t="s">
        <v>8735</v>
      </c>
      <c r="V120" s="25">
        <v>0</v>
      </c>
      <c r="W120" s="109">
        <v>1</v>
      </c>
      <c r="X120" s="109">
        <v>1</v>
      </c>
    </row>
    <row r="121" spans="1:24" ht="17.25" x14ac:dyDescent="0.3">
      <c r="A121" s="25">
        <v>908204</v>
      </c>
      <c r="B121" t="s">
        <v>9027</v>
      </c>
      <c r="C121" s="179" t="s">
        <v>8441</v>
      </c>
      <c r="D121" s="179">
        <v>1001</v>
      </c>
      <c r="E121" s="179">
        <v>2</v>
      </c>
      <c r="F121" s="179">
        <v>1</v>
      </c>
      <c r="G121" s="194">
        <v>0</v>
      </c>
      <c r="H121" s="194">
        <v>0</v>
      </c>
      <c r="I121" s="88">
        <v>999</v>
      </c>
      <c r="J121" s="194" t="b">
        <v>1</v>
      </c>
      <c r="K121" s="194">
        <v>10</v>
      </c>
      <c r="L121" s="194">
        <v>150</v>
      </c>
      <c r="M121" s="194">
        <v>200</v>
      </c>
      <c r="N121" s="194">
        <v>0</v>
      </c>
      <c r="O121" s="204">
        <v>1</v>
      </c>
      <c r="P121" s="88">
        <v>1</v>
      </c>
      <c r="Q121" s="194">
        <v>0</v>
      </c>
      <c r="R121" s="194">
        <v>0</v>
      </c>
      <c r="S121" s="194" t="s">
        <v>38</v>
      </c>
      <c r="T121" s="206" t="s">
        <v>9022</v>
      </c>
      <c r="U121" s="25" t="s">
        <v>8737</v>
      </c>
      <c r="V121" s="25">
        <v>0</v>
      </c>
      <c r="W121" s="109">
        <v>1</v>
      </c>
      <c r="X121" s="109">
        <v>1</v>
      </c>
    </row>
    <row r="122" spans="1:24" ht="17.25" x14ac:dyDescent="0.3">
      <c r="A122" s="25">
        <v>908205</v>
      </c>
      <c r="B122" t="s">
        <v>9028</v>
      </c>
      <c r="C122" s="179" t="s">
        <v>8441</v>
      </c>
      <c r="D122" s="179">
        <v>1001</v>
      </c>
      <c r="E122" s="179">
        <v>2</v>
      </c>
      <c r="F122" s="179">
        <v>1</v>
      </c>
      <c r="G122" s="194">
        <v>0</v>
      </c>
      <c r="H122" s="194">
        <v>0</v>
      </c>
      <c r="I122" s="88">
        <v>999</v>
      </c>
      <c r="J122" s="194" t="b">
        <v>1</v>
      </c>
      <c r="K122" s="194">
        <v>10</v>
      </c>
      <c r="L122" s="194">
        <v>150</v>
      </c>
      <c r="M122" s="194">
        <v>200</v>
      </c>
      <c r="N122" s="194">
        <v>0</v>
      </c>
      <c r="O122" s="204">
        <v>1</v>
      </c>
      <c r="P122" s="88">
        <v>1</v>
      </c>
      <c r="Q122" s="194">
        <v>0</v>
      </c>
      <c r="R122" s="194">
        <v>0</v>
      </c>
      <c r="S122" s="194" t="s">
        <v>38</v>
      </c>
      <c r="T122" s="206" t="s">
        <v>9024</v>
      </c>
      <c r="U122" s="25" t="s">
        <v>8739</v>
      </c>
      <c r="V122" s="25">
        <v>0</v>
      </c>
      <c r="W122" s="109">
        <v>1</v>
      </c>
      <c r="X122" s="109">
        <v>1</v>
      </c>
    </row>
    <row r="123" spans="1:24" ht="17.25" x14ac:dyDescent="0.3">
      <c r="A123" s="25">
        <v>908207</v>
      </c>
      <c r="B123" t="s">
        <v>9029</v>
      </c>
      <c r="C123" s="179" t="s">
        <v>8441</v>
      </c>
      <c r="D123" s="179">
        <v>1001</v>
      </c>
      <c r="E123" s="179">
        <v>2</v>
      </c>
      <c r="F123" s="179">
        <v>0</v>
      </c>
      <c r="G123" s="194">
        <v>0</v>
      </c>
      <c r="H123" s="194">
        <v>0</v>
      </c>
      <c r="I123" s="88">
        <v>999</v>
      </c>
      <c r="J123" s="194" t="b">
        <v>1</v>
      </c>
      <c r="K123" s="194">
        <v>10</v>
      </c>
      <c r="L123" s="194">
        <v>150</v>
      </c>
      <c r="M123" s="194">
        <v>200</v>
      </c>
      <c r="N123" s="194">
        <v>0</v>
      </c>
      <c r="O123" s="204">
        <v>0</v>
      </c>
      <c r="P123" s="88">
        <v>1</v>
      </c>
      <c r="Q123" s="194">
        <v>0</v>
      </c>
      <c r="R123" s="194">
        <v>0</v>
      </c>
      <c r="S123" s="194">
        <v>0</v>
      </c>
      <c r="T123" s="206" t="s">
        <v>9030</v>
      </c>
      <c r="U123" s="25" t="s">
        <v>8742</v>
      </c>
      <c r="V123" s="25">
        <v>0</v>
      </c>
      <c r="W123" s="109">
        <v>0</v>
      </c>
      <c r="X123" s="109">
        <v>0</v>
      </c>
    </row>
    <row r="124" spans="1:24" ht="17.25" x14ac:dyDescent="0.3">
      <c r="A124" s="25">
        <v>908208</v>
      </c>
      <c r="B124" t="s">
        <v>9031</v>
      </c>
      <c r="C124" s="179" t="s">
        <v>8441</v>
      </c>
      <c r="D124" s="179">
        <v>1001</v>
      </c>
      <c r="E124" s="179">
        <v>2</v>
      </c>
      <c r="F124" s="179">
        <v>0</v>
      </c>
      <c r="G124" s="194">
        <v>0</v>
      </c>
      <c r="H124" s="194">
        <v>0</v>
      </c>
      <c r="I124" s="88">
        <v>999</v>
      </c>
      <c r="J124" s="194" t="b">
        <v>1</v>
      </c>
      <c r="K124" s="194">
        <v>10</v>
      </c>
      <c r="L124" s="194">
        <v>150</v>
      </c>
      <c r="M124" s="194">
        <v>200</v>
      </c>
      <c r="N124" s="194">
        <v>0</v>
      </c>
      <c r="O124" s="204">
        <v>0</v>
      </c>
      <c r="P124" s="88">
        <v>1</v>
      </c>
      <c r="Q124" s="194">
        <v>0</v>
      </c>
      <c r="R124" s="194">
        <v>0</v>
      </c>
      <c r="S124" s="194">
        <v>0</v>
      </c>
      <c r="T124" s="206" t="s">
        <v>9032</v>
      </c>
      <c r="U124" s="25" t="s">
        <v>8745</v>
      </c>
      <c r="V124" s="25">
        <v>0</v>
      </c>
      <c r="W124" s="109">
        <v>0</v>
      </c>
      <c r="X124" s="109">
        <v>0</v>
      </c>
    </row>
    <row r="125" spans="1:24" ht="17.25" x14ac:dyDescent="0.3">
      <c r="A125" s="25">
        <v>908209</v>
      </c>
      <c r="B125" t="s">
        <v>9033</v>
      </c>
      <c r="C125" s="179" t="s">
        <v>8441</v>
      </c>
      <c r="D125" s="179">
        <v>1001</v>
      </c>
      <c r="E125" s="179">
        <v>2</v>
      </c>
      <c r="F125" s="179">
        <v>0</v>
      </c>
      <c r="G125" s="194">
        <v>0</v>
      </c>
      <c r="H125" s="194">
        <v>0</v>
      </c>
      <c r="I125" s="88">
        <v>999</v>
      </c>
      <c r="J125" s="194" t="b">
        <v>1</v>
      </c>
      <c r="K125" s="194">
        <v>360</v>
      </c>
      <c r="L125" s="194">
        <v>360</v>
      </c>
      <c r="M125" s="194">
        <v>360</v>
      </c>
      <c r="N125" s="194">
        <v>0</v>
      </c>
      <c r="O125" s="204">
        <v>0</v>
      </c>
      <c r="P125" s="88">
        <v>1</v>
      </c>
      <c r="Q125" s="194">
        <v>0</v>
      </c>
      <c r="R125" s="194">
        <v>0</v>
      </c>
      <c r="S125" s="194">
        <v>0</v>
      </c>
      <c r="T125" s="206" t="s">
        <v>9034</v>
      </c>
      <c r="U125" s="25" t="s">
        <v>8101</v>
      </c>
      <c r="V125" s="25">
        <v>0</v>
      </c>
      <c r="W125" s="109">
        <v>0</v>
      </c>
      <c r="X125" s="109">
        <v>0</v>
      </c>
    </row>
    <row r="126" spans="1:24" ht="17.25" x14ac:dyDescent="0.3">
      <c r="A126" s="25">
        <v>908210</v>
      </c>
      <c r="B126" t="s">
        <v>9035</v>
      </c>
      <c r="C126" s="179" t="s">
        <v>8441</v>
      </c>
      <c r="D126" s="179">
        <v>1001</v>
      </c>
      <c r="E126" s="179">
        <v>2</v>
      </c>
      <c r="F126" s="179">
        <v>0</v>
      </c>
      <c r="G126" s="194">
        <v>0</v>
      </c>
      <c r="H126" s="194">
        <v>0</v>
      </c>
      <c r="I126" s="88">
        <v>999</v>
      </c>
      <c r="J126" s="194" t="b">
        <v>1</v>
      </c>
      <c r="K126" s="194">
        <v>360</v>
      </c>
      <c r="L126" s="194">
        <v>360</v>
      </c>
      <c r="M126" s="194">
        <v>360</v>
      </c>
      <c r="N126" s="194">
        <v>0</v>
      </c>
      <c r="O126" s="204">
        <v>0</v>
      </c>
      <c r="P126" s="88">
        <v>1</v>
      </c>
      <c r="Q126" s="194">
        <v>0</v>
      </c>
      <c r="R126" s="194">
        <v>0</v>
      </c>
      <c r="S126" s="194">
        <v>0</v>
      </c>
      <c r="T126" s="206" t="s">
        <v>9036</v>
      </c>
      <c r="U126" s="25" t="s">
        <v>7874</v>
      </c>
      <c r="V126" s="25">
        <v>0</v>
      </c>
      <c r="W126" s="109">
        <v>0</v>
      </c>
      <c r="X126" s="109">
        <v>0</v>
      </c>
    </row>
    <row r="127" spans="1:24" ht="17.25" x14ac:dyDescent="0.3">
      <c r="A127" s="25">
        <v>908211</v>
      </c>
      <c r="B127" t="s">
        <v>9037</v>
      </c>
      <c r="C127" s="179" t="s">
        <v>8441</v>
      </c>
      <c r="D127" s="179">
        <v>1001</v>
      </c>
      <c r="E127" s="179">
        <v>2</v>
      </c>
      <c r="F127" s="179">
        <v>0</v>
      </c>
      <c r="G127" s="194">
        <v>0</v>
      </c>
      <c r="H127" s="194">
        <v>0</v>
      </c>
      <c r="I127" s="88">
        <v>999</v>
      </c>
      <c r="J127" s="194" t="b">
        <v>1</v>
      </c>
      <c r="K127" s="194">
        <v>360</v>
      </c>
      <c r="L127" s="194">
        <v>360</v>
      </c>
      <c r="M127" s="194">
        <v>360</v>
      </c>
      <c r="N127" s="194">
        <v>0</v>
      </c>
      <c r="O127" s="204">
        <v>0</v>
      </c>
      <c r="P127" s="88">
        <v>1</v>
      </c>
      <c r="Q127" s="194">
        <v>0</v>
      </c>
      <c r="R127" s="194">
        <v>0</v>
      </c>
      <c r="S127" s="194">
        <v>0</v>
      </c>
      <c r="T127" s="206" t="s">
        <v>9038</v>
      </c>
      <c r="U127" s="25" t="s">
        <v>2806</v>
      </c>
      <c r="V127" s="25">
        <v>0</v>
      </c>
      <c r="W127" s="109">
        <v>0</v>
      </c>
      <c r="X127" s="109">
        <v>0</v>
      </c>
    </row>
    <row r="128" spans="1:24" s="190" customFormat="1" ht="17.25" x14ac:dyDescent="0.3">
      <c r="A128" s="202">
        <v>908212</v>
      </c>
      <c r="B128" t="s">
        <v>9039</v>
      </c>
      <c r="C128" s="203" t="s">
        <v>8441</v>
      </c>
      <c r="D128" s="203">
        <v>1001</v>
      </c>
      <c r="E128" s="203">
        <v>2</v>
      </c>
      <c r="F128" s="203">
        <v>0</v>
      </c>
      <c r="G128" s="203">
        <v>0</v>
      </c>
      <c r="H128" s="203">
        <v>0</v>
      </c>
      <c r="I128" s="88">
        <v>999</v>
      </c>
      <c r="J128" s="203" t="b">
        <v>1</v>
      </c>
      <c r="K128" s="203">
        <v>216</v>
      </c>
      <c r="L128" s="203"/>
      <c r="M128" s="203"/>
      <c r="N128" s="203">
        <v>0</v>
      </c>
      <c r="O128" s="203">
        <v>0</v>
      </c>
      <c r="P128" s="205">
        <v>1</v>
      </c>
      <c r="Q128" s="203">
        <v>0</v>
      </c>
      <c r="R128" s="203">
        <v>0</v>
      </c>
      <c r="S128" s="203">
        <v>0</v>
      </c>
      <c r="T128" s="206" t="s">
        <v>9040</v>
      </c>
      <c r="U128" s="202" t="s">
        <v>8753</v>
      </c>
      <c r="V128" s="202">
        <v>0</v>
      </c>
      <c r="W128" s="205">
        <v>0</v>
      </c>
      <c r="X128" s="205">
        <v>0</v>
      </c>
    </row>
    <row r="129" spans="1:24" s="190" customFormat="1" ht="17.25" x14ac:dyDescent="0.3">
      <c r="A129" s="202">
        <v>908213</v>
      </c>
      <c r="B129" t="s">
        <v>9041</v>
      </c>
      <c r="C129" s="203" t="s">
        <v>8441</v>
      </c>
      <c r="D129" s="203">
        <v>1001</v>
      </c>
      <c r="E129" s="203">
        <v>2</v>
      </c>
      <c r="F129" s="203">
        <v>0</v>
      </c>
      <c r="G129" s="203">
        <v>0</v>
      </c>
      <c r="H129" s="203">
        <v>0</v>
      </c>
      <c r="I129" s="88">
        <v>999</v>
      </c>
      <c r="J129" s="203" t="b">
        <v>1</v>
      </c>
      <c r="K129" s="203">
        <v>300</v>
      </c>
      <c r="L129" s="203"/>
      <c r="M129" s="203"/>
      <c r="N129" s="203">
        <v>0</v>
      </c>
      <c r="O129" s="203">
        <v>0</v>
      </c>
      <c r="P129" s="205">
        <v>1</v>
      </c>
      <c r="Q129" s="203">
        <v>0</v>
      </c>
      <c r="R129" s="203">
        <v>0</v>
      </c>
      <c r="S129" s="203">
        <v>0</v>
      </c>
      <c r="T129" s="206" t="s">
        <v>9042</v>
      </c>
      <c r="U129" s="202" t="s">
        <v>8755</v>
      </c>
      <c r="V129" s="202">
        <v>0</v>
      </c>
      <c r="W129" s="205">
        <v>0</v>
      </c>
      <c r="X129" s="205">
        <v>0</v>
      </c>
    </row>
    <row r="130" spans="1:24" s="190" customFormat="1" ht="17.25" x14ac:dyDescent="0.3">
      <c r="A130" s="202">
        <v>908214</v>
      </c>
      <c r="B130" t="s">
        <v>9043</v>
      </c>
      <c r="C130" s="203" t="s">
        <v>8441</v>
      </c>
      <c r="D130" s="203">
        <v>1001</v>
      </c>
      <c r="E130" s="203">
        <v>2</v>
      </c>
      <c r="F130" s="203">
        <v>0</v>
      </c>
      <c r="G130" s="203">
        <v>0</v>
      </c>
      <c r="H130" s="203">
        <v>0</v>
      </c>
      <c r="I130" s="88">
        <v>999</v>
      </c>
      <c r="J130" s="203" t="b">
        <v>1</v>
      </c>
      <c r="K130" s="203">
        <v>360</v>
      </c>
      <c r="L130" s="203"/>
      <c r="M130" s="203"/>
      <c r="N130" s="203">
        <v>0</v>
      </c>
      <c r="O130" s="203">
        <v>0</v>
      </c>
      <c r="P130" s="205">
        <v>1</v>
      </c>
      <c r="Q130" s="203">
        <v>0</v>
      </c>
      <c r="R130" s="203">
        <v>0</v>
      </c>
      <c r="S130" s="203">
        <v>0</v>
      </c>
      <c r="T130" s="206" t="s">
        <v>9044</v>
      </c>
      <c r="U130" s="202" t="s">
        <v>8757</v>
      </c>
      <c r="V130" s="202">
        <v>0</v>
      </c>
      <c r="W130" s="205">
        <v>0</v>
      </c>
      <c r="X130" s="205">
        <v>0</v>
      </c>
    </row>
    <row r="131" spans="1:24" ht="17.25" x14ac:dyDescent="0.3">
      <c r="A131" s="83">
        <v>908218</v>
      </c>
      <c r="B131" t="s">
        <v>9045</v>
      </c>
      <c r="C131" s="83" t="s">
        <v>8441</v>
      </c>
      <c r="D131" s="179">
        <v>1001</v>
      </c>
      <c r="E131" s="179">
        <v>7</v>
      </c>
      <c r="F131" s="179">
        <v>0</v>
      </c>
      <c r="G131" s="179">
        <v>0</v>
      </c>
      <c r="H131" s="179">
        <v>0</v>
      </c>
      <c r="I131" s="88">
        <v>999</v>
      </c>
      <c r="J131" s="179" t="b">
        <v>0</v>
      </c>
      <c r="K131" s="179">
        <v>10</v>
      </c>
      <c r="L131" s="194">
        <v>150</v>
      </c>
      <c r="M131" s="194">
        <v>200</v>
      </c>
      <c r="N131" s="179">
        <v>0</v>
      </c>
      <c r="O131" s="179">
        <v>0</v>
      </c>
      <c r="P131" s="88">
        <v>1</v>
      </c>
      <c r="Q131" s="179">
        <v>0</v>
      </c>
      <c r="R131" s="179">
        <v>0</v>
      </c>
      <c r="S131" s="179">
        <v>0</v>
      </c>
      <c r="T131" s="206" t="s">
        <v>9046</v>
      </c>
      <c r="U131" s="179" t="s">
        <v>3761</v>
      </c>
      <c r="V131" s="25"/>
      <c r="W131" s="25"/>
      <c r="X131" s="25"/>
    </row>
    <row r="132" spans="1:24" ht="17.25" x14ac:dyDescent="0.3">
      <c r="A132" s="83">
        <v>908219</v>
      </c>
      <c r="B132" t="s">
        <v>9047</v>
      </c>
      <c r="C132" s="179" t="s">
        <v>8441</v>
      </c>
      <c r="D132" s="179">
        <v>1001</v>
      </c>
      <c r="E132" s="179">
        <v>2</v>
      </c>
      <c r="F132" s="179">
        <v>0</v>
      </c>
      <c r="G132" s="194">
        <v>0</v>
      </c>
      <c r="H132" s="194">
        <v>0</v>
      </c>
      <c r="I132" s="88">
        <v>999</v>
      </c>
      <c r="J132" s="194" t="b">
        <v>1</v>
      </c>
      <c r="K132" s="194">
        <v>10</v>
      </c>
      <c r="L132" s="194">
        <v>150</v>
      </c>
      <c r="M132" s="194">
        <v>200</v>
      </c>
      <c r="N132" s="194">
        <v>0</v>
      </c>
      <c r="O132" s="204">
        <v>1</v>
      </c>
      <c r="P132" s="88">
        <v>1</v>
      </c>
      <c r="Q132" s="194">
        <v>0</v>
      </c>
      <c r="R132" s="194">
        <v>0</v>
      </c>
      <c r="S132" s="194" t="s">
        <v>38</v>
      </c>
      <c r="T132" s="206" t="s">
        <v>9048</v>
      </c>
      <c r="U132" s="25" t="s">
        <v>8762</v>
      </c>
      <c r="V132" s="25">
        <v>0</v>
      </c>
      <c r="W132" s="109">
        <v>1</v>
      </c>
      <c r="X132" s="109">
        <v>1</v>
      </c>
    </row>
    <row r="133" spans="1:24" ht="17.25" x14ac:dyDescent="0.3">
      <c r="A133" s="83">
        <v>908220</v>
      </c>
      <c r="B133" t="s">
        <v>9049</v>
      </c>
      <c r="C133" s="179" t="s">
        <v>8441</v>
      </c>
      <c r="D133" s="179">
        <v>1001</v>
      </c>
      <c r="E133" s="179">
        <v>2</v>
      </c>
      <c r="F133" s="179">
        <v>0</v>
      </c>
      <c r="G133" s="194">
        <v>0</v>
      </c>
      <c r="H133" s="194">
        <v>0</v>
      </c>
      <c r="I133" s="88">
        <v>999</v>
      </c>
      <c r="J133" s="194" t="b">
        <v>1</v>
      </c>
      <c r="K133" s="194">
        <v>10</v>
      </c>
      <c r="L133" s="194">
        <v>150</v>
      </c>
      <c r="M133" s="194">
        <v>200</v>
      </c>
      <c r="N133" s="194">
        <v>0</v>
      </c>
      <c r="O133" s="204">
        <v>1</v>
      </c>
      <c r="P133" s="88">
        <v>1</v>
      </c>
      <c r="Q133" s="194">
        <v>0</v>
      </c>
      <c r="R133" s="194">
        <v>0</v>
      </c>
      <c r="S133" s="194" t="s">
        <v>38</v>
      </c>
      <c r="T133" s="206" t="s">
        <v>9048</v>
      </c>
      <c r="U133" s="25" t="s">
        <v>8764</v>
      </c>
      <c r="V133" s="25">
        <v>0</v>
      </c>
      <c r="W133" s="109">
        <v>1</v>
      </c>
      <c r="X133" s="109">
        <v>1</v>
      </c>
    </row>
    <row r="134" spans="1:24" ht="17.25" x14ac:dyDescent="0.3">
      <c r="A134" s="98">
        <v>908221</v>
      </c>
      <c r="B134" t="s">
        <v>9050</v>
      </c>
      <c r="C134" s="98" t="s">
        <v>8441</v>
      </c>
      <c r="D134" s="98">
        <v>1001</v>
      </c>
      <c r="E134">
        <v>5</v>
      </c>
      <c r="F134">
        <v>0</v>
      </c>
      <c r="G134">
        <v>0</v>
      </c>
      <c r="H134">
        <v>0</v>
      </c>
      <c r="I134">
        <v>999</v>
      </c>
      <c r="J134" t="b">
        <v>1</v>
      </c>
      <c r="K134">
        <v>250</v>
      </c>
      <c r="L134">
        <v>500</v>
      </c>
      <c r="M134">
        <v>750</v>
      </c>
      <c r="N134">
        <v>0</v>
      </c>
      <c r="O134">
        <v>2</v>
      </c>
      <c r="P134">
        <v>1</v>
      </c>
      <c r="Q134">
        <v>0</v>
      </c>
      <c r="R134">
        <v>0</v>
      </c>
      <c r="S134" t="s">
        <v>7477</v>
      </c>
      <c r="T134" s="206" t="s">
        <v>9051</v>
      </c>
      <c r="U134" t="s">
        <v>8767</v>
      </c>
      <c r="V134">
        <v>0</v>
      </c>
      <c r="W134">
        <v>1</v>
      </c>
      <c r="X134">
        <v>1</v>
      </c>
    </row>
    <row r="135" spans="1:24" ht="17.25" x14ac:dyDescent="0.3">
      <c r="A135" s="83">
        <v>908222</v>
      </c>
      <c r="B135" t="s">
        <v>8847</v>
      </c>
      <c r="C135" s="179" t="s">
        <v>8441</v>
      </c>
      <c r="D135" s="179">
        <v>1001</v>
      </c>
      <c r="E135" s="179">
        <v>2</v>
      </c>
      <c r="F135" s="179">
        <v>0</v>
      </c>
      <c r="G135" s="194">
        <v>0</v>
      </c>
      <c r="H135" s="194">
        <v>0</v>
      </c>
      <c r="I135" s="194">
        <v>1</v>
      </c>
      <c r="J135" s="194" t="b">
        <v>0</v>
      </c>
      <c r="K135" s="194">
        <v>-1</v>
      </c>
      <c r="L135" s="194">
        <v>-1</v>
      </c>
      <c r="M135" s="194">
        <v>-1</v>
      </c>
      <c r="N135" s="194">
        <v>0</v>
      </c>
      <c r="O135" s="204">
        <v>0</v>
      </c>
      <c r="P135" s="88">
        <v>1</v>
      </c>
      <c r="Q135" s="194">
        <v>0</v>
      </c>
      <c r="R135" s="194">
        <v>0</v>
      </c>
      <c r="S135" s="194">
        <v>0</v>
      </c>
      <c r="T135" s="206" t="s">
        <v>9052</v>
      </c>
      <c r="U135" s="25" t="s">
        <v>8062</v>
      </c>
      <c r="V135" s="83">
        <v>0</v>
      </c>
      <c r="W135" s="197">
        <v>0</v>
      </c>
      <c r="X135" s="197">
        <v>0</v>
      </c>
    </row>
    <row r="136" spans="1:24" ht="17.25" x14ac:dyDescent="0.3">
      <c r="A136" s="83">
        <v>908223</v>
      </c>
      <c r="B136" t="s">
        <v>8847</v>
      </c>
      <c r="C136" s="179" t="s">
        <v>8441</v>
      </c>
      <c r="D136" s="179">
        <v>1001</v>
      </c>
      <c r="E136" s="179">
        <v>2</v>
      </c>
      <c r="F136" s="179">
        <v>0</v>
      </c>
      <c r="G136" s="194">
        <v>0</v>
      </c>
      <c r="H136" s="194">
        <v>0</v>
      </c>
      <c r="I136" s="194">
        <v>1</v>
      </c>
      <c r="J136" s="194" t="b">
        <v>0</v>
      </c>
      <c r="K136" s="194">
        <v>-1</v>
      </c>
      <c r="L136" s="194">
        <v>-1</v>
      </c>
      <c r="M136" s="194">
        <v>-1</v>
      </c>
      <c r="N136" s="194">
        <v>0</v>
      </c>
      <c r="O136" s="204">
        <v>0</v>
      </c>
      <c r="P136" s="88">
        <v>1</v>
      </c>
      <c r="Q136" s="194">
        <v>0</v>
      </c>
      <c r="R136" s="194">
        <v>0</v>
      </c>
      <c r="S136" s="194">
        <v>0</v>
      </c>
      <c r="T136" s="206" t="s">
        <v>9053</v>
      </c>
      <c r="U136" s="25" t="s">
        <v>7868</v>
      </c>
      <c r="V136" s="83">
        <v>0</v>
      </c>
      <c r="W136" s="197">
        <v>0</v>
      </c>
      <c r="X136" s="197">
        <v>0</v>
      </c>
    </row>
    <row r="137" spans="1:24" ht="17.25" x14ac:dyDescent="0.3">
      <c r="A137" s="83">
        <v>908224</v>
      </c>
      <c r="B137" t="s">
        <v>8847</v>
      </c>
      <c r="C137" s="179" t="s">
        <v>8441</v>
      </c>
      <c r="D137" s="179">
        <v>1001</v>
      </c>
      <c r="E137" s="179">
        <v>2</v>
      </c>
      <c r="F137" s="179">
        <v>0</v>
      </c>
      <c r="G137" s="194">
        <v>0</v>
      </c>
      <c r="H137" s="194">
        <v>0</v>
      </c>
      <c r="I137" s="194">
        <v>1</v>
      </c>
      <c r="J137" s="194" t="b">
        <v>0</v>
      </c>
      <c r="K137" s="194">
        <v>-1</v>
      </c>
      <c r="L137" s="194">
        <v>-1</v>
      </c>
      <c r="M137" s="194">
        <v>-1</v>
      </c>
      <c r="N137" s="194">
        <v>0</v>
      </c>
      <c r="O137" s="204">
        <v>0</v>
      </c>
      <c r="P137" s="88">
        <v>1</v>
      </c>
      <c r="Q137" s="194">
        <v>0</v>
      </c>
      <c r="R137" s="194">
        <v>0</v>
      </c>
      <c r="S137" s="194">
        <v>0</v>
      </c>
      <c r="T137" s="206" t="s">
        <v>9054</v>
      </c>
      <c r="U137" s="25" t="s">
        <v>8062</v>
      </c>
      <c r="V137" s="83">
        <v>0</v>
      </c>
      <c r="W137" s="197">
        <v>0</v>
      </c>
      <c r="X137" s="197">
        <v>0</v>
      </c>
    </row>
    <row r="138" spans="1:24" ht="17.25" x14ac:dyDescent="0.3">
      <c r="A138" s="83">
        <v>908225</v>
      </c>
      <c r="B138" t="s">
        <v>9055</v>
      </c>
      <c r="C138" s="179" t="s">
        <v>8441</v>
      </c>
      <c r="D138" s="179">
        <v>1001</v>
      </c>
      <c r="E138" s="179">
        <v>2</v>
      </c>
      <c r="F138" s="179">
        <v>0</v>
      </c>
      <c r="G138" s="194">
        <v>0</v>
      </c>
      <c r="H138" s="194">
        <v>0</v>
      </c>
      <c r="I138" s="194">
        <v>1</v>
      </c>
      <c r="J138" s="194" t="b">
        <v>0</v>
      </c>
      <c r="K138" s="194">
        <v>-1</v>
      </c>
      <c r="L138" s="194">
        <v>-1</v>
      </c>
      <c r="M138" s="194">
        <v>-1</v>
      </c>
      <c r="N138" s="194">
        <v>0</v>
      </c>
      <c r="O138" s="204">
        <v>0</v>
      </c>
      <c r="P138" s="88">
        <v>1</v>
      </c>
      <c r="Q138" s="194">
        <v>0</v>
      </c>
      <c r="R138" s="194">
        <v>0</v>
      </c>
      <c r="S138" s="194">
        <v>0</v>
      </c>
      <c r="T138" s="206" t="s">
        <v>9056</v>
      </c>
      <c r="U138" s="25" t="s">
        <v>7868</v>
      </c>
      <c r="V138" s="83">
        <v>0</v>
      </c>
      <c r="W138" s="197">
        <v>0</v>
      </c>
      <c r="X138" s="197">
        <v>0</v>
      </c>
    </row>
    <row r="139" spans="1:24" ht="17.25" x14ac:dyDescent="0.3">
      <c r="A139" s="83">
        <v>908226</v>
      </c>
      <c r="B139" t="s">
        <v>8847</v>
      </c>
      <c r="C139" s="179" t="s">
        <v>8441</v>
      </c>
      <c r="D139" s="179">
        <v>1001</v>
      </c>
      <c r="E139" s="179">
        <v>2</v>
      </c>
      <c r="F139" s="179">
        <v>0</v>
      </c>
      <c r="G139" s="194">
        <v>0</v>
      </c>
      <c r="H139" s="194">
        <v>0</v>
      </c>
      <c r="I139" s="194">
        <v>1</v>
      </c>
      <c r="J139" s="194" t="b">
        <v>0</v>
      </c>
      <c r="K139" s="194">
        <v>-1</v>
      </c>
      <c r="L139" s="194">
        <v>-1</v>
      </c>
      <c r="M139" s="194">
        <v>-1</v>
      </c>
      <c r="N139" s="194">
        <v>0</v>
      </c>
      <c r="O139" s="204">
        <v>0</v>
      </c>
      <c r="P139" s="88">
        <v>1</v>
      </c>
      <c r="Q139" s="194">
        <v>0</v>
      </c>
      <c r="R139" s="194">
        <v>0</v>
      </c>
      <c r="S139" s="194">
        <v>0</v>
      </c>
      <c r="T139" s="206" t="s">
        <v>9057</v>
      </c>
      <c r="U139" s="25" t="s">
        <v>7868</v>
      </c>
      <c r="V139" s="83">
        <v>0</v>
      </c>
      <c r="W139" s="197">
        <v>0</v>
      </c>
      <c r="X139" s="197">
        <v>0</v>
      </c>
    </row>
    <row r="140" spans="1:24" ht="17.25" x14ac:dyDescent="0.3">
      <c r="A140" s="83">
        <v>908227</v>
      </c>
      <c r="B140" t="s">
        <v>8847</v>
      </c>
      <c r="C140" s="179" t="s">
        <v>8441</v>
      </c>
      <c r="D140" s="179">
        <v>1001</v>
      </c>
      <c r="E140" s="179">
        <v>2</v>
      </c>
      <c r="F140" s="179">
        <v>0</v>
      </c>
      <c r="G140" s="194">
        <v>0</v>
      </c>
      <c r="H140" s="194">
        <v>0</v>
      </c>
      <c r="I140" s="194">
        <v>1</v>
      </c>
      <c r="J140" s="194" t="b">
        <v>0</v>
      </c>
      <c r="K140" s="194">
        <v>-1</v>
      </c>
      <c r="L140" s="194">
        <v>-1</v>
      </c>
      <c r="M140" s="194">
        <v>-1</v>
      </c>
      <c r="N140" s="194">
        <v>0</v>
      </c>
      <c r="O140" s="204">
        <v>0</v>
      </c>
      <c r="P140" s="88">
        <v>1</v>
      </c>
      <c r="Q140" s="194">
        <v>0</v>
      </c>
      <c r="R140" s="194">
        <v>0</v>
      </c>
      <c r="S140" s="194">
        <v>0</v>
      </c>
      <c r="T140" s="206" t="s">
        <v>9058</v>
      </c>
      <c r="U140" s="25" t="s">
        <v>8062</v>
      </c>
      <c r="V140" s="83">
        <v>0</v>
      </c>
      <c r="W140" s="197">
        <v>0</v>
      </c>
      <c r="X140" s="197">
        <v>0</v>
      </c>
    </row>
    <row r="141" spans="1:24" ht="17.25" x14ac:dyDescent="0.3">
      <c r="A141" s="83">
        <v>908228</v>
      </c>
      <c r="B141" t="s">
        <v>9059</v>
      </c>
      <c r="C141" s="179" t="s">
        <v>8441</v>
      </c>
      <c r="D141" s="179">
        <v>1001</v>
      </c>
      <c r="E141" s="179">
        <v>2</v>
      </c>
      <c r="F141" s="179">
        <v>0</v>
      </c>
      <c r="G141" s="194">
        <v>0</v>
      </c>
      <c r="H141" s="194">
        <v>0</v>
      </c>
      <c r="I141" s="88">
        <v>999</v>
      </c>
      <c r="J141" s="194" t="b">
        <v>1</v>
      </c>
      <c r="K141" s="194">
        <v>10</v>
      </c>
      <c r="L141" s="194">
        <v>150</v>
      </c>
      <c r="M141" s="194">
        <v>200</v>
      </c>
      <c r="N141" s="194">
        <v>0</v>
      </c>
      <c r="O141" s="204">
        <v>1</v>
      </c>
      <c r="P141" s="88">
        <v>1</v>
      </c>
      <c r="Q141" s="194">
        <v>0</v>
      </c>
      <c r="R141" s="194">
        <v>0</v>
      </c>
      <c r="S141" s="194" t="s">
        <v>38</v>
      </c>
      <c r="T141" s="206" t="s">
        <v>9060</v>
      </c>
      <c r="U141" s="25" t="s">
        <v>8777</v>
      </c>
      <c r="V141" s="25">
        <v>0</v>
      </c>
      <c r="W141" s="109">
        <v>1</v>
      </c>
      <c r="X141" s="109">
        <v>1</v>
      </c>
    </row>
    <row r="142" spans="1:24" ht="17.25" x14ac:dyDescent="0.3">
      <c r="A142" s="83">
        <v>908229</v>
      </c>
      <c r="B142" t="s">
        <v>9061</v>
      </c>
      <c r="C142" s="179" t="s">
        <v>8441</v>
      </c>
      <c r="D142" s="179">
        <v>1001</v>
      </c>
      <c r="E142" s="179">
        <v>2</v>
      </c>
      <c r="F142" s="179">
        <v>0</v>
      </c>
      <c r="G142" s="194">
        <v>0</v>
      </c>
      <c r="H142" s="194">
        <v>0</v>
      </c>
      <c r="I142" s="88">
        <v>999</v>
      </c>
      <c r="J142" s="194" t="b">
        <v>1</v>
      </c>
      <c r="K142" s="194">
        <v>10</v>
      </c>
      <c r="L142" s="194">
        <v>150</v>
      </c>
      <c r="M142" s="194">
        <v>200</v>
      </c>
      <c r="N142" s="194">
        <v>0</v>
      </c>
      <c r="O142" s="204">
        <v>1</v>
      </c>
      <c r="P142" s="88">
        <v>1</v>
      </c>
      <c r="Q142" s="194">
        <v>0</v>
      </c>
      <c r="R142" s="194">
        <v>0</v>
      </c>
      <c r="S142" s="194" t="s">
        <v>38</v>
      </c>
      <c r="T142" s="206" t="s">
        <v>9062</v>
      </c>
      <c r="U142" s="25" t="s">
        <v>8780</v>
      </c>
      <c r="V142" s="25">
        <v>0</v>
      </c>
      <c r="W142" s="109">
        <v>1</v>
      </c>
      <c r="X142" s="109">
        <v>1</v>
      </c>
    </row>
    <row r="143" spans="1:24" ht="17.25" x14ac:dyDescent="0.3">
      <c r="A143" s="83">
        <v>908230</v>
      </c>
      <c r="B143" t="s">
        <v>9063</v>
      </c>
      <c r="C143" s="179" t="s">
        <v>8441</v>
      </c>
      <c r="D143" s="179">
        <v>1001</v>
      </c>
      <c r="E143" s="179">
        <v>2</v>
      </c>
      <c r="F143" s="179">
        <v>0</v>
      </c>
      <c r="G143" s="194">
        <v>0</v>
      </c>
      <c r="H143" s="194">
        <v>0</v>
      </c>
      <c r="I143" s="88">
        <v>999</v>
      </c>
      <c r="J143" s="194" t="b">
        <v>1</v>
      </c>
      <c r="K143" s="194">
        <v>10</v>
      </c>
      <c r="L143" s="194">
        <v>150</v>
      </c>
      <c r="M143" s="194">
        <v>200</v>
      </c>
      <c r="N143" s="194">
        <v>0</v>
      </c>
      <c r="O143" s="204">
        <v>1</v>
      </c>
      <c r="P143" s="88">
        <v>1</v>
      </c>
      <c r="Q143" s="194">
        <v>0</v>
      </c>
      <c r="R143" s="194">
        <v>0</v>
      </c>
      <c r="S143" s="194" t="s">
        <v>38</v>
      </c>
      <c r="T143" s="206" t="s">
        <v>9060</v>
      </c>
      <c r="U143" s="25" t="s">
        <v>8782</v>
      </c>
      <c r="V143" s="25">
        <v>0</v>
      </c>
      <c r="W143" s="109">
        <v>1</v>
      </c>
      <c r="X143" s="109">
        <v>1</v>
      </c>
    </row>
    <row r="144" spans="1:24" ht="17.25" x14ac:dyDescent="0.3">
      <c r="A144" s="83">
        <v>908231</v>
      </c>
      <c r="B144" t="s">
        <v>9064</v>
      </c>
      <c r="C144" s="179" t="s">
        <v>8441</v>
      </c>
      <c r="D144" s="179">
        <v>1001</v>
      </c>
      <c r="E144" s="179">
        <v>2</v>
      </c>
      <c r="F144" s="179">
        <v>0</v>
      </c>
      <c r="G144" s="194">
        <v>0</v>
      </c>
      <c r="H144" s="194">
        <v>0</v>
      </c>
      <c r="I144" s="88">
        <v>999</v>
      </c>
      <c r="J144" s="194" t="b">
        <v>1</v>
      </c>
      <c r="K144" s="194">
        <v>10</v>
      </c>
      <c r="L144" s="194">
        <v>150</v>
      </c>
      <c r="M144" s="194">
        <v>200</v>
      </c>
      <c r="N144" s="194">
        <v>0</v>
      </c>
      <c r="O144" s="204">
        <v>1</v>
      </c>
      <c r="P144" s="88">
        <v>1</v>
      </c>
      <c r="Q144" s="194">
        <v>0</v>
      </c>
      <c r="R144" s="194">
        <v>0</v>
      </c>
      <c r="S144" s="194" t="s">
        <v>38</v>
      </c>
      <c r="T144" s="206" t="s">
        <v>9065</v>
      </c>
      <c r="U144" s="25" t="s">
        <v>8785</v>
      </c>
      <c r="V144" s="25">
        <v>0</v>
      </c>
      <c r="W144" s="109">
        <v>1</v>
      </c>
      <c r="X144" s="109">
        <v>1</v>
      </c>
    </row>
    <row r="145" spans="1:24" ht="17.25" x14ac:dyDescent="0.3">
      <c r="A145" s="83">
        <v>908232</v>
      </c>
      <c r="B145" t="s">
        <v>9066</v>
      </c>
      <c r="C145" s="179" t="s">
        <v>8441</v>
      </c>
      <c r="D145" s="179">
        <v>1001</v>
      </c>
      <c r="E145" s="179">
        <v>2</v>
      </c>
      <c r="F145" s="179">
        <v>1</v>
      </c>
      <c r="G145" s="194">
        <v>0</v>
      </c>
      <c r="H145" s="194">
        <v>0</v>
      </c>
      <c r="I145" s="88">
        <v>999</v>
      </c>
      <c r="J145" s="194" t="b">
        <v>1</v>
      </c>
      <c r="K145" s="194">
        <v>10</v>
      </c>
      <c r="L145" s="194">
        <v>150</v>
      </c>
      <c r="M145" s="194">
        <v>200</v>
      </c>
      <c r="N145" s="194">
        <v>0</v>
      </c>
      <c r="O145" s="204">
        <v>1</v>
      </c>
      <c r="P145" s="88">
        <v>1</v>
      </c>
      <c r="Q145" s="194">
        <v>0</v>
      </c>
      <c r="R145" s="194">
        <v>0</v>
      </c>
      <c r="S145" s="194" t="s">
        <v>38</v>
      </c>
      <c r="T145" s="206" t="s">
        <v>9067</v>
      </c>
      <c r="U145" s="25" t="s">
        <v>8788</v>
      </c>
      <c r="V145" s="25">
        <v>0</v>
      </c>
      <c r="W145" s="109">
        <v>1</v>
      </c>
      <c r="X145" s="109">
        <v>1</v>
      </c>
    </row>
    <row r="146" spans="1:24" ht="17.25" x14ac:dyDescent="0.3">
      <c r="A146" s="83">
        <v>908233</v>
      </c>
      <c r="B146" t="s">
        <v>9068</v>
      </c>
      <c r="C146" s="179" t="s">
        <v>8441</v>
      </c>
      <c r="D146" s="179">
        <v>1001</v>
      </c>
      <c r="E146" s="179">
        <v>2</v>
      </c>
      <c r="F146" s="179">
        <v>1</v>
      </c>
      <c r="G146" s="194">
        <v>0</v>
      </c>
      <c r="H146" s="194">
        <v>0</v>
      </c>
      <c r="I146" s="88">
        <v>999</v>
      </c>
      <c r="J146" s="194" t="b">
        <v>1</v>
      </c>
      <c r="K146" s="194">
        <v>10</v>
      </c>
      <c r="L146" s="194">
        <v>150</v>
      </c>
      <c r="M146" s="194">
        <v>200</v>
      </c>
      <c r="N146" s="194">
        <v>0</v>
      </c>
      <c r="O146" s="204">
        <v>1</v>
      </c>
      <c r="P146" s="88">
        <v>1</v>
      </c>
      <c r="Q146" s="194">
        <v>0</v>
      </c>
      <c r="R146" s="194">
        <v>0</v>
      </c>
      <c r="S146" s="194" t="s">
        <v>38</v>
      </c>
      <c r="T146" s="206" t="s">
        <v>9069</v>
      </c>
      <c r="U146" s="25" t="s">
        <v>8791</v>
      </c>
      <c r="V146" s="25">
        <v>0</v>
      </c>
      <c r="W146" s="109">
        <v>1</v>
      </c>
      <c r="X146" s="109">
        <v>1</v>
      </c>
    </row>
    <row r="147" spans="1:24" ht="17.25" x14ac:dyDescent="0.3">
      <c r="A147" s="83">
        <v>908234</v>
      </c>
      <c r="B147" t="s">
        <v>9070</v>
      </c>
      <c r="C147" s="179" t="s">
        <v>8441</v>
      </c>
      <c r="D147" s="179">
        <v>1001</v>
      </c>
      <c r="E147" s="179">
        <v>2</v>
      </c>
      <c r="F147" s="179">
        <v>0</v>
      </c>
      <c r="G147" s="194">
        <v>0</v>
      </c>
      <c r="H147" s="194">
        <v>0</v>
      </c>
      <c r="I147" s="88">
        <v>999</v>
      </c>
      <c r="J147" s="194" t="b">
        <v>1</v>
      </c>
      <c r="K147" s="194">
        <v>10</v>
      </c>
      <c r="L147" s="194">
        <v>150</v>
      </c>
      <c r="M147" s="194">
        <v>200</v>
      </c>
      <c r="N147" s="194">
        <v>0</v>
      </c>
      <c r="O147" s="204">
        <v>1</v>
      </c>
      <c r="P147" s="88">
        <v>1</v>
      </c>
      <c r="Q147" s="194">
        <v>0</v>
      </c>
      <c r="R147" s="194">
        <v>0</v>
      </c>
      <c r="S147" s="194" t="s">
        <v>38</v>
      </c>
      <c r="T147" s="206" t="s">
        <v>9071</v>
      </c>
      <c r="U147" s="25" t="s">
        <v>8794</v>
      </c>
      <c r="V147" s="25">
        <v>0</v>
      </c>
      <c r="W147" s="109">
        <v>1</v>
      </c>
      <c r="X147" s="109">
        <v>1</v>
      </c>
    </row>
    <row r="148" spans="1:24" ht="17.25" x14ac:dyDescent="0.3">
      <c r="A148" s="83">
        <v>908235</v>
      </c>
      <c r="B148" t="s">
        <v>9070</v>
      </c>
      <c r="C148" s="179" t="s">
        <v>8441</v>
      </c>
      <c r="D148" s="179">
        <v>1001</v>
      </c>
      <c r="E148" s="179">
        <v>2</v>
      </c>
      <c r="F148" s="179">
        <v>0</v>
      </c>
      <c r="G148" s="194">
        <v>0</v>
      </c>
      <c r="H148" s="194">
        <v>0</v>
      </c>
      <c r="I148" s="88">
        <v>999</v>
      </c>
      <c r="J148" s="194" t="b">
        <v>1</v>
      </c>
      <c r="K148" s="194">
        <v>10</v>
      </c>
      <c r="L148" s="194">
        <v>150</v>
      </c>
      <c r="M148" s="194">
        <v>200</v>
      </c>
      <c r="N148" s="194">
        <v>0</v>
      </c>
      <c r="O148" s="204">
        <v>1</v>
      </c>
      <c r="P148" s="88">
        <v>1</v>
      </c>
      <c r="Q148" s="194">
        <v>0</v>
      </c>
      <c r="R148" s="194">
        <v>0</v>
      </c>
      <c r="S148" s="194" t="s">
        <v>38</v>
      </c>
      <c r="T148" s="206" t="s">
        <v>9072</v>
      </c>
      <c r="U148" s="25" t="s">
        <v>8796</v>
      </c>
      <c r="V148" s="25">
        <v>0</v>
      </c>
      <c r="W148" s="109">
        <v>1</v>
      </c>
      <c r="X148" s="109">
        <v>1</v>
      </c>
    </row>
    <row r="149" spans="1:24" ht="17.25" x14ac:dyDescent="0.3">
      <c r="A149" s="104">
        <v>908236</v>
      </c>
      <c r="B149" t="s">
        <v>9073</v>
      </c>
      <c r="C149" s="209" t="s">
        <v>8441</v>
      </c>
      <c r="D149" s="209">
        <v>1001</v>
      </c>
      <c r="E149" s="209">
        <v>2</v>
      </c>
      <c r="F149" s="209">
        <v>0</v>
      </c>
      <c r="G149" s="209">
        <v>0</v>
      </c>
      <c r="H149" s="209">
        <v>0</v>
      </c>
      <c r="I149" s="210">
        <v>999</v>
      </c>
      <c r="J149" s="209" t="b">
        <v>1</v>
      </c>
      <c r="K149" s="209">
        <v>10</v>
      </c>
      <c r="L149" s="209">
        <v>150</v>
      </c>
      <c r="M149" s="209">
        <v>200</v>
      </c>
      <c r="N149" s="209">
        <v>0</v>
      </c>
      <c r="O149" s="211">
        <v>1</v>
      </c>
      <c r="P149" s="210">
        <v>1</v>
      </c>
      <c r="Q149" s="209">
        <v>0</v>
      </c>
      <c r="R149" s="209">
        <v>0</v>
      </c>
      <c r="S149" s="209" t="s">
        <v>38</v>
      </c>
      <c r="T149" s="206" t="s">
        <v>9074</v>
      </c>
      <c r="U149" s="104" t="s">
        <v>8799</v>
      </c>
      <c r="V149" s="25">
        <v>0</v>
      </c>
      <c r="W149" s="109">
        <v>1</v>
      </c>
      <c r="X149" s="109">
        <v>1</v>
      </c>
    </row>
    <row r="150" spans="1:24" ht="17.25" x14ac:dyDescent="0.3">
      <c r="A150" s="104">
        <v>908237</v>
      </c>
      <c r="B150" t="s">
        <v>9075</v>
      </c>
      <c r="C150" s="209" t="s">
        <v>8441</v>
      </c>
      <c r="D150" s="209">
        <v>1001</v>
      </c>
      <c r="E150" s="209">
        <v>2</v>
      </c>
      <c r="F150" s="209">
        <v>0</v>
      </c>
      <c r="G150" s="209">
        <v>0</v>
      </c>
      <c r="H150" s="209">
        <v>0</v>
      </c>
      <c r="I150" s="210">
        <v>999</v>
      </c>
      <c r="J150" s="209" t="b">
        <v>1</v>
      </c>
      <c r="K150" s="209">
        <v>10</v>
      </c>
      <c r="L150" s="209">
        <v>150</v>
      </c>
      <c r="M150" s="209">
        <v>200</v>
      </c>
      <c r="N150" s="209">
        <v>0</v>
      </c>
      <c r="O150" s="211">
        <v>1</v>
      </c>
      <c r="P150" s="210">
        <v>1</v>
      </c>
      <c r="Q150" s="209">
        <v>0</v>
      </c>
      <c r="R150" s="209">
        <v>0</v>
      </c>
      <c r="S150" s="209" t="s">
        <v>38</v>
      </c>
      <c r="T150" s="206" t="s">
        <v>9076</v>
      </c>
      <c r="U150" s="104" t="s">
        <v>8802</v>
      </c>
      <c r="V150" s="25">
        <v>0</v>
      </c>
      <c r="W150" s="109">
        <v>1</v>
      </c>
      <c r="X150" s="109">
        <v>1</v>
      </c>
    </row>
    <row r="151" spans="1:24" ht="17.25" x14ac:dyDescent="0.3">
      <c r="A151" s="104">
        <v>908238</v>
      </c>
      <c r="B151" t="s">
        <v>9077</v>
      </c>
      <c r="C151" s="209" t="s">
        <v>8441</v>
      </c>
      <c r="D151" s="209">
        <v>1001</v>
      </c>
      <c r="E151" s="209">
        <v>2</v>
      </c>
      <c r="F151" s="209">
        <v>0</v>
      </c>
      <c r="G151" s="209">
        <v>0</v>
      </c>
      <c r="H151" s="209">
        <v>0</v>
      </c>
      <c r="I151" s="210">
        <v>999</v>
      </c>
      <c r="J151" s="209" t="b">
        <v>1</v>
      </c>
      <c r="K151" s="209">
        <v>10</v>
      </c>
      <c r="L151" s="209">
        <v>150</v>
      </c>
      <c r="M151" s="209">
        <v>200</v>
      </c>
      <c r="N151" s="209">
        <v>0</v>
      </c>
      <c r="O151" s="211">
        <v>1</v>
      </c>
      <c r="P151" s="210">
        <v>1</v>
      </c>
      <c r="Q151" s="209">
        <v>0</v>
      </c>
      <c r="R151" s="209">
        <v>0</v>
      </c>
      <c r="S151" s="209" t="s">
        <v>38</v>
      </c>
      <c r="T151" s="206" t="s">
        <v>9078</v>
      </c>
      <c r="U151" s="104" t="s">
        <v>8805</v>
      </c>
      <c r="V151" s="25">
        <v>0</v>
      </c>
      <c r="W151" s="109">
        <v>1</v>
      </c>
      <c r="X151" s="109">
        <v>1</v>
      </c>
    </row>
    <row r="152" spans="1:24" ht="17.25" x14ac:dyDescent="0.3">
      <c r="A152" s="104">
        <v>908239</v>
      </c>
      <c r="B152" t="s">
        <v>9079</v>
      </c>
      <c r="C152" s="209" t="s">
        <v>8441</v>
      </c>
      <c r="D152" s="209">
        <v>1001</v>
      </c>
      <c r="E152" s="209">
        <v>2</v>
      </c>
      <c r="F152" s="209">
        <v>0</v>
      </c>
      <c r="G152" s="209">
        <v>0</v>
      </c>
      <c r="H152" s="209">
        <v>0</v>
      </c>
      <c r="I152" s="210">
        <v>999</v>
      </c>
      <c r="J152" s="209" t="b">
        <v>1</v>
      </c>
      <c r="K152" s="209">
        <v>10</v>
      </c>
      <c r="L152" s="209">
        <v>150</v>
      </c>
      <c r="M152" s="209">
        <v>200</v>
      </c>
      <c r="N152" s="209">
        <v>0</v>
      </c>
      <c r="O152" s="211">
        <v>1</v>
      </c>
      <c r="P152" s="210">
        <v>1</v>
      </c>
      <c r="Q152" s="209">
        <v>0</v>
      </c>
      <c r="R152" s="209">
        <v>0</v>
      </c>
      <c r="S152" s="209" t="s">
        <v>38</v>
      </c>
      <c r="T152" s="206" t="s">
        <v>9080</v>
      </c>
      <c r="U152" s="104" t="s">
        <v>8808</v>
      </c>
      <c r="V152" s="25">
        <v>0</v>
      </c>
      <c r="W152" s="109">
        <v>1</v>
      </c>
      <c r="X152" s="109">
        <v>1</v>
      </c>
    </row>
    <row r="153" spans="1:24" ht="17.25" x14ac:dyDescent="0.3">
      <c r="A153" s="104">
        <v>908240</v>
      </c>
      <c r="B153" t="s">
        <v>9081</v>
      </c>
      <c r="C153" s="209" t="s">
        <v>8441</v>
      </c>
      <c r="D153" s="209">
        <v>1001</v>
      </c>
      <c r="E153" s="209">
        <v>2</v>
      </c>
      <c r="F153" s="209">
        <v>0</v>
      </c>
      <c r="G153" s="209">
        <v>0</v>
      </c>
      <c r="H153" s="209">
        <v>0</v>
      </c>
      <c r="I153" s="210">
        <v>999</v>
      </c>
      <c r="J153" s="209" t="b">
        <v>1</v>
      </c>
      <c r="K153" s="209">
        <v>10</v>
      </c>
      <c r="L153" s="209">
        <v>150</v>
      </c>
      <c r="M153" s="209">
        <v>200</v>
      </c>
      <c r="N153" s="209">
        <v>0</v>
      </c>
      <c r="O153" s="211">
        <v>1</v>
      </c>
      <c r="P153" s="210">
        <v>1</v>
      </c>
      <c r="Q153" s="209">
        <v>0</v>
      </c>
      <c r="R153" s="209">
        <v>0</v>
      </c>
      <c r="S153" s="209" t="s">
        <v>38</v>
      </c>
      <c r="T153" s="206" t="s">
        <v>9080</v>
      </c>
      <c r="U153" s="104" t="s">
        <v>8810</v>
      </c>
      <c r="V153" s="25">
        <v>0</v>
      </c>
      <c r="W153" s="109">
        <v>1</v>
      </c>
      <c r="X153" s="109">
        <v>1</v>
      </c>
    </row>
    <row r="154" spans="1:24" ht="17.25" x14ac:dyDescent="0.3">
      <c r="A154" s="104">
        <v>908241</v>
      </c>
      <c r="B154" t="s">
        <v>9082</v>
      </c>
      <c r="C154" s="209" t="s">
        <v>8441</v>
      </c>
      <c r="D154" s="209">
        <v>1001</v>
      </c>
      <c r="E154" s="209">
        <v>2</v>
      </c>
      <c r="F154" s="209">
        <v>0</v>
      </c>
      <c r="G154" s="209">
        <v>0</v>
      </c>
      <c r="H154" s="209">
        <v>0</v>
      </c>
      <c r="I154" s="210">
        <v>999</v>
      </c>
      <c r="J154" s="209" t="b">
        <v>1</v>
      </c>
      <c r="K154" s="209">
        <v>10</v>
      </c>
      <c r="L154" s="209">
        <v>150</v>
      </c>
      <c r="M154" s="209">
        <v>200</v>
      </c>
      <c r="N154" s="209">
        <v>0</v>
      </c>
      <c r="O154" s="211">
        <v>1</v>
      </c>
      <c r="P154" s="210">
        <v>1</v>
      </c>
      <c r="Q154" s="209">
        <v>0</v>
      </c>
      <c r="R154" s="209">
        <v>0</v>
      </c>
      <c r="S154" s="209" t="s">
        <v>38</v>
      </c>
      <c r="T154" s="206" t="s">
        <v>9080</v>
      </c>
      <c r="U154" s="104" t="s">
        <v>8812</v>
      </c>
      <c r="V154" s="25">
        <v>0</v>
      </c>
      <c r="W154" s="109">
        <v>1</v>
      </c>
      <c r="X154" s="109">
        <v>1</v>
      </c>
    </row>
    <row r="155" spans="1:24" ht="17.25" x14ac:dyDescent="0.3">
      <c r="A155" s="104">
        <v>908242</v>
      </c>
      <c r="B155" t="s">
        <v>9083</v>
      </c>
      <c r="C155" s="209" t="s">
        <v>8441</v>
      </c>
      <c r="D155" s="209">
        <v>1001</v>
      </c>
      <c r="E155" s="209">
        <v>2</v>
      </c>
      <c r="F155" s="209">
        <v>0</v>
      </c>
      <c r="G155" s="209">
        <v>0</v>
      </c>
      <c r="H155" s="209">
        <v>0</v>
      </c>
      <c r="I155" s="210">
        <v>999</v>
      </c>
      <c r="J155" s="209" t="b">
        <v>1</v>
      </c>
      <c r="K155" s="209">
        <v>10</v>
      </c>
      <c r="L155" s="209">
        <v>150</v>
      </c>
      <c r="M155" s="209">
        <v>200</v>
      </c>
      <c r="N155" s="209">
        <v>0</v>
      </c>
      <c r="O155" s="211">
        <v>1</v>
      </c>
      <c r="P155" s="210">
        <v>1</v>
      </c>
      <c r="Q155" s="209">
        <v>0</v>
      </c>
      <c r="R155" s="209">
        <v>0</v>
      </c>
      <c r="S155" s="209" t="s">
        <v>38</v>
      </c>
      <c r="T155" s="206" t="s">
        <v>9080</v>
      </c>
      <c r="U155" s="104" t="s">
        <v>8814</v>
      </c>
      <c r="V155" s="25">
        <v>0</v>
      </c>
      <c r="W155" s="109">
        <v>1</v>
      </c>
      <c r="X155" s="109">
        <v>1</v>
      </c>
    </row>
    <row r="156" spans="1:24" ht="17.25" x14ac:dyDescent="0.3">
      <c r="A156" s="104">
        <v>908243</v>
      </c>
      <c r="B156" t="s">
        <v>9084</v>
      </c>
      <c r="C156" s="209" t="s">
        <v>8441</v>
      </c>
      <c r="D156" s="209">
        <v>1001</v>
      </c>
      <c r="E156" s="209">
        <v>2</v>
      </c>
      <c r="F156" s="209">
        <v>0</v>
      </c>
      <c r="G156" s="209">
        <v>0</v>
      </c>
      <c r="H156" s="209">
        <v>0</v>
      </c>
      <c r="I156" s="210">
        <v>999</v>
      </c>
      <c r="J156" s="209" t="b">
        <v>1</v>
      </c>
      <c r="K156" s="209">
        <v>10</v>
      </c>
      <c r="L156" s="209">
        <v>150</v>
      </c>
      <c r="M156" s="209">
        <v>200</v>
      </c>
      <c r="N156" s="209">
        <v>0</v>
      </c>
      <c r="O156" s="211">
        <v>1</v>
      </c>
      <c r="P156" s="210">
        <v>1</v>
      </c>
      <c r="Q156" s="209">
        <v>0</v>
      </c>
      <c r="R156" s="209">
        <v>0</v>
      </c>
      <c r="S156" s="209" t="s">
        <v>38</v>
      </c>
      <c r="T156" s="206" t="s">
        <v>9085</v>
      </c>
      <c r="U156" s="104" t="s">
        <v>8817</v>
      </c>
      <c r="V156" s="25">
        <v>0</v>
      </c>
      <c r="W156" s="109">
        <v>1</v>
      </c>
      <c r="X156" s="109">
        <v>1</v>
      </c>
    </row>
    <row r="157" spans="1:24" ht="17.25" x14ac:dyDescent="0.3">
      <c r="A157" s="104">
        <v>908244</v>
      </c>
      <c r="B157" t="s">
        <v>9086</v>
      </c>
      <c r="C157" s="209" t="s">
        <v>8441</v>
      </c>
      <c r="D157" s="209">
        <v>1001</v>
      </c>
      <c r="E157" s="209">
        <v>2</v>
      </c>
      <c r="F157" s="209">
        <v>0</v>
      </c>
      <c r="G157" s="209">
        <v>0</v>
      </c>
      <c r="H157" s="209">
        <v>0</v>
      </c>
      <c r="I157" s="210">
        <v>999</v>
      </c>
      <c r="J157" s="209" t="b">
        <v>1</v>
      </c>
      <c r="K157" s="209">
        <v>10</v>
      </c>
      <c r="L157" s="209">
        <v>150</v>
      </c>
      <c r="M157" s="209">
        <v>200</v>
      </c>
      <c r="N157" s="209">
        <v>0</v>
      </c>
      <c r="O157" s="211">
        <v>1</v>
      </c>
      <c r="P157" s="210">
        <v>1</v>
      </c>
      <c r="Q157" s="209">
        <v>0</v>
      </c>
      <c r="R157" s="209">
        <v>0</v>
      </c>
      <c r="S157" s="209" t="s">
        <v>38</v>
      </c>
      <c r="T157" s="206" t="s">
        <v>9087</v>
      </c>
      <c r="U157" s="104" t="s">
        <v>8820</v>
      </c>
      <c r="V157" s="25">
        <v>0</v>
      </c>
      <c r="W157" s="109">
        <v>1</v>
      </c>
      <c r="X157" s="109">
        <v>1</v>
      </c>
    </row>
    <row r="158" spans="1:24" ht="17.25" x14ac:dyDescent="0.3">
      <c r="A158" s="104">
        <v>908245</v>
      </c>
      <c r="B158" t="s">
        <v>9088</v>
      </c>
      <c r="C158" s="209" t="s">
        <v>8441</v>
      </c>
      <c r="D158" s="209">
        <v>1001</v>
      </c>
      <c r="E158" s="209">
        <v>2</v>
      </c>
      <c r="F158" s="209">
        <v>0</v>
      </c>
      <c r="G158" s="209">
        <v>0</v>
      </c>
      <c r="H158" s="209">
        <v>0</v>
      </c>
      <c r="I158" s="210">
        <v>999</v>
      </c>
      <c r="J158" s="209" t="b">
        <v>1</v>
      </c>
      <c r="K158" s="209">
        <v>10</v>
      </c>
      <c r="L158" s="209">
        <v>150</v>
      </c>
      <c r="M158" s="209">
        <v>200</v>
      </c>
      <c r="N158" s="209">
        <v>0</v>
      </c>
      <c r="O158" s="211">
        <v>1</v>
      </c>
      <c r="P158" s="210">
        <v>1</v>
      </c>
      <c r="Q158" s="209">
        <v>0</v>
      </c>
      <c r="R158" s="209">
        <v>0</v>
      </c>
      <c r="S158" s="209" t="s">
        <v>38</v>
      </c>
      <c r="T158" s="206" t="s">
        <v>9089</v>
      </c>
      <c r="U158" s="104" t="s">
        <v>8823</v>
      </c>
      <c r="V158" s="25">
        <v>0</v>
      </c>
      <c r="W158" s="109">
        <v>1</v>
      </c>
      <c r="X158" s="109">
        <v>1</v>
      </c>
    </row>
    <row r="159" spans="1:24" ht="17.25" x14ac:dyDescent="0.3">
      <c r="A159" s="104">
        <v>908246</v>
      </c>
      <c r="B159" t="s">
        <v>9090</v>
      </c>
      <c r="C159" s="209" t="s">
        <v>8441</v>
      </c>
      <c r="D159" s="209">
        <v>1001</v>
      </c>
      <c r="E159" s="209">
        <v>2</v>
      </c>
      <c r="F159" s="209">
        <v>0</v>
      </c>
      <c r="G159" s="209">
        <v>0</v>
      </c>
      <c r="H159" s="209">
        <v>0</v>
      </c>
      <c r="I159" s="210">
        <v>999</v>
      </c>
      <c r="J159" s="209" t="b">
        <v>1</v>
      </c>
      <c r="K159" s="209">
        <v>10</v>
      </c>
      <c r="L159" s="209">
        <v>150</v>
      </c>
      <c r="M159" s="209">
        <v>200</v>
      </c>
      <c r="N159" s="209">
        <v>0</v>
      </c>
      <c r="O159" s="211">
        <v>1</v>
      </c>
      <c r="P159" s="210">
        <v>1</v>
      </c>
      <c r="Q159" s="209">
        <v>0</v>
      </c>
      <c r="R159" s="209">
        <v>0</v>
      </c>
      <c r="S159" s="209" t="s">
        <v>38</v>
      </c>
      <c r="T159" s="206" t="s">
        <v>9091</v>
      </c>
      <c r="U159" s="104" t="s">
        <v>8826</v>
      </c>
      <c r="V159" s="25">
        <v>0</v>
      </c>
      <c r="W159" s="109">
        <v>1</v>
      </c>
      <c r="X159" s="109">
        <v>1</v>
      </c>
    </row>
    <row r="160" spans="1:24" ht="17.25" x14ac:dyDescent="0.3">
      <c r="A160" s="104">
        <v>908247</v>
      </c>
      <c r="B160" t="s">
        <v>8847</v>
      </c>
      <c r="C160" s="179" t="s">
        <v>8441</v>
      </c>
      <c r="D160" s="179">
        <v>1001</v>
      </c>
      <c r="E160" s="179">
        <v>2</v>
      </c>
      <c r="F160" s="179">
        <v>0</v>
      </c>
      <c r="G160" s="194">
        <v>0</v>
      </c>
      <c r="H160" s="194">
        <v>0</v>
      </c>
      <c r="I160" s="194">
        <v>1</v>
      </c>
      <c r="J160" s="194" t="b">
        <v>0</v>
      </c>
      <c r="K160" s="194">
        <v>-1</v>
      </c>
      <c r="L160" s="194">
        <v>-1</v>
      </c>
      <c r="M160" s="194">
        <v>-1</v>
      </c>
      <c r="N160" s="194">
        <v>0</v>
      </c>
      <c r="O160" s="204">
        <v>0</v>
      </c>
      <c r="P160" s="88">
        <v>1</v>
      </c>
      <c r="Q160" s="194">
        <v>0</v>
      </c>
      <c r="R160" s="194">
        <v>0</v>
      </c>
      <c r="S160" s="194">
        <v>0</v>
      </c>
      <c r="T160" s="206" t="s">
        <v>9092</v>
      </c>
      <c r="U160" s="25" t="s">
        <v>8062</v>
      </c>
      <c r="V160" s="83">
        <v>0</v>
      </c>
      <c r="W160" s="197">
        <v>0</v>
      </c>
      <c r="X160" s="197">
        <v>0</v>
      </c>
    </row>
    <row r="161" spans="1:24" ht="17.25" x14ac:dyDescent="0.3">
      <c r="A161" s="104">
        <v>908248</v>
      </c>
      <c r="B161" t="s">
        <v>8847</v>
      </c>
      <c r="C161" s="179" t="s">
        <v>8441</v>
      </c>
      <c r="D161" s="179">
        <v>1001</v>
      </c>
      <c r="E161" s="179">
        <v>2</v>
      </c>
      <c r="F161" s="179">
        <v>0</v>
      </c>
      <c r="G161" s="194">
        <v>0</v>
      </c>
      <c r="H161" s="194">
        <v>0</v>
      </c>
      <c r="I161" s="194">
        <v>1</v>
      </c>
      <c r="J161" s="194" t="b">
        <v>0</v>
      </c>
      <c r="K161" s="194">
        <v>-1</v>
      </c>
      <c r="L161" s="194">
        <v>-1</v>
      </c>
      <c r="M161" s="194">
        <v>-1</v>
      </c>
      <c r="N161" s="194">
        <v>0</v>
      </c>
      <c r="O161" s="204">
        <v>0</v>
      </c>
      <c r="P161" s="88">
        <v>1</v>
      </c>
      <c r="Q161" s="194">
        <v>0</v>
      </c>
      <c r="R161" s="194">
        <v>0</v>
      </c>
      <c r="S161" s="194">
        <v>0</v>
      </c>
      <c r="T161" s="206" t="s">
        <v>9093</v>
      </c>
      <c r="U161" s="25" t="s">
        <v>8062</v>
      </c>
      <c r="V161" s="83">
        <v>0</v>
      </c>
      <c r="W161" s="197">
        <v>0</v>
      </c>
      <c r="X161" s="197">
        <v>0</v>
      </c>
    </row>
  </sheetData>
  <phoneticPr fontId="45" type="noConversion"/>
  <pageMargins left="0.7" right="0.7" top="0.75" bottom="0.75" header="0.3" footer="0.3"/>
  <pageSetup paperSize="9" orientation="portrait"/>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316"/>
  <sheetViews>
    <sheetView topLeftCell="A147" workbookViewId="0">
      <selection activeCell="B170" sqref="B170"/>
    </sheetView>
  </sheetViews>
  <sheetFormatPr defaultColWidth="9" defaultRowHeight="14.25" x14ac:dyDescent="0.15"/>
  <cols>
    <col min="1" max="1" width="16.75" style="146" customWidth="1"/>
    <col min="2" max="2" width="18.125" style="147" customWidth="1"/>
    <col min="3" max="3" width="22.625" style="147" customWidth="1"/>
    <col min="4" max="4" width="6.25" style="147" customWidth="1"/>
    <col min="5" max="5" width="14.5" style="147" customWidth="1"/>
    <col min="6" max="6" width="9" style="147"/>
    <col min="7" max="7" width="9.875" style="147" customWidth="1"/>
    <col min="8" max="8" width="35" style="147" customWidth="1"/>
    <col min="9" max="9" width="32.5" style="148" customWidth="1"/>
    <col min="10" max="10" width="9" style="147"/>
    <col min="11" max="11" width="8.5" style="147" customWidth="1"/>
    <col min="12" max="12" width="10.625" style="147" customWidth="1"/>
    <col min="13" max="13" width="9.75" style="147" customWidth="1"/>
    <col min="14" max="14" width="10.625" style="147" customWidth="1"/>
    <col min="15" max="15" width="20.5" style="147" customWidth="1"/>
    <col min="16" max="16" width="17.25" style="147" customWidth="1"/>
    <col min="17" max="17" width="10.625" style="147" customWidth="1"/>
    <col min="18" max="18" width="50.125" style="147" customWidth="1"/>
    <col min="19" max="19" width="33.875" style="147" customWidth="1"/>
    <col min="20" max="20" width="24.5" style="147" customWidth="1"/>
    <col min="21" max="21" width="13.625" style="147" customWidth="1"/>
    <col min="22" max="16384" width="9" style="147"/>
  </cols>
  <sheetData>
    <row r="1" spans="1:21" x14ac:dyDescent="0.15">
      <c r="A1" s="149" t="s">
        <v>0</v>
      </c>
      <c r="B1" s="150" t="s">
        <v>1</v>
      </c>
      <c r="C1" s="150" t="s">
        <v>4866</v>
      </c>
      <c r="D1" s="150" t="s">
        <v>3</v>
      </c>
      <c r="E1" s="150" t="s">
        <v>4867</v>
      </c>
      <c r="F1" s="151" t="s">
        <v>7</v>
      </c>
      <c r="G1" s="151" t="s">
        <v>10</v>
      </c>
      <c r="H1" s="152" t="s">
        <v>3369</v>
      </c>
      <c r="I1" s="161" t="s">
        <v>4868</v>
      </c>
      <c r="J1" s="150" t="s">
        <v>16</v>
      </c>
      <c r="K1" s="150" t="s">
        <v>17</v>
      </c>
      <c r="L1" s="150" t="s">
        <v>18</v>
      </c>
      <c r="M1" s="150" t="s">
        <v>3371</v>
      </c>
      <c r="N1" s="150" t="s">
        <v>3372</v>
      </c>
      <c r="O1" s="150" t="s">
        <v>3585</v>
      </c>
      <c r="P1" s="150" t="s">
        <v>3375</v>
      </c>
      <c r="Q1" s="150" t="s">
        <v>23</v>
      </c>
      <c r="R1" s="150" t="s">
        <v>24</v>
      </c>
      <c r="S1" s="150" t="s">
        <v>3376</v>
      </c>
      <c r="T1" s="164" t="s">
        <v>26</v>
      </c>
      <c r="U1" s="164" t="s">
        <v>27</v>
      </c>
    </row>
    <row r="2" spans="1:21" ht="27" x14ac:dyDescent="0.15">
      <c r="A2" s="149">
        <v>95101011</v>
      </c>
      <c r="B2" s="150" t="s">
        <v>4874</v>
      </c>
      <c r="C2" s="150" t="s">
        <v>4876</v>
      </c>
      <c r="D2" s="150" t="s">
        <v>4876</v>
      </c>
      <c r="E2" s="150" t="s">
        <v>9094</v>
      </c>
      <c r="F2" s="151">
        <v>1</v>
      </c>
      <c r="G2" s="149">
        <v>34</v>
      </c>
      <c r="H2" s="153"/>
      <c r="I2" s="162"/>
      <c r="J2" s="150">
        <v>1</v>
      </c>
      <c r="K2" s="150" t="b">
        <v>1</v>
      </c>
      <c r="L2" s="150">
        <v>200</v>
      </c>
      <c r="M2" s="150" t="s">
        <v>3383</v>
      </c>
      <c r="N2" s="150"/>
      <c r="O2" s="150" t="s">
        <v>4880</v>
      </c>
      <c r="P2" s="151">
        <v>1</v>
      </c>
      <c r="Q2" s="150" t="s">
        <v>4881</v>
      </c>
      <c r="R2" s="139" t="s">
        <v>9095</v>
      </c>
      <c r="S2" s="160" t="s">
        <v>4883</v>
      </c>
      <c r="T2" s="164" t="s">
        <v>4884</v>
      </c>
      <c r="U2" s="164"/>
    </row>
    <row r="3" spans="1:21" ht="27" x14ac:dyDescent="0.15">
      <c r="A3" s="149">
        <v>95101012</v>
      </c>
      <c r="B3" s="150" t="s">
        <v>4874</v>
      </c>
      <c r="C3" s="150" t="s">
        <v>4876</v>
      </c>
      <c r="D3" s="150" t="s">
        <v>4876</v>
      </c>
      <c r="E3" s="150" t="s">
        <v>9094</v>
      </c>
      <c r="F3" s="151">
        <v>2</v>
      </c>
      <c r="G3" s="149">
        <v>34</v>
      </c>
      <c r="H3" s="153"/>
      <c r="I3" s="162"/>
      <c r="J3" s="150">
        <v>1</v>
      </c>
      <c r="K3" s="150" t="b">
        <v>1</v>
      </c>
      <c r="L3" s="150">
        <v>240</v>
      </c>
      <c r="M3" s="150" t="s">
        <v>9096</v>
      </c>
      <c r="N3" s="150"/>
      <c r="O3" s="150" t="s">
        <v>4880</v>
      </c>
      <c r="P3" s="151">
        <v>2</v>
      </c>
      <c r="Q3" s="150" t="s">
        <v>4881</v>
      </c>
      <c r="R3" s="139" t="s">
        <v>9095</v>
      </c>
      <c r="S3" s="160" t="s">
        <v>4883</v>
      </c>
      <c r="T3" s="164" t="s">
        <v>4884</v>
      </c>
      <c r="U3" s="164"/>
    </row>
    <row r="4" spans="1:21" ht="27" x14ac:dyDescent="0.15">
      <c r="A4" s="149">
        <v>95101013</v>
      </c>
      <c r="B4" s="150" t="s">
        <v>4874</v>
      </c>
      <c r="C4" s="150" t="s">
        <v>4876</v>
      </c>
      <c r="D4" s="150" t="s">
        <v>4876</v>
      </c>
      <c r="E4" s="150" t="s">
        <v>9094</v>
      </c>
      <c r="F4" s="151">
        <v>3</v>
      </c>
      <c r="G4" s="149">
        <v>34</v>
      </c>
      <c r="H4" s="153"/>
      <c r="I4" s="162"/>
      <c r="J4" s="150">
        <v>1</v>
      </c>
      <c r="K4" s="150" t="b">
        <v>1</v>
      </c>
      <c r="L4" s="150">
        <v>400</v>
      </c>
      <c r="M4" s="150" t="s">
        <v>3383</v>
      </c>
      <c r="N4" s="150"/>
      <c r="O4" s="150" t="s">
        <v>4880</v>
      </c>
      <c r="P4" s="151">
        <v>3</v>
      </c>
      <c r="Q4" s="150" t="s">
        <v>4881</v>
      </c>
      <c r="R4" s="139" t="s">
        <v>9095</v>
      </c>
      <c r="S4" s="160" t="s">
        <v>4883</v>
      </c>
      <c r="T4" s="164" t="s">
        <v>4884</v>
      </c>
      <c r="U4" s="164"/>
    </row>
    <row r="5" spans="1:21" ht="27" x14ac:dyDescent="0.15">
      <c r="A5" s="149">
        <v>95101014</v>
      </c>
      <c r="B5" s="150" t="s">
        <v>4874</v>
      </c>
      <c r="C5" s="150" t="s">
        <v>4876</v>
      </c>
      <c r="D5" s="150" t="s">
        <v>4876</v>
      </c>
      <c r="E5" s="150" t="s">
        <v>9094</v>
      </c>
      <c r="F5" s="151">
        <v>4</v>
      </c>
      <c r="G5" s="149">
        <v>34</v>
      </c>
      <c r="H5" s="153"/>
      <c r="I5" s="162"/>
      <c r="J5" s="150">
        <v>1</v>
      </c>
      <c r="K5" s="150" t="b">
        <v>1</v>
      </c>
      <c r="L5" s="150">
        <v>600</v>
      </c>
      <c r="M5" s="150" t="s">
        <v>9096</v>
      </c>
      <c r="N5" s="150"/>
      <c r="O5" s="150" t="s">
        <v>4880</v>
      </c>
      <c r="P5" s="151">
        <v>4</v>
      </c>
      <c r="Q5" s="150" t="s">
        <v>4881</v>
      </c>
      <c r="R5" s="139" t="s">
        <v>9095</v>
      </c>
      <c r="S5" s="160" t="s">
        <v>4883</v>
      </c>
      <c r="T5" s="164" t="s">
        <v>4884</v>
      </c>
      <c r="U5" s="164"/>
    </row>
    <row r="6" spans="1:21" ht="27" x14ac:dyDescent="0.15">
      <c r="A6" s="149">
        <v>95101015</v>
      </c>
      <c r="B6" s="150" t="s">
        <v>4874</v>
      </c>
      <c r="C6" s="150" t="s">
        <v>4876</v>
      </c>
      <c r="D6" s="150" t="s">
        <v>4876</v>
      </c>
      <c r="E6" s="150" t="s">
        <v>9094</v>
      </c>
      <c r="F6" s="151">
        <v>5</v>
      </c>
      <c r="G6" s="149">
        <v>34</v>
      </c>
      <c r="H6" s="153"/>
      <c r="I6" s="162"/>
      <c r="J6" s="150">
        <v>1</v>
      </c>
      <c r="K6" s="150" t="b">
        <v>1</v>
      </c>
      <c r="L6" s="150">
        <v>900</v>
      </c>
      <c r="M6" s="150" t="s">
        <v>3383</v>
      </c>
      <c r="N6" s="150"/>
      <c r="O6" s="150" t="s">
        <v>4880</v>
      </c>
      <c r="P6" s="151">
        <v>5</v>
      </c>
      <c r="Q6" s="150" t="s">
        <v>4881</v>
      </c>
      <c r="R6" s="139" t="s">
        <v>9095</v>
      </c>
      <c r="S6" s="160" t="s">
        <v>4883</v>
      </c>
      <c r="T6" s="164" t="s">
        <v>4884</v>
      </c>
      <c r="U6" s="164"/>
    </row>
    <row r="7" spans="1:21" ht="28.5" x14ac:dyDescent="0.15">
      <c r="A7" s="149">
        <v>95101021</v>
      </c>
      <c r="B7" s="150" t="s">
        <v>4890</v>
      </c>
      <c r="C7" s="150" t="s">
        <v>4876</v>
      </c>
      <c r="D7" s="150" t="s">
        <v>4876</v>
      </c>
      <c r="E7" s="150" t="s">
        <v>9094</v>
      </c>
      <c r="F7" s="151">
        <v>1</v>
      </c>
      <c r="G7" s="149">
        <v>34</v>
      </c>
      <c r="H7" s="153"/>
      <c r="I7" s="162"/>
      <c r="J7" s="150">
        <v>1</v>
      </c>
      <c r="K7" s="150" t="b">
        <v>1</v>
      </c>
      <c r="L7" s="150">
        <v>200</v>
      </c>
      <c r="M7" s="150" t="s">
        <v>3383</v>
      </c>
      <c r="N7" s="150"/>
      <c r="O7" s="150" t="s">
        <v>4880</v>
      </c>
      <c r="P7" s="151">
        <v>1</v>
      </c>
      <c r="Q7" s="150" t="s">
        <v>4881</v>
      </c>
      <c r="R7" s="165" t="s">
        <v>9097</v>
      </c>
      <c r="S7" s="150" t="s">
        <v>4894</v>
      </c>
      <c r="T7" s="164" t="s">
        <v>4884</v>
      </c>
      <c r="U7" s="164"/>
    </row>
    <row r="8" spans="1:21" ht="28.5" x14ac:dyDescent="0.15">
      <c r="A8" s="149">
        <v>95101022</v>
      </c>
      <c r="B8" s="150" t="s">
        <v>4890</v>
      </c>
      <c r="C8" s="150" t="s">
        <v>4876</v>
      </c>
      <c r="D8" s="150" t="s">
        <v>4876</v>
      </c>
      <c r="E8" s="150" t="s">
        <v>9094</v>
      </c>
      <c r="F8" s="151">
        <v>2</v>
      </c>
      <c r="G8" s="149">
        <v>34</v>
      </c>
      <c r="H8" s="153"/>
      <c r="I8" s="162"/>
      <c r="J8" s="150">
        <v>1</v>
      </c>
      <c r="K8" s="150" t="b">
        <v>1</v>
      </c>
      <c r="L8" s="150">
        <v>240</v>
      </c>
      <c r="M8" s="150" t="s">
        <v>9096</v>
      </c>
      <c r="N8" s="150"/>
      <c r="O8" s="150" t="s">
        <v>4880</v>
      </c>
      <c r="P8" s="151">
        <v>2</v>
      </c>
      <c r="Q8" s="150" t="s">
        <v>4881</v>
      </c>
      <c r="R8" s="165" t="s">
        <v>9097</v>
      </c>
      <c r="S8" s="150" t="s">
        <v>4894</v>
      </c>
      <c r="T8" s="164" t="s">
        <v>4884</v>
      </c>
      <c r="U8" s="164"/>
    </row>
    <row r="9" spans="1:21" ht="28.5" x14ac:dyDescent="0.15">
      <c r="A9" s="149">
        <v>95101023</v>
      </c>
      <c r="B9" s="150" t="s">
        <v>4890</v>
      </c>
      <c r="C9" s="150" t="s">
        <v>4876</v>
      </c>
      <c r="D9" s="150" t="s">
        <v>4876</v>
      </c>
      <c r="E9" s="150" t="s">
        <v>9094</v>
      </c>
      <c r="F9" s="151">
        <v>3</v>
      </c>
      <c r="G9" s="149">
        <v>34</v>
      </c>
      <c r="H9" s="153"/>
      <c r="I9" s="162"/>
      <c r="J9" s="150">
        <v>1</v>
      </c>
      <c r="K9" s="150" t="b">
        <v>1</v>
      </c>
      <c r="L9" s="150">
        <v>400</v>
      </c>
      <c r="M9" s="150" t="s">
        <v>3383</v>
      </c>
      <c r="N9" s="150"/>
      <c r="O9" s="150" t="s">
        <v>4880</v>
      </c>
      <c r="P9" s="151">
        <v>3</v>
      </c>
      <c r="Q9" s="150" t="s">
        <v>4881</v>
      </c>
      <c r="R9" s="165" t="s">
        <v>9097</v>
      </c>
      <c r="S9" s="150" t="s">
        <v>4894</v>
      </c>
      <c r="T9" s="164" t="s">
        <v>4884</v>
      </c>
      <c r="U9" s="164"/>
    </row>
    <row r="10" spans="1:21" ht="28.5" x14ac:dyDescent="0.15">
      <c r="A10" s="149">
        <v>95101024</v>
      </c>
      <c r="B10" s="150" t="s">
        <v>4890</v>
      </c>
      <c r="C10" s="150" t="s">
        <v>4876</v>
      </c>
      <c r="D10" s="150" t="s">
        <v>4876</v>
      </c>
      <c r="E10" s="150" t="s">
        <v>9094</v>
      </c>
      <c r="F10" s="151">
        <v>4</v>
      </c>
      <c r="G10" s="149">
        <v>34</v>
      </c>
      <c r="H10" s="153"/>
      <c r="I10" s="162"/>
      <c r="J10" s="150">
        <v>1</v>
      </c>
      <c r="K10" s="150" t="b">
        <v>1</v>
      </c>
      <c r="L10" s="150">
        <v>600</v>
      </c>
      <c r="M10" s="150" t="s">
        <v>9096</v>
      </c>
      <c r="N10" s="150"/>
      <c r="O10" s="150" t="s">
        <v>4880</v>
      </c>
      <c r="P10" s="151">
        <v>4</v>
      </c>
      <c r="Q10" s="150" t="s">
        <v>4881</v>
      </c>
      <c r="R10" s="165" t="s">
        <v>9097</v>
      </c>
      <c r="S10" s="150" t="s">
        <v>4894</v>
      </c>
      <c r="T10" s="164" t="s">
        <v>4884</v>
      </c>
      <c r="U10" s="164"/>
    </row>
    <row r="11" spans="1:21" ht="28.5" x14ac:dyDescent="0.15">
      <c r="A11" s="149">
        <v>95101025</v>
      </c>
      <c r="B11" s="150" t="s">
        <v>4890</v>
      </c>
      <c r="C11" s="150" t="s">
        <v>4876</v>
      </c>
      <c r="D11" s="150" t="s">
        <v>4876</v>
      </c>
      <c r="E11" s="150" t="s">
        <v>9094</v>
      </c>
      <c r="F11" s="151">
        <v>5</v>
      </c>
      <c r="G11" s="149">
        <v>34</v>
      </c>
      <c r="H11" s="153"/>
      <c r="I11" s="162"/>
      <c r="J11" s="150">
        <v>1</v>
      </c>
      <c r="K11" s="150" t="b">
        <v>1</v>
      </c>
      <c r="L11" s="150">
        <v>900</v>
      </c>
      <c r="M11" s="150" t="s">
        <v>3383</v>
      </c>
      <c r="N11" s="150"/>
      <c r="O11" s="150" t="s">
        <v>4880</v>
      </c>
      <c r="P11" s="151">
        <v>5</v>
      </c>
      <c r="Q11" s="150" t="s">
        <v>4881</v>
      </c>
      <c r="R11" s="165" t="s">
        <v>9097</v>
      </c>
      <c r="S11" s="150" t="s">
        <v>4894</v>
      </c>
      <c r="T11" s="164" t="s">
        <v>4884</v>
      </c>
      <c r="U11" s="164"/>
    </row>
    <row r="12" spans="1:21" s="145" customFormat="1" ht="42.75" x14ac:dyDescent="0.15">
      <c r="A12" s="154">
        <v>95101031</v>
      </c>
      <c r="B12" s="155" t="s">
        <v>4898</v>
      </c>
      <c r="C12" s="155" t="s">
        <v>4876</v>
      </c>
      <c r="D12" s="155" t="s">
        <v>4876</v>
      </c>
      <c r="E12" s="155" t="s">
        <v>9094</v>
      </c>
      <c r="F12" s="156">
        <v>1</v>
      </c>
      <c r="G12" s="154">
        <v>34</v>
      </c>
      <c r="H12" s="157" t="s">
        <v>4899</v>
      </c>
      <c r="I12" s="163" t="s">
        <v>4900</v>
      </c>
      <c r="J12" s="155">
        <v>1</v>
      </c>
      <c r="K12" s="155" t="b">
        <v>1</v>
      </c>
      <c r="L12" s="150">
        <v>200</v>
      </c>
      <c r="M12" s="155" t="s">
        <v>3383</v>
      </c>
      <c r="N12" s="155"/>
      <c r="O12" s="155" t="s">
        <v>4880</v>
      </c>
      <c r="P12" s="156">
        <v>1</v>
      </c>
      <c r="Q12" s="155" t="s">
        <v>4881</v>
      </c>
      <c r="R12" s="166" t="s">
        <v>9098</v>
      </c>
      <c r="S12" s="155" t="s">
        <v>4902</v>
      </c>
      <c r="T12" s="155" t="s">
        <v>4884</v>
      </c>
      <c r="U12" s="155"/>
    </row>
    <row r="13" spans="1:21" s="145" customFormat="1" ht="42.75" x14ac:dyDescent="0.15">
      <c r="A13" s="154">
        <v>95101032</v>
      </c>
      <c r="B13" s="155" t="s">
        <v>4898</v>
      </c>
      <c r="C13" s="155" t="s">
        <v>4876</v>
      </c>
      <c r="D13" s="155" t="s">
        <v>4876</v>
      </c>
      <c r="E13" s="155" t="s">
        <v>9094</v>
      </c>
      <c r="F13" s="156">
        <v>2</v>
      </c>
      <c r="G13" s="154">
        <v>34</v>
      </c>
      <c r="H13" s="157" t="s">
        <v>4899</v>
      </c>
      <c r="I13" s="163" t="s">
        <v>4900</v>
      </c>
      <c r="J13" s="155">
        <v>1</v>
      </c>
      <c r="K13" s="155" t="b">
        <v>1</v>
      </c>
      <c r="L13" s="150">
        <v>240</v>
      </c>
      <c r="M13" s="155" t="s">
        <v>9096</v>
      </c>
      <c r="N13" s="155"/>
      <c r="O13" s="155" t="s">
        <v>4880</v>
      </c>
      <c r="P13" s="156">
        <v>2</v>
      </c>
      <c r="Q13" s="155" t="s">
        <v>4881</v>
      </c>
      <c r="R13" s="166" t="s">
        <v>9098</v>
      </c>
      <c r="S13" s="155" t="s">
        <v>4902</v>
      </c>
      <c r="T13" s="155" t="s">
        <v>4884</v>
      </c>
      <c r="U13" s="155"/>
    </row>
    <row r="14" spans="1:21" s="145" customFormat="1" ht="42.75" x14ac:dyDescent="0.15">
      <c r="A14" s="154">
        <v>95101033</v>
      </c>
      <c r="B14" s="155" t="s">
        <v>4898</v>
      </c>
      <c r="C14" s="155" t="s">
        <v>4876</v>
      </c>
      <c r="D14" s="155" t="s">
        <v>4876</v>
      </c>
      <c r="E14" s="155" t="s">
        <v>9094</v>
      </c>
      <c r="F14" s="156">
        <v>3</v>
      </c>
      <c r="G14" s="154">
        <v>34</v>
      </c>
      <c r="H14" s="157" t="s">
        <v>4899</v>
      </c>
      <c r="I14" s="163" t="s">
        <v>4900</v>
      </c>
      <c r="J14" s="155">
        <v>1</v>
      </c>
      <c r="K14" s="155" t="b">
        <v>1</v>
      </c>
      <c r="L14" s="150">
        <v>400</v>
      </c>
      <c r="M14" s="155" t="s">
        <v>3383</v>
      </c>
      <c r="N14" s="155"/>
      <c r="O14" s="155" t="s">
        <v>4880</v>
      </c>
      <c r="P14" s="156">
        <v>3</v>
      </c>
      <c r="Q14" s="155" t="s">
        <v>4881</v>
      </c>
      <c r="R14" s="166" t="s">
        <v>9098</v>
      </c>
      <c r="S14" s="155" t="s">
        <v>4902</v>
      </c>
      <c r="T14" s="155" t="s">
        <v>4884</v>
      </c>
      <c r="U14" s="155"/>
    </row>
    <row r="15" spans="1:21" s="145" customFormat="1" ht="42.75" x14ac:dyDescent="0.15">
      <c r="A15" s="154">
        <v>95101034</v>
      </c>
      <c r="B15" s="155" t="s">
        <v>4898</v>
      </c>
      <c r="C15" s="155" t="s">
        <v>4876</v>
      </c>
      <c r="D15" s="155" t="s">
        <v>4876</v>
      </c>
      <c r="E15" s="155" t="s">
        <v>9094</v>
      </c>
      <c r="F15" s="156">
        <v>4</v>
      </c>
      <c r="G15" s="154">
        <v>34</v>
      </c>
      <c r="H15" s="157" t="s">
        <v>4899</v>
      </c>
      <c r="I15" s="163" t="s">
        <v>4900</v>
      </c>
      <c r="J15" s="155">
        <v>1</v>
      </c>
      <c r="K15" s="155" t="b">
        <v>1</v>
      </c>
      <c r="L15" s="150">
        <v>600</v>
      </c>
      <c r="M15" s="155" t="s">
        <v>9096</v>
      </c>
      <c r="N15" s="155"/>
      <c r="O15" s="155" t="s">
        <v>4880</v>
      </c>
      <c r="P15" s="156">
        <v>4</v>
      </c>
      <c r="Q15" s="155" t="s">
        <v>4881</v>
      </c>
      <c r="R15" s="166" t="s">
        <v>9098</v>
      </c>
      <c r="S15" s="155" t="s">
        <v>4902</v>
      </c>
      <c r="T15" s="155" t="s">
        <v>4884</v>
      </c>
      <c r="U15" s="155"/>
    </row>
    <row r="16" spans="1:21" s="145" customFormat="1" ht="42.75" x14ac:dyDescent="0.15">
      <c r="A16" s="154">
        <v>95101035</v>
      </c>
      <c r="B16" s="155" t="s">
        <v>4898</v>
      </c>
      <c r="C16" s="155" t="s">
        <v>4876</v>
      </c>
      <c r="D16" s="155" t="s">
        <v>4876</v>
      </c>
      <c r="E16" s="155" t="s">
        <v>9094</v>
      </c>
      <c r="F16" s="156">
        <v>5</v>
      </c>
      <c r="G16" s="154">
        <v>34</v>
      </c>
      <c r="H16" s="157" t="s">
        <v>4899</v>
      </c>
      <c r="I16" s="163" t="s">
        <v>4900</v>
      </c>
      <c r="J16" s="155">
        <v>1</v>
      </c>
      <c r="K16" s="155" t="b">
        <v>1</v>
      </c>
      <c r="L16" s="150">
        <v>900</v>
      </c>
      <c r="M16" s="155" t="s">
        <v>3383</v>
      </c>
      <c r="N16" s="155"/>
      <c r="O16" s="155" t="s">
        <v>4880</v>
      </c>
      <c r="P16" s="156">
        <v>5</v>
      </c>
      <c r="Q16" s="155" t="s">
        <v>4881</v>
      </c>
      <c r="R16" s="166" t="s">
        <v>9098</v>
      </c>
      <c r="S16" s="155" t="s">
        <v>4902</v>
      </c>
      <c r="T16" s="155" t="s">
        <v>4884</v>
      </c>
      <c r="U16" s="155"/>
    </row>
    <row r="17" spans="1:21" s="145" customFormat="1" ht="28.5" x14ac:dyDescent="0.15">
      <c r="A17" s="154">
        <v>95102011</v>
      </c>
      <c r="B17" s="155" t="s">
        <v>4914</v>
      </c>
      <c r="C17" s="155" t="s">
        <v>4876</v>
      </c>
      <c r="D17" s="155" t="s">
        <v>4876</v>
      </c>
      <c r="E17" s="155" t="s">
        <v>9094</v>
      </c>
      <c r="F17" s="156">
        <v>1</v>
      </c>
      <c r="G17" s="154">
        <v>34</v>
      </c>
      <c r="H17" s="157" t="s">
        <v>4915</v>
      </c>
      <c r="I17" s="163" t="s">
        <v>4916</v>
      </c>
      <c r="J17" s="155">
        <v>1</v>
      </c>
      <c r="K17" s="155" t="b">
        <v>1</v>
      </c>
      <c r="L17" s="150">
        <v>200</v>
      </c>
      <c r="M17" s="155" t="s">
        <v>3383</v>
      </c>
      <c r="N17" s="155"/>
      <c r="O17" s="155" t="s">
        <v>4880</v>
      </c>
      <c r="P17" s="156">
        <v>1</v>
      </c>
      <c r="Q17" s="155" t="s">
        <v>4881</v>
      </c>
      <c r="R17" s="166" t="s">
        <v>9099</v>
      </c>
      <c r="S17" s="155" t="s">
        <v>4918</v>
      </c>
      <c r="T17" s="155" t="s">
        <v>4884</v>
      </c>
      <c r="U17" s="155"/>
    </row>
    <row r="18" spans="1:21" s="145" customFormat="1" ht="28.5" x14ac:dyDescent="0.15">
      <c r="A18" s="154">
        <v>95102012</v>
      </c>
      <c r="B18" s="155" t="s">
        <v>4914</v>
      </c>
      <c r="C18" s="155" t="s">
        <v>4876</v>
      </c>
      <c r="D18" s="155" t="s">
        <v>4876</v>
      </c>
      <c r="E18" s="155" t="s">
        <v>9094</v>
      </c>
      <c r="F18" s="156">
        <v>2</v>
      </c>
      <c r="G18" s="154">
        <v>34</v>
      </c>
      <c r="H18" s="157" t="s">
        <v>4915</v>
      </c>
      <c r="I18" s="163" t="s">
        <v>4916</v>
      </c>
      <c r="J18" s="155">
        <v>1</v>
      </c>
      <c r="K18" s="155" t="b">
        <v>1</v>
      </c>
      <c r="L18" s="150">
        <v>240</v>
      </c>
      <c r="M18" s="155" t="s">
        <v>9096</v>
      </c>
      <c r="N18" s="155"/>
      <c r="O18" s="155" t="s">
        <v>4880</v>
      </c>
      <c r="P18" s="156">
        <v>2</v>
      </c>
      <c r="Q18" s="155" t="s">
        <v>4881</v>
      </c>
      <c r="R18" s="166" t="s">
        <v>9099</v>
      </c>
      <c r="S18" s="155" t="s">
        <v>4918</v>
      </c>
      <c r="T18" s="155" t="s">
        <v>4884</v>
      </c>
      <c r="U18" s="155"/>
    </row>
    <row r="19" spans="1:21" s="145" customFormat="1" ht="28.5" x14ac:dyDescent="0.15">
      <c r="A19" s="154">
        <v>95102013</v>
      </c>
      <c r="B19" s="155" t="s">
        <v>4914</v>
      </c>
      <c r="C19" s="155" t="s">
        <v>4876</v>
      </c>
      <c r="D19" s="155" t="s">
        <v>4876</v>
      </c>
      <c r="E19" s="155" t="s">
        <v>9094</v>
      </c>
      <c r="F19" s="156">
        <v>3</v>
      </c>
      <c r="G19" s="154">
        <v>34</v>
      </c>
      <c r="H19" s="157" t="s">
        <v>4915</v>
      </c>
      <c r="I19" s="163" t="s">
        <v>4916</v>
      </c>
      <c r="J19" s="155">
        <v>1</v>
      </c>
      <c r="K19" s="155" t="b">
        <v>1</v>
      </c>
      <c r="L19" s="150">
        <v>400</v>
      </c>
      <c r="M19" s="155" t="s">
        <v>3383</v>
      </c>
      <c r="N19" s="155"/>
      <c r="O19" s="155" t="s">
        <v>4880</v>
      </c>
      <c r="P19" s="156">
        <v>3</v>
      </c>
      <c r="Q19" s="155" t="s">
        <v>4881</v>
      </c>
      <c r="R19" s="166" t="s">
        <v>9099</v>
      </c>
      <c r="S19" s="155" t="s">
        <v>4918</v>
      </c>
      <c r="T19" s="155" t="s">
        <v>4884</v>
      </c>
      <c r="U19" s="155"/>
    </row>
    <row r="20" spans="1:21" s="145" customFormat="1" ht="28.5" x14ac:dyDescent="0.15">
      <c r="A20" s="154">
        <v>95102014</v>
      </c>
      <c r="B20" s="155" t="s">
        <v>4914</v>
      </c>
      <c r="C20" s="155" t="s">
        <v>4876</v>
      </c>
      <c r="D20" s="155" t="s">
        <v>4876</v>
      </c>
      <c r="E20" s="155" t="s">
        <v>9094</v>
      </c>
      <c r="F20" s="156">
        <v>4</v>
      </c>
      <c r="G20" s="154">
        <v>34</v>
      </c>
      <c r="H20" s="157" t="s">
        <v>4915</v>
      </c>
      <c r="I20" s="163" t="s">
        <v>4916</v>
      </c>
      <c r="J20" s="155">
        <v>1</v>
      </c>
      <c r="K20" s="155" t="b">
        <v>1</v>
      </c>
      <c r="L20" s="150">
        <v>600</v>
      </c>
      <c r="M20" s="155" t="s">
        <v>9096</v>
      </c>
      <c r="N20" s="155"/>
      <c r="O20" s="155" t="s">
        <v>4880</v>
      </c>
      <c r="P20" s="156">
        <v>4</v>
      </c>
      <c r="Q20" s="155" t="s">
        <v>4881</v>
      </c>
      <c r="R20" s="166" t="s">
        <v>9099</v>
      </c>
      <c r="S20" s="155" t="s">
        <v>4918</v>
      </c>
      <c r="T20" s="155" t="s">
        <v>4884</v>
      </c>
      <c r="U20" s="155"/>
    </row>
    <row r="21" spans="1:21" s="145" customFormat="1" ht="28.5" x14ac:dyDescent="0.15">
      <c r="A21" s="154">
        <v>95102015</v>
      </c>
      <c r="B21" s="155" t="s">
        <v>4914</v>
      </c>
      <c r="C21" s="155" t="s">
        <v>4876</v>
      </c>
      <c r="D21" s="155" t="s">
        <v>4876</v>
      </c>
      <c r="E21" s="155" t="s">
        <v>9094</v>
      </c>
      <c r="F21" s="156">
        <v>5</v>
      </c>
      <c r="G21" s="154">
        <v>34</v>
      </c>
      <c r="H21" s="157" t="s">
        <v>4915</v>
      </c>
      <c r="I21" s="163" t="s">
        <v>4916</v>
      </c>
      <c r="J21" s="155">
        <v>1</v>
      </c>
      <c r="K21" s="155" t="b">
        <v>1</v>
      </c>
      <c r="L21" s="150">
        <v>900</v>
      </c>
      <c r="M21" s="155" t="s">
        <v>3383</v>
      </c>
      <c r="N21" s="155"/>
      <c r="O21" s="155" t="s">
        <v>4880</v>
      </c>
      <c r="P21" s="156">
        <v>5</v>
      </c>
      <c r="Q21" s="155" t="s">
        <v>4881</v>
      </c>
      <c r="R21" s="166" t="s">
        <v>9099</v>
      </c>
      <c r="S21" s="155" t="s">
        <v>4918</v>
      </c>
      <c r="T21" s="155" t="s">
        <v>4884</v>
      </c>
      <c r="U21" s="155"/>
    </row>
    <row r="22" spans="1:21" s="145" customFormat="1" ht="28.5" x14ac:dyDescent="0.15">
      <c r="A22" s="154">
        <v>95102021</v>
      </c>
      <c r="B22" s="155" t="s">
        <v>4922</v>
      </c>
      <c r="C22" s="155" t="s">
        <v>4876</v>
      </c>
      <c r="D22" s="155" t="s">
        <v>4876</v>
      </c>
      <c r="E22" s="155" t="s">
        <v>9094</v>
      </c>
      <c r="F22" s="156">
        <v>1</v>
      </c>
      <c r="G22" s="154">
        <v>34</v>
      </c>
      <c r="H22" s="158" t="s">
        <v>4923</v>
      </c>
      <c r="I22" s="163" t="s">
        <v>4924</v>
      </c>
      <c r="J22" s="155">
        <v>1</v>
      </c>
      <c r="K22" s="155" t="b">
        <v>1</v>
      </c>
      <c r="L22" s="150">
        <v>200</v>
      </c>
      <c r="M22" s="155" t="s">
        <v>3383</v>
      </c>
      <c r="N22" s="155"/>
      <c r="O22" s="155" t="s">
        <v>4880</v>
      </c>
      <c r="P22" s="156">
        <v>1</v>
      </c>
      <c r="Q22" s="155" t="s">
        <v>4881</v>
      </c>
      <c r="R22" s="166" t="s">
        <v>9100</v>
      </c>
      <c r="S22" s="155" t="s">
        <v>4926</v>
      </c>
      <c r="T22" s="155" t="s">
        <v>4884</v>
      </c>
      <c r="U22" s="155"/>
    </row>
    <row r="23" spans="1:21" s="145" customFormat="1" ht="28.5" x14ac:dyDescent="0.15">
      <c r="A23" s="154">
        <v>95102022</v>
      </c>
      <c r="B23" s="155" t="s">
        <v>4922</v>
      </c>
      <c r="C23" s="155" t="s">
        <v>4876</v>
      </c>
      <c r="D23" s="155" t="s">
        <v>4876</v>
      </c>
      <c r="E23" s="155" t="s">
        <v>9094</v>
      </c>
      <c r="F23" s="156">
        <v>2</v>
      </c>
      <c r="G23" s="154">
        <v>34</v>
      </c>
      <c r="H23" s="158" t="s">
        <v>4923</v>
      </c>
      <c r="I23" s="163" t="s">
        <v>4924</v>
      </c>
      <c r="J23" s="155">
        <v>1</v>
      </c>
      <c r="K23" s="155" t="b">
        <v>1</v>
      </c>
      <c r="L23" s="150">
        <v>240</v>
      </c>
      <c r="M23" s="155" t="s">
        <v>9096</v>
      </c>
      <c r="N23" s="155"/>
      <c r="O23" s="155" t="s">
        <v>4880</v>
      </c>
      <c r="P23" s="156">
        <v>2</v>
      </c>
      <c r="Q23" s="155" t="s">
        <v>4881</v>
      </c>
      <c r="R23" s="166" t="s">
        <v>9100</v>
      </c>
      <c r="S23" s="155" t="s">
        <v>4926</v>
      </c>
      <c r="T23" s="155" t="s">
        <v>4884</v>
      </c>
      <c r="U23" s="155"/>
    </row>
    <row r="24" spans="1:21" s="145" customFormat="1" ht="28.5" x14ac:dyDescent="0.15">
      <c r="A24" s="154">
        <v>95102023</v>
      </c>
      <c r="B24" s="155" t="s">
        <v>4922</v>
      </c>
      <c r="C24" s="155" t="s">
        <v>4876</v>
      </c>
      <c r="D24" s="155" t="s">
        <v>4876</v>
      </c>
      <c r="E24" s="155" t="s">
        <v>9094</v>
      </c>
      <c r="F24" s="156">
        <v>3</v>
      </c>
      <c r="G24" s="154">
        <v>34</v>
      </c>
      <c r="H24" s="158" t="s">
        <v>4923</v>
      </c>
      <c r="I24" s="163" t="s">
        <v>4924</v>
      </c>
      <c r="J24" s="155">
        <v>1</v>
      </c>
      <c r="K24" s="155" t="b">
        <v>1</v>
      </c>
      <c r="L24" s="150">
        <v>400</v>
      </c>
      <c r="M24" s="155" t="s">
        <v>3383</v>
      </c>
      <c r="N24" s="155"/>
      <c r="O24" s="155" t="s">
        <v>4880</v>
      </c>
      <c r="P24" s="156">
        <v>3</v>
      </c>
      <c r="Q24" s="155" t="s">
        <v>4881</v>
      </c>
      <c r="R24" s="166" t="s">
        <v>9100</v>
      </c>
      <c r="S24" s="155" t="s">
        <v>4926</v>
      </c>
      <c r="T24" s="155" t="s">
        <v>4884</v>
      </c>
      <c r="U24" s="155"/>
    </row>
    <row r="25" spans="1:21" s="145" customFormat="1" ht="28.5" x14ac:dyDescent="0.15">
      <c r="A25" s="154">
        <v>95102024</v>
      </c>
      <c r="B25" s="155" t="s">
        <v>4922</v>
      </c>
      <c r="C25" s="155" t="s">
        <v>4876</v>
      </c>
      <c r="D25" s="155" t="s">
        <v>4876</v>
      </c>
      <c r="E25" s="155" t="s">
        <v>9094</v>
      </c>
      <c r="F25" s="156">
        <v>4</v>
      </c>
      <c r="G25" s="154">
        <v>34</v>
      </c>
      <c r="H25" s="158" t="s">
        <v>4923</v>
      </c>
      <c r="I25" s="163" t="s">
        <v>4924</v>
      </c>
      <c r="J25" s="155">
        <v>1</v>
      </c>
      <c r="K25" s="155" t="b">
        <v>1</v>
      </c>
      <c r="L25" s="150">
        <v>600</v>
      </c>
      <c r="M25" s="155" t="s">
        <v>9096</v>
      </c>
      <c r="N25" s="155"/>
      <c r="O25" s="155" t="s">
        <v>4880</v>
      </c>
      <c r="P25" s="156">
        <v>4</v>
      </c>
      <c r="Q25" s="155" t="s">
        <v>4881</v>
      </c>
      <c r="R25" s="166" t="s">
        <v>9100</v>
      </c>
      <c r="S25" s="155" t="s">
        <v>4926</v>
      </c>
      <c r="T25" s="155" t="s">
        <v>4884</v>
      </c>
      <c r="U25" s="155"/>
    </row>
    <row r="26" spans="1:21" s="145" customFormat="1" ht="28.5" x14ac:dyDescent="0.15">
      <c r="A26" s="154">
        <v>95102025</v>
      </c>
      <c r="B26" s="155" t="s">
        <v>4922</v>
      </c>
      <c r="C26" s="155" t="s">
        <v>4876</v>
      </c>
      <c r="D26" s="155" t="s">
        <v>4876</v>
      </c>
      <c r="E26" s="155" t="s">
        <v>9094</v>
      </c>
      <c r="F26" s="156">
        <v>5</v>
      </c>
      <c r="G26" s="154">
        <v>34</v>
      </c>
      <c r="H26" s="158" t="s">
        <v>4923</v>
      </c>
      <c r="I26" s="163" t="s">
        <v>4924</v>
      </c>
      <c r="J26" s="155">
        <v>1</v>
      </c>
      <c r="K26" s="155" t="b">
        <v>1</v>
      </c>
      <c r="L26" s="150">
        <v>900</v>
      </c>
      <c r="M26" s="155" t="s">
        <v>3383</v>
      </c>
      <c r="N26" s="155"/>
      <c r="O26" s="155" t="s">
        <v>4880</v>
      </c>
      <c r="P26" s="156">
        <v>5</v>
      </c>
      <c r="Q26" s="155" t="s">
        <v>4881</v>
      </c>
      <c r="R26" s="166" t="s">
        <v>9100</v>
      </c>
      <c r="S26" s="155" t="s">
        <v>4926</v>
      </c>
      <c r="T26" s="155" t="s">
        <v>4884</v>
      </c>
      <c r="U26" s="155"/>
    </row>
    <row r="27" spans="1:21" s="145" customFormat="1" ht="28.5" x14ac:dyDescent="0.15">
      <c r="A27" s="154">
        <v>95102031</v>
      </c>
      <c r="B27" s="155" t="s">
        <v>4930</v>
      </c>
      <c r="C27" s="155" t="s">
        <v>4876</v>
      </c>
      <c r="D27" s="155" t="s">
        <v>4876</v>
      </c>
      <c r="E27" s="155" t="s">
        <v>9094</v>
      </c>
      <c r="F27" s="156">
        <v>1</v>
      </c>
      <c r="G27" s="154">
        <v>34</v>
      </c>
      <c r="H27" s="158" t="s">
        <v>4931</v>
      </c>
      <c r="I27" s="163" t="s">
        <v>4932</v>
      </c>
      <c r="J27" s="155">
        <v>1</v>
      </c>
      <c r="K27" s="155" t="b">
        <v>1</v>
      </c>
      <c r="L27" s="150">
        <v>200</v>
      </c>
      <c r="M27" s="155" t="s">
        <v>3383</v>
      </c>
      <c r="N27" s="155"/>
      <c r="O27" s="155" t="s">
        <v>4880</v>
      </c>
      <c r="P27" s="156">
        <v>1</v>
      </c>
      <c r="Q27" s="155" t="s">
        <v>4881</v>
      </c>
      <c r="R27" s="166" t="s">
        <v>9101</v>
      </c>
      <c r="S27" s="155" t="s">
        <v>4934</v>
      </c>
      <c r="T27" s="155" t="s">
        <v>4884</v>
      </c>
      <c r="U27" s="155"/>
    </row>
    <row r="28" spans="1:21" s="145" customFormat="1" ht="28.5" x14ac:dyDescent="0.15">
      <c r="A28" s="154">
        <v>95102032</v>
      </c>
      <c r="B28" s="155" t="s">
        <v>4930</v>
      </c>
      <c r="C28" s="155" t="s">
        <v>4876</v>
      </c>
      <c r="D28" s="155" t="s">
        <v>4876</v>
      </c>
      <c r="E28" s="155" t="s">
        <v>9094</v>
      </c>
      <c r="F28" s="156">
        <v>2</v>
      </c>
      <c r="G28" s="154">
        <v>34</v>
      </c>
      <c r="H28" s="158" t="s">
        <v>4931</v>
      </c>
      <c r="I28" s="163" t="s">
        <v>4932</v>
      </c>
      <c r="J28" s="155">
        <v>1</v>
      </c>
      <c r="K28" s="155" t="b">
        <v>1</v>
      </c>
      <c r="L28" s="150">
        <v>240</v>
      </c>
      <c r="M28" s="155" t="s">
        <v>9096</v>
      </c>
      <c r="N28" s="155"/>
      <c r="O28" s="155" t="s">
        <v>4880</v>
      </c>
      <c r="P28" s="156">
        <v>2</v>
      </c>
      <c r="Q28" s="155" t="s">
        <v>4881</v>
      </c>
      <c r="R28" s="166" t="s">
        <v>9101</v>
      </c>
      <c r="S28" s="155" t="s">
        <v>4934</v>
      </c>
      <c r="T28" s="155" t="s">
        <v>4884</v>
      </c>
      <c r="U28" s="155"/>
    </row>
    <row r="29" spans="1:21" s="145" customFormat="1" ht="28.5" x14ac:dyDescent="0.15">
      <c r="A29" s="154">
        <v>95102033</v>
      </c>
      <c r="B29" s="155" t="s">
        <v>4930</v>
      </c>
      <c r="C29" s="155" t="s">
        <v>4876</v>
      </c>
      <c r="D29" s="155" t="s">
        <v>4876</v>
      </c>
      <c r="E29" s="155" t="s">
        <v>9094</v>
      </c>
      <c r="F29" s="156">
        <v>3</v>
      </c>
      <c r="G29" s="154">
        <v>34</v>
      </c>
      <c r="H29" s="158" t="s">
        <v>4931</v>
      </c>
      <c r="I29" s="163" t="s">
        <v>4932</v>
      </c>
      <c r="J29" s="155">
        <v>1</v>
      </c>
      <c r="K29" s="155" t="b">
        <v>1</v>
      </c>
      <c r="L29" s="150">
        <v>400</v>
      </c>
      <c r="M29" s="155" t="s">
        <v>3383</v>
      </c>
      <c r="N29" s="155"/>
      <c r="O29" s="155" t="s">
        <v>4880</v>
      </c>
      <c r="P29" s="156">
        <v>3</v>
      </c>
      <c r="Q29" s="155" t="s">
        <v>4881</v>
      </c>
      <c r="R29" s="166" t="s">
        <v>9101</v>
      </c>
      <c r="S29" s="155" t="s">
        <v>4934</v>
      </c>
      <c r="T29" s="155" t="s">
        <v>4884</v>
      </c>
      <c r="U29" s="155"/>
    </row>
    <row r="30" spans="1:21" s="145" customFormat="1" ht="28.5" x14ac:dyDescent="0.15">
      <c r="A30" s="154">
        <v>95102034</v>
      </c>
      <c r="B30" s="155" t="s">
        <v>4930</v>
      </c>
      <c r="C30" s="155" t="s">
        <v>4876</v>
      </c>
      <c r="D30" s="155" t="s">
        <v>4876</v>
      </c>
      <c r="E30" s="155" t="s">
        <v>9094</v>
      </c>
      <c r="F30" s="156">
        <v>4</v>
      </c>
      <c r="G30" s="154">
        <v>34</v>
      </c>
      <c r="H30" s="158" t="s">
        <v>4931</v>
      </c>
      <c r="I30" s="163" t="s">
        <v>4932</v>
      </c>
      <c r="J30" s="155">
        <v>1</v>
      </c>
      <c r="K30" s="155" t="b">
        <v>1</v>
      </c>
      <c r="L30" s="150">
        <v>600</v>
      </c>
      <c r="M30" s="155" t="s">
        <v>9096</v>
      </c>
      <c r="N30" s="155"/>
      <c r="O30" s="155" t="s">
        <v>4880</v>
      </c>
      <c r="P30" s="156">
        <v>4</v>
      </c>
      <c r="Q30" s="155" t="s">
        <v>4881</v>
      </c>
      <c r="R30" s="166" t="s">
        <v>9101</v>
      </c>
      <c r="S30" s="155" t="s">
        <v>4934</v>
      </c>
      <c r="T30" s="155" t="s">
        <v>4884</v>
      </c>
      <c r="U30" s="155"/>
    </row>
    <row r="31" spans="1:21" s="145" customFormat="1" ht="28.5" x14ac:dyDescent="0.15">
      <c r="A31" s="154">
        <v>95102035</v>
      </c>
      <c r="B31" s="155" t="s">
        <v>4930</v>
      </c>
      <c r="C31" s="155" t="s">
        <v>4876</v>
      </c>
      <c r="D31" s="155" t="s">
        <v>4876</v>
      </c>
      <c r="E31" s="155" t="s">
        <v>9094</v>
      </c>
      <c r="F31" s="156">
        <v>5</v>
      </c>
      <c r="G31" s="154">
        <v>34</v>
      </c>
      <c r="H31" s="158" t="s">
        <v>4931</v>
      </c>
      <c r="I31" s="163" t="s">
        <v>4932</v>
      </c>
      <c r="J31" s="155">
        <v>1</v>
      </c>
      <c r="K31" s="155" t="b">
        <v>1</v>
      </c>
      <c r="L31" s="150">
        <v>900</v>
      </c>
      <c r="M31" s="155" t="s">
        <v>3383</v>
      </c>
      <c r="N31" s="155"/>
      <c r="O31" s="155" t="s">
        <v>4880</v>
      </c>
      <c r="P31" s="156">
        <v>5</v>
      </c>
      <c r="Q31" s="155" t="s">
        <v>4881</v>
      </c>
      <c r="R31" s="166" t="s">
        <v>9101</v>
      </c>
      <c r="S31" s="155" t="s">
        <v>4934</v>
      </c>
      <c r="T31" s="155" t="s">
        <v>4884</v>
      </c>
      <c r="U31" s="155"/>
    </row>
    <row r="32" spans="1:21" ht="57" x14ac:dyDescent="0.15">
      <c r="A32" s="149">
        <v>95102051</v>
      </c>
      <c r="B32" s="150" t="s">
        <v>4938</v>
      </c>
      <c r="C32" s="150" t="s">
        <v>4876</v>
      </c>
      <c r="D32" s="150" t="s">
        <v>4876</v>
      </c>
      <c r="E32" s="150" t="s">
        <v>9094</v>
      </c>
      <c r="F32" s="151">
        <v>1</v>
      </c>
      <c r="G32" s="149">
        <v>34</v>
      </c>
      <c r="H32" s="153"/>
      <c r="I32" s="162"/>
      <c r="J32" s="150">
        <v>1</v>
      </c>
      <c r="K32" s="150" t="b">
        <v>1</v>
      </c>
      <c r="L32" s="150">
        <v>200</v>
      </c>
      <c r="M32" s="150" t="s">
        <v>3383</v>
      </c>
      <c r="N32" s="150"/>
      <c r="O32" s="150" t="s">
        <v>4880</v>
      </c>
      <c r="P32" s="151">
        <v>1</v>
      </c>
      <c r="Q32" s="150" t="s">
        <v>4881</v>
      </c>
      <c r="R32" s="165" t="s">
        <v>4943</v>
      </c>
      <c r="S32" s="160" t="s">
        <v>4942</v>
      </c>
      <c r="T32" s="164" t="s">
        <v>4884</v>
      </c>
      <c r="U32" s="164"/>
    </row>
    <row r="33" spans="1:21" ht="57" x14ac:dyDescent="0.15">
      <c r="A33" s="149">
        <v>95102052</v>
      </c>
      <c r="B33" s="150" t="s">
        <v>4938</v>
      </c>
      <c r="C33" s="150" t="s">
        <v>4876</v>
      </c>
      <c r="D33" s="150" t="s">
        <v>4876</v>
      </c>
      <c r="E33" s="150" t="s">
        <v>9094</v>
      </c>
      <c r="F33" s="151">
        <v>2</v>
      </c>
      <c r="G33" s="149">
        <v>34</v>
      </c>
      <c r="H33" s="153"/>
      <c r="I33" s="162"/>
      <c r="J33" s="150">
        <v>1</v>
      </c>
      <c r="K33" s="150" t="b">
        <v>1</v>
      </c>
      <c r="L33" s="150">
        <v>240</v>
      </c>
      <c r="M33" s="150" t="s">
        <v>9096</v>
      </c>
      <c r="N33" s="150"/>
      <c r="O33" s="150" t="s">
        <v>4880</v>
      </c>
      <c r="P33" s="151">
        <v>2</v>
      </c>
      <c r="Q33" s="150" t="s">
        <v>4881</v>
      </c>
      <c r="R33" s="165" t="s">
        <v>4943</v>
      </c>
      <c r="S33" s="160" t="s">
        <v>4942</v>
      </c>
      <c r="T33" s="164" t="s">
        <v>4884</v>
      </c>
      <c r="U33" s="164"/>
    </row>
    <row r="34" spans="1:21" ht="57" x14ac:dyDescent="0.15">
      <c r="A34" s="149">
        <v>95102053</v>
      </c>
      <c r="B34" s="150" t="s">
        <v>4938</v>
      </c>
      <c r="C34" s="150" t="s">
        <v>4876</v>
      </c>
      <c r="D34" s="150" t="s">
        <v>4876</v>
      </c>
      <c r="E34" s="150" t="s">
        <v>9094</v>
      </c>
      <c r="F34" s="151">
        <v>3</v>
      </c>
      <c r="G34" s="149">
        <v>34</v>
      </c>
      <c r="H34" s="153"/>
      <c r="I34" s="162"/>
      <c r="J34" s="150">
        <v>1</v>
      </c>
      <c r="K34" s="150" t="b">
        <v>1</v>
      </c>
      <c r="L34" s="150">
        <v>400</v>
      </c>
      <c r="M34" s="150" t="s">
        <v>3383</v>
      </c>
      <c r="N34" s="150"/>
      <c r="O34" s="150" t="s">
        <v>4880</v>
      </c>
      <c r="P34" s="151">
        <v>3</v>
      </c>
      <c r="Q34" s="150" t="s">
        <v>4881</v>
      </c>
      <c r="R34" s="165" t="s">
        <v>4943</v>
      </c>
      <c r="S34" s="160" t="s">
        <v>4942</v>
      </c>
      <c r="T34" s="164" t="s">
        <v>4884</v>
      </c>
      <c r="U34" s="164"/>
    </row>
    <row r="35" spans="1:21" ht="57" x14ac:dyDescent="0.15">
      <c r="A35" s="149">
        <v>95102054</v>
      </c>
      <c r="B35" s="150" t="s">
        <v>4938</v>
      </c>
      <c r="C35" s="150" t="s">
        <v>4876</v>
      </c>
      <c r="D35" s="150" t="s">
        <v>4876</v>
      </c>
      <c r="E35" s="150" t="s">
        <v>9094</v>
      </c>
      <c r="F35" s="151">
        <v>4</v>
      </c>
      <c r="G35" s="149">
        <v>34</v>
      </c>
      <c r="H35" s="153"/>
      <c r="I35" s="162"/>
      <c r="J35" s="150">
        <v>1</v>
      </c>
      <c r="K35" s="150" t="b">
        <v>1</v>
      </c>
      <c r="L35" s="150">
        <v>600</v>
      </c>
      <c r="M35" s="150" t="s">
        <v>9096</v>
      </c>
      <c r="N35" s="150"/>
      <c r="O35" s="150" t="s">
        <v>4880</v>
      </c>
      <c r="P35" s="151">
        <v>4</v>
      </c>
      <c r="Q35" s="150" t="s">
        <v>4881</v>
      </c>
      <c r="R35" s="165" t="s">
        <v>4943</v>
      </c>
      <c r="S35" s="160" t="s">
        <v>4942</v>
      </c>
      <c r="T35" s="164" t="s">
        <v>4884</v>
      </c>
      <c r="U35" s="164"/>
    </row>
    <row r="36" spans="1:21" ht="57" x14ac:dyDescent="0.15">
      <c r="A36" s="149">
        <v>95102055</v>
      </c>
      <c r="B36" s="150" t="s">
        <v>4938</v>
      </c>
      <c r="C36" s="150" t="s">
        <v>4876</v>
      </c>
      <c r="D36" s="150" t="s">
        <v>4876</v>
      </c>
      <c r="E36" s="150" t="s">
        <v>9094</v>
      </c>
      <c r="F36" s="151">
        <v>5</v>
      </c>
      <c r="G36" s="149">
        <v>34</v>
      </c>
      <c r="H36" s="153"/>
      <c r="I36" s="162"/>
      <c r="J36" s="150">
        <v>1</v>
      </c>
      <c r="K36" s="150" t="b">
        <v>1</v>
      </c>
      <c r="L36" s="150">
        <v>900</v>
      </c>
      <c r="M36" s="150" t="s">
        <v>3383</v>
      </c>
      <c r="N36" s="150"/>
      <c r="O36" s="150" t="s">
        <v>4880</v>
      </c>
      <c r="P36" s="151">
        <v>5</v>
      </c>
      <c r="Q36" s="150" t="s">
        <v>4881</v>
      </c>
      <c r="R36" s="165" t="s">
        <v>4943</v>
      </c>
      <c r="S36" s="160" t="s">
        <v>4942</v>
      </c>
      <c r="T36" s="164" t="s">
        <v>4884</v>
      </c>
      <c r="U36" s="164"/>
    </row>
    <row r="37" spans="1:21" s="145" customFormat="1" ht="28.5" x14ac:dyDescent="0.15">
      <c r="A37" s="154">
        <v>95103011</v>
      </c>
      <c r="B37" s="155" t="s">
        <v>4964</v>
      </c>
      <c r="C37" s="155" t="s">
        <v>4876</v>
      </c>
      <c r="D37" s="155" t="s">
        <v>4876</v>
      </c>
      <c r="E37" s="155" t="s">
        <v>9094</v>
      </c>
      <c r="F37" s="156">
        <v>1</v>
      </c>
      <c r="G37" s="154">
        <v>34</v>
      </c>
      <c r="H37" s="158" t="s">
        <v>4965</v>
      </c>
      <c r="I37" s="163" t="s">
        <v>4966</v>
      </c>
      <c r="J37" s="155">
        <v>1</v>
      </c>
      <c r="K37" s="155" t="b">
        <v>1</v>
      </c>
      <c r="L37" s="150">
        <v>200</v>
      </c>
      <c r="M37" s="155" t="s">
        <v>3383</v>
      </c>
      <c r="N37" s="155"/>
      <c r="O37" s="155" t="s">
        <v>4880</v>
      </c>
      <c r="P37" s="156">
        <v>1</v>
      </c>
      <c r="Q37" s="155" t="s">
        <v>4881</v>
      </c>
      <c r="R37" s="166" t="s">
        <v>9102</v>
      </c>
      <c r="S37" s="167" t="s">
        <v>4968</v>
      </c>
      <c r="T37" s="155" t="s">
        <v>4884</v>
      </c>
      <c r="U37" s="155"/>
    </row>
    <row r="38" spans="1:21" s="145" customFormat="1" ht="28.5" x14ac:dyDescent="0.15">
      <c r="A38" s="154">
        <v>95103012</v>
      </c>
      <c r="B38" s="155" t="s">
        <v>4964</v>
      </c>
      <c r="C38" s="155" t="s">
        <v>4876</v>
      </c>
      <c r="D38" s="155" t="s">
        <v>4876</v>
      </c>
      <c r="E38" s="155" t="s">
        <v>9094</v>
      </c>
      <c r="F38" s="156">
        <v>2</v>
      </c>
      <c r="G38" s="154">
        <v>34</v>
      </c>
      <c r="H38" s="158" t="s">
        <v>4965</v>
      </c>
      <c r="I38" s="163" t="s">
        <v>4966</v>
      </c>
      <c r="J38" s="155">
        <v>1</v>
      </c>
      <c r="K38" s="155" t="b">
        <v>1</v>
      </c>
      <c r="L38" s="150">
        <v>240</v>
      </c>
      <c r="M38" s="155" t="s">
        <v>9096</v>
      </c>
      <c r="N38" s="155"/>
      <c r="O38" s="155" t="s">
        <v>4880</v>
      </c>
      <c r="P38" s="156">
        <v>2</v>
      </c>
      <c r="Q38" s="155" t="s">
        <v>4881</v>
      </c>
      <c r="R38" s="166" t="s">
        <v>9102</v>
      </c>
      <c r="S38" s="167" t="s">
        <v>4968</v>
      </c>
      <c r="T38" s="155" t="s">
        <v>4884</v>
      </c>
      <c r="U38" s="155"/>
    </row>
    <row r="39" spans="1:21" s="145" customFormat="1" ht="28.5" x14ac:dyDescent="0.15">
      <c r="A39" s="154">
        <v>95103013</v>
      </c>
      <c r="B39" s="155" t="s">
        <v>4964</v>
      </c>
      <c r="C39" s="155" t="s">
        <v>4876</v>
      </c>
      <c r="D39" s="155" t="s">
        <v>4876</v>
      </c>
      <c r="E39" s="155" t="s">
        <v>9094</v>
      </c>
      <c r="F39" s="156">
        <v>3</v>
      </c>
      <c r="G39" s="154">
        <v>34</v>
      </c>
      <c r="H39" s="158" t="s">
        <v>4965</v>
      </c>
      <c r="I39" s="163" t="s">
        <v>4966</v>
      </c>
      <c r="J39" s="155">
        <v>1</v>
      </c>
      <c r="K39" s="155" t="b">
        <v>1</v>
      </c>
      <c r="L39" s="150">
        <v>400</v>
      </c>
      <c r="M39" s="155" t="s">
        <v>3383</v>
      </c>
      <c r="N39" s="155"/>
      <c r="O39" s="155" t="s">
        <v>4880</v>
      </c>
      <c r="P39" s="156">
        <v>3</v>
      </c>
      <c r="Q39" s="155" t="s">
        <v>4881</v>
      </c>
      <c r="R39" s="166" t="s">
        <v>9102</v>
      </c>
      <c r="S39" s="167" t="s">
        <v>4968</v>
      </c>
      <c r="T39" s="155" t="s">
        <v>4884</v>
      </c>
      <c r="U39" s="155"/>
    </row>
    <row r="40" spans="1:21" s="145" customFormat="1" ht="28.5" x14ac:dyDescent="0.15">
      <c r="A40" s="154">
        <v>95103014</v>
      </c>
      <c r="B40" s="155" t="s">
        <v>4964</v>
      </c>
      <c r="C40" s="155" t="s">
        <v>4876</v>
      </c>
      <c r="D40" s="155" t="s">
        <v>4876</v>
      </c>
      <c r="E40" s="155" t="s">
        <v>9094</v>
      </c>
      <c r="F40" s="156">
        <v>4</v>
      </c>
      <c r="G40" s="154">
        <v>34</v>
      </c>
      <c r="H40" s="158" t="s">
        <v>4965</v>
      </c>
      <c r="I40" s="163" t="s">
        <v>4966</v>
      </c>
      <c r="J40" s="155">
        <v>1</v>
      </c>
      <c r="K40" s="155" t="b">
        <v>1</v>
      </c>
      <c r="L40" s="150">
        <v>600</v>
      </c>
      <c r="M40" s="155" t="s">
        <v>9096</v>
      </c>
      <c r="N40" s="155"/>
      <c r="O40" s="155" t="s">
        <v>4880</v>
      </c>
      <c r="P40" s="156">
        <v>4</v>
      </c>
      <c r="Q40" s="155" t="s">
        <v>4881</v>
      </c>
      <c r="R40" s="166" t="s">
        <v>9102</v>
      </c>
      <c r="S40" s="167" t="s">
        <v>4968</v>
      </c>
      <c r="T40" s="155" t="s">
        <v>4884</v>
      </c>
      <c r="U40" s="155"/>
    </row>
    <row r="41" spans="1:21" s="145" customFormat="1" ht="28.5" x14ac:dyDescent="0.15">
      <c r="A41" s="154">
        <v>95103015</v>
      </c>
      <c r="B41" s="155" t="s">
        <v>4964</v>
      </c>
      <c r="C41" s="155" t="s">
        <v>4876</v>
      </c>
      <c r="D41" s="155" t="s">
        <v>4876</v>
      </c>
      <c r="E41" s="155" t="s">
        <v>9094</v>
      </c>
      <c r="F41" s="156">
        <v>5</v>
      </c>
      <c r="G41" s="154">
        <v>34</v>
      </c>
      <c r="H41" s="158" t="s">
        <v>4965</v>
      </c>
      <c r="I41" s="163" t="s">
        <v>4966</v>
      </c>
      <c r="J41" s="155">
        <v>1</v>
      </c>
      <c r="K41" s="155" t="b">
        <v>1</v>
      </c>
      <c r="L41" s="150">
        <v>900</v>
      </c>
      <c r="M41" s="155" t="s">
        <v>3383</v>
      </c>
      <c r="N41" s="155"/>
      <c r="O41" s="155" t="s">
        <v>4880</v>
      </c>
      <c r="P41" s="156">
        <v>5</v>
      </c>
      <c r="Q41" s="155" t="s">
        <v>4881</v>
      </c>
      <c r="R41" s="166" t="s">
        <v>9102</v>
      </c>
      <c r="S41" s="167" t="s">
        <v>4968</v>
      </c>
      <c r="T41" s="155" t="s">
        <v>4884</v>
      </c>
      <c r="U41" s="155"/>
    </row>
    <row r="42" spans="1:21" ht="28.5" x14ac:dyDescent="0.15">
      <c r="A42" s="149">
        <v>95104011</v>
      </c>
      <c r="B42" s="150" t="s">
        <v>4978</v>
      </c>
      <c r="C42" s="150" t="s">
        <v>4876</v>
      </c>
      <c r="D42" s="150" t="s">
        <v>4876</v>
      </c>
      <c r="E42" s="150" t="s">
        <v>9094</v>
      </c>
      <c r="F42" s="151">
        <v>1</v>
      </c>
      <c r="G42" s="149">
        <v>34</v>
      </c>
      <c r="H42" s="153"/>
      <c r="I42" s="162"/>
      <c r="J42" s="150">
        <v>1</v>
      </c>
      <c r="K42" s="150" t="b">
        <v>1</v>
      </c>
      <c r="L42" s="150">
        <v>200</v>
      </c>
      <c r="M42" s="150" t="s">
        <v>3383</v>
      </c>
      <c r="N42" s="150"/>
      <c r="O42" s="150" t="s">
        <v>4880</v>
      </c>
      <c r="P42" s="151">
        <v>1</v>
      </c>
      <c r="Q42" s="150" t="s">
        <v>4881</v>
      </c>
      <c r="R42" s="165" t="s">
        <v>9103</v>
      </c>
      <c r="S42" s="83" t="s">
        <v>4982</v>
      </c>
      <c r="T42" s="164" t="s">
        <v>4884</v>
      </c>
      <c r="U42" s="164"/>
    </row>
    <row r="43" spans="1:21" ht="28.5" x14ac:dyDescent="0.15">
      <c r="A43" s="149">
        <v>95104012</v>
      </c>
      <c r="B43" s="150" t="s">
        <v>4978</v>
      </c>
      <c r="C43" s="150" t="s">
        <v>4876</v>
      </c>
      <c r="D43" s="150" t="s">
        <v>4876</v>
      </c>
      <c r="E43" s="150" t="s">
        <v>9094</v>
      </c>
      <c r="F43" s="151">
        <v>2</v>
      </c>
      <c r="G43" s="149">
        <v>34</v>
      </c>
      <c r="H43" s="153"/>
      <c r="I43" s="162"/>
      <c r="J43" s="150">
        <v>1</v>
      </c>
      <c r="K43" s="150" t="b">
        <v>1</v>
      </c>
      <c r="L43" s="150">
        <v>240</v>
      </c>
      <c r="M43" s="150" t="s">
        <v>9096</v>
      </c>
      <c r="N43" s="150"/>
      <c r="O43" s="150" t="s">
        <v>4880</v>
      </c>
      <c r="P43" s="151">
        <v>2</v>
      </c>
      <c r="Q43" s="150" t="s">
        <v>4881</v>
      </c>
      <c r="R43" s="165" t="s">
        <v>9103</v>
      </c>
      <c r="S43" s="83" t="s">
        <v>4982</v>
      </c>
      <c r="T43" s="164" t="s">
        <v>4884</v>
      </c>
      <c r="U43" s="164"/>
    </row>
    <row r="44" spans="1:21" ht="28.5" x14ac:dyDescent="0.15">
      <c r="A44" s="149">
        <v>95104013</v>
      </c>
      <c r="B44" s="150" t="s">
        <v>4978</v>
      </c>
      <c r="C44" s="150" t="s">
        <v>4876</v>
      </c>
      <c r="D44" s="150" t="s">
        <v>4876</v>
      </c>
      <c r="E44" s="150" t="s">
        <v>9094</v>
      </c>
      <c r="F44" s="151">
        <v>3</v>
      </c>
      <c r="G44" s="149">
        <v>34</v>
      </c>
      <c r="H44" s="153"/>
      <c r="I44" s="162"/>
      <c r="J44" s="150">
        <v>1</v>
      </c>
      <c r="K44" s="150" t="b">
        <v>1</v>
      </c>
      <c r="L44" s="150">
        <v>400</v>
      </c>
      <c r="M44" s="150" t="s">
        <v>3383</v>
      </c>
      <c r="N44" s="150"/>
      <c r="O44" s="150" t="s">
        <v>4880</v>
      </c>
      <c r="P44" s="151">
        <v>3</v>
      </c>
      <c r="Q44" s="150" t="s">
        <v>4881</v>
      </c>
      <c r="R44" s="165" t="s">
        <v>9103</v>
      </c>
      <c r="S44" s="83" t="s">
        <v>4982</v>
      </c>
      <c r="T44" s="164" t="s">
        <v>4884</v>
      </c>
      <c r="U44" s="164"/>
    </row>
    <row r="45" spans="1:21" ht="28.5" x14ac:dyDescent="0.15">
      <c r="A45" s="149">
        <v>95104014</v>
      </c>
      <c r="B45" s="150" t="s">
        <v>4978</v>
      </c>
      <c r="C45" s="150" t="s">
        <v>4876</v>
      </c>
      <c r="D45" s="150" t="s">
        <v>4876</v>
      </c>
      <c r="E45" s="150" t="s">
        <v>9094</v>
      </c>
      <c r="F45" s="151">
        <v>4</v>
      </c>
      <c r="G45" s="149">
        <v>34</v>
      </c>
      <c r="H45" s="153"/>
      <c r="I45" s="162"/>
      <c r="J45" s="150">
        <v>1</v>
      </c>
      <c r="K45" s="150" t="b">
        <v>1</v>
      </c>
      <c r="L45" s="150">
        <v>600</v>
      </c>
      <c r="M45" s="150" t="s">
        <v>9096</v>
      </c>
      <c r="N45" s="150"/>
      <c r="O45" s="150" t="s">
        <v>4880</v>
      </c>
      <c r="P45" s="151">
        <v>4</v>
      </c>
      <c r="Q45" s="150" t="s">
        <v>4881</v>
      </c>
      <c r="R45" s="165" t="s">
        <v>9103</v>
      </c>
      <c r="S45" s="83" t="s">
        <v>4982</v>
      </c>
      <c r="T45" s="164" t="s">
        <v>4884</v>
      </c>
      <c r="U45" s="164"/>
    </row>
    <row r="46" spans="1:21" ht="28.5" x14ac:dyDescent="0.15">
      <c r="A46" s="149">
        <v>95104015</v>
      </c>
      <c r="B46" s="150" t="s">
        <v>4978</v>
      </c>
      <c r="C46" s="150" t="s">
        <v>4876</v>
      </c>
      <c r="D46" s="150" t="s">
        <v>4876</v>
      </c>
      <c r="E46" s="150" t="s">
        <v>9094</v>
      </c>
      <c r="F46" s="151">
        <v>5</v>
      </c>
      <c r="G46" s="149">
        <v>34</v>
      </c>
      <c r="H46" s="153"/>
      <c r="I46" s="162"/>
      <c r="J46" s="150">
        <v>1</v>
      </c>
      <c r="K46" s="150" t="b">
        <v>1</v>
      </c>
      <c r="L46" s="150">
        <v>900</v>
      </c>
      <c r="M46" s="150" t="s">
        <v>3383</v>
      </c>
      <c r="N46" s="150"/>
      <c r="O46" s="150" t="s">
        <v>4880</v>
      </c>
      <c r="P46" s="151">
        <v>5</v>
      </c>
      <c r="Q46" s="150" t="s">
        <v>4881</v>
      </c>
      <c r="R46" s="165" t="s">
        <v>9103</v>
      </c>
      <c r="S46" s="83" t="s">
        <v>4982</v>
      </c>
      <c r="T46" s="164" t="s">
        <v>4884</v>
      </c>
      <c r="U46" s="164"/>
    </row>
    <row r="47" spans="1:21" s="145" customFormat="1" ht="28.5" x14ac:dyDescent="0.15">
      <c r="A47" s="154">
        <v>95104021</v>
      </c>
      <c r="B47" s="155" t="s">
        <v>4986</v>
      </c>
      <c r="C47" s="159" t="s">
        <v>4876</v>
      </c>
      <c r="D47" s="155" t="s">
        <v>4876</v>
      </c>
      <c r="E47" s="155" t="s">
        <v>9094</v>
      </c>
      <c r="F47" s="156">
        <v>1</v>
      </c>
      <c r="G47" s="154">
        <v>34</v>
      </c>
      <c r="H47" s="158" t="s">
        <v>4987</v>
      </c>
      <c r="I47" s="163" t="s">
        <v>4988</v>
      </c>
      <c r="J47" s="155">
        <v>1</v>
      </c>
      <c r="K47" s="155" t="b">
        <v>1</v>
      </c>
      <c r="L47" s="150">
        <v>200</v>
      </c>
      <c r="M47" s="155" t="s">
        <v>3383</v>
      </c>
      <c r="N47" s="155"/>
      <c r="O47" s="155" t="s">
        <v>4880</v>
      </c>
      <c r="P47" s="156">
        <v>1</v>
      </c>
      <c r="Q47" s="155" t="s">
        <v>4881</v>
      </c>
      <c r="R47" s="168" t="s">
        <v>9104</v>
      </c>
      <c r="S47" s="169" t="s">
        <v>4990</v>
      </c>
      <c r="T47" s="155" t="s">
        <v>4884</v>
      </c>
      <c r="U47" s="155"/>
    </row>
    <row r="48" spans="1:21" s="145" customFormat="1" ht="28.5" x14ac:dyDescent="0.15">
      <c r="A48" s="154">
        <v>95104022</v>
      </c>
      <c r="B48" s="155" t="s">
        <v>4986</v>
      </c>
      <c r="C48" s="159" t="s">
        <v>4876</v>
      </c>
      <c r="D48" s="155" t="s">
        <v>4876</v>
      </c>
      <c r="E48" s="155" t="s">
        <v>9094</v>
      </c>
      <c r="F48" s="156">
        <v>2</v>
      </c>
      <c r="G48" s="154">
        <v>34</v>
      </c>
      <c r="H48" s="158" t="s">
        <v>4987</v>
      </c>
      <c r="I48" s="163" t="s">
        <v>4988</v>
      </c>
      <c r="J48" s="155">
        <v>1</v>
      </c>
      <c r="K48" s="155" t="b">
        <v>1</v>
      </c>
      <c r="L48" s="150">
        <v>240</v>
      </c>
      <c r="M48" s="155" t="s">
        <v>9096</v>
      </c>
      <c r="N48" s="155"/>
      <c r="O48" s="155" t="s">
        <v>4880</v>
      </c>
      <c r="P48" s="156">
        <v>2</v>
      </c>
      <c r="Q48" s="155" t="s">
        <v>4881</v>
      </c>
      <c r="R48" s="168" t="s">
        <v>9104</v>
      </c>
      <c r="S48" s="169" t="s">
        <v>4990</v>
      </c>
      <c r="T48" s="155" t="s">
        <v>4884</v>
      </c>
      <c r="U48" s="155"/>
    </row>
    <row r="49" spans="1:21" s="145" customFormat="1" ht="28.5" x14ac:dyDescent="0.15">
      <c r="A49" s="154">
        <v>95104023</v>
      </c>
      <c r="B49" s="155" t="s">
        <v>4986</v>
      </c>
      <c r="C49" s="159" t="s">
        <v>4876</v>
      </c>
      <c r="D49" s="155" t="s">
        <v>4876</v>
      </c>
      <c r="E49" s="155" t="s">
        <v>9094</v>
      </c>
      <c r="F49" s="156">
        <v>3</v>
      </c>
      <c r="G49" s="154">
        <v>34</v>
      </c>
      <c r="H49" s="158" t="s">
        <v>4987</v>
      </c>
      <c r="I49" s="163" t="s">
        <v>4988</v>
      </c>
      <c r="J49" s="155">
        <v>1</v>
      </c>
      <c r="K49" s="155" t="b">
        <v>1</v>
      </c>
      <c r="L49" s="150">
        <v>400</v>
      </c>
      <c r="M49" s="155" t="s">
        <v>3383</v>
      </c>
      <c r="N49" s="155"/>
      <c r="O49" s="155" t="s">
        <v>4880</v>
      </c>
      <c r="P49" s="156">
        <v>3</v>
      </c>
      <c r="Q49" s="155" t="s">
        <v>4881</v>
      </c>
      <c r="R49" s="168" t="s">
        <v>9104</v>
      </c>
      <c r="S49" s="169" t="s">
        <v>4990</v>
      </c>
      <c r="T49" s="155" t="s">
        <v>4884</v>
      </c>
      <c r="U49" s="155"/>
    </row>
    <row r="50" spans="1:21" s="145" customFormat="1" ht="28.5" x14ac:dyDescent="0.15">
      <c r="A50" s="154">
        <v>95104024</v>
      </c>
      <c r="B50" s="155" t="s">
        <v>4986</v>
      </c>
      <c r="C50" s="159" t="s">
        <v>4876</v>
      </c>
      <c r="D50" s="155" t="s">
        <v>4876</v>
      </c>
      <c r="E50" s="155" t="s">
        <v>9094</v>
      </c>
      <c r="F50" s="156">
        <v>4</v>
      </c>
      <c r="G50" s="154">
        <v>34</v>
      </c>
      <c r="H50" s="158" t="s">
        <v>4987</v>
      </c>
      <c r="I50" s="163" t="s">
        <v>4988</v>
      </c>
      <c r="J50" s="155">
        <v>1</v>
      </c>
      <c r="K50" s="155" t="b">
        <v>1</v>
      </c>
      <c r="L50" s="150">
        <v>600</v>
      </c>
      <c r="M50" s="155" t="s">
        <v>9096</v>
      </c>
      <c r="N50" s="155"/>
      <c r="O50" s="155" t="s">
        <v>4880</v>
      </c>
      <c r="P50" s="156">
        <v>4</v>
      </c>
      <c r="Q50" s="155" t="s">
        <v>4881</v>
      </c>
      <c r="R50" s="168" t="s">
        <v>9104</v>
      </c>
      <c r="S50" s="169" t="s">
        <v>4990</v>
      </c>
      <c r="T50" s="155" t="s">
        <v>4884</v>
      </c>
      <c r="U50" s="155"/>
    </row>
    <row r="51" spans="1:21" s="145" customFormat="1" ht="28.5" x14ac:dyDescent="0.15">
      <c r="A51" s="154">
        <v>95104025</v>
      </c>
      <c r="B51" s="155" t="s">
        <v>4986</v>
      </c>
      <c r="C51" s="159" t="s">
        <v>4876</v>
      </c>
      <c r="D51" s="155" t="s">
        <v>4876</v>
      </c>
      <c r="E51" s="155" t="s">
        <v>9094</v>
      </c>
      <c r="F51" s="156">
        <v>5</v>
      </c>
      <c r="G51" s="154">
        <v>34</v>
      </c>
      <c r="H51" s="158" t="s">
        <v>4987</v>
      </c>
      <c r="I51" s="163" t="s">
        <v>4988</v>
      </c>
      <c r="J51" s="155">
        <v>1</v>
      </c>
      <c r="K51" s="155" t="b">
        <v>1</v>
      </c>
      <c r="L51" s="150">
        <v>900</v>
      </c>
      <c r="M51" s="155" t="s">
        <v>3383</v>
      </c>
      <c r="N51" s="155"/>
      <c r="O51" s="155" t="s">
        <v>4880</v>
      </c>
      <c r="P51" s="156">
        <v>5</v>
      </c>
      <c r="Q51" s="155" t="s">
        <v>4881</v>
      </c>
      <c r="R51" s="168" t="s">
        <v>9104</v>
      </c>
      <c r="S51" s="169" t="s">
        <v>4990</v>
      </c>
      <c r="T51" s="155" t="s">
        <v>4884</v>
      </c>
      <c r="U51" s="155"/>
    </row>
    <row r="52" spans="1:21" ht="28.5" x14ac:dyDescent="0.15">
      <c r="A52" s="149">
        <v>95104031</v>
      </c>
      <c r="B52" s="150" t="s">
        <v>4994</v>
      </c>
      <c r="C52" s="160" t="s">
        <v>4876</v>
      </c>
      <c r="D52" s="150" t="s">
        <v>4876</v>
      </c>
      <c r="E52" s="150" t="s">
        <v>9094</v>
      </c>
      <c r="F52" s="151">
        <v>1</v>
      </c>
      <c r="G52" s="149">
        <v>34</v>
      </c>
      <c r="H52" s="153"/>
      <c r="I52" s="162"/>
      <c r="J52" s="150">
        <v>1</v>
      </c>
      <c r="K52" s="150" t="b">
        <v>1</v>
      </c>
      <c r="L52" s="150">
        <v>200</v>
      </c>
      <c r="M52" s="150" t="s">
        <v>3383</v>
      </c>
      <c r="N52" s="150"/>
      <c r="O52" s="150" t="s">
        <v>4880</v>
      </c>
      <c r="P52" s="151">
        <v>1</v>
      </c>
      <c r="Q52" s="150" t="s">
        <v>4881</v>
      </c>
      <c r="R52" s="165" t="s">
        <v>9105</v>
      </c>
      <c r="S52" s="170" t="s">
        <v>4998</v>
      </c>
      <c r="T52" s="164" t="s">
        <v>4884</v>
      </c>
      <c r="U52" s="164"/>
    </row>
    <row r="53" spans="1:21" ht="28.5" x14ac:dyDescent="0.15">
      <c r="A53" s="149">
        <v>95104032</v>
      </c>
      <c r="B53" s="150" t="s">
        <v>4994</v>
      </c>
      <c r="C53" s="160" t="s">
        <v>4876</v>
      </c>
      <c r="D53" s="150" t="s">
        <v>4876</v>
      </c>
      <c r="E53" s="150" t="s">
        <v>9094</v>
      </c>
      <c r="F53" s="151">
        <v>2</v>
      </c>
      <c r="G53" s="149">
        <v>34</v>
      </c>
      <c r="H53" s="153"/>
      <c r="I53" s="162"/>
      <c r="J53" s="150">
        <v>1</v>
      </c>
      <c r="K53" s="150" t="b">
        <v>1</v>
      </c>
      <c r="L53" s="150">
        <v>240</v>
      </c>
      <c r="M53" s="150" t="s">
        <v>9096</v>
      </c>
      <c r="N53" s="150"/>
      <c r="O53" s="150" t="s">
        <v>4880</v>
      </c>
      <c r="P53" s="151">
        <v>2</v>
      </c>
      <c r="Q53" s="150" t="s">
        <v>4881</v>
      </c>
      <c r="R53" s="165" t="s">
        <v>9105</v>
      </c>
      <c r="S53" s="170" t="s">
        <v>4998</v>
      </c>
      <c r="T53" s="164" t="s">
        <v>4884</v>
      </c>
      <c r="U53" s="164"/>
    </row>
    <row r="54" spans="1:21" ht="28.5" x14ac:dyDescent="0.15">
      <c r="A54" s="149">
        <v>95104033</v>
      </c>
      <c r="B54" s="150" t="s">
        <v>4994</v>
      </c>
      <c r="C54" s="160" t="s">
        <v>4876</v>
      </c>
      <c r="D54" s="150" t="s">
        <v>4876</v>
      </c>
      <c r="E54" s="150" t="s">
        <v>9094</v>
      </c>
      <c r="F54" s="151">
        <v>3</v>
      </c>
      <c r="G54" s="149">
        <v>34</v>
      </c>
      <c r="H54" s="153"/>
      <c r="I54" s="162"/>
      <c r="J54" s="150">
        <v>1</v>
      </c>
      <c r="K54" s="150" t="b">
        <v>1</v>
      </c>
      <c r="L54" s="150">
        <v>400</v>
      </c>
      <c r="M54" s="150" t="s">
        <v>3383</v>
      </c>
      <c r="N54" s="150"/>
      <c r="O54" s="150" t="s">
        <v>4880</v>
      </c>
      <c r="P54" s="151">
        <v>3</v>
      </c>
      <c r="Q54" s="150" t="s">
        <v>4881</v>
      </c>
      <c r="R54" s="165" t="s">
        <v>9105</v>
      </c>
      <c r="S54" s="170" t="s">
        <v>4998</v>
      </c>
      <c r="T54" s="164" t="s">
        <v>4884</v>
      </c>
      <c r="U54" s="164"/>
    </row>
    <row r="55" spans="1:21" ht="28.5" x14ac:dyDescent="0.15">
      <c r="A55" s="149">
        <v>95104034</v>
      </c>
      <c r="B55" s="150" t="s">
        <v>4994</v>
      </c>
      <c r="C55" s="160" t="s">
        <v>4876</v>
      </c>
      <c r="D55" s="150" t="s">
        <v>4876</v>
      </c>
      <c r="E55" s="150" t="s">
        <v>9094</v>
      </c>
      <c r="F55" s="151">
        <v>4</v>
      </c>
      <c r="G55" s="149">
        <v>34</v>
      </c>
      <c r="H55" s="153"/>
      <c r="I55" s="162"/>
      <c r="J55" s="150">
        <v>1</v>
      </c>
      <c r="K55" s="150" t="b">
        <v>1</v>
      </c>
      <c r="L55" s="150">
        <v>600</v>
      </c>
      <c r="M55" s="150" t="s">
        <v>9096</v>
      </c>
      <c r="N55" s="150"/>
      <c r="O55" s="150" t="s">
        <v>4880</v>
      </c>
      <c r="P55" s="151">
        <v>4</v>
      </c>
      <c r="Q55" s="150" t="s">
        <v>4881</v>
      </c>
      <c r="R55" s="165" t="s">
        <v>9105</v>
      </c>
      <c r="S55" s="170" t="s">
        <v>4998</v>
      </c>
      <c r="T55" s="164" t="s">
        <v>4884</v>
      </c>
      <c r="U55" s="164"/>
    </row>
    <row r="56" spans="1:21" ht="28.5" x14ac:dyDescent="0.15">
      <c r="A56" s="149">
        <v>95104035</v>
      </c>
      <c r="B56" s="150" t="s">
        <v>4994</v>
      </c>
      <c r="C56" s="160" t="s">
        <v>4876</v>
      </c>
      <c r="D56" s="150" t="s">
        <v>4876</v>
      </c>
      <c r="E56" s="150" t="s">
        <v>9094</v>
      </c>
      <c r="F56" s="151">
        <v>5</v>
      </c>
      <c r="G56" s="149">
        <v>34</v>
      </c>
      <c r="H56" s="153"/>
      <c r="I56" s="162"/>
      <c r="J56" s="150">
        <v>1</v>
      </c>
      <c r="K56" s="150" t="b">
        <v>1</v>
      </c>
      <c r="L56" s="150">
        <v>900</v>
      </c>
      <c r="M56" s="150" t="s">
        <v>3383</v>
      </c>
      <c r="N56" s="150"/>
      <c r="O56" s="150" t="s">
        <v>4880</v>
      </c>
      <c r="P56" s="151">
        <v>5</v>
      </c>
      <c r="Q56" s="150" t="s">
        <v>4881</v>
      </c>
      <c r="R56" s="165" t="s">
        <v>9105</v>
      </c>
      <c r="S56" s="170" t="s">
        <v>4998</v>
      </c>
      <c r="T56" s="164" t="s">
        <v>4884</v>
      </c>
      <c r="U56" s="164"/>
    </row>
    <row r="57" spans="1:21" s="145" customFormat="1" ht="28.5" x14ac:dyDescent="0.15">
      <c r="A57" s="154">
        <v>95105011</v>
      </c>
      <c r="B57" s="155" t="s">
        <v>5010</v>
      </c>
      <c r="C57" s="43" t="s">
        <v>4876</v>
      </c>
      <c r="D57" s="155" t="s">
        <v>4876</v>
      </c>
      <c r="E57" s="155" t="s">
        <v>9094</v>
      </c>
      <c r="F57" s="156">
        <v>1</v>
      </c>
      <c r="G57" s="154">
        <v>34</v>
      </c>
      <c r="H57" s="158" t="s">
        <v>5012</v>
      </c>
      <c r="I57" s="163" t="s">
        <v>5013</v>
      </c>
      <c r="J57" s="155">
        <v>1</v>
      </c>
      <c r="K57" s="155" t="b">
        <v>1</v>
      </c>
      <c r="L57" s="150">
        <v>200</v>
      </c>
      <c r="M57" s="155" t="s">
        <v>3383</v>
      </c>
      <c r="N57" s="155"/>
      <c r="O57" s="155" t="s">
        <v>4880</v>
      </c>
      <c r="P57" s="156">
        <v>1</v>
      </c>
      <c r="Q57" s="155" t="s">
        <v>4881</v>
      </c>
      <c r="R57" s="156" t="s">
        <v>9106</v>
      </c>
      <c r="S57" s="43" t="s">
        <v>5015</v>
      </c>
      <c r="T57" s="155" t="s">
        <v>4884</v>
      </c>
      <c r="U57" s="155"/>
    </row>
    <row r="58" spans="1:21" s="145" customFormat="1" ht="28.5" x14ac:dyDescent="0.15">
      <c r="A58" s="154">
        <v>95105012</v>
      </c>
      <c r="B58" s="155" t="s">
        <v>5010</v>
      </c>
      <c r="C58" s="43" t="s">
        <v>4876</v>
      </c>
      <c r="D58" s="155" t="s">
        <v>4876</v>
      </c>
      <c r="E58" s="155" t="s">
        <v>9094</v>
      </c>
      <c r="F58" s="156">
        <v>2</v>
      </c>
      <c r="G58" s="154">
        <v>34</v>
      </c>
      <c r="H58" s="158" t="s">
        <v>5012</v>
      </c>
      <c r="I58" s="163" t="s">
        <v>5013</v>
      </c>
      <c r="J58" s="155">
        <v>1</v>
      </c>
      <c r="K58" s="155" t="b">
        <v>1</v>
      </c>
      <c r="L58" s="150">
        <v>240</v>
      </c>
      <c r="M58" s="155" t="s">
        <v>9096</v>
      </c>
      <c r="N58" s="155"/>
      <c r="O58" s="155" t="s">
        <v>4880</v>
      </c>
      <c r="P58" s="156">
        <v>2</v>
      </c>
      <c r="Q58" s="155" t="s">
        <v>4881</v>
      </c>
      <c r="R58" s="156" t="s">
        <v>9106</v>
      </c>
      <c r="S58" s="43" t="s">
        <v>5015</v>
      </c>
      <c r="T58" s="155" t="s">
        <v>4884</v>
      </c>
      <c r="U58" s="155"/>
    </row>
    <row r="59" spans="1:21" s="145" customFormat="1" ht="28.5" x14ac:dyDescent="0.15">
      <c r="A59" s="154">
        <v>95105013</v>
      </c>
      <c r="B59" s="155" t="s">
        <v>5010</v>
      </c>
      <c r="C59" s="43" t="s">
        <v>4876</v>
      </c>
      <c r="D59" s="155" t="s">
        <v>4876</v>
      </c>
      <c r="E59" s="155" t="s">
        <v>9094</v>
      </c>
      <c r="F59" s="156">
        <v>3</v>
      </c>
      <c r="G59" s="154">
        <v>34</v>
      </c>
      <c r="H59" s="158" t="s">
        <v>5012</v>
      </c>
      <c r="I59" s="163" t="s">
        <v>5013</v>
      </c>
      <c r="J59" s="155">
        <v>1</v>
      </c>
      <c r="K59" s="155" t="b">
        <v>1</v>
      </c>
      <c r="L59" s="150">
        <v>400</v>
      </c>
      <c r="M59" s="155" t="s">
        <v>3383</v>
      </c>
      <c r="N59" s="155"/>
      <c r="O59" s="155" t="s">
        <v>4880</v>
      </c>
      <c r="P59" s="156">
        <v>3</v>
      </c>
      <c r="Q59" s="155" t="s">
        <v>4881</v>
      </c>
      <c r="R59" s="156" t="s">
        <v>9106</v>
      </c>
      <c r="S59" s="43" t="s">
        <v>5015</v>
      </c>
      <c r="T59" s="155" t="s">
        <v>4884</v>
      </c>
      <c r="U59" s="155"/>
    </row>
    <row r="60" spans="1:21" s="145" customFormat="1" ht="28.5" x14ac:dyDescent="0.15">
      <c r="A60" s="154">
        <v>95105014</v>
      </c>
      <c r="B60" s="155" t="s">
        <v>5010</v>
      </c>
      <c r="C60" s="43" t="s">
        <v>4876</v>
      </c>
      <c r="D60" s="155" t="s">
        <v>4876</v>
      </c>
      <c r="E60" s="155" t="s">
        <v>9094</v>
      </c>
      <c r="F60" s="156">
        <v>4</v>
      </c>
      <c r="G60" s="154">
        <v>34</v>
      </c>
      <c r="H60" s="158" t="s">
        <v>5012</v>
      </c>
      <c r="I60" s="163" t="s">
        <v>5013</v>
      </c>
      <c r="J60" s="155">
        <v>1</v>
      </c>
      <c r="K60" s="155" t="b">
        <v>1</v>
      </c>
      <c r="L60" s="150">
        <v>600</v>
      </c>
      <c r="M60" s="155" t="s">
        <v>9096</v>
      </c>
      <c r="N60" s="155"/>
      <c r="O60" s="155" t="s">
        <v>4880</v>
      </c>
      <c r="P60" s="156">
        <v>4</v>
      </c>
      <c r="Q60" s="155" t="s">
        <v>4881</v>
      </c>
      <c r="R60" s="156" t="s">
        <v>9106</v>
      </c>
      <c r="S60" s="43" t="s">
        <v>5015</v>
      </c>
      <c r="T60" s="155" t="s">
        <v>4884</v>
      </c>
      <c r="U60" s="155"/>
    </row>
    <row r="61" spans="1:21" s="145" customFormat="1" ht="28.5" x14ac:dyDescent="0.15">
      <c r="A61" s="154">
        <v>95105015</v>
      </c>
      <c r="B61" s="155" t="s">
        <v>5010</v>
      </c>
      <c r="C61" s="43" t="s">
        <v>4876</v>
      </c>
      <c r="D61" s="155" t="s">
        <v>4876</v>
      </c>
      <c r="E61" s="155" t="s">
        <v>9094</v>
      </c>
      <c r="F61" s="156">
        <v>5</v>
      </c>
      <c r="G61" s="154">
        <v>34</v>
      </c>
      <c r="H61" s="158" t="s">
        <v>5012</v>
      </c>
      <c r="I61" s="163" t="s">
        <v>5013</v>
      </c>
      <c r="J61" s="155">
        <v>1</v>
      </c>
      <c r="K61" s="155" t="b">
        <v>1</v>
      </c>
      <c r="L61" s="150">
        <v>900</v>
      </c>
      <c r="M61" s="155" t="s">
        <v>3383</v>
      </c>
      <c r="N61" s="155"/>
      <c r="O61" s="155" t="s">
        <v>4880</v>
      </c>
      <c r="P61" s="156">
        <v>5</v>
      </c>
      <c r="Q61" s="155" t="s">
        <v>4881</v>
      </c>
      <c r="R61" s="156" t="s">
        <v>9106</v>
      </c>
      <c r="S61" s="43" t="s">
        <v>5015</v>
      </c>
      <c r="T61" s="155" t="s">
        <v>4884</v>
      </c>
      <c r="U61" s="155"/>
    </row>
    <row r="62" spans="1:21" ht="28.5" x14ac:dyDescent="0.15">
      <c r="A62" s="149">
        <v>95106011</v>
      </c>
      <c r="B62" s="150" t="s">
        <v>5027</v>
      </c>
      <c r="C62" s="150" t="s">
        <v>4876</v>
      </c>
      <c r="D62" s="150" t="s">
        <v>4876</v>
      </c>
      <c r="E62" s="150" t="s">
        <v>9094</v>
      </c>
      <c r="F62" s="151">
        <v>1</v>
      </c>
      <c r="G62" s="149">
        <v>34</v>
      </c>
      <c r="I62" s="162"/>
      <c r="J62" s="150">
        <v>1</v>
      </c>
      <c r="K62" s="150" t="b">
        <v>1</v>
      </c>
      <c r="L62" s="150">
        <v>200</v>
      </c>
      <c r="M62" s="150" t="s">
        <v>3383</v>
      </c>
      <c r="N62" s="150"/>
      <c r="O62" s="150" t="s">
        <v>4880</v>
      </c>
      <c r="P62" s="151">
        <v>1</v>
      </c>
      <c r="Q62" s="150" t="s">
        <v>4881</v>
      </c>
      <c r="R62" s="165" t="s">
        <v>9107</v>
      </c>
      <c r="S62" s="83" t="s">
        <v>5031</v>
      </c>
      <c r="T62" s="164" t="s">
        <v>4884</v>
      </c>
      <c r="U62" s="164"/>
    </row>
    <row r="63" spans="1:21" ht="28.5" x14ac:dyDescent="0.15">
      <c r="A63" s="149">
        <v>95106012</v>
      </c>
      <c r="B63" s="150" t="s">
        <v>5027</v>
      </c>
      <c r="C63" s="150" t="s">
        <v>4876</v>
      </c>
      <c r="D63" s="150" t="s">
        <v>4876</v>
      </c>
      <c r="E63" s="150" t="s">
        <v>9094</v>
      </c>
      <c r="F63" s="151">
        <v>2</v>
      </c>
      <c r="G63" s="149">
        <v>34</v>
      </c>
      <c r="I63" s="162"/>
      <c r="J63" s="150">
        <v>1</v>
      </c>
      <c r="K63" s="150" t="b">
        <v>1</v>
      </c>
      <c r="L63" s="150">
        <v>240</v>
      </c>
      <c r="M63" s="150" t="s">
        <v>9096</v>
      </c>
      <c r="N63" s="150"/>
      <c r="O63" s="150" t="s">
        <v>4880</v>
      </c>
      <c r="P63" s="151">
        <v>2</v>
      </c>
      <c r="Q63" s="150" t="s">
        <v>4881</v>
      </c>
      <c r="R63" s="165" t="s">
        <v>9107</v>
      </c>
      <c r="S63" s="83" t="s">
        <v>5031</v>
      </c>
      <c r="T63" s="164" t="s">
        <v>4884</v>
      </c>
      <c r="U63" s="164"/>
    </row>
    <row r="64" spans="1:21" ht="28.5" x14ac:dyDescent="0.15">
      <c r="A64" s="149">
        <v>95106013</v>
      </c>
      <c r="B64" s="150" t="s">
        <v>5027</v>
      </c>
      <c r="C64" s="150" t="s">
        <v>4876</v>
      </c>
      <c r="D64" s="150" t="s">
        <v>4876</v>
      </c>
      <c r="E64" s="150" t="s">
        <v>9094</v>
      </c>
      <c r="F64" s="151">
        <v>3</v>
      </c>
      <c r="G64" s="149">
        <v>34</v>
      </c>
      <c r="I64" s="162"/>
      <c r="J64" s="150">
        <v>1</v>
      </c>
      <c r="K64" s="150" t="b">
        <v>1</v>
      </c>
      <c r="L64" s="150">
        <v>400</v>
      </c>
      <c r="M64" s="150" t="s">
        <v>3383</v>
      </c>
      <c r="N64" s="150"/>
      <c r="O64" s="150" t="s">
        <v>4880</v>
      </c>
      <c r="P64" s="151">
        <v>3</v>
      </c>
      <c r="Q64" s="150" t="s">
        <v>4881</v>
      </c>
      <c r="R64" s="165" t="s">
        <v>9107</v>
      </c>
      <c r="S64" s="83" t="s">
        <v>5031</v>
      </c>
      <c r="T64" s="164" t="s">
        <v>4884</v>
      </c>
      <c r="U64" s="164"/>
    </row>
    <row r="65" spans="1:21" ht="28.5" x14ac:dyDescent="0.15">
      <c r="A65" s="149">
        <v>95106014</v>
      </c>
      <c r="B65" s="150" t="s">
        <v>5027</v>
      </c>
      <c r="C65" s="150" t="s">
        <v>4876</v>
      </c>
      <c r="D65" s="150" t="s">
        <v>4876</v>
      </c>
      <c r="E65" s="150" t="s">
        <v>9094</v>
      </c>
      <c r="F65" s="151">
        <v>4</v>
      </c>
      <c r="G65" s="149">
        <v>34</v>
      </c>
      <c r="I65" s="162"/>
      <c r="J65" s="150">
        <v>1</v>
      </c>
      <c r="K65" s="150" t="b">
        <v>1</v>
      </c>
      <c r="L65" s="150">
        <v>600</v>
      </c>
      <c r="M65" s="150" t="s">
        <v>9096</v>
      </c>
      <c r="N65" s="150"/>
      <c r="O65" s="150" t="s">
        <v>4880</v>
      </c>
      <c r="P65" s="151">
        <v>4</v>
      </c>
      <c r="Q65" s="150" t="s">
        <v>4881</v>
      </c>
      <c r="R65" s="165" t="s">
        <v>9107</v>
      </c>
      <c r="S65" s="83" t="s">
        <v>5031</v>
      </c>
      <c r="T65" s="164" t="s">
        <v>4884</v>
      </c>
      <c r="U65" s="164"/>
    </row>
    <row r="66" spans="1:21" ht="28.5" x14ac:dyDescent="0.15">
      <c r="A66" s="149">
        <v>95106015</v>
      </c>
      <c r="B66" s="150" t="s">
        <v>5027</v>
      </c>
      <c r="C66" s="150" t="s">
        <v>4876</v>
      </c>
      <c r="D66" s="150" t="s">
        <v>4876</v>
      </c>
      <c r="E66" s="150" t="s">
        <v>9094</v>
      </c>
      <c r="F66" s="151">
        <v>5</v>
      </c>
      <c r="G66" s="149">
        <v>34</v>
      </c>
      <c r="H66" s="153"/>
      <c r="I66" s="162"/>
      <c r="J66" s="150">
        <v>1</v>
      </c>
      <c r="K66" s="150" t="b">
        <v>1</v>
      </c>
      <c r="L66" s="150">
        <v>900</v>
      </c>
      <c r="M66" s="150" t="s">
        <v>3383</v>
      </c>
      <c r="N66" s="150"/>
      <c r="O66" s="150" t="s">
        <v>4880</v>
      </c>
      <c r="P66" s="151">
        <v>5</v>
      </c>
      <c r="Q66" s="150" t="s">
        <v>4881</v>
      </c>
      <c r="R66" s="165" t="s">
        <v>9107</v>
      </c>
      <c r="S66" s="83" t="s">
        <v>5031</v>
      </c>
      <c r="T66" s="164" t="s">
        <v>4884</v>
      </c>
      <c r="U66" s="164"/>
    </row>
    <row r="67" spans="1:21" s="145" customFormat="1" ht="28.5" x14ac:dyDescent="0.15">
      <c r="A67" s="154">
        <v>95109011</v>
      </c>
      <c r="B67" s="155" t="s">
        <v>5043</v>
      </c>
      <c r="C67" s="43" t="s">
        <v>4876</v>
      </c>
      <c r="D67" s="155" t="s">
        <v>4876</v>
      </c>
      <c r="E67" s="155" t="s">
        <v>9094</v>
      </c>
      <c r="F67" s="156">
        <v>1</v>
      </c>
      <c r="G67" s="154">
        <v>34</v>
      </c>
      <c r="H67" s="155" t="s">
        <v>5045</v>
      </c>
      <c r="I67" s="163" t="s">
        <v>5046</v>
      </c>
      <c r="J67" s="155">
        <v>1</v>
      </c>
      <c r="K67" s="155" t="b">
        <v>1</v>
      </c>
      <c r="L67" s="150">
        <v>200</v>
      </c>
      <c r="M67" s="155" t="s">
        <v>3383</v>
      </c>
      <c r="N67" s="155"/>
      <c r="O67" s="155" t="s">
        <v>4880</v>
      </c>
      <c r="P67" s="156">
        <v>1</v>
      </c>
      <c r="Q67" s="155" t="s">
        <v>4881</v>
      </c>
      <c r="R67" s="166" t="s">
        <v>9107</v>
      </c>
      <c r="S67" s="169" t="s">
        <v>5048</v>
      </c>
      <c r="T67" s="155" t="s">
        <v>4884</v>
      </c>
      <c r="U67" s="155"/>
    </row>
    <row r="68" spans="1:21" s="145" customFormat="1" ht="28.5" x14ac:dyDescent="0.15">
      <c r="A68" s="154">
        <v>95109012</v>
      </c>
      <c r="B68" s="155" t="s">
        <v>5043</v>
      </c>
      <c r="C68" s="43" t="s">
        <v>4876</v>
      </c>
      <c r="D68" s="155" t="s">
        <v>4876</v>
      </c>
      <c r="E68" s="155" t="s">
        <v>9094</v>
      </c>
      <c r="F68" s="156">
        <v>2</v>
      </c>
      <c r="G68" s="154">
        <v>34</v>
      </c>
      <c r="H68" s="155" t="s">
        <v>5045</v>
      </c>
      <c r="I68" s="163" t="s">
        <v>5046</v>
      </c>
      <c r="J68" s="155">
        <v>1</v>
      </c>
      <c r="K68" s="155" t="b">
        <v>1</v>
      </c>
      <c r="L68" s="150">
        <v>240</v>
      </c>
      <c r="M68" s="155" t="s">
        <v>9096</v>
      </c>
      <c r="N68" s="155"/>
      <c r="O68" s="155" t="s">
        <v>4880</v>
      </c>
      <c r="P68" s="156">
        <v>2</v>
      </c>
      <c r="Q68" s="155" t="s">
        <v>4881</v>
      </c>
      <c r="R68" s="166" t="s">
        <v>9108</v>
      </c>
      <c r="S68" s="169" t="s">
        <v>5048</v>
      </c>
      <c r="T68" s="155" t="s">
        <v>4884</v>
      </c>
      <c r="U68" s="155"/>
    </row>
    <row r="69" spans="1:21" s="145" customFormat="1" ht="28.5" x14ac:dyDescent="0.15">
      <c r="A69" s="154">
        <v>95109013</v>
      </c>
      <c r="B69" s="155" t="s">
        <v>5043</v>
      </c>
      <c r="C69" s="43" t="s">
        <v>4876</v>
      </c>
      <c r="D69" s="155" t="s">
        <v>4876</v>
      </c>
      <c r="E69" s="155" t="s">
        <v>9094</v>
      </c>
      <c r="F69" s="156">
        <v>3</v>
      </c>
      <c r="G69" s="154">
        <v>34</v>
      </c>
      <c r="H69" s="155" t="s">
        <v>5045</v>
      </c>
      <c r="I69" s="163" t="s">
        <v>5046</v>
      </c>
      <c r="J69" s="155">
        <v>1</v>
      </c>
      <c r="K69" s="155" t="b">
        <v>1</v>
      </c>
      <c r="L69" s="150">
        <v>400</v>
      </c>
      <c r="M69" s="155" t="s">
        <v>3383</v>
      </c>
      <c r="N69" s="155"/>
      <c r="O69" s="155" t="s">
        <v>4880</v>
      </c>
      <c r="P69" s="156">
        <v>3</v>
      </c>
      <c r="Q69" s="155" t="s">
        <v>4881</v>
      </c>
      <c r="R69" s="166" t="s">
        <v>9108</v>
      </c>
      <c r="S69" s="169" t="s">
        <v>5048</v>
      </c>
      <c r="T69" s="155" t="s">
        <v>4884</v>
      </c>
      <c r="U69" s="155"/>
    </row>
    <row r="70" spans="1:21" s="145" customFormat="1" ht="28.5" x14ac:dyDescent="0.15">
      <c r="A70" s="154">
        <v>95109014</v>
      </c>
      <c r="B70" s="155" t="s">
        <v>5043</v>
      </c>
      <c r="C70" s="43" t="s">
        <v>4876</v>
      </c>
      <c r="D70" s="155" t="s">
        <v>4876</v>
      </c>
      <c r="E70" s="155" t="s">
        <v>9094</v>
      </c>
      <c r="F70" s="156">
        <v>4</v>
      </c>
      <c r="G70" s="154">
        <v>34</v>
      </c>
      <c r="H70" s="155" t="s">
        <v>5045</v>
      </c>
      <c r="I70" s="163" t="s">
        <v>5046</v>
      </c>
      <c r="J70" s="155">
        <v>1</v>
      </c>
      <c r="K70" s="155" t="b">
        <v>1</v>
      </c>
      <c r="L70" s="150">
        <v>600</v>
      </c>
      <c r="M70" s="155" t="s">
        <v>9096</v>
      </c>
      <c r="N70" s="155"/>
      <c r="O70" s="155" t="s">
        <v>4880</v>
      </c>
      <c r="P70" s="156">
        <v>4</v>
      </c>
      <c r="Q70" s="155" t="s">
        <v>4881</v>
      </c>
      <c r="R70" s="166" t="s">
        <v>9108</v>
      </c>
      <c r="S70" s="169" t="s">
        <v>5048</v>
      </c>
      <c r="T70" s="155" t="s">
        <v>4884</v>
      </c>
      <c r="U70" s="155"/>
    </row>
    <row r="71" spans="1:21" s="145" customFormat="1" ht="28.5" x14ac:dyDescent="0.15">
      <c r="A71" s="154">
        <v>95109015</v>
      </c>
      <c r="B71" s="155" t="s">
        <v>5043</v>
      </c>
      <c r="C71" s="43" t="s">
        <v>4876</v>
      </c>
      <c r="D71" s="155" t="s">
        <v>4876</v>
      </c>
      <c r="E71" s="155" t="s">
        <v>9094</v>
      </c>
      <c r="F71" s="156">
        <v>5</v>
      </c>
      <c r="G71" s="154">
        <v>34</v>
      </c>
      <c r="H71" s="155" t="s">
        <v>5045</v>
      </c>
      <c r="I71" s="163" t="s">
        <v>5046</v>
      </c>
      <c r="J71" s="155">
        <v>1</v>
      </c>
      <c r="K71" s="155" t="b">
        <v>1</v>
      </c>
      <c r="L71" s="150">
        <v>900</v>
      </c>
      <c r="M71" s="155" t="s">
        <v>3383</v>
      </c>
      <c r="N71" s="155"/>
      <c r="O71" s="155" t="s">
        <v>4880</v>
      </c>
      <c r="P71" s="156">
        <v>5</v>
      </c>
      <c r="Q71" s="155" t="s">
        <v>4881</v>
      </c>
      <c r="R71" s="166" t="s">
        <v>9108</v>
      </c>
      <c r="S71" s="169" t="s">
        <v>5048</v>
      </c>
      <c r="T71" s="155" t="s">
        <v>4884</v>
      </c>
      <c r="U71" s="155"/>
    </row>
    <row r="72" spans="1:21" s="145" customFormat="1" ht="28.5" x14ac:dyDescent="0.15">
      <c r="A72" s="154">
        <v>95110011</v>
      </c>
      <c r="B72" s="155" t="s">
        <v>5060</v>
      </c>
      <c r="C72" s="43" t="s">
        <v>4876</v>
      </c>
      <c r="D72" s="155" t="s">
        <v>4876</v>
      </c>
      <c r="E72" s="155" t="s">
        <v>9094</v>
      </c>
      <c r="F72" s="156">
        <v>1</v>
      </c>
      <c r="G72" s="154">
        <v>34</v>
      </c>
      <c r="H72" s="158" t="s">
        <v>5061</v>
      </c>
      <c r="I72" s="163" t="s">
        <v>5062</v>
      </c>
      <c r="J72" s="155">
        <v>1</v>
      </c>
      <c r="K72" s="155" t="b">
        <v>1</v>
      </c>
      <c r="L72" s="150">
        <v>200</v>
      </c>
      <c r="M72" s="155" t="s">
        <v>3383</v>
      </c>
      <c r="N72" s="155"/>
      <c r="O72" s="155" t="s">
        <v>4880</v>
      </c>
      <c r="P72" s="156">
        <v>1</v>
      </c>
      <c r="Q72" s="155" t="s">
        <v>4881</v>
      </c>
      <c r="R72" s="156" t="s">
        <v>9109</v>
      </c>
      <c r="S72" s="169" t="s">
        <v>5064</v>
      </c>
      <c r="T72" s="155" t="s">
        <v>4884</v>
      </c>
      <c r="U72" s="155"/>
    </row>
    <row r="73" spans="1:21" s="145" customFormat="1" ht="28.5" x14ac:dyDescent="0.15">
      <c r="A73" s="154">
        <v>95110012</v>
      </c>
      <c r="B73" s="155" t="s">
        <v>5060</v>
      </c>
      <c r="C73" s="43" t="s">
        <v>4876</v>
      </c>
      <c r="D73" s="155" t="s">
        <v>4876</v>
      </c>
      <c r="E73" s="155" t="s">
        <v>9094</v>
      </c>
      <c r="F73" s="156">
        <v>2</v>
      </c>
      <c r="G73" s="154">
        <v>34</v>
      </c>
      <c r="H73" s="158" t="s">
        <v>5061</v>
      </c>
      <c r="I73" s="163" t="s">
        <v>5062</v>
      </c>
      <c r="J73" s="155">
        <v>1</v>
      </c>
      <c r="K73" s="155" t="b">
        <v>1</v>
      </c>
      <c r="L73" s="150">
        <v>240</v>
      </c>
      <c r="M73" s="155" t="s">
        <v>9096</v>
      </c>
      <c r="N73" s="155"/>
      <c r="O73" s="155" t="s">
        <v>4880</v>
      </c>
      <c r="P73" s="156">
        <v>2</v>
      </c>
      <c r="Q73" s="155" t="s">
        <v>4881</v>
      </c>
      <c r="R73" s="156" t="s">
        <v>9109</v>
      </c>
      <c r="S73" s="169" t="s">
        <v>5064</v>
      </c>
      <c r="T73" s="155" t="s">
        <v>4884</v>
      </c>
      <c r="U73" s="155"/>
    </row>
    <row r="74" spans="1:21" s="145" customFormat="1" ht="28.5" x14ac:dyDescent="0.15">
      <c r="A74" s="154">
        <v>95110013</v>
      </c>
      <c r="B74" s="155" t="s">
        <v>5060</v>
      </c>
      <c r="C74" s="43" t="s">
        <v>4876</v>
      </c>
      <c r="D74" s="155" t="s">
        <v>4876</v>
      </c>
      <c r="E74" s="155" t="s">
        <v>9094</v>
      </c>
      <c r="F74" s="156">
        <v>3</v>
      </c>
      <c r="G74" s="154">
        <v>34</v>
      </c>
      <c r="H74" s="158" t="s">
        <v>5061</v>
      </c>
      <c r="I74" s="163" t="s">
        <v>5062</v>
      </c>
      <c r="J74" s="155">
        <v>1</v>
      </c>
      <c r="K74" s="155" t="b">
        <v>1</v>
      </c>
      <c r="L74" s="150">
        <v>400</v>
      </c>
      <c r="M74" s="155" t="s">
        <v>3383</v>
      </c>
      <c r="N74" s="155"/>
      <c r="O74" s="155" t="s">
        <v>4880</v>
      </c>
      <c r="P74" s="156">
        <v>3</v>
      </c>
      <c r="Q74" s="155" t="s">
        <v>4881</v>
      </c>
      <c r="R74" s="156" t="s">
        <v>9109</v>
      </c>
      <c r="S74" s="169" t="s">
        <v>5064</v>
      </c>
      <c r="T74" s="155" t="s">
        <v>4884</v>
      </c>
      <c r="U74" s="155"/>
    </row>
    <row r="75" spans="1:21" s="145" customFormat="1" ht="28.5" x14ac:dyDescent="0.15">
      <c r="A75" s="154">
        <v>95110014</v>
      </c>
      <c r="B75" s="155" t="s">
        <v>5060</v>
      </c>
      <c r="C75" s="43" t="s">
        <v>4876</v>
      </c>
      <c r="D75" s="155" t="s">
        <v>4876</v>
      </c>
      <c r="E75" s="155" t="s">
        <v>9094</v>
      </c>
      <c r="F75" s="156">
        <v>4</v>
      </c>
      <c r="G75" s="154">
        <v>34</v>
      </c>
      <c r="H75" s="158" t="s">
        <v>5061</v>
      </c>
      <c r="I75" s="163" t="s">
        <v>5062</v>
      </c>
      <c r="J75" s="155">
        <v>1</v>
      </c>
      <c r="K75" s="155" t="b">
        <v>1</v>
      </c>
      <c r="L75" s="150">
        <v>600</v>
      </c>
      <c r="M75" s="155" t="s">
        <v>9096</v>
      </c>
      <c r="N75" s="155"/>
      <c r="O75" s="155" t="s">
        <v>4880</v>
      </c>
      <c r="P75" s="156">
        <v>4</v>
      </c>
      <c r="Q75" s="155" t="s">
        <v>4881</v>
      </c>
      <c r="R75" s="156" t="s">
        <v>9109</v>
      </c>
      <c r="S75" s="169" t="s">
        <v>5064</v>
      </c>
      <c r="T75" s="155" t="s">
        <v>4884</v>
      </c>
      <c r="U75" s="155"/>
    </row>
    <row r="76" spans="1:21" s="145" customFormat="1" ht="28.5" x14ac:dyDescent="0.15">
      <c r="A76" s="154">
        <v>95110015</v>
      </c>
      <c r="B76" s="155" t="s">
        <v>5060</v>
      </c>
      <c r="C76" s="43" t="s">
        <v>4876</v>
      </c>
      <c r="D76" s="155" t="s">
        <v>4876</v>
      </c>
      <c r="E76" s="155" t="s">
        <v>9094</v>
      </c>
      <c r="F76" s="156">
        <v>5</v>
      </c>
      <c r="G76" s="154">
        <v>34</v>
      </c>
      <c r="H76" s="158" t="s">
        <v>5061</v>
      </c>
      <c r="I76" s="163" t="s">
        <v>5062</v>
      </c>
      <c r="J76" s="155">
        <v>1</v>
      </c>
      <c r="K76" s="155" t="b">
        <v>1</v>
      </c>
      <c r="L76" s="150">
        <v>900</v>
      </c>
      <c r="M76" s="155" t="s">
        <v>3383</v>
      </c>
      <c r="N76" s="155"/>
      <c r="O76" s="155" t="s">
        <v>4880</v>
      </c>
      <c r="P76" s="156">
        <v>5</v>
      </c>
      <c r="Q76" s="155" t="s">
        <v>4881</v>
      </c>
      <c r="R76" s="156" t="s">
        <v>9109</v>
      </c>
      <c r="S76" s="169" t="s">
        <v>5064</v>
      </c>
      <c r="T76" s="155" t="s">
        <v>4884</v>
      </c>
      <c r="U76" s="155"/>
    </row>
    <row r="77" spans="1:21" s="145" customFormat="1" ht="28.5" x14ac:dyDescent="0.15">
      <c r="A77" s="154">
        <v>95201011</v>
      </c>
      <c r="B77" s="155" t="s">
        <v>5147</v>
      </c>
      <c r="C77" s="43" t="s">
        <v>4876</v>
      </c>
      <c r="D77" s="155" t="s">
        <v>4876</v>
      </c>
      <c r="E77" s="155" t="s">
        <v>9094</v>
      </c>
      <c r="F77" s="156">
        <v>1</v>
      </c>
      <c r="G77" s="154">
        <v>34</v>
      </c>
      <c r="H77" s="158" t="s">
        <v>5149</v>
      </c>
      <c r="I77" s="163">
        <v>2010101</v>
      </c>
      <c r="J77" s="155">
        <v>1</v>
      </c>
      <c r="K77" s="155" t="b">
        <v>1</v>
      </c>
      <c r="L77" s="150">
        <v>200</v>
      </c>
      <c r="M77" s="155" t="s">
        <v>3383</v>
      </c>
      <c r="N77" s="155"/>
      <c r="O77" s="155" t="s">
        <v>4880</v>
      </c>
      <c r="P77" s="156">
        <v>1</v>
      </c>
      <c r="Q77" s="155" t="s">
        <v>4881</v>
      </c>
      <c r="R77" s="156" t="s">
        <v>5151</v>
      </c>
      <c r="S77" s="43" t="s">
        <v>5152</v>
      </c>
      <c r="T77" s="155" t="s">
        <v>4884</v>
      </c>
      <c r="U77" s="155"/>
    </row>
    <row r="78" spans="1:21" s="145" customFormat="1" ht="28.5" x14ac:dyDescent="0.15">
      <c r="A78" s="154">
        <v>95201012</v>
      </c>
      <c r="B78" s="155" t="s">
        <v>5147</v>
      </c>
      <c r="C78" s="43" t="s">
        <v>4876</v>
      </c>
      <c r="D78" s="155" t="s">
        <v>4876</v>
      </c>
      <c r="E78" s="155" t="s">
        <v>9094</v>
      </c>
      <c r="F78" s="156">
        <v>2</v>
      </c>
      <c r="G78" s="154">
        <v>34</v>
      </c>
      <c r="H78" s="158" t="s">
        <v>5149</v>
      </c>
      <c r="I78" s="163" t="s">
        <v>5150</v>
      </c>
      <c r="J78" s="155">
        <v>1</v>
      </c>
      <c r="K78" s="155" t="b">
        <v>1</v>
      </c>
      <c r="L78" s="150">
        <v>240</v>
      </c>
      <c r="M78" s="155" t="s">
        <v>9096</v>
      </c>
      <c r="N78" s="155"/>
      <c r="O78" s="155" t="s">
        <v>4880</v>
      </c>
      <c r="P78" s="156">
        <v>2</v>
      </c>
      <c r="Q78" s="155" t="s">
        <v>4881</v>
      </c>
      <c r="R78" s="156" t="s">
        <v>5151</v>
      </c>
      <c r="S78" s="43" t="s">
        <v>5152</v>
      </c>
      <c r="T78" s="155" t="s">
        <v>4884</v>
      </c>
      <c r="U78" s="155"/>
    </row>
    <row r="79" spans="1:21" s="145" customFormat="1" ht="28.5" x14ac:dyDescent="0.15">
      <c r="A79" s="154">
        <v>95201013</v>
      </c>
      <c r="B79" s="155" t="s">
        <v>5147</v>
      </c>
      <c r="C79" s="43" t="s">
        <v>4876</v>
      </c>
      <c r="D79" s="155" t="s">
        <v>4876</v>
      </c>
      <c r="E79" s="155" t="s">
        <v>9094</v>
      </c>
      <c r="F79" s="156">
        <v>3</v>
      </c>
      <c r="G79" s="154">
        <v>34</v>
      </c>
      <c r="H79" s="158" t="s">
        <v>5149</v>
      </c>
      <c r="I79" s="163" t="s">
        <v>5150</v>
      </c>
      <c r="J79" s="155">
        <v>1</v>
      </c>
      <c r="K79" s="155" t="b">
        <v>1</v>
      </c>
      <c r="L79" s="150">
        <v>400</v>
      </c>
      <c r="M79" s="155" t="s">
        <v>3383</v>
      </c>
      <c r="N79" s="155"/>
      <c r="O79" s="155" t="s">
        <v>4880</v>
      </c>
      <c r="P79" s="156">
        <v>3</v>
      </c>
      <c r="Q79" s="155" t="s">
        <v>4881</v>
      </c>
      <c r="R79" s="156" t="s">
        <v>5151</v>
      </c>
      <c r="S79" s="43" t="s">
        <v>5152</v>
      </c>
      <c r="T79" s="155" t="s">
        <v>4884</v>
      </c>
      <c r="U79" s="155"/>
    </row>
    <row r="80" spans="1:21" s="145" customFormat="1" ht="28.5" x14ac:dyDescent="0.15">
      <c r="A80" s="154">
        <v>95201014</v>
      </c>
      <c r="B80" s="155" t="s">
        <v>5147</v>
      </c>
      <c r="C80" s="43" t="s">
        <v>4876</v>
      </c>
      <c r="D80" s="155" t="s">
        <v>4876</v>
      </c>
      <c r="E80" s="155" t="s">
        <v>9094</v>
      </c>
      <c r="F80" s="156">
        <v>4</v>
      </c>
      <c r="G80" s="154">
        <v>34</v>
      </c>
      <c r="H80" s="158" t="s">
        <v>5149</v>
      </c>
      <c r="I80" s="163" t="s">
        <v>5150</v>
      </c>
      <c r="J80" s="155">
        <v>1</v>
      </c>
      <c r="K80" s="155" t="b">
        <v>1</v>
      </c>
      <c r="L80" s="150">
        <v>600</v>
      </c>
      <c r="M80" s="155" t="s">
        <v>9096</v>
      </c>
      <c r="N80" s="155"/>
      <c r="O80" s="155" t="s">
        <v>4880</v>
      </c>
      <c r="P80" s="156">
        <v>4</v>
      </c>
      <c r="Q80" s="155" t="s">
        <v>4881</v>
      </c>
      <c r="R80" s="156" t="s">
        <v>5151</v>
      </c>
      <c r="S80" s="43" t="s">
        <v>5152</v>
      </c>
      <c r="T80" s="155" t="s">
        <v>4884</v>
      </c>
      <c r="U80" s="155"/>
    </row>
    <row r="81" spans="1:21" s="145" customFormat="1" ht="28.5" x14ac:dyDescent="0.15">
      <c r="A81" s="154">
        <v>95201015</v>
      </c>
      <c r="B81" s="155" t="s">
        <v>5147</v>
      </c>
      <c r="C81" s="43" t="s">
        <v>4876</v>
      </c>
      <c r="D81" s="155" t="s">
        <v>4876</v>
      </c>
      <c r="E81" s="155" t="s">
        <v>9094</v>
      </c>
      <c r="F81" s="156">
        <v>5</v>
      </c>
      <c r="G81" s="154">
        <v>34</v>
      </c>
      <c r="H81" s="158" t="s">
        <v>5149</v>
      </c>
      <c r="I81" s="163" t="s">
        <v>5150</v>
      </c>
      <c r="J81" s="155">
        <v>1</v>
      </c>
      <c r="K81" s="155" t="b">
        <v>1</v>
      </c>
      <c r="L81" s="150">
        <v>900</v>
      </c>
      <c r="M81" s="155" t="s">
        <v>3383</v>
      </c>
      <c r="N81" s="155"/>
      <c r="O81" s="155" t="s">
        <v>4880</v>
      </c>
      <c r="P81" s="156">
        <v>5</v>
      </c>
      <c r="Q81" s="155" t="s">
        <v>4881</v>
      </c>
      <c r="R81" s="156" t="s">
        <v>5151</v>
      </c>
      <c r="S81" s="43" t="s">
        <v>5152</v>
      </c>
      <c r="T81" s="155" t="s">
        <v>4884</v>
      </c>
      <c r="U81" s="155"/>
    </row>
    <row r="82" spans="1:21" s="145" customFormat="1" ht="42.75" x14ac:dyDescent="0.15">
      <c r="A82" s="154">
        <v>95201021</v>
      </c>
      <c r="B82" s="155" t="s">
        <v>5156</v>
      </c>
      <c r="C82" s="43" t="s">
        <v>4876</v>
      </c>
      <c r="D82" s="155" t="s">
        <v>4876</v>
      </c>
      <c r="E82" s="155" t="s">
        <v>9094</v>
      </c>
      <c r="F82" s="156">
        <v>1</v>
      </c>
      <c r="G82" s="154">
        <v>34</v>
      </c>
      <c r="H82" s="158" t="s">
        <v>5157</v>
      </c>
      <c r="I82" s="163" t="s">
        <v>5158</v>
      </c>
      <c r="J82" s="155">
        <v>1</v>
      </c>
      <c r="K82" s="155" t="b">
        <v>1</v>
      </c>
      <c r="L82" s="150">
        <v>200</v>
      </c>
      <c r="M82" s="155" t="s">
        <v>3383</v>
      </c>
      <c r="N82" s="155"/>
      <c r="O82" s="155" t="s">
        <v>4880</v>
      </c>
      <c r="P82" s="156">
        <v>1</v>
      </c>
      <c r="Q82" s="155" t="s">
        <v>4881</v>
      </c>
      <c r="R82" s="173" t="s">
        <v>9110</v>
      </c>
      <c r="S82" s="43" t="s">
        <v>5160</v>
      </c>
      <c r="T82" s="155" t="s">
        <v>4884</v>
      </c>
      <c r="U82" s="155"/>
    </row>
    <row r="83" spans="1:21" s="145" customFormat="1" ht="42.75" x14ac:dyDescent="0.15">
      <c r="A83" s="154">
        <v>95201022</v>
      </c>
      <c r="B83" s="155" t="s">
        <v>5156</v>
      </c>
      <c r="C83" s="43" t="s">
        <v>4876</v>
      </c>
      <c r="D83" s="155" t="s">
        <v>4876</v>
      </c>
      <c r="E83" s="155" t="s">
        <v>9094</v>
      </c>
      <c r="F83" s="156">
        <v>2</v>
      </c>
      <c r="G83" s="154">
        <v>34</v>
      </c>
      <c r="H83" s="158" t="s">
        <v>5157</v>
      </c>
      <c r="I83" s="163" t="s">
        <v>5158</v>
      </c>
      <c r="J83" s="155">
        <v>1</v>
      </c>
      <c r="K83" s="155" t="b">
        <v>1</v>
      </c>
      <c r="L83" s="150">
        <v>240</v>
      </c>
      <c r="M83" s="155" t="s">
        <v>9096</v>
      </c>
      <c r="N83" s="155"/>
      <c r="O83" s="155" t="s">
        <v>4880</v>
      </c>
      <c r="P83" s="156">
        <v>2</v>
      </c>
      <c r="Q83" s="155" t="s">
        <v>4881</v>
      </c>
      <c r="R83" s="173" t="s">
        <v>9110</v>
      </c>
      <c r="S83" s="43" t="s">
        <v>5160</v>
      </c>
      <c r="T83" s="155" t="s">
        <v>4884</v>
      </c>
      <c r="U83" s="155"/>
    </row>
    <row r="84" spans="1:21" s="145" customFormat="1" ht="42.75" x14ac:dyDescent="0.15">
      <c r="A84" s="154">
        <v>95201023</v>
      </c>
      <c r="B84" s="155" t="s">
        <v>5156</v>
      </c>
      <c r="C84" s="43" t="s">
        <v>4876</v>
      </c>
      <c r="D84" s="155" t="s">
        <v>4876</v>
      </c>
      <c r="E84" s="155" t="s">
        <v>9094</v>
      </c>
      <c r="F84" s="156">
        <v>3</v>
      </c>
      <c r="G84" s="154">
        <v>34</v>
      </c>
      <c r="H84" s="158" t="s">
        <v>5157</v>
      </c>
      <c r="I84" s="163" t="s">
        <v>5158</v>
      </c>
      <c r="J84" s="155">
        <v>1</v>
      </c>
      <c r="K84" s="155" t="b">
        <v>1</v>
      </c>
      <c r="L84" s="150">
        <v>400</v>
      </c>
      <c r="M84" s="155" t="s">
        <v>3383</v>
      </c>
      <c r="N84" s="155"/>
      <c r="O84" s="155" t="s">
        <v>4880</v>
      </c>
      <c r="P84" s="156">
        <v>3</v>
      </c>
      <c r="Q84" s="155" t="s">
        <v>4881</v>
      </c>
      <c r="R84" s="173" t="s">
        <v>9110</v>
      </c>
      <c r="S84" s="43" t="s">
        <v>5160</v>
      </c>
      <c r="T84" s="155" t="s">
        <v>4884</v>
      </c>
      <c r="U84" s="155"/>
    </row>
    <row r="85" spans="1:21" s="145" customFormat="1" ht="42.75" x14ac:dyDescent="0.15">
      <c r="A85" s="154">
        <v>95201024</v>
      </c>
      <c r="B85" s="155" t="s">
        <v>5156</v>
      </c>
      <c r="C85" s="43" t="s">
        <v>4876</v>
      </c>
      <c r="D85" s="155" t="s">
        <v>4876</v>
      </c>
      <c r="E85" s="155" t="s">
        <v>9094</v>
      </c>
      <c r="F85" s="156">
        <v>4</v>
      </c>
      <c r="G85" s="154">
        <v>34</v>
      </c>
      <c r="H85" s="158" t="s">
        <v>5157</v>
      </c>
      <c r="I85" s="163" t="s">
        <v>5158</v>
      </c>
      <c r="J85" s="155">
        <v>1</v>
      </c>
      <c r="K85" s="155" t="b">
        <v>1</v>
      </c>
      <c r="L85" s="150">
        <v>600</v>
      </c>
      <c r="M85" s="155" t="s">
        <v>9096</v>
      </c>
      <c r="N85" s="155"/>
      <c r="O85" s="155" t="s">
        <v>4880</v>
      </c>
      <c r="P85" s="156">
        <v>4</v>
      </c>
      <c r="Q85" s="155" t="s">
        <v>4881</v>
      </c>
      <c r="R85" s="173" t="s">
        <v>9110</v>
      </c>
      <c r="S85" s="43" t="s">
        <v>5160</v>
      </c>
      <c r="T85" s="155" t="s">
        <v>4884</v>
      </c>
      <c r="U85" s="155"/>
    </row>
    <row r="86" spans="1:21" s="145" customFormat="1" ht="42.75" x14ac:dyDescent="0.15">
      <c r="A86" s="154">
        <v>95201025</v>
      </c>
      <c r="B86" s="155" t="s">
        <v>5156</v>
      </c>
      <c r="C86" s="43" t="s">
        <v>4876</v>
      </c>
      <c r="D86" s="155" t="s">
        <v>4876</v>
      </c>
      <c r="E86" s="155" t="s">
        <v>9094</v>
      </c>
      <c r="F86" s="156">
        <v>5</v>
      </c>
      <c r="G86" s="154">
        <v>34</v>
      </c>
      <c r="H86" s="158" t="s">
        <v>5157</v>
      </c>
      <c r="I86" s="163" t="s">
        <v>5158</v>
      </c>
      <c r="J86" s="155">
        <v>1</v>
      </c>
      <c r="K86" s="155" t="b">
        <v>1</v>
      </c>
      <c r="L86" s="150">
        <v>900</v>
      </c>
      <c r="M86" s="155" t="s">
        <v>3383</v>
      </c>
      <c r="N86" s="155"/>
      <c r="O86" s="155" t="s">
        <v>4880</v>
      </c>
      <c r="P86" s="156">
        <v>5</v>
      </c>
      <c r="Q86" s="155" t="s">
        <v>4881</v>
      </c>
      <c r="R86" s="173" t="s">
        <v>9110</v>
      </c>
      <c r="S86" s="43" t="s">
        <v>5160</v>
      </c>
      <c r="T86" s="155" t="s">
        <v>4884</v>
      </c>
      <c r="U86" s="155"/>
    </row>
    <row r="87" spans="1:21" ht="28.5" x14ac:dyDescent="0.15">
      <c r="A87" s="149">
        <v>95201031</v>
      </c>
      <c r="B87" s="150" t="s">
        <v>5244</v>
      </c>
      <c r="C87" s="150" t="s">
        <v>4876</v>
      </c>
      <c r="D87" s="150" t="s">
        <v>4876</v>
      </c>
      <c r="E87" s="150" t="s">
        <v>9094</v>
      </c>
      <c r="F87" s="151">
        <v>1</v>
      </c>
      <c r="G87" s="149">
        <v>34</v>
      </c>
      <c r="H87" s="153"/>
      <c r="I87" s="162"/>
      <c r="J87" s="150">
        <v>1</v>
      </c>
      <c r="K87" s="150" t="b">
        <v>1</v>
      </c>
      <c r="L87" s="150">
        <v>200</v>
      </c>
      <c r="M87" s="150" t="s">
        <v>3383</v>
      </c>
      <c r="N87" s="150"/>
      <c r="O87" s="150" t="s">
        <v>4880</v>
      </c>
      <c r="P87" s="151">
        <v>1</v>
      </c>
      <c r="Q87" s="150" t="s">
        <v>4881</v>
      </c>
      <c r="R87" s="165" t="s">
        <v>5247</v>
      </c>
      <c r="S87" s="174" t="s">
        <v>5248</v>
      </c>
      <c r="T87" s="164" t="s">
        <v>4884</v>
      </c>
      <c r="U87" s="164"/>
    </row>
    <row r="88" spans="1:21" ht="28.5" x14ac:dyDescent="0.15">
      <c r="A88" s="149">
        <v>95201032</v>
      </c>
      <c r="B88" s="150" t="s">
        <v>5244</v>
      </c>
      <c r="C88" s="150" t="s">
        <v>4876</v>
      </c>
      <c r="D88" s="150" t="s">
        <v>4876</v>
      </c>
      <c r="E88" s="150" t="s">
        <v>9094</v>
      </c>
      <c r="F88" s="151">
        <v>2</v>
      </c>
      <c r="G88" s="149">
        <v>34</v>
      </c>
      <c r="H88" s="153"/>
      <c r="I88" s="162"/>
      <c r="J88" s="150">
        <v>1</v>
      </c>
      <c r="K88" s="150" t="b">
        <v>1</v>
      </c>
      <c r="L88" s="150">
        <v>240</v>
      </c>
      <c r="M88" s="150" t="s">
        <v>9096</v>
      </c>
      <c r="N88" s="150"/>
      <c r="O88" s="150" t="s">
        <v>4880</v>
      </c>
      <c r="P88" s="151">
        <v>2</v>
      </c>
      <c r="Q88" s="150" t="s">
        <v>4881</v>
      </c>
      <c r="R88" s="165" t="s">
        <v>5247</v>
      </c>
      <c r="S88" s="174" t="s">
        <v>5248</v>
      </c>
      <c r="T88" s="164" t="s">
        <v>4884</v>
      </c>
      <c r="U88" s="164"/>
    </row>
    <row r="89" spans="1:21" ht="28.5" x14ac:dyDescent="0.15">
      <c r="A89" s="149">
        <v>95201033</v>
      </c>
      <c r="B89" s="150" t="s">
        <v>5244</v>
      </c>
      <c r="C89" s="150" t="s">
        <v>4876</v>
      </c>
      <c r="D89" s="150" t="s">
        <v>4876</v>
      </c>
      <c r="E89" s="150" t="s">
        <v>9094</v>
      </c>
      <c r="F89" s="151">
        <v>3</v>
      </c>
      <c r="G89" s="149">
        <v>34</v>
      </c>
      <c r="H89" s="153"/>
      <c r="I89" s="162"/>
      <c r="J89" s="150">
        <v>1</v>
      </c>
      <c r="K89" s="150" t="b">
        <v>1</v>
      </c>
      <c r="L89" s="150">
        <v>400</v>
      </c>
      <c r="M89" s="150" t="s">
        <v>3383</v>
      </c>
      <c r="N89" s="150"/>
      <c r="O89" s="150" t="s">
        <v>4880</v>
      </c>
      <c r="P89" s="151">
        <v>3</v>
      </c>
      <c r="Q89" s="150" t="s">
        <v>4881</v>
      </c>
      <c r="R89" s="165" t="s">
        <v>5247</v>
      </c>
      <c r="S89" s="174" t="s">
        <v>5248</v>
      </c>
      <c r="T89" s="164" t="s">
        <v>4884</v>
      </c>
      <c r="U89" s="164"/>
    </row>
    <row r="90" spans="1:21" ht="28.5" x14ac:dyDescent="0.15">
      <c r="A90" s="149">
        <v>95201034</v>
      </c>
      <c r="B90" s="150" t="s">
        <v>5244</v>
      </c>
      <c r="C90" s="150" t="s">
        <v>4876</v>
      </c>
      <c r="D90" s="150" t="s">
        <v>4876</v>
      </c>
      <c r="E90" s="150" t="s">
        <v>9094</v>
      </c>
      <c r="F90" s="151">
        <v>4</v>
      </c>
      <c r="G90" s="149">
        <v>34</v>
      </c>
      <c r="H90" s="153"/>
      <c r="I90" s="162"/>
      <c r="J90" s="150">
        <v>1</v>
      </c>
      <c r="K90" s="150" t="b">
        <v>1</v>
      </c>
      <c r="L90" s="150">
        <v>600</v>
      </c>
      <c r="M90" s="150" t="s">
        <v>9096</v>
      </c>
      <c r="N90" s="150"/>
      <c r="O90" s="150" t="s">
        <v>4880</v>
      </c>
      <c r="P90" s="151">
        <v>4</v>
      </c>
      <c r="Q90" s="150" t="s">
        <v>4881</v>
      </c>
      <c r="R90" s="165" t="s">
        <v>5247</v>
      </c>
      <c r="S90" s="174" t="s">
        <v>5248</v>
      </c>
      <c r="T90" s="164" t="s">
        <v>4884</v>
      </c>
      <c r="U90" s="164"/>
    </row>
    <row r="91" spans="1:21" ht="28.5" x14ac:dyDescent="0.15">
      <c r="A91" s="149">
        <v>95201035</v>
      </c>
      <c r="B91" s="150" t="s">
        <v>5244</v>
      </c>
      <c r="C91" s="150" t="s">
        <v>4876</v>
      </c>
      <c r="D91" s="150" t="s">
        <v>4876</v>
      </c>
      <c r="E91" s="150" t="s">
        <v>9094</v>
      </c>
      <c r="F91" s="151">
        <v>5</v>
      </c>
      <c r="G91" s="149">
        <v>34</v>
      </c>
      <c r="H91" s="153"/>
      <c r="I91" s="162"/>
      <c r="J91" s="150">
        <v>1</v>
      </c>
      <c r="K91" s="150" t="b">
        <v>1</v>
      </c>
      <c r="L91" s="150">
        <v>900</v>
      </c>
      <c r="M91" s="150" t="s">
        <v>3383</v>
      </c>
      <c r="N91" s="150"/>
      <c r="O91" s="150" t="s">
        <v>4880</v>
      </c>
      <c r="P91" s="151">
        <v>5</v>
      </c>
      <c r="Q91" s="150" t="s">
        <v>4881</v>
      </c>
      <c r="R91" s="165" t="s">
        <v>5247</v>
      </c>
      <c r="S91" s="174" t="s">
        <v>5248</v>
      </c>
      <c r="T91" s="164" t="s">
        <v>4884</v>
      </c>
      <c r="U91" s="164"/>
    </row>
    <row r="92" spans="1:21" ht="42.75" x14ac:dyDescent="0.15">
      <c r="A92" s="149">
        <v>95201041</v>
      </c>
      <c r="B92" s="150" t="s">
        <v>9111</v>
      </c>
      <c r="C92" s="150" t="s">
        <v>4876</v>
      </c>
      <c r="D92" s="150" t="s">
        <v>4876</v>
      </c>
      <c r="E92" s="150" t="s">
        <v>9094</v>
      </c>
      <c r="F92" s="151">
        <v>1</v>
      </c>
      <c r="G92" s="149">
        <v>34</v>
      </c>
      <c r="H92" s="153"/>
      <c r="I92" s="162"/>
      <c r="J92" s="150">
        <v>1</v>
      </c>
      <c r="K92" s="150" t="b">
        <v>1</v>
      </c>
      <c r="L92" s="150">
        <v>200</v>
      </c>
      <c r="M92" s="150" t="s">
        <v>3383</v>
      </c>
      <c r="N92" s="150"/>
      <c r="O92" s="150" t="s">
        <v>4880</v>
      </c>
      <c r="P92" s="151">
        <v>1</v>
      </c>
      <c r="Q92" s="150" t="s">
        <v>4881</v>
      </c>
      <c r="R92" s="165" t="s">
        <v>9112</v>
      </c>
      <c r="S92" s="174" t="s">
        <v>9113</v>
      </c>
      <c r="T92" s="164" t="s">
        <v>4884</v>
      </c>
      <c r="U92" s="164"/>
    </row>
    <row r="93" spans="1:21" ht="42.75" x14ac:dyDescent="0.15">
      <c r="A93" s="149">
        <v>95201042</v>
      </c>
      <c r="B93" s="150" t="s">
        <v>9111</v>
      </c>
      <c r="C93" s="150" t="s">
        <v>4876</v>
      </c>
      <c r="D93" s="150" t="s">
        <v>4876</v>
      </c>
      <c r="E93" s="150" t="s">
        <v>9094</v>
      </c>
      <c r="F93" s="151">
        <v>2</v>
      </c>
      <c r="G93" s="149">
        <v>34</v>
      </c>
      <c r="H93" s="153"/>
      <c r="I93" s="162"/>
      <c r="J93" s="150">
        <v>1</v>
      </c>
      <c r="K93" s="150" t="b">
        <v>1</v>
      </c>
      <c r="L93" s="150">
        <v>240</v>
      </c>
      <c r="M93" s="150" t="s">
        <v>9096</v>
      </c>
      <c r="N93" s="150"/>
      <c r="O93" s="150" t="s">
        <v>4880</v>
      </c>
      <c r="P93" s="151">
        <v>2</v>
      </c>
      <c r="Q93" s="150" t="s">
        <v>4881</v>
      </c>
      <c r="R93" s="165" t="s">
        <v>9112</v>
      </c>
      <c r="S93" s="174" t="s">
        <v>9113</v>
      </c>
      <c r="T93" s="164" t="s">
        <v>4884</v>
      </c>
      <c r="U93" s="164"/>
    </row>
    <row r="94" spans="1:21" ht="42.75" x14ac:dyDescent="0.15">
      <c r="A94" s="149">
        <v>95201043</v>
      </c>
      <c r="B94" s="150" t="s">
        <v>9111</v>
      </c>
      <c r="C94" s="150" t="s">
        <v>4876</v>
      </c>
      <c r="D94" s="150" t="s">
        <v>4876</v>
      </c>
      <c r="E94" s="150" t="s">
        <v>9094</v>
      </c>
      <c r="F94" s="151">
        <v>3</v>
      </c>
      <c r="G94" s="149">
        <v>34</v>
      </c>
      <c r="H94" s="153"/>
      <c r="I94" s="162"/>
      <c r="J94" s="150">
        <v>1</v>
      </c>
      <c r="K94" s="150" t="b">
        <v>1</v>
      </c>
      <c r="L94" s="150">
        <v>400</v>
      </c>
      <c r="M94" s="150" t="s">
        <v>3383</v>
      </c>
      <c r="N94" s="150"/>
      <c r="O94" s="150" t="s">
        <v>4880</v>
      </c>
      <c r="P94" s="151">
        <v>3</v>
      </c>
      <c r="Q94" s="150" t="s">
        <v>4881</v>
      </c>
      <c r="R94" s="165" t="s">
        <v>9112</v>
      </c>
      <c r="S94" s="174" t="s">
        <v>9113</v>
      </c>
      <c r="T94" s="164" t="s">
        <v>4884</v>
      </c>
      <c r="U94" s="164"/>
    </row>
    <row r="95" spans="1:21" ht="42.75" x14ac:dyDescent="0.15">
      <c r="A95" s="149">
        <v>95201044</v>
      </c>
      <c r="B95" s="150" t="s">
        <v>9111</v>
      </c>
      <c r="C95" s="150" t="s">
        <v>4876</v>
      </c>
      <c r="D95" s="150" t="s">
        <v>4876</v>
      </c>
      <c r="E95" s="150" t="s">
        <v>9094</v>
      </c>
      <c r="F95" s="151">
        <v>4</v>
      </c>
      <c r="G95" s="149">
        <v>34</v>
      </c>
      <c r="H95" s="153"/>
      <c r="I95" s="162"/>
      <c r="J95" s="150">
        <v>1</v>
      </c>
      <c r="K95" s="150" t="b">
        <v>1</v>
      </c>
      <c r="L95" s="150">
        <v>600</v>
      </c>
      <c r="M95" s="150" t="s">
        <v>9096</v>
      </c>
      <c r="N95" s="150"/>
      <c r="O95" s="150" t="s">
        <v>4880</v>
      </c>
      <c r="P95" s="151">
        <v>4</v>
      </c>
      <c r="Q95" s="150" t="s">
        <v>4881</v>
      </c>
      <c r="R95" s="165" t="s">
        <v>9112</v>
      </c>
      <c r="S95" s="174" t="s">
        <v>9113</v>
      </c>
      <c r="T95" s="164" t="s">
        <v>4884</v>
      </c>
      <c r="U95" s="164"/>
    </row>
    <row r="96" spans="1:21" ht="42.75" x14ac:dyDescent="0.15">
      <c r="A96" s="149">
        <v>95201045</v>
      </c>
      <c r="B96" s="150" t="s">
        <v>9111</v>
      </c>
      <c r="C96" s="150" t="s">
        <v>4876</v>
      </c>
      <c r="D96" s="150" t="s">
        <v>4876</v>
      </c>
      <c r="E96" s="150" t="s">
        <v>9094</v>
      </c>
      <c r="F96" s="151">
        <v>5</v>
      </c>
      <c r="G96" s="149">
        <v>34</v>
      </c>
      <c r="H96" s="153"/>
      <c r="I96" s="162"/>
      <c r="J96" s="150">
        <v>1</v>
      </c>
      <c r="K96" s="150" t="b">
        <v>1</v>
      </c>
      <c r="L96" s="150">
        <v>900</v>
      </c>
      <c r="M96" s="150" t="s">
        <v>3383</v>
      </c>
      <c r="N96" s="150"/>
      <c r="O96" s="150" t="s">
        <v>4880</v>
      </c>
      <c r="P96" s="151">
        <v>5</v>
      </c>
      <c r="Q96" s="150" t="s">
        <v>4881</v>
      </c>
      <c r="R96" s="165" t="s">
        <v>9112</v>
      </c>
      <c r="S96" s="174" t="s">
        <v>9113</v>
      </c>
      <c r="T96" s="164" t="s">
        <v>4884</v>
      </c>
      <c r="U96" s="164"/>
    </row>
    <row r="97" spans="1:21" ht="28.5" x14ac:dyDescent="0.15">
      <c r="A97" s="149">
        <v>95201051</v>
      </c>
      <c r="B97" s="150" t="s">
        <v>5180</v>
      </c>
      <c r="C97" s="150" t="s">
        <v>4876</v>
      </c>
      <c r="D97" s="150" t="s">
        <v>4876</v>
      </c>
      <c r="E97" s="150" t="s">
        <v>9094</v>
      </c>
      <c r="F97" s="151">
        <v>1</v>
      </c>
      <c r="G97" s="149">
        <v>34</v>
      </c>
      <c r="H97" s="153"/>
      <c r="I97" s="162"/>
      <c r="J97" s="150">
        <v>1</v>
      </c>
      <c r="K97" s="150" t="b">
        <v>1</v>
      </c>
      <c r="L97" s="150">
        <v>200</v>
      </c>
      <c r="M97" s="150" t="s">
        <v>3383</v>
      </c>
      <c r="N97" s="150"/>
      <c r="O97" s="150" t="s">
        <v>4880</v>
      </c>
      <c r="P97" s="151">
        <v>1</v>
      </c>
      <c r="Q97" s="150" t="s">
        <v>4881</v>
      </c>
      <c r="R97" s="165" t="s">
        <v>9114</v>
      </c>
      <c r="S97" s="174" t="s">
        <v>5184</v>
      </c>
      <c r="T97" s="164" t="s">
        <v>4884</v>
      </c>
      <c r="U97" s="164"/>
    </row>
    <row r="98" spans="1:21" ht="28.5" x14ac:dyDescent="0.15">
      <c r="A98" s="149">
        <v>95201052</v>
      </c>
      <c r="B98" s="150" t="s">
        <v>5180</v>
      </c>
      <c r="C98" s="150" t="s">
        <v>4876</v>
      </c>
      <c r="D98" s="150" t="s">
        <v>4876</v>
      </c>
      <c r="E98" s="150" t="s">
        <v>9094</v>
      </c>
      <c r="F98" s="151">
        <v>2</v>
      </c>
      <c r="G98" s="149">
        <v>34</v>
      </c>
      <c r="H98" s="153"/>
      <c r="I98" s="162"/>
      <c r="J98" s="150">
        <v>1</v>
      </c>
      <c r="K98" s="150" t="b">
        <v>1</v>
      </c>
      <c r="L98" s="150">
        <v>240</v>
      </c>
      <c r="M98" s="150" t="s">
        <v>9096</v>
      </c>
      <c r="N98" s="150"/>
      <c r="O98" s="150" t="s">
        <v>4880</v>
      </c>
      <c r="P98" s="151">
        <v>2</v>
      </c>
      <c r="Q98" s="150" t="s">
        <v>4881</v>
      </c>
      <c r="R98" s="165" t="s">
        <v>9114</v>
      </c>
      <c r="S98" s="174" t="s">
        <v>5184</v>
      </c>
      <c r="T98" s="164" t="s">
        <v>4884</v>
      </c>
      <c r="U98" s="164"/>
    </row>
    <row r="99" spans="1:21" ht="28.5" x14ac:dyDescent="0.15">
      <c r="A99" s="149">
        <v>95201053</v>
      </c>
      <c r="B99" s="150" t="s">
        <v>5180</v>
      </c>
      <c r="C99" s="150" t="s">
        <v>4876</v>
      </c>
      <c r="D99" s="150" t="s">
        <v>4876</v>
      </c>
      <c r="E99" s="150" t="s">
        <v>9094</v>
      </c>
      <c r="F99" s="151">
        <v>3</v>
      </c>
      <c r="G99" s="149">
        <v>34</v>
      </c>
      <c r="H99" s="153"/>
      <c r="I99" s="162"/>
      <c r="J99" s="150">
        <v>1</v>
      </c>
      <c r="K99" s="150" t="b">
        <v>1</v>
      </c>
      <c r="L99" s="150">
        <v>400</v>
      </c>
      <c r="M99" s="150" t="s">
        <v>3383</v>
      </c>
      <c r="N99" s="150"/>
      <c r="O99" s="150" t="s">
        <v>4880</v>
      </c>
      <c r="P99" s="151">
        <v>3</v>
      </c>
      <c r="Q99" s="150" t="s">
        <v>4881</v>
      </c>
      <c r="R99" s="165" t="s">
        <v>9114</v>
      </c>
      <c r="S99" s="174" t="s">
        <v>5184</v>
      </c>
      <c r="T99" s="164" t="s">
        <v>4884</v>
      </c>
      <c r="U99" s="164"/>
    </row>
    <row r="100" spans="1:21" ht="28.5" x14ac:dyDescent="0.15">
      <c r="A100" s="149">
        <v>95201054</v>
      </c>
      <c r="B100" s="150" t="s">
        <v>5180</v>
      </c>
      <c r="C100" s="150" t="s">
        <v>4876</v>
      </c>
      <c r="D100" s="150" t="s">
        <v>4876</v>
      </c>
      <c r="E100" s="150" t="s">
        <v>9094</v>
      </c>
      <c r="F100" s="151">
        <v>4</v>
      </c>
      <c r="G100" s="149">
        <v>34</v>
      </c>
      <c r="H100" s="153"/>
      <c r="I100" s="162"/>
      <c r="J100" s="150">
        <v>1</v>
      </c>
      <c r="K100" s="150" t="b">
        <v>1</v>
      </c>
      <c r="L100" s="150">
        <v>600</v>
      </c>
      <c r="M100" s="150" t="s">
        <v>9096</v>
      </c>
      <c r="N100" s="150"/>
      <c r="O100" s="150" t="s">
        <v>4880</v>
      </c>
      <c r="P100" s="151">
        <v>4</v>
      </c>
      <c r="Q100" s="150" t="s">
        <v>4881</v>
      </c>
      <c r="R100" s="165" t="s">
        <v>9114</v>
      </c>
      <c r="S100" s="174" t="s">
        <v>5184</v>
      </c>
      <c r="T100" s="164" t="s">
        <v>4884</v>
      </c>
      <c r="U100" s="164"/>
    </row>
    <row r="101" spans="1:21" ht="28.5" x14ac:dyDescent="0.15">
      <c r="A101" s="149">
        <v>95201055</v>
      </c>
      <c r="B101" s="150" t="s">
        <v>5180</v>
      </c>
      <c r="C101" s="150" t="s">
        <v>4876</v>
      </c>
      <c r="D101" s="150" t="s">
        <v>4876</v>
      </c>
      <c r="E101" s="150" t="s">
        <v>9094</v>
      </c>
      <c r="F101" s="151">
        <v>5</v>
      </c>
      <c r="G101" s="149">
        <v>34</v>
      </c>
      <c r="H101" s="153"/>
      <c r="I101" s="162"/>
      <c r="J101" s="150">
        <v>1</v>
      </c>
      <c r="K101" s="150" t="b">
        <v>1</v>
      </c>
      <c r="L101" s="150">
        <v>900</v>
      </c>
      <c r="M101" s="150" t="s">
        <v>3383</v>
      </c>
      <c r="N101" s="150"/>
      <c r="O101" s="150" t="s">
        <v>4880</v>
      </c>
      <c r="P101" s="151">
        <v>5</v>
      </c>
      <c r="Q101" s="150" t="s">
        <v>4881</v>
      </c>
      <c r="R101" s="165" t="s">
        <v>9114</v>
      </c>
      <c r="S101" s="174" t="s">
        <v>5184</v>
      </c>
      <c r="T101" s="164" t="s">
        <v>4884</v>
      </c>
      <c r="U101" s="164"/>
    </row>
    <row r="102" spans="1:21" s="145" customFormat="1" ht="28.5" x14ac:dyDescent="0.15">
      <c r="A102" s="154">
        <v>95201061</v>
      </c>
      <c r="B102" s="155" t="s">
        <v>5188</v>
      </c>
      <c r="C102" s="171" t="s">
        <v>4876</v>
      </c>
      <c r="D102" s="155" t="s">
        <v>4876</v>
      </c>
      <c r="E102" s="155" t="s">
        <v>9094</v>
      </c>
      <c r="F102" s="156">
        <v>1</v>
      </c>
      <c r="G102" s="154">
        <v>34</v>
      </c>
      <c r="H102" s="158" t="s">
        <v>5189</v>
      </c>
      <c r="I102" s="172">
        <v>2010601</v>
      </c>
      <c r="J102" s="155">
        <v>1</v>
      </c>
      <c r="K102" s="155" t="b">
        <v>1</v>
      </c>
      <c r="L102" s="150">
        <v>200</v>
      </c>
      <c r="M102" s="155" t="s">
        <v>3383</v>
      </c>
      <c r="N102" s="155"/>
      <c r="O102" s="155" t="s">
        <v>4880</v>
      </c>
      <c r="P102" s="156">
        <v>1</v>
      </c>
      <c r="Q102" s="155" t="s">
        <v>4881</v>
      </c>
      <c r="R102" s="166" t="s">
        <v>5191</v>
      </c>
      <c r="S102" s="169" t="s">
        <v>5192</v>
      </c>
      <c r="T102" s="155" t="s">
        <v>4884</v>
      </c>
      <c r="U102" s="155"/>
    </row>
    <row r="103" spans="1:21" s="145" customFormat="1" ht="28.5" x14ac:dyDescent="0.15">
      <c r="A103" s="154">
        <v>95201062</v>
      </c>
      <c r="B103" s="155" t="s">
        <v>5188</v>
      </c>
      <c r="C103" s="171" t="s">
        <v>4876</v>
      </c>
      <c r="D103" s="155" t="s">
        <v>4876</v>
      </c>
      <c r="E103" s="155" t="s">
        <v>9094</v>
      </c>
      <c r="F103" s="156">
        <v>2</v>
      </c>
      <c r="G103" s="154">
        <v>34</v>
      </c>
      <c r="H103" s="158" t="s">
        <v>5189</v>
      </c>
      <c r="I103" s="172">
        <v>2010601</v>
      </c>
      <c r="J103" s="155">
        <v>1</v>
      </c>
      <c r="K103" s="155" t="b">
        <v>1</v>
      </c>
      <c r="L103" s="150">
        <v>240</v>
      </c>
      <c r="M103" s="155" t="s">
        <v>9096</v>
      </c>
      <c r="N103" s="155"/>
      <c r="O103" s="155" t="s">
        <v>4880</v>
      </c>
      <c r="P103" s="156">
        <v>2</v>
      </c>
      <c r="Q103" s="155" t="s">
        <v>4881</v>
      </c>
      <c r="R103" s="166" t="s">
        <v>5191</v>
      </c>
      <c r="S103" s="169" t="s">
        <v>5192</v>
      </c>
      <c r="T103" s="155" t="s">
        <v>4884</v>
      </c>
      <c r="U103" s="155"/>
    </row>
    <row r="104" spans="1:21" s="145" customFormat="1" ht="28.5" x14ac:dyDescent="0.15">
      <c r="A104" s="154">
        <v>95201063</v>
      </c>
      <c r="B104" s="155" t="s">
        <v>5188</v>
      </c>
      <c r="C104" s="171" t="s">
        <v>4876</v>
      </c>
      <c r="D104" s="155" t="s">
        <v>4876</v>
      </c>
      <c r="E104" s="155" t="s">
        <v>9094</v>
      </c>
      <c r="F104" s="156">
        <v>3</v>
      </c>
      <c r="G104" s="154">
        <v>34</v>
      </c>
      <c r="H104" s="158" t="s">
        <v>5189</v>
      </c>
      <c r="I104" s="172">
        <v>2010601</v>
      </c>
      <c r="J104" s="155">
        <v>1</v>
      </c>
      <c r="K104" s="155" t="b">
        <v>1</v>
      </c>
      <c r="L104" s="150">
        <v>400</v>
      </c>
      <c r="M104" s="155" t="s">
        <v>3383</v>
      </c>
      <c r="N104" s="155"/>
      <c r="O104" s="155" t="s">
        <v>4880</v>
      </c>
      <c r="P104" s="156">
        <v>3</v>
      </c>
      <c r="Q104" s="155" t="s">
        <v>4881</v>
      </c>
      <c r="R104" s="166" t="s">
        <v>5191</v>
      </c>
      <c r="S104" s="169" t="s">
        <v>5192</v>
      </c>
      <c r="T104" s="155" t="s">
        <v>4884</v>
      </c>
      <c r="U104" s="155"/>
    </row>
    <row r="105" spans="1:21" s="145" customFormat="1" ht="28.5" x14ac:dyDescent="0.15">
      <c r="A105" s="154">
        <v>95201064</v>
      </c>
      <c r="B105" s="155" t="s">
        <v>5188</v>
      </c>
      <c r="C105" s="171" t="s">
        <v>4876</v>
      </c>
      <c r="D105" s="155" t="s">
        <v>4876</v>
      </c>
      <c r="E105" s="155" t="s">
        <v>9094</v>
      </c>
      <c r="F105" s="156">
        <v>4</v>
      </c>
      <c r="G105" s="154">
        <v>34</v>
      </c>
      <c r="H105" s="158" t="s">
        <v>5189</v>
      </c>
      <c r="I105" s="172">
        <v>2010601</v>
      </c>
      <c r="J105" s="155">
        <v>1</v>
      </c>
      <c r="K105" s="155" t="b">
        <v>1</v>
      </c>
      <c r="L105" s="150">
        <v>600</v>
      </c>
      <c r="M105" s="155" t="s">
        <v>9096</v>
      </c>
      <c r="N105" s="155"/>
      <c r="O105" s="155" t="s">
        <v>4880</v>
      </c>
      <c r="P105" s="156">
        <v>4</v>
      </c>
      <c r="Q105" s="155" t="s">
        <v>4881</v>
      </c>
      <c r="R105" s="166" t="s">
        <v>5191</v>
      </c>
      <c r="S105" s="169" t="s">
        <v>5192</v>
      </c>
      <c r="T105" s="155" t="s">
        <v>4884</v>
      </c>
      <c r="U105" s="155"/>
    </row>
    <row r="106" spans="1:21" s="145" customFormat="1" ht="28.5" x14ac:dyDescent="0.15">
      <c r="A106" s="154">
        <v>95201065</v>
      </c>
      <c r="B106" s="155" t="s">
        <v>5188</v>
      </c>
      <c r="C106" s="171" t="s">
        <v>4876</v>
      </c>
      <c r="D106" s="155" t="s">
        <v>4876</v>
      </c>
      <c r="E106" s="155" t="s">
        <v>9094</v>
      </c>
      <c r="F106" s="156">
        <v>5</v>
      </c>
      <c r="G106" s="154">
        <v>34</v>
      </c>
      <c r="H106" s="158" t="s">
        <v>5189</v>
      </c>
      <c r="I106" s="172">
        <v>2010601</v>
      </c>
      <c r="J106" s="155">
        <v>1</v>
      </c>
      <c r="K106" s="155" t="b">
        <v>1</v>
      </c>
      <c r="L106" s="150">
        <v>900</v>
      </c>
      <c r="M106" s="155" t="s">
        <v>3383</v>
      </c>
      <c r="N106" s="155"/>
      <c r="O106" s="155" t="s">
        <v>4880</v>
      </c>
      <c r="P106" s="156">
        <v>5</v>
      </c>
      <c r="Q106" s="155" t="s">
        <v>4881</v>
      </c>
      <c r="R106" s="166" t="s">
        <v>5191</v>
      </c>
      <c r="S106" s="169" t="s">
        <v>5192</v>
      </c>
      <c r="T106" s="155" t="s">
        <v>4884</v>
      </c>
      <c r="U106" s="155"/>
    </row>
    <row r="107" spans="1:21" ht="28.5" x14ac:dyDescent="0.15">
      <c r="A107" s="149">
        <v>95201071</v>
      </c>
      <c r="B107" s="150" t="s">
        <v>5196</v>
      </c>
      <c r="C107" s="150" t="s">
        <v>4876</v>
      </c>
      <c r="D107" s="150" t="s">
        <v>4876</v>
      </c>
      <c r="E107" s="150" t="s">
        <v>9094</v>
      </c>
      <c r="F107" s="151">
        <v>1</v>
      </c>
      <c r="G107" s="149">
        <v>34</v>
      </c>
      <c r="H107" s="153"/>
      <c r="I107" s="162"/>
      <c r="J107" s="150">
        <v>1</v>
      </c>
      <c r="K107" s="150" t="b">
        <v>1</v>
      </c>
      <c r="L107" s="150">
        <v>200</v>
      </c>
      <c r="M107" s="150" t="s">
        <v>3383</v>
      </c>
      <c r="N107" s="150"/>
      <c r="O107" s="150" t="s">
        <v>4880</v>
      </c>
      <c r="P107" s="151">
        <v>1</v>
      </c>
      <c r="Q107" s="150" t="s">
        <v>4881</v>
      </c>
      <c r="R107" s="165" t="s">
        <v>9115</v>
      </c>
      <c r="S107" s="174" t="s">
        <v>5200</v>
      </c>
      <c r="T107" s="164" t="s">
        <v>4884</v>
      </c>
      <c r="U107" s="164"/>
    </row>
    <row r="108" spans="1:21" ht="28.5" x14ac:dyDescent="0.15">
      <c r="A108" s="149">
        <v>95201072</v>
      </c>
      <c r="B108" s="150" t="s">
        <v>5196</v>
      </c>
      <c r="C108" s="150" t="s">
        <v>4876</v>
      </c>
      <c r="D108" s="150" t="s">
        <v>4876</v>
      </c>
      <c r="E108" s="150" t="s">
        <v>9094</v>
      </c>
      <c r="F108" s="151">
        <v>2</v>
      </c>
      <c r="G108" s="149">
        <v>34</v>
      </c>
      <c r="H108" s="153"/>
      <c r="I108" s="162"/>
      <c r="J108" s="150">
        <v>1</v>
      </c>
      <c r="K108" s="150" t="b">
        <v>1</v>
      </c>
      <c r="L108" s="150">
        <v>240</v>
      </c>
      <c r="M108" s="150" t="s">
        <v>9096</v>
      </c>
      <c r="N108" s="150"/>
      <c r="O108" s="150" t="s">
        <v>4880</v>
      </c>
      <c r="P108" s="151">
        <v>2</v>
      </c>
      <c r="Q108" s="150" t="s">
        <v>4881</v>
      </c>
      <c r="R108" s="165" t="s">
        <v>9115</v>
      </c>
      <c r="S108" s="174" t="s">
        <v>5200</v>
      </c>
      <c r="T108" s="164" t="s">
        <v>4884</v>
      </c>
      <c r="U108" s="164"/>
    </row>
    <row r="109" spans="1:21" ht="28.5" x14ac:dyDescent="0.15">
      <c r="A109" s="149">
        <v>95201073</v>
      </c>
      <c r="B109" s="150" t="s">
        <v>5196</v>
      </c>
      <c r="C109" s="150" t="s">
        <v>4876</v>
      </c>
      <c r="D109" s="150" t="s">
        <v>4876</v>
      </c>
      <c r="E109" s="150" t="s">
        <v>9094</v>
      </c>
      <c r="F109" s="151">
        <v>3</v>
      </c>
      <c r="G109" s="149">
        <v>34</v>
      </c>
      <c r="H109" s="153"/>
      <c r="I109" s="162"/>
      <c r="J109" s="150">
        <v>1</v>
      </c>
      <c r="K109" s="150" t="b">
        <v>1</v>
      </c>
      <c r="L109" s="150">
        <v>400</v>
      </c>
      <c r="M109" s="150" t="s">
        <v>3383</v>
      </c>
      <c r="N109" s="150"/>
      <c r="O109" s="150" t="s">
        <v>4880</v>
      </c>
      <c r="P109" s="151">
        <v>3</v>
      </c>
      <c r="Q109" s="150" t="s">
        <v>4881</v>
      </c>
      <c r="R109" s="165" t="s">
        <v>9115</v>
      </c>
      <c r="S109" s="174" t="s">
        <v>5200</v>
      </c>
      <c r="T109" s="164" t="s">
        <v>4884</v>
      </c>
      <c r="U109" s="164"/>
    </row>
    <row r="110" spans="1:21" ht="28.5" x14ac:dyDescent="0.15">
      <c r="A110" s="149">
        <v>95201074</v>
      </c>
      <c r="B110" s="150" t="s">
        <v>5196</v>
      </c>
      <c r="C110" s="150" t="s">
        <v>4876</v>
      </c>
      <c r="D110" s="150" t="s">
        <v>4876</v>
      </c>
      <c r="E110" s="150" t="s">
        <v>9094</v>
      </c>
      <c r="F110" s="151">
        <v>4</v>
      </c>
      <c r="G110" s="149">
        <v>34</v>
      </c>
      <c r="H110" s="153"/>
      <c r="I110" s="162"/>
      <c r="J110" s="150">
        <v>1</v>
      </c>
      <c r="K110" s="150" t="b">
        <v>1</v>
      </c>
      <c r="L110" s="150">
        <v>600</v>
      </c>
      <c r="M110" s="150" t="s">
        <v>9096</v>
      </c>
      <c r="N110" s="150"/>
      <c r="O110" s="150" t="s">
        <v>4880</v>
      </c>
      <c r="P110" s="151">
        <v>4</v>
      </c>
      <c r="Q110" s="150" t="s">
        <v>4881</v>
      </c>
      <c r="R110" s="165" t="s">
        <v>9115</v>
      </c>
      <c r="S110" s="174" t="s">
        <v>5200</v>
      </c>
      <c r="T110" s="164" t="s">
        <v>4884</v>
      </c>
      <c r="U110" s="164"/>
    </row>
    <row r="111" spans="1:21" ht="28.5" x14ac:dyDescent="0.15">
      <c r="A111" s="149">
        <v>95201075</v>
      </c>
      <c r="B111" s="150" t="s">
        <v>5196</v>
      </c>
      <c r="C111" s="150" t="s">
        <v>4876</v>
      </c>
      <c r="D111" s="150" t="s">
        <v>4876</v>
      </c>
      <c r="E111" s="150" t="s">
        <v>9094</v>
      </c>
      <c r="F111" s="151">
        <v>5</v>
      </c>
      <c r="G111" s="149">
        <v>34</v>
      </c>
      <c r="H111" s="153"/>
      <c r="I111" s="162"/>
      <c r="J111" s="150">
        <v>1</v>
      </c>
      <c r="K111" s="150" t="b">
        <v>1</v>
      </c>
      <c r="L111" s="150">
        <v>900</v>
      </c>
      <c r="M111" s="150" t="s">
        <v>3383</v>
      </c>
      <c r="N111" s="150"/>
      <c r="O111" s="150" t="s">
        <v>4880</v>
      </c>
      <c r="P111" s="151">
        <v>5</v>
      </c>
      <c r="Q111" s="150" t="s">
        <v>4881</v>
      </c>
      <c r="R111" s="165" t="s">
        <v>9115</v>
      </c>
      <c r="S111" s="174" t="s">
        <v>5200</v>
      </c>
      <c r="T111" s="164" t="s">
        <v>4884</v>
      </c>
      <c r="U111" s="164"/>
    </row>
    <row r="112" spans="1:21" ht="28.5" x14ac:dyDescent="0.15">
      <c r="A112" s="149">
        <v>95201081</v>
      </c>
      <c r="B112" s="150" t="s">
        <v>5204</v>
      </c>
      <c r="C112" s="150" t="s">
        <v>4876</v>
      </c>
      <c r="D112" s="150" t="s">
        <v>4876</v>
      </c>
      <c r="E112" s="150" t="s">
        <v>9094</v>
      </c>
      <c r="F112" s="151">
        <v>1</v>
      </c>
      <c r="G112" s="149">
        <v>34</v>
      </c>
      <c r="H112" s="153"/>
      <c r="I112" s="162"/>
      <c r="J112" s="150">
        <v>1</v>
      </c>
      <c r="K112" s="150" t="b">
        <v>1</v>
      </c>
      <c r="L112" s="150">
        <v>200</v>
      </c>
      <c r="M112" s="150" t="s">
        <v>3383</v>
      </c>
      <c r="N112" s="150"/>
      <c r="O112" s="150" t="s">
        <v>4880</v>
      </c>
      <c r="P112" s="151">
        <v>1</v>
      </c>
      <c r="Q112" s="150" t="s">
        <v>4881</v>
      </c>
      <c r="R112" s="165" t="s">
        <v>5207</v>
      </c>
      <c r="S112" s="174" t="s">
        <v>5208</v>
      </c>
      <c r="T112" s="164" t="s">
        <v>4884</v>
      </c>
      <c r="U112" s="164"/>
    </row>
    <row r="113" spans="1:21" ht="28.5" x14ac:dyDescent="0.15">
      <c r="A113" s="149">
        <v>95201082</v>
      </c>
      <c r="B113" s="150" t="s">
        <v>5204</v>
      </c>
      <c r="C113" s="150" t="s">
        <v>4876</v>
      </c>
      <c r="D113" s="150" t="s">
        <v>4876</v>
      </c>
      <c r="E113" s="150" t="s">
        <v>9094</v>
      </c>
      <c r="F113" s="151">
        <v>2</v>
      </c>
      <c r="G113" s="149">
        <v>34</v>
      </c>
      <c r="H113" s="153"/>
      <c r="I113" s="162"/>
      <c r="J113" s="150">
        <v>1</v>
      </c>
      <c r="K113" s="150" t="b">
        <v>1</v>
      </c>
      <c r="L113" s="150">
        <v>240</v>
      </c>
      <c r="M113" s="150" t="s">
        <v>9096</v>
      </c>
      <c r="N113" s="150"/>
      <c r="O113" s="150" t="s">
        <v>4880</v>
      </c>
      <c r="P113" s="151">
        <v>2</v>
      </c>
      <c r="Q113" s="150" t="s">
        <v>4881</v>
      </c>
      <c r="R113" s="165" t="s">
        <v>5207</v>
      </c>
      <c r="S113" s="174" t="s">
        <v>5208</v>
      </c>
      <c r="T113" s="164" t="s">
        <v>4884</v>
      </c>
      <c r="U113" s="164"/>
    </row>
    <row r="114" spans="1:21" ht="28.5" x14ac:dyDescent="0.15">
      <c r="A114" s="149">
        <v>95201083</v>
      </c>
      <c r="B114" s="150" t="s">
        <v>5204</v>
      </c>
      <c r="C114" s="150" t="s">
        <v>4876</v>
      </c>
      <c r="D114" s="150" t="s">
        <v>4876</v>
      </c>
      <c r="E114" s="150" t="s">
        <v>9094</v>
      </c>
      <c r="F114" s="151">
        <v>3</v>
      </c>
      <c r="G114" s="149">
        <v>34</v>
      </c>
      <c r="H114" s="153"/>
      <c r="I114" s="162"/>
      <c r="J114" s="150">
        <v>1</v>
      </c>
      <c r="K114" s="150" t="b">
        <v>1</v>
      </c>
      <c r="L114" s="150">
        <v>400</v>
      </c>
      <c r="M114" s="150" t="s">
        <v>3383</v>
      </c>
      <c r="N114" s="150"/>
      <c r="O114" s="150" t="s">
        <v>4880</v>
      </c>
      <c r="P114" s="151">
        <v>3</v>
      </c>
      <c r="Q114" s="150" t="s">
        <v>4881</v>
      </c>
      <c r="R114" s="165" t="s">
        <v>5207</v>
      </c>
      <c r="S114" s="174" t="s">
        <v>5208</v>
      </c>
      <c r="T114" s="164" t="s">
        <v>4884</v>
      </c>
      <c r="U114" s="164"/>
    </row>
    <row r="115" spans="1:21" ht="28.5" x14ac:dyDescent="0.15">
      <c r="A115" s="149">
        <v>95201084</v>
      </c>
      <c r="B115" s="150" t="s">
        <v>5204</v>
      </c>
      <c r="C115" s="150" t="s">
        <v>4876</v>
      </c>
      <c r="D115" s="150" t="s">
        <v>4876</v>
      </c>
      <c r="E115" s="150" t="s">
        <v>9094</v>
      </c>
      <c r="F115" s="151">
        <v>4</v>
      </c>
      <c r="G115" s="149">
        <v>34</v>
      </c>
      <c r="H115" s="153"/>
      <c r="I115" s="162"/>
      <c r="J115" s="150">
        <v>1</v>
      </c>
      <c r="K115" s="150" t="b">
        <v>1</v>
      </c>
      <c r="L115" s="150">
        <v>600</v>
      </c>
      <c r="M115" s="150" t="s">
        <v>9096</v>
      </c>
      <c r="N115" s="150"/>
      <c r="O115" s="150" t="s">
        <v>4880</v>
      </c>
      <c r="P115" s="151">
        <v>4</v>
      </c>
      <c r="Q115" s="150" t="s">
        <v>4881</v>
      </c>
      <c r="R115" s="165" t="s">
        <v>5207</v>
      </c>
      <c r="S115" s="174" t="s">
        <v>5208</v>
      </c>
      <c r="T115" s="164" t="s">
        <v>4884</v>
      </c>
      <c r="U115" s="164"/>
    </row>
    <row r="116" spans="1:21" ht="28.5" x14ac:dyDescent="0.15">
      <c r="A116" s="149">
        <v>95201085</v>
      </c>
      <c r="B116" s="150" t="s">
        <v>5204</v>
      </c>
      <c r="C116" s="150" t="s">
        <v>4876</v>
      </c>
      <c r="D116" s="150" t="s">
        <v>4876</v>
      </c>
      <c r="E116" s="150" t="s">
        <v>9094</v>
      </c>
      <c r="F116" s="151">
        <v>5</v>
      </c>
      <c r="G116" s="149">
        <v>34</v>
      </c>
      <c r="H116" s="153"/>
      <c r="I116" s="162"/>
      <c r="J116" s="150">
        <v>1</v>
      </c>
      <c r="K116" s="150" t="b">
        <v>1</v>
      </c>
      <c r="L116" s="150">
        <v>900</v>
      </c>
      <c r="M116" s="150" t="s">
        <v>3383</v>
      </c>
      <c r="N116" s="150"/>
      <c r="O116" s="150" t="s">
        <v>4880</v>
      </c>
      <c r="P116" s="151">
        <v>5</v>
      </c>
      <c r="Q116" s="150" t="s">
        <v>4881</v>
      </c>
      <c r="R116" s="165" t="s">
        <v>5207</v>
      </c>
      <c r="S116" s="174" t="s">
        <v>5208</v>
      </c>
      <c r="T116" s="164" t="s">
        <v>4884</v>
      </c>
      <c r="U116" s="164"/>
    </row>
    <row r="117" spans="1:21" ht="42.75" x14ac:dyDescent="0.15">
      <c r="A117" s="149">
        <v>95201091</v>
      </c>
      <c r="B117" s="150" t="s">
        <v>5212</v>
      </c>
      <c r="C117" s="150" t="s">
        <v>4876</v>
      </c>
      <c r="D117" s="150" t="s">
        <v>4876</v>
      </c>
      <c r="E117" s="150" t="s">
        <v>9094</v>
      </c>
      <c r="F117" s="151">
        <v>1</v>
      </c>
      <c r="G117" s="149">
        <v>34</v>
      </c>
      <c r="H117" s="153"/>
      <c r="I117" s="162"/>
      <c r="J117" s="150">
        <v>1</v>
      </c>
      <c r="K117" s="150" t="b">
        <v>1</v>
      </c>
      <c r="L117" s="150">
        <v>200</v>
      </c>
      <c r="M117" s="150" t="s">
        <v>3383</v>
      </c>
      <c r="N117" s="150"/>
      <c r="O117" s="150" t="s">
        <v>4880</v>
      </c>
      <c r="P117" s="151">
        <v>1</v>
      </c>
      <c r="Q117" s="150" t="s">
        <v>4881</v>
      </c>
      <c r="R117" s="165" t="s">
        <v>5215</v>
      </c>
      <c r="S117" s="174" t="s">
        <v>5216</v>
      </c>
      <c r="T117" s="164" t="s">
        <v>4884</v>
      </c>
      <c r="U117" s="164"/>
    </row>
    <row r="118" spans="1:21" ht="42.75" x14ac:dyDescent="0.15">
      <c r="A118" s="149">
        <v>95201092</v>
      </c>
      <c r="B118" s="150" t="s">
        <v>5212</v>
      </c>
      <c r="C118" s="150" t="s">
        <v>4876</v>
      </c>
      <c r="D118" s="150" t="s">
        <v>4876</v>
      </c>
      <c r="E118" s="150" t="s">
        <v>9094</v>
      </c>
      <c r="F118" s="151">
        <v>2</v>
      </c>
      <c r="G118" s="149">
        <v>34</v>
      </c>
      <c r="H118" s="153"/>
      <c r="I118" s="162"/>
      <c r="J118" s="150">
        <v>1</v>
      </c>
      <c r="K118" s="150" t="b">
        <v>1</v>
      </c>
      <c r="L118" s="150">
        <v>240</v>
      </c>
      <c r="M118" s="150" t="s">
        <v>9096</v>
      </c>
      <c r="N118" s="150"/>
      <c r="O118" s="150" t="s">
        <v>4880</v>
      </c>
      <c r="P118" s="151">
        <v>2</v>
      </c>
      <c r="Q118" s="150" t="s">
        <v>4881</v>
      </c>
      <c r="R118" s="165" t="s">
        <v>5215</v>
      </c>
      <c r="S118" s="174" t="s">
        <v>5216</v>
      </c>
      <c r="T118" s="164" t="s">
        <v>4884</v>
      </c>
      <c r="U118" s="164"/>
    </row>
    <row r="119" spans="1:21" ht="42.75" x14ac:dyDescent="0.15">
      <c r="A119" s="149">
        <v>95201093</v>
      </c>
      <c r="B119" s="150" t="s">
        <v>5212</v>
      </c>
      <c r="C119" s="150" t="s">
        <v>4876</v>
      </c>
      <c r="D119" s="150" t="s">
        <v>4876</v>
      </c>
      <c r="E119" s="150" t="s">
        <v>9094</v>
      </c>
      <c r="F119" s="151">
        <v>3</v>
      </c>
      <c r="G119" s="149">
        <v>34</v>
      </c>
      <c r="H119" s="153"/>
      <c r="I119" s="162"/>
      <c r="J119" s="150">
        <v>1</v>
      </c>
      <c r="K119" s="150" t="b">
        <v>1</v>
      </c>
      <c r="L119" s="150">
        <v>400</v>
      </c>
      <c r="M119" s="150" t="s">
        <v>3383</v>
      </c>
      <c r="N119" s="150"/>
      <c r="O119" s="150" t="s">
        <v>4880</v>
      </c>
      <c r="P119" s="151">
        <v>3</v>
      </c>
      <c r="Q119" s="150" t="s">
        <v>4881</v>
      </c>
      <c r="R119" s="165" t="s">
        <v>5215</v>
      </c>
      <c r="S119" s="174" t="s">
        <v>5216</v>
      </c>
      <c r="T119" s="164" t="s">
        <v>4884</v>
      </c>
      <c r="U119" s="164"/>
    </row>
    <row r="120" spans="1:21" ht="42.75" x14ac:dyDescent="0.15">
      <c r="A120" s="149">
        <v>95201094</v>
      </c>
      <c r="B120" s="150" t="s">
        <v>5212</v>
      </c>
      <c r="C120" s="150" t="s">
        <v>4876</v>
      </c>
      <c r="D120" s="150" t="s">
        <v>4876</v>
      </c>
      <c r="E120" s="150" t="s">
        <v>9094</v>
      </c>
      <c r="F120" s="151">
        <v>4</v>
      </c>
      <c r="G120" s="149">
        <v>34</v>
      </c>
      <c r="H120" s="153"/>
      <c r="I120" s="162"/>
      <c r="J120" s="150">
        <v>1</v>
      </c>
      <c r="K120" s="150" t="b">
        <v>1</v>
      </c>
      <c r="L120" s="150">
        <v>600</v>
      </c>
      <c r="M120" s="150" t="s">
        <v>9096</v>
      </c>
      <c r="N120" s="150"/>
      <c r="O120" s="150" t="s">
        <v>4880</v>
      </c>
      <c r="P120" s="151">
        <v>4</v>
      </c>
      <c r="Q120" s="150" t="s">
        <v>4881</v>
      </c>
      <c r="R120" s="165" t="s">
        <v>5215</v>
      </c>
      <c r="S120" s="174" t="s">
        <v>5216</v>
      </c>
      <c r="T120" s="164" t="s">
        <v>4884</v>
      </c>
      <c r="U120" s="164"/>
    </row>
    <row r="121" spans="1:21" ht="42.75" x14ac:dyDescent="0.15">
      <c r="A121" s="149">
        <v>95201095</v>
      </c>
      <c r="B121" s="150" t="s">
        <v>5212</v>
      </c>
      <c r="C121" s="150" t="s">
        <v>4876</v>
      </c>
      <c r="D121" s="150" t="s">
        <v>4876</v>
      </c>
      <c r="E121" s="150" t="s">
        <v>9094</v>
      </c>
      <c r="F121" s="151">
        <v>5</v>
      </c>
      <c r="G121" s="149">
        <v>34</v>
      </c>
      <c r="H121" s="153"/>
      <c r="I121" s="162"/>
      <c r="J121" s="150">
        <v>1</v>
      </c>
      <c r="K121" s="150" t="b">
        <v>1</v>
      </c>
      <c r="L121" s="150">
        <v>900</v>
      </c>
      <c r="M121" s="150" t="s">
        <v>3383</v>
      </c>
      <c r="N121" s="150"/>
      <c r="O121" s="150" t="s">
        <v>4880</v>
      </c>
      <c r="P121" s="151">
        <v>5</v>
      </c>
      <c r="Q121" s="150" t="s">
        <v>4881</v>
      </c>
      <c r="R121" s="165" t="s">
        <v>5215</v>
      </c>
      <c r="S121" s="174" t="s">
        <v>5216</v>
      </c>
      <c r="T121" s="164" t="s">
        <v>4884</v>
      </c>
      <c r="U121" s="164"/>
    </row>
    <row r="122" spans="1:21" ht="28.5" x14ac:dyDescent="0.15">
      <c r="A122" s="149">
        <v>95201101</v>
      </c>
      <c r="B122" s="150" t="s">
        <v>5220</v>
      </c>
      <c r="C122" s="150" t="s">
        <v>4876</v>
      </c>
      <c r="D122" s="150" t="s">
        <v>4876</v>
      </c>
      <c r="E122" s="150" t="s">
        <v>9094</v>
      </c>
      <c r="F122" s="151">
        <v>1</v>
      </c>
      <c r="G122" s="149">
        <v>34</v>
      </c>
      <c r="H122" s="153"/>
      <c r="I122" s="162"/>
      <c r="J122" s="150">
        <v>1</v>
      </c>
      <c r="K122" s="150" t="b">
        <v>1</v>
      </c>
      <c r="L122" s="150">
        <v>200</v>
      </c>
      <c r="M122" s="150" t="s">
        <v>3383</v>
      </c>
      <c r="N122" s="150"/>
      <c r="O122" s="150" t="s">
        <v>4880</v>
      </c>
      <c r="P122" s="151">
        <v>1</v>
      </c>
      <c r="Q122" s="150" t="s">
        <v>4881</v>
      </c>
      <c r="R122" s="151" t="s">
        <v>5223</v>
      </c>
      <c r="S122" s="174" t="s">
        <v>5224</v>
      </c>
      <c r="T122" s="164" t="s">
        <v>4884</v>
      </c>
      <c r="U122" s="164"/>
    </row>
    <row r="123" spans="1:21" ht="28.5" x14ac:dyDescent="0.15">
      <c r="A123" s="149">
        <v>95201102</v>
      </c>
      <c r="B123" s="150" t="s">
        <v>5220</v>
      </c>
      <c r="C123" s="150" t="s">
        <v>4876</v>
      </c>
      <c r="D123" s="150" t="s">
        <v>4876</v>
      </c>
      <c r="E123" s="150" t="s">
        <v>9094</v>
      </c>
      <c r="F123" s="151">
        <v>2</v>
      </c>
      <c r="G123" s="149">
        <v>34</v>
      </c>
      <c r="H123" s="153"/>
      <c r="I123" s="162"/>
      <c r="J123" s="150">
        <v>1</v>
      </c>
      <c r="K123" s="150" t="b">
        <v>1</v>
      </c>
      <c r="L123" s="150">
        <v>240</v>
      </c>
      <c r="M123" s="150" t="s">
        <v>9096</v>
      </c>
      <c r="N123" s="150"/>
      <c r="O123" s="150" t="s">
        <v>4880</v>
      </c>
      <c r="P123" s="151">
        <v>2</v>
      </c>
      <c r="Q123" s="150" t="s">
        <v>4881</v>
      </c>
      <c r="R123" s="151" t="s">
        <v>5223</v>
      </c>
      <c r="S123" s="174" t="s">
        <v>5224</v>
      </c>
      <c r="T123" s="164" t="s">
        <v>4884</v>
      </c>
      <c r="U123" s="164"/>
    </row>
    <row r="124" spans="1:21" ht="28.5" x14ac:dyDescent="0.15">
      <c r="A124" s="149">
        <v>95201103</v>
      </c>
      <c r="B124" s="150" t="s">
        <v>5220</v>
      </c>
      <c r="C124" s="150" t="s">
        <v>4876</v>
      </c>
      <c r="D124" s="150" t="s">
        <v>4876</v>
      </c>
      <c r="E124" s="150" t="s">
        <v>9094</v>
      </c>
      <c r="F124" s="151">
        <v>3</v>
      </c>
      <c r="G124" s="149">
        <v>34</v>
      </c>
      <c r="H124" s="153"/>
      <c r="I124" s="162"/>
      <c r="J124" s="150">
        <v>1</v>
      </c>
      <c r="K124" s="150" t="b">
        <v>1</v>
      </c>
      <c r="L124" s="150">
        <v>400</v>
      </c>
      <c r="M124" s="150" t="s">
        <v>3383</v>
      </c>
      <c r="N124" s="150"/>
      <c r="O124" s="150" t="s">
        <v>4880</v>
      </c>
      <c r="P124" s="151">
        <v>3</v>
      </c>
      <c r="Q124" s="150" t="s">
        <v>4881</v>
      </c>
      <c r="R124" s="151" t="s">
        <v>5223</v>
      </c>
      <c r="S124" s="174" t="s">
        <v>5224</v>
      </c>
      <c r="T124" s="164" t="s">
        <v>4884</v>
      </c>
      <c r="U124" s="164"/>
    </row>
    <row r="125" spans="1:21" ht="28.5" x14ac:dyDescent="0.15">
      <c r="A125" s="149">
        <v>95201104</v>
      </c>
      <c r="B125" s="150" t="s">
        <v>5220</v>
      </c>
      <c r="C125" s="150" t="s">
        <v>4876</v>
      </c>
      <c r="D125" s="150" t="s">
        <v>4876</v>
      </c>
      <c r="E125" s="150" t="s">
        <v>9094</v>
      </c>
      <c r="F125" s="151">
        <v>4</v>
      </c>
      <c r="G125" s="149">
        <v>34</v>
      </c>
      <c r="H125" s="153"/>
      <c r="I125" s="162"/>
      <c r="J125" s="150">
        <v>1</v>
      </c>
      <c r="K125" s="150" t="b">
        <v>1</v>
      </c>
      <c r="L125" s="150">
        <v>600</v>
      </c>
      <c r="M125" s="150" t="s">
        <v>9096</v>
      </c>
      <c r="N125" s="150"/>
      <c r="O125" s="150" t="s">
        <v>4880</v>
      </c>
      <c r="P125" s="151">
        <v>4</v>
      </c>
      <c r="Q125" s="150" t="s">
        <v>4881</v>
      </c>
      <c r="R125" s="151" t="s">
        <v>5223</v>
      </c>
      <c r="S125" s="174" t="s">
        <v>5224</v>
      </c>
      <c r="T125" s="164" t="s">
        <v>4884</v>
      </c>
      <c r="U125" s="164"/>
    </row>
    <row r="126" spans="1:21" ht="28.5" x14ac:dyDescent="0.15">
      <c r="A126" s="149">
        <v>95201105</v>
      </c>
      <c r="B126" s="150" t="s">
        <v>5220</v>
      </c>
      <c r="C126" s="150" t="s">
        <v>4876</v>
      </c>
      <c r="D126" s="150" t="s">
        <v>4876</v>
      </c>
      <c r="E126" s="150" t="s">
        <v>9094</v>
      </c>
      <c r="F126" s="151">
        <v>5</v>
      </c>
      <c r="G126" s="149">
        <v>34</v>
      </c>
      <c r="H126" s="153"/>
      <c r="I126" s="162"/>
      <c r="J126" s="150">
        <v>1</v>
      </c>
      <c r="K126" s="150" t="b">
        <v>1</v>
      </c>
      <c r="L126" s="150">
        <v>900</v>
      </c>
      <c r="M126" s="150" t="s">
        <v>3383</v>
      </c>
      <c r="N126" s="150"/>
      <c r="O126" s="150" t="s">
        <v>4880</v>
      </c>
      <c r="P126" s="151">
        <v>5</v>
      </c>
      <c r="Q126" s="150" t="s">
        <v>4881</v>
      </c>
      <c r="R126" s="151" t="s">
        <v>5223</v>
      </c>
      <c r="S126" s="174" t="s">
        <v>5224</v>
      </c>
      <c r="T126" s="164" t="s">
        <v>4884</v>
      </c>
      <c r="U126" s="164"/>
    </row>
    <row r="127" spans="1:21" ht="28.5" x14ac:dyDescent="0.15">
      <c r="A127" s="149">
        <v>95201111</v>
      </c>
      <c r="B127" s="150" t="s">
        <v>5228</v>
      </c>
      <c r="C127" s="150" t="s">
        <v>4876</v>
      </c>
      <c r="D127" s="150" t="s">
        <v>4876</v>
      </c>
      <c r="E127" s="150" t="s">
        <v>9094</v>
      </c>
      <c r="F127" s="151">
        <v>1</v>
      </c>
      <c r="G127" s="149">
        <v>34</v>
      </c>
      <c r="H127" s="153"/>
      <c r="I127" s="162"/>
      <c r="J127" s="150">
        <v>1</v>
      </c>
      <c r="K127" s="150" t="b">
        <v>1</v>
      </c>
      <c r="L127" s="150">
        <v>200</v>
      </c>
      <c r="M127" s="150" t="s">
        <v>3383</v>
      </c>
      <c r="N127" s="150"/>
      <c r="O127" s="150" t="s">
        <v>4880</v>
      </c>
      <c r="P127" s="151">
        <v>1</v>
      </c>
      <c r="Q127" s="150" t="s">
        <v>4881</v>
      </c>
      <c r="R127" s="151" t="s">
        <v>5231</v>
      </c>
      <c r="S127" s="174" t="s">
        <v>5232</v>
      </c>
      <c r="T127" s="164" t="s">
        <v>4884</v>
      </c>
      <c r="U127" s="164"/>
    </row>
    <row r="128" spans="1:21" ht="28.5" x14ac:dyDescent="0.15">
      <c r="A128" s="149">
        <v>95201112</v>
      </c>
      <c r="B128" s="150" t="s">
        <v>5228</v>
      </c>
      <c r="C128" s="150" t="s">
        <v>4876</v>
      </c>
      <c r="D128" s="150" t="s">
        <v>4876</v>
      </c>
      <c r="E128" s="150" t="s">
        <v>9094</v>
      </c>
      <c r="F128" s="151">
        <v>2</v>
      </c>
      <c r="G128" s="149">
        <v>34</v>
      </c>
      <c r="H128" s="153"/>
      <c r="I128" s="162"/>
      <c r="J128" s="150">
        <v>1</v>
      </c>
      <c r="K128" s="150" t="b">
        <v>1</v>
      </c>
      <c r="L128" s="150">
        <v>240</v>
      </c>
      <c r="M128" s="150" t="s">
        <v>9096</v>
      </c>
      <c r="N128" s="150"/>
      <c r="O128" s="150" t="s">
        <v>4880</v>
      </c>
      <c r="P128" s="151">
        <v>2</v>
      </c>
      <c r="Q128" s="150" t="s">
        <v>4881</v>
      </c>
      <c r="R128" s="151" t="s">
        <v>5231</v>
      </c>
      <c r="S128" s="174" t="s">
        <v>5232</v>
      </c>
      <c r="T128" s="164" t="s">
        <v>4884</v>
      </c>
      <c r="U128" s="164"/>
    </row>
    <row r="129" spans="1:21" ht="28.5" x14ac:dyDescent="0.15">
      <c r="A129" s="149">
        <v>95201113</v>
      </c>
      <c r="B129" s="150" t="s">
        <v>5228</v>
      </c>
      <c r="C129" s="150" t="s">
        <v>4876</v>
      </c>
      <c r="D129" s="150" t="s">
        <v>4876</v>
      </c>
      <c r="E129" s="150" t="s">
        <v>9094</v>
      </c>
      <c r="F129" s="151">
        <v>3</v>
      </c>
      <c r="G129" s="149">
        <v>34</v>
      </c>
      <c r="H129" s="153"/>
      <c r="I129" s="162"/>
      <c r="J129" s="150">
        <v>1</v>
      </c>
      <c r="K129" s="150" t="b">
        <v>1</v>
      </c>
      <c r="L129" s="150">
        <v>400</v>
      </c>
      <c r="M129" s="150" t="s">
        <v>3383</v>
      </c>
      <c r="N129" s="150"/>
      <c r="O129" s="150" t="s">
        <v>4880</v>
      </c>
      <c r="P129" s="151">
        <v>3</v>
      </c>
      <c r="Q129" s="150" t="s">
        <v>4881</v>
      </c>
      <c r="R129" s="151" t="s">
        <v>5231</v>
      </c>
      <c r="S129" s="174" t="s">
        <v>5232</v>
      </c>
      <c r="T129" s="164" t="s">
        <v>4884</v>
      </c>
      <c r="U129" s="164"/>
    </row>
    <row r="130" spans="1:21" ht="28.5" x14ac:dyDescent="0.15">
      <c r="A130" s="149">
        <v>95201114</v>
      </c>
      <c r="B130" s="150" t="s">
        <v>5228</v>
      </c>
      <c r="C130" s="150" t="s">
        <v>4876</v>
      </c>
      <c r="D130" s="150" t="s">
        <v>4876</v>
      </c>
      <c r="E130" s="150" t="s">
        <v>9094</v>
      </c>
      <c r="F130" s="151">
        <v>4</v>
      </c>
      <c r="G130" s="149">
        <v>34</v>
      </c>
      <c r="H130" s="153"/>
      <c r="I130" s="162"/>
      <c r="J130" s="150">
        <v>1</v>
      </c>
      <c r="K130" s="150" t="b">
        <v>1</v>
      </c>
      <c r="L130" s="150">
        <v>600</v>
      </c>
      <c r="M130" s="150" t="s">
        <v>9096</v>
      </c>
      <c r="N130" s="150"/>
      <c r="O130" s="150" t="s">
        <v>4880</v>
      </c>
      <c r="P130" s="151">
        <v>4</v>
      </c>
      <c r="Q130" s="150" t="s">
        <v>4881</v>
      </c>
      <c r="R130" s="151" t="s">
        <v>5231</v>
      </c>
      <c r="S130" s="174" t="s">
        <v>5232</v>
      </c>
      <c r="T130" s="164" t="s">
        <v>4884</v>
      </c>
      <c r="U130" s="164"/>
    </row>
    <row r="131" spans="1:21" ht="28.5" x14ac:dyDescent="0.15">
      <c r="A131" s="149">
        <v>95201115</v>
      </c>
      <c r="B131" s="150" t="s">
        <v>5228</v>
      </c>
      <c r="C131" s="150" t="s">
        <v>4876</v>
      </c>
      <c r="D131" s="150" t="s">
        <v>4876</v>
      </c>
      <c r="E131" s="150" t="s">
        <v>9094</v>
      </c>
      <c r="F131" s="151">
        <v>5</v>
      </c>
      <c r="G131" s="149">
        <v>34</v>
      </c>
      <c r="H131" s="153"/>
      <c r="I131" s="162"/>
      <c r="J131" s="150">
        <v>1</v>
      </c>
      <c r="K131" s="150" t="b">
        <v>1</v>
      </c>
      <c r="L131" s="150">
        <v>900</v>
      </c>
      <c r="M131" s="150" t="s">
        <v>3383</v>
      </c>
      <c r="N131" s="150"/>
      <c r="O131" s="150" t="s">
        <v>4880</v>
      </c>
      <c r="P131" s="151">
        <v>5</v>
      </c>
      <c r="Q131" s="150" t="s">
        <v>4881</v>
      </c>
      <c r="R131" s="151" t="s">
        <v>5231</v>
      </c>
      <c r="S131" s="174" t="s">
        <v>5232</v>
      </c>
      <c r="T131" s="164" t="s">
        <v>4884</v>
      </c>
      <c r="U131" s="164"/>
    </row>
    <row r="132" spans="1:21" s="145" customFormat="1" ht="28.5" x14ac:dyDescent="0.15">
      <c r="A132" s="154">
        <v>95301011</v>
      </c>
      <c r="B132" s="155" t="s">
        <v>5306</v>
      </c>
      <c r="C132" s="155" t="s">
        <v>4876</v>
      </c>
      <c r="D132" s="155" t="s">
        <v>4876</v>
      </c>
      <c r="E132" s="155" t="s">
        <v>9094</v>
      </c>
      <c r="F132" s="156">
        <v>1</v>
      </c>
      <c r="G132" s="154">
        <v>34</v>
      </c>
      <c r="H132" s="158" t="s">
        <v>5308</v>
      </c>
      <c r="I132" s="163" t="s">
        <v>5309</v>
      </c>
      <c r="J132" s="155">
        <v>1</v>
      </c>
      <c r="K132" s="155" t="b">
        <v>1</v>
      </c>
      <c r="L132" s="150">
        <v>200</v>
      </c>
      <c r="M132" s="155" t="s">
        <v>3383</v>
      </c>
      <c r="N132" s="155"/>
      <c r="O132" s="155" t="s">
        <v>4880</v>
      </c>
      <c r="P132" s="156">
        <v>1</v>
      </c>
      <c r="Q132" s="155" t="s">
        <v>4881</v>
      </c>
      <c r="R132" s="156" t="s">
        <v>5310</v>
      </c>
      <c r="S132" s="43" t="s">
        <v>5311</v>
      </c>
      <c r="T132" s="155" t="s">
        <v>4884</v>
      </c>
      <c r="U132" s="155"/>
    </row>
    <row r="133" spans="1:21" s="145" customFormat="1" ht="28.5" x14ac:dyDescent="0.15">
      <c r="A133" s="154">
        <v>95301012</v>
      </c>
      <c r="B133" s="155" t="s">
        <v>5306</v>
      </c>
      <c r="C133" s="155" t="s">
        <v>4876</v>
      </c>
      <c r="D133" s="155" t="s">
        <v>4876</v>
      </c>
      <c r="E133" s="155" t="s">
        <v>9094</v>
      </c>
      <c r="F133" s="156">
        <v>2</v>
      </c>
      <c r="G133" s="154">
        <v>34</v>
      </c>
      <c r="H133" s="158" t="s">
        <v>5308</v>
      </c>
      <c r="I133" s="163" t="s">
        <v>5309</v>
      </c>
      <c r="J133" s="155">
        <v>1</v>
      </c>
      <c r="K133" s="155" t="b">
        <v>1</v>
      </c>
      <c r="L133" s="150">
        <v>240</v>
      </c>
      <c r="M133" s="155" t="s">
        <v>9096</v>
      </c>
      <c r="N133" s="155"/>
      <c r="O133" s="155" t="s">
        <v>4880</v>
      </c>
      <c r="P133" s="156">
        <v>2</v>
      </c>
      <c r="Q133" s="155" t="s">
        <v>4881</v>
      </c>
      <c r="R133" s="156" t="s">
        <v>5310</v>
      </c>
      <c r="S133" s="43" t="s">
        <v>5311</v>
      </c>
      <c r="T133" s="155" t="s">
        <v>4884</v>
      </c>
      <c r="U133" s="155"/>
    </row>
    <row r="134" spans="1:21" s="145" customFormat="1" ht="28.5" x14ac:dyDescent="0.15">
      <c r="A134" s="154">
        <v>95301013</v>
      </c>
      <c r="B134" s="155" t="s">
        <v>5306</v>
      </c>
      <c r="C134" s="155" t="s">
        <v>4876</v>
      </c>
      <c r="D134" s="155" t="s">
        <v>4876</v>
      </c>
      <c r="E134" s="155" t="s">
        <v>9094</v>
      </c>
      <c r="F134" s="156">
        <v>3</v>
      </c>
      <c r="G134" s="154">
        <v>34</v>
      </c>
      <c r="H134" s="158" t="s">
        <v>5308</v>
      </c>
      <c r="I134" s="163" t="s">
        <v>5309</v>
      </c>
      <c r="J134" s="155">
        <v>1</v>
      </c>
      <c r="K134" s="155" t="b">
        <v>1</v>
      </c>
      <c r="L134" s="150">
        <v>400</v>
      </c>
      <c r="M134" s="155" t="s">
        <v>3383</v>
      </c>
      <c r="N134" s="155"/>
      <c r="O134" s="155" t="s">
        <v>4880</v>
      </c>
      <c r="P134" s="156">
        <v>3</v>
      </c>
      <c r="Q134" s="155" t="s">
        <v>4881</v>
      </c>
      <c r="R134" s="156" t="s">
        <v>5310</v>
      </c>
      <c r="S134" s="43" t="s">
        <v>5311</v>
      </c>
      <c r="T134" s="155" t="s">
        <v>4884</v>
      </c>
      <c r="U134" s="155"/>
    </row>
    <row r="135" spans="1:21" s="145" customFormat="1" ht="28.5" x14ac:dyDescent="0.15">
      <c r="A135" s="154">
        <v>95301014</v>
      </c>
      <c r="B135" s="155" t="s">
        <v>5306</v>
      </c>
      <c r="C135" s="155" t="s">
        <v>4876</v>
      </c>
      <c r="D135" s="155" t="s">
        <v>4876</v>
      </c>
      <c r="E135" s="155" t="s">
        <v>9094</v>
      </c>
      <c r="F135" s="156">
        <v>4</v>
      </c>
      <c r="G135" s="154">
        <v>34</v>
      </c>
      <c r="H135" s="158" t="s">
        <v>5308</v>
      </c>
      <c r="I135" s="163" t="s">
        <v>5309</v>
      </c>
      <c r="J135" s="155">
        <v>1</v>
      </c>
      <c r="K135" s="155" t="b">
        <v>1</v>
      </c>
      <c r="L135" s="150">
        <v>600</v>
      </c>
      <c r="M135" s="155" t="s">
        <v>9096</v>
      </c>
      <c r="N135" s="155"/>
      <c r="O135" s="155" t="s">
        <v>4880</v>
      </c>
      <c r="P135" s="156">
        <v>4</v>
      </c>
      <c r="Q135" s="155" t="s">
        <v>4881</v>
      </c>
      <c r="R135" s="156" t="s">
        <v>5310</v>
      </c>
      <c r="S135" s="43" t="s">
        <v>5311</v>
      </c>
      <c r="T135" s="155" t="s">
        <v>4884</v>
      </c>
      <c r="U135" s="155"/>
    </row>
    <row r="136" spans="1:21" s="145" customFormat="1" ht="28.5" x14ac:dyDescent="0.15">
      <c r="A136" s="154">
        <v>95301015</v>
      </c>
      <c r="B136" s="155" t="s">
        <v>5306</v>
      </c>
      <c r="C136" s="155" t="s">
        <v>4876</v>
      </c>
      <c r="D136" s="155" t="s">
        <v>4876</v>
      </c>
      <c r="E136" s="155" t="s">
        <v>9094</v>
      </c>
      <c r="F136" s="156">
        <v>5</v>
      </c>
      <c r="G136" s="154">
        <v>34</v>
      </c>
      <c r="H136" s="158" t="s">
        <v>5308</v>
      </c>
      <c r="I136" s="163" t="s">
        <v>5309</v>
      </c>
      <c r="J136" s="155">
        <v>1</v>
      </c>
      <c r="K136" s="155" t="b">
        <v>1</v>
      </c>
      <c r="L136" s="150">
        <v>900</v>
      </c>
      <c r="M136" s="155" t="s">
        <v>3383</v>
      </c>
      <c r="N136" s="155"/>
      <c r="O136" s="155" t="s">
        <v>4880</v>
      </c>
      <c r="P136" s="156">
        <v>5</v>
      </c>
      <c r="Q136" s="155" t="s">
        <v>4881</v>
      </c>
      <c r="R136" s="156" t="s">
        <v>5310</v>
      </c>
      <c r="S136" s="43" t="s">
        <v>5311</v>
      </c>
      <c r="T136" s="155" t="s">
        <v>4884</v>
      </c>
      <c r="U136" s="155"/>
    </row>
    <row r="137" spans="1:21" ht="28.5" x14ac:dyDescent="0.15">
      <c r="A137" s="149">
        <v>95301021</v>
      </c>
      <c r="B137" s="150" t="s">
        <v>5315</v>
      </c>
      <c r="C137" s="150" t="s">
        <v>4876</v>
      </c>
      <c r="D137" s="150" t="s">
        <v>4876</v>
      </c>
      <c r="E137" s="150" t="s">
        <v>9094</v>
      </c>
      <c r="F137" s="151">
        <v>1</v>
      </c>
      <c r="G137" s="149">
        <v>34</v>
      </c>
      <c r="H137" s="150"/>
      <c r="I137" s="162"/>
      <c r="J137" s="150">
        <v>1</v>
      </c>
      <c r="K137" s="150" t="b">
        <v>1</v>
      </c>
      <c r="L137" s="150">
        <v>200</v>
      </c>
      <c r="M137" s="150" t="s">
        <v>3383</v>
      </c>
      <c r="N137" s="150"/>
      <c r="O137" s="150" t="s">
        <v>4880</v>
      </c>
      <c r="P137" s="151">
        <v>1</v>
      </c>
      <c r="Q137" s="150" t="s">
        <v>4881</v>
      </c>
      <c r="R137" s="151" t="s">
        <v>5318</v>
      </c>
      <c r="S137" s="174" t="s">
        <v>5319</v>
      </c>
      <c r="T137" s="164" t="s">
        <v>4884</v>
      </c>
      <c r="U137" s="164"/>
    </row>
    <row r="138" spans="1:21" ht="28.5" x14ac:dyDescent="0.15">
      <c r="A138" s="149">
        <v>95301022</v>
      </c>
      <c r="B138" s="150" t="s">
        <v>5315</v>
      </c>
      <c r="C138" s="150" t="s">
        <v>4876</v>
      </c>
      <c r="D138" s="150" t="s">
        <v>4876</v>
      </c>
      <c r="E138" s="150" t="s">
        <v>9094</v>
      </c>
      <c r="F138" s="151">
        <v>2</v>
      </c>
      <c r="G138" s="149">
        <v>34</v>
      </c>
      <c r="H138" s="150"/>
      <c r="I138" s="162"/>
      <c r="J138" s="150">
        <v>1</v>
      </c>
      <c r="K138" s="150" t="b">
        <v>1</v>
      </c>
      <c r="L138" s="150">
        <v>240</v>
      </c>
      <c r="M138" s="150" t="s">
        <v>9096</v>
      </c>
      <c r="N138" s="150"/>
      <c r="O138" s="150" t="s">
        <v>4880</v>
      </c>
      <c r="P138" s="151">
        <v>2</v>
      </c>
      <c r="Q138" s="150" t="s">
        <v>4881</v>
      </c>
      <c r="R138" s="151" t="s">
        <v>5318</v>
      </c>
      <c r="S138" s="174" t="s">
        <v>5319</v>
      </c>
      <c r="T138" s="164" t="s">
        <v>4884</v>
      </c>
      <c r="U138" s="164"/>
    </row>
    <row r="139" spans="1:21" ht="28.5" x14ac:dyDescent="0.15">
      <c r="A139" s="149">
        <v>95301023</v>
      </c>
      <c r="B139" s="150" t="s">
        <v>5315</v>
      </c>
      <c r="C139" s="150" t="s">
        <v>4876</v>
      </c>
      <c r="D139" s="150" t="s">
        <v>4876</v>
      </c>
      <c r="E139" s="150" t="s">
        <v>9094</v>
      </c>
      <c r="F139" s="151">
        <v>3</v>
      </c>
      <c r="G139" s="149">
        <v>34</v>
      </c>
      <c r="H139" s="150"/>
      <c r="I139" s="162"/>
      <c r="J139" s="150">
        <v>1</v>
      </c>
      <c r="K139" s="150" t="b">
        <v>1</v>
      </c>
      <c r="L139" s="150">
        <v>400</v>
      </c>
      <c r="M139" s="150" t="s">
        <v>3383</v>
      </c>
      <c r="N139" s="150"/>
      <c r="O139" s="150" t="s">
        <v>4880</v>
      </c>
      <c r="P139" s="151">
        <v>3</v>
      </c>
      <c r="Q139" s="150" t="s">
        <v>4881</v>
      </c>
      <c r="R139" s="151" t="s">
        <v>5318</v>
      </c>
      <c r="S139" s="174" t="s">
        <v>5319</v>
      </c>
      <c r="T139" s="164" t="s">
        <v>4884</v>
      </c>
      <c r="U139" s="164"/>
    </row>
    <row r="140" spans="1:21" ht="28.5" x14ac:dyDescent="0.15">
      <c r="A140" s="149">
        <v>95301024</v>
      </c>
      <c r="B140" s="150" t="s">
        <v>5315</v>
      </c>
      <c r="C140" s="150" t="s">
        <v>4876</v>
      </c>
      <c r="D140" s="150" t="s">
        <v>4876</v>
      </c>
      <c r="E140" s="150" t="s">
        <v>9094</v>
      </c>
      <c r="F140" s="151">
        <v>4</v>
      </c>
      <c r="G140" s="149">
        <v>34</v>
      </c>
      <c r="H140" s="150"/>
      <c r="I140" s="162"/>
      <c r="J140" s="150">
        <v>1</v>
      </c>
      <c r="K140" s="150" t="b">
        <v>1</v>
      </c>
      <c r="L140" s="150">
        <v>600</v>
      </c>
      <c r="M140" s="150" t="s">
        <v>9096</v>
      </c>
      <c r="N140" s="150"/>
      <c r="O140" s="150" t="s">
        <v>4880</v>
      </c>
      <c r="P140" s="151">
        <v>4</v>
      </c>
      <c r="Q140" s="150" t="s">
        <v>4881</v>
      </c>
      <c r="R140" s="151" t="s">
        <v>5318</v>
      </c>
      <c r="S140" s="174" t="s">
        <v>5319</v>
      </c>
      <c r="T140" s="164" t="s">
        <v>4884</v>
      </c>
      <c r="U140" s="164"/>
    </row>
    <row r="141" spans="1:21" ht="28.5" x14ac:dyDescent="0.15">
      <c r="A141" s="149">
        <v>95301025</v>
      </c>
      <c r="B141" s="150" t="s">
        <v>5315</v>
      </c>
      <c r="C141" s="150" t="s">
        <v>4876</v>
      </c>
      <c r="D141" s="150" t="s">
        <v>4876</v>
      </c>
      <c r="E141" s="150" t="s">
        <v>9094</v>
      </c>
      <c r="F141" s="151">
        <v>5</v>
      </c>
      <c r="G141" s="149">
        <v>34</v>
      </c>
      <c r="H141" s="150"/>
      <c r="I141" s="162"/>
      <c r="J141" s="150">
        <v>1</v>
      </c>
      <c r="K141" s="150" t="b">
        <v>1</v>
      </c>
      <c r="L141" s="150">
        <v>900</v>
      </c>
      <c r="M141" s="150" t="s">
        <v>3383</v>
      </c>
      <c r="N141" s="150"/>
      <c r="O141" s="150" t="s">
        <v>4880</v>
      </c>
      <c r="P141" s="151">
        <v>5</v>
      </c>
      <c r="Q141" s="150" t="s">
        <v>4881</v>
      </c>
      <c r="R141" s="151" t="s">
        <v>5318</v>
      </c>
      <c r="S141" s="174" t="s">
        <v>5319</v>
      </c>
      <c r="T141" s="164" t="s">
        <v>4884</v>
      </c>
      <c r="U141" s="164"/>
    </row>
    <row r="142" spans="1:21" ht="28.5" x14ac:dyDescent="0.15">
      <c r="A142" s="149">
        <v>95301031</v>
      </c>
      <c r="B142" s="150" t="s">
        <v>9116</v>
      </c>
      <c r="C142" s="150" t="s">
        <v>4876</v>
      </c>
      <c r="D142" s="150" t="s">
        <v>4876</v>
      </c>
      <c r="E142" s="150" t="s">
        <v>9094</v>
      </c>
      <c r="F142" s="151">
        <v>1</v>
      </c>
      <c r="G142" s="149">
        <v>34</v>
      </c>
      <c r="H142" s="153"/>
      <c r="I142" s="162"/>
      <c r="J142" s="150">
        <v>1</v>
      </c>
      <c r="K142" s="150" t="b">
        <v>1</v>
      </c>
      <c r="L142" s="150">
        <v>200</v>
      </c>
      <c r="M142" s="150" t="s">
        <v>3383</v>
      </c>
      <c r="N142" s="150"/>
      <c r="O142" s="150" t="s">
        <v>4880</v>
      </c>
      <c r="P142" s="151">
        <v>1</v>
      </c>
      <c r="Q142" s="150" t="s">
        <v>4881</v>
      </c>
      <c r="R142" s="151" t="s">
        <v>9117</v>
      </c>
      <c r="S142" s="174" t="s">
        <v>9118</v>
      </c>
      <c r="T142" s="164" t="s">
        <v>4884</v>
      </c>
      <c r="U142" s="164"/>
    </row>
    <row r="143" spans="1:21" ht="28.5" x14ac:dyDescent="0.15">
      <c r="A143" s="149">
        <v>95301032</v>
      </c>
      <c r="B143" s="150" t="s">
        <v>9116</v>
      </c>
      <c r="C143" s="150" t="s">
        <v>4876</v>
      </c>
      <c r="D143" s="150" t="s">
        <v>4876</v>
      </c>
      <c r="E143" s="150" t="s">
        <v>9094</v>
      </c>
      <c r="F143" s="151">
        <v>2</v>
      </c>
      <c r="G143" s="149">
        <v>34</v>
      </c>
      <c r="H143" s="153"/>
      <c r="I143" s="162"/>
      <c r="J143" s="150">
        <v>1</v>
      </c>
      <c r="K143" s="150" t="b">
        <v>1</v>
      </c>
      <c r="L143" s="150">
        <v>240</v>
      </c>
      <c r="M143" s="150" t="s">
        <v>9096</v>
      </c>
      <c r="N143" s="150"/>
      <c r="O143" s="150" t="s">
        <v>4880</v>
      </c>
      <c r="P143" s="151">
        <v>2</v>
      </c>
      <c r="Q143" s="150" t="s">
        <v>4881</v>
      </c>
      <c r="R143" s="151" t="s">
        <v>9117</v>
      </c>
      <c r="S143" s="174" t="s">
        <v>9118</v>
      </c>
      <c r="T143" s="164" t="s">
        <v>4884</v>
      </c>
      <c r="U143" s="164"/>
    </row>
    <row r="144" spans="1:21" ht="28.5" x14ac:dyDescent="0.15">
      <c r="A144" s="149">
        <v>95301033</v>
      </c>
      <c r="B144" s="150" t="s">
        <v>9116</v>
      </c>
      <c r="C144" s="150" t="s">
        <v>4876</v>
      </c>
      <c r="D144" s="150" t="s">
        <v>4876</v>
      </c>
      <c r="E144" s="150" t="s">
        <v>9094</v>
      </c>
      <c r="F144" s="151">
        <v>3</v>
      </c>
      <c r="G144" s="149">
        <v>34</v>
      </c>
      <c r="H144" s="153"/>
      <c r="I144" s="162"/>
      <c r="J144" s="150">
        <v>1</v>
      </c>
      <c r="K144" s="150" t="b">
        <v>1</v>
      </c>
      <c r="L144" s="150">
        <v>400</v>
      </c>
      <c r="M144" s="150" t="s">
        <v>3383</v>
      </c>
      <c r="N144" s="150"/>
      <c r="O144" s="150" t="s">
        <v>4880</v>
      </c>
      <c r="P144" s="151">
        <v>3</v>
      </c>
      <c r="Q144" s="150" t="s">
        <v>4881</v>
      </c>
      <c r="R144" s="151" t="s">
        <v>9117</v>
      </c>
      <c r="S144" s="174" t="s">
        <v>9118</v>
      </c>
      <c r="T144" s="164" t="s">
        <v>4884</v>
      </c>
      <c r="U144" s="164"/>
    </row>
    <row r="145" spans="1:21" ht="28.5" x14ac:dyDescent="0.15">
      <c r="A145" s="149">
        <v>95301034</v>
      </c>
      <c r="B145" s="150" t="s">
        <v>9116</v>
      </c>
      <c r="C145" s="150" t="s">
        <v>4876</v>
      </c>
      <c r="D145" s="150" t="s">
        <v>4876</v>
      </c>
      <c r="E145" s="150" t="s">
        <v>9094</v>
      </c>
      <c r="F145" s="151">
        <v>4</v>
      </c>
      <c r="G145" s="149">
        <v>34</v>
      </c>
      <c r="H145" s="153"/>
      <c r="I145" s="162"/>
      <c r="J145" s="150">
        <v>1</v>
      </c>
      <c r="K145" s="150" t="b">
        <v>1</v>
      </c>
      <c r="L145" s="150">
        <v>600</v>
      </c>
      <c r="M145" s="150" t="s">
        <v>9096</v>
      </c>
      <c r="N145" s="150"/>
      <c r="O145" s="150" t="s">
        <v>4880</v>
      </c>
      <c r="P145" s="151">
        <v>4</v>
      </c>
      <c r="Q145" s="150" t="s">
        <v>4881</v>
      </c>
      <c r="R145" s="151" t="s">
        <v>9117</v>
      </c>
      <c r="S145" s="174" t="s">
        <v>9118</v>
      </c>
      <c r="T145" s="164" t="s">
        <v>4884</v>
      </c>
      <c r="U145" s="164"/>
    </row>
    <row r="146" spans="1:21" ht="28.5" x14ac:dyDescent="0.15">
      <c r="A146" s="149">
        <v>95301035</v>
      </c>
      <c r="B146" s="150" t="s">
        <v>9116</v>
      </c>
      <c r="C146" s="150" t="s">
        <v>4876</v>
      </c>
      <c r="D146" s="150" t="s">
        <v>4876</v>
      </c>
      <c r="E146" s="150" t="s">
        <v>9094</v>
      </c>
      <c r="F146" s="151">
        <v>5</v>
      </c>
      <c r="G146" s="149">
        <v>34</v>
      </c>
      <c r="H146" s="153"/>
      <c r="I146" s="162"/>
      <c r="J146" s="150">
        <v>1</v>
      </c>
      <c r="K146" s="150" t="b">
        <v>1</v>
      </c>
      <c r="L146" s="150">
        <v>900</v>
      </c>
      <c r="M146" s="150" t="s">
        <v>3383</v>
      </c>
      <c r="N146" s="150"/>
      <c r="O146" s="150" t="s">
        <v>4880</v>
      </c>
      <c r="P146" s="151">
        <v>5</v>
      </c>
      <c r="Q146" s="150" t="s">
        <v>4881</v>
      </c>
      <c r="R146" s="151" t="s">
        <v>9117</v>
      </c>
      <c r="S146" s="174" t="s">
        <v>9118</v>
      </c>
      <c r="T146" s="164" t="s">
        <v>4884</v>
      </c>
      <c r="U146" s="164"/>
    </row>
    <row r="147" spans="1:21" ht="28.5" x14ac:dyDescent="0.15">
      <c r="A147" s="149">
        <v>95301041</v>
      </c>
      <c r="B147" s="150" t="s">
        <v>5323</v>
      </c>
      <c r="C147" s="150" t="s">
        <v>4876</v>
      </c>
      <c r="D147" s="150" t="s">
        <v>4876</v>
      </c>
      <c r="E147" s="150" t="s">
        <v>9094</v>
      </c>
      <c r="F147" s="151">
        <v>1</v>
      </c>
      <c r="G147" s="149">
        <v>34</v>
      </c>
      <c r="H147" s="153"/>
      <c r="I147" s="162"/>
      <c r="J147" s="150">
        <v>1</v>
      </c>
      <c r="K147" s="150" t="b">
        <v>1</v>
      </c>
      <c r="L147" s="150">
        <v>200</v>
      </c>
      <c r="M147" s="150" t="s">
        <v>3383</v>
      </c>
      <c r="N147" s="150"/>
      <c r="O147" s="150" t="s">
        <v>4880</v>
      </c>
      <c r="P147" s="151">
        <v>1</v>
      </c>
      <c r="Q147" s="150" t="s">
        <v>4881</v>
      </c>
      <c r="R147" s="151" t="s">
        <v>9119</v>
      </c>
      <c r="S147" s="174" t="s">
        <v>5327</v>
      </c>
      <c r="T147" s="164" t="s">
        <v>4884</v>
      </c>
      <c r="U147" s="164"/>
    </row>
    <row r="148" spans="1:21" ht="28.5" x14ac:dyDescent="0.15">
      <c r="A148" s="149">
        <v>95301042</v>
      </c>
      <c r="B148" s="150" t="s">
        <v>5323</v>
      </c>
      <c r="C148" s="150" t="s">
        <v>4876</v>
      </c>
      <c r="D148" s="150" t="s">
        <v>4876</v>
      </c>
      <c r="E148" s="150" t="s">
        <v>9094</v>
      </c>
      <c r="F148" s="151">
        <v>2</v>
      </c>
      <c r="G148" s="149">
        <v>34</v>
      </c>
      <c r="H148" s="153"/>
      <c r="I148" s="162"/>
      <c r="J148" s="150">
        <v>1</v>
      </c>
      <c r="K148" s="150" t="b">
        <v>1</v>
      </c>
      <c r="L148" s="150">
        <v>240</v>
      </c>
      <c r="M148" s="150" t="s">
        <v>9096</v>
      </c>
      <c r="N148" s="150"/>
      <c r="O148" s="150" t="s">
        <v>4880</v>
      </c>
      <c r="P148" s="151">
        <v>2</v>
      </c>
      <c r="Q148" s="150" t="s">
        <v>4881</v>
      </c>
      <c r="R148" s="151" t="s">
        <v>9119</v>
      </c>
      <c r="S148" s="174" t="s">
        <v>5327</v>
      </c>
      <c r="T148" s="164" t="s">
        <v>4884</v>
      </c>
      <c r="U148" s="164"/>
    </row>
    <row r="149" spans="1:21" ht="28.5" x14ac:dyDescent="0.15">
      <c r="A149" s="149">
        <v>95301043</v>
      </c>
      <c r="B149" s="150" t="s">
        <v>5323</v>
      </c>
      <c r="C149" s="150" t="s">
        <v>4876</v>
      </c>
      <c r="D149" s="150" t="s">
        <v>4876</v>
      </c>
      <c r="E149" s="150" t="s">
        <v>9094</v>
      </c>
      <c r="F149" s="151">
        <v>3</v>
      </c>
      <c r="G149" s="149">
        <v>34</v>
      </c>
      <c r="H149" s="153"/>
      <c r="I149" s="162"/>
      <c r="J149" s="150">
        <v>1</v>
      </c>
      <c r="K149" s="150" t="b">
        <v>1</v>
      </c>
      <c r="L149" s="150">
        <v>400</v>
      </c>
      <c r="M149" s="150" t="s">
        <v>3383</v>
      </c>
      <c r="N149" s="150"/>
      <c r="O149" s="150" t="s">
        <v>4880</v>
      </c>
      <c r="P149" s="151">
        <v>3</v>
      </c>
      <c r="Q149" s="150" t="s">
        <v>4881</v>
      </c>
      <c r="R149" s="151" t="s">
        <v>9119</v>
      </c>
      <c r="S149" s="174" t="s">
        <v>5327</v>
      </c>
      <c r="T149" s="164" t="s">
        <v>4884</v>
      </c>
      <c r="U149" s="164"/>
    </row>
    <row r="150" spans="1:21" ht="28.5" x14ac:dyDescent="0.15">
      <c r="A150" s="149">
        <v>95301044</v>
      </c>
      <c r="B150" s="150" t="s">
        <v>5323</v>
      </c>
      <c r="C150" s="150" t="s">
        <v>4876</v>
      </c>
      <c r="D150" s="150" t="s">
        <v>4876</v>
      </c>
      <c r="E150" s="150" t="s">
        <v>9094</v>
      </c>
      <c r="F150" s="151">
        <v>4</v>
      </c>
      <c r="G150" s="149">
        <v>34</v>
      </c>
      <c r="H150" s="153"/>
      <c r="I150" s="162"/>
      <c r="J150" s="150">
        <v>1</v>
      </c>
      <c r="K150" s="150" t="b">
        <v>1</v>
      </c>
      <c r="L150" s="150">
        <v>600</v>
      </c>
      <c r="M150" s="150" t="s">
        <v>9096</v>
      </c>
      <c r="N150" s="150"/>
      <c r="O150" s="150" t="s">
        <v>4880</v>
      </c>
      <c r="P150" s="151">
        <v>4</v>
      </c>
      <c r="Q150" s="150" t="s">
        <v>4881</v>
      </c>
      <c r="R150" s="151" t="s">
        <v>9119</v>
      </c>
      <c r="S150" s="174" t="s">
        <v>5327</v>
      </c>
      <c r="T150" s="164" t="s">
        <v>4884</v>
      </c>
      <c r="U150" s="164"/>
    </row>
    <row r="151" spans="1:21" ht="28.5" x14ac:dyDescent="0.15">
      <c r="A151" s="149">
        <v>95301045</v>
      </c>
      <c r="B151" s="150" t="s">
        <v>5323</v>
      </c>
      <c r="C151" s="150" t="s">
        <v>4876</v>
      </c>
      <c r="D151" s="150" t="s">
        <v>4876</v>
      </c>
      <c r="E151" s="150" t="s">
        <v>9094</v>
      </c>
      <c r="F151" s="151">
        <v>5</v>
      </c>
      <c r="G151" s="149">
        <v>34</v>
      </c>
      <c r="H151" s="153"/>
      <c r="I151" s="162"/>
      <c r="J151" s="150">
        <v>1</v>
      </c>
      <c r="K151" s="150" t="b">
        <v>1</v>
      </c>
      <c r="L151" s="150">
        <v>900</v>
      </c>
      <c r="M151" s="150" t="s">
        <v>3383</v>
      </c>
      <c r="N151" s="150"/>
      <c r="O151" s="150" t="s">
        <v>4880</v>
      </c>
      <c r="P151" s="151">
        <v>5</v>
      </c>
      <c r="Q151" s="150" t="s">
        <v>4881</v>
      </c>
      <c r="R151" s="151" t="s">
        <v>9119</v>
      </c>
      <c r="S151" s="174" t="s">
        <v>5327</v>
      </c>
      <c r="T151" s="164" t="s">
        <v>4884</v>
      </c>
      <c r="U151" s="164"/>
    </row>
    <row r="152" spans="1:21" ht="28.5" x14ac:dyDescent="0.15">
      <c r="A152" s="149">
        <v>95301051</v>
      </c>
      <c r="B152" s="150" t="s">
        <v>5331</v>
      </c>
      <c r="C152" s="150" t="s">
        <v>4876</v>
      </c>
      <c r="D152" s="150" t="s">
        <v>4876</v>
      </c>
      <c r="E152" s="150" t="s">
        <v>9094</v>
      </c>
      <c r="F152" s="151">
        <v>1</v>
      </c>
      <c r="G152" s="149">
        <v>34</v>
      </c>
      <c r="H152" s="153"/>
      <c r="I152" s="162"/>
      <c r="J152" s="150">
        <v>1</v>
      </c>
      <c r="K152" s="150" t="b">
        <v>1</v>
      </c>
      <c r="L152" s="150">
        <v>200</v>
      </c>
      <c r="M152" s="150" t="s">
        <v>3383</v>
      </c>
      <c r="N152" s="150"/>
      <c r="O152" s="150" t="s">
        <v>4880</v>
      </c>
      <c r="P152" s="151">
        <v>1</v>
      </c>
      <c r="Q152" s="150" t="s">
        <v>4881</v>
      </c>
      <c r="R152" s="151" t="s">
        <v>5334</v>
      </c>
      <c r="S152" s="108" t="s">
        <v>5335</v>
      </c>
      <c r="T152" s="164" t="s">
        <v>4884</v>
      </c>
      <c r="U152" s="164"/>
    </row>
    <row r="153" spans="1:21" ht="28.5" x14ac:dyDescent="0.15">
      <c r="A153" s="149">
        <v>95301052</v>
      </c>
      <c r="B153" s="150" t="s">
        <v>5331</v>
      </c>
      <c r="C153" s="150" t="s">
        <v>4876</v>
      </c>
      <c r="D153" s="150" t="s">
        <v>4876</v>
      </c>
      <c r="E153" s="150" t="s">
        <v>9094</v>
      </c>
      <c r="F153" s="151">
        <v>2</v>
      </c>
      <c r="G153" s="149">
        <v>34</v>
      </c>
      <c r="H153" s="153"/>
      <c r="I153" s="162"/>
      <c r="J153" s="150">
        <v>1</v>
      </c>
      <c r="K153" s="150" t="b">
        <v>1</v>
      </c>
      <c r="L153" s="150">
        <v>240</v>
      </c>
      <c r="M153" s="150" t="s">
        <v>9096</v>
      </c>
      <c r="N153" s="150"/>
      <c r="O153" s="150" t="s">
        <v>4880</v>
      </c>
      <c r="P153" s="151">
        <v>2</v>
      </c>
      <c r="Q153" s="150" t="s">
        <v>4881</v>
      </c>
      <c r="R153" s="151" t="s">
        <v>5334</v>
      </c>
      <c r="S153" s="108" t="s">
        <v>5335</v>
      </c>
      <c r="T153" s="164" t="s">
        <v>4884</v>
      </c>
      <c r="U153" s="164"/>
    </row>
    <row r="154" spans="1:21" ht="28.5" x14ac:dyDescent="0.15">
      <c r="A154" s="149">
        <v>95301053</v>
      </c>
      <c r="B154" s="150" t="s">
        <v>5331</v>
      </c>
      <c r="C154" s="150" t="s">
        <v>4876</v>
      </c>
      <c r="D154" s="150" t="s">
        <v>4876</v>
      </c>
      <c r="E154" s="150" t="s">
        <v>9094</v>
      </c>
      <c r="F154" s="151">
        <v>3</v>
      </c>
      <c r="G154" s="149">
        <v>34</v>
      </c>
      <c r="H154" s="153"/>
      <c r="I154" s="162"/>
      <c r="J154" s="150">
        <v>1</v>
      </c>
      <c r="K154" s="150" t="b">
        <v>1</v>
      </c>
      <c r="L154" s="150">
        <v>400</v>
      </c>
      <c r="M154" s="150" t="s">
        <v>3383</v>
      </c>
      <c r="N154" s="150"/>
      <c r="O154" s="150" t="s">
        <v>4880</v>
      </c>
      <c r="P154" s="151">
        <v>3</v>
      </c>
      <c r="Q154" s="150" t="s">
        <v>4881</v>
      </c>
      <c r="R154" s="151" t="s">
        <v>5334</v>
      </c>
      <c r="S154" s="108" t="s">
        <v>5335</v>
      </c>
      <c r="T154" s="164" t="s">
        <v>4884</v>
      </c>
      <c r="U154" s="164"/>
    </row>
    <row r="155" spans="1:21" ht="28.5" x14ac:dyDescent="0.15">
      <c r="A155" s="149">
        <v>95301054</v>
      </c>
      <c r="B155" s="150" t="s">
        <v>5331</v>
      </c>
      <c r="C155" s="150" t="s">
        <v>4876</v>
      </c>
      <c r="D155" s="150" t="s">
        <v>4876</v>
      </c>
      <c r="E155" s="150" t="s">
        <v>9094</v>
      </c>
      <c r="F155" s="151">
        <v>4</v>
      </c>
      <c r="G155" s="149">
        <v>34</v>
      </c>
      <c r="H155" s="153"/>
      <c r="I155" s="162"/>
      <c r="J155" s="150">
        <v>1</v>
      </c>
      <c r="K155" s="150" t="b">
        <v>1</v>
      </c>
      <c r="L155" s="150">
        <v>600</v>
      </c>
      <c r="M155" s="150" t="s">
        <v>9096</v>
      </c>
      <c r="N155" s="150"/>
      <c r="O155" s="150" t="s">
        <v>4880</v>
      </c>
      <c r="P155" s="151">
        <v>4</v>
      </c>
      <c r="Q155" s="150" t="s">
        <v>4881</v>
      </c>
      <c r="R155" s="151" t="s">
        <v>5334</v>
      </c>
      <c r="S155" s="108" t="s">
        <v>5335</v>
      </c>
      <c r="T155" s="164" t="s">
        <v>4884</v>
      </c>
      <c r="U155" s="164"/>
    </row>
    <row r="156" spans="1:21" ht="28.5" x14ac:dyDescent="0.15">
      <c r="A156" s="149">
        <v>95301055</v>
      </c>
      <c r="B156" s="150" t="s">
        <v>5331</v>
      </c>
      <c r="C156" s="150" t="s">
        <v>4876</v>
      </c>
      <c r="D156" s="150" t="s">
        <v>4876</v>
      </c>
      <c r="E156" s="150" t="s">
        <v>9094</v>
      </c>
      <c r="F156" s="151">
        <v>5</v>
      </c>
      <c r="G156" s="149">
        <v>34</v>
      </c>
      <c r="H156" s="153"/>
      <c r="I156" s="162"/>
      <c r="J156" s="150">
        <v>1</v>
      </c>
      <c r="K156" s="150" t="b">
        <v>1</v>
      </c>
      <c r="L156" s="150">
        <v>900</v>
      </c>
      <c r="M156" s="150" t="s">
        <v>3383</v>
      </c>
      <c r="N156" s="150"/>
      <c r="O156" s="150" t="s">
        <v>4880</v>
      </c>
      <c r="P156" s="151">
        <v>5</v>
      </c>
      <c r="Q156" s="150" t="s">
        <v>4881</v>
      </c>
      <c r="R156" s="151" t="s">
        <v>5334</v>
      </c>
      <c r="S156" s="108" t="s">
        <v>5335</v>
      </c>
      <c r="T156" s="164" t="s">
        <v>4884</v>
      </c>
      <c r="U156" s="164"/>
    </row>
    <row r="157" spans="1:21" s="145" customFormat="1" ht="28.5" x14ac:dyDescent="0.15">
      <c r="A157" s="154">
        <v>95301061</v>
      </c>
      <c r="B157" s="155" t="s">
        <v>5339</v>
      </c>
      <c r="C157" s="155" t="s">
        <v>4876</v>
      </c>
      <c r="D157" s="155" t="s">
        <v>4876</v>
      </c>
      <c r="E157" s="155" t="s">
        <v>9094</v>
      </c>
      <c r="F157" s="156">
        <v>1</v>
      </c>
      <c r="G157" s="154">
        <v>34</v>
      </c>
      <c r="H157" s="158" t="s">
        <v>5340</v>
      </c>
      <c r="I157" s="163" t="s">
        <v>5341</v>
      </c>
      <c r="J157" s="155">
        <v>1</v>
      </c>
      <c r="K157" s="155" t="b">
        <v>1</v>
      </c>
      <c r="L157" s="150">
        <v>200</v>
      </c>
      <c r="M157" s="155" t="s">
        <v>3383</v>
      </c>
      <c r="N157" s="155"/>
      <c r="O157" s="155" t="s">
        <v>4880</v>
      </c>
      <c r="P157" s="156">
        <v>1</v>
      </c>
      <c r="Q157" s="155" t="s">
        <v>4881</v>
      </c>
      <c r="R157" s="156" t="s">
        <v>5342</v>
      </c>
      <c r="S157" s="169" t="s">
        <v>5343</v>
      </c>
      <c r="T157" s="155" t="s">
        <v>4884</v>
      </c>
      <c r="U157" s="155"/>
    </row>
    <row r="158" spans="1:21" s="145" customFormat="1" ht="28.5" x14ac:dyDescent="0.15">
      <c r="A158" s="154">
        <v>95301062</v>
      </c>
      <c r="B158" s="155" t="s">
        <v>5339</v>
      </c>
      <c r="C158" s="155" t="s">
        <v>4876</v>
      </c>
      <c r="D158" s="155" t="s">
        <v>4876</v>
      </c>
      <c r="E158" s="155" t="s">
        <v>9094</v>
      </c>
      <c r="F158" s="156">
        <v>2</v>
      </c>
      <c r="G158" s="154">
        <v>34</v>
      </c>
      <c r="H158" s="158" t="s">
        <v>5340</v>
      </c>
      <c r="I158" s="163" t="s">
        <v>5341</v>
      </c>
      <c r="J158" s="155">
        <v>1</v>
      </c>
      <c r="K158" s="155" t="b">
        <v>1</v>
      </c>
      <c r="L158" s="150">
        <v>240</v>
      </c>
      <c r="M158" s="155" t="s">
        <v>9096</v>
      </c>
      <c r="N158" s="155"/>
      <c r="O158" s="155" t="s">
        <v>4880</v>
      </c>
      <c r="P158" s="156">
        <v>2</v>
      </c>
      <c r="Q158" s="155" t="s">
        <v>4881</v>
      </c>
      <c r="R158" s="156" t="s">
        <v>5342</v>
      </c>
      <c r="S158" s="169" t="s">
        <v>5343</v>
      </c>
      <c r="T158" s="155" t="s">
        <v>4884</v>
      </c>
      <c r="U158" s="155"/>
    </row>
    <row r="159" spans="1:21" s="145" customFormat="1" ht="28.5" x14ac:dyDescent="0.15">
      <c r="A159" s="154">
        <v>95301063</v>
      </c>
      <c r="B159" s="155" t="s">
        <v>5339</v>
      </c>
      <c r="C159" s="155" t="s">
        <v>4876</v>
      </c>
      <c r="D159" s="155" t="s">
        <v>4876</v>
      </c>
      <c r="E159" s="155" t="s">
        <v>9094</v>
      </c>
      <c r="F159" s="156">
        <v>3</v>
      </c>
      <c r="G159" s="154">
        <v>34</v>
      </c>
      <c r="H159" s="158" t="s">
        <v>5340</v>
      </c>
      <c r="I159" s="163" t="s">
        <v>5341</v>
      </c>
      <c r="J159" s="155">
        <v>1</v>
      </c>
      <c r="K159" s="155" t="b">
        <v>1</v>
      </c>
      <c r="L159" s="150">
        <v>400</v>
      </c>
      <c r="M159" s="155" t="s">
        <v>3383</v>
      </c>
      <c r="N159" s="155"/>
      <c r="O159" s="155" t="s">
        <v>4880</v>
      </c>
      <c r="P159" s="156">
        <v>3</v>
      </c>
      <c r="Q159" s="155" t="s">
        <v>4881</v>
      </c>
      <c r="R159" s="156" t="s">
        <v>5342</v>
      </c>
      <c r="S159" s="169" t="s">
        <v>5343</v>
      </c>
      <c r="T159" s="155" t="s">
        <v>4884</v>
      </c>
      <c r="U159" s="155"/>
    </row>
    <row r="160" spans="1:21" s="145" customFormat="1" ht="28.5" x14ac:dyDescent="0.15">
      <c r="A160" s="154">
        <v>95301064</v>
      </c>
      <c r="B160" s="155" t="s">
        <v>5339</v>
      </c>
      <c r="C160" s="155" t="s">
        <v>4876</v>
      </c>
      <c r="D160" s="155" t="s">
        <v>4876</v>
      </c>
      <c r="E160" s="155" t="s">
        <v>9094</v>
      </c>
      <c r="F160" s="156">
        <v>4</v>
      </c>
      <c r="G160" s="154">
        <v>34</v>
      </c>
      <c r="H160" s="158" t="s">
        <v>5340</v>
      </c>
      <c r="I160" s="163" t="s">
        <v>5341</v>
      </c>
      <c r="J160" s="155">
        <v>1</v>
      </c>
      <c r="K160" s="155" t="b">
        <v>1</v>
      </c>
      <c r="L160" s="150">
        <v>600</v>
      </c>
      <c r="M160" s="155" t="s">
        <v>9096</v>
      </c>
      <c r="N160" s="155"/>
      <c r="O160" s="155" t="s">
        <v>4880</v>
      </c>
      <c r="P160" s="156">
        <v>4</v>
      </c>
      <c r="Q160" s="155" t="s">
        <v>4881</v>
      </c>
      <c r="R160" s="156" t="s">
        <v>5342</v>
      </c>
      <c r="S160" s="169" t="s">
        <v>5343</v>
      </c>
      <c r="T160" s="155" t="s">
        <v>4884</v>
      </c>
      <c r="U160" s="155"/>
    </row>
    <row r="161" spans="1:21" s="145" customFormat="1" ht="28.5" x14ac:dyDescent="0.15">
      <c r="A161" s="154">
        <v>95301065</v>
      </c>
      <c r="B161" s="155" t="s">
        <v>5339</v>
      </c>
      <c r="C161" s="155" t="s">
        <v>4876</v>
      </c>
      <c r="D161" s="155" t="s">
        <v>4876</v>
      </c>
      <c r="E161" s="155" t="s">
        <v>9094</v>
      </c>
      <c r="F161" s="156">
        <v>5</v>
      </c>
      <c r="G161" s="154">
        <v>34</v>
      </c>
      <c r="H161" s="158" t="s">
        <v>5340</v>
      </c>
      <c r="I161" s="163" t="s">
        <v>5341</v>
      </c>
      <c r="J161" s="155">
        <v>1</v>
      </c>
      <c r="K161" s="155" t="b">
        <v>1</v>
      </c>
      <c r="L161" s="150">
        <v>900</v>
      </c>
      <c r="M161" s="155" t="s">
        <v>3383</v>
      </c>
      <c r="N161" s="155"/>
      <c r="O161" s="155" t="s">
        <v>4880</v>
      </c>
      <c r="P161" s="156">
        <v>5</v>
      </c>
      <c r="Q161" s="155" t="s">
        <v>4881</v>
      </c>
      <c r="R161" s="156" t="s">
        <v>5342</v>
      </c>
      <c r="S161" s="169" t="s">
        <v>5343</v>
      </c>
      <c r="T161" s="155" t="s">
        <v>4884</v>
      </c>
      <c r="U161" s="155"/>
    </row>
    <row r="162" spans="1:21" x14ac:dyDescent="0.15">
      <c r="A162" s="149">
        <v>95301071</v>
      </c>
      <c r="B162" s="150" t="s">
        <v>5347</v>
      </c>
      <c r="C162" s="150" t="s">
        <v>4876</v>
      </c>
      <c r="D162" s="150" t="s">
        <v>4876</v>
      </c>
      <c r="E162" s="150" t="s">
        <v>9094</v>
      </c>
      <c r="F162" s="151">
        <v>1</v>
      </c>
      <c r="G162" s="149">
        <v>34</v>
      </c>
      <c r="H162" s="153"/>
      <c r="I162" s="162"/>
      <c r="J162" s="150">
        <v>1</v>
      </c>
      <c r="K162" s="150" t="b">
        <v>1</v>
      </c>
      <c r="L162" s="150">
        <v>200</v>
      </c>
      <c r="M162" s="150" t="s">
        <v>3383</v>
      </c>
      <c r="N162" s="150"/>
      <c r="O162" s="150" t="s">
        <v>4880</v>
      </c>
      <c r="P162" s="151">
        <v>1</v>
      </c>
      <c r="Q162" s="150" t="s">
        <v>4881</v>
      </c>
      <c r="R162" s="151" t="s">
        <v>5350</v>
      </c>
      <c r="S162" s="174" t="s">
        <v>5351</v>
      </c>
      <c r="T162" s="164" t="s">
        <v>4884</v>
      </c>
      <c r="U162" s="164"/>
    </row>
    <row r="163" spans="1:21" x14ac:dyDescent="0.15">
      <c r="A163" s="149">
        <v>95301072</v>
      </c>
      <c r="B163" s="150" t="s">
        <v>5347</v>
      </c>
      <c r="C163" s="150" t="s">
        <v>4876</v>
      </c>
      <c r="D163" s="150" t="s">
        <v>4876</v>
      </c>
      <c r="E163" s="150" t="s">
        <v>9094</v>
      </c>
      <c r="F163" s="151">
        <v>2</v>
      </c>
      <c r="G163" s="149">
        <v>34</v>
      </c>
      <c r="H163" s="153"/>
      <c r="I163" s="162"/>
      <c r="J163" s="150">
        <v>1</v>
      </c>
      <c r="K163" s="150" t="b">
        <v>1</v>
      </c>
      <c r="L163" s="150">
        <v>240</v>
      </c>
      <c r="M163" s="150" t="s">
        <v>9096</v>
      </c>
      <c r="N163" s="150"/>
      <c r="O163" s="150" t="s">
        <v>4880</v>
      </c>
      <c r="P163" s="151">
        <v>2</v>
      </c>
      <c r="Q163" s="150" t="s">
        <v>4881</v>
      </c>
      <c r="R163" s="151" t="s">
        <v>5350</v>
      </c>
      <c r="S163" s="174" t="s">
        <v>5351</v>
      </c>
      <c r="T163" s="164" t="s">
        <v>4884</v>
      </c>
      <c r="U163" s="164"/>
    </row>
    <row r="164" spans="1:21" x14ac:dyDescent="0.15">
      <c r="A164" s="149">
        <v>95301073</v>
      </c>
      <c r="B164" s="150" t="s">
        <v>5347</v>
      </c>
      <c r="C164" s="150" t="s">
        <v>4876</v>
      </c>
      <c r="D164" s="150" t="s">
        <v>4876</v>
      </c>
      <c r="E164" s="150" t="s">
        <v>9094</v>
      </c>
      <c r="F164" s="151">
        <v>3</v>
      </c>
      <c r="G164" s="149">
        <v>34</v>
      </c>
      <c r="H164" s="153"/>
      <c r="I164" s="162"/>
      <c r="J164" s="150">
        <v>1</v>
      </c>
      <c r="K164" s="150" t="b">
        <v>1</v>
      </c>
      <c r="L164" s="150">
        <v>400</v>
      </c>
      <c r="M164" s="150" t="s">
        <v>3383</v>
      </c>
      <c r="N164" s="150"/>
      <c r="O164" s="150" t="s">
        <v>4880</v>
      </c>
      <c r="P164" s="151">
        <v>3</v>
      </c>
      <c r="Q164" s="150" t="s">
        <v>4881</v>
      </c>
      <c r="R164" s="151" t="s">
        <v>5350</v>
      </c>
      <c r="S164" s="174" t="s">
        <v>5351</v>
      </c>
      <c r="T164" s="164" t="s">
        <v>4884</v>
      </c>
      <c r="U164" s="164"/>
    </row>
    <row r="165" spans="1:21" x14ac:dyDescent="0.15">
      <c r="A165" s="149">
        <v>95301074</v>
      </c>
      <c r="B165" s="150" t="s">
        <v>5347</v>
      </c>
      <c r="C165" s="150" t="s">
        <v>4876</v>
      </c>
      <c r="D165" s="150" t="s">
        <v>4876</v>
      </c>
      <c r="E165" s="150" t="s">
        <v>9094</v>
      </c>
      <c r="F165" s="151">
        <v>4</v>
      </c>
      <c r="G165" s="149">
        <v>34</v>
      </c>
      <c r="H165" s="153"/>
      <c r="I165" s="162"/>
      <c r="J165" s="150">
        <v>1</v>
      </c>
      <c r="K165" s="150" t="b">
        <v>1</v>
      </c>
      <c r="L165" s="150">
        <v>600</v>
      </c>
      <c r="M165" s="150" t="s">
        <v>9096</v>
      </c>
      <c r="N165" s="150"/>
      <c r="O165" s="150" t="s">
        <v>4880</v>
      </c>
      <c r="P165" s="151">
        <v>4</v>
      </c>
      <c r="Q165" s="150" t="s">
        <v>4881</v>
      </c>
      <c r="R165" s="151" t="s">
        <v>5350</v>
      </c>
      <c r="S165" s="174" t="s">
        <v>5351</v>
      </c>
      <c r="T165" s="164" t="s">
        <v>4884</v>
      </c>
      <c r="U165" s="164"/>
    </row>
    <row r="166" spans="1:21" x14ac:dyDescent="0.15">
      <c r="A166" s="149">
        <v>95301075</v>
      </c>
      <c r="B166" s="150" t="s">
        <v>5347</v>
      </c>
      <c r="C166" s="150" t="s">
        <v>4876</v>
      </c>
      <c r="D166" s="150" t="s">
        <v>4876</v>
      </c>
      <c r="E166" s="150" t="s">
        <v>9094</v>
      </c>
      <c r="F166" s="151">
        <v>5</v>
      </c>
      <c r="G166" s="149">
        <v>34</v>
      </c>
      <c r="H166" s="153"/>
      <c r="I166" s="162"/>
      <c r="J166" s="150">
        <v>1</v>
      </c>
      <c r="K166" s="150" t="b">
        <v>1</v>
      </c>
      <c r="L166" s="150">
        <v>900</v>
      </c>
      <c r="M166" s="150" t="s">
        <v>3383</v>
      </c>
      <c r="N166" s="150"/>
      <c r="O166" s="150" t="s">
        <v>4880</v>
      </c>
      <c r="P166" s="151">
        <v>5</v>
      </c>
      <c r="Q166" s="150" t="s">
        <v>4881</v>
      </c>
      <c r="R166" s="151" t="s">
        <v>5350</v>
      </c>
      <c r="S166" s="174" t="s">
        <v>5351</v>
      </c>
      <c r="T166" s="164" t="s">
        <v>4884</v>
      </c>
      <c r="U166" s="164"/>
    </row>
    <row r="167" spans="1:21" x14ac:dyDescent="0.15">
      <c r="A167" s="149">
        <v>95301081</v>
      </c>
      <c r="B167" s="150" t="s">
        <v>5355</v>
      </c>
      <c r="C167" s="150" t="s">
        <v>4876</v>
      </c>
      <c r="D167" s="150" t="s">
        <v>4876</v>
      </c>
      <c r="E167" s="150" t="s">
        <v>9094</v>
      </c>
      <c r="F167" s="151">
        <v>1</v>
      </c>
      <c r="G167" s="149">
        <v>34</v>
      </c>
      <c r="H167" s="153"/>
      <c r="I167" s="162"/>
      <c r="J167" s="150">
        <v>1</v>
      </c>
      <c r="K167" s="150" t="b">
        <v>1</v>
      </c>
      <c r="L167" s="150">
        <v>200</v>
      </c>
      <c r="M167" s="150" t="s">
        <v>3383</v>
      </c>
      <c r="N167" s="150"/>
      <c r="O167" s="150" t="s">
        <v>4880</v>
      </c>
      <c r="P167" s="151">
        <v>1</v>
      </c>
      <c r="Q167" s="150" t="s">
        <v>4881</v>
      </c>
      <c r="R167" s="151" t="s">
        <v>5358</v>
      </c>
      <c r="S167" s="174" t="s">
        <v>5359</v>
      </c>
      <c r="T167" s="164" t="s">
        <v>4884</v>
      </c>
      <c r="U167" s="164"/>
    </row>
    <row r="168" spans="1:21" x14ac:dyDescent="0.15">
      <c r="A168" s="149">
        <v>95301082</v>
      </c>
      <c r="B168" s="150" t="s">
        <v>5355</v>
      </c>
      <c r="C168" s="150" t="s">
        <v>4876</v>
      </c>
      <c r="D168" s="150" t="s">
        <v>4876</v>
      </c>
      <c r="E168" s="150" t="s">
        <v>9094</v>
      </c>
      <c r="F168" s="151">
        <v>2</v>
      </c>
      <c r="G168" s="149">
        <v>34</v>
      </c>
      <c r="H168" s="153"/>
      <c r="I168" s="162"/>
      <c r="J168" s="150">
        <v>1</v>
      </c>
      <c r="K168" s="150" t="b">
        <v>1</v>
      </c>
      <c r="L168" s="150">
        <v>240</v>
      </c>
      <c r="M168" s="150" t="s">
        <v>9096</v>
      </c>
      <c r="N168" s="150"/>
      <c r="O168" s="150" t="s">
        <v>4880</v>
      </c>
      <c r="P168" s="151">
        <v>2</v>
      </c>
      <c r="Q168" s="150" t="s">
        <v>4881</v>
      </c>
      <c r="R168" s="151" t="s">
        <v>5358</v>
      </c>
      <c r="S168" s="174" t="s">
        <v>5359</v>
      </c>
      <c r="T168" s="164" t="s">
        <v>4884</v>
      </c>
      <c r="U168" s="164"/>
    </row>
    <row r="169" spans="1:21" x14ac:dyDescent="0.15">
      <c r="A169" s="149">
        <v>95301083</v>
      </c>
      <c r="B169" s="150" t="s">
        <v>5355</v>
      </c>
      <c r="C169" s="150" t="s">
        <v>4876</v>
      </c>
      <c r="D169" s="150" t="s">
        <v>4876</v>
      </c>
      <c r="E169" s="150" t="s">
        <v>9094</v>
      </c>
      <c r="F169" s="151">
        <v>3</v>
      </c>
      <c r="G169" s="149">
        <v>34</v>
      </c>
      <c r="H169" s="153"/>
      <c r="I169" s="162"/>
      <c r="J169" s="150">
        <v>1</v>
      </c>
      <c r="K169" s="150" t="b">
        <v>1</v>
      </c>
      <c r="L169" s="150">
        <v>400</v>
      </c>
      <c r="M169" s="150" t="s">
        <v>3383</v>
      </c>
      <c r="N169" s="150"/>
      <c r="O169" s="150" t="s">
        <v>4880</v>
      </c>
      <c r="P169" s="151">
        <v>3</v>
      </c>
      <c r="Q169" s="150" t="s">
        <v>4881</v>
      </c>
      <c r="R169" s="151" t="s">
        <v>5358</v>
      </c>
      <c r="S169" s="174" t="s">
        <v>5359</v>
      </c>
      <c r="T169" s="164" t="s">
        <v>4884</v>
      </c>
      <c r="U169" s="164"/>
    </row>
    <row r="170" spans="1:21" x14ac:dyDescent="0.15">
      <c r="A170" s="149">
        <v>95301084</v>
      </c>
      <c r="B170" s="150" t="s">
        <v>5355</v>
      </c>
      <c r="C170" s="150" t="s">
        <v>4876</v>
      </c>
      <c r="D170" s="150" t="s">
        <v>4876</v>
      </c>
      <c r="E170" s="150" t="s">
        <v>9094</v>
      </c>
      <c r="F170" s="151">
        <v>4</v>
      </c>
      <c r="G170" s="149">
        <v>34</v>
      </c>
      <c r="H170" s="153"/>
      <c r="I170" s="162"/>
      <c r="J170" s="150">
        <v>1</v>
      </c>
      <c r="K170" s="150" t="b">
        <v>1</v>
      </c>
      <c r="L170" s="150">
        <v>600</v>
      </c>
      <c r="M170" s="150" t="s">
        <v>9096</v>
      </c>
      <c r="N170" s="150"/>
      <c r="O170" s="150" t="s">
        <v>4880</v>
      </c>
      <c r="P170" s="151">
        <v>4</v>
      </c>
      <c r="Q170" s="150" t="s">
        <v>4881</v>
      </c>
      <c r="R170" s="151" t="s">
        <v>5358</v>
      </c>
      <c r="S170" s="174" t="s">
        <v>5359</v>
      </c>
      <c r="T170" s="164" t="s">
        <v>4884</v>
      </c>
      <c r="U170" s="164"/>
    </row>
    <row r="171" spans="1:21" x14ac:dyDescent="0.15">
      <c r="A171" s="149">
        <v>95301085</v>
      </c>
      <c r="B171" s="150" t="s">
        <v>5355</v>
      </c>
      <c r="C171" s="150" t="s">
        <v>4876</v>
      </c>
      <c r="D171" s="150" t="s">
        <v>4876</v>
      </c>
      <c r="E171" s="150" t="s">
        <v>9094</v>
      </c>
      <c r="F171" s="151">
        <v>5</v>
      </c>
      <c r="G171" s="149">
        <v>34</v>
      </c>
      <c r="H171" s="153"/>
      <c r="I171" s="162"/>
      <c r="J171" s="150">
        <v>1</v>
      </c>
      <c r="K171" s="150" t="b">
        <v>1</v>
      </c>
      <c r="L171" s="150">
        <v>900</v>
      </c>
      <c r="M171" s="150" t="s">
        <v>3383</v>
      </c>
      <c r="N171" s="150"/>
      <c r="O171" s="150" t="s">
        <v>4880</v>
      </c>
      <c r="P171" s="151">
        <v>5</v>
      </c>
      <c r="Q171" s="150" t="s">
        <v>4881</v>
      </c>
      <c r="R171" s="151" t="s">
        <v>5358</v>
      </c>
      <c r="S171" s="174" t="s">
        <v>5359</v>
      </c>
      <c r="T171" s="164" t="s">
        <v>4884</v>
      </c>
      <c r="U171" s="164"/>
    </row>
    <row r="172" spans="1:21" x14ac:dyDescent="0.15">
      <c r="A172" s="149">
        <v>95301091</v>
      </c>
      <c r="B172" s="150" t="s">
        <v>5363</v>
      </c>
      <c r="C172" s="150" t="s">
        <v>4876</v>
      </c>
      <c r="D172" s="150" t="s">
        <v>4876</v>
      </c>
      <c r="E172" s="150" t="s">
        <v>9094</v>
      </c>
      <c r="F172" s="151">
        <v>1</v>
      </c>
      <c r="G172" s="149">
        <v>34</v>
      </c>
      <c r="H172" s="153"/>
      <c r="I172" s="162"/>
      <c r="J172" s="150">
        <v>1</v>
      </c>
      <c r="K172" s="150" t="b">
        <v>1</v>
      </c>
      <c r="L172" s="150">
        <v>200</v>
      </c>
      <c r="M172" s="150" t="s">
        <v>3383</v>
      </c>
      <c r="N172" s="150"/>
      <c r="O172" s="150" t="s">
        <v>4880</v>
      </c>
      <c r="P172" s="151">
        <v>1</v>
      </c>
      <c r="Q172" s="150" t="s">
        <v>4881</v>
      </c>
      <c r="R172" s="151" t="s">
        <v>5366</v>
      </c>
      <c r="S172" s="174" t="s">
        <v>5367</v>
      </c>
      <c r="T172" s="164" t="s">
        <v>4884</v>
      </c>
      <c r="U172" s="164"/>
    </row>
    <row r="173" spans="1:21" x14ac:dyDescent="0.15">
      <c r="A173" s="149">
        <v>95301092</v>
      </c>
      <c r="B173" s="150" t="s">
        <v>5363</v>
      </c>
      <c r="C173" s="150" t="s">
        <v>4876</v>
      </c>
      <c r="D173" s="150" t="s">
        <v>4876</v>
      </c>
      <c r="E173" s="150" t="s">
        <v>9094</v>
      </c>
      <c r="F173" s="151">
        <v>2</v>
      </c>
      <c r="G173" s="149">
        <v>34</v>
      </c>
      <c r="H173" s="153"/>
      <c r="I173" s="162"/>
      <c r="J173" s="150">
        <v>1</v>
      </c>
      <c r="K173" s="150" t="b">
        <v>1</v>
      </c>
      <c r="L173" s="150">
        <v>240</v>
      </c>
      <c r="M173" s="150" t="s">
        <v>9096</v>
      </c>
      <c r="N173" s="150"/>
      <c r="O173" s="150" t="s">
        <v>4880</v>
      </c>
      <c r="P173" s="151">
        <v>2</v>
      </c>
      <c r="Q173" s="150" t="s">
        <v>4881</v>
      </c>
      <c r="R173" s="151" t="s">
        <v>5366</v>
      </c>
      <c r="S173" s="174" t="s">
        <v>5367</v>
      </c>
      <c r="T173" s="164" t="s">
        <v>4884</v>
      </c>
      <c r="U173" s="164"/>
    </row>
    <row r="174" spans="1:21" x14ac:dyDescent="0.15">
      <c r="A174" s="149">
        <v>95301093</v>
      </c>
      <c r="B174" s="150" t="s">
        <v>5363</v>
      </c>
      <c r="C174" s="150" t="s">
        <v>4876</v>
      </c>
      <c r="D174" s="150" t="s">
        <v>4876</v>
      </c>
      <c r="E174" s="150" t="s">
        <v>9094</v>
      </c>
      <c r="F174" s="151">
        <v>3</v>
      </c>
      <c r="G174" s="149">
        <v>34</v>
      </c>
      <c r="H174" s="153"/>
      <c r="I174" s="162"/>
      <c r="J174" s="150">
        <v>1</v>
      </c>
      <c r="K174" s="150" t="b">
        <v>1</v>
      </c>
      <c r="L174" s="150">
        <v>400</v>
      </c>
      <c r="M174" s="150" t="s">
        <v>3383</v>
      </c>
      <c r="N174" s="150"/>
      <c r="O174" s="150" t="s">
        <v>4880</v>
      </c>
      <c r="P174" s="151">
        <v>3</v>
      </c>
      <c r="Q174" s="150" t="s">
        <v>4881</v>
      </c>
      <c r="R174" s="151" t="s">
        <v>5366</v>
      </c>
      <c r="S174" s="174" t="s">
        <v>5367</v>
      </c>
      <c r="T174" s="164" t="s">
        <v>4884</v>
      </c>
      <c r="U174" s="164"/>
    </row>
    <row r="175" spans="1:21" x14ac:dyDescent="0.15">
      <c r="A175" s="149">
        <v>95301094</v>
      </c>
      <c r="B175" s="150" t="s">
        <v>5363</v>
      </c>
      <c r="C175" s="150" t="s">
        <v>4876</v>
      </c>
      <c r="D175" s="150" t="s">
        <v>4876</v>
      </c>
      <c r="E175" s="150" t="s">
        <v>9094</v>
      </c>
      <c r="F175" s="151">
        <v>4</v>
      </c>
      <c r="G175" s="149">
        <v>34</v>
      </c>
      <c r="H175" s="153"/>
      <c r="I175" s="162"/>
      <c r="J175" s="150">
        <v>1</v>
      </c>
      <c r="K175" s="150" t="b">
        <v>1</v>
      </c>
      <c r="L175" s="150">
        <v>600</v>
      </c>
      <c r="M175" s="150" t="s">
        <v>9096</v>
      </c>
      <c r="N175" s="150"/>
      <c r="O175" s="150" t="s">
        <v>4880</v>
      </c>
      <c r="P175" s="151">
        <v>4</v>
      </c>
      <c r="Q175" s="150" t="s">
        <v>4881</v>
      </c>
      <c r="R175" s="151" t="s">
        <v>5366</v>
      </c>
      <c r="S175" s="174" t="s">
        <v>5367</v>
      </c>
      <c r="T175" s="164" t="s">
        <v>4884</v>
      </c>
      <c r="U175" s="164"/>
    </row>
    <row r="176" spans="1:21" x14ac:dyDescent="0.15">
      <c r="A176" s="149">
        <v>95301095</v>
      </c>
      <c r="B176" s="150" t="s">
        <v>5363</v>
      </c>
      <c r="C176" s="150" t="s">
        <v>4876</v>
      </c>
      <c r="D176" s="150" t="s">
        <v>4876</v>
      </c>
      <c r="E176" s="150" t="s">
        <v>9094</v>
      </c>
      <c r="F176" s="151">
        <v>5</v>
      </c>
      <c r="G176" s="149">
        <v>34</v>
      </c>
      <c r="H176" s="153"/>
      <c r="I176" s="162"/>
      <c r="J176" s="150">
        <v>1</v>
      </c>
      <c r="K176" s="150" t="b">
        <v>1</v>
      </c>
      <c r="L176" s="150">
        <v>900</v>
      </c>
      <c r="M176" s="150" t="s">
        <v>3383</v>
      </c>
      <c r="N176" s="150"/>
      <c r="O176" s="150" t="s">
        <v>4880</v>
      </c>
      <c r="P176" s="151">
        <v>5</v>
      </c>
      <c r="Q176" s="150" t="s">
        <v>4881</v>
      </c>
      <c r="R176" s="151" t="s">
        <v>5366</v>
      </c>
      <c r="S176" s="174" t="s">
        <v>5367</v>
      </c>
      <c r="T176" s="164" t="s">
        <v>4884</v>
      </c>
      <c r="U176" s="164"/>
    </row>
    <row r="177" spans="1:21" x14ac:dyDescent="0.15">
      <c r="A177" s="149">
        <v>95301101</v>
      </c>
      <c r="B177" s="150" t="s">
        <v>5371</v>
      </c>
      <c r="C177" s="150" t="s">
        <v>4876</v>
      </c>
      <c r="D177" s="150" t="s">
        <v>4876</v>
      </c>
      <c r="E177" s="150" t="s">
        <v>9094</v>
      </c>
      <c r="F177" s="151">
        <v>1</v>
      </c>
      <c r="G177" s="149">
        <v>34</v>
      </c>
      <c r="H177" s="153"/>
      <c r="I177" s="162"/>
      <c r="J177" s="150">
        <v>1</v>
      </c>
      <c r="K177" s="150" t="b">
        <v>1</v>
      </c>
      <c r="L177" s="150">
        <v>200</v>
      </c>
      <c r="M177" s="150" t="s">
        <v>3383</v>
      </c>
      <c r="N177" s="150"/>
      <c r="O177" s="150" t="s">
        <v>4880</v>
      </c>
      <c r="P177" s="151">
        <v>1</v>
      </c>
      <c r="Q177" s="150" t="s">
        <v>4881</v>
      </c>
      <c r="R177" s="151" t="s">
        <v>9120</v>
      </c>
      <c r="S177" s="174" t="s">
        <v>5371</v>
      </c>
      <c r="T177" s="164" t="s">
        <v>4884</v>
      </c>
      <c r="U177" s="164"/>
    </row>
    <row r="178" spans="1:21" x14ac:dyDescent="0.15">
      <c r="A178" s="149">
        <v>95301102</v>
      </c>
      <c r="B178" s="150" t="s">
        <v>5371</v>
      </c>
      <c r="C178" s="150" t="s">
        <v>4876</v>
      </c>
      <c r="D178" s="150" t="s">
        <v>4876</v>
      </c>
      <c r="E178" s="150" t="s">
        <v>9094</v>
      </c>
      <c r="F178" s="151">
        <v>2</v>
      </c>
      <c r="G178" s="149">
        <v>34</v>
      </c>
      <c r="H178" s="153"/>
      <c r="I178" s="162"/>
      <c r="J178" s="150">
        <v>1</v>
      </c>
      <c r="K178" s="150" t="b">
        <v>1</v>
      </c>
      <c r="L178" s="150">
        <v>240</v>
      </c>
      <c r="M178" s="150" t="s">
        <v>9096</v>
      </c>
      <c r="N178" s="150"/>
      <c r="O178" s="150" t="s">
        <v>4880</v>
      </c>
      <c r="P178" s="151">
        <v>2</v>
      </c>
      <c r="Q178" s="150" t="s">
        <v>4881</v>
      </c>
      <c r="R178" s="151" t="s">
        <v>9120</v>
      </c>
      <c r="S178" s="174" t="s">
        <v>5371</v>
      </c>
      <c r="T178" s="164" t="s">
        <v>4884</v>
      </c>
      <c r="U178" s="164"/>
    </row>
    <row r="179" spans="1:21" x14ac:dyDescent="0.15">
      <c r="A179" s="149">
        <v>95301103</v>
      </c>
      <c r="B179" s="150" t="s">
        <v>5371</v>
      </c>
      <c r="C179" s="150" t="s">
        <v>4876</v>
      </c>
      <c r="D179" s="150" t="s">
        <v>4876</v>
      </c>
      <c r="E179" s="150" t="s">
        <v>9094</v>
      </c>
      <c r="F179" s="151">
        <v>3</v>
      </c>
      <c r="G179" s="149">
        <v>34</v>
      </c>
      <c r="H179" s="153"/>
      <c r="I179" s="162"/>
      <c r="J179" s="150">
        <v>1</v>
      </c>
      <c r="K179" s="150" t="b">
        <v>1</v>
      </c>
      <c r="L179" s="150">
        <v>400</v>
      </c>
      <c r="M179" s="150" t="s">
        <v>3383</v>
      </c>
      <c r="N179" s="150"/>
      <c r="O179" s="150" t="s">
        <v>4880</v>
      </c>
      <c r="P179" s="151">
        <v>3</v>
      </c>
      <c r="Q179" s="150" t="s">
        <v>4881</v>
      </c>
      <c r="R179" s="151" t="s">
        <v>9120</v>
      </c>
      <c r="S179" s="174" t="s">
        <v>5371</v>
      </c>
      <c r="T179" s="164" t="s">
        <v>4884</v>
      </c>
      <c r="U179" s="164"/>
    </row>
    <row r="180" spans="1:21" x14ac:dyDescent="0.15">
      <c r="A180" s="149">
        <v>95301104</v>
      </c>
      <c r="B180" s="150" t="s">
        <v>5371</v>
      </c>
      <c r="C180" s="150" t="s">
        <v>4876</v>
      </c>
      <c r="D180" s="150" t="s">
        <v>4876</v>
      </c>
      <c r="E180" s="150" t="s">
        <v>9094</v>
      </c>
      <c r="F180" s="151">
        <v>4</v>
      </c>
      <c r="G180" s="149">
        <v>34</v>
      </c>
      <c r="H180" s="153"/>
      <c r="I180" s="162"/>
      <c r="J180" s="150">
        <v>1</v>
      </c>
      <c r="K180" s="150" t="b">
        <v>1</v>
      </c>
      <c r="L180" s="150">
        <v>600</v>
      </c>
      <c r="M180" s="150" t="s">
        <v>9096</v>
      </c>
      <c r="N180" s="150"/>
      <c r="O180" s="150" t="s">
        <v>4880</v>
      </c>
      <c r="P180" s="151">
        <v>4</v>
      </c>
      <c r="Q180" s="150" t="s">
        <v>4881</v>
      </c>
      <c r="R180" s="151" t="s">
        <v>9120</v>
      </c>
      <c r="S180" s="174" t="s">
        <v>5371</v>
      </c>
      <c r="T180" s="164" t="s">
        <v>4884</v>
      </c>
      <c r="U180" s="164"/>
    </row>
    <row r="181" spans="1:21" x14ac:dyDescent="0.15">
      <c r="A181" s="149">
        <v>95301105</v>
      </c>
      <c r="B181" s="150" t="s">
        <v>5371</v>
      </c>
      <c r="C181" s="150" t="s">
        <v>4876</v>
      </c>
      <c r="D181" s="150" t="s">
        <v>4876</v>
      </c>
      <c r="E181" s="150" t="s">
        <v>9094</v>
      </c>
      <c r="F181" s="151">
        <v>5</v>
      </c>
      <c r="G181" s="149">
        <v>34</v>
      </c>
      <c r="H181" s="153"/>
      <c r="I181" s="162"/>
      <c r="J181" s="150">
        <v>1</v>
      </c>
      <c r="K181" s="150" t="b">
        <v>1</v>
      </c>
      <c r="L181" s="150">
        <v>900</v>
      </c>
      <c r="M181" s="150" t="s">
        <v>3383</v>
      </c>
      <c r="N181" s="150"/>
      <c r="O181" s="150" t="s">
        <v>4880</v>
      </c>
      <c r="P181" s="151">
        <v>5</v>
      </c>
      <c r="Q181" s="150" t="s">
        <v>4881</v>
      </c>
      <c r="R181" s="151" t="s">
        <v>9120</v>
      </c>
      <c r="S181" s="174" t="s">
        <v>5371</v>
      </c>
      <c r="T181" s="164" t="s">
        <v>4884</v>
      </c>
      <c r="U181" s="164"/>
    </row>
    <row r="182" spans="1:21" s="145" customFormat="1" x14ac:dyDescent="0.15">
      <c r="A182" s="154">
        <v>95501002</v>
      </c>
      <c r="B182" s="175" t="s">
        <v>4875</v>
      </c>
      <c r="C182" s="175" t="s">
        <v>9121</v>
      </c>
      <c r="D182" s="155" t="s">
        <v>4876</v>
      </c>
      <c r="E182" s="155" t="s">
        <v>5434</v>
      </c>
      <c r="F182" s="156">
        <v>1</v>
      </c>
      <c r="G182" s="154">
        <v>34</v>
      </c>
      <c r="H182" s="158" t="s">
        <v>5436</v>
      </c>
      <c r="I182" s="163"/>
      <c r="J182" s="155">
        <v>1</v>
      </c>
      <c r="K182" s="155" t="b">
        <v>1</v>
      </c>
      <c r="L182" s="155">
        <v>160</v>
      </c>
      <c r="M182" s="155" t="s">
        <v>9096</v>
      </c>
      <c r="N182" s="155"/>
      <c r="O182" s="155" t="s">
        <v>4880</v>
      </c>
      <c r="P182" s="156">
        <v>0</v>
      </c>
      <c r="Q182" s="155" t="s">
        <v>4881</v>
      </c>
      <c r="R182" s="155" t="s">
        <v>9122</v>
      </c>
      <c r="S182" s="155" t="s">
        <v>9123</v>
      </c>
      <c r="T182" s="155" t="s">
        <v>5440</v>
      </c>
      <c r="U182" s="155"/>
    </row>
    <row r="183" spans="1:21" s="145" customFormat="1" x14ac:dyDescent="0.15">
      <c r="A183" s="154">
        <v>95501003</v>
      </c>
      <c r="B183" s="175" t="s">
        <v>4875</v>
      </c>
      <c r="C183" s="175" t="s">
        <v>9124</v>
      </c>
      <c r="D183" s="155" t="s">
        <v>4876</v>
      </c>
      <c r="E183" s="155" t="s">
        <v>5434</v>
      </c>
      <c r="F183" s="156">
        <v>2</v>
      </c>
      <c r="G183" s="154">
        <v>34</v>
      </c>
      <c r="H183" s="158" t="s">
        <v>9125</v>
      </c>
      <c r="I183" s="163"/>
      <c r="J183" s="155">
        <v>1</v>
      </c>
      <c r="K183" s="155" t="b">
        <v>1</v>
      </c>
      <c r="L183" s="155">
        <v>240</v>
      </c>
      <c r="M183" s="155" t="s">
        <v>3383</v>
      </c>
      <c r="N183" s="155"/>
      <c r="O183" s="155" t="s">
        <v>4880</v>
      </c>
      <c r="P183" s="156">
        <v>0</v>
      </c>
      <c r="Q183" s="155" t="s">
        <v>4881</v>
      </c>
      <c r="R183" s="155" t="s">
        <v>9126</v>
      </c>
      <c r="S183" s="155" t="s">
        <v>9127</v>
      </c>
      <c r="T183" s="155" t="s">
        <v>5440</v>
      </c>
      <c r="U183" s="155"/>
    </row>
    <row r="184" spans="1:21" s="145" customFormat="1" x14ac:dyDescent="0.15">
      <c r="A184" s="154">
        <v>95501004</v>
      </c>
      <c r="B184" s="175" t="s">
        <v>4875</v>
      </c>
      <c r="C184" s="175" t="s">
        <v>9128</v>
      </c>
      <c r="D184" s="155" t="s">
        <v>4876</v>
      </c>
      <c r="E184" s="155" t="s">
        <v>5434</v>
      </c>
      <c r="F184" s="156">
        <v>3</v>
      </c>
      <c r="G184" s="154">
        <v>34</v>
      </c>
      <c r="H184" s="158" t="s">
        <v>9129</v>
      </c>
      <c r="I184" s="163"/>
      <c r="J184" s="155">
        <v>1</v>
      </c>
      <c r="K184" s="155" t="b">
        <v>1</v>
      </c>
      <c r="L184" s="155">
        <v>400</v>
      </c>
      <c r="M184" s="155" t="s">
        <v>9096</v>
      </c>
      <c r="N184" s="155"/>
      <c r="O184" s="155" t="s">
        <v>4880</v>
      </c>
      <c r="P184" s="156">
        <v>0</v>
      </c>
      <c r="Q184" s="155" t="s">
        <v>4881</v>
      </c>
      <c r="R184" s="155" t="s">
        <v>9130</v>
      </c>
      <c r="S184" s="155" t="s">
        <v>9131</v>
      </c>
      <c r="T184" s="155" t="s">
        <v>5440</v>
      </c>
      <c r="U184" s="155"/>
    </row>
    <row r="185" spans="1:21" s="145" customFormat="1" x14ac:dyDescent="0.15">
      <c r="A185" s="154">
        <v>95501011</v>
      </c>
      <c r="B185" s="175" t="s">
        <v>4875</v>
      </c>
      <c r="C185" s="175" t="s">
        <v>9132</v>
      </c>
      <c r="D185" s="155" t="s">
        <v>4876</v>
      </c>
      <c r="E185" s="155" t="s">
        <v>5441</v>
      </c>
      <c r="F185" s="156">
        <v>2</v>
      </c>
      <c r="G185" s="154">
        <v>34</v>
      </c>
      <c r="H185" s="158" t="s">
        <v>5442</v>
      </c>
      <c r="I185" s="163">
        <v>9010006</v>
      </c>
      <c r="J185" s="155">
        <v>1</v>
      </c>
      <c r="K185" s="155" t="b">
        <v>1</v>
      </c>
      <c r="L185" s="155">
        <v>240</v>
      </c>
      <c r="M185" s="155" t="s">
        <v>3383</v>
      </c>
      <c r="N185" s="155"/>
      <c r="O185" s="155" t="s">
        <v>4880</v>
      </c>
      <c r="P185" s="156">
        <v>0</v>
      </c>
      <c r="Q185" s="155" t="s">
        <v>4881</v>
      </c>
      <c r="R185" s="155" t="s">
        <v>9133</v>
      </c>
      <c r="S185" s="155" t="s">
        <v>9134</v>
      </c>
      <c r="T185" s="155" t="s">
        <v>5440</v>
      </c>
      <c r="U185" s="155"/>
    </row>
    <row r="186" spans="1:21" s="145" customFormat="1" x14ac:dyDescent="0.15">
      <c r="A186" s="154">
        <v>95502002</v>
      </c>
      <c r="B186" s="175" t="s">
        <v>134</v>
      </c>
      <c r="C186" s="175" t="s">
        <v>9121</v>
      </c>
      <c r="D186" s="155" t="s">
        <v>4876</v>
      </c>
      <c r="E186" s="155" t="s">
        <v>5446</v>
      </c>
      <c r="F186" s="156">
        <v>1</v>
      </c>
      <c r="G186" s="154">
        <v>34</v>
      </c>
      <c r="H186" s="158" t="s">
        <v>5447</v>
      </c>
      <c r="I186" s="163"/>
      <c r="J186" s="155">
        <v>1</v>
      </c>
      <c r="K186" s="155" t="b">
        <v>1</v>
      </c>
      <c r="L186" s="155">
        <v>160</v>
      </c>
      <c r="M186" s="155" t="s">
        <v>9096</v>
      </c>
      <c r="N186" s="155"/>
      <c r="O186" s="155" t="s">
        <v>4880</v>
      </c>
      <c r="P186" s="156">
        <v>0</v>
      </c>
      <c r="Q186" s="155" t="s">
        <v>4881</v>
      </c>
      <c r="R186" s="155" t="s">
        <v>9135</v>
      </c>
      <c r="S186" s="155" t="s">
        <v>9136</v>
      </c>
      <c r="T186" s="155" t="s">
        <v>5440</v>
      </c>
      <c r="U186" s="155"/>
    </row>
    <row r="187" spans="1:21" s="145" customFormat="1" x14ac:dyDescent="0.15">
      <c r="A187" s="154">
        <v>95502003</v>
      </c>
      <c r="B187" s="175" t="s">
        <v>134</v>
      </c>
      <c r="C187" s="175" t="s">
        <v>9124</v>
      </c>
      <c r="D187" s="155" t="s">
        <v>4876</v>
      </c>
      <c r="E187" s="155" t="s">
        <v>5446</v>
      </c>
      <c r="F187" s="156">
        <v>2</v>
      </c>
      <c r="G187" s="154">
        <v>34</v>
      </c>
      <c r="H187" s="158" t="s">
        <v>9137</v>
      </c>
      <c r="I187" s="163"/>
      <c r="J187" s="155">
        <v>1</v>
      </c>
      <c r="K187" s="155" t="b">
        <v>1</v>
      </c>
      <c r="L187" s="155">
        <v>240</v>
      </c>
      <c r="M187" s="155" t="s">
        <v>3383</v>
      </c>
      <c r="N187" s="155"/>
      <c r="O187" s="155" t="s">
        <v>4880</v>
      </c>
      <c r="P187" s="176">
        <v>0</v>
      </c>
      <c r="Q187" s="155" t="s">
        <v>4881</v>
      </c>
      <c r="R187" s="155" t="s">
        <v>9138</v>
      </c>
      <c r="S187" s="155" t="s">
        <v>9139</v>
      </c>
      <c r="T187" s="155" t="s">
        <v>5440</v>
      </c>
      <c r="U187" s="155"/>
    </row>
    <row r="188" spans="1:21" s="145" customFormat="1" x14ac:dyDescent="0.15">
      <c r="A188" s="154">
        <v>95502011</v>
      </c>
      <c r="B188" s="175" t="s">
        <v>134</v>
      </c>
      <c r="C188" s="175" t="s">
        <v>9132</v>
      </c>
      <c r="D188" s="155" t="s">
        <v>4876</v>
      </c>
      <c r="E188" s="155" t="s">
        <v>5451</v>
      </c>
      <c r="F188" s="156">
        <v>2</v>
      </c>
      <c r="G188" s="154">
        <v>34</v>
      </c>
      <c r="H188" s="158" t="s">
        <v>5452</v>
      </c>
      <c r="I188" s="163" t="s">
        <v>5453</v>
      </c>
      <c r="J188" s="155">
        <v>1</v>
      </c>
      <c r="K188" s="155" t="b">
        <v>1</v>
      </c>
      <c r="L188" s="155">
        <v>240</v>
      </c>
      <c r="M188" s="155" t="s">
        <v>9096</v>
      </c>
      <c r="N188" s="155"/>
      <c r="O188" s="155" t="s">
        <v>4880</v>
      </c>
      <c r="P188" s="176">
        <v>0</v>
      </c>
      <c r="Q188" s="155" t="s">
        <v>4881</v>
      </c>
      <c r="R188" s="155" t="s">
        <v>9140</v>
      </c>
      <c r="S188" s="155" t="s">
        <v>9141</v>
      </c>
      <c r="T188" s="155" t="s">
        <v>5440</v>
      </c>
      <c r="U188" s="155"/>
    </row>
    <row r="189" spans="1:21" s="145" customFormat="1" x14ac:dyDescent="0.15">
      <c r="A189" s="154">
        <v>95503002</v>
      </c>
      <c r="B189" s="175" t="s">
        <v>363</v>
      </c>
      <c r="C189" s="155" t="s">
        <v>9121</v>
      </c>
      <c r="D189" s="155" t="s">
        <v>4876</v>
      </c>
      <c r="E189" s="155" t="s">
        <v>5456</v>
      </c>
      <c r="F189" s="156">
        <v>2</v>
      </c>
      <c r="G189" s="154">
        <v>34</v>
      </c>
      <c r="H189" s="158" t="s">
        <v>5457</v>
      </c>
      <c r="I189" s="163"/>
      <c r="J189" s="155">
        <v>1</v>
      </c>
      <c r="K189" s="155" t="b">
        <v>1</v>
      </c>
      <c r="L189" s="155">
        <v>240</v>
      </c>
      <c r="M189" s="155" t="s">
        <v>3383</v>
      </c>
      <c r="N189" s="155"/>
      <c r="O189" s="155" t="s">
        <v>4880</v>
      </c>
      <c r="P189" s="176">
        <v>0</v>
      </c>
      <c r="Q189" s="155" t="s">
        <v>4881</v>
      </c>
      <c r="R189" s="155" t="s">
        <v>9142</v>
      </c>
      <c r="S189" s="155" t="s">
        <v>9143</v>
      </c>
      <c r="T189" s="155" t="s">
        <v>5440</v>
      </c>
      <c r="U189" s="155"/>
    </row>
    <row r="190" spans="1:21" s="145" customFormat="1" x14ac:dyDescent="0.15">
      <c r="A190" s="154">
        <v>95503011</v>
      </c>
      <c r="B190" s="175" t="s">
        <v>363</v>
      </c>
      <c r="C190" s="175" t="s">
        <v>9132</v>
      </c>
      <c r="D190" s="155" t="s">
        <v>4876</v>
      </c>
      <c r="E190" s="155" t="s">
        <v>5460</v>
      </c>
      <c r="F190" s="156">
        <v>2</v>
      </c>
      <c r="G190" s="154">
        <v>34</v>
      </c>
      <c r="H190" s="158" t="s">
        <v>5461</v>
      </c>
      <c r="I190" s="163" t="s">
        <v>5462</v>
      </c>
      <c r="J190" s="155">
        <v>1</v>
      </c>
      <c r="K190" s="155" t="b">
        <v>1</v>
      </c>
      <c r="L190" s="155">
        <v>240</v>
      </c>
      <c r="M190" s="155" t="s">
        <v>9096</v>
      </c>
      <c r="N190" s="155"/>
      <c r="O190" s="155" t="s">
        <v>4880</v>
      </c>
      <c r="P190" s="176">
        <v>0</v>
      </c>
      <c r="Q190" s="155" t="s">
        <v>4881</v>
      </c>
      <c r="R190" s="155" t="s">
        <v>9144</v>
      </c>
      <c r="S190" s="155" t="s">
        <v>9145</v>
      </c>
      <c r="T190" s="155" t="s">
        <v>5440</v>
      </c>
      <c r="U190" s="155"/>
    </row>
    <row r="191" spans="1:21" s="145" customFormat="1" x14ac:dyDescent="0.15">
      <c r="A191" s="154">
        <v>95504002</v>
      </c>
      <c r="B191" s="175" t="s">
        <v>447</v>
      </c>
      <c r="C191" s="175" t="s">
        <v>9121</v>
      </c>
      <c r="D191" s="155" t="s">
        <v>4876</v>
      </c>
      <c r="E191" s="155" t="s">
        <v>5465</v>
      </c>
      <c r="F191" s="156">
        <v>1</v>
      </c>
      <c r="G191" s="154">
        <v>34</v>
      </c>
      <c r="H191" s="158" t="s">
        <v>5466</v>
      </c>
      <c r="I191" s="163"/>
      <c r="J191" s="155">
        <v>1</v>
      </c>
      <c r="K191" s="155" t="b">
        <v>1</v>
      </c>
      <c r="L191" s="155">
        <v>160</v>
      </c>
      <c r="M191" s="155" t="s">
        <v>3383</v>
      </c>
      <c r="N191" s="155"/>
      <c r="O191" s="155" t="s">
        <v>4880</v>
      </c>
      <c r="P191" s="155">
        <v>0</v>
      </c>
      <c r="Q191" s="155" t="s">
        <v>4881</v>
      </c>
      <c r="R191" s="155" t="s">
        <v>9146</v>
      </c>
      <c r="S191" s="155" t="s">
        <v>9147</v>
      </c>
      <c r="T191" s="155" t="s">
        <v>5440</v>
      </c>
      <c r="U191" s="155"/>
    </row>
    <row r="192" spans="1:21" s="145" customFormat="1" x14ac:dyDescent="0.15">
      <c r="A192" s="154">
        <v>95504003</v>
      </c>
      <c r="B192" s="175" t="s">
        <v>447</v>
      </c>
      <c r="C192" s="175" t="s">
        <v>9124</v>
      </c>
      <c r="D192" s="155" t="s">
        <v>4876</v>
      </c>
      <c r="E192" s="155" t="s">
        <v>5465</v>
      </c>
      <c r="F192" s="156">
        <v>2</v>
      </c>
      <c r="G192" s="154">
        <v>34</v>
      </c>
      <c r="H192" s="158" t="s">
        <v>9148</v>
      </c>
      <c r="I192" s="163"/>
      <c r="J192" s="155">
        <v>1</v>
      </c>
      <c r="K192" s="155" t="b">
        <v>1</v>
      </c>
      <c r="L192" s="155">
        <v>240</v>
      </c>
      <c r="M192" s="155" t="s">
        <v>9096</v>
      </c>
      <c r="N192" s="155"/>
      <c r="O192" s="155" t="s">
        <v>4880</v>
      </c>
      <c r="P192" s="155">
        <v>0</v>
      </c>
      <c r="Q192" s="155" t="s">
        <v>4881</v>
      </c>
      <c r="R192" s="155" t="s">
        <v>9149</v>
      </c>
      <c r="S192" s="155" t="s">
        <v>9150</v>
      </c>
      <c r="T192" s="155" t="s">
        <v>5440</v>
      </c>
      <c r="U192" s="155"/>
    </row>
    <row r="193" spans="1:21" s="145" customFormat="1" x14ac:dyDescent="0.15">
      <c r="A193" s="154">
        <v>95504011</v>
      </c>
      <c r="B193" s="175" t="s">
        <v>447</v>
      </c>
      <c r="C193" s="175" t="s">
        <v>9132</v>
      </c>
      <c r="D193" s="155" t="s">
        <v>4876</v>
      </c>
      <c r="E193" s="155" t="s">
        <v>5470</v>
      </c>
      <c r="F193" s="156">
        <v>2</v>
      </c>
      <c r="G193" s="154">
        <v>34</v>
      </c>
      <c r="H193" s="158" t="s">
        <v>5471</v>
      </c>
      <c r="I193" s="163">
        <v>9040006</v>
      </c>
      <c r="J193" s="155">
        <v>1</v>
      </c>
      <c r="K193" s="155" t="b">
        <v>1</v>
      </c>
      <c r="L193" s="155">
        <v>240</v>
      </c>
      <c r="M193" s="155" t="s">
        <v>3383</v>
      </c>
      <c r="N193" s="155"/>
      <c r="O193" s="155" t="s">
        <v>4880</v>
      </c>
      <c r="P193" s="155">
        <v>0</v>
      </c>
      <c r="Q193" s="155" t="s">
        <v>4881</v>
      </c>
      <c r="R193" s="155" t="s">
        <v>9151</v>
      </c>
      <c r="S193" s="155" t="s">
        <v>9152</v>
      </c>
      <c r="T193" s="155" t="s">
        <v>5440</v>
      </c>
      <c r="U193" s="155"/>
    </row>
    <row r="194" spans="1:21" s="145" customFormat="1" x14ac:dyDescent="0.15">
      <c r="A194" s="154">
        <v>95505002</v>
      </c>
      <c r="B194" s="175" t="s">
        <v>5011</v>
      </c>
      <c r="C194" s="175" t="s">
        <v>9121</v>
      </c>
      <c r="D194" s="155" t="s">
        <v>4876</v>
      </c>
      <c r="E194" s="155" t="s">
        <v>5475</v>
      </c>
      <c r="F194" s="156">
        <v>1</v>
      </c>
      <c r="G194" s="154">
        <v>34</v>
      </c>
      <c r="H194" s="158" t="s">
        <v>5476</v>
      </c>
      <c r="I194" s="163"/>
      <c r="J194" s="155">
        <v>1</v>
      </c>
      <c r="K194" s="155" t="b">
        <v>1</v>
      </c>
      <c r="L194" s="155">
        <v>160</v>
      </c>
      <c r="M194" s="155" t="s">
        <v>9096</v>
      </c>
      <c r="N194" s="155"/>
      <c r="O194" s="155" t="s">
        <v>4880</v>
      </c>
      <c r="P194" s="155">
        <v>0</v>
      </c>
      <c r="Q194" s="155" t="s">
        <v>4881</v>
      </c>
      <c r="R194" s="155" t="s">
        <v>9153</v>
      </c>
      <c r="S194" s="155" t="s">
        <v>9154</v>
      </c>
      <c r="T194" s="155" t="s">
        <v>5440</v>
      </c>
      <c r="U194" s="155"/>
    </row>
    <row r="195" spans="1:21" s="145" customFormat="1" x14ac:dyDescent="0.15">
      <c r="A195" s="154">
        <v>95505003</v>
      </c>
      <c r="B195" s="175" t="s">
        <v>5011</v>
      </c>
      <c r="C195" s="175" t="s">
        <v>9124</v>
      </c>
      <c r="D195" s="155" t="s">
        <v>4876</v>
      </c>
      <c r="E195" s="155" t="s">
        <v>5475</v>
      </c>
      <c r="F195" s="156">
        <v>2</v>
      </c>
      <c r="G195" s="154">
        <v>34</v>
      </c>
      <c r="H195" s="158" t="s">
        <v>9155</v>
      </c>
      <c r="I195" s="163"/>
      <c r="J195" s="155">
        <v>1</v>
      </c>
      <c r="K195" s="155" t="b">
        <v>1</v>
      </c>
      <c r="L195" s="155">
        <v>240</v>
      </c>
      <c r="M195" s="155" t="s">
        <v>3383</v>
      </c>
      <c r="N195" s="155"/>
      <c r="O195" s="155" t="s">
        <v>4880</v>
      </c>
      <c r="P195" s="155">
        <v>0</v>
      </c>
      <c r="Q195" s="155" t="s">
        <v>4881</v>
      </c>
      <c r="R195" s="155" t="s">
        <v>9156</v>
      </c>
      <c r="S195" s="155" t="s">
        <v>9157</v>
      </c>
      <c r="T195" s="155" t="s">
        <v>5440</v>
      </c>
      <c r="U195" s="155"/>
    </row>
    <row r="196" spans="1:21" s="145" customFormat="1" x14ac:dyDescent="0.15">
      <c r="A196" s="154">
        <v>95505004</v>
      </c>
      <c r="B196" s="175" t="s">
        <v>5011</v>
      </c>
      <c r="C196" s="175" t="s">
        <v>9128</v>
      </c>
      <c r="D196" s="155" t="s">
        <v>4876</v>
      </c>
      <c r="E196" s="155" t="s">
        <v>5475</v>
      </c>
      <c r="F196" s="156">
        <v>3</v>
      </c>
      <c r="G196" s="154">
        <v>34</v>
      </c>
      <c r="H196" s="158" t="s">
        <v>9158</v>
      </c>
      <c r="I196" s="163"/>
      <c r="J196" s="155">
        <v>1</v>
      </c>
      <c r="K196" s="155" t="b">
        <v>1</v>
      </c>
      <c r="L196" s="155">
        <v>400</v>
      </c>
      <c r="M196" s="155" t="s">
        <v>9096</v>
      </c>
      <c r="N196" s="155"/>
      <c r="O196" s="155" t="s">
        <v>4880</v>
      </c>
      <c r="P196" s="155">
        <v>0</v>
      </c>
      <c r="Q196" s="155" t="s">
        <v>4881</v>
      </c>
      <c r="R196" s="155" t="s">
        <v>9159</v>
      </c>
      <c r="S196" s="155" t="s">
        <v>9160</v>
      </c>
      <c r="T196" s="155" t="s">
        <v>5440</v>
      </c>
      <c r="U196" s="155"/>
    </row>
    <row r="197" spans="1:21" s="145" customFormat="1" x14ac:dyDescent="0.15">
      <c r="A197" s="154">
        <v>95505011</v>
      </c>
      <c r="B197" s="175" t="s">
        <v>5011</v>
      </c>
      <c r="C197" s="175" t="s">
        <v>9132</v>
      </c>
      <c r="D197" s="155" t="s">
        <v>4876</v>
      </c>
      <c r="E197" s="155" t="s">
        <v>5480</v>
      </c>
      <c r="F197" s="156">
        <v>2</v>
      </c>
      <c r="G197" s="154">
        <v>34</v>
      </c>
      <c r="H197" s="158" t="s">
        <v>5481</v>
      </c>
      <c r="I197" s="163" t="s">
        <v>5482</v>
      </c>
      <c r="J197" s="155">
        <v>1</v>
      </c>
      <c r="K197" s="155" t="b">
        <v>1</v>
      </c>
      <c r="L197" s="155">
        <v>240</v>
      </c>
      <c r="M197" s="155" t="s">
        <v>3383</v>
      </c>
      <c r="N197" s="155"/>
      <c r="O197" s="155" t="s">
        <v>4880</v>
      </c>
      <c r="P197" s="155">
        <v>0</v>
      </c>
      <c r="Q197" s="155" t="s">
        <v>4881</v>
      </c>
      <c r="R197" s="155" t="s">
        <v>9161</v>
      </c>
      <c r="S197" s="155" t="s">
        <v>9162</v>
      </c>
      <c r="T197" s="155" t="s">
        <v>5440</v>
      </c>
      <c r="U197" s="155"/>
    </row>
    <row r="198" spans="1:21" s="145" customFormat="1" x14ac:dyDescent="0.15">
      <c r="A198" s="154">
        <v>95506002</v>
      </c>
      <c r="B198" s="175" t="s">
        <v>727</v>
      </c>
      <c r="C198" s="175" t="s">
        <v>9121</v>
      </c>
      <c r="D198" s="155" t="s">
        <v>4876</v>
      </c>
      <c r="E198" s="155" t="s">
        <v>5485</v>
      </c>
      <c r="F198" s="156">
        <v>1</v>
      </c>
      <c r="G198" s="154">
        <v>34</v>
      </c>
      <c r="H198" s="158" t="s">
        <v>5486</v>
      </c>
      <c r="I198" s="163"/>
      <c r="J198" s="155">
        <v>1</v>
      </c>
      <c r="K198" s="155" t="b">
        <v>1</v>
      </c>
      <c r="L198" s="155">
        <v>160</v>
      </c>
      <c r="M198" s="155" t="s">
        <v>9096</v>
      </c>
      <c r="N198" s="155"/>
      <c r="O198" s="155" t="s">
        <v>4880</v>
      </c>
      <c r="P198" s="155">
        <v>0</v>
      </c>
      <c r="Q198" s="155" t="s">
        <v>4881</v>
      </c>
      <c r="R198" s="155" t="s">
        <v>9163</v>
      </c>
      <c r="S198" s="155" t="s">
        <v>9164</v>
      </c>
      <c r="T198" s="155" t="s">
        <v>5440</v>
      </c>
      <c r="U198" s="155"/>
    </row>
    <row r="199" spans="1:21" s="145" customFormat="1" x14ac:dyDescent="0.15">
      <c r="A199" s="154">
        <v>95506003</v>
      </c>
      <c r="B199" s="175" t="s">
        <v>727</v>
      </c>
      <c r="C199" s="175" t="s">
        <v>9124</v>
      </c>
      <c r="D199" s="155" t="s">
        <v>4876</v>
      </c>
      <c r="E199" s="155" t="s">
        <v>5485</v>
      </c>
      <c r="F199" s="156">
        <v>2</v>
      </c>
      <c r="G199" s="154">
        <v>34</v>
      </c>
      <c r="H199" s="158" t="s">
        <v>9165</v>
      </c>
      <c r="I199" s="163"/>
      <c r="J199" s="155">
        <v>1</v>
      </c>
      <c r="K199" s="155" t="b">
        <v>1</v>
      </c>
      <c r="L199" s="155">
        <v>240</v>
      </c>
      <c r="M199" s="155" t="s">
        <v>3383</v>
      </c>
      <c r="N199" s="155"/>
      <c r="O199" s="155" t="s">
        <v>4880</v>
      </c>
      <c r="P199" s="155">
        <v>0</v>
      </c>
      <c r="Q199" s="155" t="s">
        <v>4881</v>
      </c>
      <c r="R199" s="155" t="s">
        <v>9166</v>
      </c>
      <c r="S199" s="155" t="s">
        <v>9167</v>
      </c>
      <c r="T199" s="155" t="s">
        <v>5440</v>
      </c>
      <c r="U199" s="155"/>
    </row>
    <row r="200" spans="1:21" s="145" customFormat="1" x14ac:dyDescent="0.15">
      <c r="A200" s="154">
        <v>95506011</v>
      </c>
      <c r="B200" s="175" t="s">
        <v>727</v>
      </c>
      <c r="C200" s="175" t="s">
        <v>9132</v>
      </c>
      <c r="D200" s="155" t="s">
        <v>4876</v>
      </c>
      <c r="E200" s="155" t="s">
        <v>5490</v>
      </c>
      <c r="F200" s="156">
        <v>2</v>
      </c>
      <c r="G200" s="154">
        <v>34</v>
      </c>
      <c r="H200" s="158" t="s">
        <v>5491</v>
      </c>
      <c r="I200" s="163" t="s">
        <v>5492</v>
      </c>
      <c r="J200" s="155">
        <v>1</v>
      </c>
      <c r="K200" s="155" t="b">
        <v>1</v>
      </c>
      <c r="L200" s="155">
        <v>240</v>
      </c>
      <c r="M200" s="155" t="s">
        <v>9096</v>
      </c>
      <c r="N200" s="155"/>
      <c r="O200" s="155" t="s">
        <v>4880</v>
      </c>
      <c r="P200" s="155">
        <v>0</v>
      </c>
      <c r="Q200" s="155" t="s">
        <v>4881</v>
      </c>
      <c r="R200" s="155" t="s">
        <v>9168</v>
      </c>
      <c r="S200" s="155" t="s">
        <v>9169</v>
      </c>
      <c r="T200" s="155" t="s">
        <v>5440</v>
      </c>
      <c r="U200" s="155"/>
    </row>
    <row r="201" spans="1:21" s="145" customFormat="1" x14ac:dyDescent="0.15">
      <c r="A201" s="154">
        <v>95509002</v>
      </c>
      <c r="B201" s="175" t="s">
        <v>5044</v>
      </c>
      <c r="C201" s="175" t="s">
        <v>9121</v>
      </c>
      <c r="D201" s="155" t="s">
        <v>4876</v>
      </c>
      <c r="E201" s="155" t="s">
        <v>5495</v>
      </c>
      <c r="F201" s="156">
        <v>1</v>
      </c>
      <c r="G201" s="154">
        <v>34</v>
      </c>
      <c r="H201" s="158" t="s">
        <v>5496</v>
      </c>
      <c r="I201" s="163"/>
      <c r="J201" s="155">
        <v>1</v>
      </c>
      <c r="K201" s="155" t="b">
        <v>1</v>
      </c>
      <c r="L201" s="155">
        <v>160</v>
      </c>
      <c r="M201" s="155" t="s">
        <v>3383</v>
      </c>
      <c r="N201" s="155"/>
      <c r="O201" s="155" t="s">
        <v>4880</v>
      </c>
      <c r="P201" s="155">
        <v>0</v>
      </c>
      <c r="Q201" s="155" t="s">
        <v>4881</v>
      </c>
      <c r="R201" s="155" t="s">
        <v>9170</v>
      </c>
      <c r="S201" s="155" t="s">
        <v>9171</v>
      </c>
      <c r="T201" s="155" t="s">
        <v>5440</v>
      </c>
      <c r="U201" s="155"/>
    </row>
    <row r="202" spans="1:21" s="145" customFormat="1" x14ac:dyDescent="0.15">
      <c r="A202" s="154">
        <v>95509003</v>
      </c>
      <c r="B202" s="175" t="s">
        <v>5044</v>
      </c>
      <c r="C202" s="175" t="s">
        <v>9124</v>
      </c>
      <c r="D202" s="155" t="s">
        <v>4876</v>
      </c>
      <c r="E202" s="155" t="s">
        <v>5495</v>
      </c>
      <c r="F202" s="156">
        <v>2</v>
      </c>
      <c r="G202" s="154">
        <v>34</v>
      </c>
      <c r="H202" s="158" t="s">
        <v>9172</v>
      </c>
      <c r="I202" s="163"/>
      <c r="J202" s="155">
        <v>1</v>
      </c>
      <c r="K202" s="155" t="b">
        <v>1</v>
      </c>
      <c r="L202" s="155">
        <v>240</v>
      </c>
      <c r="M202" s="155" t="s">
        <v>9096</v>
      </c>
      <c r="N202" s="155"/>
      <c r="O202" s="155" t="s">
        <v>4880</v>
      </c>
      <c r="P202" s="155">
        <v>0</v>
      </c>
      <c r="Q202" s="155" t="s">
        <v>4881</v>
      </c>
      <c r="R202" s="155" t="s">
        <v>9173</v>
      </c>
      <c r="S202" s="155" t="s">
        <v>9174</v>
      </c>
      <c r="T202" s="155" t="s">
        <v>5440</v>
      </c>
      <c r="U202" s="155"/>
    </row>
    <row r="203" spans="1:21" s="145" customFormat="1" x14ac:dyDescent="0.15">
      <c r="A203" s="154">
        <v>95509004</v>
      </c>
      <c r="B203" s="175" t="s">
        <v>5044</v>
      </c>
      <c r="C203" s="175" t="s">
        <v>9128</v>
      </c>
      <c r="D203" s="155" t="s">
        <v>4876</v>
      </c>
      <c r="E203" s="155" t="s">
        <v>5495</v>
      </c>
      <c r="F203" s="156">
        <v>3</v>
      </c>
      <c r="G203" s="154">
        <v>34</v>
      </c>
      <c r="H203" s="158" t="s">
        <v>9175</v>
      </c>
      <c r="I203" s="163"/>
      <c r="J203" s="155">
        <v>1</v>
      </c>
      <c r="K203" s="155" t="b">
        <v>1</v>
      </c>
      <c r="L203" s="155">
        <v>400</v>
      </c>
      <c r="M203" s="155" t="s">
        <v>3383</v>
      </c>
      <c r="N203" s="155"/>
      <c r="O203" s="155" t="s">
        <v>4880</v>
      </c>
      <c r="P203" s="155">
        <v>0</v>
      </c>
      <c r="Q203" s="155" t="s">
        <v>4881</v>
      </c>
      <c r="R203" s="155" t="s">
        <v>9176</v>
      </c>
      <c r="S203" s="155" t="s">
        <v>9177</v>
      </c>
      <c r="T203" s="155" t="s">
        <v>5440</v>
      </c>
      <c r="U203" s="155"/>
    </row>
    <row r="204" spans="1:21" s="145" customFormat="1" x14ac:dyDescent="0.15">
      <c r="A204" s="154">
        <v>95509011</v>
      </c>
      <c r="B204" s="175" t="s">
        <v>5044</v>
      </c>
      <c r="C204" s="175" t="s">
        <v>9132</v>
      </c>
      <c r="D204" s="155" t="s">
        <v>4876</v>
      </c>
      <c r="E204" s="155" t="s">
        <v>5500</v>
      </c>
      <c r="F204" s="156">
        <v>2</v>
      </c>
      <c r="G204" s="154">
        <v>34</v>
      </c>
      <c r="H204" s="158" t="s">
        <v>5501</v>
      </c>
      <c r="I204" s="163">
        <v>9090012</v>
      </c>
      <c r="J204" s="155">
        <v>1</v>
      </c>
      <c r="K204" s="155" t="b">
        <v>1</v>
      </c>
      <c r="L204" s="155">
        <v>240</v>
      </c>
      <c r="M204" s="155" t="s">
        <v>9096</v>
      </c>
      <c r="N204" s="155"/>
      <c r="O204" s="155" t="s">
        <v>4880</v>
      </c>
      <c r="P204" s="155">
        <v>0</v>
      </c>
      <c r="Q204" s="155" t="s">
        <v>4881</v>
      </c>
      <c r="R204" s="155" t="s">
        <v>9178</v>
      </c>
      <c r="S204" s="155" t="s">
        <v>9179</v>
      </c>
      <c r="T204" s="155" t="s">
        <v>5440</v>
      </c>
      <c r="U204" s="155"/>
    </row>
    <row r="205" spans="1:21" s="145" customFormat="1" x14ac:dyDescent="0.15">
      <c r="A205" s="154">
        <v>95510002</v>
      </c>
      <c r="B205" s="175" t="s">
        <v>887</v>
      </c>
      <c r="C205" s="175" t="s">
        <v>9121</v>
      </c>
      <c r="D205" s="155" t="s">
        <v>4876</v>
      </c>
      <c r="E205" s="155" t="s">
        <v>5505</v>
      </c>
      <c r="F205" s="156">
        <v>1</v>
      </c>
      <c r="G205" s="154">
        <v>34</v>
      </c>
      <c r="H205" s="158" t="s">
        <v>5506</v>
      </c>
      <c r="I205" s="163"/>
      <c r="J205" s="155">
        <v>1</v>
      </c>
      <c r="K205" s="155" t="b">
        <v>1</v>
      </c>
      <c r="L205" s="155">
        <v>160</v>
      </c>
      <c r="M205" s="155" t="s">
        <v>3383</v>
      </c>
      <c r="N205" s="155"/>
      <c r="O205" s="155" t="s">
        <v>4880</v>
      </c>
      <c r="P205" s="155">
        <v>0</v>
      </c>
      <c r="Q205" s="155" t="s">
        <v>4881</v>
      </c>
      <c r="R205" s="155" t="s">
        <v>9180</v>
      </c>
      <c r="S205" s="155" t="s">
        <v>9181</v>
      </c>
      <c r="T205" s="155" t="s">
        <v>5440</v>
      </c>
      <c r="U205" s="155"/>
    </row>
    <row r="206" spans="1:21" s="145" customFormat="1" x14ac:dyDescent="0.15">
      <c r="A206" s="154">
        <v>95510003</v>
      </c>
      <c r="B206" s="175" t="s">
        <v>887</v>
      </c>
      <c r="C206" s="175" t="s">
        <v>9124</v>
      </c>
      <c r="D206" s="155" t="s">
        <v>4876</v>
      </c>
      <c r="E206" s="155" t="s">
        <v>5505</v>
      </c>
      <c r="F206" s="156">
        <v>2</v>
      </c>
      <c r="G206" s="154">
        <v>34</v>
      </c>
      <c r="H206" s="158" t="s">
        <v>9182</v>
      </c>
      <c r="I206" s="163"/>
      <c r="J206" s="155">
        <v>1</v>
      </c>
      <c r="K206" s="155" t="b">
        <v>1</v>
      </c>
      <c r="L206" s="155">
        <v>240</v>
      </c>
      <c r="M206" s="155" t="s">
        <v>9096</v>
      </c>
      <c r="N206" s="155"/>
      <c r="O206" s="155" t="s">
        <v>4880</v>
      </c>
      <c r="P206" s="155">
        <v>0</v>
      </c>
      <c r="Q206" s="155" t="s">
        <v>4881</v>
      </c>
      <c r="R206" s="155" t="s">
        <v>9183</v>
      </c>
      <c r="S206" s="155" t="s">
        <v>9184</v>
      </c>
      <c r="T206" s="155" t="s">
        <v>5440</v>
      </c>
      <c r="U206" s="155"/>
    </row>
    <row r="207" spans="1:21" s="145" customFormat="1" x14ac:dyDescent="0.15">
      <c r="A207" s="154">
        <v>95510011</v>
      </c>
      <c r="B207" s="175" t="s">
        <v>887</v>
      </c>
      <c r="C207" s="175" t="s">
        <v>9132</v>
      </c>
      <c r="D207" s="155" t="s">
        <v>4876</v>
      </c>
      <c r="E207" s="155" t="s">
        <v>5510</v>
      </c>
      <c r="F207" s="156">
        <v>2</v>
      </c>
      <c r="G207" s="154">
        <v>34</v>
      </c>
      <c r="H207" s="158" t="s">
        <v>5511</v>
      </c>
      <c r="I207" s="163">
        <v>9100012</v>
      </c>
      <c r="J207" s="155">
        <v>1</v>
      </c>
      <c r="K207" s="155" t="b">
        <v>1</v>
      </c>
      <c r="L207" s="155">
        <v>240</v>
      </c>
      <c r="M207" s="155" t="s">
        <v>3383</v>
      </c>
      <c r="N207" s="155"/>
      <c r="O207" s="155" t="s">
        <v>4880</v>
      </c>
      <c r="P207" s="155">
        <v>0</v>
      </c>
      <c r="Q207" s="155" t="s">
        <v>4881</v>
      </c>
      <c r="R207" s="155" t="s">
        <v>9185</v>
      </c>
      <c r="S207" s="155" t="s">
        <v>9186</v>
      </c>
      <c r="T207" s="155" t="s">
        <v>5440</v>
      </c>
      <c r="U207" s="155"/>
    </row>
    <row r="208" spans="1:21" s="145" customFormat="1" x14ac:dyDescent="0.15">
      <c r="A208" s="154">
        <v>95580001</v>
      </c>
      <c r="B208" s="175" t="s">
        <v>9187</v>
      </c>
      <c r="C208" s="175" t="s">
        <v>9188</v>
      </c>
      <c r="D208" s="155" t="s">
        <v>4876</v>
      </c>
      <c r="E208" s="155" t="s">
        <v>9187</v>
      </c>
      <c r="F208" s="156">
        <v>3</v>
      </c>
      <c r="G208" s="154">
        <v>34</v>
      </c>
      <c r="H208" s="158" t="s">
        <v>9189</v>
      </c>
      <c r="I208" s="163"/>
      <c r="J208" s="155">
        <v>1</v>
      </c>
      <c r="K208" s="155" t="b">
        <v>1</v>
      </c>
      <c r="L208" s="155">
        <v>160</v>
      </c>
      <c r="M208" s="155" t="s">
        <v>9096</v>
      </c>
      <c r="N208" s="155"/>
      <c r="O208" s="155" t="s">
        <v>4880</v>
      </c>
      <c r="P208" s="155">
        <v>0</v>
      </c>
      <c r="Q208" s="155" t="s">
        <v>4881</v>
      </c>
      <c r="R208" s="155" t="s">
        <v>9190</v>
      </c>
      <c r="S208" s="155" t="s">
        <v>9191</v>
      </c>
      <c r="T208" s="155" t="s">
        <v>5440</v>
      </c>
      <c r="U208" s="155"/>
    </row>
    <row r="209" spans="1:21" s="145" customFormat="1" x14ac:dyDescent="0.15">
      <c r="A209" s="154">
        <v>95901001</v>
      </c>
      <c r="B209" s="175" t="s">
        <v>4875</v>
      </c>
      <c r="C209" s="43" t="s">
        <v>9192</v>
      </c>
      <c r="D209" s="155" t="s">
        <v>4876</v>
      </c>
      <c r="E209" s="155" t="s">
        <v>9193</v>
      </c>
      <c r="F209" s="156">
        <v>1</v>
      </c>
      <c r="G209" s="154">
        <v>34</v>
      </c>
      <c r="H209" s="177" t="s">
        <v>5567</v>
      </c>
      <c r="I209" s="163"/>
      <c r="J209" s="155">
        <v>1</v>
      </c>
      <c r="K209" s="155" t="b">
        <v>1</v>
      </c>
      <c r="L209" s="155">
        <v>160</v>
      </c>
      <c r="M209" s="155" t="s">
        <v>3383</v>
      </c>
      <c r="N209" s="155"/>
      <c r="O209" s="155" t="s">
        <v>4880</v>
      </c>
      <c r="P209" s="155">
        <v>0</v>
      </c>
      <c r="Q209" s="155" t="s">
        <v>4881</v>
      </c>
      <c r="R209" s="155" t="s">
        <v>9194</v>
      </c>
      <c r="S209" s="155" t="s">
        <v>5569</v>
      </c>
      <c r="T209" s="155" t="s">
        <v>5570</v>
      </c>
      <c r="U209" s="155"/>
    </row>
    <row r="210" spans="1:21" s="145" customFormat="1" x14ac:dyDescent="0.15">
      <c r="A210" s="154">
        <v>95901002</v>
      </c>
      <c r="B210" s="175" t="s">
        <v>4875</v>
      </c>
      <c r="C210" s="43" t="s">
        <v>9195</v>
      </c>
      <c r="D210" s="155" t="s">
        <v>4876</v>
      </c>
      <c r="E210" s="155" t="s">
        <v>9193</v>
      </c>
      <c r="F210" s="156">
        <v>2</v>
      </c>
      <c r="G210" s="154">
        <v>34</v>
      </c>
      <c r="H210" s="177" t="s">
        <v>5572</v>
      </c>
      <c r="I210" s="163"/>
      <c r="J210" s="155">
        <v>1</v>
      </c>
      <c r="K210" s="155" t="b">
        <v>1</v>
      </c>
      <c r="L210" s="155">
        <v>240</v>
      </c>
      <c r="M210" s="155" t="s">
        <v>9096</v>
      </c>
      <c r="N210" s="155"/>
      <c r="O210" s="155" t="s">
        <v>4880</v>
      </c>
      <c r="P210" s="155">
        <v>0</v>
      </c>
      <c r="Q210" s="155" t="s">
        <v>4881</v>
      </c>
      <c r="R210" s="155" t="s">
        <v>9196</v>
      </c>
      <c r="S210" s="155" t="s">
        <v>5574</v>
      </c>
      <c r="T210" s="155" t="s">
        <v>5570</v>
      </c>
      <c r="U210" s="155"/>
    </row>
    <row r="211" spans="1:21" s="145" customFormat="1" x14ac:dyDescent="0.15">
      <c r="A211" s="154">
        <v>95902001</v>
      </c>
      <c r="B211" s="175" t="s">
        <v>134</v>
      </c>
      <c r="C211" s="43" t="s">
        <v>9197</v>
      </c>
      <c r="D211" s="155" t="s">
        <v>4876</v>
      </c>
      <c r="E211" s="155" t="s">
        <v>9193</v>
      </c>
      <c r="F211" s="156">
        <v>1</v>
      </c>
      <c r="G211" s="154">
        <v>34</v>
      </c>
      <c r="H211" s="177" t="s">
        <v>5576</v>
      </c>
      <c r="I211" s="163"/>
      <c r="J211" s="155">
        <v>1</v>
      </c>
      <c r="K211" s="155" t="b">
        <v>1</v>
      </c>
      <c r="L211" s="155">
        <v>160</v>
      </c>
      <c r="M211" s="155" t="s">
        <v>3383</v>
      </c>
      <c r="N211" s="155"/>
      <c r="O211" s="155" t="s">
        <v>4880</v>
      </c>
      <c r="P211" s="155">
        <v>0</v>
      </c>
      <c r="Q211" s="155" t="s">
        <v>4881</v>
      </c>
      <c r="R211" s="155" t="s">
        <v>9198</v>
      </c>
      <c r="S211" s="155" t="s">
        <v>5578</v>
      </c>
      <c r="T211" s="155" t="s">
        <v>5570</v>
      </c>
      <c r="U211" s="155"/>
    </row>
    <row r="212" spans="1:21" s="145" customFormat="1" x14ac:dyDescent="0.15">
      <c r="A212" s="154">
        <v>95902002</v>
      </c>
      <c r="B212" s="175" t="s">
        <v>134</v>
      </c>
      <c r="C212" s="43" t="s">
        <v>9199</v>
      </c>
      <c r="D212" s="155" t="s">
        <v>4876</v>
      </c>
      <c r="E212" s="155" t="s">
        <v>9193</v>
      </c>
      <c r="F212" s="156">
        <v>2</v>
      </c>
      <c r="G212" s="154">
        <v>34</v>
      </c>
      <c r="H212" s="177" t="s">
        <v>5580</v>
      </c>
      <c r="I212" s="163"/>
      <c r="J212" s="155">
        <v>1</v>
      </c>
      <c r="K212" s="155" t="b">
        <v>1</v>
      </c>
      <c r="L212" s="155">
        <v>240</v>
      </c>
      <c r="M212" s="155" t="s">
        <v>9096</v>
      </c>
      <c r="N212" s="155"/>
      <c r="O212" s="155" t="s">
        <v>4880</v>
      </c>
      <c r="P212" s="155">
        <v>0</v>
      </c>
      <c r="Q212" s="155" t="s">
        <v>4881</v>
      </c>
      <c r="R212" s="155" t="s">
        <v>9200</v>
      </c>
      <c r="S212" s="155" t="s">
        <v>5582</v>
      </c>
      <c r="T212" s="155" t="s">
        <v>5570</v>
      </c>
      <c r="U212" s="155"/>
    </row>
    <row r="213" spans="1:21" s="145" customFormat="1" x14ac:dyDescent="0.15">
      <c r="A213" s="154">
        <v>95903001</v>
      </c>
      <c r="B213" s="175" t="s">
        <v>363</v>
      </c>
      <c r="C213" s="43" t="s">
        <v>9201</v>
      </c>
      <c r="D213" s="155" t="s">
        <v>4876</v>
      </c>
      <c r="E213" s="155" t="s">
        <v>9193</v>
      </c>
      <c r="F213" s="156">
        <v>1</v>
      </c>
      <c r="G213" s="154">
        <v>34</v>
      </c>
      <c r="H213" s="177" t="s">
        <v>5584</v>
      </c>
      <c r="I213" s="163"/>
      <c r="J213" s="155">
        <v>1</v>
      </c>
      <c r="K213" s="155" t="b">
        <v>1</v>
      </c>
      <c r="L213" s="155">
        <v>160</v>
      </c>
      <c r="M213" s="155" t="s">
        <v>3383</v>
      </c>
      <c r="N213" s="155"/>
      <c r="O213" s="155" t="s">
        <v>4880</v>
      </c>
      <c r="P213" s="155">
        <v>0</v>
      </c>
      <c r="Q213" s="155" t="s">
        <v>4881</v>
      </c>
      <c r="R213" s="155" t="s">
        <v>9202</v>
      </c>
      <c r="S213" s="155" t="s">
        <v>5586</v>
      </c>
      <c r="T213" s="155" t="s">
        <v>5570</v>
      </c>
      <c r="U213" s="155"/>
    </row>
    <row r="214" spans="1:21" s="145" customFormat="1" x14ac:dyDescent="0.15">
      <c r="A214" s="154">
        <v>95903002</v>
      </c>
      <c r="B214" s="175" t="s">
        <v>363</v>
      </c>
      <c r="C214" s="43" t="s">
        <v>9203</v>
      </c>
      <c r="D214" s="155" t="s">
        <v>4876</v>
      </c>
      <c r="E214" s="155" t="s">
        <v>9193</v>
      </c>
      <c r="F214" s="156">
        <v>2</v>
      </c>
      <c r="G214" s="154">
        <v>34</v>
      </c>
      <c r="H214" s="177" t="s">
        <v>5588</v>
      </c>
      <c r="I214" s="163"/>
      <c r="J214" s="155">
        <v>1</v>
      </c>
      <c r="K214" s="155" t="b">
        <v>1</v>
      </c>
      <c r="L214" s="155">
        <v>240</v>
      </c>
      <c r="M214" s="155" t="s">
        <v>9096</v>
      </c>
      <c r="N214" s="155"/>
      <c r="O214" s="155" t="s">
        <v>4880</v>
      </c>
      <c r="P214" s="155">
        <v>0</v>
      </c>
      <c r="Q214" s="155" t="s">
        <v>4881</v>
      </c>
      <c r="R214" s="155" t="s">
        <v>9204</v>
      </c>
      <c r="S214" s="155" t="s">
        <v>5590</v>
      </c>
      <c r="T214" s="155" t="s">
        <v>5570</v>
      </c>
      <c r="U214" s="155"/>
    </row>
    <row r="215" spans="1:21" s="145" customFormat="1" x14ac:dyDescent="0.15">
      <c r="A215" s="154">
        <v>95904001</v>
      </c>
      <c r="B215" s="178" t="s">
        <v>447</v>
      </c>
      <c r="C215" s="43" t="s">
        <v>9205</v>
      </c>
      <c r="D215" s="155" t="s">
        <v>4876</v>
      </c>
      <c r="E215" s="155" t="s">
        <v>9193</v>
      </c>
      <c r="F215" s="156">
        <v>1</v>
      </c>
      <c r="G215" s="154">
        <v>34</v>
      </c>
      <c r="H215" s="177" t="s">
        <v>5596</v>
      </c>
      <c r="I215" s="163"/>
      <c r="J215" s="155">
        <v>1</v>
      </c>
      <c r="K215" s="155" t="b">
        <v>1</v>
      </c>
      <c r="L215" s="155">
        <v>160</v>
      </c>
      <c r="M215" s="155" t="s">
        <v>3383</v>
      </c>
      <c r="N215" s="155"/>
      <c r="O215" s="155" t="s">
        <v>4880</v>
      </c>
      <c r="P215" s="155">
        <v>0</v>
      </c>
      <c r="Q215" s="155" t="s">
        <v>4881</v>
      </c>
      <c r="R215" s="155" t="s">
        <v>9206</v>
      </c>
      <c r="S215" s="155" t="s">
        <v>5594</v>
      </c>
      <c r="T215" s="155" t="s">
        <v>5570</v>
      </c>
      <c r="U215" s="155"/>
    </row>
    <row r="216" spans="1:21" s="145" customFormat="1" x14ac:dyDescent="0.15">
      <c r="A216" s="154">
        <v>95904002</v>
      </c>
      <c r="B216" s="178" t="s">
        <v>447</v>
      </c>
      <c r="C216" s="43" t="s">
        <v>9207</v>
      </c>
      <c r="D216" s="155" t="s">
        <v>4876</v>
      </c>
      <c r="E216" s="155" t="s">
        <v>9193</v>
      </c>
      <c r="F216" s="156">
        <v>2</v>
      </c>
      <c r="G216" s="154">
        <v>34</v>
      </c>
      <c r="H216" s="177" t="s">
        <v>5592</v>
      </c>
      <c r="I216" s="163"/>
      <c r="J216" s="155">
        <v>1</v>
      </c>
      <c r="K216" s="155" t="b">
        <v>1</v>
      </c>
      <c r="L216" s="155">
        <v>240</v>
      </c>
      <c r="M216" s="155" t="s">
        <v>9096</v>
      </c>
      <c r="N216" s="155"/>
      <c r="O216" s="155" t="s">
        <v>4880</v>
      </c>
      <c r="P216" s="155">
        <v>0</v>
      </c>
      <c r="Q216" s="155" t="s">
        <v>4881</v>
      </c>
      <c r="R216" s="169" t="s">
        <v>9208</v>
      </c>
      <c r="S216" s="169" t="s">
        <v>5598</v>
      </c>
      <c r="T216" s="155" t="s">
        <v>5570</v>
      </c>
      <c r="U216" s="155"/>
    </row>
    <row r="217" spans="1:21" s="145" customFormat="1" x14ac:dyDescent="0.15">
      <c r="A217" s="154">
        <v>95905001</v>
      </c>
      <c r="B217" s="178" t="s">
        <v>5011</v>
      </c>
      <c r="C217" s="167" t="s">
        <v>9209</v>
      </c>
      <c r="D217" s="155" t="s">
        <v>4876</v>
      </c>
      <c r="E217" s="155" t="s">
        <v>9193</v>
      </c>
      <c r="F217" s="156">
        <v>1</v>
      </c>
      <c r="G217" s="154">
        <v>34</v>
      </c>
      <c r="H217" s="177" t="s">
        <v>5604</v>
      </c>
      <c r="I217" s="163"/>
      <c r="J217" s="155">
        <v>1</v>
      </c>
      <c r="K217" s="155" t="b">
        <v>1</v>
      </c>
      <c r="L217" s="155">
        <v>160</v>
      </c>
      <c r="M217" s="155" t="s">
        <v>3383</v>
      </c>
      <c r="N217" s="155"/>
      <c r="O217" s="155" t="s">
        <v>4880</v>
      </c>
      <c r="P217" s="155">
        <v>0</v>
      </c>
      <c r="Q217" s="155" t="s">
        <v>4881</v>
      </c>
      <c r="R217" s="169" t="s">
        <v>9210</v>
      </c>
      <c r="S217" s="169" t="s">
        <v>9211</v>
      </c>
      <c r="T217" s="155" t="s">
        <v>5570</v>
      </c>
      <c r="U217" s="155"/>
    </row>
    <row r="218" spans="1:21" s="145" customFormat="1" x14ac:dyDescent="0.15">
      <c r="A218" s="154">
        <v>95905002</v>
      </c>
      <c r="B218" s="178" t="s">
        <v>5011</v>
      </c>
      <c r="C218" s="167" t="s">
        <v>9212</v>
      </c>
      <c r="D218" s="155" t="s">
        <v>4876</v>
      </c>
      <c r="E218" s="155" t="s">
        <v>9193</v>
      </c>
      <c r="F218" s="156">
        <v>2</v>
      </c>
      <c r="G218" s="154">
        <v>34</v>
      </c>
      <c r="H218" s="177" t="s">
        <v>5600</v>
      </c>
      <c r="I218" s="163"/>
      <c r="J218" s="155">
        <v>1</v>
      </c>
      <c r="K218" s="155" t="b">
        <v>1</v>
      </c>
      <c r="L218" s="155">
        <v>240</v>
      </c>
      <c r="M218" s="155" t="s">
        <v>9096</v>
      </c>
      <c r="N218" s="155"/>
      <c r="O218" s="155" t="s">
        <v>4880</v>
      </c>
      <c r="P218" s="155">
        <v>0</v>
      </c>
      <c r="Q218" s="155" t="s">
        <v>4881</v>
      </c>
      <c r="R218" s="169" t="s">
        <v>9213</v>
      </c>
      <c r="S218" s="169" t="s">
        <v>9214</v>
      </c>
      <c r="T218" s="155" t="s">
        <v>5570</v>
      </c>
      <c r="U218" s="155"/>
    </row>
    <row r="219" spans="1:21" s="145" customFormat="1" x14ac:dyDescent="0.15">
      <c r="A219" s="154">
        <v>95906001</v>
      </c>
      <c r="B219" s="178" t="s">
        <v>727</v>
      </c>
      <c r="C219" s="43" t="s">
        <v>9215</v>
      </c>
      <c r="D219" s="155" t="s">
        <v>4876</v>
      </c>
      <c r="E219" s="155" t="s">
        <v>9193</v>
      </c>
      <c r="F219" s="156">
        <v>1</v>
      </c>
      <c r="G219" s="154">
        <v>34</v>
      </c>
      <c r="H219" s="177" t="s">
        <v>5608</v>
      </c>
      <c r="I219" s="163"/>
      <c r="J219" s="155">
        <v>1</v>
      </c>
      <c r="K219" s="155" t="b">
        <v>1</v>
      </c>
      <c r="L219" s="155">
        <v>160</v>
      </c>
      <c r="M219" s="155" t="s">
        <v>3383</v>
      </c>
      <c r="N219" s="155"/>
      <c r="O219" s="155" t="s">
        <v>4880</v>
      </c>
      <c r="P219" s="155">
        <v>0</v>
      </c>
      <c r="Q219" s="155" t="s">
        <v>4881</v>
      </c>
      <c r="R219" s="169" t="s">
        <v>9216</v>
      </c>
      <c r="S219" s="169" t="s">
        <v>5610</v>
      </c>
      <c r="T219" s="155" t="s">
        <v>5570</v>
      </c>
      <c r="U219" s="155"/>
    </row>
    <row r="220" spans="1:21" s="145" customFormat="1" x14ac:dyDescent="0.15">
      <c r="A220" s="154">
        <v>95906002</v>
      </c>
      <c r="B220" s="178" t="s">
        <v>727</v>
      </c>
      <c r="C220" s="43" t="s">
        <v>9217</v>
      </c>
      <c r="D220" s="155" t="s">
        <v>4876</v>
      </c>
      <c r="E220" s="155" t="s">
        <v>9193</v>
      </c>
      <c r="F220" s="156">
        <v>2</v>
      </c>
      <c r="G220" s="154">
        <v>34</v>
      </c>
      <c r="H220" s="177" t="s">
        <v>5612</v>
      </c>
      <c r="I220" s="163"/>
      <c r="J220" s="155">
        <v>1</v>
      </c>
      <c r="K220" s="155" t="b">
        <v>1</v>
      </c>
      <c r="L220" s="155">
        <v>240</v>
      </c>
      <c r="M220" s="155" t="s">
        <v>9096</v>
      </c>
      <c r="N220" s="155"/>
      <c r="O220" s="155" t="s">
        <v>4880</v>
      </c>
      <c r="P220" s="155">
        <v>0</v>
      </c>
      <c r="Q220" s="155" t="s">
        <v>4881</v>
      </c>
      <c r="R220" s="155" t="s">
        <v>9218</v>
      </c>
      <c r="S220" s="155" t="s">
        <v>5614</v>
      </c>
      <c r="T220" s="155" t="s">
        <v>5570</v>
      </c>
      <c r="U220" s="155"/>
    </row>
    <row r="221" spans="1:21" s="145" customFormat="1" x14ac:dyDescent="0.15">
      <c r="A221" s="154">
        <v>95909001</v>
      </c>
      <c r="B221" s="178" t="s">
        <v>5044</v>
      </c>
      <c r="C221" s="43" t="s">
        <v>9219</v>
      </c>
      <c r="D221" s="155" t="s">
        <v>4876</v>
      </c>
      <c r="E221" s="155" t="s">
        <v>9193</v>
      </c>
      <c r="F221" s="156">
        <v>1</v>
      </c>
      <c r="G221" s="154">
        <v>34</v>
      </c>
      <c r="H221" s="177" t="s">
        <v>5616</v>
      </c>
      <c r="I221" s="163"/>
      <c r="J221" s="155">
        <v>1</v>
      </c>
      <c r="K221" s="155" t="b">
        <v>1</v>
      </c>
      <c r="L221" s="155">
        <v>160</v>
      </c>
      <c r="M221" s="155" t="s">
        <v>3383</v>
      </c>
      <c r="N221" s="155"/>
      <c r="O221" s="155" t="s">
        <v>4880</v>
      </c>
      <c r="P221" s="155">
        <v>0</v>
      </c>
      <c r="Q221" s="155" t="s">
        <v>4881</v>
      </c>
      <c r="R221" s="155" t="s">
        <v>9220</v>
      </c>
      <c r="S221" s="155" t="s">
        <v>5618</v>
      </c>
      <c r="T221" s="155" t="s">
        <v>5570</v>
      </c>
      <c r="U221" s="155"/>
    </row>
    <row r="222" spans="1:21" s="145" customFormat="1" x14ac:dyDescent="0.15">
      <c r="A222" s="154">
        <v>95909002</v>
      </c>
      <c r="B222" s="178" t="s">
        <v>5044</v>
      </c>
      <c r="C222" s="43" t="s">
        <v>9221</v>
      </c>
      <c r="D222" s="155" t="s">
        <v>4876</v>
      </c>
      <c r="E222" s="155" t="s">
        <v>9193</v>
      </c>
      <c r="F222" s="156">
        <v>2</v>
      </c>
      <c r="G222" s="154">
        <v>34</v>
      </c>
      <c r="H222" s="177" t="s">
        <v>5620</v>
      </c>
      <c r="I222" s="163"/>
      <c r="J222" s="155">
        <v>1</v>
      </c>
      <c r="K222" s="155" t="b">
        <v>1</v>
      </c>
      <c r="L222" s="155">
        <v>240</v>
      </c>
      <c r="M222" s="155" t="s">
        <v>9096</v>
      </c>
      <c r="N222" s="155"/>
      <c r="O222" s="155" t="s">
        <v>4880</v>
      </c>
      <c r="P222" s="155">
        <v>0</v>
      </c>
      <c r="Q222" s="155" t="s">
        <v>4881</v>
      </c>
      <c r="R222" s="155" t="s">
        <v>9222</v>
      </c>
      <c r="S222" s="155" t="s">
        <v>5622</v>
      </c>
      <c r="T222" s="155" t="s">
        <v>5570</v>
      </c>
      <c r="U222" s="155"/>
    </row>
    <row r="223" spans="1:21" s="145" customFormat="1" x14ac:dyDescent="0.15">
      <c r="A223" s="154">
        <v>95910001</v>
      </c>
      <c r="B223" s="178" t="s">
        <v>887</v>
      </c>
      <c r="C223" s="43" t="s">
        <v>9223</v>
      </c>
      <c r="D223" s="155" t="s">
        <v>4876</v>
      </c>
      <c r="E223" s="155" t="s">
        <v>9193</v>
      </c>
      <c r="F223" s="156">
        <v>1</v>
      </c>
      <c r="G223" s="154">
        <v>34</v>
      </c>
      <c r="H223" s="177" t="s">
        <v>5624</v>
      </c>
      <c r="I223" s="163"/>
      <c r="J223" s="155">
        <v>1</v>
      </c>
      <c r="K223" s="155" t="b">
        <v>1</v>
      </c>
      <c r="L223" s="155">
        <v>160</v>
      </c>
      <c r="M223" s="155" t="s">
        <v>3383</v>
      </c>
      <c r="N223" s="155"/>
      <c r="O223" s="155" t="s">
        <v>4880</v>
      </c>
      <c r="P223" s="155">
        <v>0</v>
      </c>
      <c r="Q223" s="155" t="s">
        <v>4881</v>
      </c>
      <c r="R223" s="155" t="s">
        <v>9224</v>
      </c>
      <c r="S223" s="155" t="s">
        <v>5626</v>
      </c>
      <c r="T223" s="155" t="s">
        <v>5570</v>
      </c>
      <c r="U223" s="155"/>
    </row>
    <row r="224" spans="1:21" s="145" customFormat="1" x14ac:dyDescent="0.15">
      <c r="A224" s="154">
        <v>95910002</v>
      </c>
      <c r="B224" s="178" t="s">
        <v>887</v>
      </c>
      <c r="C224" s="43" t="s">
        <v>9225</v>
      </c>
      <c r="D224" s="155" t="s">
        <v>4876</v>
      </c>
      <c r="E224" s="155" t="s">
        <v>9193</v>
      </c>
      <c r="F224" s="156">
        <v>2</v>
      </c>
      <c r="G224" s="154">
        <v>34</v>
      </c>
      <c r="H224" s="177" t="s">
        <v>5628</v>
      </c>
      <c r="I224" s="163"/>
      <c r="J224" s="155">
        <v>1</v>
      </c>
      <c r="K224" s="155" t="b">
        <v>1</v>
      </c>
      <c r="L224" s="155">
        <v>240</v>
      </c>
      <c r="M224" s="155" t="s">
        <v>9096</v>
      </c>
      <c r="N224" s="155"/>
      <c r="O224" s="155" t="s">
        <v>4880</v>
      </c>
      <c r="P224" s="155">
        <v>0</v>
      </c>
      <c r="Q224" s="155" t="s">
        <v>4881</v>
      </c>
      <c r="R224" s="155" t="s">
        <v>9226</v>
      </c>
      <c r="S224" s="155" t="s">
        <v>5630</v>
      </c>
      <c r="T224" s="155" t="s">
        <v>5570</v>
      </c>
      <c r="U224" s="155"/>
    </row>
    <row r="225" spans="1:21" s="145" customFormat="1" x14ac:dyDescent="0.15">
      <c r="A225" s="154">
        <v>95802011</v>
      </c>
      <c r="B225" s="155" t="s">
        <v>4914</v>
      </c>
      <c r="C225" s="155" t="s">
        <v>9227</v>
      </c>
      <c r="D225" s="155" t="s">
        <v>4876</v>
      </c>
      <c r="E225" s="155" t="s">
        <v>9228</v>
      </c>
      <c r="F225" s="156">
        <v>2</v>
      </c>
      <c r="G225" s="154">
        <v>34</v>
      </c>
      <c r="H225" s="177" t="s">
        <v>5673</v>
      </c>
      <c r="I225" s="163"/>
      <c r="J225" s="155">
        <v>1</v>
      </c>
      <c r="K225" s="155" t="b">
        <v>1</v>
      </c>
      <c r="L225" s="155">
        <v>700</v>
      </c>
      <c r="M225" s="155" t="s">
        <v>3383</v>
      </c>
      <c r="N225" s="155"/>
      <c r="O225" s="155" t="s">
        <v>4880</v>
      </c>
      <c r="P225" s="155">
        <v>0</v>
      </c>
      <c r="Q225" s="155" t="s">
        <v>4881</v>
      </c>
      <c r="R225" s="157" t="s">
        <v>9229</v>
      </c>
      <c r="S225" s="155" t="s">
        <v>5675</v>
      </c>
      <c r="T225" s="155" t="s">
        <v>3993</v>
      </c>
      <c r="U225" s="155"/>
    </row>
    <row r="226" spans="1:21" s="145" customFormat="1" x14ac:dyDescent="0.15">
      <c r="A226" s="154">
        <v>95802012</v>
      </c>
      <c r="B226" s="155" t="s">
        <v>4914</v>
      </c>
      <c r="C226" s="155" t="s">
        <v>9230</v>
      </c>
      <c r="D226" s="155" t="s">
        <v>4876</v>
      </c>
      <c r="E226" s="155" t="s">
        <v>9228</v>
      </c>
      <c r="F226" s="156">
        <v>3</v>
      </c>
      <c r="G226" s="154">
        <v>34</v>
      </c>
      <c r="H226" s="177" t="s">
        <v>5677</v>
      </c>
      <c r="I226" s="163"/>
      <c r="J226" s="155">
        <v>1</v>
      </c>
      <c r="K226" s="155" t="b">
        <v>1</v>
      </c>
      <c r="L226" s="155">
        <v>1050</v>
      </c>
      <c r="M226" s="155" t="s">
        <v>9096</v>
      </c>
      <c r="N226" s="155"/>
      <c r="O226" s="155" t="s">
        <v>4880</v>
      </c>
      <c r="P226" s="155">
        <v>0</v>
      </c>
      <c r="Q226" s="155" t="s">
        <v>4881</v>
      </c>
      <c r="R226" s="157" t="s">
        <v>9231</v>
      </c>
      <c r="S226" s="155" t="s">
        <v>5679</v>
      </c>
      <c r="T226" s="155" t="s">
        <v>3993</v>
      </c>
      <c r="U226" s="155"/>
    </row>
    <row r="227" spans="1:21" s="145" customFormat="1" x14ac:dyDescent="0.15">
      <c r="A227" s="154">
        <v>95802013</v>
      </c>
      <c r="B227" s="155" t="s">
        <v>4914</v>
      </c>
      <c r="C227" s="155" t="s">
        <v>9232</v>
      </c>
      <c r="D227" s="155" t="s">
        <v>4876</v>
      </c>
      <c r="E227" s="155" t="s">
        <v>9228</v>
      </c>
      <c r="F227" s="156">
        <v>4</v>
      </c>
      <c r="G227" s="154">
        <v>34</v>
      </c>
      <c r="H227" s="177" t="s">
        <v>5681</v>
      </c>
      <c r="I227" s="163"/>
      <c r="J227" s="155">
        <v>1</v>
      </c>
      <c r="K227" s="155" t="b">
        <v>1</v>
      </c>
      <c r="L227" s="155">
        <v>1400</v>
      </c>
      <c r="M227" s="155" t="s">
        <v>3383</v>
      </c>
      <c r="N227" s="155"/>
      <c r="O227" s="155" t="s">
        <v>4880</v>
      </c>
      <c r="P227" s="155">
        <v>0</v>
      </c>
      <c r="Q227" s="155" t="s">
        <v>4881</v>
      </c>
      <c r="R227" s="157" t="s">
        <v>9233</v>
      </c>
      <c r="S227" s="155" t="s">
        <v>5683</v>
      </c>
      <c r="T227" s="155" t="s">
        <v>3993</v>
      </c>
      <c r="U227" s="155"/>
    </row>
    <row r="228" spans="1:21" s="145" customFormat="1" x14ac:dyDescent="0.15">
      <c r="A228" s="154">
        <v>95802014</v>
      </c>
      <c r="B228" s="155" t="s">
        <v>4914</v>
      </c>
      <c r="C228" s="155" t="s">
        <v>9234</v>
      </c>
      <c r="D228" s="155" t="s">
        <v>4876</v>
      </c>
      <c r="E228" s="155" t="s">
        <v>9228</v>
      </c>
      <c r="F228" s="156">
        <v>5</v>
      </c>
      <c r="G228" s="154">
        <v>34</v>
      </c>
      <c r="H228" s="177" t="s">
        <v>5685</v>
      </c>
      <c r="I228" s="163"/>
      <c r="J228" s="155">
        <v>1</v>
      </c>
      <c r="K228" s="155" t="b">
        <v>1</v>
      </c>
      <c r="L228" s="155">
        <v>1750</v>
      </c>
      <c r="M228" s="155" t="s">
        <v>9096</v>
      </c>
      <c r="N228" s="155"/>
      <c r="O228" s="155" t="s">
        <v>4880</v>
      </c>
      <c r="P228" s="155">
        <v>0</v>
      </c>
      <c r="Q228" s="155" t="s">
        <v>4881</v>
      </c>
      <c r="R228" s="157" t="s">
        <v>5686</v>
      </c>
      <c r="S228" s="155" t="s">
        <v>5687</v>
      </c>
      <c r="T228" s="155" t="s">
        <v>3993</v>
      </c>
      <c r="U228" s="155"/>
    </row>
    <row r="229" spans="1:21" x14ac:dyDescent="0.15">
      <c r="A229" s="149">
        <v>95802021</v>
      </c>
      <c r="B229" s="150" t="s">
        <v>4922</v>
      </c>
      <c r="C229" s="150" t="s">
        <v>9235</v>
      </c>
      <c r="D229" s="150" t="s">
        <v>4876</v>
      </c>
      <c r="E229" s="150" t="s">
        <v>9228</v>
      </c>
      <c r="F229" s="151">
        <v>2</v>
      </c>
      <c r="G229" s="149">
        <v>34</v>
      </c>
      <c r="H229" s="150"/>
      <c r="I229" s="162"/>
      <c r="J229" s="150">
        <v>1</v>
      </c>
      <c r="K229" s="150" t="b">
        <v>1</v>
      </c>
      <c r="L229" s="150">
        <v>700</v>
      </c>
      <c r="M229" s="150" t="s">
        <v>3383</v>
      </c>
      <c r="N229" s="150"/>
      <c r="O229" s="150" t="s">
        <v>4880</v>
      </c>
      <c r="P229" s="150">
        <v>0</v>
      </c>
      <c r="Q229" s="150" t="s">
        <v>4881</v>
      </c>
      <c r="R229" s="179" t="s">
        <v>5690</v>
      </c>
      <c r="S229" s="150" t="s">
        <v>5691</v>
      </c>
      <c r="T229" s="164" t="s">
        <v>3993</v>
      </c>
      <c r="U229" s="164"/>
    </row>
    <row r="230" spans="1:21" x14ac:dyDescent="0.15">
      <c r="A230" s="149">
        <v>95802022</v>
      </c>
      <c r="B230" s="150" t="s">
        <v>4922</v>
      </c>
      <c r="C230" s="150" t="s">
        <v>9236</v>
      </c>
      <c r="D230" s="150" t="s">
        <v>4876</v>
      </c>
      <c r="E230" s="150" t="s">
        <v>9228</v>
      </c>
      <c r="F230" s="151">
        <v>3</v>
      </c>
      <c r="G230" s="149">
        <v>34</v>
      </c>
      <c r="H230" s="150"/>
      <c r="I230" s="162"/>
      <c r="J230" s="150">
        <v>1</v>
      </c>
      <c r="K230" s="150" t="b">
        <v>1</v>
      </c>
      <c r="L230" s="150">
        <v>1050</v>
      </c>
      <c r="M230" s="150" t="s">
        <v>9096</v>
      </c>
      <c r="N230" s="150"/>
      <c r="O230" s="150" t="s">
        <v>4880</v>
      </c>
      <c r="P230" s="150">
        <v>0</v>
      </c>
      <c r="Q230" s="150" t="s">
        <v>4881</v>
      </c>
      <c r="R230" s="179" t="s">
        <v>9237</v>
      </c>
      <c r="S230" s="150" t="s">
        <v>5695</v>
      </c>
      <c r="T230" s="164" t="s">
        <v>3993</v>
      </c>
      <c r="U230" s="164"/>
    </row>
    <row r="231" spans="1:21" x14ac:dyDescent="0.15">
      <c r="A231" s="149">
        <v>95802023</v>
      </c>
      <c r="B231" s="150" t="s">
        <v>4922</v>
      </c>
      <c r="C231" s="150" t="s">
        <v>9238</v>
      </c>
      <c r="D231" s="150" t="s">
        <v>4876</v>
      </c>
      <c r="E231" s="150" t="s">
        <v>9228</v>
      </c>
      <c r="F231" s="151">
        <v>4</v>
      </c>
      <c r="G231" s="149">
        <v>34</v>
      </c>
      <c r="H231" s="150"/>
      <c r="I231" s="162"/>
      <c r="J231" s="150">
        <v>1</v>
      </c>
      <c r="K231" s="150" t="b">
        <v>1</v>
      </c>
      <c r="L231" s="150">
        <v>1400</v>
      </c>
      <c r="M231" s="150" t="s">
        <v>3383</v>
      </c>
      <c r="N231" s="150"/>
      <c r="O231" s="150" t="s">
        <v>4880</v>
      </c>
      <c r="P231" s="150">
        <v>0</v>
      </c>
      <c r="Q231" s="150" t="s">
        <v>4881</v>
      </c>
      <c r="R231" s="179" t="s">
        <v>9239</v>
      </c>
      <c r="S231" s="150" t="s">
        <v>5699</v>
      </c>
      <c r="T231" s="164" t="s">
        <v>3993</v>
      </c>
      <c r="U231" s="164"/>
    </row>
    <row r="232" spans="1:21" x14ac:dyDescent="0.15">
      <c r="A232" s="149">
        <v>95802024</v>
      </c>
      <c r="B232" s="150" t="s">
        <v>4922</v>
      </c>
      <c r="C232" s="150" t="s">
        <v>9240</v>
      </c>
      <c r="D232" s="150" t="s">
        <v>4876</v>
      </c>
      <c r="E232" s="150" t="s">
        <v>9228</v>
      </c>
      <c r="F232" s="151">
        <v>5</v>
      </c>
      <c r="G232" s="149">
        <v>34</v>
      </c>
      <c r="H232" s="150"/>
      <c r="I232" s="162"/>
      <c r="J232" s="150">
        <v>1</v>
      </c>
      <c r="K232" s="150" t="b">
        <v>1</v>
      </c>
      <c r="L232" s="150">
        <v>1750</v>
      </c>
      <c r="M232" s="150" t="s">
        <v>9096</v>
      </c>
      <c r="N232" s="150"/>
      <c r="O232" s="150" t="s">
        <v>4880</v>
      </c>
      <c r="P232" s="150">
        <v>0</v>
      </c>
      <c r="Q232" s="150" t="s">
        <v>4881</v>
      </c>
      <c r="R232" s="179" t="s">
        <v>5702</v>
      </c>
      <c r="S232" s="150" t="s">
        <v>5703</v>
      </c>
      <c r="T232" s="164" t="s">
        <v>3993</v>
      </c>
      <c r="U232" s="164"/>
    </row>
    <row r="233" spans="1:21" x14ac:dyDescent="0.15">
      <c r="A233" s="149">
        <v>95802031</v>
      </c>
      <c r="B233" s="150" t="s">
        <v>4930</v>
      </c>
      <c r="C233" s="150" t="s">
        <v>9241</v>
      </c>
      <c r="D233" s="150" t="s">
        <v>4876</v>
      </c>
      <c r="E233" s="150" t="s">
        <v>9228</v>
      </c>
      <c r="F233" s="151">
        <v>2</v>
      </c>
      <c r="G233" s="149">
        <v>34</v>
      </c>
      <c r="H233" s="150"/>
      <c r="I233" s="162"/>
      <c r="J233" s="150">
        <v>1</v>
      </c>
      <c r="K233" s="150" t="b">
        <v>1</v>
      </c>
      <c r="L233" s="150">
        <v>700</v>
      </c>
      <c r="M233" s="150" t="s">
        <v>3383</v>
      </c>
      <c r="N233" s="150"/>
      <c r="O233" s="150" t="s">
        <v>4880</v>
      </c>
      <c r="P233" s="150">
        <v>0</v>
      </c>
      <c r="Q233" s="150" t="s">
        <v>4881</v>
      </c>
      <c r="R233" s="179" t="s">
        <v>5705</v>
      </c>
      <c r="S233" s="150" t="s">
        <v>5706</v>
      </c>
      <c r="T233" s="164" t="s">
        <v>3993</v>
      </c>
      <c r="U233" s="164"/>
    </row>
    <row r="234" spans="1:21" x14ac:dyDescent="0.15">
      <c r="A234" s="149">
        <v>95802032</v>
      </c>
      <c r="B234" s="150" t="s">
        <v>4930</v>
      </c>
      <c r="C234" s="150" t="s">
        <v>9242</v>
      </c>
      <c r="D234" s="150" t="s">
        <v>4876</v>
      </c>
      <c r="E234" s="150" t="s">
        <v>9228</v>
      </c>
      <c r="F234" s="151">
        <v>3</v>
      </c>
      <c r="G234" s="149">
        <v>34</v>
      </c>
      <c r="H234" s="150"/>
      <c r="I234" s="162"/>
      <c r="J234" s="150">
        <v>1</v>
      </c>
      <c r="K234" s="150" t="b">
        <v>1</v>
      </c>
      <c r="L234" s="150">
        <v>1050</v>
      </c>
      <c r="M234" s="150" t="s">
        <v>9096</v>
      </c>
      <c r="N234" s="150"/>
      <c r="O234" s="150" t="s">
        <v>4880</v>
      </c>
      <c r="P234" s="150">
        <v>0</v>
      </c>
      <c r="Q234" s="150" t="s">
        <v>4881</v>
      </c>
      <c r="R234" s="179" t="s">
        <v>5709</v>
      </c>
      <c r="S234" s="150" t="s">
        <v>5710</v>
      </c>
      <c r="T234" s="164" t="s">
        <v>3993</v>
      </c>
      <c r="U234" s="164"/>
    </row>
    <row r="235" spans="1:21" x14ac:dyDescent="0.15">
      <c r="A235" s="149">
        <v>95802033</v>
      </c>
      <c r="B235" s="150" t="s">
        <v>4930</v>
      </c>
      <c r="C235" s="150" t="s">
        <v>9243</v>
      </c>
      <c r="D235" s="150" t="s">
        <v>4876</v>
      </c>
      <c r="E235" s="150" t="s">
        <v>9228</v>
      </c>
      <c r="F235" s="151">
        <v>4</v>
      </c>
      <c r="G235" s="149">
        <v>34</v>
      </c>
      <c r="H235" s="153"/>
      <c r="I235" s="162"/>
      <c r="J235" s="150">
        <v>1</v>
      </c>
      <c r="K235" s="150" t="b">
        <v>1</v>
      </c>
      <c r="L235" s="150">
        <v>1400</v>
      </c>
      <c r="M235" s="150" t="s">
        <v>3383</v>
      </c>
      <c r="N235" s="150"/>
      <c r="O235" s="150" t="s">
        <v>4880</v>
      </c>
      <c r="P235" s="150">
        <v>0</v>
      </c>
      <c r="Q235" s="150" t="s">
        <v>4881</v>
      </c>
      <c r="R235" s="179" t="s">
        <v>9244</v>
      </c>
      <c r="S235" s="150" t="s">
        <v>5714</v>
      </c>
      <c r="T235" s="164" t="s">
        <v>3993</v>
      </c>
      <c r="U235" s="164"/>
    </row>
    <row r="236" spans="1:21" x14ac:dyDescent="0.15">
      <c r="A236" s="149">
        <v>95802034</v>
      </c>
      <c r="B236" s="150" t="s">
        <v>4930</v>
      </c>
      <c r="C236" s="150" t="s">
        <v>9245</v>
      </c>
      <c r="D236" s="150" t="s">
        <v>4876</v>
      </c>
      <c r="E236" s="150" t="s">
        <v>9228</v>
      </c>
      <c r="F236" s="151">
        <v>5</v>
      </c>
      <c r="G236" s="149">
        <v>34</v>
      </c>
      <c r="H236" s="153"/>
      <c r="I236" s="162"/>
      <c r="J236" s="150">
        <v>1</v>
      </c>
      <c r="K236" s="150" t="b">
        <v>1</v>
      </c>
      <c r="L236" s="150">
        <v>1750</v>
      </c>
      <c r="M236" s="150" t="s">
        <v>9096</v>
      </c>
      <c r="N236" s="150"/>
      <c r="O236" s="150" t="s">
        <v>4880</v>
      </c>
      <c r="P236" s="150">
        <v>0</v>
      </c>
      <c r="Q236" s="150" t="s">
        <v>4881</v>
      </c>
      <c r="R236" s="179" t="s">
        <v>9246</v>
      </c>
      <c r="S236" s="150" t="s">
        <v>5718</v>
      </c>
      <c r="T236" s="164" t="s">
        <v>3993</v>
      </c>
      <c r="U236" s="164"/>
    </row>
    <row r="237" spans="1:21" x14ac:dyDescent="0.15">
      <c r="A237" s="149">
        <v>95805011</v>
      </c>
      <c r="B237" s="150" t="s">
        <v>5010</v>
      </c>
      <c r="C237" s="150" t="s">
        <v>9247</v>
      </c>
      <c r="D237" s="150" t="s">
        <v>4876</v>
      </c>
      <c r="E237" s="150" t="s">
        <v>9228</v>
      </c>
      <c r="F237" s="151">
        <v>2</v>
      </c>
      <c r="G237" s="149">
        <v>34</v>
      </c>
      <c r="H237" s="153"/>
      <c r="I237" s="162"/>
      <c r="J237" s="150">
        <v>1</v>
      </c>
      <c r="K237" s="150" t="b">
        <v>1</v>
      </c>
      <c r="L237" s="150">
        <v>700</v>
      </c>
      <c r="M237" s="150" t="s">
        <v>3383</v>
      </c>
      <c r="N237" s="150"/>
      <c r="O237" s="150" t="s">
        <v>4880</v>
      </c>
      <c r="P237" s="150">
        <v>0</v>
      </c>
      <c r="Q237" s="150" t="s">
        <v>4881</v>
      </c>
      <c r="R237" s="179" t="s">
        <v>9248</v>
      </c>
      <c r="S237" s="150" t="s">
        <v>5726</v>
      </c>
      <c r="T237" s="164" t="s">
        <v>3993</v>
      </c>
      <c r="U237" s="164"/>
    </row>
    <row r="238" spans="1:21" x14ac:dyDescent="0.15">
      <c r="A238" s="149">
        <v>95805012</v>
      </c>
      <c r="B238" s="150" t="s">
        <v>5010</v>
      </c>
      <c r="C238" s="150" t="s">
        <v>9249</v>
      </c>
      <c r="D238" s="150" t="s">
        <v>4876</v>
      </c>
      <c r="E238" s="150" t="s">
        <v>9228</v>
      </c>
      <c r="F238" s="151">
        <v>3</v>
      </c>
      <c r="G238" s="149">
        <v>34</v>
      </c>
      <c r="H238" s="153"/>
      <c r="I238" s="162"/>
      <c r="J238" s="150">
        <v>1</v>
      </c>
      <c r="K238" s="150" t="b">
        <v>1</v>
      </c>
      <c r="L238" s="150">
        <v>1050</v>
      </c>
      <c r="M238" s="150" t="s">
        <v>9096</v>
      </c>
      <c r="N238" s="150"/>
      <c r="O238" s="150" t="s">
        <v>4880</v>
      </c>
      <c r="P238" s="150">
        <v>0</v>
      </c>
      <c r="Q238" s="150" t="s">
        <v>4881</v>
      </c>
      <c r="R238" s="180" t="s">
        <v>9250</v>
      </c>
      <c r="S238" s="150" t="s">
        <v>5730</v>
      </c>
      <c r="T238" s="164" t="s">
        <v>3993</v>
      </c>
      <c r="U238" s="164"/>
    </row>
    <row r="239" spans="1:21" x14ac:dyDescent="0.15">
      <c r="A239" s="149">
        <v>95805013</v>
      </c>
      <c r="B239" s="150" t="s">
        <v>5010</v>
      </c>
      <c r="C239" s="150" t="s">
        <v>9251</v>
      </c>
      <c r="D239" s="150" t="s">
        <v>4876</v>
      </c>
      <c r="E239" s="150" t="s">
        <v>9228</v>
      </c>
      <c r="F239" s="151">
        <v>4</v>
      </c>
      <c r="G239" s="149">
        <v>34</v>
      </c>
      <c r="H239" s="153"/>
      <c r="I239" s="162"/>
      <c r="J239" s="150">
        <v>1</v>
      </c>
      <c r="K239" s="150" t="b">
        <v>1</v>
      </c>
      <c r="L239" s="150">
        <v>1400</v>
      </c>
      <c r="M239" s="150" t="s">
        <v>3383</v>
      </c>
      <c r="N239" s="150"/>
      <c r="O239" s="150" t="s">
        <v>4880</v>
      </c>
      <c r="P239" s="150">
        <v>0</v>
      </c>
      <c r="Q239" s="150" t="s">
        <v>4881</v>
      </c>
      <c r="R239" s="180" t="s">
        <v>9252</v>
      </c>
      <c r="S239" s="150" t="s">
        <v>5734</v>
      </c>
      <c r="T239" s="164" t="s">
        <v>3993</v>
      </c>
      <c r="U239" s="164"/>
    </row>
    <row r="240" spans="1:21" x14ac:dyDescent="0.15">
      <c r="A240" s="149">
        <v>95805014</v>
      </c>
      <c r="B240" s="150" t="s">
        <v>5010</v>
      </c>
      <c r="C240" s="150" t="s">
        <v>9253</v>
      </c>
      <c r="D240" s="150" t="s">
        <v>4876</v>
      </c>
      <c r="E240" s="150" t="s">
        <v>9228</v>
      </c>
      <c r="F240" s="151">
        <v>5</v>
      </c>
      <c r="G240" s="149">
        <v>34</v>
      </c>
      <c r="H240" s="153"/>
      <c r="I240" s="162"/>
      <c r="J240" s="150">
        <v>1</v>
      </c>
      <c r="K240" s="150" t="b">
        <v>1</v>
      </c>
      <c r="L240" s="150">
        <v>1750</v>
      </c>
      <c r="M240" s="150" t="s">
        <v>9096</v>
      </c>
      <c r="N240" s="150"/>
      <c r="O240" s="150" t="s">
        <v>4880</v>
      </c>
      <c r="P240" s="150">
        <v>0</v>
      </c>
      <c r="Q240" s="150" t="s">
        <v>4881</v>
      </c>
      <c r="R240" s="180" t="s">
        <v>9254</v>
      </c>
      <c r="S240" s="150" t="s">
        <v>5738</v>
      </c>
      <c r="T240" s="164" t="s">
        <v>3993</v>
      </c>
      <c r="U240" s="164"/>
    </row>
    <row r="241" spans="1:21" x14ac:dyDescent="0.15">
      <c r="A241" s="149">
        <v>95805015</v>
      </c>
      <c r="B241" s="150" t="s">
        <v>5010</v>
      </c>
      <c r="C241" s="150" t="s">
        <v>9255</v>
      </c>
      <c r="D241" s="150" t="s">
        <v>4876</v>
      </c>
      <c r="E241" s="150" t="s">
        <v>9228</v>
      </c>
      <c r="F241" s="151">
        <v>5</v>
      </c>
      <c r="G241" s="149">
        <v>34</v>
      </c>
      <c r="H241" s="153"/>
      <c r="I241" s="162"/>
      <c r="J241" s="150">
        <v>1</v>
      </c>
      <c r="K241" s="150" t="b">
        <v>1</v>
      </c>
      <c r="L241" s="150">
        <v>1750</v>
      </c>
      <c r="M241" s="150" t="s">
        <v>3383</v>
      </c>
      <c r="N241" s="150"/>
      <c r="O241" s="150" t="s">
        <v>4880</v>
      </c>
      <c r="P241" s="150">
        <v>0</v>
      </c>
      <c r="Q241" s="150" t="s">
        <v>4881</v>
      </c>
      <c r="R241" s="180" t="s">
        <v>9256</v>
      </c>
      <c r="S241" s="150" t="s">
        <v>5742</v>
      </c>
      <c r="T241" s="164" t="s">
        <v>3993</v>
      </c>
      <c r="U241" s="164"/>
    </row>
    <row r="242" spans="1:21" x14ac:dyDescent="0.15">
      <c r="A242" s="149">
        <v>95805016</v>
      </c>
      <c r="B242" s="150" t="s">
        <v>5010</v>
      </c>
      <c r="C242" s="150" t="s">
        <v>9257</v>
      </c>
      <c r="D242" s="150" t="s">
        <v>4876</v>
      </c>
      <c r="E242" s="150" t="s">
        <v>9228</v>
      </c>
      <c r="F242" s="151">
        <v>5</v>
      </c>
      <c r="G242" s="149">
        <v>34</v>
      </c>
      <c r="H242" s="150"/>
      <c r="I242" s="162"/>
      <c r="J242" s="150">
        <v>1</v>
      </c>
      <c r="K242" s="150" t="b">
        <v>1</v>
      </c>
      <c r="L242" s="150">
        <v>1750</v>
      </c>
      <c r="M242" s="150" t="s">
        <v>9096</v>
      </c>
      <c r="N242" s="150"/>
      <c r="O242" s="150" t="s">
        <v>4880</v>
      </c>
      <c r="P242" s="150">
        <v>0</v>
      </c>
      <c r="Q242" s="150" t="s">
        <v>4881</v>
      </c>
      <c r="R242" s="181" t="s">
        <v>9258</v>
      </c>
      <c r="S242" s="150" t="s">
        <v>9259</v>
      </c>
      <c r="T242" s="164" t="s">
        <v>3993</v>
      </c>
      <c r="U242" s="164"/>
    </row>
    <row r="243" spans="1:21" x14ac:dyDescent="0.15">
      <c r="A243" s="149">
        <v>95805017</v>
      </c>
      <c r="B243" s="150" t="s">
        <v>5010</v>
      </c>
      <c r="C243" s="150" t="s">
        <v>9260</v>
      </c>
      <c r="D243" s="150" t="s">
        <v>4876</v>
      </c>
      <c r="E243" s="150" t="s">
        <v>9228</v>
      </c>
      <c r="F243" s="151">
        <v>5</v>
      </c>
      <c r="G243" s="149">
        <v>34</v>
      </c>
      <c r="H243" s="150"/>
      <c r="I243" s="162"/>
      <c r="J243" s="150">
        <v>1</v>
      </c>
      <c r="K243" s="150" t="b">
        <v>1</v>
      </c>
      <c r="L243" s="150">
        <v>1750</v>
      </c>
      <c r="M243" s="150" t="s">
        <v>3383</v>
      </c>
      <c r="N243" s="150"/>
      <c r="O243" s="150" t="s">
        <v>4880</v>
      </c>
      <c r="P243" s="150">
        <v>0</v>
      </c>
      <c r="Q243" s="150" t="s">
        <v>4881</v>
      </c>
      <c r="R243" s="180" t="s">
        <v>9261</v>
      </c>
      <c r="S243" s="150" t="s">
        <v>9262</v>
      </c>
      <c r="T243" s="164" t="s">
        <v>3993</v>
      </c>
      <c r="U243" s="164"/>
    </row>
    <row r="244" spans="1:21" x14ac:dyDescent="0.15">
      <c r="A244" s="149">
        <v>95804011</v>
      </c>
      <c r="B244" s="150" t="s">
        <v>4978</v>
      </c>
      <c r="C244" s="150" t="s">
        <v>9263</v>
      </c>
      <c r="D244" s="150" t="s">
        <v>4876</v>
      </c>
      <c r="E244" s="150" t="s">
        <v>9228</v>
      </c>
      <c r="F244" s="151">
        <v>2</v>
      </c>
      <c r="G244" s="149">
        <v>34</v>
      </c>
      <c r="H244" s="150"/>
      <c r="I244" s="162"/>
      <c r="J244" s="150">
        <v>1</v>
      </c>
      <c r="K244" s="150" t="b">
        <v>1</v>
      </c>
      <c r="L244" s="150">
        <v>700</v>
      </c>
      <c r="M244" s="150" t="s">
        <v>9096</v>
      </c>
      <c r="N244" s="150"/>
      <c r="O244" s="150" t="s">
        <v>4880</v>
      </c>
      <c r="P244" s="150">
        <v>0</v>
      </c>
      <c r="Q244" s="150" t="s">
        <v>4881</v>
      </c>
      <c r="R244" s="182" t="s">
        <v>9264</v>
      </c>
      <c r="S244" s="150" t="s">
        <v>5745</v>
      </c>
      <c r="T244" s="164" t="s">
        <v>3993</v>
      </c>
      <c r="U244" s="164"/>
    </row>
    <row r="245" spans="1:21" x14ac:dyDescent="0.15">
      <c r="A245" s="149">
        <v>95804012</v>
      </c>
      <c r="B245" s="150" t="s">
        <v>4978</v>
      </c>
      <c r="C245" s="150" t="s">
        <v>9265</v>
      </c>
      <c r="D245" s="150" t="s">
        <v>4876</v>
      </c>
      <c r="E245" s="150" t="s">
        <v>9228</v>
      </c>
      <c r="F245" s="151">
        <v>3</v>
      </c>
      <c r="G245" s="149">
        <v>34</v>
      </c>
      <c r="H245" s="150"/>
      <c r="I245" s="162"/>
      <c r="J245" s="150">
        <v>1</v>
      </c>
      <c r="K245" s="150" t="b">
        <v>1</v>
      </c>
      <c r="L245" s="150">
        <v>1050</v>
      </c>
      <c r="M245" s="150" t="s">
        <v>3383</v>
      </c>
      <c r="N245" s="150"/>
      <c r="O245" s="150" t="s">
        <v>4880</v>
      </c>
      <c r="P245" s="150">
        <v>0</v>
      </c>
      <c r="Q245" s="150" t="s">
        <v>4881</v>
      </c>
      <c r="R245" s="183" t="s">
        <v>9266</v>
      </c>
      <c r="S245" s="150" t="s">
        <v>5749</v>
      </c>
      <c r="T245" s="164" t="s">
        <v>3993</v>
      </c>
      <c r="U245" s="164"/>
    </row>
    <row r="246" spans="1:21" ht="15" x14ac:dyDescent="0.2">
      <c r="A246" s="149">
        <v>95804013</v>
      </c>
      <c r="B246" s="150" t="s">
        <v>4978</v>
      </c>
      <c r="C246" s="150" t="s">
        <v>9267</v>
      </c>
      <c r="D246" s="150" t="s">
        <v>4876</v>
      </c>
      <c r="E246" s="150" t="s">
        <v>9228</v>
      </c>
      <c r="F246" s="151">
        <v>4</v>
      </c>
      <c r="G246" s="149">
        <v>34</v>
      </c>
      <c r="H246" s="150"/>
      <c r="I246" s="162"/>
      <c r="J246" s="150">
        <v>1</v>
      </c>
      <c r="K246" s="150" t="b">
        <v>1</v>
      </c>
      <c r="L246" s="150">
        <v>1400</v>
      </c>
      <c r="M246" s="150" t="s">
        <v>9096</v>
      </c>
      <c r="N246" s="150"/>
      <c r="O246" s="150" t="s">
        <v>4880</v>
      </c>
      <c r="P246" s="150">
        <v>0</v>
      </c>
      <c r="Q246" s="150" t="s">
        <v>4881</v>
      </c>
      <c r="R246" s="184" t="s">
        <v>9268</v>
      </c>
      <c r="S246" s="150" t="s">
        <v>5753</v>
      </c>
      <c r="T246" s="164" t="s">
        <v>3993</v>
      </c>
      <c r="U246" s="164"/>
    </row>
    <row r="247" spans="1:21" x14ac:dyDescent="0.15">
      <c r="A247" s="149">
        <v>95804014</v>
      </c>
      <c r="B247" s="150" t="s">
        <v>4978</v>
      </c>
      <c r="C247" s="150" t="s">
        <v>9269</v>
      </c>
      <c r="D247" s="150" t="s">
        <v>4876</v>
      </c>
      <c r="E247" s="150" t="s">
        <v>9228</v>
      </c>
      <c r="F247" s="151">
        <v>5</v>
      </c>
      <c r="G247" s="149">
        <v>34</v>
      </c>
      <c r="H247" s="150"/>
      <c r="I247" s="162"/>
      <c r="J247" s="150">
        <v>1</v>
      </c>
      <c r="K247" s="150" t="b">
        <v>1</v>
      </c>
      <c r="L247" s="150">
        <v>1750</v>
      </c>
      <c r="M247" s="150" t="s">
        <v>3383</v>
      </c>
      <c r="N247" s="150"/>
      <c r="O247" s="150" t="s">
        <v>4880</v>
      </c>
      <c r="P247" s="150">
        <v>0</v>
      </c>
      <c r="Q247" s="150" t="s">
        <v>4881</v>
      </c>
      <c r="R247" s="182" t="s">
        <v>9270</v>
      </c>
      <c r="S247" s="150" t="s">
        <v>5757</v>
      </c>
      <c r="T247" s="164" t="s">
        <v>3993</v>
      </c>
      <c r="U247" s="164"/>
    </row>
    <row r="248" spans="1:21" x14ac:dyDescent="0.15">
      <c r="A248" s="149">
        <v>95806011</v>
      </c>
      <c r="B248" s="150" t="s">
        <v>5027</v>
      </c>
      <c r="C248" s="150" t="s">
        <v>9271</v>
      </c>
      <c r="D248" s="150" t="s">
        <v>4876</v>
      </c>
      <c r="E248" s="150" t="s">
        <v>9228</v>
      </c>
      <c r="F248" s="151">
        <v>2</v>
      </c>
      <c r="G248" s="149">
        <v>34</v>
      </c>
      <c r="H248" s="150"/>
      <c r="I248" s="162"/>
      <c r="J248" s="150">
        <v>1</v>
      </c>
      <c r="K248" s="150" t="b">
        <v>1</v>
      </c>
      <c r="L248" s="150">
        <v>700</v>
      </c>
      <c r="M248" s="150" t="s">
        <v>9096</v>
      </c>
      <c r="N248" s="150"/>
      <c r="O248" s="150" t="s">
        <v>4880</v>
      </c>
      <c r="P248" s="150">
        <v>0</v>
      </c>
      <c r="Q248" s="150" t="s">
        <v>4881</v>
      </c>
      <c r="R248" s="179" t="s">
        <v>9272</v>
      </c>
      <c r="S248" s="150" t="s">
        <v>5761</v>
      </c>
      <c r="T248" s="164" t="s">
        <v>3993</v>
      </c>
      <c r="U248" s="164"/>
    </row>
    <row r="249" spans="1:21" x14ac:dyDescent="0.15">
      <c r="A249" s="149">
        <v>95806012</v>
      </c>
      <c r="B249" s="150" t="s">
        <v>5027</v>
      </c>
      <c r="C249" s="150" t="s">
        <v>9273</v>
      </c>
      <c r="D249" s="150" t="s">
        <v>4876</v>
      </c>
      <c r="E249" s="150" t="s">
        <v>9228</v>
      </c>
      <c r="F249" s="151">
        <v>3</v>
      </c>
      <c r="G249" s="149">
        <v>34</v>
      </c>
      <c r="H249" s="150"/>
      <c r="I249" s="162"/>
      <c r="J249" s="150">
        <v>1</v>
      </c>
      <c r="K249" s="150" t="b">
        <v>1</v>
      </c>
      <c r="L249" s="150">
        <v>1050</v>
      </c>
      <c r="M249" s="150" t="s">
        <v>3383</v>
      </c>
      <c r="N249" s="150"/>
      <c r="O249" s="150" t="s">
        <v>4880</v>
      </c>
      <c r="P249" s="150">
        <v>0</v>
      </c>
      <c r="Q249" s="150" t="s">
        <v>4881</v>
      </c>
      <c r="R249" s="179" t="s">
        <v>9274</v>
      </c>
      <c r="S249" s="150" t="s">
        <v>5765</v>
      </c>
      <c r="T249" s="164" t="s">
        <v>3993</v>
      </c>
      <c r="U249" s="164"/>
    </row>
    <row r="250" spans="1:21" x14ac:dyDescent="0.15">
      <c r="A250" s="149">
        <v>95806013</v>
      </c>
      <c r="B250" s="150" t="s">
        <v>5027</v>
      </c>
      <c r="C250" s="150" t="s">
        <v>9275</v>
      </c>
      <c r="D250" s="150" t="s">
        <v>4876</v>
      </c>
      <c r="E250" s="150" t="s">
        <v>9228</v>
      </c>
      <c r="F250" s="151">
        <v>4</v>
      </c>
      <c r="G250" s="149">
        <v>34</v>
      </c>
      <c r="H250" s="150"/>
      <c r="I250" s="162"/>
      <c r="J250" s="150">
        <v>1</v>
      </c>
      <c r="K250" s="150" t="b">
        <v>1</v>
      </c>
      <c r="L250" s="150">
        <v>1400</v>
      </c>
      <c r="M250" s="150" t="s">
        <v>9096</v>
      </c>
      <c r="N250" s="150"/>
      <c r="O250" s="150" t="s">
        <v>4880</v>
      </c>
      <c r="P250" s="150">
        <v>0</v>
      </c>
      <c r="Q250" s="150" t="s">
        <v>4881</v>
      </c>
      <c r="R250" s="179" t="s">
        <v>9276</v>
      </c>
      <c r="S250" s="150" t="s">
        <v>5769</v>
      </c>
      <c r="T250" s="164" t="s">
        <v>3993</v>
      </c>
      <c r="U250" s="164"/>
    </row>
    <row r="251" spans="1:21" x14ac:dyDescent="0.15">
      <c r="A251" s="149">
        <v>95806014</v>
      </c>
      <c r="B251" s="150" t="s">
        <v>5027</v>
      </c>
      <c r="C251" s="150" t="s">
        <v>9277</v>
      </c>
      <c r="D251" s="150" t="s">
        <v>4876</v>
      </c>
      <c r="E251" s="150" t="s">
        <v>9228</v>
      </c>
      <c r="F251" s="151">
        <v>5</v>
      </c>
      <c r="G251" s="149">
        <v>34</v>
      </c>
      <c r="H251" s="150"/>
      <c r="I251" s="162"/>
      <c r="J251" s="150">
        <v>1</v>
      </c>
      <c r="K251" s="150" t="b">
        <v>1</v>
      </c>
      <c r="L251" s="150">
        <v>1750</v>
      </c>
      <c r="M251" s="150" t="s">
        <v>3383</v>
      </c>
      <c r="N251" s="150"/>
      <c r="O251" s="150" t="s">
        <v>4880</v>
      </c>
      <c r="P251" s="150">
        <v>0</v>
      </c>
      <c r="Q251" s="150" t="s">
        <v>4881</v>
      </c>
      <c r="R251" s="179" t="s">
        <v>9278</v>
      </c>
      <c r="S251" s="150" t="s">
        <v>5773</v>
      </c>
      <c r="T251" s="164" t="s">
        <v>3993</v>
      </c>
      <c r="U251" s="164"/>
    </row>
    <row r="252" spans="1:21" x14ac:dyDescent="0.15">
      <c r="A252" s="149">
        <v>95806015</v>
      </c>
      <c r="B252" s="150" t="s">
        <v>5027</v>
      </c>
      <c r="C252" s="150" t="s">
        <v>9279</v>
      </c>
      <c r="D252" s="150" t="s">
        <v>4876</v>
      </c>
      <c r="E252" s="150" t="s">
        <v>9228</v>
      </c>
      <c r="F252" s="151">
        <v>5</v>
      </c>
      <c r="G252" s="149">
        <v>34</v>
      </c>
      <c r="H252" s="150"/>
      <c r="I252" s="162"/>
      <c r="J252" s="150">
        <v>1</v>
      </c>
      <c r="K252" s="150" t="b">
        <v>1</v>
      </c>
      <c r="L252" s="150">
        <v>1750</v>
      </c>
      <c r="M252" s="150" t="s">
        <v>9096</v>
      </c>
      <c r="N252" s="150"/>
      <c r="O252" s="150" t="s">
        <v>4880</v>
      </c>
      <c r="P252" s="150">
        <v>0</v>
      </c>
      <c r="Q252" s="150" t="s">
        <v>4881</v>
      </c>
      <c r="R252" s="179" t="s">
        <v>9280</v>
      </c>
      <c r="S252" s="150" t="s">
        <v>5777</v>
      </c>
      <c r="T252" s="164" t="s">
        <v>3993</v>
      </c>
      <c r="U252" s="164"/>
    </row>
    <row r="253" spans="1:21" x14ac:dyDescent="0.15">
      <c r="A253" s="149">
        <v>95801031</v>
      </c>
      <c r="B253" s="150" t="s">
        <v>4898</v>
      </c>
      <c r="C253" s="160" t="s">
        <v>9281</v>
      </c>
      <c r="D253" s="150" t="s">
        <v>4876</v>
      </c>
      <c r="E253" s="150" t="s">
        <v>9228</v>
      </c>
      <c r="F253" s="151">
        <v>2</v>
      </c>
      <c r="G253" s="149">
        <v>34</v>
      </c>
      <c r="H253" s="150"/>
      <c r="I253" s="162"/>
      <c r="J253" s="150">
        <v>1</v>
      </c>
      <c r="K253" s="150" t="b">
        <v>1</v>
      </c>
      <c r="L253" s="150">
        <v>700</v>
      </c>
      <c r="M253" s="150" t="s">
        <v>3383</v>
      </c>
      <c r="N253" s="150"/>
      <c r="O253" s="150" t="s">
        <v>4880</v>
      </c>
      <c r="P253" s="150">
        <v>0</v>
      </c>
      <c r="Q253" s="150" t="s">
        <v>4881</v>
      </c>
      <c r="R253" s="179" t="s">
        <v>5784</v>
      </c>
      <c r="S253" s="150" t="s">
        <v>5785</v>
      </c>
      <c r="T253" s="164" t="s">
        <v>3993</v>
      </c>
      <c r="U253" s="164"/>
    </row>
    <row r="254" spans="1:21" x14ac:dyDescent="0.15">
      <c r="A254" s="149">
        <v>95801032</v>
      </c>
      <c r="B254" s="150" t="s">
        <v>4898</v>
      </c>
      <c r="C254" s="160" t="s">
        <v>9282</v>
      </c>
      <c r="D254" s="150" t="s">
        <v>4876</v>
      </c>
      <c r="E254" s="150" t="s">
        <v>9228</v>
      </c>
      <c r="F254" s="151">
        <v>3</v>
      </c>
      <c r="G254" s="149">
        <v>34</v>
      </c>
      <c r="H254" s="150"/>
      <c r="I254" s="162"/>
      <c r="J254" s="150">
        <v>1</v>
      </c>
      <c r="K254" s="150" t="b">
        <v>1</v>
      </c>
      <c r="L254" s="150">
        <v>1050</v>
      </c>
      <c r="M254" s="150" t="s">
        <v>9096</v>
      </c>
      <c r="N254" s="150"/>
      <c r="O254" s="150" t="s">
        <v>4880</v>
      </c>
      <c r="P254" s="150">
        <v>0</v>
      </c>
      <c r="Q254" s="150" t="s">
        <v>4881</v>
      </c>
      <c r="R254" s="179" t="s">
        <v>5788</v>
      </c>
      <c r="S254" s="150" t="s">
        <v>5789</v>
      </c>
      <c r="T254" s="164" t="s">
        <v>3993</v>
      </c>
      <c r="U254" s="164"/>
    </row>
    <row r="255" spans="1:21" x14ac:dyDescent="0.15">
      <c r="A255" s="149">
        <v>95801033</v>
      </c>
      <c r="B255" s="150" t="s">
        <v>4898</v>
      </c>
      <c r="C255" s="160" t="s">
        <v>9283</v>
      </c>
      <c r="D255" s="150" t="s">
        <v>4876</v>
      </c>
      <c r="E255" s="150" t="s">
        <v>9228</v>
      </c>
      <c r="F255" s="151">
        <v>4</v>
      </c>
      <c r="G255" s="149">
        <v>34</v>
      </c>
      <c r="H255" s="150"/>
      <c r="I255" s="162"/>
      <c r="J255" s="150">
        <v>1</v>
      </c>
      <c r="K255" s="150" t="b">
        <v>1</v>
      </c>
      <c r="L255" s="150">
        <v>1400</v>
      </c>
      <c r="M255" s="150" t="s">
        <v>3383</v>
      </c>
      <c r="N255" s="150"/>
      <c r="O255" s="150" t="s">
        <v>4880</v>
      </c>
      <c r="P255" s="150">
        <v>0</v>
      </c>
      <c r="Q255" s="150" t="s">
        <v>4881</v>
      </c>
      <c r="R255" s="179" t="s">
        <v>9284</v>
      </c>
      <c r="S255" s="150" t="s">
        <v>5793</v>
      </c>
      <c r="T255" s="164" t="s">
        <v>3993</v>
      </c>
      <c r="U255" s="164"/>
    </row>
    <row r="256" spans="1:21" x14ac:dyDescent="0.15">
      <c r="A256" s="149">
        <v>95801034</v>
      </c>
      <c r="B256" s="150" t="s">
        <v>4898</v>
      </c>
      <c r="C256" s="160" t="s">
        <v>9285</v>
      </c>
      <c r="D256" s="150" t="s">
        <v>4876</v>
      </c>
      <c r="E256" s="150" t="s">
        <v>9228</v>
      </c>
      <c r="F256" s="151">
        <v>5</v>
      </c>
      <c r="G256" s="149">
        <v>34</v>
      </c>
      <c r="H256" s="150"/>
      <c r="I256" s="162"/>
      <c r="J256" s="150">
        <v>1</v>
      </c>
      <c r="K256" s="150" t="b">
        <v>1</v>
      </c>
      <c r="L256" s="150">
        <v>1750</v>
      </c>
      <c r="M256" s="150" t="s">
        <v>9096</v>
      </c>
      <c r="N256" s="150"/>
      <c r="O256" s="150" t="s">
        <v>4880</v>
      </c>
      <c r="P256" s="150">
        <v>0</v>
      </c>
      <c r="Q256" s="150" t="s">
        <v>4881</v>
      </c>
      <c r="R256" s="179" t="s">
        <v>9286</v>
      </c>
      <c r="S256" s="150" t="s">
        <v>5797</v>
      </c>
      <c r="T256" s="164" t="s">
        <v>3993</v>
      </c>
      <c r="U256" s="164"/>
    </row>
    <row r="257" spans="1:21" x14ac:dyDescent="0.15">
      <c r="A257" s="149">
        <v>95801035</v>
      </c>
      <c r="B257" s="150" t="s">
        <v>4898</v>
      </c>
      <c r="C257" s="160" t="s">
        <v>9287</v>
      </c>
      <c r="D257" s="150" t="s">
        <v>4876</v>
      </c>
      <c r="E257" s="150" t="s">
        <v>9228</v>
      </c>
      <c r="F257" s="151">
        <v>5</v>
      </c>
      <c r="G257" s="149">
        <v>34</v>
      </c>
      <c r="H257" s="150"/>
      <c r="I257" s="162"/>
      <c r="J257" s="150">
        <v>1</v>
      </c>
      <c r="K257" s="150" t="b">
        <v>1</v>
      </c>
      <c r="L257" s="150">
        <v>1750</v>
      </c>
      <c r="M257" s="150" t="s">
        <v>3383</v>
      </c>
      <c r="N257" s="150"/>
      <c r="O257" s="150" t="s">
        <v>4880</v>
      </c>
      <c r="P257" s="150">
        <v>0</v>
      </c>
      <c r="Q257" s="150" t="s">
        <v>4881</v>
      </c>
      <c r="R257" s="179" t="s">
        <v>9288</v>
      </c>
      <c r="S257" s="150" t="s">
        <v>9289</v>
      </c>
      <c r="T257" s="164" t="s">
        <v>3993</v>
      </c>
      <c r="U257" s="164"/>
    </row>
    <row r="258" spans="1:21" x14ac:dyDescent="0.15">
      <c r="A258" s="149">
        <v>95801036</v>
      </c>
      <c r="B258" s="150" t="s">
        <v>4898</v>
      </c>
      <c r="C258" s="160" t="s">
        <v>9290</v>
      </c>
      <c r="D258" s="150" t="s">
        <v>4876</v>
      </c>
      <c r="E258" s="150" t="s">
        <v>9228</v>
      </c>
      <c r="F258" s="151">
        <v>5</v>
      </c>
      <c r="G258" s="149">
        <v>34</v>
      </c>
      <c r="H258" s="150"/>
      <c r="I258" s="162"/>
      <c r="J258" s="150">
        <v>1</v>
      </c>
      <c r="K258" s="150" t="b">
        <v>1</v>
      </c>
      <c r="L258" s="150">
        <v>1750</v>
      </c>
      <c r="M258" s="150" t="s">
        <v>9096</v>
      </c>
      <c r="N258" s="150"/>
      <c r="O258" s="150" t="s">
        <v>4880</v>
      </c>
      <c r="P258" s="150">
        <v>0</v>
      </c>
      <c r="Q258" s="150" t="s">
        <v>4881</v>
      </c>
      <c r="R258" s="179" t="s">
        <v>5800</v>
      </c>
      <c r="S258" s="150" t="s">
        <v>5801</v>
      </c>
      <c r="T258" s="164" t="s">
        <v>3993</v>
      </c>
      <c r="U258" s="164"/>
    </row>
    <row r="259" spans="1:21" x14ac:dyDescent="0.15">
      <c r="A259" s="149">
        <v>95801037</v>
      </c>
      <c r="B259" s="150" t="s">
        <v>4898</v>
      </c>
      <c r="C259" s="160" t="s">
        <v>9291</v>
      </c>
      <c r="D259" s="150" t="s">
        <v>4876</v>
      </c>
      <c r="E259" s="150" t="s">
        <v>9228</v>
      </c>
      <c r="F259" s="151">
        <v>5</v>
      </c>
      <c r="G259" s="149">
        <v>34</v>
      </c>
      <c r="H259" s="150"/>
      <c r="I259" s="162"/>
      <c r="J259" s="150">
        <v>1</v>
      </c>
      <c r="K259" s="150" t="b">
        <v>1</v>
      </c>
      <c r="L259" s="150">
        <v>1750</v>
      </c>
      <c r="M259" s="150" t="s">
        <v>3383</v>
      </c>
      <c r="N259" s="150"/>
      <c r="O259" s="150" t="s">
        <v>4880</v>
      </c>
      <c r="P259" s="150">
        <v>0</v>
      </c>
      <c r="Q259" s="150" t="s">
        <v>4881</v>
      </c>
      <c r="R259" s="179" t="s">
        <v>9292</v>
      </c>
      <c r="S259" s="150" t="s">
        <v>9293</v>
      </c>
      <c r="T259" s="164" t="s">
        <v>3993</v>
      </c>
      <c r="U259" s="164"/>
    </row>
    <row r="260" spans="1:21" x14ac:dyDescent="0.15">
      <c r="A260" s="149">
        <v>95801021</v>
      </c>
      <c r="B260" s="150" t="s">
        <v>4890</v>
      </c>
      <c r="C260" s="160" t="s">
        <v>9294</v>
      </c>
      <c r="D260" s="150" t="s">
        <v>4876</v>
      </c>
      <c r="E260" s="150" t="s">
        <v>9228</v>
      </c>
      <c r="F260" s="151">
        <v>2</v>
      </c>
      <c r="G260" s="149">
        <v>34</v>
      </c>
      <c r="H260" s="150"/>
      <c r="I260" s="162"/>
      <c r="J260" s="150">
        <v>1</v>
      </c>
      <c r="K260" s="150" t="b">
        <v>1</v>
      </c>
      <c r="L260" s="150">
        <v>700</v>
      </c>
      <c r="M260" s="150" t="s">
        <v>9096</v>
      </c>
      <c r="N260" s="150"/>
      <c r="O260" s="150" t="s">
        <v>4880</v>
      </c>
      <c r="P260" s="150">
        <v>0</v>
      </c>
      <c r="Q260" s="150" t="s">
        <v>4881</v>
      </c>
      <c r="R260" s="179" t="s">
        <v>9295</v>
      </c>
      <c r="S260" s="150" t="s">
        <v>5805</v>
      </c>
      <c r="T260" s="164" t="s">
        <v>3993</v>
      </c>
      <c r="U260" s="164"/>
    </row>
    <row r="261" spans="1:21" x14ac:dyDescent="0.15">
      <c r="A261" s="149">
        <v>95801022</v>
      </c>
      <c r="B261" s="150" t="s">
        <v>4890</v>
      </c>
      <c r="C261" s="160" t="s">
        <v>9296</v>
      </c>
      <c r="D261" s="150" t="s">
        <v>4876</v>
      </c>
      <c r="E261" s="150" t="s">
        <v>9228</v>
      </c>
      <c r="F261" s="151">
        <v>3</v>
      </c>
      <c r="G261" s="149">
        <v>34</v>
      </c>
      <c r="H261" s="150"/>
      <c r="I261" s="162"/>
      <c r="J261" s="150">
        <v>1</v>
      </c>
      <c r="K261" s="150" t="b">
        <v>1</v>
      </c>
      <c r="L261" s="150">
        <v>1050</v>
      </c>
      <c r="M261" s="150" t="s">
        <v>3383</v>
      </c>
      <c r="N261" s="150"/>
      <c r="O261" s="150" t="s">
        <v>4880</v>
      </c>
      <c r="P261" s="150">
        <v>0</v>
      </c>
      <c r="Q261" s="150" t="s">
        <v>4881</v>
      </c>
      <c r="R261" s="179" t="s">
        <v>5808</v>
      </c>
      <c r="S261" s="150" t="s">
        <v>5809</v>
      </c>
      <c r="T261" s="164" t="s">
        <v>3993</v>
      </c>
      <c r="U261" s="164"/>
    </row>
    <row r="262" spans="1:21" x14ac:dyDescent="0.15">
      <c r="A262" s="149">
        <v>95801023</v>
      </c>
      <c r="B262" s="150" t="s">
        <v>4890</v>
      </c>
      <c r="C262" s="160" t="s">
        <v>9297</v>
      </c>
      <c r="D262" s="150" t="s">
        <v>4876</v>
      </c>
      <c r="E262" s="150" t="s">
        <v>9228</v>
      </c>
      <c r="F262" s="151">
        <v>4</v>
      </c>
      <c r="G262" s="149">
        <v>34</v>
      </c>
      <c r="H262" s="150"/>
      <c r="I262" s="162"/>
      <c r="J262" s="150">
        <v>1</v>
      </c>
      <c r="K262" s="150" t="b">
        <v>1</v>
      </c>
      <c r="L262" s="150">
        <v>1400</v>
      </c>
      <c r="M262" s="150" t="s">
        <v>9096</v>
      </c>
      <c r="N262" s="150"/>
      <c r="O262" s="150" t="s">
        <v>4880</v>
      </c>
      <c r="P262" s="150">
        <v>0</v>
      </c>
      <c r="Q262" s="150" t="s">
        <v>4881</v>
      </c>
      <c r="R262" s="179" t="s">
        <v>5812</v>
      </c>
      <c r="S262" s="150" t="s">
        <v>5813</v>
      </c>
      <c r="T262" s="164" t="s">
        <v>3993</v>
      </c>
      <c r="U262" s="164"/>
    </row>
    <row r="263" spans="1:21" x14ac:dyDescent="0.15">
      <c r="A263" s="149">
        <v>95801024</v>
      </c>
      <c r="B263" s="150" t="s">
        <v>4890</v>
      </c>
      <c r="C263" s="160" t="s">
        <v>9298</v>
      </c>
      <c r="D263" s="150" t="s">
        <v>4876</v>
      </c>
      <c r="E263" s="150" t="s">
        <v>9228</v>
      </c>
      <c r="F263" s="151">
        <v>5</v>
      </c>
      <c r="G263" s="149">
        <v>34</v>
      </c>
      <c r="H263" s="150"/>
      <c r="I263" s="162"/>
      <c r="J263" s="150">
        <v>1</v>
      </c>
      <c r="K263" s="150" t="b">
        <v>1</v>
      </c>
      <c r="L263" s="150">
        <v>1750</v>
      </c>
      <c r="M263" s="150" t="s">
        <v>3383</v>
      </c>
      <c r="N263" s="150"/>
      <c r="O263" s="150" t="s">
        <v>4880</v>
      </c>
      <c r="P263" s="150">
        <v>0</v>
      </c>
      <c r="Q263" s="150" t="s">
        <v>4881</v>
      </c>
      <c r="R263" s="179" t="s">
        <v>5816</v>
      </c>
      <c r="S263" s="150" t="s">
        <v>5817</v>
      </c>
      <c r="T263" s="164" t="s">
        <v>3993</v>
      </c>
      <c r="U263" s="164"/>
    </row>
    <row r="264" spans="1:21" x14ac:dyDescent="0.15">
      <c r="A264" s="149">
        <v>95801025</v>
      </c>
      <c r="B264" s="150" t="s">
        <v>4890</v>
      </c>
      <c r="C264" s="160" t="s">
        <v>9299</v>
      </c>
      <c r="D264" s="150" t="s">
        <v>4876</v>
      </c>
      <c r="E264" s="150" t="s">
        <v>9228</v>
      </c>
      <c r="F264" s="151">
        <v>5</v>
      </c>
      <c r="G264" s="149">
        <v>34</v>
      </c>
      <c r="H264" s="150"/>
      <c r="I264" s="162"/>
      <c r="J264" s="150">
        <v>1</v>
      </c>
      <c r="K264" s="150" t="b">
        <v>1</v>
      </c>
      <c r="L264" s="150">
        <v>1750</v>
      </c>
      <c r="M264" s="150" t="s">
        <v>9096</v>
      </c>
      <c r="N264" s="150"/>
      <c r="O264" s="150" t="s">
        <v>4880</v>
      </c>
      <c r="P264" s="150">
        <v>0</v>
      </c>
      <c r="Q264" s="150" t="s">
        <v>4881</v>
      </c>
      <c r="R264" s="179" t="s">
        <v>9300</v>
      </c>
      <c r="S264" s="150" t="s">
        <v>5821</v>
      </c>
      <c r="T264" s="164" t="s">
        <v>3993</v>
      </c>
      <c r="U264" s="164"/>
    </row>
    <row r="265" spans="1:21" x14ac:dyDescent="0.15">
      <c r="A265" s="149">
        <v>95802051</v>
      </c>
      <c r="B265" s="150" t="s">
        <v>4938</v>
      </c>
      <c r="C265" s="160" t="s">
        <v>9301</v>
      </c>
      <c r="D265" s="150" t="s">
        <v>4876</v>
      </c>
      <c r="E265" s="150" t="s">
        <v>9228</v>
      </c>
      <c r="F265" s="151">
        <v>2</v>
      </c>
      <c r="G265" s="149">
        <v>34</v>
      </c>
      <c r="H265" s="150"/>
      <c r="I265" s="162"/>
      <c r="J265" s="150">
        <v>1</v>
      </c>
      <c r="K265" s="150" t="b">
        <v>1</v>
      </c>
      <c r="L265" s="150">
        <v>700</v>
      </c>
      <c r="M265" s="150" t="s">
        <v>3383</v>
      </c>
      <c r="N265" s="150"/>
      <c r="O265" s="150" t="s">
        <v>4880</v>
      </c>
      <c r="P265" s="150">
        <v>0</v>
      </c>
      <c r="Q265" s="150" t="s">
        <v>4881</v>
      </c>
      <c r="R265" s="188" t="s">
        <v>5828</v>
      </c>
      <c r="S265" s="150" t="s">
        <v>5829</v>
      </c>
      <c r="T265" s="164" t="s">
        <v>3993</v>
      </c>
      <c r="U265" s="164"/>
    </row>
    <row r="266" spans="1:21" x14ac:dyDescent="0.15">
      <c r="A266" s="149">
        <v>95802052</v>
      </c>
      <c r="B266" s="150" t="s">
        <v>4938</v>
      </c>
      <c r="C266" s="160" t="s">
        <v>9302</v>
      </c>
      <c r="D266" s="150" t="s">
        <v>4876</v>
      </c>
      <c r="E266" s="150" t="s">
        <v>9228</v>
      </c>
      <c r="F266" s="151">
        <v>3</v>
      </c>
      <c r="G266" s="149">
        <v>34</v>
      </c>
      <c r="H266" s="150"/>
      <c r="I266" s="162"/>
      <c r="J266" s="150">
        <v>1</v>
      </c>
      <c r="K266" s="150" t="b">
        <v>1</v>
      </c>
      <c r="L266" s="150">
        <v>1050</v>
      </c>
      <c r="M266" s="150" t="s">
        <v>9096</v>
      </c>
      <c r="N266" s="150"/>
      <c r="O266" s="150" t="s">
        <v>4880</v>
      </c>
      <c r="P266" s="150">
        <v>0</v>
      </c>
      <c r="Q266" s="150" t="s">
        <v>4881</v>
      </c>
      <c r="R266" s="188" t="s">
        <v>5832</v>
      </c>
      <c r="S266" s="150" t="s">
        <v>5833</v>
      </c>
      <c r="T266" s="164" t="s">
        <v>3993</v>
      </c>
      <c r="U266" s="164"/>
    </row>
    <row r="267" spans="1:21" x14ac:dyDescent="0.15">
      <c r="A267" s="149">
        <v>95802053</v>
      </c>
      <c r="B267" s="150" t="s">
        <v>4938</v>
      </c>
      <c r="C267" s="160" t="s">
        <v>9303</v>
      </c>
      <c r="D267" s="150" t="s">
        <v>4876</v>
      </c>
      <c r="E267" s="150" t="s">
        <v>9228</v>
      </c>
      <c r="F267" s="151">
        <v>4</v>
      </c>
      <c r="G267" s="149">
        <v>34</v>
      </c>
      <c r="H267" s="150"/>
      <c r="I267" s="162"/>
      <c r="J267" s="150">
        <v>1</v>
      </c>
      <c r="K267" s="150" t="b">
        <v>1</v>
      </c>
      <c r="L267" s="150">
        <v>1400</v>
      </c>
      <c r="M267" s="150" t="s">
        <v>3383</v>
      </c>
      <c r="N267" s="150"/>
      <c r="O267" s="150" t="s">
        <v>4880</v>
      </c>
      <c r="P267" s="150">
        <v>0</v>
      </c>
      <c r="Q267" s="150" t="s">
        <v>4881</v>
      </c>
      <c r="R267" s="188" t="s">
        <v>5836</v>
      </c>
      <c r="S267" s="150" t="s">
        <v>5837</v>
      </c>
      <c r="T267" s="164" t="s">
        <v>3993</v>
      </c>
      <c r="U267" s="164"/>
    </row>
    <row r="268" spans="1:21" x14ac:dyDescent="0.15">
      <c r="A268" s="149">
        <v>95802054</v>
      </c>
      <c r="B268" s="150" t="s">
        <v>4938</v>
      </c>
      <c r="C268" s="160" t="s">
        <v>9304</v>
      </c>
      <c r="D268" s="150" t="s">
        <v>4876</v>
      </c>
      <c r="E268" s="150" t="s">
        <v>9228</v>
      </c>
      <c r="F268" s="151">
        <v>5</v>
      </c>
      <c r="G268" s="149">
        <v>34</v>
      </c>
      <c r="H268" s="150"/>
      <c r="I268" s="162"/>
      <c r="J268" s="150">
        <v>1</v>
      </c>
      <c r="K268" s="150" t="b">
        <v>1</v>
      </c>
      <c r="L268" s="150">
        <v>1750</v>
      </c>
      <c r="M268" s="150" t="s">
        <v>9096</v>
      </c>
      <c r="N268" s="150"/>
      <c r="O268" s="150" t="s">
        <v>4880</v>
      </c>
      <c r="P268" s="150">
        <v>0</v>
      </c>
      <c r="Q268" s="150" t="s">
        <v>4881</v>
      </c>
      <c r="R268" s="188" t="s">
        <v>5840</v>
      </c>
      <c r="S268" s="150" t="s">
        <v>5841</v>
      </c>
      <c r="T268" s="164" t="s">
        <v>3993</v>
      </c>
      <c r="U268" s="164"/>
    </row>
    <row r="269" spans="1:21" x14ac:dyDescent="0.15">
      <c r="A269" s="149">
        <v>95802055</v>
      </c>
      <c r="B269" s="150" t="s">
        <v>4938</v>
      </c>
      <c r="C269" s="160" t="s">
        <v>9305</v>
      </c>
      <c r="D269" s="150" t="s">
        <v>4876</v>
      </c>
      <c r="E269" s="150" t="s">
        <v>9228</v>
      </c>
      <c r="F269" s="151">
        <v>5</v>
      </c>
      <c r="G269" s="149">
        <v>34</v>
      </c>
      <c r="H269" s="150"/>
      <c r="I269" s="162"/>
      <c r="J269" s="150">
        <v>1</v>
      </c>
      <c r="K269" s="150" t="b">
        <v>1</v>
      </c>
      <c r="L269" s="150">
        <v>1750</v>
      </c>
      <c r="M269" s="150" t="s">
        <v>3383</v>
      </c>
      <c r="N269" s="150"/>
      <c r="O269" s="150" t="s">
        <v>4880</v>
      </c>
      <c r="P269" s="150">
        <v>0</v>
      </c>
      <c r="Q269" s="150" t="s">
        <v>4881</v>
      </c>
      <c r="R269" s="188" t="s">
        <v>5844</v>
      </c>
      <c r="S269" s="150" t="s">
        <v>5845</v>
      </c>
      <c r="T269" s="164" t="s">
        <v>3993</v>
      </c>
      <c r="U269" s="164"/>
    </row>
    <row r="270" spans="1:21" x14ac:dyDescent="0.15">
      <c r="A270" s="149">
        <v>95802056</v>
      </c>
      <c r="B270" s="150" t="s">
        <v>4938</v>
      </c>
      <c r="C270" s="160" t="s">
        <v>9306</v>
      </c>
      <c r="D270" s="150" t="s">
        <v>4876</v>
      </c>
      <c r="E270" s="150" t="s">
        <v>9228</v>
      </c>
      <c r="F270" s="151">
        <v>5</v>
      </c>
      <c r="G270" s="149">
        <v>34</v>
      </c>
      <c r="H270" s="150"/>
      <c r="I270" s="162"/>
      <c r="J270" s="150">
        <v>1</v>
      </c>
      <c r="K270" s="150" t="b">
        <v>1</v>
      </c>
      <c r="L270" s="150">
        <v>1750</v>
      </c>
      <c r="M270" s="150" t="s">
        <v>9096</v>
      </c>
      <c r="N270" s="150"/>
      <c r="O270" s="150" t="s">
        <v>4880</v>
      </c>
      <c r="P270" s="150">
        <v>0</v>
      </c>
      <c r="Q270" s="150" t="s">
        <v>4881</v>
      </c>
      <c r="R270" s="188" t="s">
        <v>9307</v>
      </c>
      <c r="S270" s="150" t="s">
        <v>9308</v>
      </c>
      <c r="T270" s="164" t="s">
        <v>3993</v>
      </c>
      <c r="U270" s="164"/>
    </row>
    <row r="271" spans="1:21" x14ac:dyDescent="0.15">
      <c r="A271" s="149">
        <v>95801011</v>
      </c>
      <c r="B271" s="150" t="s">
        <v>4874</v>
      </c>
      <c r="C271" s="160" t="s">
        <v>9309</v>
      </c>
      <c r="D271" s="150" t="s">
        <v>4876</v>
      </c>
      <c r="E271" s="150" t="s">
        <v>9228</v>
      </c>
      <c r="F271" s="151">
        <v>2</v>
      </c>
      <c r="G271" s="149">
        <v>34</v>
      </c>
      <c r="H271" s="150"/>
      <c r="I271" s="162"/>
      <c r="J271" s="150">
        <v>1</v>
      </c>
      <c r="K271" s="150" t="b">
        <v>1</v>
      </c>
      <c r="L271" s="150">
        <v>700</v>
      </c>
      <c r="M271" s="150" t="s">
        <v>3383</v>
      </c>
      <c r="N271" s="150"/>
      <c r="O271" s="150" t="s">
        <v>4880</v>
      </c>
      <c r="P271" s="150">
        <v>0</v>
      </c>
      <c r="Q271" s="150" t="s">
        <v>4881</v>
      </c>
      <c r="R271" s="182" t="s">
        <v>5852</v>
      </c>
      <c r="S271" s="150" t="s">
        <v>5853</v>
      </c>
      <c r="T271" s="164" t="s">
        <v>3993</v>
      </c>
      <c r="U271" s="164"/>
    </row>
    <row r="272" spans="1:21" x14ac:dyDescent="0.15">
      <c r="A272" s="149">
        <v>95801012</v>
      </c>
      <c r="B272" s="150" t="s">
        <v>4874</v>
      </c>
      <c r="C272" s="160" t="s">
        <v>9310</v>
      </c>
      <c r="D272" s="150" t="s">
        <v>4876</v>
      </c>
      <c r="E272" s="150" t="s">
        <v>9228</v>
      </c>
      <c r="F272" s="151">
        <v>3</v>
      </c>
      <c r="G272" s="149">
        <v>34</v>
      </c>
      <c r="H272" s="150"/>
      <c r="I272" s="162"/>
      <c r="J272" s="150">
        <v>1</v>
      </c>
      <c r="K272" s="150" t="b">
        <v>1</v>
      </c>
      <c r="L272" s="150">
        <v>1050</v>
      </c>
      <c r="M272" s="150" t="s">
        <v>9096</v>
      </c>
      <c r="N272" s="150"/>
      <c r="O272" s="150" t="s">
        <v>4880</v>
      </c>
      <c r="P272" s="150">
        <v>0</v>
      </c>
      <c r="Q272" s="150" t="s">
        <v>4881</v>
      </c>
      <c r="R272" s="182" t="s">
        <v>5856</v>
      </c>
      <c r="S272" s="150" t="s">
        <v>5857</v>
      </c>
      <c r="T272" s="164" t="s">
        <v>3993</v>
      </c>
      <c r="U272" s="164"/>
    </row>
    <row r="273" spans="1:21" x14ac:dyDescent="0.15">
      <c r="A273" s="149">
        <v>95801013</v>
      </c>
      <c r="B273" s="150" t="s">
        <v>4874</v>
      </c>
      <c r="C273" s="160" t="s">
        <v>9311</v>
      </c>
      <c r="D273" s="150" t="s">
        <v>4876</v>
      </c>
      <c r="E273" s="150" t="s">
        <v>9228</v>
      </c>
      <c r="F273" s="151">
        <v>4</v>
      </c>
      <c r="G273" s="149">
        <v>34</v>
      </c>
      <c r="H273" s="150"/>
      <c r="I273" s="162"/>
      <c r="J273" s="150">
        <v>1</v>
      </c>
      <c r="K273" s="150" t="b">
        <v>1</v>
      </c>
      <c r="L273" s="150">
        <v>1400</v>
      </c>
      <c r="M273" s="150" t="s">
        <v>3383</v>
      </c>
      <c r="N273" s="150"/>
      <c r="O273" s="150" t="s">
        <v>4880</v>
      </c>
      <c r="P273" s="150">
        <v>0</v>
      </c>
      <c r="Q273" s="150" t="s">
        <v>4881</v>
      </c>
      <c r="R273" s="182" t="s">
        <v>5860</v>
      </c>
      <c r="S273" s="150" t="s">
        <v>5861</v>
      </c>
      <c r="T273" s="164" t="s">
        <v>3993</v>
      </c>
      <c r="U273" s="164"/>
    </row>
    <row r="274" spans="1:21" x14ac:dyDescent="0.15">
      <c r="A274" s="149">
        <v>95810011</v>
      </c>
      <c r="B274" s="150" t="s">
        <v>5060</v>
      </c>
      <c r="C274" s="185" t="s">
        <v>9312</v>
      </c>
      <c r="D274" s="150" t="s">
        <v>4876</v>
      </c>
      <c r="E274" s="150" t="s">
        <v>9228</v>
      </c>
      <c r="F274" s="151">
        <v>2</v>
      </c>
      <c r="G274" s="149">
        <v>34</v>
      </c>
      <c r="H274" s="150"/>
      <c r="I274" s="162"/>
      <c r="J274" s="150">
        <v>1</v>
      </c>
      <c r="K274" s="150" t="b">
        <v>1</v>
      </c>
      <c r="L274" s="150">
        <v>700</v>
      </c>
      <c r="M274" s="150" t="s">
        <v>9096</v>
      </c>
      <c r="N274" s="150"/>
      <c r="O274" s="150" t="s">
        <v>4880</v>
      </c>
      <c r="P274" s="150">
        <v>0</v>
      </c>
      <c r="Q274" s="150" t="s">
        <v>4881</v>
      </c>
      <c r="R274" s="189" t="s">
        <v>5864</v>
      </c>
      <c r="S274" s="150" t="s">
        <v>5865</v>
      </c>
      <c r="T274" s="164" t="s">
        <v>3993</v>
      </c>
      <c r="U274" s="164"/>
    </row>
    <row r="275" spans="1:21" x14ac:dyDescent="0.15">
      <c r="A275" s="149">
        <v>95810012</v>
      </c>
      <c r="B275" s="150" t="s">
        <v>5060</v>
      </c>
      <c r="C275" s="185" t="s">
        <v>9313</v>
      </c>
      <c r="D275" s="150" t="s">
        <v>4876</v>
      </c>
      <c r="E275" s="150" t="s">
        <v>9228</v>
      </c>
      <c r="F275" s="151">
        <v>3</v>
      </c>
      <c r="G275" s="149">
        <v>34</v>
      </c>
      <c r="H275" s="150"/>
      <c r="I275" s="162"/>
      <c r="J275" s="150">
        <v>1</v>
      </c>
      <c r="K275" s="150" t="b">
        <v>1</v>
      </c>
      <c r="L275" s="150">
        <v>1050</v>
      </c>
      <c r="M275" s="150" t="s">
        <v>3383</v>
      </c>
      <c r="N275" s="150"/>
      <c r="O275" s="150" t="s">
        <v>4880</v>
      </c>
      <c r="P275" s="150">
        <v>0</v>
      </c>
      <c r="Q275" s="150" t="s">
        <v>4881</v>
      </c>
      <c r="R275" s="189" t="s">
        <v>9314</v>
      </c>
      <c r="S275" s="150" t="s">
        <v>5869</v>
      </c>
      <c r="T275" s="164" t="s">
        <v>3993</v>
      </c>
      <c r="U275" s="164"/>
    </row>
    <row r="276" spans="1:21" x14ac:dyDescent="0.15">
      <c r="A276" s="149">
        <v>95810013</v>
      </c>
      <c r="B276" s="150" t="s">
        <v>5060</v>
      </c>
      <c r="C276" s="185" t="s">
        <v>9315</v>
      </c>
      <c r="D276" s="150" t="s">
        <v>4876</v>
      </c>
      <c r="E276" s="150" t="s">
        <v>9228</v>
      </c>
      <c r="F276" s="151">
        <v>4</v>
      </c>
      <c r="G276" s="149">
        <v>34</v>
      </c>
      <c r="H276" s="150"/>
      <c r="I276" s="162"/>
      <c r="J276" s="150">
        <v>1</v>
      </c>
      <c r="K276" s="150" t="b">
        <v>1</v>
      </c>
      <c r="L276" s="150">
        <v>1400</v>
      </c>
      <c r="M276" s="150" t="s">
        <v>9096</v>
      </c>
      <c r="N276" s="150"/>
      <c r="O276" s="150" t="s">
        <v>4880</v>
      </c>
      <c r="P276" s="150">
        <v>0</v>
      </c>
      <c r="Q276" s="150" t="s">
        <v>4881</v>
      </c>
      <c r="R276" s="189" t="s">
        <v>5872</v>
      </c>
      <c r="S276" s="150" t="s">
        <v>5873</v>
      </c>
      <c r="T276" s="164" t="s">
        <v>3993</v>
      </c>
      <c r="U276" s="164"/>
    </row>
    <row r="277" spans="1:21" x14ac:dyDescent="0.15">
      <c r="A277" s="149">
        <v>95810014</v>
      </c>
      <c r="B277" s="150" t="s">
        <v>5060</v>
      </c>
      <c r="C277" s="185" t="s">
        <v>9316</v>
      </c>
      <c r="D277" s="150" t="s">
        <v>4876</v>
      </c>
      <c r="E277" s="150" t="s">
        <v>9228</v>
      </c>
      <c r="F277" s="151">
        <v>5</v>
      </c>
      <c r="G277" s="149">
        <v>34</v>
      </c>
      <c r="H277" s="150"/>
      <c r="I277" s="162"/>
      <c r="J277" s="150">
        <v>1</v>
      </c>
      <c r="K277" s="150" t="b">
        <v>1</v>
      </c>
      <c r="L277" s="150">
        <v>1750</v>
      </c>
      <c r="M277" s="150" t="s">
        <v>3383</v>
      </c>
      <c r="N277" s="150"/>
      <c r="O277" s="150" t="s">
        <v>4880</v>
      </c>
      <c r="P277" s="150">
        <v>0</v>
      </c>
      <c r="Q277" s="150" t="s">
        <v>4881</v>
      </c>
      <c r="R277" s="189" t="s">
        <v>5876</v>
      </c>
      <c r="S277" s="150" t="s">
        <v>5877</v>
      </c>
      <c r="T277" s="164" t="s">
        <v>3993</v>
      </c>
      <c r="U277" s="164"/>
    </row>
    <row r="278" spans="1:21" ht="27" x14ac:dyDescent="0.15">
      <c r="A278" s="149">
        <v>95804021</v>
      </c>
      <c r="B278" s="150" t="s">
        <v>4986</v>
      </c>
      <c r="C278" s="160" t="s">
        <v>9317</v>
      </c>
      <c r="D278" s="150" t="s">
        <v>4876</v>
      </c>
      <c r="E278" s="150" t="s">
        <v>9228</v>
      </c>
      <c r="F278" s="151">
        <v>2</v>
      </c>
      <c r="G278" s="149">
        <v>34</v>
      </c>
      <c r="H278" s="150"/>
      <c r="I278" s="162"/>
      <c r="J278" s="150">
        <v>1</v>
      </c>
      <c r="K278" s="150" t="b">
        <v>1</v>
      </c>
      <c r="L278" s="150">
        <v>700</v>
      </c>
      <c r="M278" s="150" t="s">
        <v>9096</v>
      </c>
      <c r="N278" s="150"/>
      <c r="O278" s="150" t="s">
        <v>4880</v>
      </c>
      <c r="P278" s="150">
        <v>0</v>
      </c>
      <c r="Q278" s="150" t="s">
        <v>4881</v>
      </c>
      <c r="R278" s="188" t="s">
        <v>9318</v>
      </c>
      <c r="S278" s="150" t="s">
        <v>5881</v>
      </c>
      <c r="T278" s="164" t="s">
        <v>3993</v>
      </c>
      <c r="U278" s="164"/>
    </row>
    <row r="279" spans="1:21" x14ac:dyDescent="0.15">
      <c r="A279" s="149">
        <v>95804022</v>
      </c>
      <c r="B279" s="150" t="s">
        <v>4986</v>
      </c>
      <c r="C279" s="160" t="s">
        <v>9319</v>
      </c>
      <c r="D279" s="150" t="s">
        <v>4876</v>
      </c>
      <c r="E279" s="150" t="s">
        <v>9228</v>
      </c>
      <c r="F279" s="151">
        <v>3</v>
      </c>
      <c r="G279" s="149">
        <v>34</v>
      </c>
      <c r="H279" s="150"/>
      <c r="I279" s="162"/>
      <c r="J279" s="150">
        <v>1</v>
      </c>
      <c r="K279" s="150" t="b">
        <v>1</v>
      </c>
      <c r="L279" s="150">
        <v>1050</v>
      </c>
      <c r="M279" s="150" t="s">
        <v>3383</v>
      </c>
      <c r="N279" s="150"/>
      <c r="O279" s="150" t="s">
        <v>4880</v>
      </c>
      <c r="P279" s="150">
        <v>0</v>
      </c>
      <c r="Q279" s="150" t="s">
        <v>4881</v>
      </c>
      <c r="R279" s="188" t="s">
        <v>5884</v>
      </c>
      <c r="S279" s="150" t="s">
        <v>5885</v>
      </c>
      <c r="T279" s="164" t="s">
        <v>3993</v>
      </c>
      <c r="U279" s="164"/>
    </row>
    <row r="280" spans="1:21" x14ac:dyDescent="0.15">
      <c r="A280" s="149">
        <v>95804023</v>
      </c>
      <c r="B280" s="150" t="s">
        <v>4986</v>
      </c>
      <c r="C280" s="160" t="s">
        <v>9320</v>
      </c>
      <c r="D280" s="150" t="s">
        <v>4876</v>
      </c>
      <c r="E280" s="150" t="s">
        <v>9228</v>
      </c>
      <c r="F280" s="151">
        <v>4</v>
      </c>
      <c r="G280" s="149">
        <v>34</v>
      </c>
      <c r="H280" s="150"/>
      <c r="I280" s="162"/>
      <c r="J280" s="150">
        <v>1</v>
      </c>
      <c r="K280" s="150" t="b">
        <v>1</v>
      </c>
      <c r="L280" s="150">
        <v>1400</v>
      </c>
      <c r="M280" s="150" t="s">
        <v>9096</v>
      </c>
      <c r="N280" s="150"/>
      <c r="O280" s="150" t="s">
        <v>4880</v>
      </c>
      <c r="P280" s="150">
        <v>0</v>
      </c>
      <c r="Q280" s="150" t="s">
        <v>4881</v>
      </c>
      <c r="R280" s="188" t="s">
        <v>5888</v>
      </c>
      <c r="S280" s="150" t="s">
        <v>5889</v>
      </c>
      <c r="T280" s="164" t="s">
        <v>3993</v>
      </c>
      <c r="U280" s="164"/>
    </row>
    <row r="281" spans="1:21" x14ac:dyDescent="0.15">
      <c r="A281" s="149">
        <v>95804024</v>
      </c>
      <c r="B281" s="150" t="s">
        <v>4986</v>
      </c>
      <c r="C281" s="160" t="s">
        <v>9321</v>
      </c>
      <c r="D281" s="150" t="s">
        <v>4876</v>
      </c>
      <c r="E281" s="150" t="s">
        <v>9228</v>
      </c>
      <c r="F281" s="151">
        <v>5</v>
      </c>
      <c r="G281" s="149">
        <v>34</v>
      </c>
      <c r="H281" s="150"/>
      <c r="I281" s="162"/>
      <c r="J281" s="150">
        <v>1</v>
      </c>
      <c r="K281" s="150" t="b">
        <v>1</v>
      </c>
      <c r="L281" s="150">
        <v>1750</v>
      </c>
      <c r="M281" s="150" t="s">
        <v>3383</v>
      </c>
      <c r="N281" s="150"/>
      <c r="O281" s="150" t="s">
        <v>4880</v>
      </c>
      <c r="P281" s="150">
        <v>0</v>
      </c>
      <c r="Q281" s="150" t="s">
        <v>4881</v>
      </c>
      <c r="R281" s="188" t="s">
        <v>9322</v>
      </c>
      <c r="S281" s="150" t="s">
        <v>5893</v>
      </c>
      <c r="T281" s="164" t="s">
        <v>3993</v>
      </c>
      <c r="U281" s="164"/>
    </row>
    <row r="282" spans="1:21" x14ac:dyDescent="0.15">
      <c r="A282" s="149">
        <v>95803011</v>
      </c>
      <c r="B282" s="150" t="s">
        <v>4964</v>
      </c>
      <c r="C282" s="160" t="s">
        <v>9323</v>
      </c>
      <c r="D282" s="150" t="s">
        <v>4876</v>
      </c>
      <c r="E282" s="150" t="s">
        <v>9228</v>
      </c>
      <c r="F282" s="151">
        <v>2</v>
      </c>
      <c r="G282" s="149">
        <v>34</v>
      </c>
      <c r="H282" s="150"/>
      <c r="I282" s="162"/>
      <c r="J282" s="150">
        <v>1</v>
      </c>
      <c r="K282" s="150" t="b">
        <v>1</v>
      </c>
      <c r="L282" s="150">
        <v>700</v>
      </c>
      <c r="M282" s="150" t="s">
        <v>9096</v>
      </c>
      <c r="N282" s="150"/>
      <c r="O282" s="150" t="s">
        <v>4880</v>
      </c>
      <c r="P282" s="150">
        <v>0</v>
      </c>
      <c r="Q282" s="150" t="s">
        <v>4881</v>
      </c>
      <c r="R282" s="109" t="s">
        <v>9324</v>
      </c>
      <c r="S282" s="150" t="s">
        <v>5897</v>
      </c>
      <c r="T282" s="164" t="s">
        <v>3993</v>
      </c>
      <c r="U282" s="164"/>
    </row>
    <row r="283" spans="1:21" s="145" customFormat="1" x14ac:dyDescent="0.15">
      <c r="A283" s="154">
        <v>95803012</v>
      </c>
      <c r="B283" s="155" t="s">
        <v>5898</v>
      </c>
      <c r="C283" s="159" t="s">
        <v>4964</v>
      </c>
      <c r="D283" s="155" t="s">
        <v>4876</v>
      </c>
      <c r="E283" s="155" t="s">
        <v>5672</v>
      </c>
      <c r="F283" s="156">
        <v>3</v>
      </c>
      <c r="G283" s="154">
        <v>34</v>
      </c>
      <c r="H283" s="155" t="s">
        <v>5899</v>
      </c>
      <c r="I283" s="163"/>
      <c r="J283" s="155">
        <v>1</v>
      </c>
      <c r="K283" s="155" t="b">
        <v>1</v>
      </c>
      <c r="L283" s="155">
        <v>1050</v>
      </c>
      <c r="M283" s="155" t="s">
        <v>3383</v>
      </c>
      <c r="N283" s="155"/>
      <c r="O283" s="155" t="s">
        <v>4880</v>
      </c>
      <c r="P283" s="155">
        <v>0</v>
      </c>
      <c r="Q283" s="155" t="s">
        <v>4881</v>
      </c>
      <c r="R283" s="88" t="s">
        <v>9325</v>
      </c>
      <c r="S283" s="155" t="s">
        <v>5901</v>
      </c>
      <c r="T283" s="155" t="s">
        <v>3993</v>
      </c>
      <c r="U283" s="155"/>
    </row>
    <row r="284" spans="1:21" s="145" customFormat="1" x14ac:dyDescent="0.15">
      <c r="A284" s="154">
        <v>95803013</v>
      </c>
      <c r="B284" s="155" t="s">
        <v>5902</v>
      </c>
      <c r="C284" s="159" t="s">
        <v>4964</v>
      </c>
      <c r="D284" s="155" t="s">
        <v>4876</v>
      </c>
      <c r="E284" s="155" t="s">
        <v>5672</v>
      </c>
      <c r="F284" s="156">
        <v>4</v>
      </c>
      <c r="G284" s="154">
        <v>34</v>
      </c>
      <c r="H284" s="155" t="s">
        <v>5903</v>
      </c>
      <c r="I284" s="163"/>
      <c r="J284" s="155">
        <v>1</v>
      </c>
      <c r="K284" s="155" t="b">
        <v>1</v>
      </c>
      <c r="L284" s="155">
        <v>1400</v>
      </c>
      <c r="M284" s="155" t="s">
        <v>9096</v>
      </c>
      <c r="N284" s="155"/>
      <c r="O284" s="155" t="s">
        <v>4880</v>
      </c>
      <c r="P284" s="155">
        <v>0</v>
      </c>
      <c r="Q284" s="155" t="s">
        <v>4881</v>
      </c>
      <c r="R284" s="88" t="s">
        <v>5904</v>
      </c>
      <c r="S284" s="155" t="s">
        <v>5905</v>
      </c>
      <c r="T284" s="155" t="s">
        <v>3993</v>
      </c>
      <c r="U284" s="155"/>
    </row>
    <row r="285" spans="1:21" ht="27" x14ac:dyDescent="0.15">
      <c r="A285" s="149">
        <v>95803014</v>
      </c>
      <c r="B285" s="150" t="s">
        <v>4964</v>
      </c>
      <c r="C285" s="160" t="s">
        <v>9326</v>
      </c>
      <c r="D285" s="150" t="s">
        <v>4876</v>
      </c>
      <c r="E285" s="150" t="s">
        <v>9228</v>
      </c>
      <c r="F285" s="151">
        <v>5</v>
      </c>
      <c r="G285" s="149">
        <v>34</v>
      </c>
      <c r="H285" s="150"/>
      <c r="I285" s="162"/>
      <c r="J285" s="150">
        <v>1</v>
      </c>
      <c r="K285" s="150" t="b">
        <v>1</v>
      </c>
      <c r="L285" s="150">
        <v>1750</v>
      </c>
      <c r="M285" s="150" t="s">
        <v>3383</v>
      </c>
      <c r="N285" s="150"/>
      <c r="O285" s="150" t="s">
        <v>4880</v>
      </c>
      <c r="P285" s="150">
        <v>0</v>
      </c>
      <c r="Q285" s="150" t="s">
        <v>4881</v>
      </c>
      <c r="R285" s="109" t="s">
        <v>9327</v>
      </c>
      <c r="S285" s="150" t="s">
        <v>5909</v>
      </c>
      <c r="T285" s="164" t="s">
        <v>3993</v>
      </c>
      <c r="U285" s="164"/>
    </row>
    <row r="286" spans="1:21" x14ac:dyDescent="0.15">
      <c r="A286" s="149">
        <v>95803015</v>
      </c>
      <c r="B286" s="150" t="s">
        <v>4964</v>
      </c>
      <c r="C286" s="160" t="s">
        <v>9328</v>
      </c>
      <c r="D286" s="150" t="s">
        <v>4876</v>
      </c>
      <c r="E286" s="150" t="s">
        <v>9228</v>
      </c>
      <c r="F286" s="151">
        <v>5</v>
      </c>
      <c r="G286" s="149">
        <v>34</v>
      </c>
      <c r="H286" s="150"/>
      <c r="I286" s="162"/>
      <c r="J286" s="150">
        <v>1</v>
      </c>
      <c r="K286" s="150" t="b">
        <v>1</v>
      </c>
      <c r="L286" s="150">
        <v>1750</v>
      </c>
      <c r="M286" s="150" t="s">
        <v>9096</v>
      </c>
      <c r="N286" s="150"/>
      <c r="O286" s="150" t="s">
        <v>4880</v>
      </c>
      <c r="P286" s="150">
        <v>0</v>
      </c>
      <c r="Q286" s="150" t="s">
        <v>4881</v>
      </c>
      <c r="R286" s="109" t="s">
        <v>9329</v>
      </c>
      <c r="S286" s="150" t="s">
        <v>5913</v>
      </c>
      <c r="T286" s="164" t="s">
        <v>3993</v>
      </c>
      <c r="U286" s="164"/>
    </row>
    <row r="287" spans="1:21" x14ac:dyDescent="0.15">
      <c r="A287" s="149">
        <v>95804031</v>
      </c>
      <c r="B287" s="150" t="s">
        <v>4994</v>
      </c>
      <c r="C287" s="165" t="s">
        <v>9330</v>
      </c>
      <c r="D287" s="150" t="s">
        <v>4876</v>
      </c>
      <c r="E287" s="150" t="s">
        <v>9228</v>
      </c>
      <c r="F287" s="151">
        <v>2</v>
      </c>
      <c r="G287" s="149">
        <v>34</v>
      </c>
      <c r="H287" s="150"/>
      <c r="I287" s="162"/>
      <c r="J287" s="150">
        <v>1</v>
      </c>
      <c r="K287" s="150" t="b">
        <v>1</v>
      </c>
      <c r="L287" s="150">
        <v>700</v>
      </c>
      <c r="M287" s="150" t="s">
        <v>3383</v>
      </c>
      <c r="N287" s="150"/>
      <c r="O287" s="150" t="s">
        <v>4880</v>
      </c>
      <c r="P287" s="150">
        <v>0</v>
      </c>
      <c r="Q287" s="150" t="s">
        <v>4881</v>
      </c>
      <c r="R287" s="188" t="s">
        <v>9331</v>
      </c>
      <c r="S287" s="150" t="s">
        <v>5917</v>
      </c>
      <c r="T287" s="164" t="s">
        <v>3993</v>
      </c>
      <c r="U287" s="164"/>
    </row>
    <row r="288" spans="1:21" x14ac:dyDescent="0.15">
      <c r="A288" s="149">
        <v>95804032</v>
      </c>
      <c r="B288" s="150" t="s">
        <v>4994</v>
      </c>
      <c r="C288" s="165" t="s">
        <v>9332</v>
      </c>
      <c r="D288" s="150" t="s">
        <v>4876</v>
      </c>
      <c r="E288" s="150" t="s">
        <v>9228</v>
      </c>
      <c r="F288" s="151">
        <v>3</v>
      </c>
      <c r="G288" s="149">
        <v>34</v>
      </c>
      <c r="H288" s="150"/>
      <c r="I288" s="162"/>
      <c r="J288" s="150">
        <v>1</v>
      </c>
      <c r="K288" s="150" t="b">
        <v>1</v>
      </c>
      <c r="L288" s="150">
        <v>1050</v>
      </c>
      <c r="M288" s="150" t="s">
        <v>9096</v>
      </c>
      <c r="N288" s="150"/>
      <c r="O288" s="150" t="s">
        <v>4880</v>
      </c>
      <c r="P288" s="150">
        <v>0</v>
      </c>
      <c r="Q288" s="150" t="s">
        <v>4881</v>
      </c>
      <c r="R288" s="188" t="s">
        <v>9333</v>
      </c>
      <c r="S288" s="150" t="s">
        <v>5921</v>
      </c>
      <c r="T288" s="164" t="s">
        <v>3993</v>
      </c>
      <c r="U288" s="164"/>
    </row>
    <row r="289" spans="1:21" x14ac:dyDescent="0.15">
      <c r="A289" s="149">
        <v>95804033</v>
      </c>
      <c r="B289" s="150" t="s">
        <v>4994</v>
      </c>
      <c r="C289" s="165" t="s">
        <v>9334</v>
      </c>
      <c r="D289" s="150" t="s">
        <v>4876</v>
      </c>
      <c r="E289" s="150" t="s">
        <v>9228</v>
      </c>
      <c r="F289" s="151">
        <v>4</v>
      </c>
      <c r="G289" s="149">
        <v>34</v>
      </c>
      <c r="H289" s="150"/>
      <c r="I289" s="162"/>
      <c r="J289" s="150">
        <v>1</v>
      </c>
      <c r="K289" s="150" t="b">
        <v>1</v>
      </c>
      <c r="L289" s="150">
        <v>1400</v>
      </c>
      <c r="M289" s="150" t="s">
        <v>3383</v>
      </c>
      <c r="N289" s="150"/>
      <c r="O289" s="150" t="s">
        <v>4880</v>
      </c>
      <c r="P289" s="150">
        <v>0</v>
      </c>
      <c r="Q289" s="150" t="s">
        <v>4881</v>
      </c>
      <c r="R289" s="188" t="s">
        <v>9335</v>
      </c>
      <c r="S289" s="150" t="s">
        <v>5925</v>
      </c>
      <c r="T289" s="164" t="s">
        <v>3993</v>
      </c>
      <c r="U289" s="164"/>
    </row>
    <row r="290" spans="1:21" x14ac:dyDescent="0.15">
      <c r="A290" s="149">
        <v>95804034</v>
      </c>
      <c r="B290" s="150" t="s">
        <v>4994</v>
      </c>
      <c r="C290" s="165" t="s">
        <v>9336</v>
      </c>
      <c r="D290" s="150" t="s">
        <v>4876</v>
      </c>
      <c r="E290" s="150" t="s">
        <v>9228</v>
      </c>
      <c r="F290" s="151">
        <v>5</v>
      </c>
      <c r="G290" s="149">
        <v>34</v>
      </c>
      <c r="H290" s="150"/>
      <c r="I290" s="162"/>
      <c r="J290" s="150">
        <v>1</v>
      </c>
      <c r="K290" s="150" t="b">
        <v>1</v>
      </c>
      <c r="L290" s="150">
        <v>1750</v>
      </c>
      <c r="M290" s="150" t="s">
        <v>9096</v>
      </c>
      <c r="N290" s="150"/>
      <c r="O290" s="150" t="s">
        <v>4880</v>
      </c>
      <c r="P290" s="150">
        <v>0</v>
      </c>
      <c r="Q290" s="150" t="s">
        <v>4881</v>
      </c>
      <c r="R290" s="188" t="s">
        <v>9337</v>
      </c>
      <c r="S290" s="150" t="s">
        <v>5929</v>
      </c>
      <c r="T290" s="164" t="s">
        <v>3993</v>
      </c>
      <c r="U290" s="164"/>
    </row>
    <row r="291" spans="1:21" x14ac:dyDescent="0.15">
      <c r="A291" s="149">
        <v>95804035</v>
      </c>
      <c r="B291" s="150" t="s">
        <v>4994</v>
      </c>
      <c r="C291" s="165" t="s">
        <v>9338</v>
      </c>
      <c r="D291" s="150" t="s">
        <v>4876</v>
      </c>
      <c r="E291" s="150" t="s">
        <v>9228</v>
      </c>
      <c r="F291" s="151">
        <v>5</v>
      </c>
      <c r="G291" s="149">
        <v>34</v>
      </c>
      <c r="H291" s="150"/>
      <c r="I291" s="162"/>
      <c r="J291" s="150">
        <v>1</v>
      </c>
      <c r="K291" s="150" t="b">
        <v>1</v>
      </c>
      <c r="L291" s="150">
        <v>1750</v>
      </c>
      <c r="M291" s="150" t="s">
        <v>3383</v>
      </c>
      <c r="N291" s="150"/>
      <c r="O291" s="150" t="s">
        <v>4880</v>
      </c>
      <c r="P291" s="150">
        <v>0</v>
      </c>
      <c r="Q291" s="150" t="s">
        <v>4881</v>
      </c>
      <c r="R291" s="188" t="s">
        <v>9339</v>
      </c>
      <c r="S291" s="150" t="s">
        <v>5933</v>
      </c>
      <c r="T291" s="164" t="s">
        <v>3993</v>
      </c>
      <c r="U291" s="164"/>
    </row>
    <row r="292" spans="1:21" x14ac:dyDescent="0.15">
      <c r="A292" s="149">
        <v>95804036</v>
      </c>
      <c r="B292" s="150" t="s">
        <v>4994</v>
      </c>
      <c r="C292" s="165" t="s">
        <v>9340</v>
      </c>
      <c r="D292" s="150" t="s">
        <v>4876</v>
      </c>
      <c r="E292" s="150" t="s">
        <v>9228</v>
      </c>
      <c r="F292" s="151">
        <v>5</v>
      </c>
      <c r="G292" s="149">
        <v>34</v>
      </c>
      <c r="H292" s="150"/>
      <c r="I292" s="162"/>
      <c r="J292" s="150">
        <v>1</v>
      </c>
      <c r="K292" s="150" t="b">
        <v>1</v>
      </c>
      <c r="L292" s="150">
        <v>1750</v>
      </c>
      <c r="M292" s="150" t="s">
        <v>9096</v>
      </c>
      <c r="N292" s="150"/>
      <c r="O292" s="150" t="s">
        <v>4880</v>
      </c>
      <c r="P292" s="150">
        <v>0</v>
      </c>
      <c r="Q292" s="150" t="s">
        <v>4881</v>
      </c>
      <c r="R292" s="188" t="s">
        <v>9341</v>
      </c>
      <c r="S292" s="150" t="s">
        <v>9342</v>
      </c>
      <c r="T292" s="164" t="s">
        <v>3993</v>
      </c>
      <c r="U292" s="164"/>
    </row>
    <row r="293" spans="1:21" x14ac:dyDescent="0.15">
      <c r="A293" s="149">
        <v>95809011</v>
      </c>
      <c r="B293" s="150" t="s">
        <v>5043</v>
      </c>
      <c r="C293" s="160" t="s">
        <v>9343</v>
      </c>
      <c r="D293" s="150" t="s">
        <v>4876</v>
      </c>
      <c r="E293" s="150" t="s">
        <v>9228</v>
      </c>
      <c r="F293" s="151">
        <v>2</v>
      </c>
      <c r="G293" s="149">
        <v>34</v>
      </c>
      <c r="H293" s="150"/>
      <c r="I293" s="162"/>
      <c r="J293" s="150">
        <v>1</v>
      </c>
      <c r="K293" s="150" t="b">
        <v>1</v>
      </c>
      <c r="L293" s="150">
        <v>700</v>
      </c>
      <c r="M293" s="150" t="s">
        <v>3383</v>
      </c>
      <c r="N293" s="150"/>
      <c r="O293" s="150" t="s">
        <v>4880</v>
      </c>
      <c r="P293" s="150">
        <v>0</v>
      </c>
      <c r="Q293" s="150" t="s">
        <v>4881</v>
      </c>
      <c r="R293" s="189" t="s">
        <v>9344</v>
      </c>
      <c r="S293" s="150" t="s">
        <v>5941</v>
      </c>
      <c r="T293" s="164" t="s">
        <v>3993</v>
      </c>
      <c r="U293" s="164"/>
    </row>
    <row r="294" spans="1:21" x14ac:dyDescent="0.15">
      <c r="A294" s="149">
        <v>95809012</v>
      </c>
      <c r="B294" s="150" t="s">
        <v>5043</v>
      </c>
      <c r="C294" s="160" t="s">
        <v>9345</v>
      </c>
      <c r="D294" s="150" t="s">
        <v>4876</v>
      </c>
      <c r="E294" s="150" t="s">
        <v>9228</v>
      </c>
      <c r="F294" s="151">
        <v>3</v>
      </c>
      <c r="G294" s="149">
        <v>34</v>
      </c>
      <c r="H294" s="150"/>
      <c r="I294" s="162"/>
      <c r="J294" s="150">
        <v>1</v>
      </c>
      <c r="K294" s="150" t="b">
        <v>1</v>
      </c>
      <c r="L294" s="150">
        <v>1050</v>
      </c>
      <c r="M294" s="150" t="s">
        <v>9096</v>
      </c>
      <c r="N294" s="150"/>
      <c r="O294" s="150" t="s">
        <v>4880</v>
      </c>
      <c r="P294" s="150">
        <v>0</v>
      </c>
      <c r="Q294" s="150" t="s">
        <v>4881</v>
      </c>
      <c r="R294" s="182" t="s">
        <v>9346</v>
      </c>
      <c r="S294" s="150" t="s">
        <v>5945</v>
      </c>
      <c r="T294" s="164" t="s">
        <v>3993</v>
      </c>
      <c r="U294" s="164"/>
    </row>
    <row r="295" spans="1:21" x14ac:dyDescent="0.15">
      <c r="A295" s="149">
        <v>95809013</v>
      </c>
      <c r="B295" s="150" t="s">
        <v>5043</v>
      </c>
      <c r="C295" s="160" t="s">
        <v>9347</v>
      </c>
      <c r="D295" s="150" t="s">
        <v>4876</v>
      </c>
      <c r="E295" s="150" t="s">
        <v>9228</v>
      </c>
      <c r="F295" s="151">
        <v>4</v>
      </c>
      <c r="G295" s="149">
        <v>34</v>
      </c>
      <c r="H295" s="150"/>
      <c r="I295" s="162"/>
      <c r="J295" s="150">
        <v>1</v>
      </c>
      <c r="K295" s="150" t="b">
        <v>1</v>
      </c>
      <c r="L295" s="150">
        <v>1400</v>
      </c>
      <c r="M295" s="150" t="s">
        <v>3383</v>
      </c>
      <c r="N295" s="150"/>
      <c r="O295" s="150" t="s">
        <v>4880</v>
      </c>
      <c r="P295" s="150">
        <v>0</v>
      </c>
      <c r="Q295" s="150" t="s">
        <v>4881</v>
      </c>
      <c r="R295" s="189" t="s">
        <v>9348</v>
      </c>
      <c r="S295" s="150" t="s">
        <v>5949</v>
      </c>
      <c r="T295" s="164" t="s">
        <v>3993</v>
      </c>
      <c r="U295" s="164"/>
    </row>
    <row r="296" spans="1:21" x14ac:dyDescent="0.15">
      <c r="A296" s="149">
        <v>95809014</v>
      </c>
      <c r="B296" s="150" t="s">
        <v>5043</v>
      </c>
      <c r="C296" s="160" t="s">
        <v>9349</v>
      </c>
      <c r="D296" s="150" t="s">
        <v>4876</v>
      </c>
      <c r="E296" s="150" t="s">
        <v>9228</v>
      </c>
      <c r="F296" s="151">
        <v>5</v>
      </c>
      <c r="G296" s="149">
        <v>34</v>
      </c>
      <c r="H296" s="150"/>
      <c r="I296" s="162"/>
      <c r="J296" s="150">
        <v>1</v>
      </c>
      <c r="K296" s="150" t="b">
        <v>1</v>
      </c>
      <c r="L296" s="150">
        <v>1750</v>
      </c>
      <c r="M296" s="150" t="s">
        <v>9096</v>
      </c>
      <c r="N296" s="150"/>
      <c r="O296" s="150" t="s">
        <v>4880</v>
      </c>
      <c r="P296" s="150">
        <v>0</v>
      </c>
      <c r="Q296" s="150" t="s">
        <v>4881</v>
      </c>
      <c r="R296" s="182" t="s">
        <v>9350</v>
      </c>
      <c r="S296" s="150" t="s">
        <v>5953</v>
      </c>
      <c r="T296" s="164" t="s">
        <v>3993</v>
      </c>
      <c r="U296" s="164"/>
    </row>
    <row r="297" spans="1:21" x14ac:dyDescent="0.15">
      <c r="A297" s="149">
        <v>95809015</v>
      </c>
      <c r="B297" s="150" t="s">
        <v>5043</v>
      </c>
      <c r="C297" s="160" t="s">
        <v>9351</v>
      </c>
      <c r="D297" s="150" t="s">
        <v>4876</v>
      </c>
      <c r="E297" s="150" t="s">
        <v>9228</v>
      </c>
      <c r="F297" s="151">
        <v>5</v>
      </c>
      <c r="G297" s="149">
        <v>34</v>
      </c>
      <c r="H297" s="150"/>
      <c r="I297" s="162"/>
      <c r="J297" s="150">
        <v>1</v>
      </c>
      <c r="K297" s="150" t="b">
        <v>1</v>
      </c>
      <c r="L297" s="150">
        <v>1750</v>
      </c>
      <c r="M297" s="150" t="s">
        <v>3383</v>
      </c>
      <c r="N297" s="150"/>
      <c r="O297" s="150" t="s">
        <v>4880</v>
      </c>
      <c r="P297" s="150">
        <v>0</v>
      </c>
      <c r="Q297" s="150" t="s">
        <v>4881</v>
      </c>
      <c r="R297" s="182" t="s">
        <v>9352</v>
      </c>
      <c r="S297" s="150" t="s">
        <v>5957</v>
      </c>
      <c r="T297" s="164" t="s">
        <v>3993</v>
      </c>
      <c r="U297" s="164"/>
    </row>
    <row r="298" spans="1:21" s="145" customFormat="1" x14ac:dyDescent="0.15">
      <c r="A298" s="166">
        <v>95401011</v>
      </c>
      <c r="B298" s="43" t="s">
        <v>9353</v>
      </c>
      <c r="C298" s="175" t="s">
        <v>9354</v>
      </c>
      <c r="D298" s="155" t="s">
        <v>4876</v>
      </c>
      <c r="E298" s="155" t="s">
        <v>9355</v>
      </c>
      <c r="F298" s="156">
        <v>2</v>
      </c>
      <c r="G298" s="154">
        <v>34</v>
      </c>
      <c r="H298" s="186" t="s">
        <v>9356</v>
      </c>
      <c r="I298" s="186">
        <v>100101</v>
      </c>
      <c r="J298" s="155">
        <v>1</v>
      </c>
      <c r="K298" s="155" t="b">
        <v>1</v>
      </c>
      <c r="L298" s="155">
        <v>700</v>
      </c>
      <c r="M298" s="155" t="s">
        <v>3383</v>
      </c>
      <c r="N298" s="155"/>
      <c r="O298" s="155" t="s">
        <v>4880</v>
      </c>
      <c r="P298" s="155">
        <v>0</v>
      </c>
      <c r="Q298" s="155" t="s">
        <v>4881</v>
      </c>
      <c r="R298" s="175" t="s">
        <v>9357</v>
      </c>
      <c r="S298" s="175" t="s">
        <v>9358</v>
      </c>
      <c r="T298" s="155" t="s">
        <v>8021</v>
      </c>
      <c r="U298" s="155"/>
    </row>
    <row r="299" spans="1:21" s="145" customFormat="1" x14ac:dyDescent="0.15">
      <c r="A299" s="166">
        <v>95401012</v>
      </c>
      <c r="B299" s="43" t="s">
        <v>9353</v>
      </c>
      <c r="C299" s="175" t="s">
        <v>9359</v>
      </c>
      <c r="D299" s="155" t="s">
        <v>4876</v>
      </c>
      <c r="E299" s="155" t="s">
        <v>9355</v>
      </c>
      <c r="F299" s="156">
        <v>2</v>
      </c>
      <c r="G299" s="154">
        <v>34</v>
      </c>
      <c r="H299" s="186" t="s">
        <v>9356</v>
      </c>
      <c r="I299" s="186">
        <v>100102</v>
      </c>
      <c r="J299" s="155">
        <v>1</v>
      </c>
      <c r="K299" s="155" t="b">
        <v>1</v>
      </c>
      <c r="L299" s="155">
        <v>700</v>
      </c>
      <c r="M299" s="155" t="s">
        <v>3383</v>
      </c>
      <c r="N299" s="155"/>
      <c r="O299" s="155" t="s">
        <v>4880</v>
      </c>
      <c r="P299" s="155">
        <v>0</v>
      </c>
      <c r="Q299" s="155" t="s">
        <v>4881</v>
      </c>
      <c r="R299" s="175" t="s">
        <v>9360</v>
      </c>
      <c r="S299" s="175" t="s">
        <v>9361</v>
      </c>
      <c r="T299" s="155" t="s">
        <v>8021</v>
      </c>
      <c r="U299" s="155"/>
    </row>
    <row r="300" spans="1:21" s="145" customFormat="1" x14ac:dyDescent="0.15">
      <c r="A300" s="166">
        <v>95401013</v>
      </c>
      <c r="B300" s="43" t="s">
        <v>9353</v>
      </c>
      <c r="C300" s="187" t="s">
        <v>9362</v>
      </c>
      <c r="D300" s="155" t="s">
        <v>4876</v>
      </c>
      <c r="E300" s="155" t="s">
        <v>9355</v>
      </c>
      <c r="F300" s="156">
        <v>3</v>
      </c>
      <c r="G300" s="154">
        <v>34</v>
      </c>
      <c r="H300" s="186" t="s">
        <v>9356</v>
      </c>
      <c r="I300" s="186">
        <v>100103</v>
      </c>
      <c r="J300" s="155">
        <v>1</v>
      </c>
      <c r="K300" s="155" t="b">
        <v>1</v>
      </c>
      <c r="L300" s="155">
        <v>1050</v>
      </c>
      <c r="M300" s="155" t="s">
        <v>3383</v>
      </c>
      <c r="N300" s="155"/>
      <c r="O300" s="155" t="s">
        <v>4880</v>
      </c>
      <c r="P300" s="155">
        <v>0</v>
      </c>
      <c r="Q300" s="155" t="s">
        <v>4881</v>
      </c>
      <c r="R300" s="187" t="s">
        <v>9363</v>
      </c>
      <c r="S300" s="187" t="s">
        <v>9364</v>
      </c>
      <c r="T300" s="155" t="s">
        <v>8021</v>
      </c>
      <c r="U300" s="155"/>
    </row>
    <row r="301" spans="1:21" s="145" customFormat="1" x14ac:dyDescent="0.15">
      <c r="A301" s="166">
        <v>95401021</v>
      </c>
      <c r="B301" s="43" t="s">
        <v>9365</v>
      </c>
      <c r="C301" s="187" t="s">
        <v>9366</v>
      </c>
      <c r="D301" s="155" t="s">
        <v>4876</v>
      </c>
      <c r="E301" s="155" t="s">
        <v>9355</v>
      </c>
      <c r="F301" s="156">
        <v>3</v>
      </c>
      <c r="G301" s="154">
        <v>34</v>
      </c>
      <c r="H301" s="186" t="s">
        <v>9367</v>
      </c>
      <c r="I301" s="186">
        <v>100201</v>
      </c>
      <c r="J301" s="155">
        <v>1</v>
      </c>
      <c r="K301" s="155" t="b">
        <v>1</v>
      </c>
      <c r="L301" s="155">
        <v>1050</v>
      </c>
      <c r="M301" s="155" t="s">
        <v>3383</v>
      </c>
      <c r="N301" s="155"/>
      <c r="O301" s="155" t="s">
        <v>4880</v>
      </c>
      <c r="P301" s="155">
        <v>0</v>
      </c>
      <c r="Q301" s="155" t="s">
        <v>4881</v>
      </c>
      <c r="R301" s="187" t="s">
        <v>9368</v>
      </c>
      <c r="S301" s="187" t="s">
        <v>9369</v>
      </c>
      <c r="T301" s="155" t="s">
        <v>8021</v>
      </c>
      <c r="U301" s="155"/>
    </row>
    <row r="302" spans="1:21" s="145" customFormat="1" x14ac:dyDescent="0.15">
      <c r="A302" s="166">
        <v>95401022</v>
      </c>
      <c r="B302" s="43" t="s">
        <v>9365</v>
      </c>
      <c r="C302" s="187" t="s">
        <v>9370</v>
      </c>
      <c r="D302" s="155" t="s">
        <v>4876</v>
      </c>
      <c r="E302" s="155" t="s">
        <v>9355</v>
      </c>
      <c r="F302" s="156">
        <v>4</v>
      </c>
      <c r="G302" s="154">
        <v>34</v>
      </c>
      <c r="H302" s="186" t="s">
        <v>9367</v>
      </c>
      <c r="I302" s="186">
        <v>100202</v>
      </c>
      <c r="J302" s="155">
        <v>1</v>
      </c>
      <c r="K302" s="155" t="b">
        <v>1</v>
      </c>
      <c r="L302" s="155">
        <v>1400</v>
      </c>
      <c r="M302" s="155" t="s">
        <v>3383</v>
      </c>
      <c r="N302" s="155"/>
      <c r="O302" s="155" t="s">
        <v>4880</v>
      </c>
      <c r="P302" s="155">
        <v>0</v>
      </c>
      <c r="Q302" s="155" t="s">
        <v>4881</v>
      </c>
      <c r="R302" s="187" t="s">
        <v>9371</v>
      </c>
      <c r="S302" s="187" t="s">
        <v>9372</v>
      </c>
      <c r="T302" s="155" t="s">
        <v>8021</v>
      </c>
      <c r="U302" s="155"/>
    </row>
    <row r="303" spans="1:21" s="145" customFormat="1" x14ac:dyDescent="0.15">
      <c r="A303" s="166">
        <v>95401031</v>
      </c>
      <c r="B303" s="43" t="s">
        <v>9373</v>
      </c>
      <c r="C303" s="187" t="s">
        <v>9374</v>
      </c>
      <c r="D303" s="155" t="s">
        <v>4876</v>
      </c>
      <c r="E303" s="155" t="s">
        <v>9355</v>
      </c>
      <c r="F303" s="156">
        <v>4</v>
      </c>
      <c r="G303" s="154">
        <v>34</v>
      </c>
      <c r="H303" s="186" t="s">
        <v>9375</v>
      </c>
      <c r="I303" s="186">
        <v>100301</v>
      </c>
      <c r="J303" s="155">
        <v>1</v>
      </c>
      <c r="K303" s="155" t="b">
        <v>1</v>
      </c>
      <c r="L303" s="155">
        <v>1400</v>
      </c>
      <c r="M303" s="155" t="s">
        <v>3383</v>
      </c>
      <c r="N303" s="155"/>
      <c r="O303" s="155" t="s">
        <v>4880</v>
      </c>
      <c r="P303" s="155">
        <v>0</v>
      </c>
      <c r="Q303" s="155" t="s">
        <v>4881</v>
      </c>
      <c r="R303" s="187" t="s">
        <v>9376</v>
      </c>
      <c r="S303" s="187" t="s">
        <v>9377</v>
      </c>
      <c r="T303" s="155" t="s">
        <v>8021</v>
      </c>
      <c r="U303" s="155"/>
    </row>
    <row r="304" spans="1:21" s="145" customFormat="1" x14ac:dyDescent="0.15">
      <c r="A304" s="166">
        <v>95401041</v>
      </c>
      <c r="B304" s="43" t="s">
        <v>9378</v>
      </c>
      <c r="C304" s="187" t="s">
        <v>9379</v>
      </c>
      <c r="D304" s="155" t="s">
        <v>4876</v>
      </c>
      <c r="E304" s="155" t="s">
        <v>9355</v>
      </c>
      <c r="F304" s="156">
        <v>3</v>
      </c>
      <c r="G304" s="154">
        <v>34</v>
      </c>
      <c r="H304" s="186" t="s">
        <v>9380</v>
      </c>
      <c r="I304" s="186">
        <v>100401</v>
      </c>
      <c r="J304" s="155">
        <v>1</v>
      </c>
      <c r="K304" s="155" t="b">
        <v>1</v>
      </c>
      <c r="L304" s="155">
        <v>1050</v>
      </c>
      <c r="M304" s="155" t="s">
        <v>3383</v>
      </c>
      <c r="N304" s="155"/>
      <c r="O304" s="155" t="s">
        <v>4880</v>
      </c>
      <c r="P304" s="155">
        <v>0</v>
      </c>
      <c r="Q304" s="155" t="s">
        <v>4881</v>
      </c>
      <c r="R304" s="187" t="s">
        <v>9381</v>
      </c>
      <c r="S304" s="187" t="s">
        <v>9382</v>
      </c>
      <c r="T304" s="155" t="s">
        <v>8021</v>
      </c>
      <c r="U304" s="155"/>
    </row>
    <row r="305" spans="1:21" s="145" customFormat="1" x14ac:dyDescent="0.15">
      <c r="A305" s="166">
        <v>95401042</v>
      </c>
      <c r="B305" s="43" t="s">
        <v>9378</v>
      </c>
      <c r="C305" s="175" t="s">
        <v>9383</v>
      </c>
      <c r="D305" s="155" t="s">
        <v>4876</v>
      </c>
      <c r="E305" s="155" t="s">
        <v>9355</v>
      </c>
      <c r="F305" s="156">
        <v>4</v>
      </c>
      <c r="G305" s="154">
        <v>34</v>
      </c>
      <c r="H305" s="186" t="s">
        <v>9380</v>
      </c>
      <c r="I305" s="186">
        <v>100402</v>
      </c>
      <c r="J305" s="155">
        <v>1</v>
      </c>
      <c r="K305" s="155" t="b">
        <v>1</v>
      </c>
      <c r="L305" s="155">
        <v>1400</v>
      </c>
      <c r="M305" s="155" t="s">
        <v>3383</v>
      </c>
      <c r="N305" s="155"/>
      <c r="O305" s="155" t="s">
        <v>4880</v>
      </c>
      <c r="P305" s="155">
        <v>0</v>
      </c>
      <c r="Q305" s="155" t="s">
        <v>4881</v>
      </c>
      <c r="R305" s="175" t="s">
        <v>9384</v>
      </c>
      <c r="S305" s="175" t="s">
        <v>9385</v>
      </c>
      <c r="T305" s="155" t="s">
        <v>8021</v>
      </c>
      <c r="U305" s="155"/>
    </row>
    <row r="306" spans="1:21" s="145" customFormat="1" x14ac:dyDescent="0.15">
      <c r="A306" s="166">
        <v>95401043</v>
      </c>
      <c r="B306" s="43" t="s">
        <v>9378</v>
      </c>
      <c r="C306" s="175" t="s">
        <v>9386</v>
      </c>
      <c r="D306" s="155" t="s">
        <v>4876</v>
      </c>
      <c r="E306" s="155" t="s">
        <v>9355</v>
      </c>
      <c r="F306" s="156">
        <v>5</v>
      </c>
      <c r="G306" s="154">
        <v>34</v>
      </c>
      <c r="H306" s="186" t="s">
        <v>9380</v>
      </c>
      <c r="I306" s="186">
        <v>100403</v>
      </c>
      <c r="J306" s="155">
        <v>1</v>
      </c>
      <c r="K306" s="155" t="b">
        <v>1</v>
      </c>
      <c r="L306" s="155">
        <v>1750</v>
      </c>
      <c r="M306" s="155" t="s">
        <v>3383</v>
      </c>
      <c r="N306" s="155"/>
      <c r="O306" s="155" t="s">
        <v>4880</v>
      </c>
      <c r="P306" s="155">
        <v>0</v>
      </c>
      <c r="Q306" s="155" t="s">
        <v>4881</v>
      </c>
      <c r="R306" s="175" t="s">
        <v>9387</v>
      </c>
      <c r="S306" s="175" t="s">
        <v>9388</v>
      </c>
      <c r="T306" s="155" t="s">
        <v>8021</v>
      </c>
      <c r="U306" s="155"/>
    </row>
    <row r="307" spans="1:21" s="145" customFormat="1" x14ac:dyDescent="0.15">
      <c r="A307" s="166">
        <v>95401044</v>
      </c>
      <c r="B307" s="43" t="s">
        <v>9378</v>
      </c>
      <c r="C307" s="175" t="s">
        <v>9389</v>
      </c>
      <c r="D307" s="155" t="s">
        <v>4876</v>
      </c>
      <c r="E307" s="155" t="s">
        <v>9355</v>
      </c>
      <c r="F307" s="156">
        <v>6</v>
      </c>
      <c r="G307" s="154">
        <v>34</v>
      </c>
      <c r="H307" s="186" t="s">
        <v>9380</v>
      </c>
      <c r="I307" s="186">
        <v>100404</v>
      </c>
      <c r="J307" s="155">
        <v>1</v>
      </c>
      <c r="K307" s="155" t="b">
        <v>1</v>
      </c>
      <c r="L307" s="155">
        <v>2100</v>
      </c>
      <c r="M307" s="155" t="s">
        <v>3383</v>
      </c>
      <c r="N307" s="155"/>
      <c r="O307" s="155" t="s">
        <v>4880</v>
      </c>
      <c r="P307" s="155">
        <v>0</v>
      </c>
      <c r="Q307" s="155" t="s">
        <v>4881</v>
      </c>
      <c r="R307" s="175" t="s">
        <v>9390</v>
      </c>
      <c r="S307" s="175" t="s">
        <v>9391</v>
      </c>
      <c r="T307" s="155" t="s">
        <v>8021</v>
      </c>
      <c r="U307" s="155"/>
    </row>
    <row r="308" spans="1:21" s="145" customFormat="1" x14ac:dyDescent="0.15">
      <c r="A308" s="166">
        <v>95401051</v>
      </c>
      <c r="B308" s="43" t="s">
        <v>9392</v>
      </c>
      <c r="C308" s="175" t="s">
        <v>9393</v>
      </c>
      <c r="D308" s="155" t="s">
        <v>4876</v>
      </c>
      <c r="E308" s="155" t="s">
        <v>9355</v>
      </c>
      <c r="F308" s="156">
        <v>5</v>
      </c>
      <c r="G308" s="154">
        <v>34</v>
      </c>
      <c r="H308" s="186" t="s">
        <v>9394</v>
      </c>
      <c r="I308" s="186">
        <v>100501</v>
      </c>
      <c r="J308" s="155">
        <v>1</v>
      </c>
      <c r="K308" s="155" t="b">
        <v>1</v>
      </c>
      <c r="L308" s="155">
        <v>1750</v>
      </c>
      <c r="M308" s="155" t="s">
        <v>3383</v>
      </c>
      <c r="N308" s="155"/>
      <c r="O308" s="155" t="s">
        <v>4880</v>
      </c>
      <c r="P308" s="155">
        <v>0</v>
      </c>
      <c r="Q308" s="155" t="s">
        <v>4881</v>
      </c>
      <c r="R308" s="175" t="s">
        <v>9395</v>
      </c>
      <c r="S308" s="175" t="s">
        <v>9396</v>
      </c>
      <c r="T308" s="155" t="s">
        <v>8021</v>
      </c>
      <c r="U308" s="155"/>
    </row>
    <row r="309" spans="1:21" s="145" customFormat="1" x14ac:dyDescent="0.15">
      <c r="A309" s="166">
        <v>95401052</v>
      </c>
      <c r="B309" s="43" t="s">
        <v>9392</v>
      </c>
      <c r="C309" s="175" t="s">
        <v>9397</v>
      </c>
      <c r="D309" s="155" t="s">
        <v>4876</v>
      </c>
      <c r="E309" s="155" t="s">
        <v>9355</v>
      </c>
      <c r="F309" s="156">
        <v>6</v>
      </c>
      <c r="G309" s="154">
        <v>34</v>
      </c>
      <c r="H309" s="186" t="s">
        <v>9394</v>
      </c>
      <c r="I309" s="186">
        <v>100502</v>
      </c>
      <c r="J309" s="155">
        <v>1</v>
      </c>
      <c r="K309" s="155" t="b">
        <v>1</v>
      </c>
      <c r="L309" s="155">
        <v>2100</v>
      </c>
      <c r="M309" s="155" t="s">
        <v>3383</v>
      </c>
      <c r="N309" s="155"/>
      <c r="O309" s="155" t="s">
        <v>4880</v>
      </c>
      <c r="P309" s="155">
        <v>0</v>
      </c>
      <c r="Q309" s="155" t="s">
        <v>4881</v>
      </c>
      <c r="R309" s="175" t="s">
        <v>9398</v>
      </c>
      <c r="S309" s="175" t="s">
        <v>9399</v>
      </c>
      <c r="T309" s="155" t="s">
        <v>8021</v>
      </c>
      <c r="U309" s="155"/>
    </row>
    <row r="310" spans="1:21" s="145" customFormat="1" x14ac:dyDescent="0.15">
      <c r="A310" s="166">
        <v>95402011</v>
      </c>
      <c r="B310" s="43" t="s">
        <v>9400</v>
      </c>
      <c r="C310" s="175" t="s">
        <v>9401</v>
      </c>
      <c r="D310" s="155" t="s">
        <v>4876</v>
      </c>
      <c r="E310" s="155" t="s">
        <v>9402</v>
      </c>
      <c r="F310" s="156">
        <v>2</v>
      </c>
      <c r="G310" s="154">
        <v>34</v>
      </c>
      <c r="H310" s="186" t="s">
        <v>9403</v>
      </c>
      <c r="I310" s="186">
        <v>200101</v>
      </c>
      <c r="J310" s="155">
        <v>1</v>
      </c>
      <c r="K310" s="155" t="b">
        <v>1</v>
      </c>
      <c r="L310" s="155">
        <v>700</v>
      </c>
      <c r="M310" s="155" t="s">
        <v>3383</v>
      </c>
      <c r="N310" s="155"/>
      <c r="O310" s="155" t="s">
        <v>4880</v>
      </c>
      <c r="P310" s="155">
        <v>0</v>
      </c>
      <c r="Q310" s="155" t="s">
        <v>4881</v>
      </c>
      <c r="R310" s="175" t="s">
        <v>9404</v>
      </c>
      <c r="S310" s="175" t="s">
        <v>9405</v>
      </c>
      <c r="T310" s="155" t="s">
        <v>8021</v>
      </c>
      <c r="U310" s="155"/>
    </row>
    <row r="311" spans="1:21" s="145" customFormat="1" x14ac:dyDescent="0.15">
      <c r="A311" s="166">
        <v>95402021</v>
      </c>
      <c r="B311" s="43" t="s">
        <v>9406</v>
      </c>
      <c r="C311" s="175" t="s">
        <v>9407</v>
      </c>
      <c r="D311" s="155" t="s">
        <v>4876</v>
      </c>
      <c r="E311" s="155" t="s">
        <v>9402</v>
      </c>
      <c r="F311" s="156">
        <v>3</v>
      </c>
      <c r="G311" s="154">
        <v>34</v>
      </c>
      <c r="H311" s="186" t="s">
        <v>9408</v>
      </c>
      <c r="I311" s="186">
        <v>200201</v>
      </c>
      <c r="J311" s="155">
        <v>1</v>
      </c>
      <c r="K311" s="155" t="b">
        <v>1</v>
      </c>
      <c r="L311" s="155">
        <v>1050</v>
      </c>
      <c r="M311" s="155" t="s">
        <v>3383</v>
      </c>
      <c r="N311" s="155"/>
      <c r="O311" s="155" t="s">
        <v>4880</v>
      </c>
      <c r="P311" s="155">
        <v>0</v>
      </c>
      <c r="Q311" s="155" t="s">
        <v>4881</v>
      </c>
      <c r="R311" s="175" t="s">
        <v>9409</v>
      </c>
      <c r="S311" s="175" t="s">
        <v>9410</v>
      </c>
      <c r="T311" s="155" t="s">
        <v>8021</v>
      </c>
      <c r="U311" s="155"/>
    </row>
    <row r="312" spans="1:21" s="145" customFormat="1" x14ac:dyDescent="0.15">
      <c r="A312" s="166">
        <v>95402022</v>
      </c>
      <c r="B312" s="43" t="s">
        <v>9406</v>
      </c>
      <c r="C312" s="175" t="s">
        <v>9411</v>
      </c>
      <c r="D312" s="155" t="s">
        <v>4876</v>
      </c>
      <c r="E312" s="155" t="s">
        <v>9402</v>
      </c>
      <c r="F312" s="156">
        <v>3</v>
      </c>
      <c r="G312" s="154">
        <v>34</v>
      </c>
      <c r="H312" s="186" t="s">
        <v>9408</v>
      </c>
      <c r="I312" s="186">
        <v>200202</v>
      </c>
      <c r="J312" s="155">
        <v>1</v>
      </c>
      <c r="K312" s="155" t="b">
        <v>1</v>
      </c>
      <c r="L312" s="155">
        <v>1050</v>
      </c>
      <c r="M312" s="155" t="s">
        <v>3383</v>
      </c>
      <c r="N312" s="155"/>
      <c r="O312" s="155" t="s">
        <v>4880</v>
      </c>
      <c r="P312" s="155">
        <v>0</v>
      </c>
      <c r="Q312" s="155" t="s">
        <v>4881</v>
      </c>
      <c r="R312" s="175" t="s">
        <v>9412</v>
      </c>
      <c r="S312" s="175" t="s">
        <v>9413</v>
      </c>
      <c r="T312" s="155" t="s">
        <v>8021</v>
      </c>
      <c r="U312" s="155"/>
    </row>
    <row r="313" spans="1:21" s="145" customFormat="1" x14ac:dyDescent="0.15">
      <c r="A313" s="166">
        <v>95402031</v>
      </c>
      <c r="B313" s="43" t="s">
        <v>9414</v>
      </c>
      <c r="C313" s="175" t="s">
        <v>9415</v>
      </c>
      <c r="D313" s="155" t="s">
        <v>4876</v>
      </c>
      <c r="E313" s="155" t="s">
        <v>9402</v>
      </c>
      <c r="F313" s="156">
        <v>4</v>
      </c>
      <c r="G313" s="154">
        <v>34</v>
      </c>
      <c r="H313" s="186" t="s">
        <v>9416</v>
      </c>
      <c r="I313" s="186">
        <v>200301</v>
      </c>
      <c r="J313" s="155">
        <v>1</v>
      </c>
      <c r="K313" s="155" t="b">
        <v>1</v>
      </c>
      <c r="L313" s="155">
        <v>1400</v>
      </c>
      <c r="M313" s="155" t="s">
        <v>3383</v>
      </c>
      <c r="N313" s="155"/>
      <c r="O313" s="155" t="s">
        <v>4880</v>
      </c>
      <c r="P313" s="155">
        <v>0</v>
      </c>
      <c r="Q313" s="155" t="s">
        <v>4881</v>
      </c>
      <c r="R313" s="175" t="s">
        <v>9417</v>
      </c>
      <c r="S313" s="175" t="s">
        <v>9418</v>
      </c>
      <c r="T313" s="155" t="s">
        <v>8021</v>
      </c>
      <c r="U313" s="155"/>
    </row>
    <row r="314" spans="1:21" s="145" customFormat="1" x14ac:dyDescent="0.15">
      <c r="A314" s="166">
        <v>95402041</v>
      </c>
      <c r="B314" s="43" t="s">
        <v>9419</v>
      </c>
      <c r="C314" s="175" t="s">
        <v>9420</v>
      </c>
      <c r="D314" s="155" t="s">
        <v>4876</v>
      </c>
      <c r="E314" s="155" t="s">
        <v>9402</v>
      </c>
      <c r="F314" s="156">
        <v>4</v>
      </c>
      <c r="G314" s="154">
        <v>34</v>
      </c>
      <c r="H314" s="186" t="s">
        <v>9421</v>
      </c>
      <c r="I314" s="186">
        <v>200401</v>
      </c>
      <c r="J314" s="155">
        <v>1</v>
      </c>
      <c r="K314" s="155" t="b">
        <v>1</v>
      </c>
      <c r="L314" s="155">
        <v>1400</v>
      </c>
      <c r="M314" s="155" t="s">
        <v>3383</v>
      </c>
      <c r="N314" s="155"/>
      <c r="O314" s="155" t="s">
        <v>4880</v>
      </c>
      <c r="P314" s="155">
        <v>0</v>
      </c>
      <c r="Q314" s="155" t="s">
        <v>4881</v>
      </c>
      <c r="R314" s="175" t="s">
        <v>9422</v>
      </c>
      <c r="S314" s="175" t="s">
        <v>9423</v>
      </c>
      <c r="T314" s="155" t="s">
        <v>8021</v>
      </c>
      <c r="U314" s="155"/>
    </row>
    <row r="315" spans="1:21" s="145" customFormat="1" x14ac:dyDescent="0.15">
      <c r="A315" s="166">
        <v>95402042</v>
      </c>
      <c r="B315" s="43" t="s">
        <v>9419</v>
      </c>
      <c r="C315" s="175" t="s">
        <v>9424</v>
      </c>
      <c r="D315" s="155" t="s">
        <v>4876</v>
      </c>
      <c r="E315" s="155" t="s">
        <v>9402</v>
      </c>
      <c r="F315" s="156">
        <v>5</v>
      </c>
      <c r="G315" s="154">
        <v>34</v>
      </c>
      <c r="H315" s="186" t="s">
        <v>9421</v>
      </c>
      <c r="I315" s="186">
        <v>200402</v>
      </c>
      <c r="J315" s="155">
        <v>1</v>
      </c>
      <c r="K315" s="155" t="b">
        <v>1</v>
      </c>
      <c r="L315" s="155">
        <v>1750</v>
      </c>
      <c r="M315" s="155" t="s">
        <v>3383</v>
      </c>
      <c r="N315" s="155"/>
      <c r="O315" s="155" t="s">
        <v>4880</v>
      </c>
      <c r="P315" s="155">
        <v>0</v>
      </c>
      <c r="Q315" s="155" t="s">
        <v>4881</v>
      </c>
      <c r="R315" s="175" t="s">
        <v>9425</v>
      </c>
      <c r="S315" s="175" t="s">
        <v>9426</v>
      </c>
      <c r="T315" s="155" t="s">
        <v>8021</v>
      </c>
      <c r="U315" s="155"/>
    </row>
    <row r="316" spans="1:21" s="145" customFormat="1" x14ac:dyDescent="0.15">
      <c r="A316" s="166">
        <v>95402051</v>
      </c>
      <c r="B316" s="43" t="s">
        <v>9427</v>
      </c>
      <c r="C316" s="175" t="s">
        <v>9428</v>
      </c>
      <c r="D316" s="155" t="s">
        <v>4876</v>
      </c>
      <c r="E316" s="155" t="s">
        <v>9402</v>
      </c>
      <c r="F316" s="156">
        <v>6</v>
      </c>
      <c r="G316" s="154">
        <v>34</v>
      </c>
      <c r="H316" s="186" t="s">
        <v>9429</v>
      </c>
      <c r="I316" s="186">
        <v>200501</v>
      </c>
      <c r="J316" s="155">
        <v>1</v>
      </c>
      <c r="K316" s="155" t="b">
        <v>1</v>
      </c>
      <c r="L316" s="155">
        <v>2100</v>
      </c>
      <c r="M316" s="155" t="s">
        <v>3383</v>
      </c>
      <c r="N316" s="155"/>
      <c r="O316" s="155" t="s">
        <v>4880</v>
      </c>
      <c r="P316" s="155">
        <v>0</v>
      </c>
      <c r="Q316" s="155" t="s">
        <v>4881</v>
      </c>
      <c r="R316" s="175" t="s">
        <v>9430</v>
      </c>
      <c r="S316" s="175" t="s">
        <v>9431</v>
      </c>
      <c r="T316" s="155" t="s">
        <v>8021</v>
      </c>
      <c r="U316" s="155"/>
    </row>
  </sheetData>
  <phoneticPr fontId="45" type="noConversion"/>
  <pageMargins left="0.7" right="0.7" top="0.75" bottom="0.75" header="0.3" footer="0.3"/>
  <pageSetup paperSize="9" orientation="portrait" horizontalDpi="360" verticalDpi="360"/>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188"/>
  <sheetViews>
    <sheetView topLeftCell="S1" workbookViewId="0">
      <selection activeCell="B170" sqref="B170"/>
    </sheetView>
  </sheetViews>
  <sheetFormatPr defaultColWidth="9" defaultRowHeight="13.5" x14ac:dyDescent="0.15"/>
  <cols>
    <col min="1" max="1" width="7.75" customWidth="1"/>
    <col min="2" max="2" width="16.875" customWidth="1"/>
    <col min="3" max="4" width="6.25" hidden="1" customWidth="1"/>
    <col min="5" max="5" width="11.375" hidden="1" customWidth="1"/>
    <col min="6" max="6" width="40.75" hidden="1" customWidth="1"/>
    <col min="7" max="7" width="5.75" hidden="1" customWidth="1"/>
    <col min="8" max="8" width="13.375" hidden="1" customWidth="1"/>
    <col min="9" max="9" width="15.625" customWidth="1"/>
    <col min="10" max="10" width="28.5" customWidth="1"/>
    <col min="11" max="12" width="10.625" hidden="1" customWidth="1"/>
    <col min="13" max="14" width="8.5" hidden="1" customWidth="1"/>
    <col min="15" max="16" width="10.625" hidden="1" customWidth="1"/>
    <col min="17" max="17" width="8.5" hidden="1" customWidth="1"/>
    <col min="18" max="18" width="74.875" customWidth="1"/>
    <col min="19" max="19" width="13.375" style="10" customWidth="1"/>
    <col min="20" max="20" width="10.625" customWidth="1"/>
    <col min="22" max="22" width="13.375" customWidth="1"/>
    <col min="27" max="27" width="25" customWidth="1"/>
    <col min="28" max="28" width="31.625" customWidth="1"/>
  </cols>
  <sheetData>
    <row r="1" spans="1:34" s="1" customFormat="1" ht="27" x14ac:dyDescent="0.15">
      <c r="A1" s="99" t="s">
        <v>0</v>
      </c>
      <c r="B1" s="100" t="s">
        <v>1</v>
      </c>
      <c r="C1" s="99" t="s">
        <v>3</v>
      </c>
      <c r="D1" s="99" t="s">
        <v>4</v>
      </c>
      <c r="E1" s="99" t="s">
        <v>5</v>
      </c>
      <c r="F1" s="99" t="s">
        <v>6</v>
      </c>
      <c r="G1" s="70" t="s">
        <v>7</v>
      </c>
      <c r="H1" s="70" t="s">
        <v>10</v>
      </c>
      <c r="I1" s="99" t="s">
        <v>11</v>
      </c>
      <c r="J1" s="99" t="s">
        <v>12</v>
      </c>
      <c r="K1" s="99" t="s">
        <v>15</v>
      </c>
      <c r="L1" s="107" t="s">
        <v>16</v>
      </c>
      <c r="M1" s="107" t="s">
        <v>17</v>
      </c>
      <c r="N1" s="99" t="s">
        <v>18</v>
      </c>
      <c r="O1" s="99" t="s">
        <v>21</v>
      </c>
      <c r="P1" s="99" t="s">
        <v>22</v>
      </c>
      <c r="Q1" s="99" t="s">
        <v>23</v>
      </c>
      <c r="R1" s="99" t="s">
        <v>24</v>
      </c>
      <c r="S1" s="99" t="s">
        <v>26</v>
      </c>
      <c r="T1" s="99" t="s">
        <v>27</v>
      </c>
      <c r="U1" s="26"/>
      <c r="X1" s="15">
        <v>200001</v>
      </c>
      <c r="Y1" s="16" t="s">
        <v>1406</v>
      </c>
      <c r="Z1" s="15" t="s">
        <v>1408</v>
      </c>
      <c r="AA1" s="15" t="s">
        <v>9432</v>
      </c>
      <c r="AB1" s="1" t="str">
        <f t="shared" ref="AB1:AB32" si="0">AC1&amp;AH1&amp;";"&amp;AE1&amp;AF1</f>
        <v>气血上限+285;防御力+8</v>
      </c>
      <c r="AC1" s="1" t="s">
        <v>9433</v>
      </c>
      <c r="AD1" s="1">
        <v>357</v>
      </c>
      <c r="AE1" s="1" t="s">
        <v>9434</v>
      </c>
      <c r="AF1" s="1">
        <v>8</v>
      </c>
      <c r="AH1" s="1">
        <f>INT(AD1*0.8)</f>
        <v>285</v>
      </c>
    </row>
    <row r="2" spans="1:34" x14ac:dyDescent="0.15">
      <c r="A2" s="70">
        <v>102000</v>
      </c>
      <c r="B2" s="73" t="s">
        <v>132</v>
      </c>
      <c r="C2" s="70" t="s">
        <v>33</v>
      </c>
      <c r="D2" s="70">
        <v>2</v>
      </c>
      <c r="E2" s="70" t="s">
        <v>134</v>
      </c>
      <c r="F2" s="70"/>
      <c r="G2" s="70">
        <v>1</v>
      </c>
      <c r="H2" s="70">
        <v>3</v>
      </c>
      <c r="I2" s="70">
        <v>1</v>
      </c>
      <c r="J2" s="70" t="s">
        <v>9435</v>
      </c>
      <c r="K2" s="70">
        <v>0</v>
      </c>
      <c r="L2" s="108">
        <v>1</v>
      </c>
      <c r="M2" s="83" t="b">
        <v>1</v>
      </c>
      <c r="N2" s="70">
        <v>2</v>
      </c>
      <c r="O2" s="70">
        <v>0</v>
      </c>
      <c r="P2" s="70">
        <v>0</v>
      </c>
      <c r="Q2" s="70" t="s">
        <v>38</v>
      </c>
      <c r="R2" s="109" t="s">
        <v>9436</v>
      </c>
      <c r="S2" s="110" t="s">
        <v>138</v>
      </c>
      <c r="T2" s="70">
        <v>100000</v>
      </c>
      <c r="U2" s="30"/>
      <c r="X2" s="15">
        <v>200002</v>
      </c>
      <c r="Y2" s="16" t="s">
        <v>1413</v>
      </c>
      <c r="Z2" s="15" t="s">
        <v>1408</v>
      </c>
      <c r="AA2" s="15" t="s">
        <v>9437</v>
      </c>
      <c r="AB2" s="1" t="str">
        <f t="shared" si="0"/>
        <v>气血上限+380;防御力+16</v>
      </c>
      <c r="AC2" t="s">
        <v>9433</v>
      </c>
      <c r="AD2">
        <v>476</v>
      </c>
      <c r="AE2" t="s">
        <v>9434</v>
      </c>
      <c r="AF2">
        <v>16</v>
      </c>
      <c r="AH2" s="1">
        <f t="shared" ref="AH2:AH6" si="1">INT(AD2*0.8)</f>
        <v>380</v>
      </c>
    </row>
    <row r="3" spans="1:34" s="5" customFormat="1" x14ac:dyDescent="0.15">
      <c r="A3" s="41">
        <v>101001</v>
      </c>
      <c r="B3" s="101" t="s">
        <v>31</v>
      </c>
      <c r="C3" s="41" t="s">
        <v>33</v>
      </c>
      <c r="D3" s="41">
        <v>1</v>
      </c>
      <c r="E3" s="41" t="s">
        <v>34</v>
      </c>
      <c r="F3" s="41"/>
      <c r="G3" s="41">
        <v>1</v>
      </c>
      <c r="H3" s="43">
        <v>3</v>
      </c>
      <c r="I3" s="41" t="s">
        <v>56</v>
      </c>
      <c r="J3" s="41" t="s">
        <v>9438</v>
      </c>
      <c r="K3" s="41">
        <v>0</v>
      </c>
      <c r="L3" s="43">
        <v>1</v>
      </c>
      <c r="M3" s="43" t="b">
        <v>1</v>
      </c>
      <c r="N3" s="41">
        <v>50</v>
      </c>
      <c r="O3" s="41">
        <v>0</v>
      </c>
      <c r="P3" s="41">
        <v>0</v>
      </c>
      <c r="Q3" s="41" t="s">
        <v>38</v>
      </c>
      <c r="R3" s="111" t="s">
        <v>9439</v>
      </c>
      <c r="S3" s="112" t="s">
        <v>41</v>
      </c>
      <c r="T3" s="41">
        <v>100000</v>
      </c>
      <c r="U3" s="112"/>
      <c r="X3" s="15">
        <v>200003</v>
      </c>
      <c r="Y3" s="17" t="s">
        <v>1419</v>
      </c>
      <c r="Z3" s="15" t="s">
        <v>1408</v>
      </c>
      <c r="AA3" s="15" t="s">
        <v>9440</v>
      </c>
      <c r="AB3" s="1" t="str">
        <f t="shared" si="0"/>
        <v>气血上限+570;防御力+22</v>
      </c>
      <c r="AC3" s="5" t="s">
        <v>9433</v>
      </c>
      <c r="AD3" s="5">
        <v>713</v>
      </c>
      <c r="AE3" s="5" t="s">
        <v>9434</v>
      </c>
      <c r="AF3" s="5">
        <v>22</v>
      </c>
      <c r="AH3" s="1">
        <f t="shared" si="1"/>
        <v>570</v>
      </c>
    </row>
    <row r="4" spans="1:34" s="5" customFormat="1" ht="27" x14ac:dyDescent="0.15">
      <c r="A4" s="41">
        <v>102001</v>
      </c>
      <c r="B4" s="101" t="s">
        <v>9441</v>
      </c>
      <c r="C4" s="41" t="s">
        <v>33</v>
      </c>
      <c r="D4" s="41">
        <v>2</v>
      </c>
      <c r="E4" s="41" t="s">
        <v>134</v>
      </c>
      <c r="F4" s="41" t="s">
        <v>135</v>
      </c>
      <c r="G4" s="41">
        <v>1</v>
      </c>
      <c r="H4" s="43">
        <v>3</v>
      </c>
      <c r="I4" s="41" t="s">
        <v>56</v>
      </c>
      <c r="J4" s="41" t="s">
        <v>9442</v>
      </c>
      <c r="K4" s="41">
        <v>0</v>
      </c>
      <c r="L4" s="43">
        <v>1</v>
      </c>
      <c r="M4" s="43" t="b">
        <v>1</v>
      </c>
      <c r="N4" s="41">
        <v>50</v>
      </c>
      <c r="O4" s="41">
        <v>0</v>
      </c>
      <c r="P4" s="41">
        <v>0</v>
      </c>
      <c r="Q4" s="41" t="s">
        <v>38</v>
      </c>
      <c r="R4" s="111" t="s">
        <v>9443</v>
      </c>
      <c r="S4" s="112" t="s">
        <v>143</v>
      </c>
      <c r="T4" s="41">
        <v>100000</v>
      </c>
      <c r="U4" s="112"/>
      <c r="X4" s="15">
        <v>200004</v>
      </c>
      <c r="Y4" s="71" t="s">
        <v>1428</v>
      </c>
      <c r="Z4" s="15" t="s">
        <v>1408</v>
      </c>
      <c r="AA4" s="15" t="s">
        <v>9444</v>
      </c>
      <c r="AB4" s="1" t="str">
        <f t="shared" si="0"/>
        <v>气血上限+950;防御力+36</v>
      </c>
      <c r="AC4" s="5" t="s">
        <v>9433</v>
      </c>
      <c r="AD4" s="5">
        <v>1188</v>
      </c>
      <c r="AE4" s="5" t="s">
        <v>9434</v>
      </c>
      <c r="AF4" s="5">
        <v>36</v>
      </c>
      <c r="AH4" s="1">
        <f t="shared" si="1"/>
        <v>950</v>
      </c>
    </row>
    <row r="5" spans="1:34" s="5" customFormat="1" ht="27" x14ac:dyDescent="0.15">
      <c r="A5" s="41">
        <v>102101</v>
      </c>
      <c r="B5" s="101" t="s">
        <v>9445</v>
      </c>
      <c r="C5" s="41" t="s">
        <v>33</v>
      </c>
      <c r="D5" s="41">
        <v>2</v>
      </c>
      <c r="E5" s="41" t="s">
        <v>134</v>
      </c>
      <c r="F5" s="41" t="s">
        <v>215</v>
      </c>
      <c r="G5" s="41">
        <v>1</v>
      </c>
      <c r="H5" s="43">
        <v>3</v>
      </c>
      <c r="I5" s="41" t="s">
        <v>56</v>
      </c>
      <c r="J5" s="41" t="s">
        <v>1753</v>
      </c>
      <c r="K5" s="41">
        <v>0</v>
      </c>
      <c r="L5" s="43">
        <v>1</v>
      </c>
      <c r="M5" s="43" t="b">
        <v>1</v>
      </c>
      <c r="N5" s="41">
        <v>50</v>
      </c>
      <c r="O5" s="41">
        <v>0</v>
      </c>
      <c r="P5" s="41">
        <v>0</v>
      </c>
      <c r="Q5" s="41" t="s">
        <v>38</v>
      </c>
      <c r="R5" s="111" t="s">
        <v>9446</v>
      </c>
      <c r="S5" s="112" t="s">
        <v>218</v>
      </c>
      <c r="T5" s="41">
        <v>100000</v>
      </c>
      <c r="U5" s="112"/>
      <c r="X5" s="17">
        <v>200005</v>
      </c>
      <c r="Y5" s="17" t="s">
        <v>1434</v>
      </c>
      <c r="Z5" s="118" t="s">
        <v>1408</v>
      </c>
      <c r="AA5" s="118" t="s">
        <v>9447</v>
      </c>
      <c r="AB5" s="1" t="str">
        <f t="shared" si="0"/>
        <v>气血上限+1520;防御力+58</v>
      </c>
      <c r="AC5" s="5" t="s">
        <v>9433</v>
      </c>
      <c r="AD5" s="5">
        <v>1901</v>
      </c>
      <c r="AE5" s="5" t="s">
        <v>9434</v>
      </c>
      <c r="AF5" s="5">
        <v>58</v>
      </c>
      <c r="AH5" s="1">
        <f t="shared" si="1"/>
        <v>1520</v>
      </c>
    </row>
    <row r="6" spans="1:34" s="5" customFormat="1" x14ac:dyDescent="0.15">
      <c r="A6" s="41">
        <v>104001</v>
      </c>
      <c r="B6" s="101" t="s">
        <v>455</v>
      </c>
      <c r="C6" s="41" t="s">
        <v>33</v>
      </c>
      <c r="D6" s="41">
        <v>4</v>
      </c>
      <c r="E6" s="41" t="s">
        <v>447</v>
      </c>
      <c r="F6" s="41" t="s">
        <v>448</v>
      </c>
      <c r="G6" s="41">
        <v>1</v>
      </c>
      <c r="H6" s="43">
        <v>3</v>
      </c>
      <c r="I6" s="41" t="s">
        <v>56</v>
      </c>
      <c r="J6" s="41" t="s">
        <v>1753</v>
      </c>
      <c r="K6" s="41">
        <v>0</v>
      </c>
      <c r="L6" s="43">
        <v>1</v>
      </c>
      <c r="M6" s="43" t="b">
        <v>1</v>
      </c>
      <c r="N6" s="41">
        <v>50</v>
      </c>
      <c r="O6" s="41">
        <v>0</v>
      </c>
      <c r="P6" s="41">
        <v>0</v>
      </c>
      <c r="Q6" s="41" t="s">
        <v>38</v>
      </c>
      <c r="R6" s="111" t="s">
        <v>9448</v>
      </c>
      <c r="S6" s="112" t="s">
        <v>451</v>
      </c>
      <c r="T6" s="41">
        <v>100000</v>
      </c>
      <c r="U6" s="112"/>
      <c r="X6" s="17">
        <v>200006</v>
      </c>
      <c r="Y6" s="17" t="s">
        <v>1440</v>
      </c>
      <c r="Z6" s="118" t="s">
        <v>1408</v>
      </c>
      <c r="AA6" s="118" t="s">
        <v>9449</v>
      </c>
      <c r="AB6" s="1" t="str">
        <f t="shared" si="0"/>
        <v>气血上限+2471;防御力+92</v>
      </c>
      <c r="AC6" s="5" t="s">
        <v>9433</v>
      </c>
      <c r="AD6" s="5">
        <v>3089</v>
      </c>
      <c r="AE6" s="5" t="s">
        <v>9434</v>
      </c>
      <c r="AF6" s="5">
        <v>92</v>
      </c>
      <c r="AH6" s="1">
        <f t="shared" si="1"/>
        <v>2471</v>
      </c>
    </row>
    <row r="7" spans="1:34" s="96" customFormat="1" x14ac:dyDescent="0.15">
      <c r="A7" s="102">
        <v>104101</v>
      </c>
      <c r="B7" s="103" t="s">
        <v>9450</v>
      </c>
      <c r="C7" s="102" t="s">
        <v>33</v>
      </c>
      <c r="D7" s="102">
        <v>4</v>
      </c>
      <c r="E7" s="102" t="s">
        <v>9451</v>
      </c>
      <c r="F7" s="102" t="s">
        <v>520</v>
      </c>
      <c r="G7" s="102">
        <v>1</v>
      </c>
      <c r="H7" s="104">
        <v>3</v>
      </c>
      <c r="I7" s="102" t="s">
        <v>9452</v>
      </c>
      <c r="J7" s="102" t="s">
        <v>9453</v>
      </c>
      <c r="K7" s="102">
        <v>0</v>
      </c>
      <c r="L7" s="104">
        <v>1</v>
      </c>
      <c r="M7" s="104" t="b">
        <v>1</v>
      </c>
      <c r="N7" s="102">
        <v>50</v>
      </c>
      <c r="O7" s="102">
        <v>0</v>
      </c>
      <c r="P7" s="102">
        <v>0</v>
      </c>
      <c r="Q7" s="102" t="s">
        <v>38</v>
      </c>
      <c r="R7" s="86" t="s">
        <v>9454</v>
      </c>
      <c r="S7" s="113" t="s">
        <v>9455</v>
      </c>
      <c r="T7" s="102">
        <v>100000</v>
      </c>
      <c r="U7" s="113"/>
      <c r="X7" s="17">
        <v>200007</v>
      </c>
      <c r="Y7" s="17" t="s">
        <v>1446</v>
      </c>
      <c r="Z7" s="118" t="s">
        <v>1408</v>
      </c>
      <c r="AA7" s="118" t="s">
        <v>9456</v>
      </c>
      <c r="AB7" s="1" t="str">
        <f t="shared" si="0"/>
        <v>气血上限+3992;防御力+148</v>
      </c>
      <c r="AC7" s="96" t="s">
        <v>9433</v>
      </c>
      <c r="AD7" s="96">
        <v>4990</v>
      </c>
      <c r="AE7" s="96" t="s">
        <v>9434</v>
      </c>
      <c r="AF7" s="96">
        <v>148</v>
      </c>
      <c r="AH7" s="1">
        <f t="shared" ref="AH7:AH70" si="2">INT(AD7*0.8)</f>
        <v>3992</v>
      </c>
    </row>
    <row r="8" spans="1:34" s="5" customFormat="1" x14ac:dyDescent="0.15">
      <c r="A8" s="41">
        <v>105001</v>
      </c>
      <c r="B8" s="101" t="s">
        <v>9457</v>
      </c>
      <c r="C8" s="41" t="s">
        <v>33</v>
      </c>
      <c r="D8" s="41">
        <v>5</v>
      </c>
      <c r="E8" s="41" t="s">
        <v>631</v>
      </c>
      <c r="F8" s="41" t="s">
        <v>632</v>
      </c>
      <c r="G8" s="41">
        <v>1</v>
      </c>
      <c r="H8" s="43">
        <v>3</v>
      </c>
      <c r="I8" s="41" t="s">
        <v>56</v>
      </c>
      <c r="J8" s="41" t="s">
        <v>9438</v>
      </c>
      <c r="K8" s="41">
        <v>0</v>
      </c>
      <c r="L8" s="43">
        <v>1</v>
      </c>
      <c r="M8" s="43" t="b">
        <v>1</v>
      </c>
      <c r="N8" s="41">
        <v>50</v>
      </c>
      <c r="O8" s="41">
        <v>0</v>
      </c>
      <c r="P8" s="41">
        <v>0</v>
      </c>
      <c r="Q8" s="41" t="s">
        <v>38</v>
      </c>
      <c r="R8" s="111" t="s">
        <v>9458</v>
      </c>
      <c r="S8" s="112" t="s">
        <v>635</v>
      </c>
      <c r="T8" s="41">
        <v>200000</v>
      </c>
      <c r="U8" s="112"/>
      <c r="X8" s="114">
        <v>200407</v>
      </c>
      <c r="Y8" s="114" t="s">
        <v>1452</v>
      </c>
      <c r="Z8" s="119" t="s">
        <v>1408</v>
      </c>
      <c r="AA8" s="119" t="s">
        <v>9456</v>
      </c>
      <c r="AB8" s="1" t="str">
        <f t="shared" si="0"/>
        <v>气血上限+3992;防御力+148</v>
      </c>
      <c r="AC8" s="5" t="s">
        <v>9433</v>
      </c>
      <c r="AD8" s="5">
        <v>4990</v>
      </c>
      <c r="AE8" s="5" t="s">
        <v>9434</v>
      </c>
      <c r="AF8" s="5">
        <v>148</v>
      </c>
      <c r="AH8" s="1">
        <f t="shared" si="2"/>
        <v>3992</v>
      </c>
    </row>
    <row r="9" spans="1:34" s="5" customFormat="1" x14ac:dyDescent="0.15">
      <c r="A9" s="41">
        <v>103001</v>
      </c>
      <c r="B9" s="101" t="s">
        <v>374</v>
      </c>
      <c r="C9" s="41" t="s">
        <v>33</v>
      </c>
      <c r="D9" s="41">
        <v>3</v>
      </c>
      <c r="E9" s="41" t="s">
        <v>363</v>
      </c>
      <c r="F9" s="41" t="s">
        <v>364</v>
      </c>
      <c r="G9" s="41">
        <v>1</v>
      </c>
      <c r="H9" s="43">
        <v>3</v>
      </c>
      <c r="I9" s="41" t="s">
        <v>56</v>
      </c>
      <c r="J9" s="41" t="s">
        <v>9453</v>
      </c>
      <c r="K9" s="41">
        <v>0</v>
      </c>
      <c r="L9" s="43">
        <v>1</v>
      </c>
      <c r="M9" s="43" t="b">
        <v>1</v>
      </c>
      <c r="N9" s="41">
        <v>50</v>
      </c>
      <c r="O9" s="41">
        <v>0</v>
      </c>
      <c r="P9" s="41">
        <v>0</v>
      </c>
      <c r="Q9" s="41" t="s">
        <v>38</v>
      </c>
      <c r="R9" s="111" t="s">
        <v>9459</v>
      </c>
      <c r="S9" s="112" t="s">
        <v>367</v>
      </c>
      <c r="T9" s="41">
        <v>200000</v>
      </c>
      <c r="U9" s="112"/>
      <c r="X9" s="17">
        <v>200008</v>
      </c>
      <c r="Y9" s="17" t="s">
        <v>1455</v>
      </c>
      <c r="Z9" s="118" t="s">
        <v>1408</v>
      </c>
      <c r="AA9" s="118" t="s">
        <v>9460</v>
      </c>
      <c r="AB9" s="1" t="str">
        <f t="shared" si="0"/>
        <v>气血上限+6463;防御力+240</v>
      </c>
      <c r="AC9" s="5" t="s">
        <v>9433</v>
      </c>
      <c r="AD9" s="5">
        <v>8079</v>
      </c>
      <c r="AE9" s="5" t="s">
        <v>9434</v>
      </c>
      <c r="AF9" s="5">
        <v>240</v>
      </c>
      <c r="AH9" s="1">
        <f t="shared" si="2"/>
        <v>6463</v>
      </c>
    </row>
    <row r="10" spans="1:34" s="5" customFormat="1" x14ac:dyDescent="0.15">
      <c r="A10" s="41">
        <v>106001</v>
      </c>
      <c r="B10" s="101" t="s">
        <v>9461</v>
      </c>
      <c r="C10" s="41" t="s">
        <v>33</v>
      </c>
      <c r="D10" s="41">
        <v>6</v>
      </c>
      <c r="E10" s="41" t="s">
        <v>727</v>
      </c>
      <c r="F10" s="41"/>
      <c r="G10" s="41">
        <v>1</v>
      </c>
      <c r="H10" s="43">
        <v>3</v>
      </c>
      <c r="I10" s="41" t="s">
        <v>56</v>
      </c>
      <c r="J10" s="41" t="s">
        <v>9462</v>
      </c>
      <c r="K10" s="41">
        <v>0</v>
      </c>
      <c r="L10" s="43">
        <v>1</v>
      </c>
      <c r="M10" s="43" t="b">
        <v>1</v>
      </c>
      <c r="N10" s="41">
        <v>50</v>
      </c>
      <c r="O10" s="41">
        <v>0</v>
      </c>
      <c r="P10" s="41">
        <v>0</v>
      </c>
      <c r="Q10" s="41" t="s">
        <v>38</v>
      </c>
      <c r="R10" s="111" t="s">
        <v>9463</v>
      </c>
      <c r="S10" s="112" t="s">
        <v>731</v>
      </c>
      <c r="T10" s="41">
        <v>200000</v>
      </c>
      <c r="U10" s="112"/>
      <c r="X10" s="17">
        <v>200009</v>
      </c>
      <c r="Y10" s="17" t="s">
        <v>1461</v>
      </c>
      <c r="Z10" s="118" t="s">
        <v>1408</v>
      </c>
      <c r="AA10" s="118" t="s">
        <v>9464</v>
      </c>
      <c r="AB10" s="1" t="str">
        <f t="shared" si="0"/>
        <v>气血上限+10454;防御力+388</v>
      </c>
      <c r="AC10" s="5" t="s">
        <v>9433</v>
      </c>
      <c r="AD10" s="5">
        <v>13068</v>
      </c>
      <c r="AE10" s="5" t="s">
        <v>9434</v>
      </c>
      <c r="AF10" s="5">
        <v>388</v>
      </c>
      <c r="AH10" s="1">
        <f t="shared" si="2"/>
        <v>10454</v>
      </c>
    </row>
    <row r="11" spans="1:34" s="5" customFormat="1" x14ac:dyDescent="0.15">
      <c r="A11" s="41">
        <v>109001</v>
      </c>
      <c r="B11" s="101" t="s">
        <v>816</v>
      </c>
      <c r="C11" s="41" t="s">
        <v>33</v>
      </c>
      <c r="D11" s="41">
        <v>9</v>
      </c>
      <c r="E11" s="41" t="s">
        <v>812</v>
      </c>
      <c r="F11" s="41"/>
      <c r="G11" s="41">
        <v>1</v>
      </c>
      <c r="H11" s="43">
        <v>3</v>
      </c>
      <c r="I11" s="41" t="s">
        <v>56</v>
      </c>
      <c r="J11" s="41" t="s">
        <v>9442</v>
      </c>
      <c r="K11" s="41">
        <v>0</v>
      </c>
      <c r="L11" s="43">
        <v>1</v>
      </c>
      <c r="M11" s="43" t="b">
        <v>1</v>
      </c>
      <c r="N11" s="41">
        <v>50</v>
      </c>
      <c r="O11" s="41">
        <v>0</v>
      </c>
      <c r="P11" s="41">
        <v>0</v>
      </c>
      <c r="Q11" s="41" t="s">
        <v>38</v>
      </c>
      <c r="R11" s="111" t="s">
        <v>9465</v>
      </c>
      <c r="S11" s="112" t="s">
        <v>815</v>
      </c>
      <c r="T11" s="41">
        <v>200000</v>
      </c>
      <c r="U11" s="112"/>
      <c r="X11" s="17">
        <v>200010</v>
      </c>
      <c r="Y11" s="120" t="s">
        <v>1467</v>
      </c>
      <c r="Z11" s="118" t="s">
        <v>1408</v>
      </c>
      <c r="AA11" s="118" t="s">
        <v>9466</v>
      </c>
      <c r="AB11" s="1" t="str">
        <f t="shared" si="0"/>
        <v>气血上限+16917;防御力+626</v>
      </c>
      <c r="AC11" s="5" t="s">
        <v>9433</v>
      </c>
      <c r="AD11" s="5">
        <v>21147</v>
      </c>
      <c r="AE11" s="5" t="s">
        <v>9434</v>
      </c>
      <c r="AF11" s="5">
        <v>626</v>
      </c>
      <c r="AH11" s="1">
        <f t="shared" si="2"/>
        <v>16917</v>
      </c>
    </row>
    <row r="12" spans="1:34" s="5" customFormat="1" x14ac:dyDescent="0.15">
      <c r="A12" s="41">
        <v>110001</v>
      </c>
      <c r="B12" s="101" t="s">
        <v>885</v>
      </c>
      <c r="C12" s="41" t="s">
        <v>33</v>
      </c>
      <c r="D12" s="41">
        <v>10</v>
      </c>
      <c r="E12" s="41" t="s">
        <v>887</v>
      </c>
      <c r="F12" s="41" t="s">
        <v>888</v>
      </c>
      <c r="G12" s="41">
        <v>1</v>
      </c>
      <c r="H12" s="43">
        <v>3</v>
      </c>
      <c r="I12" s="41" t="s">
        <v>56</v>
      </c>
      <c r="J12" s="41" t="s">
        <v>9442</v>
      </c>
      <c r="K12" s="41">
        <v>0</v>
      </c>
      <c r="L12" s="43">
        <v>1</v>
      </c>
      <c r="M12" s="43" t="b">
        <v>1</v>
      </c>
      <c r="N12" s="41">
        <v>50</v>
      </c>
      <c r="O12" s="41">
        <v>0</v>
      </c>
      <c r="P12" s="41">
        <v>0</v>
      </c>
      <c r="Q12" s="41" t="s">
        <v>38</v>
      </c>
      <c r="R12" s="111" t="s">
        <v>9467</v>
      </c>
      <c r="S12" s="112" t="s">
        <v>891</v>
      </c>
      <c r="T12" s="41">
        <v>200000</v>
      </c>
      <c r="U12" s="112"/>
      <c r="X12" s="41">
        <v>200101</v>
      </c>
      <c r="Y12" s="42" t="s">
        <v>1482</v>
      </c>
      <c r="Z12" s="41" t="s">
        <v>1408</v>
      </c>
      <c r="AA12" s="41" t="s">
        <v>9432</v>
      </c>
      <c r="AB12" s="1" t="str">
        <f t="shared" si="0"/>
        <v>气血上限+285;防御力+8</v>
      </c>
      <c r="AC12" s="5" t="s">
        <v>9433</v>
      </c>
      <c r="AD12" s="5">
        <v>357</v>
      </c>
      <c r="AE12" s="5" t="s">
        <v>9434</v>
      </c>
      <c r="AF12" s="5">
        <v>8</v>
      </c>
      <c r="AH12" s="1">
        <f t="shared" si="2"/>
        <v>285</v>
      </c>
    </row>
    <row r="13" spans="1:34" s="96" customFormat="1" ht="27" x14ac:dyDescent="0.15">
      <c r="A13" s="102">
        <v>111001</v>
      </c>
      <c r="B13" s="103" t="s">
        <v>982</v>
      </c>
      <c r="C13" s="102" t="s">
        <v>33</v>
      </c>
      <c r="D13" s="102">
        <v>11</v>
      </c>
      <c r="E13" s="102" t="s">
        <v>971</v>
      </c>
      <c r="F13" s="102"/>
      <c r="G13" s="102">
        <v>1</v>
      </c>
      <c r="H13" s="104">
        <v>3</v>
      </c>
      <c r="I13" s="102" t="s">
        <v>56</v>
      </c>
      <c r="J13" s="102" t="s">
        <v>1753</v>
      </c>
      <c r="K13" s="102">
        <v>0</v>
      </c>
      <c r="L13" s="104">
        <v>1</v>
      </c>
      <c r="M13" s="104" t="b">
        <v>1</v>
      </c>
      <c r="N13" s="102">
        <v>50</v>
      </c>
      <c r="O13" s="102">
        <v>0</v>
      </c>
      <c r="P13" s="102">
        <v>0</v>
      </c>
      <c r="Q13" s="102" t="s">
        <v>38</v>
      </c>
      <c r="R13" s="86" t="s">
        <v>9468</v>
      </c>
      <c r="S13" s="112" t="s">
        <v>975</v>
      </c>
      <c r="T13" s="102">
        <v>200000</v>
      </c>
      <c r="U13" s="113"/>
      <c r="X13" s="115">
        <v>200102</v>
      </c>
      <c r="Y13" s="121" t="s">
        <v>1486</v>
      </c>
      <c r="Z13" s="115" t="s">
        <v>1408</v>
      </c>
      <c r="AA13" s="115" t="s">
        <v>9437</v>
      </c>
      <c r="AB13" s="1" t="str">
        <f t="shared" si="0"/>
        <v>气血上限+380;防御力+16</v>
      </c>
      <c r="AC13" s="96" t="s">
        <v>9433</v>
      </c>
      <c r="AD13" s="96">
        <v>476</v>
      </c>
      <c r="AE13" s="96" t="s">
        <v>9434</v>
      </c>
      <c r="AF13" s="96">
        <v>16</v>
      </c>
      <c r="AH13" s="1">
        <f t="shared" si="2"/>
        <v>380</v>
      </c>
    </row>
    <row r="14" spans="1:34" s="5" customFormat="1" x14ac:dyDescent="0.15">
      <c r="A14" s="41">
        <v>200001</v>
      </c>
      <c r="B14" s="101" t="s">
        <v>1406</v>
      </c>
      <c r="C14" s="41" t="s">
        <v>1408</v>
      </c>
      <c r="D14" s="41">
        <v>0</v>
      </c>
      <c r="E14" s="41">
        <v>0</v>
      </c>
      <c r="F14" s="41"/>
      <c r="G14" s="41">
        <v>1</v>
      </c>
      <c r="H14" s="43">
        <v>4</v>
      </c>
      <c r="I14" s="41" t="s">
        <v>56</v>
      </c>
      <c r="J14" s="41" t="s">
        <v>9469</v>
      </c>
      <c r="K14" s="41">
        <v>0</v>
      </c>
      <c r="L14" s="43">
        <v>1</v>
      </c>
      <c r="M14" s="43" t="b">
        <v>1</v>
      </c>
      <c r="N14" s="41">
        <v>35</v>
      </c>
      <c r="O14" s="41">
        <v>0</v>
      </c>
      <c r="P14" s="41">
        <v>0</v>
      </c>
      <c r="Q14" s="41" t="s">
        <v>38</v>
      </c>
      <c r="R14" s="111" t="s">
        <v>9470</v>
      </c>
      <c r="S14" s="112" t="s">
        <v>1412</v>
      </c>
      <c r="T14" s="41">
        <v>300000</v>
      </c>
      <c r="U14" s="112"/>
      <c r="X14" s="115">
        <v>200103</v>
      </c>
      <c r="Y14" s="121" t="s">
        <v>1490</v>
      </c>
      <c r="Z14" s="115" t="s">
        <v>1408</v>
      </c>
      <c r="AA14" s="115" t="s">
        <v>9440</v>
      </c>
      <c r="AB14" s="1" t="str">
        <f t="shared" si="0"/>
        <v>气血上限+570;防御力+22</v>
      </c>
      <c r="AC14" s="5" t="s">
        <v>9433</v>
      </c>
      <c r="AD14" s="5">
        <v>713</v>
      </c>
      <c r="AE14" s="5" t="s">
        <v>9434</v>
      </c>
      <c r="AF14" s="5">
        <v>22</v>
      </c>
      <c r="AH14" s="1">
        <f t="shared" si="2"/>
        <v>570</v>
      </c>
    </row>
    <row r="15" spans="1:34" s="5" customFormat="1" x14ac:dyDescent="0.15">
      <c r="A15" s="41">
        <v>300001</v>
      </c>
      <c r="B15" s="101" t="s">
        <v>1513</v>
      </c>
      <c r="C15" s="41" t="s">
        <v>1508</v>
      </c>
      <c r="D15" s="41">
        <v>0</v>
      </c>
      <c r="E15" s="41">
        <v>0</v>
      </c>
      <c r="F15" s="41"/>
      <c r="G15" s="41">
        <v>1</v>
      </c>
      <c r="H15" s="43">
        <v>4</v>
      </c>
      <c r="I15" s="41" t="s">
        <v>56</v>
      </c>
      <c r="J15" s="41" t="s">
        <v>9471</v>
      </c>
      <c r="K15" s="41">
        <v>0</v>
      </c>
      <c r="L15" s="43">
        <v>1</v>
      </c>
      <c r="M15" s="43" t="b">
        <v>1</v>
      </c>
      <c r="N15" s="41">
        <v>20</v>
      </c>
      <c r="O15" s="41">
        <v>0</v>
      </c>
      <c r="P15" s="41">
        <v>0</v>
      </c>
      <c r="Q15" s="41" t="s">
        <v>38</v>
      </c>
      <c r="R15" s="111" t="s">
        <v>9472</v>
      </c>
      <c r="S15" s="112" t="s">
        <v>1512</v>
      </c>
      <c r="T15" s="41">
        <v>300000</v>
      </c>
      <c r="U15" s="112"/>
      <c r="X15" s="116">
        <v>200104</v>
      </c>
      <c r="Y15" s="122" t="s">
        <v>1494</v>
      </c>
      <c r="Z15" s="116" t="s">
        <v>1408</v>
      </c>
      <c r="AA15" s="116" t="s">
        <v>9444</v>
      </c>
      <c r="AB15" s="1" t="str">
        <f t="shared" si="0"/>
        <v>气血上限+950;防御力+36</v>
      </c>
      <c r="AC15" s="5" t="s">
        <v>9433</v>
      </c>
      <c r="AD15" s="5">
        <v>1188</v>
      </c>
      <c r="AE15" s="5" t="s">
        <v>9434</v>
      </c>
      <c r="AF15" s="5">
        <v>36</v>
      </c>
      <c r="AH15" s="1">
        <f t="shared" si="2"/>
        <v>950</v>
      </c>
    </row>
    <row r="16" spans="1:34" s="5" customFormat="1" x14ac:dyDescent="0.15">
      <c r="A16" s="41">
        <v>400001</v>
      </c>
      <c r="B16" s="105" t="s">
        <v>9473</v>
      </c>
      <c r="C16" s="41" t="s">
        <v>1594</v>
      </c>
      <c r="D16" s="41">
        <v>0</v>
      </c>
      <c r="E16" s="41">
        <v>0</v>
      </c>
      <c r="F16" s="41"/>
      <c r="G16" s="41">
        <v>1</v>
      </c>
      <c r="H16" s="43">
        <v>4</v>
      </c>
      <c r="I16" s="41" t="s">
        <v>56</v>
      </c>
      <c r="J16" s="41" t="s">
        <v>9474</v>
      </c>
      <c r="K16" s="41">
        <v>0</v>
      </c>
      <c r="L16" s="43">
        <v>1</v>
      </c>
      <c r="M16" s="43" t="b">
        <v>1</v>
      </c>
      <c r="N16" s="41">
        <v>25</v>
      </c>
      <c r="O16" s="41">
        <v>0</v>
      </c>
      <c r="P16" s="41">
        <v>0</v>
      </c>
      <c r="Q16" s="41" t="s">
        <v>38</v>
      </c>
      <c r="R16" s="111" t="s">
        <v>9475</v>
      </c>
      <c r="S16" s="112" t="s">
        <v>1597</v>
      </c>
      <c r="T16" s="41">
        <v>300000</v>
      </c>
      <c r="U16" s="112"/>
      <c r="X16" s="105">
        <v>200106</v>
      </c>
      <c r="Y16" s="105" t="s">
        <v>1498</v>
      </c>
      <c r="Z16" s="43" t="s">
        <v>1408</v>
      </c>
      <c r="AA16" s="84" t="s">
        <v>9449</v>
      </c>
      <c r="AB16" s="1" t="str">
        <f t="shared" si="0"/>
        <v>气血上限+2471;防御力+92</v>
      </c>
      <c r="AC16" s="5" t="s">
        <v>9433</v>
      </c>
      <c r="AD16" s="5">
        <v>3089</v>
      </c>
      <c r="AE16" s="5" t="s">
        <v>9434</v>
      </c>
      <c r="AF16" s="5">
        <v>92</v>
      </c>
      <c r="AH16" s="1">
        <f t="shared" si="2"/>
        <v>2471</v>
      </c>
    </row>
    <row r="17" spans="1:34" s="5" customFormat="1" x14ac:dyDescent="0.15">
      <c r="A17" s="41">
        <v>500001</v>
      </c>
      <c r="B17" s="101" t="s">
        <v>9476</v>
      </c>
      <c r="C17" s="41" t="s">
        <v>1672</v>
      </c>
      <c r="D17" s="41">
        <v>0</v>
      </c>
      <c r="E17" s="41">
        <v>0</v>
      </c>
      <c r="F17" s="41"/>
      <c r="G17" s="41">
        <v>1</v>
      </c>
      <c r="H17" s="43">
        <v>4</v>
      </c>
      <c r="I17" s="41" t="s">
        <v>56</v>
      </c>
      <c r="J17" s="41" t="s">
        <v>9477</v>
      </c>
      <c r="K17" s="41">
        <v>0</v>
      </c>
      <c r="L17" s="43">
        <v>1</v>
      </c>
      <c r="M17" s="43" t="b">
        <v>1</v>
      </c>
      <c r="N17" s="41">
        <v>30</v>
      </c>
      <c r="O17" s="41">
        <v>0</v>
      </c>
      <c r="P17" s="41">
        <v>0</v>
      </c>
      <c r="Q17" s="41" t="s">
        <v>38</v>
      </c>
      <c r="R17" s="111" t="s">
        <v>9478</v>
      </c>
      <c r="S17" s="112" t="s">
        <v>1675</v>
      </c>
      <c r="T17" s="41">
        <v>300000</v>
      </c>
      <c r="U17" s="112"/>
      <c r="X17" s="41">
        <v>200201</v>
      </c>
      <c r="Y17" s="84" t="s">
        <v>1503</v>
      </c>
      <c r="Z17" s="105" t="s">
        <v>1408</v>
      </c>
      <c r="AA17" s="105" t="s">
        <v>9432</v>
      </c>
      <c r="AB17" s="1" t="str">
        <f t="shared" si="0"/>
        <v>气血上限+285;防御力+8</v>
      </c>
      <c r="AC17" s="5" t="s">
        <v>9433</v>
      </c>
      <c r="AD17" s="5">
        <v>357</v>
      </c>
      <c r="AE17" s="5" t="s">
        <v>9434</v>
      </c>
      <c r="AF17" s="5">
        <v>8</v>
      </c>
      <c r="AH17" s="1">
        <f t="shared" si="2"/>
        <v>285</v>
      </c>
    </row>
    <row r="18" spans="1:34" s="5" customFormat="1" x14ac:dyDescent="0.15">
      <c r="A18" s="41">
        <v>600001</v>
      </c>
      <c r="B18" s="101" t="s">
        <v>9479</v>
      </c>
      <c r="C18" s="41" t="s">
        <v>1746</v>
      </c>
      <c r="D18" s="41">
        <v>0</v>
      </c>
      <c r="E18" s="41">
        <v>0</v>
      </c>
      <c r="F18" s="41"/>
      <c r="G18" s="41">
        <v>1</v>
      </c>
      <c r="H18" s="43">
        <v>2</v>
      </c>
      <c r="I18" s="41" t="s">
        <v>56</v>
      </c>
      <c r="J18" s="41" t="s">
        <v>9480</v>
      </c>
      <c r="K18" s="41">
        <v>0</v>
      </c>
      <c r="L18" s="43">
        <v>1</v>
      </c>
      <c r="M18" s="43" t="b">
        <v>1</v>
      </c>
      <c r="N18" s="41">
        <v>18</v>
      </c>
      <c r="O18" s="41">
        <v>0</v>
      </c>
      <c r="P18" s="41">
        <v>0</v>
      </c>
      <c r="Q18" s="41" t="s">
        <v>38</v>
      </c>
      <c r="R18" s="111" t="s">
        <v>9481</v>
      </c>
      <c r="S18" s="112" t="s">
        <v>1750</v>
      </c>
      <c r="T18" s="41">
        <v>300000</v>
      </c>
      <c r="U18" s="112"/>
      <c r="X18" s="15">
        <v>300001</v>
      </c>
      <c r="Y18" s="16" t="s">
        <v>1506</v>
      </c>
      <c r="Z18" s="15" t="s">
        <v>1508</v>
      </c>
      <c r="AA18" s="15" t="s">
        <v>9482</v>
      </c>
      <c r="AB18" s="1" t="str">
        <f t="shared" si="0"/>
        <v>气血上限+190;防御力+6</v>
      </c>
      <c r="AC18" s="5" t="s">
        <v>9433</v>
      </c>
      <c r="AD18" s="5">
        <v>238</v>
      </c>
      <c r="AE18" s="5" t="s">
        <v>9434</v>
      </c>
      <c r="AF18" s="5">
        <v>6</v>
      </c>
      <c r="AH18" s="1">
        <f t="shared" si="2"/>
        <v>190</v>
      </c>
    </row>
    <row r="19" spans="1:34" s="5" customFormat="1" x14ac:dyDescent="0.15">
      <c r="A19" s="41">
        <v>700001</v>
      </c>
      <c r="B19" s="101" t="s">
        <v>9483</v>
      </c>
      <c r="C19" s="41" t="s">
        <v>1832</v>
      </c>
      <c r="D19" s="41">
        <v>0</v>
      </c>
      <c r="E19" s="41">
        <v>0</v>
      </c>
      <c r="F19" s="41"/>
      <c r="G19" s="41">
        <v>1</v>
      </c>
      <c r="H19" s="43">
        <v>2</v>
      </c>
      <c r="I19" s="41" t="s">
        <v>56</v>
      </c>
      <c r="J19" s="41" t="s">
        <v>9484</v>
      </c>
      <c r="K19" s="41">
        <v>0</v>
      </c>
      <c r="L19" s="43">
        <v>1</v>
      </c>
      <c r="M19" s="43" t="b">
        <v>1</v>
      </c>
      <c r="N19" s="41">
        <v>22</v>
      </c>
      <c r="O19" s="41">
        <v>0</v>
      </c>
      <c r="P19" s="41">
        <v>0</v>
      </c>
      <c r="Q19" s="41" t="s">
        <v>38</v>
      </c>
      <c r="R19" s="111" t="s">
        <v>9485</v>
      </c>
      <c r="S19" s="112" t="s">
        <v>1836</v>
      </c>
      <c r="T19" s="41">
        <v>300000</v>
      </c>
      <c r="U19" s="112"/>
      <c r="X19" s="15">
        <v>300002</v>
      </c>
      <c r="Y19" s="16" t="s">
        <v>1513</v>
      </c>
      <c r="Z19" s="15" t="s">
        <v>1508</v>
      </c>
      <c r="AA19" s="15" t="s">
        <v>9486</v>
      </c>
      <c r="AB19" s="1" t="str">
        <f t="shared" si="0"/>
        <v>气血上限+380;防御力+10</v>
      </c>
      <c r="AC19" s="5" t="s">
        <v>9433</v>
      </c>
      <c r="AD19" s="5">
        <v>476</v>
      </c>
      <c r="AE19" s="5" t="s">
        <v>9434</v>
      </c>
      <c r="AF19" s="5">
        <v>10</v>
      </c>
      <c r="AH19" s="1">
        <f t="shared" si="2"/>
        <v>380</v>
      </c>
    </row>
    <row r="20" spans="1:34" s="5" customFormat="1" x14ac:dyDescent="0.15">
      <c r="A20" s="41">
        <v>800001</v>
      </c>
      <c r="B20" s="101" t="s">
        <v>1919</v>
      </c>
      <c r="C20" s="41" t="s">
        <v>1908</v>
      </c>
      <c r="D20" s="41">
        <v>0</v>
      </c>
      <c r="E20" s="41">
        <v>0</v>
      </c>
      <c r="F20" s="41"/>
      <c r="G20" s="41">
        <v>1</v>
      </c>
      <c r="H20" s="43">
        <v>2</v>
      </c>
      <c r="I20" s="41" t="s">
        <v>56</v>
      </c>
      <c r="J20" s="41" t="s">
        <v>9484</v>
      </c>
      <c r="K20" s="41">
        <v>0</v>
      </c>
      <c r="L20" s="43">
        <v>1</v>
      </c>
      <c r="M20" s="43" t="b">
        <v>1</v>
      </c>
      <c r="N20" s="41">
        <v>17</v>
      </c>
      <c r="O20" s="41">
        <v>0</v>
      </c>
      <c r="P20" s="41">
        <v>0</v>
      </c>
      <c r="Q20" s="41" t="s">
        <v>38</v>
      </c>
      <c r="R20" s="111" t="s">
        <v>9487</v>
      </c>
      <c r="S20" s="112" t="s">
        <v>1912</v>
      </c>
      <c r="T20" s="41">
        <v>300000</v>
      </c>
      <c r="U20" s="112"/>
      <c r="X20" s="15">
        <v>300003</v>
      </c>
      <c r="Y20" s="17" t="s">
        <v>1519</v>
      </c>
      <c r="Z20" s="15" t="s">
        <v>1508</v>
      </c>
      <c r="AA20" s="15" t="s">
        <v>9488</v>
      </c>
      <c r="AB20" s="1" t="str">
        <f t="shared" si="0"/>
        <v>气血上限+570;防御力+16</v>
      </c>
      <c r="AC20" s="5" t="s">
        <v>9433</v>
      </c>
      <c r="AD20" s="5">
        <v>713</v>
      </c>
      <c r="AE20" s="5" t="s">
        <v>9434</v>
      </c>
      <c r="AF20" s="5">
        <v>16</v>
      </c>
      <c r="AH20" s="1">
        <f t="shared" si="2"/>
        <v>570</v>
      </c>
    </row>
    <row r="21" spans="1:34" s="5" customFormat="1" x14ac:dyDescent="0.15">
      <c r="A21" s="41">
        <v>101002</v>
      </c>
      <c r="B21" s="101" t="s">
        <v>9489</v>
      </c>
      <c r="C21" s="41" t="s">
        <v>33</v>
      </c>
      <c r="D21" s="41">
        <v>1</v>
      </c>
      <c r="E21" s="41" t="s">
        <v>34</v>
      </c>
      <c r="F21" s="41"/>
      <c r="G21" s="41">
        <v>1</v>
      </c>
      <c r="H21" s="43">
        <v>3</v>
      </c>
      <c r="I21" s="41" t="s">
        <v>63</v>
      </c>
      <c r="J21" s="41" t="s">
        <v>9490</v>
      </c>
      <c r="K21" s="41">
        <v>0</v>
      </c>
      <c r="L21" s="43">
        <v>1</v>
      </c>
      <c r="M21" s="43" t="b">
        <v>1</v>
      </c>
      <c r="N21" s="41">
        <v>120</v>
      </c>
      <c r="O21" s="41">
        <v>0</v>
      </c>
      <c r="P21" s="41">
        <v>1</v>
      </c>
      <c r="Q21" s="41" t="s">
        <v>38</v>
      </c>
      <c r="R21" s="111" t="s">
        <v>9491</v>
      </c>
      <c r="S21" s="112" t="s">
        <v>48</v>
      </c>
      <c r="T21" s="41">
        <v>300000</v>
      </c>
      <c r="U21" s="112"/>
      <c r="X21" s="15">
        <v>300004</v>
      </c>
      <c r="Y21" s="71" t="s">
        <v>1525</v>
      </c>
      <c r="Z21" s="15" t="s">
        <v>1508</v>
      </c>
      <c r="AA21" s="15" t="s">
        <v>9492</v>
      </c>
      <c r="AB21" s="1" t="str">
        <f t="shared" si="0"/>
        <v>气血上限+950;防御力+24</v>
      </c>
      <c r="AC21" s="5" t="s">
        <v>9433</v>
      </c>
      <c r="AD21" s="5">
        <v>1188</v>
      </c>
      <c r="AE21" s="5" t="s">
        <v>9434</v>
      </c>
      <c r="AF21" s="5">
        <v>24</v>
      </c>
      <c r="AH21" s="1">
        <f t="shared" si="2"/>
        <v>950</v>
      </c>
    </row>
    <row r="22" spans="1:34" s="5" customFormat="1" x14ac:dyDescent="0.15">
      <c r="A22" s="41">
        <v>102002</v>
      </c>
      <c r="B22" s="101" t="s">
        <v>9493</v>
      </c>
      <c r="C22" s="41" t="s">
        <v>33</v>
      </c>
      <c r="D22" s="41">
        <v>2</v>
      </c>
      <c r="E22" s="41" t="s">
        <v>134</v>
      </c>
      <c r="F22" s="41" t="s">
        <v>146</v>
      </c>
      <c r="G22" s="41">
        <v>1</v>
      </c>
      <c r="H22" s="43">
        <v>3</v>
      </c>
      <c r="I22" s="41" t="s">
        <v>63</v>
      </c>
      <c r="J22" s="41" t="s">
        <v>9494</v>
      </c>
      <c r="K22" s="41">
        <v>0</v>
      </c>
      <c r="L22" s="43">
        <v>1</v>
      </c>
      <c r="M22" s="43" t="b">
        <v>1</v>
      </c>
      <c r="N22" s="41">
        <v>120</v>
      </c>
      <c r="O22" s="41">
        <v>0</v>
      </c>
      <c r="P22" s="41">
        <v>1</v>
      </c>
      <c r="Q22" s="41" t="s">
        <v>38</v>
      </c>
      <c r="R22" s="111" t="s">
        <v>9495</v>
      </c>
      <c r="S22" s="112" t="s">
        <v>149</v>
      </c>
      <c r="T22" s="41">
        <v>300000</v>
      </c>
      <c r="U22" s="112"/>
      <c r="X22" s="17">
        <v>300005</v>
      </c>
      <c r="Y22" s="17" t="s">
        <v>1531</v>
      </c>
      <c r="Z22" s="118" t="s">
        <v>1508</v>
      </c>
      <c r="AA22" s="118" t="s">
        <v>9496</v>
      </c>
      <c r="AB22" s="1" t="str">
        <f t="shared" si="0"/>
        <v>气血上限+1520;防御力+38</v>
      </c>
      <c r="AC22" s="5" t="s">
        <v>9433</v>
      </c>
      <c r="AD22" s="5">
        <v>1901</v>
      </c>
      <c r="AE22" s="5" t="s">
        <v>9434</v>
      </c>
      <c r="AF22" s="5">
        <v>38</v>
      </c>
      <c r="AH22" s="1">
        <f t="shared" si="2"/>
        <v>1520</v>
      </c>
    </row>
    <row r="23" spans="1:34" s="5" customFormat="1" x14ac:dyDescent="0.15">
      <c r="A23" s="41">
        <v>102102</v>
      </c>
      <c r="B23" s="101" t="s">
        <v>9497</v>
      </c>
      <c r="C23" s="41" t="s">
        <v>33</v>
      </c>
      <c r="D23" s="41">
        <v>2</v>
      </c>
      <c r="E23" s="41" t="s">
        <v>134</v>
      </c>
      <c r="F23" s="41" t="s">
        <v>242</v>
      </c>
      <c r="G23" s="41">
        <v>1</v>
      </c>
      <c r="H23" s="43">
        <v>3</v>
      </c>
      <c r="I23" s="41" t="s">
        <v>63</v>
      </c>
      <c r="J23" s="41" t="s">
        <v>9498</v>
      </c>
      <c r="K23" s="41">
        <v>0</v>
      </c>
      <c r="L23" s="43">
        <v>1</v>
      </c>
      <c r="M23" s="43" t="b">
        <v>1</v>
      </c>
      <c r="N23" s="41">
        <v>120</v>
      </c>
      <c r="O23" s="41">
        <v>0</v>
      </c>
      <c r="P23" s="41">
        <v>1</v>
      </c>
      <c r="Q23" s="41" t="s">
        <v>38</v>
      </c>
      <c r="R23" s="111" t="s">
        <v>9499</v>
      </c>
      <c r="S23" s="112" t="s">
        <v>227</v>
      </c>
      <c r="T23" s="41">
        <v>200000</v>
      </c>
      <c r="U23" s="112"/>
      <c r="X23" s="17">
        <v>300006</v>
      </c>
      <c r="Y23" s="17" t="s">
        <v>1537</v>
      </c>
      <c r="Z23" s="118" t="s">
        <v>1508</v>
      </c>
      <c r="AA23" s="118" t="s">
        <v>9500</v>
      </c>
      <c r="AB23" s="1" t="str">
        <f t="shared" si="0"/>
        <v>气血上限+2471;防御力+62</v>
      </c>
      <c r="AC23" s="5" t="s">
        <v>9433</v>
      </c>
      <c r="AD23" s="5">
        <v>3089</v>
      </c>
      <c r="AE23" s="5" t="s">
        <v>9434</v>
      </c>
      <c r="AF23" s="5">
        <v>62</v>
      </c>
      <c r="AH23" s="1">
        <f t="shared" si="2"/>
        <v>2471</v>
      </c>
    </row>
    <row r="24" spans="1:34" s="5" customFormat="1" x14ac:dyDescent="0.15">
      <c r="A24" s="41">
        <v>104002</v>
      </c>
      <c r="B24" s="101" t="s">
        <v>9501</v>
      </c>
      <c r="C24" s="41" t="s">
        <v>33</v>
      </c>
      <c r="D24" s="41">
        <v>4</v>
      </c>
      <c r="E24" s="41" t="s">
        <v>447</v>
      </c>
      <c r="F24" s="41" t="s">
        <v>457</v>
      </c>
      <c r="G24" s="41">
        <v>1</v>
      </c>
      <c r="H24" s="43">
        <v>3</v>
      </c>
      <c r="I24" s="41" t="s">
        <v>63</v>
      </c>
      <c r="J24" s="41" t="s">
        <v>9498</v>
      </c>
      <c r="K24" s="41">
        <v>0</v>
      </c>
      <c r="L24" s="43">
        <v>1</v>
      </c>
      <c r="M24" s="43" t="b">
        <v>1</v>
      </c>
      <c r="N24" s="41">
        <v>120</v>
      </c>
      <c r="O24" s="41">
        <v>0</v>
      </c>
      <c r="P24" s="41">
        <v>1</v>
      </c>
      <c r="Q24" s="41" t="s">
        <v>38</v>
      </c>
      <c r="R24" s="111" t="s">
        <v>9502</v>
      </c>
      <c r="S24" s="112" t="s">
        <v>460</v>
      </c>
      <c r="T24" s="41">
        <v>100000</v>
      </c>
      <c r="U24" s="112"/>
      <c r="X24" s="17">
        <v>300007</v>
      </c>
      <c r="Y24" s="17" t="s">
        <v>1543</v>
      </c>
      <c r="Z24" s="118" t="s">
        <v>1508</v>
      </c>
      <c r="AA24" s="118" t="s">
        <v>9503</v>
      </c>
      <c r="AB24" s="1" t="str">
        <f t="shared" si="0"/>
        <v>气血上限+3992;防御力+100</v>
      </c>
      <c r="AC24" s="5" t="s">
        <v>9433</v>
      </c>
      <c r="AD24" s="5">
        <v>4990</v>
      </c>
      <c r="AE24" s="5" t="s">
        <v>9434</v>
      </c>
      <c r="AF24" s="5">
        <v>100</v>
      </c>
      <c r="AH24" s="1">
        <f t="shared" si="2"/>
        <v>3992</v>
      </c>
    </row>
    <row r="25" spans="1:34" s="96" customFormat="1" x14ac:dyDescent="0.15">
      <c r="A25" s="102">
        <v>104102</v>
      </c>
      <c r="B25" s="103" t="s">
        <v>9504</v>
      </c>
      <c r="C25" s="102" t="s">
        <v>33</v>
      </c>
      <c r="D25" s="102">
        <v>4</v>
      </c>
      <c r="E25" s="102" t="s">
        <v>447</v>
      </c>
      <c r="F25" s="102" t="s">
        <v>526</v>
      </c>
      <c r="G25" s="102">
        <v>1</v>
      </c>
      <c r="H25" s="104">
        <v>3</v>
      </c>
      <c r="I25" s="102" t="s">
        <v>63</v>
      </c>
      <c r="J25" s="102" t="s">
        <v>9505</v>
      </c>
      <c r="K25" s="102">
        <v>0</v>
      </c>
      <c r="L25" s="104">
        <v>1</v>
      </c>
      <c r="M25" s="104" t="b">
        <v>1</v>
      </c>
      <c r="N25" s="102">
        <v>121</v>
      </c>
      <c r="O25" s="102">
        <v>0</v>
      </c>
      <c r="P25" s="102">
        <v>1</v>
      </c>
      <c r="Q25" s="102" t="s">
        <v>38</v>
      </c>
      <c r="R25" s="86" t="s">
        <v>9506</v>
      </c>
      <c r="S25" s="113" t="s">
        <v>9507</v>
      </c>
      <c r="T25" s="41">
        <v>100000</v>
      </c>
      <c r="U25" s="113"/>
      <c r="X25" s="114">
        <v>300107</v>
      </c>
      <c r="Y25" s="114" t="s">
        <v>1549</v>
      </c>
      <c r="Z25" s="119" t="s">
        <v>1508</v>
      </c>
      <c r="AA25" s="119" t="s">
        <v>9503</v>
      </c>
      <c r="AB25" s="1" t="str">
        <f t="shared" si="0"/>
        <v>气血上限+3992;防御力+100</v>
      </c>
      <c r="AC25" s="96" t="s">
        <v>9433</v>
      </c>
      <c r="AD25" s="96">
        <v>4990</v>
      </c>
      <c r="AE25" s="96" t="s">
        <v>9434</v>
      </c>
      <c r="AF25" s="96">
        <v>100</v>
      </c>
      <c r="AH25" s="1">
        <f t="shared" si="2"/>
        <v>3992</v>
      </c>
    </row>
    <row r="26" spans="1:34" s="5" customFormat="1" ht="27" x14ac:dyDescent="0.15">
      <c r="A26" s="41">
        <v>105002</v>
      </c>
      <c r="B26" s="101" t="s">
        <v>9508</v>
      </c>
      <c r="C26" s="41" t="s">
        <v>33</v>
      </c>
      <c r="D26" s="41">
        <v>5</v>
      </c>
      <c r="E26" s="41" t="s">
        <v>631</v>
      </c>
      <c r="F26" s="41" t="s">
        <v>641</v>
      </c>
      <c r="G26" s="41">
        <v>1</v>
      </c>
      <c r="H26" s="43">
        <v>3</v>
      </c>
      <c r="I26" s="41" t="s">
        <v>63</v>
      </c>
      <c r="J26" s="41" t="s">
        <v>9509</v>
      </c>
      <c r="K26" s="41">
        <v>0</v>
      </c>
      <c r="L26" s="43">
        <v>1</v>
      </c>
      <c r="M26" s="43" t="b">
        <v>1</v>
      </c>
      <c r="N26" s="41">
        <v>120</v>
      </c>
      <c r="O26" s="41">
        <v>0</v>
      </c>
      <c r="P26" s="41">
        <v>1</v>
      </c>
      <c r="Q26" s="41" t="s">
        <v>38</v>
      </c>
      <c r="R26" s="111" t="s">
        <v>9510</v>
      </c>
      <c r="S26" s="112" t="s">
        <v>644</v>
      </c>
      <c r="T26" s="41">
        <v>100000</v>
      </c>
      <c r="U26" s="112"/>
      <c r="X26" s="17">
        <v>300008</v>
      </c>
      <c r="Y26" t="s">
        <v>1553</v>
      </c>
      <c r="Z26" s="118" t="s">
        <v>1508</v>
      </c>
      <c r="AA26" s="118" t="s">
        <v>9511</v>
      </c>
      <c r="AB26" s="1" t="str">
        <f t="shared" si="0"/>
        <v>气血上限+6463;防御力+160</v>
      </c>
      <c r="AC26" s="5" t="s">
        <v>9433</v>
      </c>
      <c r="AD26" s="5">
        <v>8079</v>
      </c>
      <c r="AE26" s="5" t="s">
        <v>9434</v>
      </c>
      <c r="AF26" s="5">
        <v>160</v>
      </c>
      <c r="AH26" s="1">
        <f t="shared" si="2"/>
        <v>6463</v>
      </c>
    </row>
    <row r="27" spans="1:34" s="5" customFormat="1" x14ac:dyDescent="0.15">
      <c r="A27" s="41">
        <v>103002</v>
      </c>
      <c r="B27" s="101" t="s">
        <v>9512</v>
      </c>
      <c r="C27" s="41" t="s">
        <v>33</v>
      </c>
      <c r="D27" s="41">
        <v>3</v>
      </c>
      <c r="E27" s="41" t="s">
        <v>363</v>
      </c>
      <c r="F27" s="41" t="s">
        <v>388</v>
      </c>
      <c r="G27" s="41">
        <v>1</v>
      </c>
      <c r="H27" s="43">
        <v>3</v>
      </c>
      <c r="I27" s="41" t="s">
        <v>63</v>
      </c>
      <c r="J27" s="41" t="s">
        <v>9513</v>
      </c>
      <c r="K27" s="41">
        <v>0</v>
      </c>
      <c r="L27" s="43">
        <v>1</v>
      </c>
      <c r="M27" s="43" t="b">
        <v>1</v>
      </c>
      <c r="N27" s="41">
        <v>120</v>
      </c>
      <c r="O27" s="41">
        <v>0</v>
      </c>
      <c r="P27" s="41">
        <v>1</v>
      </c>
      <c r="Q27" s="41" t="s">
        <v>38</v>
      </c>
      <c r="R27" s="111" t="s">
        <v>9514</v>
      </c>
      <c r="S27" s="112" t="s">
        <v>373</v>
      </c>
      <c r="T27" s="41">
        <v>100000</v>
      </c>
      <c r="U27" s="112"/>
      <c r="X27" s="17">
        <v>300009</v>
      </c>
      <c r="Y27" s="17" t="s">
        <v>1559</v>
      </c>
      <c r="Z27" s="118" t="s">
        <v>1508</v>
      </c>
      <c r="AA27" s="118" t="s">
        <v>9515</v>
      </c>
      <c r="AB27" s="1" t="str">
        <f t="shared" si="0"/>
        <v>气血上限+10454;防御力+258</v>
      </c>
      <c r="AC27" s="5" t="s">
        <v>9433</v>
      </c>
      <c r="AD27" s="5">
        <v>13068</v>
      </c>
      <c r="AE27" s="5" t="s">
        <v>9434</v>
      </c>
      <c r="AF27" s="5">
        <v>258</v>
      </c>
      <c r="AH27" s="1">
        <f t="shared" si="2"/>
        <v>10454</v>
      </c>
    </row>
    <row r="28" spans="1:34" s="5" customFormat="1" ht="27" x14ac:dyDescent="0.15">
      <c r="A28" s="41">
        <v>106002</v>
      </c>
      <c r="B28" s="101" t="s">
        <v>725</v>
      </c>
      <c r="C28" s="41" t="s">
        <v>33</v>
      </c>
      <c r="D28" s="41">
        <v>6</v>
      </c>
      <c r="E28" s="41" t="s">
        <v>727</v>
      </c>
      <c r="F28" s="41"/>
      <c r="G28" s="41">
        <v>1</v>
      </c>
      <c r="H28" s="43">
        <v>3</v>
      </c>
      <c r="I28" s="41" t="s">
        <v>63</v>
      </c>
      <c r="J28" s="41" t="s">
        <v>9490</v>
      </c>
      <c r="K28" s="41">
        <v>0</v>
      </c>
      <c r="L28" s="43">
        <v>1</v>
      </c>
      <c r="M28" s="43" t="b">
        <v>1</v>
      </c>
      <c r="N28" s="41">
        <v>120</v>
      </c>
      <c r="O28" s="41">
        <v>0</v>
      </c>
      <c r="P28" s="41">
        <v>1</v>
      </c>
      <c r="Q28" s="41" t="s">
        <v>38</v>
      </c>
      <c r="R28" s="111" t="s">
        <v>9516</v>
      </c>
      <c r="S28" s="112" t="s">
        <v>737</v>
      </c>
      <c r="T28" s="41">
        <v>100000</v>
      </c>
      <c r="U28" s="112"/>
      <c r="X28" s="17">
        <v>300010</v>
      </c>
      <c r="Y28" s="17" t="s">
        <v>1565</v>
      </c>
      <c r="Z28" s="118" t="s">
        <v>1508</v>
      </c>
      <c r="AA28" s="118" t="s">
        <v>9517</v>
      </c>
      <c r="AB28" s="1" t="str">
        <f t="shared" si="0"/>
        <v>气血上限+16917;防御力+418</v>
      </c>
      <c r="AC28" s="5" t="s">
        <v>9433</v>
      </c>
      <c r="AD28" s="5">
        <v>21147</v>
      </c>
      <c r="AE28" s="5" t="s">
        <v>9434</v>
      </c>
      <c r="AF28" s="5">
        <v>418</v>
      </c>
      <c r="AH28" s="1">
        <f t="shared" si="2"/>
        <v>16917</v>
      </c>
    </row>
    <row r="29" spans="1:34" s="5" customFormat="1" x14ac:dyDescent="0.15">
      <c r="A29" s="41">
        <v>109002</v>
      </c>
      <c r="B29" s="101" t="s">
        <v>9518</v>
      </c>
      <c r="C29" s="41" t="s">
        <v>33</v>
      </c>
      <c r="D29" s="41">
        <v>9</v>
      </c>
      <c r="E29" s="41" t="s">
        <v>812</v>
      </c>
      <c r="F29" s="41"/>
      <c r="G29" s="41">
        <v>1</v>
      </c>
      <c r="H29" s="43">
        <v>3</v>
      </c>
      <c r="I29" s="41" t="s">
        <v>63</v>
      </c>
      <c r="J29" s="41" t="s">
        <v>9494</v>
      </c>
      <c r="K29" s="41">
        <v>0</v>
      </c>
      <c r="L29" s="43">
        <v>1</v>
      </c>
      <c r="M29" s="43" t="b">
        <v>1</v>
      </c>
      <c r="N29" s="41">
        <v>120</v>
      </c>
      <c r="O29" s="41">
        <v>0</v>
      </c>
      <c r="P29" s="41">
        <v>1</v>
      </c>
      <c r="Q29" s="41" t="s">
        <v>38</v>
      </c>
      <c r="R29" s="111" t="s">
        <v>9519</v>
      </c>
      <c r="S29" s="112" t="s">
        <v>820</v>
      </c>
      <c r="T29" s="41">
        <v>100000</v>
      </c>
      <c r="U29" s="112"/>
      <c r="X29" s="115">
        <v>300102</v>
      </c>
      <c r="Y29" s="121" t="s">
        <v>1580</v>
      </c>
      <c r="Z29" s="121" t="s">
        <v>1508</v>
      </c>
      <c r="AA29" s="121" t="s">
        <v>9486</v>
      </c>
      <c r="AB29" s="1" t="str">
        <f t="shared" si="0"/>
        <v>气血上限+380;防御力+10</v>
      </c>
      <c r="AC29" s="5" t="s">
        <v>9433</v>
      </c>
      <c r="AD29" s="5">
        <v>476</v>
      </c>
      <c r="AE29" s="5" t="s">
        <v>9434</v>
      </c>
      <c r="AF29" s="5">
        <v>10</v>
      </c>
      <c r="AH29" s="1">
        <f t="shared" si="2"/>
        <v>380</v>
      </c>
    </row>
    <row r="30" spans="1:34" s="5" customFormat="1" ht="27" x14ac:dyDescent="0.15">
      <c r="A30" s="41">
        <v>110002</v>
      </c>
      <c r="B30" s="101" t="s">
        <v>892</v>
      </c>
      <c r="C30" s="41" t="s">
        <v>33</v>
      </c>
      <c r="D30" s="41">
        <v>10</v>
      </c>
      <c r="E30" s="41" t="s">
        <v>887</v>
      </c>
      <c r="F30" s="41" t="s">
        <v>894</v>
      </c>
      <c r="G30" s="41">
        <v>1</v>
      </c>
      <c r="H30" s="43">
        <v>3</v>
      </c>
      <c r="I30" s="41" t="s">
        <v>63</v>
      </c>
      <c r="J30" s="41" t="s">
        <v>9494</v>
      </c>
      <c r="K30" s="41">
        <v>0</v>
      </c>
      <c r="L30" s="43">
        <v>1</v>
      </c>
      <c r="M30" s="43" t="b">
        <v>1</v>
      </c>
      <c r="N30" s="41">
        <v>120</v>
      </c>
      <c r="O30" s="41">
        <v>0</v>
      </c>
      <c r="P30" s="41">
        <v>1</v>
      </c>
      <c r="Q30" s="41" t="s">
        <v>38</v>
      </c>
      <c r="R30" s="111" t="s">
        <v>9520</v>
      </c>
      <c r="S30" s="112" t="s">
        <v>897</v>
      </c>
      <c r="T30" s="41">
        <v>100000</v>
      </c>
      <c r="U30" s="112"/>
      <c r="X30" s="115">
        <v>300103</v>
      </c>
      <c r="Y30" s="123" t="s">
        <v>1584</v>
      </c>
      <c r="Z30" s="115" t="s">
        <v>1508</v>
      </c>
      <c r="AA30" s="115" t="s">
        <v>9488</v>
      </c>
      <c r="AB30" s="1" t="str">
        <f t="shared" si="0"/>
        <v>气血上限+570;防御力+16</v>
      </c>
      <c r="AC30" s="5" t="s">
        <v>9433</v>
      </c>
      <c r="AD30" s="5">
        <v>713</v>
      </c>
      <c r="AE30" s="5" t="s">
        <v>9434</v>
      </c>
      <c r="AF30" s="5">
        <v>16</v>
      </c>
      <c r="AH30" s="1">
        <f t="shared" si="2"/>
        <v>570</v>
      </c>
    </row>
    <row r="31" spans="1:34" s="5" customFormat="1" x14ac:dyDescent="0.15">
      <c r="A31" s="41">
        <v>200002</v>
      </c>
      <c r="B31" s="101" t="s">
        <v>9521</v>
      </c>
      <c r="C31" s="41" t="s">
        <v>1408</v>
      </c>
      <c r="D31" s="41">
        <v>0</v>
      </c>
      <c r="E31" s="41">
        <v>0</v>
      </c>
      <c r="F31" s="41"/>
      <c r="G31" s="41">
        <v>1</v>
      </c>
      <c r="H31" s="43">
        <v>4</v>
      </c>
      <c r="I31" s="41" t="s">
        <v>63</v>
      </c>
      <c r="J31" s="41" t="s">
        <v>9522</v>
      </c>
      <c r="K31" s="41">
        <v>0</v>
      </c>
      <c r="L31" s="43">
        <v>1</v>
      </c>
      <c r="M31" s="43" t="b">
        <v>1</v>
      </c>
      <c r="N31" s="41">
        <v>100</v>
      </c>
      <c r="O31" s="41">
        <v>0</v>
      </c>
      <c r="P31" s="41">
        <v>1</v>
      </c>
      <c r="Q31" s="41" t="s">
        <v>38</v>
      </c>
      <c r="R31" s="111" t="s">
        <v>9523</v>
      </c>
      <c r="S31" s="112" t="s">
        <v>1418</v>
      </c>
      <c r="T31" s="41">
        <v>100000</v>
      </c>
      <c r="U31" s="112"/>
      <c r="X31" s="117">
        <v>300104</v>
      </c>
      <c r="Y31" s="122" t="s">
        <v>1588</v>
      </c>
      <c r="Z31" s="117" t="s">
        <v>1508</v>
      </c>
      <c r="AA31" s="117" t="s">
        <v>9492</v>
      </c>
      <c r="AB31" s="1" t="str">
        <f t="shared" si="0"/>
        <v>气血上限+950;防御力+24</v>
      </c>
      <c r="AC31" s="5" t="s">
        <v>9433</v>
      </c>
      <c r="AD31" s="5">
        <v>1188</v>
      </c>
      <c r="AE31" s="5" t="s">
        <v>9434</v>
      </c>
      <c r="AF31" s="5">
        <v>24</v>
      </c>
      <c r="AH31" s="1">
        <f t="shared" si="2"/>
        <v>950</v>
      </c>
    </row>
    <row r="32" spans="1:34" s="5" customFormat="1" x14ac:dyDescent="0.15">
      <c r="A32" s="41">
        <v>300002</v>
      </c>
      <c r="B32" s="101" t="s">
        <v>1519</v>
      </c>
      <c r="C32" s="41" t="s">
        <v>1508</v>
      </c>
      <c r="D32" s="41">
        <v>0</v>
      </c>
      <c r="E32" s="41">
        <v>0</v>
      </c>
      <c r="F32" s="41"/>
      <c r="G32" s="41">
        <v>1</v>
      </c>
      <c r="H32" s="43">
        <v>4</v>
      </c>
      <c r="I32" s="41" t="s">
        <v>63</v>
      </c>
      <c r="J32" s="41" t="s">
        <v>9524</v>
      </c>
      <c r="K32" s="41">
        <v>0</v>
      </c>
      <c r="L32" s="43">
        <v>1</v>
      </c>
      <c r="M32" s="43" t="b">
        <v>1</v>
      </c>
      <c r="N32" s="41">
        <v>60</v>
      </c>
      <c r="O32" s="41">
        <v>0</v>
      </c>
      <c r="P32" s="41">
        <v>1</v>
      </c>
      <c r="Q32" s="41" t="s">
        <v>38</v>
      </c>
      <c r="R32" s="111" t="s">
        <v>9525</v>
      </c>
      <c r="S32" s="112" t="s">
        <v>1518</v>
      </c>
      <c r="T32" s="41">
        <v>100000</v>
      </c>
      <c r="X32" s="15">
        <v>400001</v>
      </c>
      <c r="Y32" s="17" t="s">
        <v>1592</v>
      </c>
      <c r="Z32" s="15" t="s">
        <v>1594</v>
      </c>
      <c r="AA32" s="15" t="s">
        <v>9482</v>
      </c>
      <c r="AB32" s="1" t="str">
        <f t="shared" si="0"/>
        <v>气血上限+190;防御力+6</v>
      </c>
      <c r="AC32" s="5" t="s">
        <v>9433</v>
      </c>
      <c r="AD32" s="5">
        <v>238</v>
      </c>
      <c r="AE32" s="5" t="s">
        <v>9434</v>
      </c>
      <c r="AF32" s="5">
        <v>6</v>
      </c>
      <c r="AH32" s="1">
        <f t="shared" si="2"/>
        <v>190</v>
      </c>
    </row>
    <row r="33" spans="1:34" s="5" customFormat="1" x14ac:dyDescent="0.15">
      <c r="A33" s="41">
        <v>400002</v>
      </c>
      <c r="B33" s="105" t="s">
        <v>9526</v>
      </c>
      <c r="C33" s="41" t="s">
        <v>1594</v>
      </c>
      <c r="D33" s="41">
        <v>0</v>
      </c>
      <c r="E33" s="41">
        <v>0</v>
      </c>
      <c r="F33" s="41"/>
      <c r="G33" s="41">
        <v>1</v>
      </c>
      <c r="H33" s="43">
        <v>4</v>
      </c>
      <c r="I33" s="41" t="s">
        <v>63</v>
      </c>
      <c r="J33" s="41" t="s">
        <v>9527</v>
      </c>
      <c r="K33" s="41">
        <v>0</v>
      </c>
      <c r="L33" s="43">
        <v>1</v>
      </c>
      <c r="M33" s="43" t="b">
        <v>1</v>
      </c>
      <c r="N33" s="41">
        <v>75</v>
      </c>
      <c r="O33" s="41">
        <v>0</v>
      </c>
      <c r="P33" s="41">
        <v>1</v>
      </c>
      <c r="Q33" s="41" t="s">
        <v>38</v>
      </c>
      <c r="R33" s="111" t="s">
        <v>9528</v>
      </c>
      <c r="S33" s="112" t="s">
        <v>1601</v>
      </c>
      <c r="T33" s="41">
        <v>100000</v>
      </c>
      <c r="X33" s="15">
        <v>400002</v>
      </c>
      <c r="Y33" s="17" t="s">
        <v>1598</v>
      </c>
      <c r="Z33" s="15" t="s">
        <v>1594</v>
      </c>
      <c r="AA33" s="15" t="s">
        <v>9486</v>
      </c>
      <c r="AB33" s="1" t="str">
        <f t="shared" ref="AB33:AB64" si="3">AC33&amp;AH33&amp;";"&amp;AE33&amp;AF33</f>
        <v>气血上限+380;防御力+10</v>
      </c>
      <c r="AC33" s="5" t="s">
        <v>9433</v>
      </c>
      <c r="AD33" s="5">
        <v>476</v>
      </c>
      <c r="AE33" s="5" t="s">
        <v>9434</v>
      </c>
      <c r="AF33" s="5">
        <v>10</v>
      </c>
      <c r="AH33" s="1">
        <f t="shared" si="2"/>
        <v>380</v>
      </c>
    </row>
    <row r="34" spans="1:34" s="5" customFormat="1" x14ac:dyDescent="0.15">
      <c r="A34" s="41">
        <v>500002</v>
      </c>
      <c r="B34" s="101" t="s">
        <v>1686</v>
      </c>
      <c r="C34" s="41" t="s">
        <v>1672</v>
      </c>
      <c r="D34" s="41">
        <v>0</v>
      </c>
      <c r="E34" s="41">
        <v>0</v>
      </c>
      <c r="F34" s="41"/>
      <c r="G34" s="41">
        <v>1</v>
      </c>
      <c r="H34" s="43">
        <v>4</v>
      </c>
      <c r="I34" s="41" t="s">
        <v>63</v>
      </c>
      <c r="J34" s="41" t="s">
        <v>9529</v>
      </c>
      <c r="K34" s="41">
        <v>0</v>
      </c>
      <c r="L34" s="43">
        <v>1</v>
      </c>
      <c r="M34" s="43" t="b">
        <v>1</v>
      </c>
      <c r="N34" s="41">
        <v>50</v>
      </c>
      <c r="O34" s="41">
        <v>0</v>
      </c>
      <c r="P34" s="41">
        <v>1</v>
      </c>
      <c r="Q34" s="41" t="s">
        <v>38</v>
      </c>
      <c r="R34" s="111" t="s">
        <v>9530</v>
      </c>
      <c r="S34" s="112" t="s">
        <v>1680</v>
      </c>
      <c r="T34" s="41">
        <v>100000</v>
      </c>
      <c r="X34" s="15">
        <v>400003</v>
      </c>
      <c r="Y34" s="17" t="s">
        <v>1602</v>
      </c>
      <c r="Z34" s="15" t="s">
        <v>1594</v>
      </c>
      <c r="AA34" s="15" t="s">
        <v>9488</v>
      </c>
      <c r="AB34" s="1" t="str">
        <f t="shared" si="3"/>
        <v>气血上限+570;防御力+16</v>
      </c>
      <c r="AC34" s="5" t="s">
        <v>9433</v>
      </c>
      <c r="AD34" s="5">
        <v>713</v>
      </c>
      <c r="AE34" s="5" t="s">
        <v>9434</v>
      </c>
      <c r="AF34" s="5">
        <v>16</v>
      </c>
      <c r="AH34" s="1">
        <f t="shared" si="2"/>
        <v>570</v>
      </c>
    </row>
    <row r="35" spans="1:34" s="5" customFormat="1" x14ac:dyDescent="0.15">
      <c r="A35" s="41">
        <v>600002</v>
      </c>
      <c r="B35" s="101" t="s">
        <v>9531</v>
      </c>
      <c r="C35" s="41" t="s">
        <v>1746</v>
      </c>
      <c r="D35" s="41">
        <v>0</v>
      </c>
      <c r="E35" s="41">
        <v>0</v>
      </c>
      <c r="F35" s="41"/>
      <c r="G35" s="41">
        <v>1</v>
      </c>
      <c r="H35" s="43">
        <v>2</v>
      </c>
      <c r="I35" s="41" t="s">
        <v>63</v>
      </c>
      <c r="J35" s="41" t="s">
        <v>9532</v>
      </c>
      <c r="K35" s="41">
        <v>0</v>
      </c>
      <c r="L35" s="43">
        <v>1</v>
      </c>
      <c r="M35" s="43" t="b">
        <v>1</v>
      </c>
      <c r="N35" s="41">
        <v>50</v>
      </c>
      <c r="O35" s="41">
        <v>0</v>
      </c>
      <c r="P35" s="41">
        <v>1</v>
      </c>
      <c r="Q35" s="41" t="s">
        <v>38</v>
      </c>
      <c r="R35" s="111" t="s">
        <v>9533</v>
      </c>
      <c r="S35" s="112" t="s">
        <v>1756</v>
      </c>
      <c r="T35" s="41">
        <v>100000</v>
      </c>
      <c r="X35" s="15">
        <v>400004</v>
      </c>
      <c r="Y35" s="71" t="s">
        <v>1610</v>
      </c>
      <c r="Z35" s="15" t="s">
        <v>1594</v>
      </c>
      <c r="AA35" s="15" t="s">
        <v>9492</v>
      </c>
      <c r="AB35" s="1" t="str">
        <f t="shared" si="3"/>
        <v>气血上限+950;防御力+24</v>
      </c>
      <c r="AC35" s="5" t="s">
        <v>9433</v>
      </c>
      <c r="AD35" s="5">
        <v>1188</v>
      </c>
      <c r="AE35" s="5" t="s">
        <v>9434</v>
      </c>
      <c r="AF35" s="5">
        <v>24</v>
      </c>
      <c r="AH35" s="1">
        <f t="shared" si="2"/>
        <v>950</v>
      </c>
    </row>
    <row r="36" spans="1:34" s="5" customFormat="1" x14ac:dyDescent="0.15">
      <c r="A36" s="41">
        <v>700002</v>
      </c>
      <c r="B36" s="101" t="s">
        <v>9534</v>
      </c>
      <c r="C36" s="41" t="s">
        <v>1832</v>
      </c>
      <c r="D36" s="41">
        <v>0</v>
      </c>
      <c r="E36" s="41">
        <v>0</v>
      </c>
      <c r="F36" s="41"/>
      <c r="G36" s="41">
        <v>1</v>
      </c>
      <c r="H36" s="43">
        <v>2</v>
      </c>
      <c r="I36" s="41" t="s">
        <v>63</v>
      </c>
      <c r="J36" s="41" t="s">
        <v>9477</v>
      </c>
      <c r="K36" s="41">
        <v>0</v>
      </c>
      <c r="L36" s="43">
        <v>1</v>
      </c>
      <c r="M36" s="43" t="b">
        <v>1</v>
      </c>
      <c r="N36" s="41">
        <v>35</v>
      </c>
      <c r="O36" s="41">
        <v>0</v>
      </c>
      <c r="P36" s="41">
        <v>1</v>
      </c>
      <c r="Q36" s="41" t="s">
        <v>38</v>
      </c>
      <c r="R36" s="111" t="s">
        <v>9535</v>
      </c>
      <c r="S36" s="112" t="s">
        <v>1842</v>
      </c>
      <c r="T36" s="41">
        <v>300000</v>
      </c>
      <c r="X36" s="17">
        <v>400005</v>
      </c>
      <c r="Y36" s="17" t="s">
        <v>1615</v>
      </c>
      <c r="Z36" s="118" t="s">
        <v>1594</v>
      </c>
      <c r="AA36" s="118" t="s">
        <v>9496</v>
      </c>
      <c r="AB36" s="1" t="str">
        <f t="shared" si="3"/>
        <v>气血上限+1520;防御力+38</v>
      </c>
      <c r="AC36" s="5" t="s">
        <v>9433</v>
      </c>
      <c r="AD36" s="5">
        <v>1901</v>
      </c>
      <c r="AE36" s="5" t="s">
        <v>9434</v>
      </c>
      <c r="AF36" s="5">
        <v>38</v>
      </c>
      <c r="AH36" s="1">
        <f t="shared" si="2"/>
        <v>1520</v>
      </c>
    </row>
    <row r="37" spans="1:34" s="5" customFormat="1" x14ac:dyDescent="0.15">
      <c r="A37" s="41">
        <v>800002</v>
      </c>
      <c r="B37" s="101" t="s">
        <v>9536</v>
      </c>
      <c r="C37" s="41" t="s">
        <v>1908</v>
      </c>
      <c r="D37" s="41">
        <v>0</v>
      </c>
      <c r="E37" s="41">
        <v>0</v>
      </c>
      <c r="F37" s="41"/>
      <c r="G37" s="41">
        <v>1</v>
      </c>
      <c r="H37" s="43">
        <v>2</v>
      </c>
      <c r="I37" s="41" t="s">
        <v>63</v>
      </c>
      <c r="J37" s="41" t="s">
        <v>9537</v>
      </c>
      <c r="K37" s="41">
        <v>0</v>
      </c>
      <c r="L37" s="43">
        <v>1</v>
      </c>
      <c r="M37" s="43" t="b">
        <v>1</v>
      </c>
      <c r="N37" s="41">
        <v>60</v>
      </c>
      <c r="O37" s="41">
        <v>0</v>
      </c>
      <c r="P37" s="41">
        <v>1</v>
      </c>
      <c r="Q37" s="41" t="s">
        <v>38</v>
      </c>
      <c r="R37" s="111" t="s">
        <v>9538</v>
      </c>
      <c r="S37" s="112" t="s">
        <v>1918</v>
      </c>
      <c r="T37" s="41">
        <v>300000</v>
      </c>
      <c r="X37" s="17">
        <v>400006</v>
      </c>
      <c r="Y37" s="17" t="s">
        <v>1620</v>
      </c>
      <c r="Z37" s="118" t="s">
        <v>1594</v>
      </c>
      <c r="AA37" s="118" t="s">
        <v>9500</v>
      </c>
      <c r="AB37" s="1" t="str">
        <f t="shared" si="3"/>
        <v>气血上限+2471;防御力+62</v>
      </c>
      <c r="AC37" s="5" t="s">
        <v>9433</v>
      </c>
      <c r="AD37" s="5">
        <v>3089</v>
      </c>
      <c r="AE37" s="5" t="s">
        <v>9434</v>
      </c>
      <c r="AF37" s="5">
        <v>62</v>
      </c>
      <c r="AH37" s="1">
        <f t="shared" si="2"/>
        <v>2471</v>
      </c>
    </row>
    <row r="38" spans="1:34" s="5" customFormat="1" x14ac:dyDescent="0.15">
      <c r="A38" s="41">
        <v>101202</v>
      </c>
      <c r="B38" s="101" t="s">
        <v>9539</v>
      </c>
      <c r="C38" s="41" t="s">
        <v>33</v>
      </c>
      <c r="D38" s="41">
        <v>1</v>
      </c>
      <c r="E38" s="41" t="s">
        <v>34</v>
      </c>
      <c r="F38" s="41"/>
      <c r="G38" s="41">
        <v>4</v>
      </c>
      <c r="H38" s="41">
        <v>3</v>
      </c>
      <c r="I38" s="41">
        <v>4</v>
      </c>
      <c r="J38" s="41" t="s">
        <v>9540</v>
      </c>
      <c r="K38" s="41">
        <v>0</v>
      </c>
      <c r="L38" s="43">
        <v>1</v>
      </c>
      <c r="M38" s="43" t="b">
        <v>0</v>
      </c>
      <c r="N38" s="41">
        <v>320</v>
      </c>
      <c r="O38" s="41">
        <v>0</v>
      </c>
      <c r="P38" s="41">
        <v>1</v>
      </c>
      <c r="Q38" s="41" t="s">
        <v>38</v>
      </c>
      <c r="R38" s="111" t="s">
        <v>9541</v>
      </c>
      <c r="S38" s="112" t="s">
        <v>9542</v>
      </c>
      <c r="T38" s="41">
        <v>100000</v>
      </c>
      <c r="X38" s="17">
        <v>400007</v>
      </c>
      <c r="Y38" s="17" t="s">
        <v>1625</v>
      </c>
      <c r="Z38" s="118" t="s">
        <v>1594</v>
      </c>
      <c r="AA38" s="118" t="s">
        <v>9503</v>
      </c>
      <c r="AB38" s="1" t="str">
        <f t="shared" si="3"/>
        <v>气血上限+3992;防御力+100</v>
      </c>
      <c r="AC38" s="5" t="s">
        <v>9433</v>
      </c>
      <c r="AD38" s="5">
        <v>4990</v>
      </c>
      <c r="AE38" s="5" t="s">
        <v>9434</v>
      </c>
      <c r="AF38" s="5">
        <v>100</v>
      </c>
      <c r="AH38" s="1">
        <f t="shared" si="2"/>
        <v>3992</v>
      </c>
    </row>
    <row r="39" spans="1:34" s="5" customFormat="1" x14ac:dyDescent="0.15">
      <c r="A39" s="41">
        <v>102302</v>
      </c>
      <c r="B39" s="101" t="s">
        <v>9543</v>
      </c>
      <c r="C39" s="41" t="s">
        <v>33</v>
      </c>
      <c r="D39" s="41">
        <v>2</v>
      </c>
      <c r="E39" s="41" t="s">
        <v>134</v>
      </c>
      <c r="F39" s="41" t="s">
        <v>146</v>
      </c>
      <c r="G39" s="41">
        <v>4</v>
      </c>
      <c r="H39" s="43">
        <v>3</v>
      </c>
      <c r="I39" s="41">
        <v>4</v>
      </c>
      <c r="J39" s="41" t="s">
        <v>9544</v>
      </c>
      <c r="K39" s="41">
        <v>0</v>
      </c>
      <c r="L39" s="43">
        <v>1</v>
      </c>
      <c r="M39" s="43" t="b">
        <v>0</v>
      </c>
      <c r="N39" s="41">
        <v>320</v>
      </c>
      <c r="O39" s="41">
        <v>0</v>
      </c>
      <c r="P39" s="41">
        <v>1</v>
      </c>
      <c r="Q39" s="41" t="s">
        <v>38</v>
      </c>
      <c r="R39" s="111" t="s">
        <v>9545</v>
      </c>
      <c r="S39" s="112" t="s">
        <v>348</v>
      </c>
      <c r="T39" s="41">
        <v>100000</v>
      </c>
      <c r="X39" s="114">
        <v>400107</v>
      </c>
      <c r="Y39" s="114" t="s">
        <v>1630</v>
      </c>
      <c r="Z39" s="119" t="s">
        <v>1594</v>
      </c>
      <c r="AA39" s="119" t="s">
        <v>9503</v>
      </c>
      <c r="AB39" s="1" t="str">
        <f t="shared" si="3"/>
        <v>气血上限+3992;防御力+100</v>
      </c>
      <c r="AC39" s="5" t="s">
        <v>9433</v>
      </c>
      <c r="AD39" s="5">
        <v>4990</v>
      </c>
      <c r="AE39" s="5" t="s">
        <v>9434</v>
      </c>
      <c r="AF39" s="5">
        <v>100</v>
      </c>
      <c r="AH39" s="1">
        <f t="shared" si="2"/>
        <v>3992</v>
      </c>
    </row>
    <row r="40" spans="1:34" s="5" customFormat="1" x14ac:dyDescent="0.15">
      <c r="A40" s="41">
        <v>102402</v>
      </c>
      <c r="B40" s="101" t="s">
        <v>9546</v>
      </c>
      <c r="C40" s="41" t="s">
        <v>33</v>
      </c>
      <c r="D40" s="41">
        <v>2</v>
      </c>
      <c r="E40" s="41" t="s">
        <v>134</v>
      </c>
      <c r="F40" s="41" t="s">
        <v>242</v>
      </c>
      <c r="G40" s="41">
        <v>4</v>
      </c>
      <c r="H40" s="43">
        <v>3</v>
      </c>
      <c r="I40" s="41">
        <v>4</v>
      </c>
      <c r="J40" s="41" t="s">
        <v>9547</v>
      </c>
      <c r="K40" s="41">
        <v>0</v>
      </c>
      <c r="L40" s="43">
        <v>1</v>
      </c>
      <c r="M40" s="43" t="b">
        <v>0</v>
      </c>
      <c r="N40" s="41">
        <v>320</v>
      </c>
      <c r="O40" s="41">
        <v>0</v>
      </c>
      <c r="P40" s="41">
        <v>1</v>
      </c>
      <c r="Q40" s="41" t="s">
        <v>38</v>
      </c>
      <c r="R40" s="111" t="s">
        <v>9548</v>
      </c>
      <c r="S40" s="112" t="s">
        <v>9549</v>
      </c>
      <c r="T40" s="41">
        <v>100000</v>
      </c>
      <c r="X40" s="17">
        <v>400008</v>
      </c>
      <c r="Y40" s="17" t="s">
        <v>1633</v>
      </c>
      <c r="Z40" s="118" t="s">
        <v>1594</v>
      </c>
      <c r="AA40" s="118" t="s">
        <v>9511</v>
      </c>
      <c r="AB40" s="1" t="str">
        <f t="shared" si="3"/>
        <v>气血上限+6463;防御力+160</v>
      </c>
      <c r="AC40" s="5" t="s">
        <v>9433</v>
      </c>
      <c r="AD40" s="5">
        <v>8079</v>
      </c>
      <c r="AE40" s="5" t="s">
        <v>9434</v>
      </c>
      <c r="AF40" s="5">
        <v>160</v>
      </c>
      <c r="AH40" s="1">
        <f t="shared" si="2"/>
        <v>6463</v>
      </c>
    </row>
    <row r="41" spans="1:34" s="5" customFormat="1" ht="27" x14ac:dyDescent="0.15">
      <c r="A41" s="41">
        <v>103202</v>
      </c>
      <c r="B41" s="101" t="s">
        <v>9550</v>
      </c>
      <c r="C41" s="41" t="s">
        <v>33</v>
      </c>
      <c r="D41" s="41">
        <v>3</v>
      </c>
      <c r="E41" s="41" t="s">
        <v>363</v>
      </c>
      <c r="F41" s="41" t="s">
        <v>388</v>
      </c>
      <c r="G41" s="41">
        <v>4</v>
      </c>
      <c r="H41" s="43">
        <v>3</v>
      </c>
      <c r="I41" s="41">
        <v>4</v>
      </c>
      <c r="J41" s="41" t="s">
        <v>9551</v>
      </c>
      <c r="K41" s="41">
        <v>0</v>
      </c>
      <c r="L41" s="43">
        <v>1</v>
      </c>
      <c r="M41" s="43" t="b">
        <v>0</v>
      </c>
      <c r="N41" s="41">
        <v>320</v>
      </c>
      <c r="O41" s="41">
        <v>0</v>
      </c>
      <c r="P41" s="41">
        <v>1</v>
      </c>
      <c r="Q41" s="41" t="s">
        <v>38</v>
      </c>
      <c r="R41" s="111" t="s">
        <v>9552</v>
      </c>
      <c r="S41" s="112" t="s">
        <v>9553</v>
      </c>
      <c r="T41" s="41">
        <v>100000</v>
      </c>
      <c r="X41" s="17">
        <v>400009</v>
      </c>
      <c r="Y41" s="17" t="s">
        <v>1638</v>
      </c>
      <c r="Z41" s="118" t="s">
        <v>1594</v>
      </c>
      <c r="AA41" s="118" t="s">
        <v>9515</v>
      </c>
      <c r="AB41" s="1" t="str">
        <f t="shared" si="3"/>
        <v>气血上限+10454;防御力+258</v>
      </c>
      <c r="AC41" s="5" t="s">
        <v>9433</v>
      </c>
      <c r="AD41" s="5">
        <v>13068</v>
      </c>
      <c r="AE41" s="5" t="s">
        <v>9434</v>
      </c>
      <c r="AF41" s="5">
        <v>258</v>
      </c>
      <c r="AH41" s="1">
        <f t="shared" si="2"/>
        <v>10454</v>
      </c>
    </row>
    <row r="42" spans="1:34" s="96" customFormat="1" x14ac:dyDescent="0.15">
      <c r="A42" s="102">
        <v>104202</v>
      </c>
      <c r="B42" s="103" t="s">
        <v>479</v>
      </c>
      <c r="C42" s="102" t="s">
        <v>33</v>
      </c>
      <c r="D42" s="102">
        <v>4</v>
      </c>
      <c r="E42" s="102" t="s">
        <v>447</v>
      </c>
      <c r="F42" s="102" t="s">
        <v>457</v>
      </c>
      <c r="G42" s="102">
        <v>4</v>
      </c>
      <c r="H42" s="104">
        <v>3</v>
      </c>
      <c r="I42" s="102">
        <v>4</v>
      </c>
      <c r="J42" s="102" t="s">
        <v>9554</v>
      </c>
      <c r="K42" s="102">
        <v>0</v>
      </c>
      <c r="L42" s="104">
        <v>1</v>
      </c>
      <c r="M42" s="104" t="b">
        <v>0</v>
      </c>
      <c r="N42" s="41">
        <v>320</v>
      </c>
      <c r="O42" s="102">
        <v>0</v>
      </c>
      <c r="P42" s="102">
        <v>1</v>
      </c>
      <c r="Q42" s="102" t="s">
        <v>38</v>
      </c>
      <c r="R42" s="86" t="s">
        <v>9555</v>
      </c>
      <c r="S42" s="113" t="s">
        <v>9556</v>
      </c>
      <c r="T42" s="41">
        <v>100000</v>
      </c>
      <c r="X42" s="17">
        <v>400010</v>
      </c>
      <c r="Y42" s="17" t="s">
        <v>1643</v>
      </c>
      <c r="Z42" s="118" t="s">
        <v>1594</v>
      </c>
      <c r="AA42" s="118" t="s">
        <v>9517</v>
      </c>
      <c r="AB42" s="1" t="str">
        <f t="shared" si="3"/>
        <v>气血上限+16917;防御力+418</v>
      </c>
      <c r="AC42" s="96" t="s">
        <v>9433</v>
      </c>
      <c r="AD42" s="96">
        <v>21147</v>
      </c>
      <c r="AE42" s="96" t="s">
        <v>9434</v>
      </c>
      <c r="AF42" s="96">
        <v>418</v>
      </c>
      <c r="AH42" s="1">
        <f t="shared" si="2"/>
        <v>16917</v>
      </c>
    </row>
    <row r="43" spans="1:34" s="5" customFormat="1" x14ac:dyDescent="0.15">
      <c r="A43" s="41">
        <v>104302</v>
      </c>
      <c r="B43" s="101" t="s">
        <v>557</v>
      </c>
      <c r="C43" s="41" t="s">
        <v>33</v>
      </c>
      <c r="D43" s="41">
        <v>4</v>
      </c>
      <c r="E43" s="41" t="s">
        <v>447</v>
      </c>
      <c r="F43" s="41" t="s">
        <v>618</v>
      </c>
      <c r="G43" s="41">
        <v>4</v>
      </c>
      <c r="H43" s="43">
        <v>3</v>
      </c>
      <c r="I43" s="41">
        <v>4</v>
      </c>
      <c r="J43" s="41" t="s">
        <v>9557</v>
      </c>
      <c r="K43" s="41">
        <v>0</v>
      </c>
      <c r="L43" s="43">
        <v>1</v>
      </c>
      <c r="M43" s="43" t="b">
        <v>0</v>
      </c>
      <c r="N43" s="41">
        <v>320</v>
      </c>
      <c r="O43" s="41">
        <v>0</v>
      </c>
      <c r="P43" s="41">
        <v>1</v>
      </c>
      <c r="Q43" s="41" t="s">
        <v>38</v>
      </c>
      <c r="R43" s="111" t="s">
        <v>9558</v>
      </c>
      <c r="S43" s="112" t="s">
        <v>9559</v>
      </c>
      <c r="T43" s="41">
        <v>100000</v>
      </c>
      <c r="X43" s="115">
        <v>400102</v>
      </c>
      <c r="Y43" s="121" t="s">
        <v>1657</v>
      </c>
      <c r="Z43" s="121" t="s">
        <v>1594</v>
      </c>
      <c r="AA43" s="121" t="s">
        <v>9486</v>
      </c>
      <c r="AB43" s="1" t="str">
        <f t="shared" si="3"/>
        <v>气血上限+380;防御力+10</v>
      </c>
      <c r="AC43" s="5" t="s">
        <v>9433</v>
      </c>
      <c r="AD43" s="5">
        <v>476</v>
      </c>
      <c r="AE43" s="5" t="s">
        <v>9434</v>
      </c>
      <c r="AF43" s="5">
        <v>10</v>
      </c>
      <c r="AH43" s="1">
        <f t="shared" si="2"/>
        <v>380</v>
      </c>
    </row>
    <row r="44" spans="1:34" s="5" customFormat="1" ht="27" x14ac:dyDescent="0.15">
      <c r="A44" s="41">
        <v>105202</v>
      </c>
      <c r="B44" s="101" t="s">
        <v>648</v>
      </c>
      <c r="C44" s="41" t="s">
        <v>33</v>
      </c>
      <c r="D44" s="41">
        <v>5</v>
      </c>
      <c r="E44" s="41" t="s">
        <v>631</v>
      </c>
      <c r="F44" s="41" t="s">
        <v>641</v>
      </c>
      <c r="G44" s="41">
        <v>4</v>
      </c>
      <c r="H44" s="43">
        <v>3</v>
      </c>
      <c r="I44" s="41">
        <v>4</v>
      </c>
      <c r="J44" s="41" t="s">
        <v>9560</v>
      </c>
      <c r="K44" s="41">
        <v>0</v>
      </c>
      <c r="L44" s="43">
        <v>1</v>
      </c>
      <c r="M44" s="43" t="b">
        <v>0</v>
      </c>
      <c r="N44" s="41">
        <v>320</v>
      </c>
      <c r="O44" s="41">
        <v>0</v>
      </c>
      <c r="P44" s="41">
        <v>1</v>
      </c>
      <c r="Q44" s="41" t="s">
        <v>38</v>
      </c>
      <c r="R44" s="111" t="s">
        <v>9561</v>
      </c>
      <c r="S44" s="112" t="s">
        <v>711</v>
      </c>
      <c r="T44" s="41">
        <v>100000</v>
      </c>
      <c r="X44" s="117">
        <v>400103</v>
      </c>
      <c r="Y44" s="124" t="s">
        <v>1662</v>
      </c>
      <c r="Z44" s="117" t="s">
        <v>1594</v>
      </c>
      <c r="AA44" s="117" t="s">
        <v>9488</v>
      </c>
      <c r="AB44" s="1" t="str">
        <f t="shared" si="3"/>
        <v>气血上限+570;防御力+16</v>
      </c>
      <c r="AC44" s="5" t="s">
        <v>9433</v>
      </c>
      <c r="AD44" s="5">
        <v>713</v>
      </c>
      <c r="AE44" s="5" t="s">
        <v>9434</v>
      </c>
      <c r="AF44" s="5">
        <v>16</v>
      </c>
      <c r="AH44" s="1">
        <f t="shared" si="2"/>
        <v>570</v>
      </c>
    </row>
    <row r="45" spans="1:34" s="5" customFormat="1" x14ac:dyDescent="0.15">
      <c r="A45" s="41">
        <v>106202</v>
      </c>
      <c r="B45" s="101" t="s">
        <v>9562</v>
      </c>
      <c r="C45" s="41" t="s">
        <v>33</v>
      </c>
      <c r="D45" s="41">
        <v>6</v>
      </c>
      <c r="E45" s="41" t="s">
        <v>727</v>
      </c>
      <c r="F45" s="41"/>
      <c r="G45" s="41">
        <v>4</v>
      </c>
      <c r="H45" s="43">
        <v>3</v>
      </c>
      <c r="I45" s="41">
        <v>4</v>
      </c>
      <c r="J45" s="41" t="s">
        <v>9560</v>
      </c>
      <c r="K45" s="41">
        <v>0</v>
      </c>
      <c r="L45" s="43">
        <v>1</v>
      </c>
      <c r="M45" s="43" t="b">
        <v>0</v>
      </c>
      <c r="N45" s="41">
        <v>320</v>
      </c>
      <c r="O45" s="41">
        <v>0</v>
      </c>
      <c r="P45" s="41">
        <v>1</v>
      </c>
      <c r="Q45" s="41" t="s">
        <v>38</v>
      </c>
      <c r="R45" s="111" t="s">
        <v>9563</v>
      </c>
      <c r="S45" s="112" t="s">
        <v>9564</v>
      </c>
      <c r="T45" s="41">
        <v>100000</v>
      </c>
      <c r="X45" s="117">
        <v>400104</v>
      </c>
      <c r="Y45" s="125" t="s">
        <v>1666</v>
      </c>
      <c r="Z45" s="117" t="s">
        <v>1594</v>
      </c>
      <c r="AA45" s="117" t="s">
        <v>9492</v>
      </c>
      <c r="AB45" s="1" t="str">
        <f t="shared" si="3"/>
        <v>气血上限+950;防御力+24</v>
      </c>
      <c r="AC45" s="5" t="s">
        <v>9433</v>
      </c>
      <c r="AD45" s="5">
        <v>1188</v>
      </c>
      <c r="AE45" s="5" t="s">
        <v>9434</v>
      </c>
      <c r="AF45" s="5">
        <v>24</v>
      </c>
      <c r="AH45" s="1">
        <f t="shared" si="2"/>
        <v>950</v>
      </c>
    </row>
    <row r="46" spans="1:34" s="5" customFormat="1" ht="27" x14ac:dyDescent="0.15">
      <c r="A46" s="41">
        <v>109202</v>
      </c>
      <c r="B46" s="101" t="s">
        <v>826</v>
      </c>
      <c r="C46" s="41" t="s">
        <v>33</v>
      </c>
      <c r="D46" s="41">
        <v>9</v>
      </c>
      <c r="E46" s="41" t="s">
        <v>812</v>
      </c>
      <c r="F46" s="41"/>
      <c r="G46" s="41">
        <v>4</v>
      </c>
      <c r="H46" s="43">
        <v>3</v>
      </c>
      <c r="I46" s="41">
        <v>4</v>
      </c>
      <c r="J46" s="41" t="s">
        <v>9544</v>
      </c>
      <c r="K46" s="41">
        <v>0</v>
      </c>
      <c r="L46" s="43">
        <v>1</v>
      </c>
      <c r="M46" s="43" t="b">
        <v>0</v>
      </c>
      <c r="N46" s="41">
        <v>320</v>
      </c>
      <c r="O46" s="41">
        <v>0</v>
      </c>
      <c r="P46" s="41">
        <v>1</v>
      </c>
      <c r="Q46" s="41" t="s">
        <v>38</v>
      </c>
      <c r="R46" s="111" t="s">
        <v>9565</v>
      </c>
      <c r="S46" s="112" t="s">
        <v>9566</v>
      </c>
      <c r="T46" s="41">
        <v>100000</v>
      </c>
      <c r="X46" s="15">
        <v>500001</v>
      </c>
      <c r="Y46" s="16" t="s">
        <v>1670</v>
      </c>
      <c r="Z46" s="15" t="s">
        <v>1672</v>
      </c>
      <c r="AA46" s="15" t="s">
        <v>9482</v>
      </c>
      <c r="AB46" s="1" t="str">
        <f t="shared" si="3"/>
        <v>气血上限+190;防御力+6</v>
      </c>
      <c r="AC46" s="5" t="s">
        <v>9433</v>
      </c>
      <c r="AD46" s="5">
        <v>238</v>
      </c>
      <c r="AE46" s="5" t="s">
        <v>9434</v>
      </c>
      <c r="AF46" s="5">
        <v>6</v>
      </c>
      <c r="AH46" s="1">
        <f t="shared" si="2"/>
        <v>190</v>
      </c>
    </row>
    <row r="47" spans="1:34" s="5" customFormat="1" ht="27" x14ac:dyDescent="0.15">
      <c r="A47" s="41">
        <v>110202</v>
      </c>
      <c r="B47" s="101" t="s">
        <v>9567</v>
      </c>
      <c r="C47" s="41" t="s">
        <v>33</v>
      </c>
      <c r="D47" s="41">
        <v>10</v>
      </c>
      <c r="E47" s="41" t="s">
        <v>887</v>
      </c>
      <c r="F47" s="41" t="s">
        <v>894</v>
      </c>
      <c r="G47" s="41">
        <v>4</v>
      </c>
      <c r="H47" s="43">
        <v>3</v>
      </c>
      <c r="I47" s="41">
        <v>4</v>
      </c>
      <c r="J47" s="41" t="s">
        <v>9554</v>
      </c>
      <c r="K47" s="41">
        <v>0</v>
      </c>
      <c r="L47" s="43">
        <v>1</v>
      </c>
      <c r="M47" s="43" t="b">
        <v>0</v>
      </c>
      <c r="N47" s="41">
        <v>320</v>
      </c>
      <c r="O47" s="41">
        <v>0</v>
      </c>
      <c r="P47" s="41">
        <v>1</v>
      </c>
      <c r="Q47" s="41" t="s">
        <v>38</v>
      </c>
      <c r="R47" s="111" t="s">
        <v>9568</v>
      </c>
      <c r="S47" s="112" t="s">
        <v>9569</v>
      </c>
      <c r="T47" s="41">
        <v>100000</v>
      </c>
      <c r="X47" s="15">
        <v>500002</v>
      </c>
      <c r="Y47" s="16" t="s">
        <v>1676</v>
      </c>
      <c r="Z47" s="15" t="s">
        <v>1672</v>
      </c>
      <c r="AA47" s="15" t="s">
        <v>9486</v>
      </c>
      <c r="AB47" s="1" t="str">
        <f t="shared" si="3"/>
        <v>气血上限+380;防御力+10</v>
      </c>
      <c r="AC47" s="5" t="s">
        <v>9433</v>
      </c>
      <c r="AD47" s="5">
        <v>476</v>
      </c>
      <c r="AE47" s="5" t="s">
        <v>9434</v>
      </c>
      <c r="AF47" s="5">
        <v>10</v>
      </c>
      <c r="AH47" s="1">
        <f t="shared" si="2"/>
        <v>380</v>
      </c>
    </row>
    <row r="48" spans="1:34" s="5" customFormat="1" x14ac:dyDescent="0.15">
      <c r="A48" s="41">
        <v>200102</v>
      </c>
      <c r="B48" s="101" t="s">
        <v>9570</v>
      </c>
      <c r="C48" s="41" t="s">
        <v>1408</v>
      </c>
      <c r="D48" s="41">
        <v>0</v>
      </c>
      <c r="E48" s="41">
        <v>0</v>
      </c>
      <c r="F48" s="41"/>
      <c r="G48" s="41">
        <v>4</v>
      </c>
      <c r="H48" s="43">
        <v>4</v>
      </c>
      <c r="I48" s="41">
        <v>4</v>
      </c>
      <c r="J48" s="41" t="s">
        <v>9571</v>
      </c>
      <c r="K48" s="41">
        <v>0</v>
      </c>
      <c r="L48" s="43">
        <v>1</v>
      </c>
      <c r="M48" s="43" t="b">
        <v>0</v>
      </c>
      <c r="N48" s="41">
        <v>300</v>
      </c>
      <c r="O48" s="41">
        <v>0</v>
      </c>
      <c r="P48" s="41">
        <v>1</v>
      </c>
      <c r="Q48" s="41" t="s">
        <v>38</v>
      </c>
      <c r="R48" s="111" t="s">
        <v>9572</v>
      </c>
      <c r="S48" s="112" t="s">
        <v>9573</v>
      </c>
      <c r="T48" s="41">
        <v>300000</v>
      </c>
      <c r="X48" s="15">
        <v>500003</v>
      </c>
      <c r="Y48" s="16" t="s">
        <v>1681</v>
      </c>
      <c r="Z48" s="15" t="s">
        <v>1672</v>
      </c>
      <c r="AA48" s="15" t="s">
        <v>9488</v>
      </c>
      <c r="AB48" s="1" t="str">
        <f t="shared" si="3"/>
        <v>气血上限+570;防御力+16</v>
      </c>
      <c r="AC48" s="5" t="s">
        <v>9433</v>
      </c>
      <c r="AD48" s="5">
        <v>713</v>
      </c>
      <c r="AE48" s="5" t="s">
        <v>9434</v>
      </c>
      <c r="AF48" s="5">
        <v>16</v>
      </c>
      <c r="AH48" s="1">
        <f t="shared" si="2"/>
        <v>570</v>
      </c>
    </row>
    <row r="49" spans="1:34" s="5" customFormat="1" ht="27" x14ac:dyDescent="0.15">
      <c r="A49" s="41">
        <v>300102</v>
      </c>
      <c r="B49" s="101" t="s">
        <v>1537</v>
      </c>
      <c r="C49" s="101" t="s">
        <v>1508</v>
      </c>
      <c r="D49" s="41">
        <v>0</v>
      </c>
      <c r="E49" s="41">
        <v>0</v>
      </c>
      <c r="F49" s="101"/>
      <c r="G49" s="41">
        <v>4</v>
      </c>
      <c r="H49" s="43">
        <v>4</v>
      </c>
      <c r="I49" s="41">
        <v>4</v>
      </c>
      <c r="J49" s="41" t="s">
        <v>9574</v>
      </c>
      <c r="K49" s="41">
        <v>0</v>
      </c>
      <c r="L49" s="43">
        <v>1</v>
      </c>
      <c r="M49" s="43" t="b">
        <v>0</v>
      </c>
      <c r="N49" s="41">
        <v>260</v>
      </c>
      <c r="O49" s="41">
        <v>0</v>
      </c>
      <c r="P49" s="41">
        <v>1</v>
      </c>
      <c r="Q49" s="41" t="s">
        <v>38</v>
      </c>
      <c r="R49" s="111" t="s">
        <v>9575</v>
      </c>
      <c r="S49" s="112" t="s">
        <v>9576</v>
      </c>
      <c r="T49" s="41">
        <v>300000</v>
      </c>
      <c r="X49" s="15">
        <v>500004</v>
      </c>
      <c r="Y49" s="73" t="s">
        <v>1686</v>
      </c>
      <c r="Z49" s="15" t="s">
        <v>1672</v>
      </c>
      <c r="AA49" s="15" t="s">
        <v>9492</v>
      </c>
      <c r="AB49" s="1" t="str">
        <f t="shared" si="3"/>
        <v>气血上限+950;防御力+24</v>
      </c>
      <c r="AC49" s="5" t="s">
        <v>9433</v>
      </c>
      <c r="AD49" s="5">
        <v>1188</v>
      </c>
      <c r="AE49" s="5" t="s">
        <v>9434</v>
      </c>
      <c r="AF49" s="5">
        <v>24</v>
      </c>
      <c r="AH49" s="1">
        <f t="shared" si="2"/>
        <v>950</v>
      </c>
    </row>
    <row r="50" spans="1:34" s="5" customFormat="1" ht="27" x14ac:dyDescent="0.15">
      <c r="A50" s="41">
        <v>400102</v>
      </c>
      <c r="B50" s="101" t="s">
        <v>9577</v>
      </c>
      <c r="C50" s="101" t="s">
        <v>1594</v>
      </c>
      <c r="D50" s="41">
        <v>0</v>
      </c>
      <c r="E50" s="41">
        <v>0</v>
      </c>
      <c r="F50" s="101"/>
      <c r="G50" s="41">
        <v>4</v>
      </c>
      <c r="H50" s="43">
        <v>4</v>
      </c>
      <c r="I50" s="41">
        <v>4</v>
      </c>
      <c r="J50" s="41" t="s">
        <v>9578</v>
      </c>
      <c r="K50" s="41">
        <v>0</v>
      </c>
      <c r="L50" s="43">
        <v>1</v>
      </c>
      <c r="M50" s="43" t="b">
        <v>0</v>
      </c>
      <c r="N50" s="41">
        <v>275</v>
      </c>
      <c r="O50" s="41">
        <v>0</v>
      </c>
      <c r="P50" s="41">
        <v>1</v>
      </c>
      <c r="Q50" s="41" t="s">
        <v>38</v>
      </c>
      <c r="R50" s="111" t="s">
        <v>9579</v>
      </c>
      <c r="S50" s="112" t="s">
        <v>1661</v>
      </c>
      <c r="T50" s="41">
        <v>300000</v>
      </c>
      <c r="X50" s="17">
        <v>500005</v>
      </c>
      <c r="Y50" s="17" t="s">
        <v>1691</v>
      </c>
      <c r="Z50" s="118" t="s">
        <v>1672</v>
      </c>
      <c r="AA50" s="118" t="s">
        <v>9496</v>
      </c>
      <c r="AB50" s="1" t="str">
        <f t="shared" si="3"/>
        <v>气血上限+1520;防御力+38</v>
      </c>
      <c r="AC50" s="5" t="s">
        <v>9433</v>
      </c>
      <c r="AD50" s="5">
        <v>1901</v>
      </c>
      <c r="AE50" s="5" t="s">
        <v>9434</v>
      </c>
      <c r="AF50" s="5">
        <v>38</v>
      </c>
      <c r="AH50" s="1">
        <f t="shared" si="2"/>
        <v>1520</v>
      </c>
    </row>
    <row r="51" spans="1:34" s="5" customFormat="1" ht="27" x14ac:dyDescent="0.15">
      <c r="A51" s="41">
        <v>500102</v>
      </c>
      <c r="B51" s="101" t="s">
        <v>1696</v>
      </c>
      <c r="C51" s="101" t="s">
        <v>9580</v>
      </c>
      <c r="D51" s="41">
        <v>0</v>
      </c>
      <c r="E51" s="41">
        <v>0</v>
      </c>
      <c r="F51" s="101"/>
      <c r="G51" s="41">
        <v>4</v>
      </c>
      <c r="H51" s="43">
        <v>4</v>
      </c>
      <c r="I51" s="41">
        <v>4</v>
      </c>
      <c r="J51" s="41" t="s">
        <v>9581</v>
      </c>
      <c r="K51" s="41">
        <v>0</v>
      </c>
      <c r="L51" s="43">
        <v>1</v>
      </c>
      <c r="M51" s="43" t="b">
        <v>0</v>
      </c>
      <c r="N51" s="41">
        <v>250</v>
      </c>
      <c r="O51" s="41">
        <v>0</v>
      </c>
      <c r="P51" s="41">
        <v>1</v>
      </c>
      <c r="Q51" s="41" t="s">
        <v>38</v>
      </c>
      <c r="R51" s="111" t="s">
        <v>9582</v>
      </c>
      <c r="S51" s="112" t="s">
        <v>9583</v>
      </c>
      <c r="T51" s="41">
        <v>300000</v>
      </c>
      <c r="X51" s="17">
        <v>500006</v>
      </c>
      <c r="Y51" s="17" t="s">
        <v>1696</v>
      </c>
      <c r="Z51" s="118" t="s">
        <v>1672</v>
      </c>
      <c r="AA51" s="118" t="s">
        <v>9500</v>
      </c>
      <c r="AB51" s="1" t="str">
        <f t="shared" si="3"/>
        <v>气血上限+2471;防御力+62</v>
      </c>
      <c r="AC51" s="5" t="s">
        <v>9433</v>
      </c>
      <c r="AD51" s="5">
        <v>3089</v>
      </c>
      <c r="AE51" s="5" t="s">
        <v>9434</v>
      </c>
      <c r="AF51" s="5">
        <v>62</v>
      </c>
      <c r="AH51" s="1">
        <f t="shared" si="2"/>
        <v>2471</v>
      </c>
    </row>
    <row r="52" spans="1:34" s="5" customFormat="1" x14ac:dyDescent="0.15">
      <c r="A52" s="41">
        <v>600102</v>
      </c>
      <c r="B52" s="43" t="s">
        <v>9584</v>
      </c>
      <c r="C52" s="101" t="s">
        <v>1746</v>
      </c>
      <c r="D52" s="41">
        <v>0</v>
      </c>
      <c r="E52" s="41">
        <v>0</v>
      </c>
      <c r="F52" s="101"/>
      <c r="G52" s="41">
        <v>4</v>
      </c>
      <c r="H52" s="43">
        <v>2</v>
      </c>
      <c r="I52" s="41">
        <v>4</v>
      </c>
      <c r="J52" s="41" t="s">
        <v>9585</v>
      </c>
      <c r="K52" s="41">
        <v>0</v>
      </c>
      <c r="L52" s="43">
        <v>1</v>
      </c>
      <c r="M52" s="43" t="b">
        <v>0</v>
      </c>
      <c r="N52" s="41">
        <v>250</v>
      </c>
      <c r="O52" s="41">
        <v>0</v>
      </c>
      <c r="P52" s="41">
        <v>1</v>
      </c>
      <c r="Q52" s="41" t="s">
        <v>38</v>
      </c>
      <c r="R52" s="111" t="s">
        <v>9586</v>
      </c>
      <c r="S52" s="112" t="s">
        <v>9587</v>
      </c>
      <c r="T52" s="41">
        <v>300000</v>
      </c>
      <c r="X52" s="17">
        <v>500007</v>
      </c>
      <c r="Y52" s="17" t="s">
        <v>1701</v>
      </c>
      <c r="Z52" s="118" t="s">
        <v>1672</v>
      </c>
      <c r="AA52" s="118" t="s">
        <v>9503</v>
      </c>
      <c r="AB52" s="1" t="str">
        <f t="shared" si="3"/>
        <v>气血上限+3992;防御力+100</v>
      </c>
      <c r="AC52" s="5" t="s">
        <v>9433</v>
      </c>
      <c r="AD52" s="5">
        <v>4990</v>
      </c>
      <c r="AE52" s="5" t="s">
        <v>9434</v>
      </c>
      <c r="AF52" s="5">
        <v>100</v>
      </c>
      <c r="AH52" s="1">
        <f t="shared" si="2"/>
        <v>3992</v>
      </c>
    </row>
    <row r="53" spans="1:34" s="5" customFormat="1" x14ac:dyDescent="0.15">
      <c r="A53" s="41">
        <v>700102</v>
      </c>
      <c r="B53" s="101" t="s">
        <v>1858</v>
      </c>
      <c r="C53" s="101" t="s">
        <v>1832</v>
      </c>
      <c r="D53" s="41">
        <v>0</v>
      </c>
      <c r="E53" s="41">
        <v>0</v>
      </c>
      <c r="F53" s="101"/>
      <c r="G53" s="41">
        <v>4</v>
      </c>
      <c r="H53" s="43">
        <v>2</v>
      </c>
      <c r="I53" s="41">
        <v>4</v>
      </c>
      <c r="J53" s="41" t="s">
        <v>9588</v>
      </c>
      <c r="K53" s="41">
        <v>0</v>
      </c>
      <c r="L53" s="43">
        <v>1</v>
      </c>
      <c r="M53" s="43" t="b">
        <v>0</v>
      </c>
      <c r="N53" s="41">
        <v>235</v>
      </c>
      <c r="O53" s="41">
        <v>0</v>
      </c>
      <c r="P53" s="41">
        <v>1</v>
      </c>
      <c r="Q53" s="41" t="s">
        <v>38</v>
      </c>
      <c r="R53" s="111" t="s">
        <v>1861</v>
      </c>
      <c r="S53" s="112" t="s">
        <v>9589</v>
      </c>
      <c r="T53" s="41">
        <v>300000</v>
      </c>
      <c r="X53" s="114">
        <v>500107</v>
      </c>
      <c r="Y53" s="114" t="s">
        <v>1706</v>
      </c>
      <c r="Z53" s="119" t="s">
        <v>1672</v>
      </c>
      <c r="AA53" s="119" t="s">
        <v>9503</v>
      </c>
      <c r="AB53" s="1" t="str">
        <f t="shared" si="3"/>
        <v>气血上限+3992;防御力+100</v>
      </c>
      <c r="AC53" s="5" t="s">
        <v>9433</v>
      </c>
      <c r="AD53" s="5">
        <v>4990</v>
      </c>
      <c r="AE53" s="5" t="s">
        <v>9434</v>
      </c>
      <c r="AF53" s="5">
        <v>100</v>
      </c>
      <c r="AH53" s="1">
        <f t="shared" si="2"/>
        <v>3992</v>
      </c>
    </row>
    <row r="54" spans="1:34" s="5" customFormat="1" x14ac:dyDescent="0.15">
      <c r="A54" s="41">
        <v>800102</v>
      </c>
      <c r="B54" s="101" t="s">
        <v>9590</v>
      </c>
      <c r="C54" s="101" t="s">
        <v>1908</v>
      </c>
      <c r="D54" s="41">
        <v>0</v>
      </c>
      <c r="E54" s="41">
        <v>0</v>
      </c>
      <c r="F54" s="101"/>
      <c r="G54" s="41">
        <v>4</v>
      </c>
      <c r="H54" s="43">
        <v>2</v>
      </c>
      <c r="I54" s="41">
        <v>4</v>
      </c>
      <c r="J54" s="41" t="s">
        <v>9591</v>
      </c>
      <c r="K54" s="41">
        <v>0</v>
      </c>
      <c r="L54" s="43">
        <v>1</v>
      </c>
      <c r="M54" s="43" t="b">
        <v>0</v>
      </c>
      <c r="N54" s="41">
        <v>260</v>
      </c>
      <c r="O54" s="41">
        <v>0</v>
      </c>
      <c r="P54" s="41">
        <v>1</v>
      </c>
      <c r="Q54" s="41" t="s">
        <v>38</v>
      </c>
      <c r="R54" s="111" t="s">
        <v>9592</v>
      </c>
      <c r="S54" s="112" t="s">
        <v>9593</v>
      </c>
      <c r="T54" s="41">
        <v>300000</v>
      </c>
      <c r="X54" s="17">
        <v>500008</v>
      </c>
      <c r="Y54" s="17" t="s">
        <v>1709</v>
      </c>
      <c r="Z54" s="118" t="s">
        <v>1672</v>
      </c>
      <c r="AA54" s="118" t="s">
        <v>9511</v>
      </c>
      <c r="AB54" s="1" t="str">
        <f t="shared" si="3"/>
        <v>气血上限+6463;防御力+160</v>
      </c>
      <c r="AC54" s="5" t="s">
        <v>9433</v>
      </c>
      <c r="AD54" s="5">
        <v>8079</v>
      </c>
      <c r="AE54" s="5" t="s">
        <v>9434</v>
      </c>
      <c r="AF54" s="5">
        <v>160</v>
      </c>
      <c r="AH54" s="1">
        <f t="shared" si="2"/>
        <v>6463</v>
      </c>
    </row>
    <row r="55" spans="1:34" s="5" customFormat="1" x14ac:dyDescent="0.15">
      <c r="A55" s="41">
        <v>101003</v>
      </c>
      <c r="B55" s="105" t="s">
        <v>9594</v>
      </c>
      <c r="C55" s="41" t="s">
        <v>33</v>
      </c>
      <c r="D55" s="41">
        <v>1</v>
      </c>
      <c r="E55" s="41" t="s">
        <v>34</v>
      </c>
      <c r="F55" s="41"/>
      <c r="G55" s="41">
        <v>1</v>
      </c>
      <c r="H55" s="43">
        <v>3</v>
      </c>
      <c r="I55" s="41" t="s">
        <v>70</v>
      </c>
      <c r="J55" s="41" t="s">
        <v>9595</v>
      </c>
      <c r="K55" s="41">
        <v>0</v>
      </c>
      <c r="L55" s="43">
        <v>1</v>
      </c>
      <c r="M55" s="43" t="b">
        <v>1</v>
      </c>
      <c r="N55" s="41">
        <v>400</v>
      </c>
      <c r="O55" s="41">
        <v>0</v>
      </c>
      <c r="P55" s="41">
        <v>2</v>
      </c>
      <c r="Q55" s="41" t="s">
        <v>38</v>
      </c>
      <c r="R55" s="111" t="s">
        <v>9596</v>
      </c>
      <c r="S55" s="112" t="s">
        <v>60</v>
      </c>
      <c r="T55" s="41">
        <v>300000</v>
      </c>
      <c r="X55" s="17">
        <v>500009</v>
      </c>
      <c r="Y55" s="17" t="s">
        <v>1714</v>
      </c>
      <c r="Z55" s="118" t="s">
        <v>1672</v>
      </c>
      <c r="AA55" s="118" t="s">
        <v>9515</v>
      </c>
      <c r="AB55" s="1" t="str">
        <f t="shared" si="3"/>
        <v>气血上限+10454;防御力+258</v>
      </c>
      <c r="AC55" s="5" t="s">
        <v>9433</v>
      </c>
      <c r="AD55" s="5">
        <v>13068</v>
      </c>
      <c r="AE55" s="5" t="s">
        <v>9434</v>
      </c>
      <c r="AF55" s="5">
        <v>258</v>
      </c>
      <c r="AH55" s="1">
        <f t="shared" si="2"/>
        <v>10454</v>
      </c>
    </row>
    <row r="56" spans="1:34" s="5" customFormat="1" ht="27" x14ac:dyDescent="0.15">
      <c r="A56" s="41">
        <v>102003</v>
      </c>
      <c r="B56" s="105" t="s">
        <v>159</v>
      </c>
      <c r="C56" s="41" t="s">
        <v>33</v>
      </c>
      <c r="D56" s="41">
        <v>2</v>
      </c>
      <c r="E56" s="41" t="s">
        <v>134</v>
      </c>
      <c r="F56" s="41" t="s">
        <v>167</v>
      </c>
      <c r="G56" s="41">
        <v>1</v>
      </c>
      <c r="H56" s="43">
        <v>3</v>
      </c>
      <c r="I56" s="41" t="s">
        <v>70</v>
      </c>
      <c r="J56" s="41" t="s">
        <v>1765</v>
      </c>
      <c r="K56" s="41">
        <v>0</v>
      </c>
      <c r="L56" s="43">
        <v>1</v>
      </c>
      <c r="M56" s="43" t="b">
        <v>1</v>
      </c>
      <c r="N56" s="41">
        <v>400</v>
      </c>
      <c r="O56" s="41">
        <v>0</v>
      </c>
      <c r="P56" s="41">
        <v>2</v>
      </c>
      <c r="Q56" s="41" t="s">
        <v>38</v>
      </c>
      <c r="R56" s="111" t="s">
        <v>9597</v>
      </c>
      <c r="S56" s="112" t="s">
        <v>158</v>
      </c>
      <c r="T56" s="41">
        <v>300000</v>
      </c>
      <c r="X56" s="17">
        <v>500010</v>
      </c>
      <c r="Y56" s="17" t="s">
        <v>1719</v>
      </c>
      <c r="Z56" s="118" t="s">
        <v>1672</v>
      </c>
      <c r="AA56" s="118" t="s">
        <v>9517</v>
      </c>
      <c r="AB56" s="1" t="str">
        <f t="shared" si="3"/>
        <v>气血上限+16917;防御力+418</v>
      </c>
      <c r="AC56" s="5" t="s">
        <v>9433</v>
      </c>
      <c r="AD56" s="5">
        <v>21147</v>
      </c>
      <c r="AE56" s="5" t="s">
        <v>9434</v>
      </c>
      <c r="AF56" s="5">
        <v>418</v>
      </c>
      <c r="AH56" s="1">
        <f t="shared" si="2"/>
        <v>16917</v>
      </c>
    </row>
    <row r="57" spans="1:34" s="5" customFormat="1" x14ac:dyDescent="0.15">
      <c r="A57" s="41">
        <v>102103</v>
      </c>
      <c r="B57" s="105" t="s">
        <v>9598</v>
      </c>
      <c r="C57" s="41" t="s">
        <v>33</v>
      </c>
      <c r="D57" s="41">
        <v>2</v>
      </c>
      <c r="E57" s="41" t="s">
        <v>134</v>
      </c>
      <c r="F57" s="41" t="s">
        <v>230</v>
      </c>
      <c r="G57" s="41">
        <v>1</v>
      </c>
      <c r="H57" s="43">
        <v>3</v>
      </c>
      <c r="I57" s="41" t="s">
        <v>70</v>
      </c>
      <c r="J57" s="41" t="s">
        <v>9599</v>
      </c>
      <c r="K57" s="41">
        <v>0</v>
      </c>
      <c r="L57" s="43">
        <v>1</v>
      </c>
      <c r="M57" s="43" t="b">
        <v>1</v>
      </c>
      <c r="N57" s="41">
        <v>400</v>
      </c>
      <c r="O57" s="41">
        <v>0</v>
      </c>
      <c r="P57" s="41">
        <v>2</v>
      </c>
      <c r="Q57" s="41" t="s">
        <v>38</v>
      </c>
      <c r="R57" s="111" t="s">
        <v>9600</v>
      </c>
      <c r="S57" s="112" t="s">
        <v>233</v>
      </c>
      <c r="T57" s="41">
        <v>300000</v>
      </c>
      <c r="X57" s="115">
        <v>500102</v>
      </c>
      <c r="Y57" s="121" t="s">
        <v>1733</v>
      </c>
      <c r="Z57" s="121" t="s">
        <v>1672</v>
      </c>
      <c r="AA57" s="121" t="s">
        <v>9486</v>
      </c>
      <c r="AB57" s="1" t="str">
        <f t="shared" si="3"/>
        <v>气血上限+380;防御力+10</v>
      </c>
      <c r="AC57" s="5" t="s">
        <v>9433</v>
      </c>
      <c r="AD57" s="5">
        <v>476</v>
      </c>
      <c r="AE57" s="5" t="s">
        <v>9434</v>
      </c>
      <c r="AF57" s="5">
        <v>10</v>
      </c>
      <c r="AH57" s="1">
        <f t="shared" si="2"/>
        <v>380</v>
      </c>
    </row>
    <row r="58" spans="1:34" s="96" customFormat="1" x14ac:dyDescent="0.15">
      <c r="A58" s="102">
        <v>104003</v>
      </c>
      <c r="B58" s="106" t="s">
        <v>9601</v>
      </c>
      <c r="C58" s="102" t="s">
        <v>33</v>
      </c>
      <c r="D58" s="102">
        <v>4</v>
      </c>
      <c r="E58" s="102" t="s">
        <v>447</v>
      </c>
      <c r="F58" s="102" t="s">
        <v>463</v>
      </c>
      <c r="G58" s="102">
        <v>1</v>
      </c>
      <c r="H58" s="104">
        <v>3</v>
      </c>
      <c r="I58" s="102" t="s">
        <v>70</v>
      </c>
      <c r="J58" s="102" t="s">
        <v>9602</v>
      </c>
      <c r="K58" s="102">
        <v>0</v>
      </c>
      <c r="L58" s="104">
        <v>1</v>
      </c>
      <c r="M58" s="104" t="b">
        <v>1</v>
      </c>
      <c r="N58" s="102">
        <v>400</v>
      </c>
      <c r="O58" s="102">
        <v>0</v>
      </c>
      <c r="P58" s="102">
        <v>2</v>
      </c>
      <c r="Q58" s="102" t="s">
        <v>38</v>
      </c>
      <c r="R58" s="86" t="s">
        <v>9603</v>
      </c>
      <c r="S58" s="112" t="s">
        <v>466</v>
      </c>
      <c r="T58" s="41">
        <v>300000</v>
      </c>
      <c r="X58" s="117">
        <v>500103</v>
      </c>
      <c r="Y58" s="125" t="s">
        <v>1737</v>
      </c>
      <c r="Z58" s="125" t="s">
        <v>1672</v>
      </c>
      <c r="AA58" s="125" t="s">
        <v>9488</v>
      </c>
      <c r="AB58" s="1" t="str">
        <f t="shared" si="3"/>
        <v>气血上限+570;防御力+16</v>
      </c>
      <c r="AC58" s="96" t="s">
        <v>9433</v>
      </c>
      <c r="AD58" s="96">
        <v>713</v>
      </c>
      <c r="AE58" s="96" t="s">
        <v>9434</v>
      </c>
      <c r="AF58" s="96">
        <v>16</v>
      </c>
      <c r="AH58" s="1">
        <f t="shared" si="2"/>
        <v>570</v>
      </c>
    </row>
    <row r="59" spans="1:34" s="5" customFormat="1" ht="27" x14ac:dyDescent="0.15">
      <c r="A59" s="41">
        <v>104103</v>
      </c>
      <c r="B59" s="42" t="s">
        <v>9604</v>
      </c>
      <c r="C59" s="41" t="s">
        <v>33</v>
      </c>
      <c r="D59" s="41">
        <v>4</v>
      </c>
      <c r="E59" s="41" t="s">
        <v>447</v>
      </c>
      <c r="F59" s="41" t="s">
        <v>532</v>
      </c>
      <c r="G59" s="41">
        <v>1</v>
      </c>
      <c r="H59" s="43">
        <v>3</v>
      </c>
      <c r="I59" s="41" t="s">
        <v>70</v>
      </c>
      <c r="J59" s="41" t="s">
        <v>9605</v>
      </c>
      <c r="K59" s="41">
        <v>0</v>
      </c>
      <c r="L59" s="43">
        <v>1</v>
      </c>
      <c r="M59" s="43" t="b">
        <v>1</v>
      </c>
      <c r="N59" s="41">
        <v>400</v>
      </c>
      <c r="O59" s="41">
        <v>0</v>
      </c>
      <c r="P59" s="41">
        <v>2</v>
      </c>
      <c r="Q59" s="41" t="s">
        <v>38</v>
      </c>
      <c r="R59" s="111" t="s">
        <v>9606</v>
      </c>
      <c r="S59" s="112" t="s">
        <v>535</v>
      </c>
      <c r="T59" s="41">
        <v>300000</v>
      </c>
      <c r="X59" s="117">
        <v>500104</v>
      </c>
      <c r="Y59" s="122" t="s">
        <v>1740</v>
      </c>
      <c r="Z59" s="117" t="s">
        <v>1672</v>
      </c>
      <c r="AA59" s="117" t="s">
        <v>9492</v>
      </c>
      <c r="AB59" s="1" t="str">
        <f t="shared" si="3"/>
        <v>气血上限+950;防御力+24</v>
      </c>
      <c r="AC59" s="5" t="s">
        <v>9433</v>
      </c>
      <c r="AD59" s="5">
        <v>1188</v>
      </c>
      <c r="AE59" s="5" t="s">
        <v>9434</v>
      </c>
      <c r="AF59" s="5">
        <v>24</v>
      </c>
      <c r="AH59" s="1">
        <f t="shared" si="2"/>
        <v>950</v>
      </c>
    </row>
    <row r="60" spans="1:34" s="5" customFormat="1" ht="27" x14ac:dyDescent="0.15">
      <c r="A60" s="41">
        <v>105003</v>
      </c>
      <c r="B60" s="42" t="s">
        <v>9607</v>
      </c>
      <c r="C60" s="41" t="s">
        <v>33</v>
      </c>
      <c r="D60" s="41">
        <v>5</v>
      </c>
      <c r="E60" s="41" t="s">
        <v>631</v>
      </c>
      <c r="F60" s="41" t="s">
        <v>656</v>
      </c>
      <c r="G60" s="41">
        <v>1</v>
      </c>
      <c r="H60" s="43">
        <v>3</v>
      </c>
      <c r="I60" s="41" t="s">
        <v>70</v>
      </c>
      <c r="J60" s="41" t="s">
        <v>9608</v>
      </c>
      <c r="K60" s="41">
        <v>0</v>
      </c>
      <c r="L60" s="43">
        <v>1</v>
      </c>
      <c r="M60" s="43" t="b">
        <v>1</v>
      </c>
      <c r="N60" s="41">
        <v>400</v>
      </c>
      <c r="O60" s="41">
        <v>0</v>
      </c>
      <c r="P60" s="41">
        <v>2</v>
      </c>
      <c r="Q60" s="41" t="s">
        <v>38</v>
      </c>
      <c r="R60" s="111" t="s">
        <v>9609</v>
      </c>
      <c r="S60" s="112" t="s">
        <v>653</v>
      </c>
      <c r="T60" s="41">
        <v>300000</v>
      </c>
      <c r="X60" s="15">
        <v>800001</v>
      </c>
      <c r="Y60" s="16" t="s">
        <v>1906</v>
      </c>
      <c r="Z60" s="15" t="s">
        <v>1908</v>
      </c>
      <c r="AA60" s="15" t="s">
        <v>9610</v>
      </c>
      <c r="AB60" s="1" t="str">
        <f t="shared" si="3"/>
        <v>气血上限+96;</v>
      </c>
      <c r="AC60" s="5" t="s">
        <v>9433</v>
      </c>
      <c r="AD60" s="5">
        <v>120</v>
      </c>
      <c r="AH60" s="1">
        <f t="shared" si="2"/>
        <v>96</v>
      </c>
    </row>
    <row r="61" spans="1:34" s="5" customFormat="1" ht="27" x14ac:dyDescent="0.15">
      <c r="A61" s="41">
        <v>103003</v>
      </c>
      <c r="B61" s="42" t="s">
        <v>9611</v>
      </c>
      <c r="C61" s="41" t="s">
        <v>33</v>
      </c>
      <c r="D61" s="41">
        <v>3</v>
      </c>
      <c r="E61" s="41" t="s">
        <v>363</v>
      </c>
      <c r="F61" s="41" t="s">
        <v>376</v>
      </c>
      <c r="G61" s="41">
        <v>1</v>
      </c>
      <c r="H61" s="43">
        <v>3</v>
      </c>
      <c r="I61" s="41" t="s">
        <v>70</v>
      </c>
      <c r="J61" s="41" t="s">
        <v>9612</v>
      </c>
      <c r="K61" s="41">
        <v>0</v>
      </c>
      <c r="L61" s="43">
        <v>1</v>
      </c>
      <c r="M61" s="43" t="b">
        <v>1</v>
      </c>
      <c r="N61" s="41">
        <v>400</v>
      </c>
      <c r="O61" s="41">
        <v>0</v>
      </c>
      <c r="P61" s="41">
        <v>2</v>
      </c>
      <c r="Q61" s="41" t="s">
        <v>38</v>
      </c>
      <c r="R61" s="111" t="s">
        <v>9613</v>
      </c>
      <c r="S61" s="112" t="s">
        <v>379</v>
      </c>
      <c r="T61" s="41">
        <v>300000</v>
      </c>
      <c r="X61" s="15">
        <v>800002</v>
      </c>
      <c r="Y61" s="16" t="s">
        <v>1913</v>
      </c>
      <c r="Z61" s="15" t="s">
        <v>1908</v>
      </c>
      <c r="AA61" s="15" t="s">
        <v>9614</v>
      </c>
      <c r="AB61" s="1" t="str">
        <f t="shared" si="3"/>
        <v>气血上限+380;</v>
      </c>
      <c r="AC61" s="5" t="s">
        <v>9433</v>
      </c>
      <c r="AD61" s="5">
        <v>476</v>
      </c>
      <c r="AH61" s="1">
        <f t="shared" si="2"/>
        <v>380</v>
      </c>
    </row>
    <row r="62" spans="1:34" s="5" customFormat="1" x14ac:dyDescent="0.15">
      <c r="A62" s="41">
        <v>106003</v>
      </c>
      <c r="B62" s="105" t="s">
        <v>9615</v>
      </c>
      <c r="C62" s="41" t="s">
        <v>33</v>
      </c>
      <c r="D62" s="41">
        <v>6</v>
      </c>
      <c r="E62" s="41" t="s">
        <v>727</v>
      </c>
      <c r="G62" s="41">
        <v>1</v>
      </c>
      <c r="H62" s="43">
        <v>3</v>
      </c>
      <c r="I62" s="41" t="s">
        <v>70</v>
      </c>
      <c r="J62" s="41" t="s">
        <v>9608</v>
      </c>
      <c r="K62" s="41">
        <v>0</v>
      </c>
      <c r="L62" s="43">
        <v>1</v>
      </c>
      <c r="M62" s="43" t="b">
        <v>1</v>
      </c>
      <c r="N62" s="41">
        <v>400</v>
      </c>
      <c r="O62" s="41">
        <v>0</v>
      </c>
      <c r="P62" s="41">
        <v>2</v>
      </c>
      <c r="Q62" s="41" t="s">
        <v>38</v>
      </c>
      <c r="R62" s="111" t="s">
        <v>9616</v>
      </c>
      <c r="S62" s="112" t="s">
        <v>743</v>
      </c>
      <c r="T62" s="41">
        <v>300000</v>
      </c>
      <c r="X62" s="15">
        <v>800003</v>
      </c>
      <c r="Y62" s="21" t="s">
        <v>1919</v>
      </c>
      <c r="Z62" s="15" t="s">
        <v>1908</v>
      </c>
      <c r="AA62" s="15" t="s">
        <v>9617</v>
      </c>
      <c r="AB62" s="1" t="str">
        <f t="shared" si="3"/>
        <v>气血上限+571;</v>
      </c>
      <c r="AC62" s="5" t="s">
        <v>9433</v>
      </c>
      <c r="AD62" s="5">
        <v>714</v>
      </c>
      <c r="AH62" s="1">
        <f t="shared" si="2"/>
        <v>571</v>
      </c>
    </row>
    <row r="63" spans="1:34" s="5" customFormat="1" x14ac:dyDescent="0.15">
      <c r="A63" s="41">
        <v>109003</v>
      </c>
      <c r="B63" s="105" t="s">
        <v>9618</v>
      </c>
      <c r="C63" s="41" t="s">
        <v>33</v>
      </c>
      <c r="D63" s="41">
        <v>9</v>
      </c>
      <c r="E63" s="41" t="s">
        <v>812</v>
      </c>
      <c r="F63" s="41"/>
      <c r="G63" s="41">
        <v>1</v>
      </c>
      <c r="H63" s="43">
        <v>3</v>
      </c>
      <c r="I63" s="41" t="s">
        <v>70</v>
      </c>
      <c r="J63" s="41" t="s">
        <v>1765</v>
      </c>
      <c r="K63" s="41">
        <v>0</v>
      </c>
      <c r="L63" s="43">
        <v>1</v>
      </c>
      <c r="M63" s="43" t="b">
        <v>1</v>
      </c>
      <c r="N63" s="41">
        <v>400</v>
      </c>
      <c r="O63" s="41">
        <v>0</v>
      </c>
      <c r="P63" s="41">
        <v>2</v>
      </c>
      <c r="Q63" s="41" t="s">
        <v>38</v>
      </c>
      <c r="R63" s="111" t="s">
        <v>9619</v>
      </c>
      <c r="S63" s="112" t="s">
        <v>825</v>
      </c>
      <c r="T63" s="41">
        <v>300000</v>
      </c>
      <c r="X63" s="15">
        <v>800004</v>
      </c>
      <c r="Y63" s="72" t="s">
        <v>1925</v>
      </c>
      <c r="Z63" s="15" t="s">
        <v>1908</v>
      </c>
      <c r="AA63" s="15" t="s">
        <v>9620</v>
      </c>
      <c r="AB63" s="1" t="str">
        <f t="shared" si="3"/>
        <v>气血上限+950;</v>
      </c>
      <c r="AC63" s="5" t="s">
        <v>9433</v>
      </c>
      <c r="AD63" s="5">
        <v>1188</v>
      </c>
      <c r="AH63" s="1">
        <f t="shared" si="2"/>
        <v>950</v>
      </c>
    </row>
    <row r="64" spans="1:34" s="5" customFormat="1" ht="27" x14ac:dyDescent="0.15">
      <c r="A64" s="41">
        <v>110003</v>
      </c>
      <c r="B64" s="105" t="s">
        <v>9621</v>
      </c>
      <c r="C64" s="41" t="s">
        <v>33</v>
      </c>
      <c r="D64" s="41">
        <v>10</v>
      </c>
      <c r="E64" s="41" t="s">
        <v>887</v>
      </c>
      <c r="F64" s="41" t="s">
        <v>900</v>
      </c>
      <c r="G64" s="41">
        <v>1</v>
      </c>
      <c r="H64" s="43">
        <v>3</v>
      </c>
      <c r="I64" s="41" t="s">
        <v>70</v>
      </c>
      <c r="J64" s="41" t="s">
        <v>9599</v>
      </c>
      <c r="K64" s="41">
        <v>0</v>
      </c>
      <c r="L64" s="43">
        <v>1</v>
      </c>
      <c r="M64" s="43" t="b">
        <v>1</v>
      </c>
      <c r="N64" s="41">
        <v>400</v>
      </c>
      <c r="O64" s="41">
        <v>0</v>
      </c>
      <c r="P64" s="41">
        <v>2</v>
      </c>
      <c r="Q64" s="41" t="s">
        <v>38</v>
      </c>
      <c r="R64" s="111" t="s">
        <v>9622</v>
      </c>
      <c r="S64" s="112" t="s">
        <v>903</v>
      </c>
      <c r="T64" s="41">
        <v>300000</v>
      </c>
      <c r="X64" s="17">
        <v>800005</v>
      </c>
      <c r="Y64" s="17" t="s">
        <v>1931</v>
      </c>
      <c r="Z64" s="118" t="s">
        <v>1908</v>
      </c>
      <c r="AA64" s="118" t="s">
        <v>9623</v>
      </c>
      <c r="AB64" s="1" t="str">
        <f t="shared" si="3"/>
        <v>气血上限+1521;</v>
      </c>
      <c r="AC64" s="5" t="s">
        <v>9433</v>
      </c>
      <c r="AD64" s="5">
        <v>1902</v>
      </c>
      <c r="AH64" s="1">
        <f t="shared" si="2"/>
        <v>1521</v>
      </c>
    </row>
    <row r="65" spans="1:34" s="5" customFormat="1" ht="27" x14ac:dyDescent="0.15">
      <c r="A65" s="41">
        <v>200003</v>
      </c>
      <c r="B65" s="105" t="s">
        <v>9624</v>
      </c>
      <c r="C65" s="41" t="s">
        <v>1408</v>
      </c>
      <c r="D65" s="41">
        <v>0</v>
      </c>
      <c r="E65" s="41">
        <v>0</v>
      </c>
      <c r="F65" s="41"/>
      <c r="G65" s="41">
        <v>1</v>
      </c>
      <c r="H65" s="43">
        <v>4</v>
      </c>
      <c r="I65" s="41" t="s">
        <v>70</v>
      </c>
      <c r="J65" s="41" t="s">
        <v>9625</v>
      </c>
      <c r="K65" s="41">
        <v>0</v>
      </c>
      <c r="L65" s="43">
        <v>1</v>
      </c>
      <c r="M65" s="43" t="b">
        <v>1</v>
      </c>
      <c r="N65" s="41">
        <v>380</v>
      </c>
      <c r="O65" s="41">
        <v>0</v>
      </c>
      <c r="P65" s="41">
        <v>2</v>
      </c>
      <c r="Q65" s="41" t="s">
        <v>38</v>
      </c>
      <c r="R65" s="111" t="s">
        <v>9626</v>
      </c>
      <c r="S65" s="112" t="s">
        <v>1424</v>
      </c>
      <c r="T65" s="41">
        <v>200000</v>
      </c>
      <c r="X65" s="17">
        <v>800006</v>
      </c>
      <c r="Y65" s="17" t="s">
        <v>1937</v>
      </c>
      <c r="Z65" s="118" t="s">
        <v>1908</v>
      </c>
      <c r="AA65" s="118" t="s">
        <v>9627</v>
      </c>
      <c r="AB65" s="1" t="str">
        <f t="shared" ref="AB65:AB96" si="4">AC65&amp;AH65&amp;";"&amp;AE65&amp;AF65</f>
        <v>气血上限+2472;</v>
      </c>
      <c r="AC65" s="5" t="s">
        <v>9433</v>
      </c>
      <c r="AD65" s="5">
        <v>3090</v>
      </c>
      <c r="AH65" s="1">
        <f t="shared" si="2"/>
        <v>2472</v>
      </c>
    </row>
    <row r="66" spans="1:34" s="5" customFormat="1" ht="27" x14ac:dyDescent="0.15">
      <c r="A66" s="41">
        <v>300003</v>
      </c>
      <c r="B66" s="105" t="s">
        <v>1525</v>
      </c>
      <c r="C66" s="41" t="s">
        <v>1508</v>
      </c>
      <c r="D66" s="41">
        <v>0</v>
      </c>
      <c r="E66" s="41">
        <v>0</v>
      </c>
      <c r="F66" s="41"/>
      <c r="G66" s="41">
        <v>1</v>
      </c>
      <c r="H66" s="43">
        <v>4</v>
      </c>
      <c r="I66" s="41" t="s">
        <v>70</v>
      </c>
      <c r="J66" s="41" t="s">
        <v>9628</v>
      </c>
      <c r="K66" s="41">
        <v>0</v>
      </c>
      <c r="L66" s="43">
        <v>1</v>
      </c>
      <c r="M66" s="43" t="b">
        <v>1</v>
      </c>
      <c r="N66" s="41">
        <v>330</v>
      </c>
      <c r="O66" s="41">
        <v>0</v>
      </c>
      <c r="P66" s="41">
        <v>2</v>
      </c>
      <c r="Q66" s="41" t="s">
        <v>38</v>
      </c>
      <c r="R66" s="111" t="s">
        <v>9629</v>
      </c>
      <c r="S66" s="112" t="s">
        <v>1524</v>
      </c>
      <c r="T66" s="41">
        <v>100000</v>
      </c>
      <c r="X66" s="17">
        <v>800007</v>
      </c>
      <c r="Y66" s="17" t="s">
        <v>1943</v>
      </c>
      <c r="Z66" s="118" t="s">
        <v>1908</v>
      </c>
      <c r="AA66" s="118" t="s">
        <v>9630</v>
      </c>
      <c r="AB66" s="1" t="str">
        <f t="shared" si="4"/>
        <v>气血上限+3992;</v>
      </c>
      <c r="AC66" s="5" t="s">
        <v>9433</v>
      </c>
      <c r="AD66" s="5">
        <v>4990</v>
      </c>
      <c r="AH66" s="1">
        <f t="shared" si="2"/>
        <v>3992</v>
      </c>
    </row>
    <row r="67" spans="1:34" s="5" customFormat="1" x14ac:dyDescent="0.15">
      <c r="A67" s="41">
        <v>400003</v>
      </c>
      <c r="B67" s="105" t="s">
        <v>9631</v>
      </c>
      <c r="C67" s="41" t="s">
        <v>1594</v>
      </c>
      <c r="D67" s="41">
        <v>0</v>
      </c>
      <c r="E67" s="41">
        <v>0</v>
      </c>
      <c r="F67" s="41"/>
      <c r="G67" s="41">
        <v>1</v>
      </c>
      <c r="H67" s="43">
        <v>4</v>
      </c>
      <c r="I67" s="41" t="s">
        <v>70</v>
      </c>
      <c r="J67" s="41" t="s">
        <v>9632</v>
      </c>
      <c r="K67" s="41">
        <v>0</v>
      </c>
      <c r="L67" s="43">
        <v>1</v>
      </c>
      <c r="M67" s="43" t="b">
        <v>1</v>
      </c>
      <c r="N67" s="41">
        <v>300</v>
      </c>
      <c r="O67" s="41">
        <v>0</v>
      </c>
      <c r="P67" s="41">
        <v>2</v>
      </c>
      <c r="Q67" s="41" t="s">
        <v>38</v>
      </c>
      <c r="R67" s="111" t="s">
        <v>9633</v>
      </c>
      <c r="S67" s="112" t="s">
        <v>1606</v>
      </c>
      <c r="T67" s="41">
        <v>100000</v>
      </c>
      <c r="X67" s="17">
        <v>800009</v>
      </c>
      <c r="Y67" s="17" t="s">
        <v>1949</v>
      </c>
      <c r="Z67" s="118" t="s">
        <v>1908</v>
      </c>
      <c r="AA67" s="118" t="s">
        <v>9634</v>
      </c>
      <c r="AB67" s="1" t="str">
        <f t="shared" si="4"/>
        <v>气血上限+6464;</v>
      </c>
      <c r="AC67" s="5" t="s">
        <v>9433</v>
      </c>
      <c r="AD67" s="5">
        <v>8080</v>
      </c>
      <c r="AH67" s="1">
        <f t="shared" si="2"/>
        <v>6464</v>
      </c>
    </row>
    <row r="68" spans="1:34" s="5" customFormat="1" x14ac:dyDescent="0.15">
      <c r="A68" s="41">
        <v>500003</v>
      </c>
      <c r="B68" s="101" t="s">
        <v>9635</v>
      </c>
      <c r="C68" s="41" t="s">
        <v>1672</v>
      </c>
      <c r="D68" s="41">
        <v>0</v>
      </c>
      <c r="E68" s="41">
        <v>0</v>
      </c>
      <c r="F68" s="41"/>
      <c r="G68" s="41">
        <v>1</v>
      </c>
      <c r="H68" s="43">
        <v>4</v>
      </c>
      <c r="I68" s="41" t="s">
        <v>70</v>
      </c>
      <c r="J68" s="41" t="s">
        <v>9636</v>
      </c>
      <c r="K68" s="41">
        <v>0</v>
      </c>
      <c r="L68" s="43">
        <v>1</v>
      </c>
      <c r="M68" s="43" t="b">
        <v>1</v>
      </c>
      <c r="N68" s="41">
        <v>360</v>
      </c>
      <c r="O68" s="41">
        <v>0</v>
      </c>
      <c r="P68" s="41">
        <v>2</v>
      </c>
      <c r="Q68" s="41" t="s">
        <v>38</v>
      </c>
      <c r="R68" s="111" t="s">
        <v>9637</v>
      </c>
      <c r="S68" s="112" t="s">
        <v>1685</v>
      </c>
      <c r="T68" s="41">
        <v>100000</v>
      </c>
      <c r="X68" s="17">
        <v>800008</v>
      </c>
      <c r="Y68" s="17" t="s">
        <v>1955</v>
      </c>
      <c r="Z68" s="118" t="s">
        <v>1908</v>
      </c>
      <c r="AA68" s="118" t="s">
        <v>9638</v>
      </c>
      <c r="AB68" s="1" t="str">
        <f t="shared" si="4"/>
        <v>气血上限+10454;</v>
      </c>
      <c r="AC68" s="5" t="s">
        <v>9433</v>
      </c>
      <c r="AD68" s="5">
        <v>13068</v>
      </c>
      <c r="AH68" s="1">
        <f t="shared" si="2"/>
        <v>10454</v>
      </c>
    </row>
    <row r="69" spans="1:34" s="5" customFormat="1" x14ac:dyDescent="0.15">
      <c r="A69" s="41">
        <v>600003</v>
      </c>
      <c r="B69" s="42" t="s">
        <v>1757</v>
      </c>
      <c r="C69" s="41" t="s">
        <v>1746</v>
      </c>
      <c r="D69" s="41">
        <v>0</v>
      </c>
      <c r="E69" s="41">
        <v>0</v>
      </c>
      <c r="F69" s="41"/>
      <c r="G69" s="41">
        <v>1</v>
      </c>
      <c r="H69" s="43">
        <v>2</v>
      </c>
      <c r="I69" s="41" t="s">
        <v>70</v>
      </c>
      <c r="J69" s="41" t="s">
        <v>9639</v>
      </c>
      <c r="K69" s="41">
        <v>0</v>
      </c>
      <c r="L69" s="43">
        <v>1</v>
      </c>
      <c r="M69" s="43" t="b">
        <v>1</v>
      </c>
      <c r="N69" s="41">
        <v>440</v>
      </c>
      <c r="O69" s="41">
        <v>0</v>
      </c>
      <c r="P69" s="41">
        <v>2</v>
      </c>
      <c r="Q69" s="41" t="s">
        <v>38</v>
      </c>
      <c r="R69" s="111" t="s">
        <v>9640</v>
      </c>
      <c r="S69" s="112" t="s">
        <v>1762</v>
      </c>
      <c r="T69" s="41">
        <v>100000</v>
      </c>
      <c r="X69" s="17">
        <v>800010</v>
      </c>
      <c r="Y69" s="17" t="s">
        <v>1961</v>
      </c>
      <c r="Z69" s="118" t="s">
        <v>1908</v>
      </c>
      <c r="AA69" s="118" t="s">
        <v>9641</v>
      </c>
      <c r="AB69" s="1" t="str">
        <f t="shared" si="4"/>
        <v>气血上限+16918;</v>
      </c>
      <c r="AC69" s="5" t="s">
        <v>9433</v>
      </c>
      <c r="AD69" s="5">
        <v>21148</v>
      </c>
      <c r="AH69" s="1">
        <f t="shared" si="2"/>
        <v>16918</v>
      </c>
    </row>
    <row r="70" spans="1:34" s="5" customFormat="1" x14ac:dyDescent="0.15">
      <c r="A70" s="41">
        <v>700003</v>
      </c>
      <c r="B70" s="42" t="s">
        <v>1852</v>
      </c>
      <c r="C70" s="41" t="s">
        <v>1832</v>
      </c>
      <c r="D70" s="41">
        <v>0</v>
      </c>
      <c r="E70" s="41">
        <v>0</v>
      </c>
      <c r="F70" s="41"/>
      <c r="G70" s="41">
        <v>1</v>
      </c>
      <c r="H70" s="43">
        <v>2</v>
      </c>
      <c r="I70" s="41" t="s">
        <v>70</v>
      </c>
      <c r="J70" s="41" t="s">
        <v>9642</v>
      </c>
      <c r="K70" s="41">
        <v>0</v>
      </c>
      <c r="L70" s="43">
        <v>1</v>
      </c>
      <c r="M70" s="43" t="b">
        <v>1</v>
      </c>
      <c r="N70" s="41">
        <v>475</v>
      </c>
      <c r="O70" s="41">
        <v>0</v>
      </c>
      <c r="P70" s="41">
        <v>2</v>
      </c>
      <c r="Q70" s="41" t="s">
        <v>38</v>
      </c>
      <c r="R70" s="111" t="s">
        <v>9643</v>
      </c>
      <c r="S70" s="112" t="s">
        <v>1851</v>
      </c>
      <c r="T70" s="41">
        <v>200000</v>
      </c>
      <c r="X70" s="41">
        <v>800101</v>
      </c>
      <c r="Y70" s="42" t="s">
        <v>1967</v>
      </c>
      <c r="Z70" s="41" t="s">
        <v>1908</v>
      </c>
      <c r="AA70" s="41" t="s">
        <v>9610</v>
      </c>
      <c r="AB70" s="1" t="str">
        <f t="shared" si="4"/>
        <v>气血上限+96;</v>
      </c>
      <c r="AC70" s="5" t="s">
        <v>9433</v>
      </c>
      <c r="AD70" s="5">
        <v>120</v>
      </c>
      <c r="AH70" s="1">
        <f t="shared" si="2"/>
        <v>96</v>
      </c>
    </row>
    <row r="71" spans="1:34" s="5" customFormat="1" x14ac:dyDescent="0.15">
      <c r="A71" s="41">
        <v>800003</v>
      </c>
      <c r="B71" s="42" t="s">
        <v>9644</v>
      </c>
      <c r="C71" s="41" t="s">
        <v>1908</v>
      </c>
      <c r="D71" s="41">
        <v>0</v>
      </c>
      <c r="E71" s="41">
        <v>0</v>
      </c>
      <c r="F71" s="41"/>
      <c r="G71" s="41">
        <v>1</v>
      </c>
      <c r="H71" s="43">
        <v>2</v>
      </c>
      <c r="I71" s="41" t="s">
        <v>70</v>
      </c>
      <c r="J71" s="41" t="s">
        <v>9477</v>
      </c>
      <c r="K71" s="41">
        <v>0</v>
      </c>
      <c r="L71" s="43">
        <v>1</v>
      </c>
      <c r="M71" s="43" t="b">
        <v>1</v>
      </c>
      <c r="N71" s="41">
        <v>410</v>
      </c>
      <c r="O71" s="41">
        <v>0</v>
      </c>
      <c r="P71" s="41">
        <v>2</v>
      </c>
      <c r="Q71" s="41" t="s">
        <v>38</v>
      </c>
      <c r="R71" s="111" t="s">
        <v>9645</v>
      </c>
      <c r="S71" s="112" t="s">
        <v>1924</v>
      </c>
      <c r="T71" s="41">
        <v>200000</v>
      </c>
      <c r="X71" s="115">
        <v>800102</v>
      </c>
      <c r="Y71" s="121" t="s">
        <v>1972</v>
      </c>
      <c r="Z71" s="121" t="s">
        <v>1908</v>
      </c>
      <c r="AA71" s="115" t="s">
        <v>9614</v>
      </c>
      <c r="AB71" s="1" t="str">
        <f t="shared" si="4"/>
        <v>气血上限+380;</v>
      </c>
      <c r="AC71" s="5" t="s">
        <v>9433</v>
      </c>
      <c r="AD71" s="5">
        <v>476</v>
      </c>
      <c r="AH71" s="1">
        <f t="shared" ref="AH71:AH134" si="5">INT(AD71*0.8)</f>
        <v>380</v>
      </c>
    </row>
    <row r="72" spans="1:34" s="5" customFormat="1" ht="27" x14ac:dyDescent="0.15">
      <c r="A72" s="41">
        <v>101203</v>
      </c>
      <c r="B72" s="101" t="s">
        <v>9646</v>
      </c>
      <c r="C72" s="41" t="s">
        <v>33</v>
      </c>
      <c r="D72" s="41">
        <v>1</v>
      </c>
      <c r="E72" s="41" t="s">
        <v>34</v>
      </c>
      <c r="F72" s="41"/>
      <c r="G72" s="41">
        <v>4</v>
      </c>
      <c r="H72" s="41">
        <v>3</v>
      </c>
      <c r="I72" s="41">
        <v>4</v>
      </c>
      <c r="J72" s="41" t="s">
        <v>9647</v>
      </c>
      <c r="K72" s="41">
        <v>0</v>
      </c>
      <c r="L72" s="43">
        <v>1</v>
      </c>
      <c r="M72" s="43" t="b">
        <v>0</v>
      </c>
      <c r="N72" s="41">
        <v>700</v>
      </c>
      <c r="O72" s="41">
        <v>0</v>
      </c>
      <c r="P72" s="41">
        <v>2</v>
      </c>
      <c r="Q72" s="41" t="s">
        <v>38</v>
      </c>
      <c r="R72" s="111" t="s">
        <v>9648</v>
      </c>
      <c r="S72" s="112" t="s">
        <v>9649</v>
      </c>
      <c r="T72" s="41">
        <v>100000</v>
      </c>
      <c r="X72" s="117">
        <v>800103</v>
      </c>
      <c r="Y72" s="124" t="s">
        <v>288</v>
      </c>
      <c r="Z72" s="117" t="s">
        <v>1908</v>
      </c>
      <c r="AA72" s="117" t="s">
        <v>9617</v>
      </c>
      <c r="AB72" s="1" t="str">
        <f t="shared" si="4"/>
        <v>气血上限+571;</v>
      </c>
      <c r="AC72" s="5" t="s">
        <v>9433</v>
      </c>
      <c r="AD72" s="5">
        <v>714</v>
      </c>
      <c r="AH72" s="1">
        <f t="shared" si="5"/>
        <v>571</v>
      </c>
    </row>
    <row r="73" spans="1:34" s="5" customFormat="1" x14ac:dyDescent="0.15">
      <c r="A73" s="41">
        <v>102203</v>
      </c>
      <c r="B73" s="101" t="s">
        <v>9650</v>
      </c>
      <c r="C73" s="41" t="s">
        <v>33</v>
      </c>
      <c r="D73" s="41">
        <v>2</v>
      </c>
      <c r="E73" s="41" t="s">
        <v>134</v>
      </c>
      <c r="F73" s="41" t="s">
        <v>167</v>
      </c>
      <c r="G73" s="41">
        <v>4</v>
      </c>
      <c r="H73" s="43">
        <v>3</v>
      </c>
      <c r="I73" s="41">
        <v>4</v>
      </c>
      <c r="J73" s="41" t="s">
        <v>9651</v>
      </c>
      <c r="K73" s="41">
        <v>0</v>
      </c>
      <c r="L73" s="43">
        <v>1</v>
      </c>
      <c r="M73" s="43" t="b">
        <v>0</v>
      </c>
      <c r="N73" s="41">
        <v>700</v>
      </c>
      <c r="O73" s="41">
        <v>0</v>
      </c>
      <c r="P73" s="41">
        <v>2</v>
      </c>
      <c r="Q73" s="41" t="s">
        <v>38</v>
      </c>
      <c r="R73" s="111" t="s">
        <v>9652</v>
      </c>
      <c r="S73" s="112" t="s">
        <v>292</v>
      </c>
      <c r="T73" s="41">
        <v>100000</v>
      </c>
      <c r="X73" s="127">
        <v>800104</v>
      </c>
      <c r="Y73" s="128" t="s">
        <v>1979</v>
      </c>
      <c r="Z73" s="134" t="s">
        <v>1908</v>
      </c>
      <c r="AA73" s="134" t="s">
        <v>9620</v>
      </c>
      <c r="AB73" s="1" t="str">
        <f t="shared" si="4"/>
        <v>气血上限+950;</v>
      </c>
      <c r="AC73" s="5" t="s">
        <v>9433</v>
      </c>
      <c r="AD73" s="5">
        <v>1188</v>
      </c>
      <c r="AH73" s="1">
        <f t="shared" si="5"/>
        <v>950</v>
      </c>
    </row>
    <row r="74" spans="1:34" s="5" customFormat="1" x14ac:dyDescent="0.15">
      <c r="A74" s="41">
        <v>102303</v>
      </c>
      <c r="B74" s="101" t="s">
        <v>9653</v>
      </c>
      <c r="C74" s="41" t="s">
        <v>33</v>
      </c>
      <c r="D74" s="41">
        <v>2</v>
      </c>
      <c r="E74" s="41" t="s">
        <v>134</v>
      </c>
      <c r="F74" s="41" t="s">
        <v>230</v>
      </c>
      <c r="G74" s="41">
        <v>4</v>
      </c>
      <c r="H74" s="43">
        <v>3</v>
      </c>
      <c r="I74" s="41">
        <v>4</v>
      </c>
      <c r="J74" s="41" t="s">
        <v>9654</v>
      </c>
      <c r="K74" s="41">
        <v>0</v>
      </c>
      <c r="L74" s="43">
        <v>1</v>
      </c>
      <c r="M74" s="43" t="b">
        <v>0</v>
      </c>
      <c r="N74" s="41">
        <v>700</v>
      </c>
      <c r="O74" s="41">
        <v>0</v>
      </c>
      <c r="P74" s="41">
        <v>2</v>
      </c>
      <c r="Q74" s="41" t="s">
        <v>38</v>
      </c>
      <c r="R74" s="111" t="s">
        <v>9655</v>
      </c>
      <c r="S74" s="112" t="s">
        <v>9656</v>
      </c>
      <c r="T74" s="41">
        <v>100000</v>
      </c>
      <c r="X74" s="128">
        <v>800108</v>
      </c>
      <c r="Y74" s="128" t="s">
        <v>1985</v>
      </c>
      <c r="Z74" s="134" t="s">
        <v>1908</v>
      </c>
      <c r="AA74" s="134" t="s">
        <v>9634</v>
      </c>
      <c r="AB74" s="1" t="str">
        <f t="shared" si="4"/>
        <v>气血上限+6464;</v>
      </c>
      <c r="AC74" s="5" t="s">
        <v>9433</v>
      </c>
      <c r="AD74" s="5">
        <v>8080</v>
      </c>
      <c r="AH74" s="1">
        <f t="shared" si="5"/>
        <v>6464</v>
      </c>
    </row>
    <row r="75" spans="1:34" s="5" customFormat="1" x14ac:dyDescent="0.15">
      <c r="A75" s="41">
        <v>103203</v>
      </c>
      <c r="B75" s="101" t="s">
        <v>386</v>
      </c>
      <c r="C75" s="41" t="s">
        <v>33</v>
      </c>
      <c r="D75" s="41">
        <v>3</v>
      </c>
      <c r="E75" s="41" t="s">
        <v>363</v>
      </c>
      <c r="F75" s="41" t="s">
        <v>376</v>
      </c>
      <c r="G75" s="41">
        <v>4</v>
      </c>
      <c r="H75" s="43">
        <v>3</v>
      </c>
      <c r="I75" s="41">
        <v>4</v>
      </c>
      <c r="J75" s="41" t="s">
        <v>9657</v>
      </c>
      <c r="K75" s="41">
        <v>0</v>
      </c>
      <c r="L75" s="43">
        <v>1</v>
      </c>
      <c r="M75" s="43" t="b">
        <v>0</v>
      </c>
      <c r="N75" s="41">
        <v>700</v>
      </c>
      <c r="O75" s="41">
        <v>0</v>
      </c>
      <c r="P75" s="41">
        <v>2</v>
      </c>
      <c r="Q75" s="41" t="s">
        <v>38</v>
      </c>
      <c r="R75" s="111" t="s">
        <v>9658</v>
      </c>
      <c r="S75" s="112" t="s">
        <v>9659</v>
      </c>
      <c r="T75" s="41">
        <v>100000</v>
      </c>
      <c r="X75" s="129">
        <v>800109</v>
      </c>
      <c r="Y75" s="129" t="s">
        <v>1989</v>
      </c>
      <c r="Z75" s="135" t="s">
        <v>1908</v>
      </c>
      <c r="AA75" s="135" t="s">
        <v>9638</v>
      </c>
      <c r="AB75" s="1" t="str">
        <f t="shared" si="4"/>
        <v>气血上限+10454;</v>
      </c>
      <c r="AC75" s="5" t="s">
        <v>9433</v>
      </c>
      <c r="AD75" s="5">
        <v>13068</v>
      </c>
      <c r="AH75" s="1">
        <f t="shared" si="5"/>
        <v>10454</v>
      </c>
    </row>
    <row r="76" spans="1:34" s="5" customFormat="1" ht="27" x14ac:dyDescent="0.15">
      <c r="A76" s="41">
        <v>104203</v>
      </c>
      <c r="B76" s="101" t="s">
        <v>485</v>
      </c>
      <c r="C76" s="41" t="s">
        <v>33</v>
      </c>
      <c r="D76" s="41">
        <v>4</v>
      </c>
      <c r="E76" s="41" t="s">
        <v>447</v>
      </c>
      <c r="F76" s="41" t="s">
        <v>463</v>
      </c>
      <c r="G76" s="41">
        <v>4</v>
      </c>
      <c r="H76" s="43">
        <v>3</v>
      </c>
      <c r="I76" s="41">
        <v>4</v>
      </c>
      <c r="J76" s="41" t="s">
        <v>9660</v>
      </c>
      <c r="K76" s="41">
        <v>0</v>
      </c>
      <c r="L76" s="43">
        <v>1</v>
      </c>
      <c r="M76" s="43" t="b">
        <v>0</v>
      </c>
      <c r="N76" s="41">
        <v>700</v>
      </c>
      <c r="O76" s="41">
        <v>0</v>
      </c>
      <c r="P76" s="41">
        <v>2</v>
      </c>
      <c r="Q76" s="41" t="s">
        <v>38</v>
      </c>
      <c r="R76" s="111" t="s">
        <v>9661</v>
      </c>
      <c r="S76" s="112" t="s">
        <v>9662</v>
      </c>
      <c r="T76" s="41">
        <v>100000</v>
      </c>
      <c r="X76" s="130">
        <v>300105</v>
      </c>
      <c r="Y76" s="130" t="s">
        <v>2086</v>
      </c>
      <c r="Z76" s="130" t="s">
        <v>1508</v>
      </c>
      <c r="AA76" s="130" t="s">
        <v>9496</v>
      </c>
      <c r="AB76" s="1" t="str">
        <f t="shared" si="4"/>
        <v>气血上限+1520;防御力+38</v>
      </c>
      <c r="AC76" s="5" t="s">
        <v>9433</v>
      </c>
      <c r="AD76" s="5">
        <v>1901</v>
      </c>
      <c r="AE76" s="5" t="s">
        <v>9434</v>
      </c>
      <c r="AF76" s="5">
        <v>38</v>
      </c>
      <c r="AH76" s="1">
        <f t="shared" si="5"/>
        <v>1520</v>
      </c>
    </row>
    <row r="77" spans="1:34" s="96" customFormat="1" x14ac:dyDescent="0.15">
      <c r="A77" s="102">
        <v>104303</v>
      </c>
      <c r="B77" s="103" t="s">
        <v>9663</v>
      </c>
      <c r="C77" s="102" t="s">
        <v>33</v>
      </c>
      <c r="D77" s="102">
        <v>4</v>
      </c>
      <c r="E77" s="102" t="s">
        <v>447</v>
      </c>
      <c r="F77" s="102" t="s">
        <v>532</v>
      </c>
      <c r="G77" s="102">
        <v>4</v>
      </c>
      <c r="H77" s="104">
        <v>3</v>
      </c>
      <c r="I77" s="102">
        <v>4</v>
      </c>
      <c r="J77" s="102" t="s">
        <v>9657</v>
      </c>
      <c r="K77" s="102">
        <v>0</v>
      </c>
      <c r="L77" s="104">
        <v>1</v>
      </c>
      <c r="M77" s="104" t="b">
        <v>0</v>
      </c>
      <c r="N77" s="102">
        <v>700</v>
      </c>
      <c r="O77" s="102">
        <v>0</v>
      </c>
      <c r="P77" s="102">
        <v>2</v>
      </c>
      <c r="Q77" s="102" t="s">
        <v>38</v>
      </c>
      <c r="R77" s="86" t="s">
        <v>9664</v>
      </c>
      <c r="S77" s="113" t="s">
        <v>9665</v>
      </c>
      <c r="T77" s="41">
        <v>100000</v>
      </c>
      <c r="X77" s="130">
        <v>300205</v>
      </c>
      <c r="Y77" s="130" t="s">
        <v>2091</v>
      </c>
      <c r="Z77" s="130" t="s">
        <v>1508</v>
      </c>
      <c r="AA77" s="130" t="s">
        <v>9496</v>
      </c>
      <c r="AB77" s="1" t="str">
        <f t="shared" si="4"/>
        <v>气血上限+1520;防御力+38</v>
      </c>
      <c r="AC77" s="96" t="s">
        <v>9433</v>
      </c>
      <c r="AD77" s="96">
        <v>1901</v>
      </c>
      <c r="AE77" s="96" t="s">
        <v>9434</v>
      </c>
      <c r="AF77" s="96">
        <v>38</v>
      </c>
      <c r="AH77" s="1">
        <f t="shared" si="5"/>
        <v>1520</v>
      </c>
    </row>
    <row r="78" spans="1:34" s="5" customFormat="1" ht="27" x14ac:dyDescent="0.15">
      <c r="A78" s="41">
        <v>105203</v>
      </c>
      <c r="B78" s="101" t="s">
        <v>654</v>
      </c>
      <c r="C78" s="41" t="s">
        <v>33</v>
      </c>
      <c r="D78" s="41">
        <v>5</v>
      </c>
      <c r="E78" s="41" t="s">
        <v>631</v>
      </c>
      <c r="F78" s="41" t="s">
        <v>656</v>
      </c>
      <c r="G78" s="41">
        <v>4</v>
      </c>
      <c r="H78" s="43">
        <v>3</v>
      </c>
      <c r="I78" s="41">
        <v>4</v>
      </c>
      <c r="J78" s="41" t="s">
        <v>9666</v>
      </c>
      <c r="K78" s="41">
        <v>0</v>
      </c>
      <c r="L78" s="43">
        <v>1</v>
      </c>
      <c r="M78" s="43" t="b">
        <v>0</v>
      </c>
      <c r="N78" s="41">
        <v>700</v>
      </c>
      <c r="O78" s="41">
        <v>0</v>
      </c>
      <c r="P78" s="41">
        <v>2</v>
      </c>
      <c r="Q78" s="41" t="s">
        <v>38</v>
      </c>
      <c r="R78" s="111" t="s">
        <v>9667</v>
      </c>
      <c r="S78" s="112" t="s">
        <v>9668</v>
      </c>
      <c r="T78" s="41">
        <v>100000</v>
      </c>
      <c r="X78" s="130">
        <v>300305</v>
      </c>
      <c r="Y78" s="130" t="s">
        <v>2096</v>
      </c>
      <c r="Z78" s="130" t="s">
        <v>1508</v>
      </c>
      <c r="AA78" s="130" t="s">
        <v>9496</v>
      </c>
      <c r="AB78" s="1" t="str">
        <f t="shared" si="4"/>
        <v>气血上限+1520;防御力+38</v>
      </c>
      <c r="AC78" s="5" t="s">
        <v>9433</v>
      </c>
      <c r="AD78" s="5">
        <v>1901</v>
      </c>
      <c r="AE78" s="5" t="s">
        <v>9434</v>
      </c>
      <c r="AF78" s="5">
        <v>38</v>
      </c>
      <c r="AH78" s="1">
        <f t="shared" si="5"/>
        <v>1520</v>
      </c>
    </row>
    <row r="79" spans="1:34" s="5" customFormat="1" x14ac:dyDescent="0.15">
      <c r="A79" s="41">
        <v>106203</v>
      </c>
      <c r="B79" s="101" t="s">
        <v>744</v>
      </c>
      <c r="C79" s="41" t="s">
        <v>33</v>
      </c>
      <c r="D79" s="41">
        <v>6</v>
      </c>
      <c r="E79" s="41" t="s">
        <v>727</v>
      </c>
      <c r="F79" s="41"/>
      <c r="G79" s="41">
        <v>4</v>
      </c>
      <c r="H79" s="43">
        <v>3</v>
      </c>
      <c r="I79" s="41">
        <v>4</v>
      </c>
      <c r="J79" s="41" t="s">
        <v>9666</v>
      </c>
      <c r="K79" s="41">
        <v>0</v>
      </c>
      <c r="L79" s="43">
        <v>1</v>
      </c>
      <c r="M79" s="43" t="b">
        <v>0</v>
      </c>
      <c r="N79" s="41">
        <v>700</v>
      </c>
      <c r="O79" s="41">
        <v>0</v>
      </c>
      <c r="P79" s="41">
        <v>2</v>
      </c>
      <c r="Q79" s="41" t="s">
        <v>38</v>
      </c>
      <c r="R79" s="111" t="s">
        <v>9669</v>
      </c>
      <c r="S79" s="112" t="s">
        <v>9670</v>
      </c>
      <c r="T79" s="41">
        <v>100000</v>
      </c>
      <c r="X79" s="130">
        <v>400105</v>
      </c>
      <c r="Y79" s="130" t="s">
        <v>2101</v>
      </c>
      <c r="Z79" s="130" t="s">
        <v>1594</v>
      </c>
      <c r="AA79" s="130" t="s">
        <v>9496</v>
      </c>
      <c r="AB79" s="1" t="str">
        <f t="shared" si="4"/>
        <v>气血上限+1520;防御力+38</v>
      </c>
      <c r="AC79" s="5" t="s">
        <v>9433</v>
      </c>
      <c r="AD79" s="5">
        <v>1901</v>
      </c>
      <c r="AE79" s="5" t="s">
        <v>9434</v>
      </c>
      <c r="AF79" s="5">
        <v>38</v>
      </c>
      <c r="AH79" s="1">
        <f t="shared" si="5"/>
        <v>1520</v>
      </c>
    </row>
    <row r="80" spans="1:34" s="5" customFormat="1" x14ac:dyDescent="0.15">
      <c r="A80" s="41">
        <v>109203</v>
      </c>
      <c r="B80" s="101" t="s">
        <v>836</v>
      </c>
      <c r="C80" s="41" t="s">
        <v>33</v>
      </c>
      <c r="D80" s="41">
        <v>9</v>
      </c>
      <c r="E80" s="41" t="s">
        <v>812</v>
      </c>
      <c r="F80" s="41"/>
      <c r="G80" s="41">
        <v>4</v>
      </c>
      <c r="H80" s="43">
        <v>3</v>
      </c>
      <c r="I80" s="41">
        <v>4</v>
      </c>
      <c r="J80" s="41" t="s">
        <v>9651</v>
      </c>
      <c r="K80" s="41">
        <v>0</v>
      </c>
      <c r="L80" s="43">
        <v>1</v>
      </c>
      <c r="M80" s="43" t="b">
        <v>0</v>
      </c>
      <c r="N80" s="41">
        <v>700</v>
      </c>
      <c r="O80" s="41">
        <v>0</v>
      </c>
      <c r="P80" s="41">
        <v>2</v>
      </c>
      <c r="Q80" s="41" t="s">
        <v>38</v>
      </c>
      <c r="R80" s="111" t="s">
        <v>9671</v>
      </c>
      <c r="S80" s="112" t="s">
        <v>9672</v>
      </c>
      <c r="T80" s="41">
        <v>100000</v>
      </c>
      <c r="X80" s="130">
        <v>400205</v>
      </c>
      <c r="Y80" s="130" t="s">
        <v>2106</v>
      </c>
      <c r="Z80" s="130" t="s">
        <v>1594</v>
      </c>
      <c r="AA80" s="130" t="s">
        <v>9496</v>
      </c>
      <c r="AB80" s="1" t="str">
        <f t="shared" si="4"/>
        <v>气血上限+1520;防御力+38</v>
      </c>
      <c r="AC80" s="5" t="s">
        <v>9433</v>
      </c>
      <c r="AD80" s="5">
        <v>1901</v>
      </c>
      <c r="AE80" s="5" t="s">
        <v>9434</v>
      </c>
      <c r="AF80" s="5">
        <v>38</v>
      </c>
      <c r="AH80" s="1">
        <f t="shared" si="5"/>
        <v>1520</v>
      </c>
    </row>
    <row r="81" spans="1:34" s="5" customFormat="1" ht="40.5" x14ac:dyDescent="0.15">
      <c r="A81" s="41">
        <v>110203</v>
      </c>
      <c r="B81" s="101" t="s">
        <v>9673</v>
      </c>
      <c r="C81" s="41" t="s">
        <v>33</v>
      </c>
      <c r="D81" s="41">
        <v>10</v>
      </c>
      <c r="E81" s="41" t="s">
        <v>887</v>
      </c>
      <c r="F81" s="41" t="s">
        <v>900</v>
      </c>
      <c r="G81" s="41">
        <v>4</v>
      </c>
      <c r="H81" s="43">
        <v>3</v>
      </c>
      <c r="I81" s="41">
        <v>4</v>
      </c>
      <c r="J81" s="41" t="s">
        <v>9654</v>
      </c>
      <c r="K81" s="41">
        <v>0</v>
      </c>
      <c r="L81" s="43">
        <v>1</v>
      </c>
      <c r="M81" s="43" t="b">
        <v>0</v>
      </c>
      <c r="N81" s="41">
        <v>700</v>
      </c>
      <c r="O81" s="41">
        <v>0</v>
      </c>
      <c r="P81" s="41">
        <v>2</v>
      </c>
      <c r="Q81" s="41" t="s">
        <v>38</v>
      </c>
      <c r="R81" s="111" t="s">
        <v>9674</v>
      </c>
      <c r="S81" s="112" t="s">
        <v>9675</v>
      </c>
      <c r="T81" s="41">
        <v>100000</v>
      </c>
      <c r="X81" s="130">
        <v>400305</v>
      </c>
      <c r="Y81" s="130" t="s">
        <v>2110</v>
      </c>
      <c r="Z81" s="130" t="s">
        <v>1594</v>
      </c>
      <c r="AA81" s="130" t="s">
        <v>9496</v>
      </c>
      <c r="AB81" s="1" t="str">
        <f t="shared" si="4"/>
        <v>气血上限+1520;防御力+38</v>
      </c>
      <c r="AC81" s="5" t="s">
        <v>9433</v>
      </c>
      <c r="AD81" s="5">
        <v>1901</v>
      </c>
      <c r="AE81" s="5" t="s">
        <v>9434</v>
      </c>
      <c r="AF81" s="5">
        <v>38</v>
      </c>
      <c r="AH81" s="1">
        <f t="shared" si="5"/>
        <v>1520</v>
      </c>
    </row>
    <row r="82" spans="1:34" s="5" customFormat="1" ht="27" x14ac:dyDescent="0.15">
      <c r="A82" s="41">
        <v>200103</v>
      </c>
      <c r="B82" s="101" t="s">
        <v>1733</v>
      </c>
      <c r="C82" s="41" t="s">
        <v>1408</v>
      </c>
      <c r="D82" s="41">
        <v>0</v>
      </c>
      <c r="E82" s="41">
        <v>0</v>
      </c>
      <c r="F82" s="41"/>
      <c r="G82" s="41">
        <v>4</v>
      </c>
      <c r="H82" s="43">
        <v>4</v>
      </c>
      <c r="I82" s="41">
        <v>4</v>
      </c>
      <c r="J82" s="41" t="s">
        <v>9676</v>
      </c>
      <c r="K82" s="41">
        <v>0</v>
      </c>
      <c r="L82" s="43">
        <v>1</v>
      </c>
      <c r="M82" s="43" t="b">
        <v>0</v>
      </c>
      <c r="N82" s="41">
        <v>680</v>
      </c>
      <c r="O82" s="41">
        <v>0</v>
      </c>
      <c r="P82" s="41">
        <v>2</v>
      </c>
      <c r="Q82" s="41" t="s">
        <v>38</v>
      </c>
      <c r="R82" s="111" t="s">
        <v>9677</v>
      </c>
      <c r="S82" s="112" t="s">
        <v>9678</v>
      </c>
      <c r="T82" s="41">
        <v>300000</v>
      </c>
      <c r="X82" s="130">
        <v>500106</v>
      </c>
      <c r="Y82" s="130" t="s">
        <v>2114</v>
      </c>
      <c r="Z82" s="130" t="s">
        <v>1672</v>
      </c>
      <c r="AA82" s="130" t="s">
        <v>9500</v>
      </c>
      <c r="AB82" s="1" t="str">
        <f t="shared" si="4"/>
        <v>气血上限+2471;防御力+62</v>
      </c>
      <c r="AC82" s="5" t="s">
        <v>9433</v>
      </c>
      <c r="AD82" s="5">
        <v>3089</v>
      </c>
      <c r="AE82" s="5" t="s">
        <v>9434</v>
      </c>
      <c r="AF82" s="5">
        <v>62</v>
      </c>
      <c r="AH82" s="1">
        <f t="shared" si="5"/>
        <v>2471</v>
      </c>
    </row>
    <row r="83" spans="1:34" s="5" customFormat="1" x14ac:dyDescent="0.15">
      <c r="A83" s="41">
        <v>300103</v>
      </c>
      <c r="B83" s="42" t="s">
        <v>9679</v>
      </c>
      <c r="C83" s="41" t="s">
        <v>1508</v>
      </c>
      <c r="D83" s="41">
        <v>0</v>
      </c>
      <c r="E83" s="41">
        <v>0</v>
      </c>
      <c r="F83" s="101"/>
      <c r="G83" s="41">
        <v>5</v>
      </c>
      <c r="H83" s="43">
        <v>4</v>
      </c>
      <c r="I83" s="43">
        <v>5</v>
      </c>
      <c r="J83" s="41" t="s">
        <v>9680</v>
      </c>
      <c r="K83" s="41">
        <v>0</v>
      </c>
      <c r="L83" s="43">
        <v>1</v>
      </c>
      <c r="M83" s="43" t="b">
        <v>0</v>
      </c>
      <c r="N83" s="41">
        <v>630</v>
      </c>
      <c r="O83" s="41">
        <v>0</v>
      </c>
      <c r="P83" s="41">
        <v>2</v>
      </c>
      <c r="Q83" s="41" t="s">
        <v>38</v>
      </c>
      <c r="R83" s="111" t="s">
        <v>9681</v>
      </c>
      <c r="S83" s="112" t="s">
        <v>9682</v>
      </c>
      <c r="T83" s="41">
        <v>200000</v>
      </c>
      <c r="X83" s="130">
        <v>500206</v>
      </c>
      <c r="Y83" s="130" t="s">
        <v>2119</v>
      </c>
      <c r="Z83" s="130" t="s">
        <v>1672</v>
      </c>
      <c r="AA83" s="130" t="s">
        <v>9500</v>
      </c>
      <c r="AB83" s="1" t="str">
        <f t="shared" si="4"/>
        <v>气血上限+2471;防御力+62</v>
      </c>
      <c r="AC83" s="5" t="s">
        <v>9433</v>
      </c>
      <c r="AD83" s="5">
        <v>3089</v>
      </c>
      <c r="AE83" s="5" t="s">
        <v>9434</v>
      </c>
      <c r="AF83" s="5">
        <v>62</v>
      </c>
      <c r="AH83" s="1">
        <f t="shared" si="5"/>
        <v>2471</v>
      </c>
    </row>
    <row r="84" spans="1:34" s="5" customFormat="1" ht="27" x14ac:dyDescent="0.15">
      <c r="A84" s="41">
        <v>400103</v>
      </c>
      <c r="B84" s="42" t="s">
        <v>1620</v>
      </c>
      <c r="C84" s="41" t="s">
        <v>1594</v>
      </c>
      <c r="D84" s="41">
        <v>0</v>
      </c>
      <c r="E84" s="41">
        <v>0</v>
      </c>
      <c r="F84" s="101"/>
      <c r="G84" s="41">
        <v>5</v>
      </c>
      <c r="H84" s="43">
        <v>4</v>
      </c>
      <c r="I84" s="43">
        <v>5</v>
      </c>
      <c r="J84" s="41" t="s">
        <v>9683</v>
      </c>
      <c r="K84" s="41">
        <v>0</v>
      </c>
      <c r="L84" s="43">
        <v>1</v>
      </c>
      <c r="M84" s="43" t="b">
        <v>0</v>
      </c>
      <c r="N84" s="41">
        <v>600</v>
      </c>
      <c r="O84" s="41">
        <v>0</v>
      </c>
      <c r="P84" s="41">
        <v>2</v>
      </c>
      <c r="Q84" s="41" t="s">
        <v>38</v>
      </c>
      <c r="R84" s="111" t="s">
        <v>9684</v>
      </c>
      <c r="S84" s="112" t="s">
        <v>9685</v>
      </c>
      <c r="T84" s="41">
        <v>200000</v>
      </c>
      <c r="X84" s="130">
        <v>500306</v>
      </c>
      <c r="Y84" s="130" t="s">
        <v>2123</v>
      </c>
      <c r="Z84" s="130" t="s">
        <v>1672</v>
      </c>
      <c r="AA84" s="130" t="s">
        <v>9500</v>
      </c>
      <c r="AB84" s="1" t="str">
        <f t="shared" si="4"/>
        <v>气血上限+2471;防御力+62</v>
      </c>
      <c r="AC84" s="5" t="s">
        <v>9433</v>
      </c>
      <c r="AD84" s="5">
        <v>3089</v>
      </c>
      <c r="AE84" s="5" t="s">
        <v>9434</v>
      </c>
      <c r="AF84" s="5">
        <v>62</v>
      </c>
      <c r="AH84" s="1">
        <f t="shared" si="5"/>
        <v>2471</v>
      </c>
    </row>
    <row r="85" spans="1:34" s="5" customFormat="1" x14ac:dyDescent="0.15">
      <c r="A85" s="41">
        <v>500103</v>
      </c>
      <c r="B85" s="101" t="s">
        <v>9686</v>
      </c>
      <c r="C85" s="101" t="s">
        <v>9580</v>
      </c>
      <c r="D85" s="41">
        <v>0</v>
      </c>
      <c r="E85" s="41">
        <v>0</v>
      </c>
      <c r="F85" s="101"/>
      <c r="G85" s="41">
        <v>4</v>
      </c>
      <c r="H85" s="43">
        <v>4</v>
      </c>
      <c r="I85" s="41">
        <v>4</v>
      </c>
      <c r="J85" s="41" t="s">
        <v>9687</v>
      </c>
      <c r="K85" s="41"/>
      <c r="L85" s="43">
        <v>1</v>
      </c>
      <c r="M85" s="43" t="b">
        <v>0</v>
      </c>
      <c r="N85" s="41">
        <v>660</v>
      </c>
      <c r="O85" s="41">
        <v>0</v>
      </c>
      <c r="P85" s="41">
        <v>2</v>
      </c>
      <c r="Q85" s="41" t="s">
        <v>38</v>
      </c>
      <c r="R85" s="111" t="s">
        <v>9688</v>
      </c>
      <c r="S85" s="112" t="s">
        <v>9689</v>
      </c>
      <c r="T85" s="41">
        <v>300000</v>
      </c>
      <c r="X85" s="130">
        <v>200107</v>
      </c>
      <c r="Y85" s="130" t="s">
        <v>2127</v>
      </c>
      <c r="Z85" s="130" t="s">
        <v>1408</v>
      </c>
      <c r="AA85" s="130" t="s">
        <v>9456</v>
      </c>
      <c r="AB85" s="1" t="str">
        <f t="shared" si="4"/>
        <v>气血上限+3992;防御力+148</v>
      </c>
      <c r="AC85" s="5" t="s">
        <v>9433</v>
      </c>
      <c r="AD85" s="5">
        <v>4990</v>
      </c>
      <c r="AE85" s="5" t="s">
        <v>9434</v>
      </c>
      <c r="AF85" s="5">
        <v>148</v>
      </c>
      <c r="AH85" s="1">
        <f t="shared" si="5"/>
        <v>3992</v>
      </c>
    </row>
    <row r="86" spans="1:34" s="5" customFormat="1" x14ac:dyDescent="0.15">
      <c r="A86" s="41">
        <v>600103</v>
      </c>
      <c r="B86" s="42" t="s">
        <v>9690</v>
      </c>
      <c r="C86" s="41" t="s">
        <v>1746</v>
      </c>
      <c r="D86" s="41">
        <v>0</v>
      </c>
      <c r="E86" s="41">
        <v>0</v>
      </c>
      <c r="F86" s="101"/>
      <c r="G86" s="41">
        <v>5</v>
      </c>
      <c r="H86" s="43">
        <v>2</v>
      </c>
      <c r="I86" s="43">
        <v>5</v>
      </c>
      <c r="J86" s="41" t="s">
        <v>9691</v>
      </c>
      <c r="K86" s="41">
        <v>0</v>
      </c>
      <c r="L86" s="43">
        <v>1</v>
      </c>
      <c r="M86" s="43" t="b">
        <v>0</v>
      </c>
      <c r="N86" s="41">
        <v>740</v>
      </c>
      <c r="O86" s="41">
        <v>0</v>
      </c>
      <c r="P86" s="41">
        <v>2</v>
      </c>
      <c r="Q86" s="41" t="s">
        <v>38</v>
      </c>
      <c r="R86" s="111" t="s">
        <v>9692</v>
      </c>
      <c r="S86" s="112" t="s">
        <v>9693</v>
      </c>
      <c r="T86" s="41">
        <v>300000</v>
      </c>
      <c r="X86" s="130">
        <v>200207</v>
      </c>
      <c r="Y86" s="130" t="s">
        <v>2132</v>
      </c>
      <c r="Z86" s="130" t="s">
        <v>1408</v>
      </c>
      <c r="AA86" s="130" t="s">
        <v>9456</v>
      </c>
      <c r="AB86" s="1" t="str">
        <f t="shared" si="4"/>
        <v>气血上限+3992;防御力+148</v>
      </c>
      <c r="AC86" s="5" t="s">
        <v>9433</v>
      </c>
      <c r="AD86" s="5">
        <v>4990</v>
      </c>
      <c r="AE86" s="5" t="s">
        <v>9434</v>
      </c>
      <c r="AF86" s="5">
        <v>148</v>
      </c>
      <c r="AH86" s="1">
        <f t="shared" si="5"/>
        <v>3992</v>
      </c>
    </row>
    <row r="87" spans="1:34" s="5" customFormat="1" x14ac:dyDescent="0.15">
      <c r="A87" s="41">
        <v>700103</v>
      </c>
      <c r="B87" s="101" t="s">
        <v>9694</v>
      </c>
      <c r="C87" s="101" t="s">
        <v>1832</v>
      </c>
      <c r="D87" s="41">
        <v>0</v>
      </c>
      <c r="E87" s="41">
        <v>0</v>
      </c>
      <c r="F87" s="101"/>
      <c r="G87" s="41">
        <v>4</v>
      </c>
      <c r="H87" s="43">
        <v>2</v>
      </c>
      <c r="I87" s="41">
        <v>4</v>
      </c>
      <c r="J87" s="41" t="s">
        <v>9695</v>
      </c>
      <c r="K87" s="41"/>
      <c r="L87" s="43">
        <v>1</v>
      </c>
      <c r="M87" s="43" t="b">
        <v>0</v>
      </c>
      <c r="N87" s="41">
        <v>775</v>
      </c>
      <c r="O87" s="41">
        <v>0</v>
      </c>
      <c r="P87" s="41">
        <v>2</v>
      </c>
      <c r="Q87" s="41" t="s">
        <v>38</v>
      </c>
      <c r="R87" s="111" t="s">
        <v>9696</v>
      </c>
      <c r="S87" s="112" t="s">
        <v>9697</v>
      </c>
      <c r="T87" s="41">
        <v>300000</v>
      </c>
      <c r="X87" s="130">
        <v>200307</v>
      </c>
      <c r="Y87" s="130" t="s">
        <v>2136</v>
      </c>
      <c r="Z87" s="130" t="s">
        <v>1408</v>
      </c>
      <c r="AA87" s="130" t="s">
        <v>9456</v>
      </c>
      <c r="AB87" s="1" t="str">
        <f t="shared" si="4"/>
        <v>气血上限+3992;防御力+148</v>
      </c>
      <c r="AC87" s="5" t="s">
        <v>9433</v>
      </c>
      <c r="AD87" s="5">
        <v>4990</v>
      </c>
      <c r="AE87" s="5" t="s">
        <v>9434</v>
      </c>
      <c r="AF87" s="5">
        <v>148</v>
      </c>
      <c r="AH87" s="1">
        <f t="shared" si="5"/>
        <v>3992</v>
      </c>
    </row>
    <row r="88" spans="1:34" s="5" customFormat="1" x14ac:dyDescent="0.15">
      <c r="A88" s="41">
        <v>800103</v>
      </c>
      <c r="B88" s="42" t="s">
        <v>1937</v>
      </c>
      <c r="C88" s="41" t="s">
        <v>1908</v>
      </c>
      <c r="D88" s="41">
        <v>0</v>
      </c>
      <c r="E88" s="41">
        <v>0</v>
      </c>
      <c r="F88" s="101"/>
      <c r="G88" s="41">
        <v>5</v>
      </c>
      <c r="H88" s="43">
        <v>2</v>
      </c>
      <c r="I88" s="43">
        <v>5</v>
      </c>
      <c r="J88" s="41" t="s">
        <v>9698</v>
      </c>
      <c r="K88" s="41">
        <v>0</v>
      </c>
      <c r="L88" s="43">
        <v>1</v>
      </c>
      <c r="M88" s="43" t="b">
        <v>0</v>
      </c>
      <c r="N88" s="41">
        <v>710</v>
      </c>
      <c r="O88" s="41">
        <v>0</v>
      </c>
      <c r="P88" s="41">
        <v>2</v>
      </c>
      <c r="Q88" s="41" t="s">
        <v>38</v>
      </c>
      <c r="R88" s="111" t="s">
        <v>9699</v>
      </c>
      <c r="S88" s="112" t="s">
        <v>1978</v>
      </c>
      <c r="T88" s="41">
        <v>200000</v>
      </c>
      <c r="X88" s="131">
        <v>200304</v>
      </c>
      <c r="Y88" s="131" t="s">
        <v>2248</v>
      </c>
      <c r="Z88" s="131" t="s">
        <v>1408</v>
      </c>
      <c r="AA88" s="131" t="s">
        <v>9700</v>
      </c>
      <c r="AB88" s="1" t="str">
        <f t="shared" si="4"/>
        <v>气血上限+958;防御力+39</v>
      </c>
      <c r="AC88" s="5" t="s">
        <v>9433</v>
      </c>
      <c r="AD88" s="5">
        <v>1198</v>
      </c>
      <c r="AE88" s="5" t="s">
        <v>9434</v>
      </c>
      <c r="AF88" s="5">
        <v>39</v>
      </c>
      <c r="AH88" s="1">
        <f t="shared" si="5"/>
        <v>958</v>
      </c>
    </row>
    <row r="89" spans="1:34" s="5" customFormat="1" x14ac:dyDescent="0.15">
      <c r="A89" s="41">
        <v>101004</v>
      </c>
      <c r="B89" s="105" t="s">
        <v>9701</v>
      </c>
      <c r="C89" s="41" t="s">
        <v>33</v>
      </c>
      <c r="D89" s="41">
        <v>1</v>
      </c>
      <c r="E89" s="41" t="s">
        <v>34</v>
      </c>
      <c r="F89" s="41"/>
      <c r="G89" s="41">
        <v>1</v>
      </c>
      <c r="H89" s="43">
        <v>3</v>
      </c>
      <c r="I89" s="41" t="s">
        <v>70</v>
      </c>
      <c r="J89" s="41" t="s">
        <v>9702</v>
      </c>
      <c r="K89" s="41">
        <v>0</v>
      </c>
      <c r="L89" s="43">
        <v>1</v>
      </c>
      <c r="M89" s="43" t="b">
        <v>1</v>
      </c>
      <c r="N89" s="41">
        <v>2500</v>
      </c>
      <c r="O89" s="41">
        <v>0</v>
      </c>
      <c r="P89" s="41">
        <v>3</v>
      </c>
      <c r="Q89" s="41" t="s">
        <v>38</v>
      </c>
      <c r="R89" s="111" t="s">
        <v>9703</v>
      </c>
      <c r="S89" s="112" t="s">
        <v>67</v>
      </c>
      <c r="T89" s="41">
        <v>300000</v>
      </c>
      <c r="X89" s="131">
        <v>200205</v>
      </c>
      <c r="Y89" s="131" t="s">
        <v>2260</v>
      </c>
      <c r="Z89" s="131" t="s">
        <v>1408</v>
      </c>
      <c r="AA89" s="131" t="s">
        <v>9447</v>
      </c>
      <c r="AB89" s="1" t="str">
        <f t="shared" si="4"/>
        <v>气血上限+1520;防御力+58</v>
      </c>
      <c r="AC89" s="5" t="s">
        <v>9433</v>
      </c>
      <c r="AD89" s="5">
        <v>1901</v>
      </c>
      <c r="AE89" s="5" t="s">
        <v>9434</v>
      </c>
      <c r="AF89" s="5">
        <v>58</v>
      </c>
      <c r="AH89" s="1">
        <f t="shared" si="5"/>
        <v>1520</v>
      </c>
    </row>
    <row r="90" spans="1:34" s="5" customFormat="1" ht="27" x14ac:dyDescent="0.15">
      <c r="A90" s="41">
        <v>102004</v>
      </c>
      <c r="B90" s="105" t="s">
        <v>171</v>
      </c>
      <c r="C90" s="41" t="s">
        <v>33</v>
      </c>
      <c r="D90" s="41">
        <v>2</v>
      </c>
      <c r="E90" s="41" t="s">
        <v>134</v>
      </c>
      <c r="F90" s="41"/>
      <c r="G90" s="41">
        <v>1</v>
      </c>
      <c r="H90" s="43">
        <v>3</v>
      </c>
      <c r="I90" s="41" t="s">
        <v>70</v>
      </c>
      <c r="J90" s="41" t="s">
        <v>9704</v>
      </c>
      <c r="K90" s="41">
        <v>0</v>
      </c>
      <c r="L90" s="43">
        <v>1</v>
      </c>
      <c r="M90" s="43" t="b">
        <v>1</v>
      </c>
      <c r="N90" s="41">
        <v>2500</v>
      </c>
      <c r="O90" s="41">
        <v>0</v>
      </c>
      <c r="P90" s="41">
        <v>3</v>
      </c>
      <c r="Q90" s="41" t="s">
        <v>38</v>
      </c>
      <c r="R90" s="111" t="s">
        <v>9705</v>
      </c>
      <c r="S90" s="112" t="s">
        <v>164</v>
      </c>
      <c r="T90" s="41">
        <v>300000</v>
      </c>
      <c r="X90" s="132">
        <v>200203</v>
      </c>
      <c r="Y90" s="136" t="s">
        <v>2525</v>
      </c>
      <c r="Z90" s="137" t="s">
        <v>1408</v>
      </c>
      <c r="AA90" s="138" t="s">
        <v>9440</v>
      </c>
      <c r="AB90" s="1" t="str">
        <f t="shared" si="4"/>
        <v>气血上限+570;防御力+22</v>
      </c>
      <c r="AC90" s="5" t="s">
        <v>9433</v>
      </c>
      <c r="AD90" s="5">
        <v>713</v>
      </c>
      <c r="AE90" s="5" t="s">
        <v>9434</v>
      </c>
      <c r="AF90" s="5">
        <v>22</v>
      </c>
      <c r="AH90" s="1">
        <f t="shared" si="5"/>
        <v>570</v>
      </c>
    </row>
    <row r="91" spans="1:34" s="5" customFormat="1" x14ac:dyDescent="0.15">
      <c r="A91" s="41">
        <v>102104</v>
      </c>
      <c r="B91" s="105" t="s">
        <v>9706</v>
      </c>
      <c r="C91" s="41" t="s">
        <v>33</v>
      </c>
      <c r="D91" s="41">
        <v>2</v>
      </c>
      <c r="E91" s="41" t="s">
        <v>134</v>
      </c>
      <c r="F91" s="41"/>
      <c r="G91" s="41">
        <v>1</v>
      </c>
      <c r="H91" s="43">
        <v>3</v>
      </c>
      <c r="I91" s="41" t="s">
        <v>70</v>
      </c>
      <c r="J91" s="41" t="s">
        <v>9707</v>
      </c>
      <c r="K91" s="41">
        <v>0</v>
      </c>
      <c r="L91" s="43">
        <v>1</v>
      </c>
      <c r="M91" s="43" t="b">
        <v>1</v>
      </c>
      <c r="N91" s="41">
        <v>2500</v>
      </c>
      <c r="O91" s="41">
        <v>0</v>
      </c>
      <c r="P91" s="41">
        <v>3</v>
      </c>
      <c r="Q91" s="41" t="s">
        <v>38</v>
      </c>
      <c r="R91" s="111" t="s">
        <v>9708</v>
      </c>
      <c r="S91" s="112" t="s">
        <v>239</v>
      </c>
      <c r="T91" s="41">
        <v>300000</v>
      </c>
      <c r="X91" s="132">
        <v>200303</v>
      </c>
      <c r="Y91" s="136" t="s">
        <v>2529</v>
      </c>
      <c r="Z91" s="137" t="s">
        <v>1408</v>
      </c>
      <c r="AA91" s="138" t="s">
        <v>9440</v>
      </c>
      <c r="AB91" s="1" t="str">
        <f t="shared" si="4"/>
        <v>气血上限+570;防御力+22</v>
      </c>
      <c r="AC91" s="5" t="s">
        <v>9433</v>
      </c>
      <c r="AD91" s="5">
        <v>713</v>
      </c>
      <c r="AE91" s="5" t="s">
        <v>9434</v>
      </c>
      <c r="AF91" s="5">
        <v>22</v>
      </c>
      <c r="AH91" s="1">
        <f t="shared" si="5"/>
        <v>570</v>
      </c>
    </row>
    <row r="92" spans="1:34" s="5" customFormat="1" ht="27" x14ac:dyDescent="0.15">
      <c r="A92" s="41">
        <v>102114</v>
      </c>
      <c r="B92" s="105" t="s">
        <v>280</v>
      </c>
      <c r="C92" s="41" t="s">
        <v>33</v>
      </c>
      <c r="D92" s="41">
        <v>2</v>
      </c>
      <c r="E92" s="41" t="s">
        <v>134</v>
      </c>
      <c r="F92" s="41"/>
      <c r="G92" s="41">
        <v>5</v>
      </c>
      <c r="H92" s="43">
        <v>3</v>
      </c>
      <c r="I92" s="41" t="s">
        <v>70</v>
      </c>
      <c r="J92" s="41" t="s">
        <v>9709</v>
      </c>
      <c r="K92" s="41">
        <v>0</v>
      </c>
      <c r="L92" s="41">
        <v>1</v>
      </c>
      <c r="M92" s="43" t="b">
        <v>0</v>
      </c>
      <c r="N92" s="41">
        <v>6000</v>
      </c>
      <c r="O92" s="41">
        <v>0</v>
      </c>
      <c r="P92" s="41">
        <v>3</v>
      </c>
      <c r="Q92" s="41" t="s">
        <v>38</v>
      </c>
      <c r="R92" s="111" t="s">
        <v>9710</v>
      </c>
      <c r="S92" s="112" t="s">
        <v>9711</v>
      </c>
      <c r="T92" s="41">
        <v>300000</v>
      </c>
      <c r="X92" s="132">
        <v>200403</v>
      </c>
      <c r="Y92" s="136" t="s">
        <v>2533</v>
      </c>
      <c r="Z92" s="137" t="s">
        <v>1408</v>
      </c>
      <c r="AA92" s="138" t="s">
        <v>9440</v>
      </c>
      <c r="AB92" s="1" t="str">
        <f t="shared" si="4"/>
        <v>气血上限+570;防御力+22</v>
      </c>
      <c r="AC92" s="5" t="s">
        <v>9433</v>
      </c>
      <c r="AD92" s="5">
        <v>713</v>
      </c>
      <c r="AE92" s="5" t="s">
        <v>9434</v>
      </c>
      <c r="AF92" s="5">
        <v>22</v>
      </c>
      <c r="AH92" s="1">
        <f t="shared" si="5"/>
        <v>570</v>
      </c>
    </row>
    <row r="93" spans="1:34" s="5" customFormat="1" ht="27" x14ac:dyDescent="0.15">
      <c r="A93" s="41">
        <v>104004</v>
      </c>
      <c r="B93" s="105" t="s">
        <v>473</v>
      </c>
      <c r="C93" s="41" t="s">
        <v>33</v>
      </c>
      <c r="D93" s="41">
        <v>4</v>
      </c>
      <c r="E93" s="41" t="s">
        <v>447</v>
      </c>
      <c r="F93" s="41"/>
      <c r="G93" s="41">
        <v>1</v>
      </c>
      <c r="H93" s="43">
        <v>3</v>
      </c>
      <c r="I93" s="41" t="s">
        <v>70</v>
      </c>
      <c r="J93" s="41" t="s">
        <v>37</v>
      </c>
      <c r="K93" s="41">
        <v>0</v>
      </c>
      <c r="L93" s="43">
        <v>1</v>
      </c>
      <c r="M93" s="43" t="b">
        <v>1</v>
      </c>
      <c r="N93" s="41">
        <v>2500</v>
      </c>
      <c r="O93" s="41">
        <v>0</v>
      </c>
      <c r="P93" s="41">
        <v>3</v>
      </c>
      <c r="Q93" s="41" t="s">
        <v>38</v>
      </c>
      <c r="R93" s="111" t="s">
        <v>9712</v>
      </c>
      <c r="S93" s="112" t="s">
        <v>472</v>
      </c>
      <c r="T93" s="41">
        <v>300000</v>
      </c>
      <c r="X93" s="132">
        <v>200204</v>
      </c>
      <c r="Y93" s="136" t="s">
        <v>2537</v>
      </c>
      <c r="Z93" s="137" t="s">
        <v>1408</v>
      </c>
      <c r="AA93" s="138" t="s">
        <v>9444</v>
      </c>
      <c r="AB93" s="1" t="str">
        <f t="shared" si="4"/>
        <v>气血上限+950;防御力+36</v>
      </c>
      <c r="AC93" s="5" t="s">
        <v>9433</v>
      </c>
      <c r="AD93" s="5">
        <v>1188</v>
      </c>
      <c r="AE93" s="5" t="s">
        <v>9434</v>
      </c>
      <c r="AF93" s="5">
        <v>36</v>
      </c>
      <c r="AH93" s="1">
        <f t="shared" si="5"/>
        <v>950</v>
      </c>
    </row>
    <row r="94" spans="1:34" s="5" customFormat="1" ht="27" x14ac:dyDescent="0.15">
      <c r="A94" s="41">
        <v>104104</v>
      </c>
      <c r="B94" s="42" t="s">
        <v>551</v>
      </c>
      <c r="C94" s="41" t="s">
        <v>33</v>
      </c>
      <c r="D94" s="41">
        <v>4</v>
      </c>
      <c r="E94" s="41" t="s">
        <v>447</v>
      </c>
      <c r="F94" s="41"/>
      <c r="G94" s="41">
        <v>1</v>
      </c>
      <c r="H94" s="43">
        <v>3</v>
      </c>
      <c r="I94" s="41" t="s">
        <v>70</v>
      </c>
      <c r="J94" s="41" t="s">
        <v>37</v>
      </c>
      <c r="K94" s="41">
        <v>0</v>
      </c>
      <c r="L94" s="43">
        <v>1</v>
      </c>
      <c r="M94" s="43" t="b">
        <v>1</v>
      </c>
      <c r="N94" s="41">
        <v>2500</v>
      </c>
      <c r="O94" s="41">
        <v>0</v>
      </c>
      <c r="P94" s="41">
        <v>3</v>
      </c>
      <c r="Q94" s="41" t="s">
        <v>38</v>
      </c>
      <c r="R94" s="111" t="s">
        <v>9713</v>
      </c>
      <c r="S94" s="112" t="s">
        <v>544</v>
      </c>
      <c r="T94" s="41">
        <v>300000</v>
      </c>
      <c r="X94" s="132">
        <v>200404</v>
      </c>
      <c r="Y94" s="136" t="s">
        <v>2541</v>
      </c>
      <c r="Z94" s="137" t="s">
        <v>1408</v>
      </c>
      <c r="AA94" s="138" t="s">
        <v>9444</v>
      </c>
      <c r="AB94" s="1" t="str">
        <f t="shared" si="4"/>
        <v>气血上限+950;防御力+36</v>
      </c>
      <c r="AC94" s="5" t="s">
        <v>9433</v>
      </c>
      <c r="AD94" s="5">
        <v>1188</v>
      </c>
      <c r="AE94" s="5" t="s">
        <v>9434</v>
      </c>
      <c r="AF94" s="5">
        <v>36</v>
      </c>
      <c r="AH94" s="1">
        <f t="shared" si="5"/>
        <v>950</v>
      </c>
    </row>
    <row r="95" spans="1:34" s="5" customFormat="1" x14ac:dyDescent="0.15">
      <c r="A95" s="41">
        <v>105004</v>
      </c>
      <c r="B95" s="42" t="s">
        <v>660</v>
      </c>
      <c r="C95" s="41" t="s">
        <v>33</v>
      </c>
      <c r="D95" s="41">
        <v>5</v>
      </c>
      <c r="E95" s="41" t="s">
        <v>631</v>
      </c>
      <c r="F95" s="41"/>
      <c r="G95" s="41">
        <v>1</v>
      </c>
      <c r="H95" s="43">
        <v>3</v>
      </c>
      <c r="I95" s="41" t="s">
        <v>70</v>
      </c>
      <c r="J95" s="41" t="s">
        <v>9714</v>
      </c>
      <c r="K95" s="41">
        <v>0</v>
      </c>
      <c r="L95" s="43">
        <v>1</v>
      </c>
      <c r="M95" s="43" t="b">
        <v>1</v>
      </c>
      <c r="N95" s="41">
        <v>2500</v>
      </c>
      <c r="O95" s="41">
        <v>0</v>
      </c>
      <c r="P95" s="41">
        <v>3</v>
      </c>
      <c r="Q95" s="41" t="s">
        <v>38</v>
      </c>
      <c r="R95" s="111" t="s">
        <v>9715</v>
      </c>
      <c r="S95" s="112" t="s">
        <v>659</v>
      </c>
      <c r="T95" s="41">
        <v>300000</v>
      </c>
      <c r="X95" s="132">
        <v>200105</v>
      </c>
      <c r="Y95" s="136" t="s">
        <v>2545</v>
      </c>
      <c r="Z95" s="137" t="s">
        <v>1408</v>
      </c>
      <c r="AA95" s="138" t="s">
        <v>9447</v>
      </c>
      <c r="AB95" s="1" t="str">
        <f t="shared" si="4"/>
        <v>气血上限+1520;防御力+58</v>
      </c>
      <c r="AC95" s="5" t="s">
        <v>9433</v>
      </c>
      <c r="AD95" s="5">
        <v>1901</v>
      </c>
      <c r="AE95" s="5" t="s">
        <v>9434</v>
      </c>
      <c r="AF95" s="5">
        <v>58</v>
      </c>
      <c r="AH95" s="1">
        <f t="shared" si="5"/>
        <v>1520</v>
      </c>
    </row>
    <row r="96" spans="1:34" s="5" customFormat="1" ht="27" x14ac:dyDescent="0.15">
      <c r="A96" s="41">
        <v>103004</v>
      </c>
      <c r="B96" s="42" t="s">
        <v>398</v>
      </c>
      <c r="C96" s="41" t="s">
        <v>33</v>
      </c>
      <c r="D96" s="41">
        <v>3</v>
      </c>
      <c r="E96" s="41" t="s">
        <v>363</v>
      </c>
      <c r="F96" s="41"/>
      <c r="G96" s="41">
        <v>1</v>
      </c>
      <c r="H96" s="43">
        <v>3</v>
      </c>
      <c r="I96" s="41" t="s">
        <v>70</v>
      </c>
      <c r="J96" s="41" t="s">
        <v>9716</v>
      </c>
      <c r="K96" s="41">
        <v>0</v>
      </c>
      <c r="L96" s="43">
        <v>1</v>
      </c>
      <c r="M96" s="43" t="b">
        <v>1</v>
      </c>
      <c r="N96" s="41">
        <v>2500</v>
      </c>
      <c r="O96" s="41">
        <v>0</v>
      </c>
      <c r="P96" s="41">
        <v>3</v>
      </c>
      <c r="Q96" s="41" t="s">
        <v>38</v>
      </c>
      <c r="R96" s="111" t="s">
        <v>9717</v>
      </c>
      <c r="S96" s="112" t="s">
        <v>385</v>
      </c>
      <c r="T96" s="41">
        <v>300000</v>
      </c>
      <c r="X96" s="132">
        <v>200305</v>
      </c>
      <c r="Y96" s="136" t="s">
        <v>2549</v>
      </c>
      <c r="Z96" s="137" t="s">
        <v>1408</v>
      </c>
      <c r="AA96" s="138" t="s">
        <v>9447</v>
      </c>
      <c r="AB96" s="1" t="str">
        <f t="shared" si="4"/>
        <v>气血上限+1520;防御力+58</v>
      </c>
      <c r="AC96" s="5" t="s">
        <v>9433</v>
      </c>
      <c r="AD96" s="5">
        <v>1901</v>
      </c>
      <c r="AE96" s="5" t="s">
        <v>9434</v>
      </c>
      <c r="AF96" s="5">
        <v>58</v>
      </c>
      <c r="AH96" s="1">
        <f t="shared" si="5"/>
        <v>1520</v>
      </c>
    </row>
    <row r="97" spans="1:34" s="5" customFormat="1" x14ac:dyDescent="0.15">
      <c r="A97" s="41">
        <v>106004</v>
      </c>
      <c r="B97" s="105" t="s">
        <v>750</v>
      </c>
      <c r="C97" s="41" t="s">
        <v>33</v>
      </c>
      <c r="D97" s="41">
        <v>6</v>
      </c>
      <c r="E97" s="41" t="s">
        <v>727</v>
      </c>
      <c r="F97" s="41"/>
      <c r="G97" s="41">
        <v>1</v>
      </c>
      <c r="H97" s="43">
        <v>3</v>
      </c>
      <c r="I97" s="41" t="s">
        <v>70</v>
      </c>
      <c r="J97" s="41" t="s">
        <v>9714</v>
      </c>
      <c r="K97" s="41">
        <v>0</v>
      </c>
      <c r="L97" s="43">
        <v>1</v>
      </c>
      <c r="M97" s="43" t="b">
        <v>1</v>
      </c>
      <c r="N97" s="41">
        <v>2500</v>
      </c>
      <c r="O97" s="41">
        <v>0</v>
      </c>
      <c r="P97" s="41">
        <v>3</v>
      </c>
      <c r="Q97" s="41" t="s">
        <v>38</v>
      </c>
      <c r="R97" s="111" t="s">
        <v>9718</v>
      </c>
      <c r="S97" s="112" t="s">
        <v>749</v>
      </c>
      <c r="T97" s="41">
        <v>300000</v>
      </c>
      <c r="X97" s="132">
        <v>200206</v>
      </c>
      <c r="Y97" s="136" t="s">
        <v>2553</v>
      </c>
      <c r="Z97" s="137" t="s">
        <v>1408</v>
      </c>
      <c r="AA97" s="138" t="s">
        <v>9449</v>
      </c>
      <c r="AB97" s="1" t="str">
        <f t="shared" ref="AB97:AB128" si="6">AC97&amp;AH97&amp;";"&amp;AE97&amp;AF97</f>
        <v>气血上限+2471;防御力+92</v>
      </c>
      <c r="AC97" s="5" t="s">
        <v>9433</v>
      </c>
      <c r="AD97" s="5">
        <v>3089</v>
      </c>
      <c r="AE97" s="5" t="s">
        <v>9434</v>
      </c>
      <c r="AF97" s="5">
        <v>92</v>
      </c>
      <c r="AH97" s="1">
        <f t="shared" si="5"/>
        <v>2471</v>
      </c>
    </row>
    <row r="98" spans="1:34" s="5" customFormat="1" ht="27" x14ac:dyDescent="0.15">
      <c r="A98" s="41">
        <v>109004</v>
      </c>
      <c r="B98" s="105" t="s">
        <v>880</v>
      </c>
      <c r="C98" s="41" t="s">
        <v>33</v>
      </c>
      <c r="D98" s="41">
        <v>9</v>
      </c>
      <c r="E98" s="41" t="s">
        <v>812</v>
      </c>
      <c r="F98" s="41"/>
      <c r="G98" s="41">
        <v>1</v>
      </c>
      <c r="H98" s="43">
        <v>3</v>
      </c>
      <c r="I98" s="41" t="s">
        <v>70</v>
      </c>
      <c r="J98" s="41" t="s">
        <v>9704</v>
      </c>
      <c r="K98" s="41">
        <v>0</v>
      </c>
      <c r="L98" s="43">
        <v>1</v>
      </c>
      <c r="M98" s="43" t="b">
        <v>1</v>
      </c>
      <c r="N98" s="41">
        <v>2500</v>
      </c>
      <c r="O98" s="41">
        <v>0</v>
      </c>
      <c r="P98" s="41">
        <v>3</v>
      </c>
      <c r="Q98" s="41" t="s">
        <v>38</v>
      </c>
      <c r="R98" s="111" t="s">
        <v>9719</v>
      </c>
      <c r="S98" s="112" t="s">
        <v>830</v>
      </c>
      <c r="T98" s="41">
        <v>300000</v>
      </c>
      <c r="X98" s="132">
        <v>200306</v>
      </c>
      <c r="Y98" s="136" t="s">
        <v>2557</v>
      </c>
      <c r="Z98" s="137" t="s">
        <v>1408</v>
      </c>
      <c r="AA98" s="138" t="s">
        <v>9449</v>
      </c>
      <c r="AB98" s="1" t="str">
        <f t="shared" si="6"/>
        <v>气血上限+2471;防御力+92</v>
      </c>
      <c r="AC98" s="5" t="s">
        <v>9433</v>
      </c>
      <c r="AD98" s="5">
        <v>3089</v>
      </c>
      <c r="AE98" s="5" t="s">
        <v>9434</v>
      </c>
      <c r="AF98" s="5">
        <v>92</v>
      </c>
      <c r="AH98" s="1">
        <f t="shared" si="5"/>
        <v>2471</v>
      </c>
    </row>
    <row r="99" spans="1:34" s="5" customFormat="1" x14ac:dyDescent="0.15">
      <c r="A99" s="41">
        <v>110004</v>
      </c>
      <c r="B99" s="105" t="s">
        <v>916</v>
      </c>
      <c r="C99" s="41" t="s">
        <v>33</v>
      </c>
      <c r="D99" s="41">
        <v>10</v>
      </c>
      <c r="E99" s="41" t="s">
        <v>887</v>
      </c>
      <c r="F99" s="41"/>
      <c r="G99" s="41">
        <v>1</v>
      </c>
      <c r="H99" s="43">
        <v>3</v>
      </c>
      <c r="I99" s="41" t="s">
        <v>70</v>
      </c>
      <c r="J99" s="41" t="s">
        <v>9707</v>
      </c>
      <c r="K99" s="41">
        <v>0</v>
      </c>
      <c r="L99" s="43">
        <v>1</v>
      </c>
      <c r="M99" s="43" t="b">
        <v>1</v>
      </c>
      <c r="N99" s="41">
        <v>2500</v>
      </c>
      <c r="O99" s="41">
        <v>0</v>
      </c>
      <c r="P99" s="41">
        <v>3</v>
      </c>
      <c r="Q99" s="41" t="s">
        <v>38</v>
      </c>
      <c r="R99" s="111" t="s">
        <v>9720</v>
      </c>
      <c r="S99" s="112" t="s">
        <v>909</v>
      </c>
      <c r="T99" s="41">
        <v>200000</v>
      </c>
      <c r="X99" s="132">
        <v>200507</v>
      </c>
      <c r="Y99" s="136" t="s">
        <v>2561</v>
      </c>
      <c r="Z99" s="137" t="s">
        <v>1408</v>
      </c>
      <c r="AA99" s="138" t="s">
        <v>9456</v>
      </c>
      <c r="AB99" s="1" t="str">
        <f t="shared" si="6"/>
        <v>气血上限+3992;防御力+148</v>
      </c>
      <c r="AC99" s="5" t="s">
        <v>9433</v>
      </c>
      <c r="AD99" s="5">
        <v>4990</v>
      </c>
      <c r="AE99" s="5" t="s">
        <v>9434</v>
      </c>
      <c r="AF99" s="5">
        <v>148</v>
      </c>
      <c r="AH99" s="1">
        <f t="shared" si="5"/>
        <v>3992</v>
      </c>
    </row>
    <row r="100" spans="1:34" s="5" customFormat="1" x14ac:dyDescent="0.15">
      <c r="A100" s="41">
        <v>200004</v>
      </c>
      <c r="B100" s="105" t="s">
        <v>9721</v>
      </c>
      <c r="C100" s="41" t="s">
        <v>1408</v>
      </c>
      <c r="D100" s="41">
        <v>0</v>
      </c>
      <c r="E100" s="41">
        <v>0</v>
      </c>
      <c r="F100" s="41"/>
      <c r="G100" s="41">
        <v>1</v>
      </c>
      <c r="H100" s="43">
        <v>4</v>
      </c>
      <c r="I100" s="41" t="s">
        <v>70</v>
      </c>
      <c r="J100" s="126" t="s">
        <v>9722</v>
      </c>
      <c r="K100" s="41">
        <v>0</v>
      </c>
      <c r="L100" s="43">
        <v>1</v>
      </c>
      <c r="M100" s="43" t="b">
        <v>1</v>
      </c>
      <c r="N100" s="41">
        <v>2800</v>
      </c>
      <c r="O100" s="41">
        <v>0</v>
      </c>
      <c r="P100" s="41">
        <v>3</v>
      </c>
      <c r="Q100" s="41" t="s">
        <v>38</v>
      </c>
      <c r="R100" s="111" t="s">
        <v>9723</v>
      </c>
      <c r="S100" s="112" t="s">
        <v>1433</v>
      </c>
      <c r="T100" s="41">
        <v>100000</v>
      </c>
      <c r="X100" s="132">
        <v>300203</v>
      </c>
      <c r="Y100" s="136" t="s">
        <v>2565</v>
      </c>
      <c r="Z100" s="137" t="s">
        <v>1508</v>
      </c>
      <c r="AA100" s="138" t="s">
        <v>9488</v>
      </c>
      <c r="AB100" s="1" t="str">
        <f t="shared" si="6"/>
        <v>气血上限+570;防御力+16</v>
      </c>
      <c r="AC100" s="5" t="s">
        <v>9433</v>
      </c>
      <c r="AD100" s="5">
        <v>713</v>
      </c>
      <c r="AE100" s="5" t="s">
        <v>9434</v>
      </c>
      <c r="AF100" s="5">
        <v>16</v>
      </c>
      <c r="AH100" s="1">
        <f t="shared" si="5"/>
        <v>570</v>
      </c>
    </row>
    <row r="101" spans="1:34" s="5" customFormat="1" ht="27" x14ac:dyDescent="0.15">
      <c r="A101" s="41">
        <v>300004</v>
      </c>
      <c r="B101" s="105" t="s">
        <v>9724</v>
      </c>
      <c r="C101" s="41" t="s">
        <v>1508</v>
      </c>
      <c r="D101" s="41">
        <v>0</v>
      </c>
      <c r="E101" s="41">
        <v>0</v>
      </c>
      <c r="F101" s="41"/>
      <c r="G101" s="41">
        <v>1</v>
      </c>
      <c r="H101" s="43">
        <v>4</v>
      </c>
      <c r="I101" s="41" t="s">
        <v>70</v>
      </c>
      <c r="J101" s="41" t="s">
        <v>9725</v>
      </c>
      <c r="K101" s="41">
        <v>0</v>
      </c>
      <c r="L101" s="43">
        <v>1</v>
      </c>
      <c r="M101" s="43" t="b">
        <v>1</v>
      </c>
      <c r="N101" s="41">
        <v>1980</v>
      </c>
      <c r="O101" s="41">
        <v>0</v>
      </c>
      <c r="P101" s="41">
        <v>3</v>
      </c>
      <c r="Q101" s="41" t="s">
        <v>38</v>
      </c>
      <c r="R101" s="111" t="s">
        <v>9726</v>
      </c>
      <c r="S101" s="112" t="s">
        <v>1530</v>
      </c>
      <c r="T101" s="41">
        <v>100000</v>
      </c>
      <c r="X101" s="132">
        <v>300303</v>
      </c>
      <c r="Y101" s="136" t="s">
        <v>2569</v>
      </c>
      <c r="Z101" s="137" t="s">
        <v>1508</v>
      </c>
      <c r="AA101" s="138" t="s">
        <v>9488</v>
      </c>
      <c r="AB101" s="1" t="str">
        <f t="shared" si="6"/>
        <v>气血上限+570;防御力+16</v>
      </c>
      <c r="AC101" s="5" t="s">
        <v>9433</v>
      </c>
      <c r="AD101" s="5">
        <v>713</v>
      </c>
      <c r="AE101" s="5" t="s">
        <v>9434</v>
      </c>
      <c r="AF101" s="5">
        <v>16</v>
      </c>
      <c r="AH101" s="1">
        <f t="shared" si="5"/>
        <v>570</v>
      </c>
    </row>
    <row r="102" spans="1:34" s="5" customFormat="1" ht="27" x14ac:dyDescent="0.15">
      <c r="A102" s="41">
        <v>400004</v>
      </c>
      <c r="B102" s="105" t="s">
        <v>9727</v>
      </c>
      <c r="C102" s="41" t="s">
        <v>1594</v>
      </c>
      <c r="D102" s="41">
        <v>0</v>
      </c>
      <c r="E102" s="41">
        <v>0</v>
      </c>
      <c r="F102" s="41"/>
      <c r="G102" s="41">
        <v>1</v>
      </c>
      <c r="H102" s="43">
        <v>4</v>
      </c>
      <c r="I102" s="41" t="s">
        <v>70</v>
      </c>
      <c r="J102" s="41" t="s">
        <v>9728</v>
      </c>
      <c r="K102" s="41">
        <v>0</v>
      </c>
      <c r="L102" s="43">
        <v>1</v>
      </c>
      <c r="M102" s="43" t="b">
        <v>1</v>
      </c>
      <c r="N102" s="41">
        <v>1650</v>
      </c>
      <c r="O102" s="41">
        <v>0</v>
      </c>
      <c r="P102" s="41">
        <v>3</v>
      </c>
      <c r="Q102" s="41" t="s">
        <v>38</v>
      </c>
      <c r="R102" s="111" t="s">
        <v>9729</v>
      </c>
      <c r="S102" s="112" t="s">
        <v>1614</v>
      </c>
      <c r="T102" s="41">
        <v>100000</v>
      </c>
      <c r="X102" s="132">
        <v>300403</v>
      </c>
      <c r="Y102" s="136" t="s">
        <v>2573</v>
      </c>
      <c r="Z102" s="137" t="s">
        <v>1508</v>
      </c>
      <c r="AA102" s="138" t="s">
        <v>9488</v>
      </c>
      <c r="AB102" s="1" t="str">
        <f t="shared" si="6"/>
        <v>气血上限+570;防御力+16</v>
      </c>
      <c r="AC102" s="5" t="s">
        <v>9433</v>
      </c>
      <c r="AD102" s="5">
        <v>713</v>
      </c>
      <c r="AE102" s="5" t="s">
        <v>9434</v>
      </c>
      <c r="AF102" s="5">
        <v>16</v>
      </c>
      <c r="AH102" s="1">
        <f t="shared" si="5"/>
        <v>570</v>
      </c>
    </row>
    <row r="103" spans="1:34" s="5" customFormat="1" x14ac:dyDescent="0.15">
      <c r="A103" s="41">
        <v>500004</v>
      </c>
      <c r="B103" s="101" t="s">
        <v>1666</v>
      </c>
      <c r="C103" s="41" t="s">
        <v>1672</v>
      </c>
      <c r="D103" s="41">
        <v>0</v>
      </c>
      <c r="E103" s="41">
        <v>0</v>
      </c>
      <c r="F103" s="41"/>
      <c r="G103" s="41">
        <v>1</v>
      </c>
      <c r="H103" s="43">
        <v>4</v>
      </c>
      <c r="I103" s="41" t="s">
        <v>70</v>
      </c>
      <c r="J103" s="41" t="s">
        <v>9730</v>
      </c>
      <c r="K103" s="41">
        <v>0</v>
      </c>
      <c r="L103" s="43">
        <v>1</v>
      </c>
      <c r="M103" s="43" t="b">
        <v>1</v>
      </c>
      <c r="N103" s="41">
        <v>2100</v>
      </c>
      <c r="O103" s="41">
        <v>0</v>
      </c>
      <c r="P103" s="41">
        <v>3</v>
      </c>
      <c r="Q103" s="41" t="s">
        <v>38</v>
      </c>
      <c r="R103" s="111" t="s">
        <v>9731</v>
      </c>
      <c r="S103" s="112" t="s">
        <v>1690</v>
      </c>
      <c r="T103" s="41">
        <v>100000</v>
      </c>
      <c r="X103" s="132">
        <v>300204</v>
      </c>
      <c r="Y103" s="136" t="s">
        <v>2577</v>
      </c>
      <c r="Z103" s="137" t="s">
        <v>1508</v>
      </c>
      <c r="AA103" s="138" t="s">
        <v>9492</v>
      </c>
      <c r="AB103" s="1" t="str">
        <f t="shared" si="6"/>
        <v>气血上限+950;防御力+24</v>
      </c>
      <c r="AC103" s="5" t="s">
        <v>9433</v>
      </c>
      <c r="AD103" s="5">
        <v>1188</v>
      </c>
      <c r="AE103" s="5" t="s">
        <v>9434</v>
      </c>
      <c r="AF103" s="5">
        <v>24</v>
      </c>
      <c r="AH103" s="1">
        <f t="shared" si="5"/>
        <v>950</v>
      </c>
    </row>
    <row r="104" spans="1:34" s="5" customFormat="1" x14ac:dyDescent="0.15">
      <c r="A104" s="41">
        <v>600004</v>
      </c>
      <c r="B104" s="42" t="s">
        <v>9732</v>
      </c>
      <c r="C104" s="41" t="s">
        <v>1746</v>
      </c>
      <c r="D104" s="41">
        <v>0</v>
      </c>
      <c r="E104" s="41">
        <v>0</v>
      </c>
      <c r="F104" s="41"/>
      <c r="G104" s="41">
        <v>1</v>
      </c>
      <c r="H104" s="43">
        <v>2</v>
      </c>
      <c r="I104" s="41" t="s">
        <v>70</v>
      </c>
      <c r="J104" s="41" t="s">
        <v>9733</v>
      </c>
      <c r="K104" s="41">
        <v>0</v>
      </c>
      <c r="L104" s="43">
        <v>1</v>
      </c>
      <c r="M104" s="43" t="b">
        <v>1</v>
      </c>
      <c r="N104" s="41">
        <v>3500</v>
      </c>
      <c r="O104" s="41">
        <v>0</v>
      </c>
      <c r="P104" s="41">
        <v>3</v>
      </c>
      <c r="Q104" s="41" t="s">
        <v>38</v>
      </c>
      <c r="R104" s="111" t="s">
        <v>9734</v>
      </c>
      <c r="S104" s="112" t="s">
        <v>1768</v>
      </c>
      <c r="T104" s="41">
        <v>100000</v>
      </c>
      <c r="X104" s="132">
        <v>300304</v>
      </c>
      <c r="Y104" s="136" t="s">
        <v>2581</v>
      </c>
      <c r="Z104" s="137" t="s">
        <v>1508</v>
      </c>
      <c r="AA104" s="138" t="s">
        <v>9492</v>
      </c>
      <c r="AB104" s="1" t="str">
        <f t="shared" si="6"/>
        <v>气血上限+950;防御力+24</v>
      </c>
      <c r="AC104" s="5" t="s">
        <v>9433</v>
      </c>
      <c r="AD104" s="5">
        <v>1188</v>
      </c>
      <c r="AE104" s="5" t="s">
        <v>9434</v>
      </c>
      <c r="AF104" s="5">
        <v>24</v>
      </c>
      <c r="AH104" s="1">
        <f t="shared" si="5"/>
        <v>950</v>
      </c>
    </row>
    <row r="105" spans="1:34" s="5" customFormat="1" x14ac:dyDescent="0.15">
      <c r="A105" s="41">
        <v>700004</v>
      </c>
      <c r="B105" s="42" t="s">
        <v>9735</v>
      </c>
      <c r="C105" s="41" t="s">
        <v>1832</v>
      </c>
      <c r="D105" s="41">
        <v>0</v>
      </c>
      <c r="E105" s="41">
        <v>0</v>
      </c>
      <c r="F105" s="41"/>
      <c r="G105" s="41">
        <v>1</v>
      </c>
      <c r="H105" s="43">
        <v>2</v>
      </c>
      <c r="I105" s="41" t="s">
        <v>70</v>
      </c>
      <c r="J105" s="41" t="s">
        <v>9529</v>
      </c>
      <c r="K105" s="41">
        <v>0</v>
      </c>
      <c r="L105" s="43">
        <v>1</v>
      </c>
      <c r="M105" s="43" t="b">
        <v>1</v>
      </c>
      <c r="N105" s="41">
        <v>3600</v>
      </c>
      <c r="O105" s="41">
        <v>0</v>
      </c>
      <c r="P105" s="41">
        <v>3</v>
      </c>
      <c r="Q105" s="41" t="s">
        <v>38</v>
      </c>
      <c r="R105" s="111" t="s">
        <v>9736</v>
      </c>
      <c r="S105" s="112" t="s">
        <v>1857</v>
      </c>
      <c r="T105" s="41">
        <v>100000</v>
      </c>
      <c r="X105" s="132">
        <v>300405</v>
      </c>
      <c r="Y105" s="136" t="s">
        <v>2585</v>
      </c>
      <c r="Z105" s="137" t="s">
        <v>1508</v>
      </c>
      <c r="AA105" s="138" t="s">
        <v>9496</v>
      </c>
      <c r="AB105" s="1" t="str">
        <f t="shared" si="6"/>
        <v>气血上限+1520;防御力+38</v>
      </c>
      <c r="AC105" s="5" t="s">
        <v>9433</v>
      </c>
      <c r="AD105" s="5">
        <v>1901</v>
      </c>
      <c r="AE105" s="5" t="s">
        <v>9434</v>
      </c>
      <c r="AF105" s="5">
        <v>38</v>
      </c>
      <c r="AH105" s="1">
        <f t="shared" si="5"/>
        <v>1520</v>
      </c>
    </row>
    <row r="106" spans="1:34" s="5" customFormat="1" x14ac:dyDescent="0.15">
      <c r="A106" s="41">
        <v>800004</v>
      </c>
      <c r="B106" s="42" t="s">
        <v>1955</v>
      </c>
      <c r="C106" s="41" t="s">
        <v>1908</v>
      </c>
      <c r="D106" s="41">
        <v>0</v>
      </c>
      <c r="E106" s="41">
        <v>0</v>
      </c>
      <c r="F106" s="41"/>
      <c r="G106" s="41">
        <v>1</v>
      </c>
      <c r="H106" s="43">
        <v>2</v>
      </c>
      <c r="I106" s="41" t="s">
        <v>70</v>
      </c>
      <c r="J106" s="41" t="s">
        <v>9737</v>
      </c>
      <c r="K106" s="41">
        <v>0</v>
      </c>
      <c r="L106" s="43">
        <v>1</v>
      </c>
      <c r="M106" s="43" t="b">
        <v>1</v>
      </c>
      <c r="N106" s="41">
        <v>3800</v>
      </c>
      <c r="O106" s="41">
        <v>0</v>
      </c>
      <c r="P106" s="41">
        <v>3</v>
      </c>
      <c r="Q106" s="41" t="s">
        <v>38</v>
      </c>
      <c r="R106" s="111" t="s">
        <v>1958</v>
      </c>
      <c r="S106" s="112" t="s">
        <v>1930</v>
      </c>
      <c r="T106" s="41">
        <v>100000</v>
      </c>
      <c r="X106" s="132">
        <v>300505</v>
      </c>
      <c r="Y106" s="136" t="s">
        <v>2589</v>
      </c>
      <c r="Z106" s="137" t="s">
        <v>1508</v>
      </c>
      <c r="AA106" s="138" t="s">
        <v>9738</v>
      </c>
      <c r="AB106" s="1" t="str">
        <f t="shared" si="6"/>
        <v>气血上限+1040;防御力+26</v>
      </c>
      <c r="AC106" s="5" t="s">
        <v>9433</v>
      </c>
      <c r="AD106" s="5">
        <v>1300</v>
      </c>
      <c r="AE106" s="5" t="s">
        <v>9434</v>
      </c>
      <c r="AF106" s="5">
        <v>26</v>
      </c>
      <c r="AH106" s="1">
        <f t="shared" si="5"/>
        <v>1040</v>
      </c>
    </row>
    <row r="107" spans="1:34" s="5" customFormat="1" ht="27" x14ac:dyDescent="0.15">
      <c r="A107" s="41">
        <v>101204</v>
      </c>
      <c r="B107" s="101" t="s">
        <v>9739</v>
      </c>
      <c r="C107" s="41" t="s">
        <v>33</v>
      </c>
      <c r="D107" s="41">
        <v>1</v>
      </c>
      <c r="E107" s="41" t="s">
        <v>34</v>
      </c>
      <c r="F107" s="41"/>
      <c r="G107" s="41">
        <v>5</v>
      </c>
      <c r="H107" s="41">
        <v>3</v>
      </c>
      <c r="I107" s="41">
        <v>5</v>
      </c>
      <c r="J107" s="41" t="s">
        <v>9740</v>
      </c>
      <c r="K107" s="41">
        <v>0</v>
      </c>
      <c r="L107" s="43">
        <v>1</v>
      </c>
      <c r="M107" s="43" t="b">
        <v>0</v>
      </c>
      <c r="N107" s="41">
        <v>-1</v>
      </c>
      <c r="O107" s="41">
        <v>0</v>
      </c>
      <c r="P107" s="41">
        <v>3</v>
      </c>
      <c r="Q107" s="41" t="s">
        <v>38</v>
      </c>
      <c r="R107" s="111" t="s">
        <v>9741</v>
      </c>
      <c r="S107" s="112" t="s">
        <v>119</v>
      </c>
      <c r="T107" s="41">
        <v>100000</v>
      </c>
      <c r="X107" s="132">
        <v>300106</v>
      </c>
      <c r="Y107" s="136" t="s">
        <v>2594</v>
      </c>
      <c r="Z107" s="137" t="s">
        <v>1508</v>
      </c>
      <c r="AA107" s="138" t="s">
        <v>9500</v>
      </c>
      <c r="AB107" s="1" t="str">
        <f t="shared" si="6"/>
        <v>气血上限+2471;防御力+62</v>
      </c>
      <c r="AC107" s="5" t="s">
        <v>9433</v>
      </c>
      <c r="AD107" s="5">
        <v>3089</v>
      </c>
      <c r="AE107" s="5" t="s">
        <v>9434</v>
      </c>
      <c r="AF107" s="5">
        <v>62</v>
      </c>
      <c r="AH107" s="1">
        <f t="shared" si="5"/>
        <v>2471</v>
      </c>
    </row>
    <row r="108" spans="1:34" s="5" customFormat="1" ht="27" x14ac:dyDescent="0.15">
      <c r="A108" s="41">
        <v>102204</v>
      </c>
      <c r="B108" s="101" t="s">
        <v>9742</v>
      </c>
      <c r="C108" s="41" t="s">
        <v>33</v>
      </c>
      <c r="D108" s="41">
        <v>2</v>
      </c>
      <c r="E108" s="41" t="s">
        <v>134</v>
      </c>
      <c r="F108" s="41"/>
      <c r="G108" s="41">
        <v>5</v>
      </c>
      <c r="H108" s="43">
        <v>3</v>
      </c>
      <c r="I108" s="41">
        <v>5</v>
      </c>
      <c r="J108" s="41" t="s">
        <v>9743</v>
      </c>
      <c r="K108" s="41">
        <v>0</v>
      </c>
      <c r="L108" s="43">
        <v>1</v>
      </c>
      <c r="M108" s="43" t="b">
        <v>0</v>
      </c>
      <c r="N108" s="41">
        <v>-1</v>
      </c>
      <c r="O108" s="41">
        <v>0</v>
      </c>
      <c r="P108" s="41">
        <v>3</v>
      </c>
      <c r="Q108" s="41" t="s">
        <v>38</v>
      </c>
      <c r="R108" s="111" t="s">
        <v>9744</v>
      </c>
      <c r="S108" s="112" t="s">
        <v>9745</v>
      </c>
      <c r="T108" s="41">
        <v>100000</v>
      </c>
      <c r="X108" s="132">
        <v>300206</v>
      </c>
      <c r="Y108" s="136" t="s">
        <v>2598</v>
      </c>
      <c r="Z108" s="137" t="s">
        <v>1508</v>
      </c>
      <c r="AA108" s="138" t="s">
        <v>9500</v>
      </c>
      <c r="AB108" s="1" t="str">
        <f t="shared" si="6"/>
        <v>气血上限+2471;防御力+62</v>
      </c>
      <c r="AC108" s="5" t="s">
        <v>9433</v>
      </c>
      <c r="AD108" s="5">
        <v>3089</v>
      </c>
      <c r="AE108" s="5" t="s">
        <v>9434</v>
      </c>
      <c r="AF108" s="5">
        <v>62</v>
      </c>
      <c r="AH108" s="1">
        <f t="shared" si="5"/>
        <v>2471</v>
      </c>
    </row>
    <row r="109" spans="1:34" s="5" customFormat="1" ht="27" x14ac:dyDescent="0.15">
      <c r="A109" s="41">
        <v>102304</v>
      </c>
      <c r="B109" s="101" t="s">
        <v>2005</v>
      </c>
      <c r="C109" s="41" t="s">
        <v>33</v>
      </c>
      <c r="D109" s="41">
        <v>2</v>
      </c>
      <c r="E109" s="41" t="s">
        <v>134</v>
      </c>
      <c r="F109" s="41"/>
      <c r="G109" s="41">
        <v>5</v>
      </c>
      <c r="H109" s="43">
        <v>3</v>
      </c>
      <c r="I109" s="41">
        <v>5</v>
      </c>
      <c r="J109" s="41" t="s">
        <v>9746</v>
      </c>
      <c r="K109" s="41">
        <v>0</v>
      </c>
      <c r="L109" s="43">
        <v>1</v>
      </c>
      <c r="M109" s="43" t="b">
        <v>0</v>
      </c>
      <c r="N109" s="41">
        <v>-1</v>
      </c>
      <c r="O109" s="41">
        <v>0</v>
      </c>
      <c r="P109" s="41">
        <v>3</v>
      </c>
      <c r="Q109" s="41" t="s">
        <v>38</v>
      </c>
      <c r="R109" s="111" t="s">
        <v>9747</v>
      </c>
      <c r="S109" s="112" t="s">
        <v>339</v>
      </c>
      <c r="T109" s="41">
        <v>100000</v>
      </c>
      <c r="X109" s="132">
        <v>300207</v>
      </c>
      <c r="Y109" s="136" t="s">
        <v>2602</v>
      </c>
      <c r="Z109" s="137" t="s">
        <v>1508</v>
      </c>
      <c r="AA109" s="138" t="s">
        <v>9503</v>
      </c>
      <c r="AB109" s="1" t="str">
        <f t="shared" si="6"/>
        <v>气血上限+3992;防御力+100</v>
      </c>
      <c r="AC109" s="5" t="s">
        <v>9433</v>
      </c>
      <c r="AD109" s="5">
        <v>4990</v>
      </c>
      <c r="AE109" s="5" t="s">
        <v>9434</v>
      </c>
      <c r="AF109" s="5">
        <v>100</v>
      </c>
      <c r="AH109" s="1">
        <f t="shared" si="5"/>
        <v>3992</v>
      </c>
    </row>
    <row r="110" spans="1:34" s="5" customFormat="1" ht="40.5" x14ac:dyDescent="0.15">
      <c r="A110" s="41">
        <v>103204</v>
      </c>
      <c r="B110" s="101" t="s">
        <v>9748</v>
      </c>
      <c r="C110" s="41" t="s">
        <v>33</v>
      </c>
      <c r="D110" s="41">
        <v>3</v>
      </c>
      <c r="E110" s="41" t="s">
        <v>363</v>
      </c>
      <c r="F110" s="41"/>
      <c r="G110" s="41">
        <v>5</v>
      </c>
      <c r="H110" s="43">
        <v>3</v>
      </c>
      <c r="I110" s="41">
        <v>5</v>
      </c>
      <c r="J110" s="41" t="s">
        <v>9749</v>
      </c>
      <c r="K110" s="41">
        <v>0</v>
      </c>
      <c r="L110" s="43">
        <v>1</v>
      </c>
      <c r="M110" s="43" t="b">
        <v>0</v>
      </c>
      <c r="N110" s="41">
        <v>-1</v>
      </c>
      <c r="O110" s="41">
        <v>0</v>
      </c>
      <c r="P110" s="41">
        <v>3</v>
      </c>
      <c r="Q110" s="41" t="s">
        <v>38</v>
      </c>
      <c r="R110" s="111" t="s">
        <v>9750</v>
      </c>
      <c r="S110" s="112" t="s">
        <v>9751</v>
      </c>
      <c r="T110" s="41">
        <v>100000</v>
      </c>
      <c r="X110" s="132">
        <v>400203</v>
      </c>
      <c r="Y110" s="136" t="s">
        <v>2606</v>
      </c>
      <c r="Z110" s="137" t="s">
        <v>1594</v>
      </c>
      <c r="AA110" s="138" t="s">
        <v>9488</v>
      </c>
      <c r="AB110" s="1" t="str">
        <f t="shared" si="6"/>
        <v>气血上限+570;防御力+16</v>
      </c>
      <c r="AC110" s="5" t="s">
        <v>9433</v>
      </c>
      <c r="AD110" s="5">
        <v>713</v>
      </c>
      <c r="AE110" s="5" t="s">
        <v>9434</v>
      </c>
      <c r="AF110" s="5">
        <v>16</v>
      </c>
      <c r="AH110" s="1">
        <f t="shared" si="5"/>
        <v>570</v>
      </c>
    </row>
    <row r="111" spans="1:34" s="5" customFormat="1" ht="27" x14ac:dyDescent="0.15">
      <c r="A111" s="41">
        <v>104204</v>
      </c>
      <c r="B111" s="101" t="s">
        <v>9752</v>
      </c>
      <c r="C111" s="41" t="s">
        <v>33</v>
      </c>
      <c r="D111" s="41">
        <v>4</v>
      </c>
      <c r="E111" s="41" t="s">
        <v>447</v>
      </c>
      <c r="F111" s="41"/>
      <c r="G111" s="41">
        <v>5</v>
      </c>
      <c r="H111" s="43">
        <v>3</v>
      </c>
      <c r="I111" s="41">
        <v>5</v>
      </c>
      <c r="J111" s="41" t="s">
        <v>9753</v>
      </c>
      <c r="K111" s="41">
        <v>0</v>
      </c>
      <c r="L111" s="43">
        <v>1</v>
      </c>
      <c r="M111" s="43" t="b">
        <v>0</v>
      </c>
      <c r="N111" s="41">
        <v>-1</v>
      </c>
      <c r="O111" s="41">
        <v>0</v>
      </c>
      <c r="P111" s="41">
        <v>3</v>
      </c>
      <c r="Q111" s="41" t="s">
        <v>38</v>
      </c>
      <c r="R111" s="111" t="s">
        <v>9754</v>
      </c>
      <c r="S111" s="112"/>
      <c r="T111" s="41"/>
      <c r="X111" s="132">
        <v>400303</v>
      </c>
      <c r="Y111" s="136" t="s">
        <v>2610</v>
      </c>
      <c r="Z111" s="137" t="s">
        <v>1594</v>
      </c>
      <c r="AA111" s="138" t="s">
        <v>9488</v>
      </c>
      <c r="AB111" s="1" t="str">
        <f t="shared" si="6"/>
        <v>气血上限+570;防御力+16</v>
      </c>
      <c r="AC111" s="5" t="s">
        <v>9433</v>
      </c>
      <c r="AD111" s="5">
        <v>713</v>
      </c>
      <c r="AE111" s="5" t="s">
        <v>9434</v>
      </c>
      <c r="AF111" s="5">
        <v>16</v>
      </c>
      <c r="AH111" s="1">
        <f t="shared" si="5"/>
        <v>570</v>
      </c>
    </row>
    <row r="112" spans="1:34" s="5" customFormat="1" ht="40.5" x14ac:dyDescent="0.15">
      <c r="A112" s="41">
        <v>104304</v>
      </c>
      <c r="B112" s="101" t="s">
        <v>9755</v>
      </c>
      <c r="C112" s="41" t="s">
        <v>33</v>
      </c>
      <c r="D112" s="41">
        <v>4</v>
      </c>
      <c r="E112" s="41" t="s">
        <v>447</v>
      </c>
      <c r="F112" s="41"/>
      <c r="G112" s="41">
        <v>5</v>
      </c>
      <c r="H112" s="43">
        <v>3</v>
      </c>
      <c r="I112" s="41">
        <v>5</v>
      </c>
      <c r="J112" s="41" t="s">
        <v>9756</v>
      </c>
      <c r="K112" s="41">
        <v>0</v>
      </c>
      <c r="L112" s="43">
        <v>1</v>
      </c>
      <c r="M112" s="43" t="b">
        <v>0</v>
      </c>
      <c r="N112" s="41">
        <v>-1</v>
      </c>
      <c r="O112" s="41">
        <v>0</v>
      </c>
      <c r="P112" s="41">
        <v>3</v>
      </c>
      <c r="Q112" s="41" t="s">
        <v>38</v>
      </c>
      <c r="R112" s="111" t="s">
        <v>9757</v>
      </c>
      <c r="S112" s="112" t="s">
        <v>9758</v>
      </c>
      <c r="T112" s="41">
        <v>100000</v>
      </c>
      <c r="X112" s="132">
        <v>400403</v>
      </c>
      <c r="Y112" s="136" t="s">
        <v>2614</v>
      </c>
      <c r="Z112" s="137" t="s">
        <v>1594</v>
      </c>
      <c r="AA112" s="138" t="s">
        <v>9488</v>
      </c>
      <c r="AB112" s="1" t="str">
        <f t="shared" si="6"/>
        <v>气血上限+570;防御力+16</v>
      </c>
      <c r="AC112" s="5" t="s">
        <v>9433</v>
      </c>
      <c r="AD112" s="5">
        <v>713</v>
      </c>
      <c r="AE112" s="5" t="s">
        <v>9434</v>
      </c>
      <c r="AF112" s="5">
        <v>16</v>
      </c>
      <c r="AH112" s="1">
        <f t="shared" si="5"/>
        <v>570</v>
      </c>
    </row>
    <row r="113" spans="1:34" s="5" customFormat="1" ht="27" x14ac:dyDescent="0.15">
      <c r="A113" s="41">
        <v>105204</v>
      </c>
      <c r="B113" s="101" t="s">
        <v>672</v>
      </c>
      <c r="C113" s="41" t="s">
        <v>33</v>
      </c>
      <c r="D113" s="41">
        <v>5</v>
      </c>
      <c r="E113" s="41" t="s">
        <v>631</v>
      </c>
      <c r="F113" s="41"/>
      <c r="G113" s="41">
        <v>5</v>
      </c>
      <c r="H113" s="43">
        <v>3</v>
      </c>
      <c r="I113" s="41">
        <v>5</v>
      </c>
      <c r="J113" s="41" t="s">
        <v>9759</v>
      </c>
      <c r="K113" s="41">
        <v>0</v>
      </c>
      <c r="L113" s="43">
        <v>1</v>
      </c>
      <c r="M113" s="43" t="b">
        <v>0</v>
      </c>
      <c r="N113" s="41">
        <v>-1</v>
      </c>
      <c r="O113" s="41">
        <v>0</v>
      </c>
      <c r="P113" s="41">
        <v>3</v>
      </c>
      <c r="Q113" s="41" t="s">
        <v>38</v>
      </c>
      <c r="R113" s="111" t="s">
        <v>9760</v>
      </c>
      <c r="S113" s="112" t="s">
        <v>718</v>
      </c>
      <c r="T113" s="41">
        <v>100000</v>
      </c>
      <c r="X113" s="132">
        <v>400204</v>
      </c>
      <c r="Y113" s="136" t="s">
        <v>2618</v>
      </c>
      <c r="Z113" s="137" t="s">
        <v>1594</v>
      </c>
      <c r="AA113" s="138" t="s">
        <v>9492</v>
      </c>
      <c r="AB113" s="1" t="str">
        <f t="shared" si="6"/>
        <v>气血上限+950;防御力+24</v>
      </c>
      <c r="AC113" s="5" t="s">
        <v>9433</v>
      </c>
      <c r="AD113" s="5">
        <v>1188</v>
      </c>
      <c r="AE113" s="5" t="s">
        <v>9434</v>
      </c>
      <c r="AF113" s="5">
        <v>24</v>
      </c>
      <c r="AH113" s="1">
        <f t="shared" si="5"/>
        <v>950</v>
      </c>
    </row>
    <row r="114" spans="1:34" s="5" customFormat="1" ht="27" x14ac:dyDescent="0.15">
      <c r="A114" s="41">
        <v>106204</v>
      </c>
      <c r="B114" s="101" t="s">
        <v>756</v>
      </c>
      <c r="C114" s="41" t="s">
        <v>33</v>
      </c>
      <c r="D114" s="41">
        <v>6</v>
      </c>
      <c r="E114" s="41" t="s">
        <v>727</v>
      </c>
      <c r="F114" s="41"/>
      <c r="G114" s="41">
        <v>5</v>
      </c>
      <c r="H114" s="43">
        <v>3</v>
      </c>
      <c r="I114" s="41">
        <v>5</v>
      </c>
      <c r="J114" s="41" t="s">
        <v>9761</v>
      </c>
      <c r="K114" s="41">
        <v>0</v>
      </c>
      <c r="L114" s="43">
        <v>1</v>
      </c>
      <c r="M114" s="43" t="b">
        <v>0</v>
      </c>
      <c r="N114" s="41">
        <v>-1</v>
      </c>
      <c r="O114" s="41">
        <v>0</v>
      </c>
      <c r="P114" s="41">
        <v>3</v>
      </c>
      <c r="Q114" s="41" t="s">
        <v>38</v>
      </c>
      <c r="R114" s="111" t="s">
        <v>9762</v>
      </c>
      <c r="S114" s="112" t="s">
        <v>809</v>
      </c>
      <c r="T114" s="41">
        <v>100000</v>
      </c>
      <c r="X114" s="132">
        <v>400304</v>
      </c>
      <c r="Y114" s="136" t="s">
        <v>2622</v>
      </c>
      <c r="Z114" s="137" t="s">
        <v>1594</v>
      </c>
      <c r="AA114" s="138" t="s">
        <v>9492</v>
      </c>
      <c r="AB114" s="1" t="str">
        <f t="shared" si="6"/>
        <v>气血上限+950;防御力+24</v>
      </c>
      <c r="AC114" s="5" t="s">
        <v>9433</v>
      </c>
      <c r="AD114" s="5">
        <v>1188</v>
      </c>
      <c r="AE114" s="5" t="s">
        <v>9434</v>
      </c>
      <c r="AF114" s="5">
        <v>24</v>
      </c>
      <c r="AH114" s="1">
        <f t="shared" si="5"/>
        <v>950</v>
      </c>
    </row>
    <row r="115" spans="1:34" s="5" customFormat="1" ht="27" x14ac:dyDescent="0.15">
      <c r="A115" s="41">
        <v>109204</v>
      </c>
      <c r="B115" s="101" t="s">
        <v>9763</v>
      </c>
      <c r="C115" s="41" t="s">
        <v>33</v>
      </c>
      <c r="D115" s="41">
        <v>9</v>
      </c>
      <c r="E115" s="41" t="s">
        <v>812</v>
      </c>
      <c r="F115" s="41"/>
      <c r="G115" s="41">
        <v>5</v>
      </c>
      <c r="H115" s="43">
        <v>3</v>
      </c>
      <c r="I115" s="41">
        <v>5</v>
      </c>
      <c r="J115" s="41" t="s">
        <v>9764</v>
      </c>
      <c r="K115" s="41">
        <v>0</v>
      </c>
      <c r="L115" s="43">
        <v>1</v>
      </c>
      <c r="M115" s="43" t="b">
        <v>0</v>
      </c>
      <c r="N115" s="41">
        <v>-1</v>
      </c>
      <c r="O115" s="41">
        <v>0</v>
      </c>
      <c r="P115" s="41">
        <v>3</v>
      </c>
      <c r="Q115" s="41" t="s">
        <v>38</v>
      </c>
      <c r="R115" s="111" t="s">
        <v>9765</v>
      </c>
      <c r="S115" s="112" t="s">
        <v>884</v>
      </c>
      <c r="T115" s="41">
        <v>100000</v>
      </c>
      <c r="X115" s="132">
        <v>400405</v>
      </c>
      <c r="Y115" s="136" t="s">
        <v>2626</v>
      </c>
      <c r="Z115" s="137" t="s">
        <v>1594</v>
      </c>
      <c r="AA115" s="138" t="s">
        <v>9496</v>
      </c>
      <c r="AB115" s="1" t="str">
        <f t="shared" si="6"/>
        <v>气血上限+1520;防御力+38</v>
      </c>
      <c r="AC115" s="5" t="s">
        <v>9433</v>
      </c>
      <c r="AD115" s="5">
        <v>1901</v>
      </c>
      <c r="AE115" s="5" t="s">
        <v>9434</v>
      </c>
      <c r="AF115" s="5">
        <v>38</v>
      </c>
      <c r="AH115" s="1">
        <f t="shared" si="5"/>
        <v>1520</v>
      </c>
    </row>
    <row r="116" spans="1:34" s="5" customFormat="1" ht="27" x14ac:dyDescent="0.15">
      <c r="A116" s="41">
        <v>110204</v>
      </c>
      <c r="B116" s="101" t="s">
        <v>965</v>
      </c>
      <c r="C116" s="41" t="s">
        <v>33</v>
      </c>
      <c r="D116" s="41">
        <v>10</v>
      </c>
      <c r="E116" s="41" t="s">
        <v>887</v>
      </c>
      <c r="F116" s="41"/>
      <c r="G116" s="41">
        <v>5</v>
      </c>
      <c r="H116" s="43">
        <v>3</v>
      </c>
      <c r="I116" s="41">
        <v>5</v>
      </c>
      <c r="J116" s="41" t="s">
        <v>9766</v>
      </c>
      <c r="K116" s="41">
        <v>0</v>
      </c>
      <c r="L116" s="43">
        <v>1</v>
      </c>
      <c r="M116" s="43" t="b">
        <v>0</v>
      </c>
      <c r="N116" s="41">
        <v>-1</v>
      </c>
      <c r="O116" s="41">
        <v>0</v>
      </c>
      <c r="P116" s="41">
        <v>3</v>
      </c>
      <c r="Q116" s="41" t="s">
        <v>38</v>
      </c>
      <c r="R116" s="111" t="s">
        <v>9767</v>
      </c>
      <c r="S116" s="112" t="s">
        <v>9768</v>
      </c>
      <c r="T116" s="41">
        <v>100000</v>
      </c>
      <c r="X116" s="132">
        <v>400505</v>
      </c>
      <c r="Y116" s="136" t="s">
        <v>2630</v>
      </c>
      <c r="Z116" s="137" t="s">
        <v>1594</v>
      </c>
      <c r="AA116" s="138" t="s">
        <v>9496</v>
      </c>
      <c r="AB116" s="1" t="str">
        <f t="shared" si="6"/>
        <v>气血上限+1520;防御力+38</v>
      </c>
      <c r="AC116" s="5" t="s">
        <v>9433</v>
      </c>
      <c r="AD116" s="5">
        <v>1901</v>
      </c>
      <c r="AE116" s="5" t="s">
        <v>9434</v>
      </c>
      <c r="AF116" s="5">
        <v>38</v>
      </c>
      <c r="AH116" s="1">
        <f t="shared" si="5"/>
        <v>1520</v>
      </c>
    </row>
    <row r="117" spans="1:34" s="5" customFormat="1" x14ac:dyDescent="0.15">
      <c r="A117" s="41">
        <v>200104</v>
      </c>
      <c r="B117" s="101" t="s">
        <v>9769</v>
      </c>
      <c r="C117" s="41" t="s">
        <v>1408</v>
      </c>
      <c r="D117" s="41">
        <v>0</v>
      </c>
      <c r="E117" s="41">
        <v>0</v>
      </c>
      <c r="F117" s="41"/>
      <c r="G117" s="41">
        <v>5</v>
      </c>
      <c r="H117" s="43">
        <v>4</v>
      </c>
      <c r="I117" s="41">
        <v>5</v>
      </c>
      <c r="J117" s="41" t="s">
        <v>9770</v>
      </c>
      <c r="K117" s="41">
        <v>0</v>
      </c>
      <c r="L117" s="43">
        <v>1</v>
      </c>
      <c r="M117" s="43" t="b">
        <v>0</v>
      </c>
      <c r="N117" s="41">
        <v>-1</v>
      </c>
      <c r="O117" s="41">
        <v>0</v>
      </c>
      <c r="P117" s="41">
        <v>3</v>
      </c>
      <c r="Q117" s="41" t="s">
        <v>38</v>
      </c>
      <c r="R117" s="111" t="s">
        <v>9771</v>
      </c>
      <c r="S117" s="112" t="s">
        <v>9772</v>
      </c>
      <c r="T117" s="41">
        <v>300000</v>
      </c>
      <c r="X117" s="132">
        <v>400106</v>
      </c>
      <c r="Y117" s="136" t="s">
        <v>2634</v>
      </c>
      <c r="Z117" s="137" t="s">
        <v>1594</v>
      </c>
      <c r="AA117" s="138" t="s">
        <v>9500</v>
      </c>
      <c r="AB117" s="1" t="str">
        <f t="shared" si="6"/>
        <v>气血上限+2471;防御力+62</v>
      </c>
      <c r="AC117" s="5" t="s">
        <v>9433</v>
      </c>
      <c r="AD117" s="5">
        <v>3089</v>
      </c>
      <c r="AE117" s="5" t="s">
        <v>9434</v>
      </c>
      <c r="AF117" s="5">
        <v>62</v>
      </c>
      <c r="AH117" s="1">
        <f t="shared" si="5"/>
        <v>2471</v>
      </c>
    </row>
    <row r="118" spans="1:34" s="5" customFormat="1" ht="27" x14ac:dyDescent="0.15">
      <c r="A118" s="41">
        <v>300104</v>
      </c>
      <c r="B118" s="42" t="s">
        <v>9773</v>
      </c>
      <c r="C118" s="41" t="s">
        <v>1508</v>
      </c>
      <c r="D118" s="41">
        <v>0</v>
      </c>
      <c r="E118" s="41">
        <v>0</v>
      </c>
      <c r="F118" s="101"/>
      <c r="G118" s="41">
        <v>5</v>
      </c>
      <c r="H118" s="43">
        <v>4</v>
      </c>
      <c r="I118" s="41">
        <v>5</v>
      </c>
      <c r="J118" s="41" t="s">
        <v>9774</v>
      </c>
      <c r="K118" s="41">
        <v>0</v>
      </c>
      <c r="L118" s="43">
        <v>1</v>
      </c>
      <c r="M118" s="43" t="b">
        <v>0</v>
      </c>
      <c r="N118" s="41">
        <v>-1</v>
      </c>
      <c r="O118" s="41">
        <v>0</v>
      </c>
      <c r="P118" s="41">
        <v>3</v>
      </c>
      <c r="Q118" s="41" t="s">
        <v>38</v>
      </c>
      <c r="R118" s="111" t="s">
        <v>9775</v>
      </c>
      <c r="S118" s="112" t="s">
        <v>9776</v>
      </c>
      <c r="T118" s="41">
        <v>200000</v>
      </c>
      <c r="X118" s="132">
        <v>400206</v>
      </c>
      <c r="Y118" s="136" t="s">
        <v>2638</v>
      </c>
      <c r="Z118" s="137" t="s">
        <v>1594</v>
      </c>
      <c r="AA118" s="138" t="s">
        <v>9500</v>
      </c>
      <c r="AB118" s="1" t="str">
        <f t="shared" si="6"/>
        <v>气血上限+2471;防御力+62</v>
      </c>
      <c r="AC118" s="5" t="s">
        <v>9433</v>
      </c>
      <c r="AD118" s="5">
        <v>3089</v>
      </c>
      <c r="AE118" s="5" t="s">
        <v>9434</v>
      </c>
      <c r="AF118" s="5">
        <v>62</v>
      </c>
      <c r="AH118" s="1">
        <f t="shared" si="5"/>
        <v>2471</v>
      </c>
    </row>
    <row r="119" spans="1:34" s="5" customFormat="1" ht="27" x14ac:dyDescent="0.15">
      <c r="A119" s="41">
        <v>400104</v>
      </c>
      <c r="B119" s="42" t="s">
        <v>9777</v>
      </c>
      <c r="C119" s="41" t="s">
        <v>1594</v>
      </c>
      <c r="D119" s="41">
        <v>0</v>
      </c>
      <c r="E119" s="41">
        <v>0</v>
      </c>
      <c r="F119" s="101"/>
      <c r="G119" s="41">
        <v>5</v>
      </c>
      <c r="H119" s="43">
        <v>4</v>
      </c>
      <c r="I119" s="41">
        <v>5</v>
      </c>
      <c r="J119" s="41" t="s">
        <v>9778</v>
      </c>
      <c r="K119" s="41">
        <v>0</v>
      </c>
      <c r="L119" s="43">
        <v>1</v>
      </c>
      <c r="M119" s="43" t="b">
        <v>0</v>
      </c>
      <c r="N119" s="41">
        <v>-1</v>
      </c>
      <c r="O119" s="41">
        <v>0</v>
      </c>
      <c r="P119" s="41">
        <v>3</v>
      </c>
      <c r="Q119" s="41" t="s">
        <v>38</v>
      </c>
      <c r="R119" s="111" t="s">
        <v>9779</v>
      </c>
      <c r="S119" s="112" t="s">
        <v>9780</v>
      </c>
      <c r="T119" s="41">
        <v>200000</v>
      </c>
      <c r="X119" s="132">
        <v>400207</v>
      </c>
      <c r="Y119" s="136" t="s">
        <v>2642</v>
      </c>
      <c r="Z119" s="137" t="s">
        <v>1594</v>
      </c>
      <c r="AA119" s="138" t="s">
        <v>9503</v>
      </c>
      <c r="AB119" s="1" t="str">
        <f t="shared" si="6"/>
        <v>气血上限+3992;防御力+100</v>
      </c>
      <c r="AC119" s="5" t="s">
        <v>9433</v>
      </c>
      <c r="AD119" s="5">
        <v>4990</v>
      </c>
      <c r="AE119" s="5" t="s">
        <v>9434</v>
      </c>
      <c r="AF119" s="5">
        <v>100</v>
      </c>
      <c r="AH119" s="1">
        <f t="shared" si="5"/>
        <v>3992</v>
      </c>
    </row>
    <row r="120" spans="1:34" s="97" customFormat="1" ht="27" x14ac:dyDescent="0.15">
      <c r="A120" s="41">
        <v>500104</v>
      </c>
      <c r="B120" s="105" t="s">
        <v>1701</v>
      </c>
      <c r="C120" s="41" t="s">
        <v>1672</v>
      </c>
      <c r="D120" s="41">
        <v>0</v>
      </c>
      <c r="E120" s="41">
        <v>0</v>
      </c>
      <c r="F120" s="101"/>
      <c r="G120" s="41">
        <v>5</v>
      </c>
      <c r="H120" s="84">
        <v>4</v>
      </c>
      <c r="I120" s="84">
        <v>5</v>
      </c>
      <c r="J120" s="41" t="s">
        <v>9781</v>
      </c>
      <c r="K120" s="41">
        <v>0</v>
      </c>
      <c r="L120" s="84">
        <v>1</v>
      </c>
      <c r="M120" s="84" t="b">
        <v>0</v>
      </c>
      <c r="N120" s="41">
        <v>-1</v>
      </c>
      <c r="O120" s="41">
        <v>0</v>
      </c>
      <c r="P120" s="41">
        <v>3</v>
      </c>
      <c r="Q120" s="41" t="s">
        <v>38</v>
      </c>
      <c r="R120" s="111" t="s">
        <v>9782</v>
      </c>
      <c r="S120" s="112" t="s">
        <v>9783</v>
      </c>
      <c r="T120" s="41">
        <v>100000</v>
      </c>
      <c r="W120" s="5"/>
      <c r="X120" s="132">
        <v>500203</v>
      </c>
      <c r="Y120" s="136" t="s">
        <v>2646</v>
      </c>
      <c r="Z120" s="137" t="s">
        <v>1672</v>
      </c>
      <c r="AA120" s="138" t="s">
        <v>9488</v>
      </c>
      <c r="AB120" s="1" t="str">
        <f t="shared" si="6"/>
        <v>气血上限+570;防御力+16</v>
      </c>
      <c r="AC120" s="97" t="s">
        <v>9433</v>
      </c>
      <c r="AD120" s="97">
        <v>713</v>
      </c>
      <c r="AE120" s="97" t="s">
        <v>9434</v>
      </c>
      <c r="AF120" s="97">
        <v>16</v>
      </c>
      <c r="AH120" s="1">
        <f t="shared" si="5"/>
        <v>570</v>
      </c>
    </row>
    <row r="121" spans="1:34" s="5" customFormat="1" x14ac:dyDescent="0.15">
      <c r="A121" s="41">
        <v>600104</v>
      </c>
      <c r="B121" s="42" t="s">
        <v>9784</v>
      </c>
      <c r="C121" s="41" t="s">
        <v>1746</v>
      </c>
      <c r="D121" s="41">
        <v>0</v>
      </c>
      <c r="E121" s="41">
        <v>0</v>
      </c>
      <c r="F121" s="101"/>
      <c r="G121" s="41">
        <v>5</v>
      </c>
      <c r="H121" s="43">
        <v>2</v>
      </c>
      <c r="I121" s="43">
        <v>5</v>
      </c>
      <c r="J121" s="41" t="s">
        <v>9785</v>
      </c>
      <c r="K121" s="41">
        <v>0</v>
      </c>
      <c r="L121" s="43">
        <v>1</v>
      </c>
      <c r="M121" s="43" t="b">
        <v>0</v>
      </c>
      <c r="N121" s="41">
        <v>-1</v>
      </c>
      <c r="O121" s="41">
        <v>0</v>
      </c>
      <c r="P121" s="41">
        <v>3</v>
      </c>
      <c r="Q121" s="41" t="s">
        <v>38</v>
      </c>
      <c r="R121" s="111" t="s">
        <v>9786</v>
      </c>
      <c r="S121" s="112" t="s">
        <v>1821</v>
      </c>
      <c r="T121" s="41">
        <v>300000</v>
      </c>
      <c r="X121" s="132">
        <v>500303</v>
      </c>
      <c r="Y121" s="136" t="s">
        <v>2650</v>
      </c>
      <c r="Z121" s="137" t="s">
        <v>1672</v>
      </c>
      <c r="AA121" s="138" t="s">
        <v>9488</v>
      </c>
      <c r="AB121" s="1" t="str">
        <f t="shared" si="6"/>
        <v>气血上限+570;防御力+16</v>
      </c>
      <c r="AC121" s="5" t="s">
        <v>9433</v>
      </c>
      <c r="AD121" s="5">
        <v>713</v>
      </c>
      <c r="AE121" s="5" t="s">
        <v>9434</v>
      </c>
      <c r="AF121" s="5">
        <v>16</v>
      </c>
      <c r="AH121" s="1">
        <f t="shared" si="5"/>
        <v>570</v>
      </c>
    </row>
    <row r="122" spans="1:34" s="5" customFormat="1" x14ac:dyDescent="0.15">
      <c r="A122" s="41">
        <v>700104</v>
      </c>
      <c r="B122" s="42" t="s">
        <v>9787</v>
      </c>
      <c r="C122" s="41" t="s">
        <v>1832</v>
      </c>
      <c r="D122" s="41">
        <v>0</v>
      </c>
      <c r="E122" s="41">
        <v>0</v>
      </c>
      <c r="F122" s="101"/>
      <c r="G122" s="41">
        <v>5</v>
      </c>
      <c r="H122" s="43">
        <v>2</v>
      </c>
      <c r="I122" s="43">
        <v>5</v>
      </c>
      <c r="J122" s="41" t="s">
        <v>9788</v>
      </c>
      <c r="K122" s="41">
        <v>0</v>
      </c>
      <c r="L122" s="43">
        <v>1</v>
      </c>
      <c r="M122" s="43" t="b">
        <v>0</v>
      </c>
      <c r="N122" s="41">
        <v>-1</v>
      </c>
      <c r="O122" s="41">
        <v>0</v>
      </c>
      <c r="P122" s="41">
        <v>3</v>
      </c>
      <c r="Q122" s="41" t="s">
        <v>38</v>
      </c>
      <c r="R122" s="111" t="s">
        <v>9789</v>
      </c>
      <c r="S122" s="112" t="s">
        <v>9790</v>
      </c>
      <c r="T122" s="41">
        <v>100000</v>
      </c>
      <c r="X122" s="132">
        <v>500403</v>
      </c>
      <c r="Y122" s="136" t="s">
        <v>2654</v>
      </c>
      <c r="Z122" s="137" t="s">
        <v>1672</v>
      </c>
      <c r="AA122" s="138" t="s">
        <v>9488</v>
      </c>
      <c r="AB122" s="1" t="str">
        <f t="shared" si="6"/>
        <v>气血上限+570;防御力+16</v>
      </c>
      <c r="AC122" s="5" t="s">
        <v>9433</v>
      </c>
      <c r="AD122" s="5">
        <v>713</v>
      </c>
      <c r="AE122" s="5" t="s">
        <v>9434</v>
      </c>
      <c r="AF122" s="5">
        <v>16</v>
      </c>
      <c r="AH122" s="1">
        <f t="shared" si="5"/>
        <v>570</v>
      </c>
    </row>
    <row r="123" spans="1:34" s="5" customFormat="1" x14ac:dyDescent="0.15">
      <c r="A123" s="41">
        <v>800104</v>
      </c>
      <c r="B123" s="42" t="s">
        <v>1876</v>
      </c>
      <c r="C123" s="41" t="s">
        <v>1908</v>
      </c>
      <c r="D123" s="41">
        <v>0</v>
      </c>
      <c r="E123" s="41">
        <v>0</v>
      </c>
      <c r="F123" s="101"/>
      <c r="G123" s="41">
        <v>5</v>
      </c>
      <c r="H123" s="43">
        <v>2</v>
      </c>
      <c r="I123" s="43">
        <v>5</v>
      </c>
      <c r="J123" s="41" t="s">
        <v>9791</v>
      </c>
      <c r="K123" s="41">
        <v>0</v>
      </c>
      <c r="L123" s="43">
        <v>1</v>
      </c>
      <c r="M123" s="43" t="b">
        <v>0</v>
      </c>
      <c r="N123" s="41">
        <v>-1</v>
      </c>
      <c r="O123" s="41">
        <v>0</v>
      </c>
      <c r="P123" s="41">
        <v>3</v>
      </c>
      <c r="Q123" s="41" t="s">
        <v>38</v>
      </c>
      <c r="R123" s="111" t="s">
        <v>1879</v>
      </c>
      <c r="S123" s="112" t="s">
        <v>1984</v>
      </c>
      <c r="T123" s="41">
        <v>200000</v>
      </c>
      <c r="X123" s="132">
        <v>500204</v>
      </c>
      <c r="Y123" s="136" t="s">
        <v>2658</v>
      </c>
      <c r="Z123" s="137" t="s">
        <v>1672</v>
      </c>
      <c r="AA123" s="138" t="s">
        <v>9492</v>
      </c>
      <c r="AB123" s="1" t="str">
        <f t="shared" si="6"/>
        <v>气血上限+950;防御力+24</v>
      </c>
      <c r="AC123" s="5" t="s">
        <v>9433</v>
      </c>
      <c r="AD123" s="5">
        <v>1188</v>
      </c>
      <c r="AE123" s="5" t="s">
        <v>9434</v>
      </c>
      <c r="AF123" s="5">
        <v>24</v>
      </c>
      <c r="AH123" s="1">
        <f t="shared" si="5"/>
        <v>950</v>
      </c>
    </row>
    <row r="124" spans="1:34" x14ac:dyDescent="0.15">
      <c r="A124" s="70">
        <v>101005</v>
      </c>
      <c r="B124" s="71" t="s">
        <v>68</v>
      </c>
      <c r="C124" s="70" t="s">
        <v>33</v>
      </c>
      <c r="D124" s="70">
        <v>1</v>
      </c>
      <c r="E124" s="70" t="s">
        <v>34</v>
      </c>
      <c r="F124" s="70"/>
      <c r="G124" s="70">
        <v>1</v>
      </c>
      <c r="H124" s="83">
        <v>3</v>
      </c>
      <c r="I124" s="70" t="s">
        <v>70</v>
      </c>
      <c r="J124" s="70" t="s">
        <v>9792</v>
      </c>
      <c r="K124" s="70">
        <v>0</v>
      </c>
      <c r="L124" s="83">
        <v>1</v>
      </c>
      <c r="M124" s="83" t="b">
        <v>1</v>
      </c>
      <c r="N124" s="70">
        <v>9800</v>
      </c>
      <c r="O124" s="70">
        <v>0</v>
      </c>
      <c r="P124" s="70">
        <v>3</v>
      </c>
      <c r="Q124" s="70" t="s">
        <v>38</v>
      </c>
      <c r="R124" s="133" t="s">
        <v>9793</v>
      </c>
      <c r="S124" s="110" t="s">
        <v>74</v>
      </c>
      <c r="T124" s="70">
        <v>100000</v>
      </c>
      <c r="X124" s="132">
        <v>500304</v>
      </c>
      <c r="Y124" s="136" t="s">
        <v>2662</v>
      </c>
      <c r="Z124" s="137" t="s">
        <v>1672</v>
      </c>
      <c r="AA124" s="138" t="s">
        <v>9492</v>
      </c>
      <c r="AB124" s="1" t="str">
        <f t="shared" si="6"/>
        <v>气血上限+950;防御力+24</v>
      </c>
      <c r="AC124" t="s">
        <v>9433</v>
      </c>
      <c r="AD124">
        <v>1188</v>
      </c>
      <c r="AE124" t="s">
        <v>9434</v>
      </c>
      <c r="AF124">
        <v>24</v>
      </c>
      <c r="AH124" s="1">
        <f t="shared" si="5"/>
        <v>950</v>
      </c>
    </row>
    <row r="125" spans="1:34" x14ac:dyDescent="0.15">
      <c r="A125" s="70">
        <v>102005</v>
      </c>
      <c r="B125" s="71" t="s">
        <v>9794</v>
      </c>
      <c r="C125" s="70" t="s">
        <v>33</v>
      </c>
      <c r="D125" s="70">
        <v>2</v>
      </c>
      <c r="E125" s="70" t="s">
        <v>134</v>
      </c>
      <c r="F125" s="70"/>
      <c r="G125" s="70">
        <v>1</v>
      </c>
      <c r="H125" s="83">
        <v>3</v>
      </c>
      <c r="I125" s="70" t="s">
        <v>70</v>
      </c>
      <c r="J125" s="70" t="s">
        <v>9795</v>
      </c>
      <c r="K125" s="70">
        <v>0</v>
      </c>
      <c r="L125" s="83">
        <v>1</v>
      </c>
      <c r="M125" s="83" t="b">
        <v>1</v>
      </c>
      <c r="N125" s="70">
        <v>9800</v>
      </c>
      <c r="O125" s="70">
        <v>0</v>
      </c>
      <c r="P125" s="70">
        <v>3</v>
      </c>
      <c r="Q125" s="70" t="s">
        <v>38</v>
      </c>
      <c r="R125" s="133" t="s">
        <v>9796</v>
      </c>
      <c r="S125" s="110" t="s">
        <v>170</v>
      </c>
      <c r="T125" s="70">
        <v>100000</v>
      </c>
      <c r="X125" s="132">
        <v>500105</v>
      </c>
      <c r="Y125" s="136" t="s">
        <v>2666</v>
      </c>
      <c r="Z125" s="137" t="s">
        <v>1672</v>
      </c>
      <c r="AA125" s="138" t="s">
        <v>9496</v>
      </c>
      <c r="AB125" s="1" t="str">
        <f t="shared" si="6"/>
        <v>气血上限+1520;防御力+38</v>
      </c>
      <c r="AC125" t="s">
        <v>9433</v>
      </c>
      <c r="AD125">
        <v>1901</v>
      </c>
      <c r="AE125" t="s">
        <v>9434</v>
      </c>
      <c r="AF125">
        <v>38</v>
      </c>
      <c r="AH125" s="1">
        <f t="shared" si="5"/>
        <v>1520</v>
      </c>
    </row>
    <row r="126" spans="1:34" ht="27" x14ac:dyDescent="0.15">
      <c r="A126" s="70">
        <v>102105</v>
      </c>
      <c r="B126" s="71" t="s">
        <v>9797</v>
      </c>
      <c r="C126" s="70" t="s">
        <v>33</v>
      </c>
      <c r="D126" s="70">
        <v>2</v>
      </c>
      <c r="E126" s="70" t="s">
        <v>134</v>
      </c>
      <c r="F126" s="70"/>
      <c r="G126" s="70">
        <v>1</v>
      </c>
      <c r="H126" s="83">
        <v>3</v>
      </c>
      <c r="I126" s="70" t="s">
        <v>70</v>
      </c>
      <c r="J126" s="70" t="s">
        <v>9798</v>
      </c>
      <c r="K126" s="70">
        <v>0</v>
      </c>
      <c r="L126" s="83">
        <v>1</v>
      </c>
      <c r="M126" s="83" t="b">
        <v>1</v>
      </c>
      <c r="N126" s="70">
        <v>9800</v>
      </c>
      <c r="O126" s="70">
        <v>0</v>
      </c>
      <c r="P126" s="70">
        <v>3</v>
      </c>
      <c r="Q126" s="70" t="s">
        <v>38</v>
      </c>
      <c r="R126" s="133" t="s">
        <v>9799</v>
      </c>
      <c r="S126" s="110" t="s">
        <v>245</v>
      </c>
      <c r="T126" s="70">
        <v>300000</v>
      </c>
      <c r="X126" s="132">
        <v>500205</v>
      </c>
      <c r="Y126" s="136" t="s">
        <v>2670</v>
      </c>
      <c r="Z126" s="137" t="s">
        <v>1672</v>
      </c>
      <c r="AA126" s="138" t="s">
        <v>9496</v>
      </c>
      <c r="AB126" s="1" t="str">
        <f t="shared" si="6"/>
        <v>气血上限+1520;防御力+38</v>
      </c>
      <c r="AC126" t="s">
        <v>9433</v>
      </c>
      <c r="AD126">
        <v>1901</v>
      </c>
      <c r="AE126" t="s">
        <v>9434</v>
      </c>
      <c r="AF126">
        <v>38</v>
      </c>
      <c r="AH126" s="1">
        <f t="shared" si="5"/>
        <v>1520</v>
      </c>
    </row>
    <row r="127" spans="1:34" ht="27" x14ac:dyDescent="0.15">
      <c r="A127" s="70">
        <v>104105</v>
      </c>
      <c r="B127" s="72" t="s">
        <v>9800</v>
      </c>
      <c r="C127" s="70" t="s">
        <v>33</v>
      </c>
      <c r="D127" s="70">
        <v>4</v>
      </c>
      <c r="E127" s="70" t="s">
        <v>447</v>
      </c>
      <c r="F127" s="70"/>
      <c r="G127" s="70">
        <v>1</v>
      </c>
      <c r="H127" s="83">
        <v>3</v>
      </c>
      <c r="I127" s="70" t="s">
        <v>70</v>
      </c>
      <c r="J127" s="70" t="s">
        <v>1776</v>
      </c>
      <c r="K127" s="70">
        <v>0</v>
      </c>
      <c r="L127" s="83">
        <v>1</v>
      </c>
      <c r="M127" s="83" t="b">
        <v>1</v>
      </c>
      <c r="N127" s="70">
        <v>9800</v>
      </c>
      <c r="O127" s="70">
        <v>0</v>
      </c>
      <c r="P127" s="70">
        <v>3</v>
      </c>
      <c r="Q127" s="70" t="s">
        <v>38</v>
      </c>
      <c r="R127" s="133" t="s">
        <v>9801</v>
      </c>
      <c r="S127" s="110" t="s">
        <v>550</v>
      </c>
      <c r="T127" s="70">
        <v>300000</v>
      </c>
      <c r="X127" s="132">
        <v>500406</v>
      </c>
      <c r="Y127" s="136" t="s">
        <v>2674</v>
      </c>
      <c r="Z127" s="137" t="s">
        <v>1672</v>
      </c>
      <c r="AA127" s="138" t="s">
        <v>9500</v>
      </c>
      <c r="AB127" s="1" t="str">
        <f t="shared" si="6"/>
        <v>气血上限+2471;防御力+62</v>
      </c>
      <c r="AC127" t="s">
        <v>9433</v>
      </c>
      <c r="AD127">
        <v>3089</v>
      </c>
      <c r="AE127" t="s">
        <v>9434</v>
      </c>
      <c r="AF127">
        <v>62</v>
      </c>
      <c r="AH127" s="1">
        <f t="shared" si="5"/>
        <v>2471</v>
      </c>
    </row>
    <row r="128" spans="1:34" x14ac:dyDescent="0.15">
      <c r="A128" s="70">
        <v>105005</v>
      </c>
      <c r="B128" s="72" t="s">
        <v>9802</v>
      </c>
      <c r="C128" s="70" t="s">
        <v>33</v>
      </c>
      <c r="D128" s="70">
        <v>5</v>
      </c>
      <c r="E128" s="70" t="s">
        <v>631</v>
      </c>
      <c r="F128" s="70"/>
      <c r="G128" s="70">
        <v>1</v>
      </c>
      <c r="H128" s="83">
        <v>3</v>
      </c>
      <c r="I128" s="70" t="s">
        <v>70</v>
      </c>
      <c r="J128" s="70" t="s">
        <v>9803</v>
      </c>
      <c r="K128" s="70">
        <v>0</v>
      </c>
      <c r="L128" s="83">
        <v>1</v>
      </c>
      <c r="M128" s="83" t="b">
        <v>1</v>
      </c>
      <c r="N128" s="70">
        <v>9800</v>
      </c>
      <c r="O128" s="70">
        <v>0</v>
      </c>
      <c r="P128" s="70">
        <v>3</v>
      </c>
      <c r="Q128" s="70" t="s">
        <v>38</v>
      </c>
      <c r="R128" s="133" t="s">
        <v>9804</v>
      </c>
      <c r="S128" s="110" t="s">
        <v>665</v>
      </c>
      <c r="T128" s="70">
        <v>300000</v>
      </c>
      <c r="X128" s="132">
        <v>500506</v>
      </c>
      <c r="Y128" s="136" t="s">
        <v>2678</v>
      </c>
      <c r="Z128" s="137" t="s">
        <v>1672</v>
      </c>
      <c r="AA128" s="138" t="s">
        <v>9500</v>
      </c>
      <c r="AB128" s="1" t="str">
        <f t="shared" si="6"/>
        <v>气血上限+2471;防御力+62</v>
      </c>
      <c r="AC128" t="s">
        <v>9433</v>
      </c>
      <c r="AD128">
        <v>3089</v>
      </c>
      <c r="AE128" t="s">
        <v>9434</v>
      </c>
      <c r="AF128">
        <v>62</v>
      </c>
      <c r="AH128" s="1">
        <f t="shared" si="5"/>
        <v>2471</v>
      </c>
    </row>
    <row r="129" spans="1:34" ht="27" x14ac:dyDescent="0.15">
      <c r="A129" s="70">
        <v>103005</v>
      </c>
      <c r="B129" s="72" t="s">
        <v>9805</v>
      </c>
      <c r="C129" s="70" t="s">
        <v>33</v>
      </c>
      <c r="D129" s="70">
        <v>3</v>
      </c>
      <c r="E129" s="70" t="s">
        <v>363</v>
      </c>
      <c r="F129" s="70"/>
      <c r="G129" s="70">
        <v>1</v>
      </c>
      <c r="H129" s="83">
        <v>3</v>
      </c>
      <c r="I129" s="70" t="s">
        <v>70</v>
      </c>
      <c r="J129" s="70" t="s">
        <v>9806</v>
      </c>
      <c r="K129" s="70">
        <v>0</v>
      </c>
      <c r="L129" s="83">
        <v>1</v>
      </c>
      <c r="M129" s="83" t="b">
        <v>1</v>
      </c>
      <c r="N129" s="70">
        <v>9800</v>
      </c>
      <c r="O129" s="70">
        <v>0</v>
      </c>
      <c r="P129" s="70">
        <v>3</v>
      </c>
      <c r="Q129" s="70" t="s">
        <v>38</v>
      </c>
      <c r="R129" s="133" t="s">
        <v>9807</v>
      </c>
      <c r="S129" s="110" t="s">
        <v>391</v>
      </c>
      <c r="T129" s="70">
        <v>300000</v>
      </c>
      <c r="X129" s="132">
        <v>500207</v>
      </c>
      <c r="Y129" s="136" t="s">
        <v>2682</v>
      </c>
      <c r="Z129" s="137" t="s">
        <v>1672</v>
      </c>
      <c r="AA129" s="138" t="s">
        <v>9503</v>
      </c>
      <c r="AB129" s="1" t="str">
        <f t="shared" ref="AB129:AB139" si="7">AC129&amp;AH129&amp;";"&amp;AE129&amp;AF129</f>
        <v>气血上限+3992;防御力+100</v>
      </c>
      <c r="AC129" t="s">
        <v>9433</v>
      </c>
      <c r="AD129">
        <v>4990</v>
      </c>
      <c r="AE129" t="s">
        <v>9434</v>
      </c>
      <c r="AF129">
        <v>100</v>
      </c>
      <c r="AH129" s="1">
        <f t="shared" si="5"/>
        <v>3992</v>
      </c>
    </row>
    <row r="130" spans="1:34" ht="27" x14ac:dyDescent="0.15">
      <c r="A130" s="70">
        <v>106005</v>
      </c>
      <c r="B130" s="71" t="s">
        <v>9808</v>
      </c>
      <c r="C130" s="70" t="s">
        <v>33</v>
      </c>
      <c r="D130" s="70">
        <v>6</v>
      </c>
      <c r="E130" s="70" t="s">
        <v>727</v>
      </c>
      <c r="F130" s="70"/>
      <c r="G130" s="70">
        <v>1</v>
      </c>
      <c r="H130" s="83">
        <v>3</v>
      </c>
      <c r="I130" s="70" t="s">
        <v>70</v>
      </c>
      <c r="J130" s="70" t="s">
        <v>9809</v>
      </c>
      <c r="K130" s="70">
        <v>0</v>
      </c>
      <c r="L130" s="83">
        <v>1</v>
      </c>
      <c r="M130" s="83" t="b">
        <v>1</v>
      </c>
      <c r="N130" s="70">
        <v>9800</v>
      </c>
      <c r="O130" s="70">
        <v>0</v>
      </c>
      <c r="P130" s="70">
        <v>3</v>
      </c>
      <c r="Q130" s="70" t="s">
        <v>38</v>
      </c>
      <c r="R130" s="133" t="s">
        <v>9810</v>
      </c>
      <c r="S130" s="110" t="s">
        <v>755</v>
      </c>
      <c r="T130" s="70">
        <v>300000</v>
      </c>
      <c r="X130" s="132">
        <v>800203</v>
      </c>
      <c r="Y130" s="136" t="s">
        <v>2766</v>
      </c>
      <c r="Z130" s="136" t="s">
        <v>1908</v>
      </c>
      <c r="AA130" s="138" t="s">
        <v>9617</v>
      </c>
      <c r="AB130" s="1" t="str">
        <f t="shared" si="7"/>
        <v>气血上限+571;</v>
      </c>
      <c r="AC130" t="s">
        <v>9433</v>
      </c>
      <c r="AD130">
        <v>714</v>
      </c>
      <c r="AH130" s="1">
        <f t="shared" si="5"/>
        <v>571</v>
      </c>
    </row>
    <row r="131" spans="1:34" ht="40.5" x14ac:dyDescent="0.15">
      <c r="A131" s="70">
        <v>109005</v>
      </c>
      <c r="B131" s="71" t="s">
        <v>9811</v>
      </c>
      <c r="C131" s="70" t="s">
        <v>33</v>
      </c>
      <c r="D131" s="70">
        <v>9</v>
      </c>
      <c r="E131" s="70" t="s">
        <v>812</v>
      </c>
      <c r="F131" s="70"/>
      <c r="G131" s="70">
        <v>1</v>
      </c>
      <c r="H131" s="83">
        <v>3</v>
      </c>
      <c r="I131" s="70" t="s">
        <v>70</v>
      </c>
      <c r="J131" s="70" t="s">
        <v>9812</v>
      </c>
      <c r="K131" s="70">
        <v>0</v>
      </c>
      <c r="L131" s="83">
        <v>1</v>
      </c>
      <c r="M131" s="83" t="b">
        <v>1</v>
      </c>
      <c r="N131" s="70">
        <v>9800</v>
      </c>
      <c r="O131" s="70">
        <v>0</v>
      </c>
      <c r="P131" s="70">
        <v>3</v>
      </c>
      <c r="Q131" s="70" t="s">
        <v>38</v>
      </c>
      <c r="R131" s="133" t="s">
        <v>9813</v>
      </c>
      <c r="S131" s="110" t="s">
        <v>835</v>
      </c>
      <c r="T131" s="70">
        <v>300000</v>
      </c>
      <c r="X131" s="132">
        <v>800303</v>
      </c>
      <c r="Y131" s="136" t="s">
        <v>2770</v>
      </c>
      <c r="Z131" s="136" t="s">
        <v>1908</v>
      </c>
      <c r="AA131" s="138" t="s">
        <v>9617</v>
      </c>
      <c r="AB131" s="1" t="str">
        <f t="shared" si="7"/>
        <v>气血上限+571;</v>
      </c>
      <c r="AC131" t="s">
        <v>9433</v>
      </c>
      <c r="AD131">
        <v>714</v>
      </c>
      <c r="AH131" s="1">
        <f t="shared" si="5"/>
        <v>571</v>
      </c>
    </row>
    <row r="132" spans="1:34" ht="27" x14ac:dyDescent="0.15">
      <c r="A132" s="70">
        <v>110005</v>
      </c>
      <c r="B132" s="71" t="s">
        <v>9814</v>
      </c>
      <c r="C132" s="70" t="s">
        <v>33</v>
      </c>
      <c r="D132" s="70">
        <v>10</v>
      </c>
      <c r="E132" s="70" t="s">
        <v>887</v>
      </c>
      <c r="F132" s="70"/>
      <c r="G132" s="70">
        <v>1</v>
      </c>
      <c r="H132" s="83">
        <v>3</v>
      </c>
      <c r="I132" s="70" t="s">
        <v>70</v>
      </c>
      <c r="J132" s="70" t="s">
        <v>9815</v>
      </c>
      <c r="K132" s="70">
        <v>0</v>
      </c>
      <c r="L132" s="83">
        <v>1</v>
      </c>
      <c r="M132" s="83" t="b">
        <v>1</v>
      </c>
      <c r="N132" s="70">
        <v>9800</v>
      </c>
      <c r="O132" s="70">
        <v>0</v>
      </c>
      <c r="P132" s="70">
        <v>3</v>
      </c>
      <c r="Q132" s="70" t="s">
        <v>38</v>
      </c>
      <c r="R132" s="133" t="s">
        <v>9816</v>
      </c>
      <c r="S132" s="110" t="s">
        <v>915</v>
      </c>
      <c r="T132" s="70">
        <v>300000</v>
      </c>
      <c r="X132" s="132">
        <v>800403</v>
      </c>
      <c r="Y132" s="136" t="s">
        <v>2774</v>
      </c>
      <c r="Z132" s="136" t="s">
        <v>1908</v>
      </c>
      <c r="AA132" s="138" t="s">
        <v>9617</v>
      </c>
      <c r="AB132" s="1" t="str">
        <f t="shared" si="7"/>
        <v>气血上限+571;</v>
      </c>
      <c r="AC132" t="s">
        <v>9433</v>
      </c>
      <c r="AD132">
        <v>714</v>
      </c>
      <c r="AH132" s="1">
        <f t="shared" si="5"/>
        <v>571</v>
      </c>
    </row>
    <row r="133" spans="1:34" ht="27" x14ac:dyDescent="0.15">
      <c r="A133" s="70">
        <v>200005</v>
      </c>
      <c r="B133" s="71" t="s">
        <v>666</v>
      </c>
      <c r="C133" s="70" t="s">
        <v>1408</v>
      </c>
      <c r="D133" s="70">
        <v>0</v>
      </c>
      <c r="E133" s="70">
        <v>0</v>
      </c>
      <c r="F133" s="70"/>
      <c r="G133" s="70">
        <v>1</v>
      </c>
      <c r="H133" s="83">
        <v>4</v>
      </c>
      <c r="I133" s="70" t="s">
        <v>70</v>
      </c>
      <c r="J133" s="70" t="s">
        <v>9817</v>
      </c>
      <c r="K133" s="70">
        <v>0</v>
      </c>
      <c r="L133" s="83">
        <v>1</v>
      </c>
      <c r="M133" s="83" t="b">
        <v>1</v>
      </c>
      <c r="N133" s="70">
        <v>8000</v>
      </c>
      <c r="O133" s="70">
        <v>0</v>
      </c>
      <c r="P133" s="70">
        <v>3</v>
      </c>
      <c r="Q133" s="70" t="s">
        <v>38</v>
      </c>
      <c r="R133" s="133" t="s">
        <v>9818</v>
      </c>
      <c r="S133" s="110" t="s">
        <v>1439</v>
      </c>
      <c r="T133" s="70">
        <v>300000</v>
      </c>
      <c r="X133" s="132">
        <v>800204</v>
      </c>
      <c r="Y133" s="136" t="s">
        <v>2778</v>
      </c>
      <c r="Z133" s="136" t="s">
        <v>1908</v>
      </c>
      <c r="AA133" s="138" t="s">
        <v>9620</v>
      </c>
      <c r="AB133" s="1" t="str">
        <f t="shared" si="7"/>
        <v>气血上限+950;</v>
      </c>
      <c r="AC133" t="s">
        <v>9433</v>
      </c>
      <c r="AD133">
        <v>1188</v>
      </c>
      <c r="AH133" s="1">
        <f t="shared" si="5"/>
        <v>950</v>
      </c>
    </row>
    <row r="134" spans="1:34" x14ac:dyDescent="0.15">
      <c r="A134" s="70">
        <v>300005</v>
      </c>
      <c r="B134" s="71" t="s">
        <v>9819</v>
      </c>
      <c r="C134" s="70" t="s">
        <v>1508</v>
      </c>
      <c r="D134" s="70">
        <v>0</v>
      </c>
      <c r="E134" s="70">
        <v>0</v>
      </c>
      <c r="F134" s="70"/>
      <c r="G134" s="70">
        <v>1</v>
      </c>
      <c r="H134" s="83">
        <v>4</v>
      </c>
      <c r="I134" s="70" t="s">
        <v>70</v>
      </c>
      <c r="J134" s="70" t="s">
        <v>9820</v>
      </c>
      <c r="K134" s="70">
        <v>0</v>
      </c>
      <c r="L134" s="83">
        <v>1</v>
      </c>
      <c r="M134" s="83" t="b">
        <v>1</v>
      </c>
      <c r="N134" s="70">
        <v>7200</v>
      </c>
      <c r="O134" s="70">
        <v>0</v>
      </c>
      <c r="P134" s="70">
        <v>3</v>
      </c>
      <c r="Q134" s="70" t="s">
        <v>38</v>
      </c>
      <c r="R134" s="133" t="s">
        <v>9821</v>
      </c>
      <c r="S134" s="110" t="s">
        <v>1536</v>
      </c>
      <c r="T134" s="70">
        <v>300000</v>
      </c>
      <c r="X134" s="132">
        <v>800304</v>
      </c>
      <c r="Y134" s="136" t="s">
        <v>2782</v>
      </c>
      <c r="Z134" s="136" t="s">
        <v>1908</v>
      </c>
      <c r="AA134" s="138" t="s">
        <v>9620</v>
      </c>
      <c r="AB134" s="1" t="str">
        <f t="shared" si="7"/>
        <v>气血上限+950;</v>
      </c>
      <c r="AC134" t="s">
        <v>9433</v>
      </c>
      <c r="AD134">
        <v>1188</v>
      </c>
      <c r="AH134" s="1">
        <f t="shared" si="5"/>
        <v>950</v>
      </c>
    </row>
    <row r="135" spans="1:34" x14ac:dyDescent="0.15">
      <c r="A135" s="70">
        <v>400005</v>
      </c>
      <c r="B135" s="71" t="s">
        <v>9822</v>
      </c>
      <c r="C135" s="70" t="s">
        <v>1594</v>
      </c>
      <c r="D135" s="70">
        <v>0</v>
      </c>
      <c r="E135" s="70">
        <v>0</v>
      </c>
      <c r="F135" s="70"/>
      <c r="G135" s="70">
        <v>1</v>
      </c>
      <c r="H135" s="83">
        <v>4</v>
      </c>
      <c r="I135" s="70" t="s">
        <v>70</v>
      </c>
      <c r="J135" s="70" t="s">
        <v>9823</v>
      </c>
      <c r="K135" s="70">
        <v>0</v>
      </c>
      <c r="L135" s="83">
        <v>1</v>
      </c>
      <c r="M135" s="83" t="b">
        <v>1</v>
      </c>
      <c r="N135" s="70">
        <v>8400</v>
      </c>
      <c r="O135" s="70">
        <v>0</v>
      </c>
      <c r="P135" s="70">
        <v>3</v>
      </c>
      <c r="Q135" s="70" t="s">
        <v>38</v>
      </c>
      <c r="R135" s="133" t="s">
        <v>9824</v>
      </c>
      <c r="S135" s="110" t="s">
        <v>1619</v>
      </c>
      <c r="T135" s="70">
        <v>300000</v>
      </c>
      <c r="X135" s="132">
        <v>800105</v>
      </c>
      <c r="Y135" s="136" t="s">
        <v>2786</v>
      </c>
      <c r="Z135" s="136" t="s">
        <v>1908</v>
      </c>
      <c r="AA135" s="138" t="s">
        <v>9623</v>
      </c>
      <c r="AB135" s="1" t="str">
        <f t="shared" si="7"/>
        <v>气血上限+1521;</v>
      </c>
      <c r="AC135" t="s">
        <v>9433</v>
      </c>
      <c r="AD135">
        <v>1902</v>
      </c>
      <c r="AH135" s="1">
        <f t="shared" ref="AH135:AH139" si="8">INT(AD135*0.8)</f>
        <v>1521</v>
      </c>
    </row>
    <row r="136" spans="1:34" ht="27" x14ac:dyDescent="0.15">
      <c r="A136" s="70">
        <v>500005</v>
      </c>
      <c r="B136" s="73" t="s">
        <v>9825</v>
      </c>
      <c r="C136" s="70" t="s">
        <v>1672</v>
      </c>
      <c r="D136" s="70">
        <v>0</v>
      </c>
      <c r="E136" s="70">
        <v>0</v>
      </c>
      <c r="F136" s="70"/>
      <c r="G136" s="70">
        <v>1</v>
      </c>
      <c r="H136" s="83">
        <v>4</v>
      </c>
      <c r="I136" s="70" t="s">
        <v>70</v>
      </c>
      <c r="J136" s="70" t="s">
        <v>9826</v>
      </c>
      <c r="K136" s="70">
        <v>0</v>
      </c>
      <c r="L136" s="83">
        <v>1</v>
      </c>
      <c r="M136" s="83" t="b">
        <v>1</v>
      </c>
      <c r="N136" s="70">
        <v>9600</v>
      </c>
      <c r="O136" s="70">
        <v>0</v>
      </c>
      <c r="P136" s="70">
        <v>3</v>
      </c>
      <c r="Q136" s="70" t="s">
        <v>38</v>
      </c>
      <c r="R136" s="133" t="s">
        <v>9827</v>
      </c>
      <c r="S136" s="110" t="s">
        <v>1695</v>
      </c>
      <c r="T136" s="70">
        <v>300000</v>
      </c>
      <c r="X136" s="132">
        <v>800205</v>
      </c>
      <c r="Y136" s="136" t="s">
        <v>2790</v>
      </c>
      <c r="Z136" s="136" t="s">
        <v>1908</v>
      </c>
      <c r="AA136" s="138" t="s">
        <v>9623</v>
      </c>
      <c r="AB136" s="1" t="str">
        <f t="shared" si="7"/>
        <v>气血上限+1521;</v>
      </c>
      <c r="AC136" t="s">
        <v>9433</v>
      </c>
      <c r="AD136">
        <v>1902</v>
      </c>
      <c r="AH136" s="1">
        <f t="shared" si="8"/>
        <v>1521</v>
      </c>
    </row>
    <row r="137" spans="1:34" x14ac:dyDescent="0.15">
      <c r="A137" s="70">
        <v>600005</v>
      </c>
      <c r="B137" s="72" t="s">
        <v>1780</v>
      </c>
      <c r="C137" s="70" t="s">
        <v>1746</v>
      </c>
      <c r="D137" s="70">
        <v>0</v>
      </c>
      <c r="E137" s="70">
        <v>0</v>
      </c>
      <c r="F137" s="70"/>
      <c r="G137" s="70">
        <v>1</v>
      </c>
      <c r="H137" s="83">
        <v>2</v>
      </c>
      <c r="I137" s="70" t="s">
        <v>70</v>
      </c>
      <c r="J137" s="70" t="s">
        <v>9828</v>
      </c>
      <c r="K137" s="70">
        <v>0</v>
      </c>
      <c r="L137" s="83">
        <v>1</v>
      </c>
      <c r="M137" s="83" t="b">
        <v>1</v>
      </c>
      <c r="N137" s="70">
        <v>8800</v>
      </c>
      <c r="O137" s="70">
        <v>0</v>
      </c>
      <c r="P137" s="70">
        <v>3</v>
      </c>
      <c r="Q137" s="70" t="s">
        <v>38</v>
      </c>
      <c r="R137" s="133" t="s">
        <v>1783</v>
      </c>
      <c r="S137" s="110" t="s">
        <v>1773</v>
      </c>
      <c r="T137" s="70">
        <v>300000</v>
      </c>
      <c r="X137" s="132">
        <v>800106</v>
      </c>
      <c r="Y137" s="136" t="s">
        <v>2794</v>
      </c>
      <c r="Z137" s="136" t="s">
        <v>1908</v>
      </c>
      <c r="AA137" s="138" t="s">
        <v>9627</v>
      </c>
      <c r="AB137" s="1" t="str">
        <f t="shared" si="7"/>
        <v>气血上限+2472;</v>
      </c>
      <c r="AC137" t="s">
        <v>9433</v>
      </c>
      <c r="AD137">
        <v>3090</v>
      </c>
      <c r="AH137" s="1">
        <f t="shared" si="8"/>
        <v>2472</v>
      </c>
    </row>
    <row r="138" spans="1:34" ht="27" x14ac:dyDescent="0.15">
      <c r="A138" s="70">
        <v>700005</v>
      </c>
      <c r="B138" s="72" t="s">
        <v>9829</v>
      </c>
      <c r="C138" s="70" t="s">
        <v>1832</v>
      </c>
      <c r="D138" s="70">
        <v>0</v>
      </c>
      <c r="E138" s="70">
        <v>0</v>
      </c>
      <c r="F138" s="70"/>
      <c r="G138" s="70">
        <v>1</v>
      </c>
      <c r="H138" s="83">
        <v>2</v>
      </c>
      <c r="I138" s="70" t="s">
        <v>70</v>
      </c>
      <c r="J138" s="70" t="s">
        <v>9830</v>
      </c>
      <c r="K138" s="70">
        <v>0</v>
      </c>
      <c r="L138" s="83">
        <v>1</v>
      </c>
      <c r="M138" s="83" t="b">
        <v>1</v>
      </c>
      <c r="N138" s="70">
        <v>9999</v>
      </c>
      <c r="O138" s="70">
        <v>0</v>
      </c>
      <c r="P138" s="70">
        <v>3</v>
      </c>
      <c r="Q138" s="70" t="s">
        <v>38</v>
      </c>
      <c r="R138" s="133" t="s">
        <v>9831</v>
      </c>
      <c r="S138" s="110" t="s">
        <v>1863</v>
      </c>
      <c r="T138" s="70">
        <v>200000</v>
      </c>
      <c r="X138" s="132">
        <v>800206</v>
      </c>
      <c r="Y138" s="136" t="s">
        <v>2798</v>
      </c>
      <c r="Z138" s="136" t="s">
        <v>1908</v>
      </c>
      <c r="AA138" s="138" t="s">
        <v>9627</v>
      </c>
      <c r="AB138" s="1" t="str">
        <f t="shared" si="7"/>
        <v>气血上限+2472;</v>
      </c>
      <c r="AC138" t="s">
        <v>9433</v>
      </c>
      <c r="AD138">
        <v>3090</v>
      </c>
      <c r="AH138" s="1">
        <f t="shared" si="8"/>
        <v>2472</v>
      </c>
    </row>
    <row r="139" spans="1:34" x14ac:dyDescent="0.15">
      <c r="A139" s="70">
        <v>800005</v>
      </c>
      <c r="B139" s="72" t="s">
        <v>9832</v>
      </c>
      <c r="C139" s="70" t="s">
        <v>1908</v>
      </c>
      <c r="D139" s="70">
        <v>0</v>
      </c>
      <c r="E139" s="70">
        <v>0</v>
      </c>
      <c r="F139" s="70"/>
      <c r="G139" s="70">
        <v>1</v>
      </c>
      <c r="H139" s="83">
        <v>2</v>
      </c>
      <c r="I139" s="70" t="s">
        <v>70</v>
      </c>
      <c r="J139" s="70" t="s">
        <v>9529</v>
      </c>
      <c r="K139" s="70">
        <v>0</v>
      </c>
      <c r="L139" s="83">
        <v>1</v>
      </c>
      <c r="M139" s="83" t="b">
        <v>1</v>
      </c>
      <c r="N139" s="70">
        <v>8840</v>
      </c>
      <c r="O139" s="70">
        <v>0</v>
      </c>
      <c r="P139" s="70">
        <v>3</v>
      </c>
      <c r="Q139" s="70" t="s">
        <v>38</v>
      </c>
      <c r="R139" s="133" t="s">
        <v>1964</v>
      </c>
      <c r="S139" s="110" t="s">
        <v>1936</v>
      </c>
      <c r="T139" s="70">
        <v>100000</v>
      </c>
      <c r="X139" s="132">
        <v>800107</v>
      </c>
      <c r="Y139" s="136" t="s">
        <v>2802</v>
      </c>
      <c r="Z139" s="136" t="s">
        <v>1908</v>
      </c>
      <c r="AA139" s="138" t="s">
        <v>9630</v>
      </c>
      <c r="AB139" s="1" t="str">
        <f t="shared" si="7"/>
        <v>气血上限+3992;</v>
      </c>
      <c r="AC139" t="s">
        <v>9433</v>
      </c>
      <c r="AD139">
        <v>4990</v>
      </c>
      <c r="AH139" s="1">
        <f t="shared" si="8"/>
        <v>3992</v>
      </c>
    </row>
    <row r="140" spans="1:34" ht="27" x14ac:dyDescent="0.15">
      <c r="A140" s="70">
        <v>200105</v>
      </c>
      <c r="B140" s="72" t="s">
        <v>9833</v>
      </c>
      <c r="C140" s="70" t="s">
        <v>1408</v>
      </c>
      <c r="D140" s="70">
        <v>0</v>
      </c>
      <c r="E140" s="70">
        <v>0</v>
      </c>
      <c r="F140" s="70"/>
      <c r="G140" s="70">
        <v>5</v>
      </c>
      <c r="H140" s="83">
        <v>8</v>
      </c>
      <c r="I140" s="83">
        <v>5</v>
      </c>
      <c r="J140" s="70" t="s">
        <v>9834</v>
      </c>
      <c r="K140" s="70">
        <v>0</v>
      </c>
      <c r="L140" s="83">
        <v>1</v>
      </c>
      <c r="M140" s="83" t="b">
        <v>0</v>
      </c>
      <c r="N140" s="70">
        <v>-1</v>
      </c>
      <c r="O140" s="70">
        <v>0</v>
      </c>
      <c r="P140" s="70">
        <v>4</v>
      </c>
      <c r="Q140" s="70" t="s">
        <v>38</v>
      </c>
      <c r="R140" s="133" t="s">
        <v>9835</v>
      </c>
      <c r="S140" s="110" t="s">
        <v>9836</v>
      </c>
      <c r="T140" s="70">
        <v>100000</v>
      </c>
    </row>
    <row r="141" spans="1:34" ht="27" x14ac:dyDescent="0.15">
      <c r="A141" s="70">
        <v>400105</v>
      </c>
      <c r="B141" s="72" t="s">
        <v>9837</v>
      </c>
      <c r="C141" s="70" t="s">
        <v>1594</v>
      </c>
      <c r="D141" s="70">
        <v>0</v>
      </c>
      <c r="E141" s="70">
        <v>0</v>
      </c>
      <c r="F141" s="70"/>
      <c r="G141" s="70">
        <v>5</v>
      </c>
      <c r="H141" s="83">
        <v>1</v>
      </c>
      <c r="I141" s="83">
        <v>5</v>
      </c>
      <c r="J141" s="70" t="s">
        <v>9838</v>
      </c>
      <c r="K141" s="70">
        <v>0</v>
      </c>
      <c r="L141" s="83">
        <v>1</v>
      </c>
      <c r="M141" s="83" t="b">
        <v>0</v>
      </c>
      <c r="N141" s="70">
        <v>-1</v>
      </c>
      <c r="O141" s="70">
        <v>0</v>
      </c>
      <c r="P141" s="70">
        <v>4</v>
      </c>
      <c r="Q141" s="70" t="s">
        <v>38</v>
      </c>
      <c r="R141" s="133" t="s">
        <v>9839</v>
      </c>
      <c r="S141" s="110" t="s">
        <v>2105</v>
      </c>
      <c r="T141" s="70">
        <v>100000</v>
      </c>
    </row>
    <row r="142" spans="1:34" x14ac:dyDescent="0.15">
      <c r="A142" s="70">
        <v>101006</v>
      </c>
      <c r="B142" s="71" t="s">
        <v>75</v>
      </c>
      <c r="C142" s="70" t="s">
        <v>33</v>
      </c>
      <c r="D142" s="70">
        <v>1</v>
      </c>
      <c r="E142" s="70" t="s">
        <v>34</v>
      </c>
      <c r="F142" s="70"/>
      <c r="G142" s="70">
        <v>1</v>
      </c>
      <c r="H142" s="83">
        <v>3</v>
      </c>
      <c r="I142" s="70" t="s">
        <v>70</v>
      </c>
      <c r="J142" s="70" t="s">
        <v>9840</v>
      </c>
      <c r="K142" s="70">
        <v>0</v>
      </c>
      <c r="L142" s="83">
        <v>1</v>
      </c>
      <c r="M142" s="83" t="b">
        <v>1</v>
      </c>
      <c r="N142" s="70">
        <v>16800</v>
      </c>
      <c r="O142" s="70">
        <v>0</v>
      </c>
      <c r="P142" s="70">
        <v>4</v>
      </c>
      <c r="Q142" s="70" t="s">
        <v>38</v>
      </c>
      <c r="R142" s="133" t="s">
        <v>9841</v>
      </c>
      <c r="S142" s="110" t="s">
        <v>80</v>
      </c>
      <c r="T142" s="70">
        <v>100000</v>
      </c>
    </row>
    <row r="143" spans="1:34" ht="27" x14ac:dyDescent="0.15">
      <c r="A143" s="70">
        <v>102006</v>
      </c>
      <c r="B143" s="71" t="s">
        <v>9842</v>
      </c>
      <c r="C143" s="70" t="s">
        <v>33</v>
      </c>
      <c r="D143" s="70">
        <v>2</v>
      </c>
      <c r="E143" s="70" t="s">
        <v>134</v>
      </c>
      <c r="F143" s="70"/>
      <c r="G143" s="70">
        <v>1</v>
      </c>
      <c r="H143" s="83">
        <v>3</v>
      </c>
      <c r="I143" s="70" t="s">
        <v>70</v>
      </c>
      <c r="J143" s="70" t="s">
        <v>9843</v>
      </c>
      <c r="K143" s="70">
        <v>0</v>
      </c>
      <c r="L143" s="83">
        <v>1</v>
      </c>
      <c r="M143" s="83" t="b">
        <v>1</v>
      </c>
      <c r="N143" s="70">
        <v>16800</v>
      </c>
      <c r="O143" s="70">
        <v>0</v>
      </c>
      <c r="P143" s="70">
        <v>4</v>
      </c>
      <c r="Q143" s="70" t="s">
        <v>38</v>
      </c>
      <c r="R143" s="133" t="s">
        <v>9844</v>
      </c>
      <c r="S143" s="110" t="s">
        <v>176</v>
      </c>
      <c r="T143" s="70">
        <v>200000</v>
      </c>
    </row>
    <row r="144" spans="1:34" ht="27" x14ac:dyDescent="0.15">
      <c r="A144" s="70">
        <v>102106</v>
      </c>
      <c r="B144" s="71" t="s">
        <v>9845</v>
      </c>
      <c r="C144" s="70" t="s">
        <v>33</v>
      </c>
      <c r="D144" s="70">
        <v>2</v>
      </c>
      <c r="E144" s="70" t="s">
        <v>134</v>
      </c>
      <c r="F144" s="70"/>
      <c r="G144" s="70">
        <v>1</v>
      </c>
      <c r="H144" s="83">
        <v>3</v>
      </c>
      <c r="I144" s="70" t="s">
        <v>70</v>
      </c>
      <c r="J144" s="70" t="s">
        <v>9846</v>
      </c>
      <c r="K144" s="70">
        <v>0</v>
      </c>
      <c r="L144" s="83">
        <v>1</v>
      </c>
      <c r="M144" s="83" t="b">
        <v>1</v>
      </c>
      <c r="N144" s="70">
        <v>16800</v>
      </c>
      <c r="O144" s="70">
        <v>0</v>
      </c>
      <c r="P144" s="70">
        <v>4</v>
      </c>
      <c r="Q144" s="70" t="s">
        <v>38</v>
      </c>
      <c r="R144" s="133" t="s">
        <v>9847</v>
      </c>
      <c r="S144" s="110" t="s">
        <v>251</v>
      </c>
      <c r="T144" s="70">
        <v>200000</v>
      </c>
    </row>
    <row r="145" spans="1:20" ht="27" x14ac:dyDescent="0.15">
      <c r="A145" s="70">
        <v>104006</v>
      </c>
      <c r="B145" s="71" t="s">
        <v>9848</v>
      </c>
      <c r="C145" s="70" t="s">
        <v>33</v>
      </c>
      <c r="D145" s="70">
        <v>4</v>
      </c>
      <c r="E145" s="70" t="s">
        <v>447</v>
      </c>
      <c r="F145" s="70"/>
      <c r="G145" s="70">
        <v>1</v>
      </c>
      <c r="H145" s="83">
        <v>3</v>
      </c>
      <c r="I145" s="70" t="s">
        <v>70</v>
      </c>
      <c r="J145" s="70" t="s">
        <v>9849</v>
      </c>
      <c r="K145" s="70">
        <v>0</v>
      </c>
      <c r="L145" s="83">
        <v>1</v>
      </c>
      <c r="M145" s="83" t="b">
        <v>1</v>
      </c>
      <c r="N145" s="70">
        <v>16800</v>
      </c>
      <c r="O145" s="70">
        <v>0</v>
      </c>
      <c r="P145" s="70">
        <v>4</v>
      </c>
      <c r="Q145" s="70" t="s">
        <v>38</v>
      </c>
      <c r="R145" s="133" t="s">
        <v>9850</v>
      </c>
      <c r="S145" s="110" t="s">
        <v>484</v>
      </c>
      <c r="T145" s="70">
        <v>200000</v>
      </c>
    </row>
    <row r="146" spans="1:20" x14ac:dyDescent="0.15">
      <c r="A146" s="70">
        <v>104106</v>
      </c>
      <c r="B146" s="71" t="s">
        <v>9851</v>
      </c>
      <c r="C146" s="70" t="s">
        <v>33</v>
      </c>
      <c r="D146" s="70">
        <v>4</v>
      </c>
      <c r="E146" s="70" t="s">
        <v>447</v>
      </c>
      <c r="F146" s="70"/>
      <c r="G146" s="70">
        <v>1</v>
      </c>
      <c r="H146" s="83">
        <v>3</v>
      </c>
      <c r="I146" s="70" t="s">
        <v>9852</v>
      </c>
      <c r="J146" s="70" t="s">
        <v>9853</v>
      </c>
      <c r="K146" s="70">
        <v>0</v>
      </c>
      <c r="L146" s="83">
        <v>1</v>
      </c>
      <c r="M146" s="83" t="b">
        <v>1</v>
      </c>
      <c r="N146" s="70">
        <v>16800</v>
      </c>
      <c r="O146" s="70">
        <v>0</v>
      </c>
      <c r="P146" s="70">
        <v>4</v>
      </c>
      <c r="Q146" s="70" t="s">
        <v>38</v>
      </c>
      <c r="R146" s="133" t="s">
        <v>9854</v>
      </c>
      <c r="S146" s="110" t="s">
        <v>9855</v>
      </c>
      <c r="T146" s="70">
        <v>200000</v>
      </c>
    </row>
    <row r="147" spans="1:20" x14ac:dyDescent="0.15">
      <c r="A147" s="70">
        <v>105006</v>
      </c>
      <c r="B147" s="72" t="s">
        <v>9856</v>
      </c>
      <c r="C147" s="70" t="s">
        <v>33</v>
      </c>
      <c r="D147" s="70">
        <v>5</v>
      </c>
      <c r="E147" s="70" t="s">
        <v>631</v>
      </c>
      <c r="F147" s="70"/>
      <c r="G147" s="70">
        <v>1</v>
      </c>
      <c r="H147" s="83">
        <v>3</v>
      </c>
      <c r="I147" s="70" t="s">
        <v>70</v>
      </c>
      <c r="J147" s="70" t="s">
        <v>9857</v>
      </c>
      <c r="K147" s="70">
        <v>0</v>
      </c>
      <c r="L147" s="83">
        <v>1</v>
      </c>
      <c r="M147" s="83" t="b">
        <v>1</v>
      </c>
      <c r="N147" s="70">
        <v>16800</v>
      </c>
      <c r="O147" s="70">
        <v>0</v>
      </c>
      <c r="P147" s="70">
        <v>4</v>
      </c>
      <c r="Q147" s="70" t="s">
        <v>38</v>
      </c>
      <c r="R147" s="133" t="s">
        <v>9858</v>
      </c>
      <c r="S147" s="110" t="s">
        <v>671</v>
      </c>
      <c r="T147" s="70">
        <v>200000</v>
      </c>
    </row>
    <row r="148" spans="1:20" x14ac:dyDescent="0.15">
      <c r="A148" s="70">
        <v>103006</v>
      </c>
      <c r="B148" s="71" t="s">
        <v>392</v>
      </c>
      <c r="C148" s="70" t="s">
        <v>33</v>
      </c>
      <c r="D148" s="70">
        <v>3</v>
      </c>
      <c r="E148" s="70" t="s">
        <v>363</v>
      </c>
      <c r="F148" s="70"/>
      <c r="G148" s="70">
        <v>1</v>
      </c>
      <c r="H148" s="83">
        <v>3</v>
      </c>
      <c r="I148" s="70" t="s">
        <v>70</v>
      </c>
      <c r="J148" s="70" t="s">
        <v>9859</v>
      </c>
      <c r="K148" s="70">
        <v>0</v>
      </c>
      <c r="L148" s="83">
        <v>1</v>
      </c>
      <c r="M148" s="83" t="b">
        <v>1</v>
      </c>
      <c r="N148" s="70">
        <v>16800</v>
      </c>
      <c r="O148" s="70">
        <v>0</v>
      </c>
      <c r="P148" s="70">
        <v>4</v>
      </c>
      <c r="Q148" s="70" t="s">
        <v>38</v>
      </c>
      <c r="R148" s="133" t="s">
        <v>9860</v>
      </c>
      <c r="S148" s="110" t="s">
        <v>397</v>
      </c>
      <c r="T148" s="70">
        <v>200000</v>
      </c>
    </row>
    <row r="149" spans="1:20" ht="27" x14ac:dyDescent="0.15">
      <c r="A149" s="70">
        <v>106006</v>
      </c>
      <c r="B149" s="71" t="s">
        <v>9861</v>
      </c>
      <c r="C149" s="70" t="s">
        <v>33</v>
      </c>
      <c r="D149" s="70">
        <v>6</v>
      </c>
      <c r="E149" s="70" t="s">
        <v>727</v>
      </c>
      <c r="F149" s="70"/>
      <c r="G149" s="70">
        <v>1</v>
      </c>
      <c r="H149" s="83">
        <v>3</v>
      </c>
      <c r="I149" s="70" t="s">
        <v>70</v>
      </c>
      <c r="J149" s="70" t="s">
        <v>9862</v>
      </c>
      <c r="K149" s="70">
        <v>0</v>
      </c>
      <c r="L149" s="83">
        <v>1</v>
      </c>
      <c r="M149" s="83" t="b">
        <v>1</v>
      </c>
      <c r="N149" s="70">
        <v>16800</v>
      </c>
      <c r="O149" s="70">
        <v>0</v>
      </c>
      <c r="P149" s="70">
        <v>4</v>
      </c>
      <c r="Q149" s="70" t="s">
        <v>38</v>
      </c>
      <c r="R149" s="133" t="s">
        <v>9863</v>
      </c>
      <c r="S149" s="110" t="s">
        <v>761</v>
      </c>
      <c r="T149" s="70">
        <v>300000</v>
      </c>
    </row>
    <row r="150" spans="1:20" ht="27" x14ac:dyDescent="0.15">
      <c r="A150" s="70">
        <v>109006</v>
      </c>
      <c r="B150" s="71" t="s">
        <v>9864</v>
      </c>
      <c r="C150" s="70" t="s">
        <v>33</v>
      </c>
      <c r="D150" s="70">
        <v>9</v>
      </c>
      <c r="E150" s="70" t="s">
        <v>812</v>
      </c>
      <c r="F150" s="70"/>
      <c r="G150" s="70">
        <v>1</v>
      </c>
      <c r="H150" s="83">
        <v>3</v>
      </c>
      <c r="I150" s="70" t="s">
        <v>70</v>
      </c>
      <c r="J150" s="70" t="s">
        <v>1782</v>
      </c>
      <c r="K150" s="70">
        <v>0</v>
      </c>
      <c r="L150" s="83">
        <v>1</v>
      </c>
      <c r="M150" s="83" t="b">
        <v>1</v>
      </c>
      <c r="N150" s="70">
        <v>16800</v>
      </c>
      <c r="O150" s="70">
        <v>0</v>
      </c>
      <c r="P150" s="70">
        <v>4</v>
      </c>
      <c r="Q150" s="70" t="s">
        <v>38</v>
      </c>
      <c r="R150" s="133" t="s">
        <v>9865</v>
      </c>
      <c r="S150" s="110" t="s">
        <v>840</v>
      </c>
      <c r="T150" s="70">
        <v>300000</v>
      </c>
    </row>
    <row r="151" spans="1:20" ht="27" x14ac:dyDescent="0.15">
      <c r="A151" s="70">
        <v>110006</v>
      </c>
      <c r="B151" s="71" t="s">
        <v>9866</v>
      </c>
      <c r="C151" s="70" t="s">
        <v>33</v>
      </c>
      <c r="D151" s="70">
        <v>10</v>
      </c>
      <c r="E151" s="70" t="s">
        <v>887</v>
      </c>
      <c r="F151" s="70"/>
      <c r="G151" s="70">
        <v>1</v>
      </c>
      <c r="H151" s="83">
        <v>3</v>
      </c>
      <c r="I151" s="70" t="s">
        <v>70</v>
      </c>
      <c r="J151" s="70" t="s">
        <v>9846</v>
      </c>
      <c r="K151" s="70">
        <v>0</v>
      </c>
      <c r="L151" s="83">
        <v>1</v>
      </c>
      <c r="M151" s="83" t="b">
        <v>1</v>
      </c>
      <c r="N151" s="70">
        <v>16800</v>
      </c>
      <c r="O151" s="70">
        <v>0</v>
      </c>
      <c r="P151" s="70">
        <v>4</v>
      </c>
      <c r="Q151" s="70" t="s">
        <v>38</v>
      </c>
      <c r="R151" s="133" t="s">
        <v>9867</v>
      </c>
      <c r="S151" s="110" t="s">
        <v>921</v>
      </c>
      <c r="T151" s="70">
        <v>300000</v>
      </c>
    </row>
    <row r="152" spans="1:20" x14ac:dyDescent="0.15">
      <c r="A152" s="70">
        <v>200006</v>
      </c>
      <c r="B152" s="71" t="s">
        <v>9868</v>
      </c>
      <c r="C152" s="70" t="s">
        <v>1408</v>
      </c>
      <c r="D152" s="70">
        <v>0</v>
      </c>
      <c r="E152" s="70">
        <v>0</v>
      </c>
      <c r="F152" s="70"/>
      <c r="G152" s="70">
        <v>1</v>
      </c>
      <c r="H152" s="83">
        <v>4</v>
      </c>
      <c r="I152" s="70" t="s">
        <v>70</v>
      </c>
      <c r="J152" s="70" t="s">
        <v>9834</v>
      </c>
      <c r="K152" s="70">
        <v>0</v>
      </c>
      <c r="L152" s="83">
        <v>1</v>
      </c>
      <c r="M152" s="83" t="b">
        <v>1</v>
      </c>
      <c r="N152" s="70">
        <v>15000</v>
      </c>
      <c r="O152" s="70">
        <v>0</v>
      </c>
      <c r="P152" s="70">
        <v>4</v>
      </c>
      <c r="Q152" s="70" t="s">
        <v>38</v>
      </c>
      <c r="R152" s="133" t="s">
        <v>9869</v>
      </c>
      <c r="S152" s="110" t="s">
        <v>1445</v>
      </c>
      <c r="T152" s="70">
        <v>300000</v>
      </c>
    </row>
    <row r="153" spans="1:20" x14ac:dyDescent="0.15">
      <c r="A153" s="70">
        <v>300006</v>
      </c>
      <c r="B153" s="71" t="s">
        <v>9870</v>
      </c>
      <c r="C153" s="70" t="s">
        <v>1508</v>
      </c>
      <c r="D153" s="70">
        <v>0</v>
      </c>
      <c r="E153" s="70">
        <v>0</v>
      </c>
      <c r="F153" s="70"/>
      <c r="G153" s="70">
        <v>1</v>
      </c>
      <c r="H153" s="83">
        <v>4</v>
      </c>
      <c r="I153" s="70" t="s">
        <v>70</v>
      </c>
      <c r="J153" s="70" t="s">
        <v>9871</v>
      </c>
      <c r="K153" s="70">
        <v>0</v>
      </c>
      <c r="L153" s="83">
        <v>1</v>
      </c>
      <c r="M153" s="83" t="b">
        <v>1</v>
      </c>
      <c r="N153" s="70">
        <v>14700</v>
      </c>
      <c r="O153" s="70">
        <v>0</v>
      </c>
      <c r="P153" s="70">
        <v>4</v>
      </c>
      <c r="Q153" s="70" t="s">
        <v>38</v>
      </c>
      <c r="R153" s="133" t="s">
        <v>9872</v>
      </c>
      <c r="S153" s="110" t="s">
        <v>1542</v>
      </c>
      <c r="T153" s="70">
        <v>300000</v>
      </c>
    </row>
    <row r="154" spans="1:20" x14ac:dyDescent="0.15">
      <c r="A154" s="70">
        <v>400006</v>
      </c>
      <c r="B154" s="71" t="s">
        <v>9873</v>
      </c>
      <c r="C154" s="70" t="s">
        <v>1594</v>
      </c>
      <c r="D154" s="70">
        <v>0</v>
      </c>
      <c r="E154" s="70">
        <v>0</v>
      </c>
      <c r="F154" s="70"/>
      <c r="G154" s="70">
        <v>1</v>
      </c>
      <c r="H154" s="83">
        <v>4</v>
      </c>
      <c r="I154" s="70" t="s">
        <v>70</v>
      </c>
      <c r="J154" s="70" t="s">
        <v>9874</v>
      </c>
      <c r="K154" s="70">
        <v>0</v>
      </c>
      <c r="L154" s="83">
        <v>1</v>
      </c>
      <c r="M154" s="83" t="b">
        <v>1</v>
      </c>
      <c r="N154" s="70">
        <v>16500</v>
      </c>
      <c r="O154" s="70">
        <v>0</v>
      </c>
      <c r="P154" s="70">
        <v>4</v>
      </c>
      <c r="Q154" s="70" t="s">
        <v>38</v>
      </c>
      <c r="R154" s="133" t="s">
        <v>9875</v>
      </c>
      <c r="S154" s="110" t="s">
        <v>1624</v>
      </c>
      <c r="T154" s="70">
        <v>300000</v>
      </c>
    </row>
    <row r="155" spans="1:20" ht="27" x14ac:dyDescent="0.15">
      <c r="A155" s="70">
        <v>500006</v>
      </c>
      <c r="B155" s="71" t="s">
        <v>9876</v>
      </c>
      <c r="C155" s="70" t="s">
        <v>1672</v>
      </c>
      <c r="D155" s="70">
        <v>0</v>
      </c>
      <c r="E155" s="70">
        <v>0</v>
      </c>
      <c r="F155" s="70"/>
      <c r="G155" s="70">
        <v>1</v>
      </c>
      <c r="H155" s="83">
        <v>4</v>
      </c>
      <c r="I155" s="70" t="s">
        <v>70</v>
      </c>
      <c r="J155" s="70" t="s">
        <v>9877</v>
      </c>
      <c r="K155" s="70">
        <v>0</v>
      </c>
      <c r="L155" s="83">
        <v>1</v>
      </c>
      <c r="M155" s="83" t="b">
        <v>1</v>
      </c>
      <c r="N155" s="70">
        <v>17500</v>
      </c>
      <c r="O155" s="70">
        <v>0</v>
      </c>
      <c r="P155" s="70">
        <v>4</v>
      </c>
      <c r="Q155" s="70" t="s">
        <v>38</v>
      </c>
      <c r="R155" s="133" t="s">
        <v>9878</v>
      </c>
      <c r="S155" s="110" t="s">
        <v>1700</v>
      </c>
      <c r="T155" s="70">
        <v>300000</v>
      </c>
    </row>
    <row r="156" spans="1:20" x14ac:dyDescent="0.15">
      <c r="A156" s="70">
        <v>600006</v>
      </c>
      <c r="B156" s="71" t="s">
        <v>9879</v>
      </c>
      <c r="C156" s="70" t="s">
        <v>1746</v>
      </c>
      <c r="D156" s="70">
        <v>0</v>
      </c>
      <c r="E156" s="70">
        <v>0</v>
      </c>
      <c r="F156" s="70"/>
      <c r="G156" s="70">
        <v>1</v>
      </c>
      <c r="H156" s="83">
        <v>2</v>
      </c>
      <c r="I156" s="70" t="s">
        <v>70</v>
      </c>
      <c r="J156" s="70" t="s">
        <v>9880</v>
      </c>
      <c r="K156" s="70">
        <v>0</v>
      </c>
      <c r="L156" s="83">
        <v>1</v>
      </c>
      <c r="M156" s="83" t="b">
        <v>1</v>
      </c>
      <c r="N156" s="70">
        <v>16600</v>
      </c>
      <c r="O156" s="70">
        <v>0</v>
      </c>
      <c r="P156" s="70">
        <v>4</v>
      </c>
      <c r="Q156" s="70" t="s">
        <v>38</v>
      </c>
      <c r="R156" s="133" t="s">
        <v>1952</v>
      </c>
      <c r="S156" s="110" t="s">
        <v>1779</v>
      </c>
      <c r="T156" s="70">
        <v>300000</v>
      </c>
    </row>
    <row r="157" spans="1:20" x14ac:dyDescent="0.15">
      <c r="A157" s="70">
        <v>700006</v>
      </c>
      <c r="B157" s="71" t="s">
        <v>9881</v>
      </c>
      <c r="C157" s="70" t="s">
        <v>1832</v>
      </c>
      <c r="D157" s="70">
        <v>0</v>
      </c>
      <c r="E157" s="70">
        <v>0</v>
      </c>
      <c r="F157" s="70"/>
      <c r="G157" s="70">
        <v>1</v>
      </c>
      <c r="H157" s="83">
        <v>2</v>
      </c>
      <c r="I157" s="70" t="s">
        <v>70</v>
      </c>
      <c r="J157" s="70" t="s">
        <v>9882</v>
      </c>
      <c r="K157" s="70">
        <v>0</v>
      </c>
      <c r="L157" s="83">
        <v>1</v>
      </c>
      <c r="M157" s="83" t="b">
        <v>1</v>
      </c>
      <c r="N157" s="70">
        <v>15430</v>
      </c>
      <c r="O157" s="70">
        <v>0</v>
      </c>
      <c r="P157" s="70">
        <v>4</v>
      </c>
      <c r="Q157" s="70" t="s">
        <v>38</v>
      </c>
      <c r="R157" s="133" t="s">
        <v>9883</v>
      </c>
      <c r="S157" s="110" t="s">
        <v>1869</v>
      </c>
      <c r="T157" s="70">
        <v>300000</v>
      </c>
    </row>
    <row r="158" spans="1:20" x14ac:dyDescent="0.15">
      <c r="A158" s="70">
        <v>800006</v>
      </c>
      <c r="B158" s="71" t="s">
        <v>1888</v>
      </c>
      <c r="C158" s="70" t="s">
        <v>1908</v>
      </c>
      <c r="D158" s="70">
        <v>0</v>
      </c>
      <c r="E158" s="70">
        <v>0</v>
      </c>
      <c r="F158" s="70"/>
      <c r="G158" s="70">
        <v>1</v>
      </c>
      <c r="H158" s="83">
        <v>2</v>
      </c>
      <c r="I158" s="70" t="s">
        <v>70</v>
      </c>
      <c r="J158" s="70" t="s">
        <v>9884</v>
      </c>
      <c r="K158" s="70">
        <v>0</v>
      </c>
      <c r="L158" s="83">
        <v>1</v>
      </c>
      <c r="M158" s="83" t="b">
        <v>1</v>
      </c>
      <c r="N158" s="70">
        <v>17700</v>
      </c>
      <c r="O158" s="70">
        <v>0</v>
      </c>
      <c r="P158" s="70">
        <v>4</v>
      </c>
      <c r="Q158" s="70" t="s">
        <v>38</v>
      </c>
      <c r="R158" s="133" t="s">
        <v>1891</v>
      </c>
      <c r="S158" s="110" t="s">
        <v>1942</v>
      </c>
      <c r="T158" s="70">
        <v>200000</v>
      </c>
    </row>
    <row r="159" spans="1:20" x14ac:dyDescent="0.15">
      <c r="A159" s="70">
        <v>101007</v>
      </c>
      <c r="B159" s="72" t="s">
        <v>81</v>
      </c>
      <c r="C159" s="70" t="s">
        <v>33</v>
      </c>
      <c r="D159" s="70">
        <v>1</v>
      </c>
      <c r="E159" s="70" t="s">
        <v>34</v>
      </c>
      <c r="F159" s="70"/>
      <c r="G159" s="70">
        <v>6</v>
      </c>
      <c r="H159" s="83">
        <v>3</v>
      </c>
      <c r="I159" s="83">
        <v>6</v>
      </c>
      <c r="J159" s="70" t="s">
        <v>9885</v>
      </c>
      <c r="K159" s="70">
        <v>0</v>
      </c>
      <c r="L159" s="83">
        <v>1</v>
      </c>
      <c r="M159" s="83" t="b">
        <v>0</v>
      </c>
      <c r="N159" s="70">
        <v>-1</v>
      </c>
      <c r="O159" s="70">
        <v>0</v>
      </c>
      <c r="P159" s="70">
        <v>5</v>
      </c>
      <c r="Q159" s="70" t="s">
        <v>38</v>
      </c>
      <c r="R159" s="133" t="s">
        <v>9886</v>
      </c>
      <c r="S159" s="110" t="s">
        <v>86</v>
      </c>
      <c r="T159" s="70">
        <v>100000</v>
      </c>
    </row>
    <row r="160" spans="1:20" ht="40.5" x14ac:dyDescent="0.15">
      <c r="A160" s="70">
        <v>102007</v>
      </c>
      <c r="B160" s="72" t="s">
        <v>9887</v>
      </c>
      <c r="C160" s="70" t="s">
        <v>33</v>
      </c>
      <c r="D160" s="70">
        <v>2</v>
      </c>
      <c r="E160" s="70" t="s">
        <v>134</v>
      </c>
      <c r="F160" s="70"/>
      <c r="G160" s="70">
        <v>6</v>
      </c>
      <c r="H160" s="83">
        <v>3</v>
      </c>
      <c r="I160" s="83">
        <v>6</v>
      </c>
      <c r="J160" s="70" t="s">
        <v>9888</v>
      </c>
      <c r="K160" s="70">
        <v>0</v>
      </c>
      <c r="L160" s="83">
        <v>1</v>
      </c>
      <c r="M160" s="83" t="b">
        <v>0</v>
      </c>
      <c r="N160" s="70">
        <v>-1</v>
      </c>
      <c r="O160" s="70">
        <v>0</v>
      </c>
      <c r="P160" s="70">
        <v>5</v>
      </c>
      <c r="Q160" s="70" t="s">
        <v>38</v>
      </c>
      <c r="R160" s="133" t="s">
        <v>9889</v>
      </c>
      <c r="S160" s="110" t="s">
        <v>182</v>
      </c>
      <c r="T160" s="70">
        <v>100000</v>
      </c>
    </row>
    <row r="161" spans="1:23" ht="27" x14ac:dyDescent="0.15">
      <c r="A161" s="70">
        <v>102107</v>
      </c>
      <c r="B161" s="72" t="s">
        <v>252</v>
      </c>
      <c r="C161" s="70" t="s">
        <v>33</v>
      </c>
      <c r="D161" s="70">
        <v>2</v>
      </c>
      <c r="E161" s="70" t="s">
        <v>134</v>
      </c>
      <c r="F161" s="70"/>
      <c r="G161" s="70">
        <v>6</v>
      </c>
      <c r="H161" s="83">
        <v>3</v>
      </c>
      <c r="I161" s="83">
        <v>6</v>
      </c>
      <c r="J161" s="70" t="s">
        <v>9890</v>
      </c>
      <c r="K161" s="70">
        <v>0</v>
      </c>
      <c r="L161" s="83">
        <v>1</v>
      </c>
      <c r="M161" s="83" t="b">
        <v>0</v>
      </c>
      <c r="N161" s="70">
        <v>-1</v>
      </c>
      <c r="O161" s="70">
        <v>0</v>
      </c>
      <c r="P161" s="70">
        <v>5</v>
      </c>
      <c r="Q161" s="70" t="s">
        <v>38</v>
      </c>
      <c r="R161" s="133" t="s">
        <v>9891</v>
      </c>
      <c r="S161" s="110" t="s">
        <v>257</v>
      </c>
      <c r="T161" s="70">
        <v>100000</v>
      </c>
    </row>
    <row r="162" spans="1:23" ht="27" x14ac:dyDescent="0.15">
      <c r="A162" s="70">
        <v>104007</v>
      </c>
      <c r="B162" s="72" t="s">
        <v>9892</v>
      </c>
      <c r="C162" s="70" t="s">
        <v>33</v>
      </c>
      <c r="D162" s="70">
        <v>4</v>
      </c>
      <c r="E162" s="70" t="s">
        <v>447</v>
      </c>
      <c r="F162" s="70"/>
      <c r="G162" s="70">
        <v>6</v>
      </c>
      <c r="H162" s="83">
        <v>3</v>
      </c>
      <c r="I162" s="83">
        <v>6</v>
      </c>
      <c r="J162" s="70" t="s">
        <v>9893</v>
      </c>
      <c r="K162" s="70">
        <v>0</v>
      </c>
      <c r="L162" s="83">
        <v>1</v>
      </c>
      <c r="M162" s="83" t="b">
        <v>0</v>
      </c>
      <c r="N162" s="70">
        <v>-1</v>
      </c>
      <c r="O162" s="70">
        <v>0</v>
      </c>
      <c r="P162" s="70">
        <v>5</v>
      </c>
      <c r="Q162" s="70" t="s">
        <v>38</v>
      </c>
      <c r="R162" s="133" t="s">
        <v>9894</v>
      </c>
      <c r="S162" s="110" t="s">
        <v>490</v>
      </c>
      <c r="T162" s="70">
        <v>100000</v>
      </c>
    </row>
    <row r="163" spans="1:23" ht="27" x14ac:dyDescent="0.15">
      <c r="A163" s="70">
        <v>105007</v>
      </c>
      <c r="B163" s="72" t="s">
        <v>9895</v>
      </c>
      <c r="C163" s="70" t="s">
        <v>33</v>
      </c>
      <c r="D163" s="70">
        <v>5</v>
      </c>
      <c r="E163" s="70" t="s">
        <v>631</v>
      </c>
      <c r="F163" s="70"/>
      <c r="G163" s="70">
        <v>6</v>
      </c>
      <c r="H163" s="83">
        <v>3</v>
      </c>
      <c r="I163" s="83">
        <v>6</v>
      </c>
      <c r="J163" s="70" t="s">
        <v>9896</v>
      </c>
      <c r="K163" s="70">
        <v>0</v>
      </c>
      <c r="L163" s="83">
        <v>1</v>
      </c>
      <c r="M163" s="83" t="b">
        <v>0</v>
      </c>
      <c r="N163" s="70">
        <v>-1</v>
      </c>
      <c r="O163" s="70">
        <v>0</v>
      </c>
      <c r="P163" s="70">
        <v>5</v>
      </c>
      <c r="Q163" s="70" t="s">
        <v>38</v>
      </c>
      <c r="R163" s="133" t="s">
        <v>9897</v>
      </c>
      <c r="S163" s="110" t="s">
        <v>677</v>
      </c>
      <c r="T163" s="70">
        <v>100000</v>
      </c>
    </row>
    <row r="164" spans="1:23" ht="27" x14ac:dyDescent="0.15">
      <c r="A164" s="70">
        <v>106007</v>
      </c>
      <c r="B164" s="72" t="s">
        <v>9898</v>
      </c>
      <c r="C164" s="70" t="s">
        <v>33</v>
      </c>
      <c r="D164" s="70">
        <v>3</v>
      </c>
      <c r="E164" s="70" t="s">
        <v>363</v>
      </c>
      <c r="F164" s="70"/>
      <c r="G164" s="70">
        <v>6</v>
      </c>
      <c r="H164" s="83">
        <v>3</v>
      </c>
      <c r="I164" s="83">
        <v>6</v>
      </c>
      <c r="J164" s="70" t="s">
        <v>9899</v>
      </c>
      <c r="K164" s="70">
        <v>0</v>
      </c>
      <c r="L164" s="83">
        <v>1</v>
      </c>
      <c r="M164" s="83" t="b">
        <v>0</v>
      </c>
      <c r="N164" s="70">
        <v>-1</v>
      </c>
      <c r="O164" s="70">
        <v>0</v>
      </c>
      <c r="P164" s="70">
        <v>5</v>
      </c>
      <c r="Q164" s="70" t="s">
        <v>38</v>
      </c>
      <c r="R164" s="133" t="s">
        <v>9900</v>
      </c>
      <c r="S164" s="110" t="s">
        <v>767</v>
      </c>
      <c r="T164" s="70">
        <v>100000</v>
      </c>
    </row>
    <row r="165" spans="1:23" x14ac:dyDescent="0.15">
      <c r="A165" s="70">
        <v>103007</v>
      </c>
      <c r="B165" s="72" t="s">
        <v>9901</v>
      </c>
      <c r="C165" s="70" t="s">
        <v>33</v>
      </c>
      <c r="D165" s="70">
        <v>6</v>
      </c>
      <c r="E165" s="70" t="s">
        <v>727</v>
      </c>
      <c r="F165" s="70"/>
      <c r="G165" s="70">
        <v>6</v>
      </c>
      <c r="H165" s="83">
        <v>3</v>
      </c>
      <c r="I165" s="83">
        <v>6</v>
      </c>
      <c r="J165" s="70" t="s">
        <v>612</v>
      </c>
      <c r="K165" s="70">
        <v>0</v>
      </c>
      <c r="L165" s="83">
        <v>1</v>
      </c>
      <c r="M165" s="83" t="b">
        <v>0</v>
      </c>
      <c r="N165" s="70">
        <v>-1</v>
      </c>
      <c r="O165" s="70">
        <v>0</v>
      </c>
      <c r="P165" s="70">
        <v>5</v>
      </c>
      <c r="Q165" s="70" t="s">
        <v>38</v>
      </c>
      <c r="R165" s="133" t="s">
        <v>9902</v>
      </c>
      <c r="S165" s="110" t="s">
        <v>403</v>
      </c>
      <c r="T165" s="70">
        <v>100000</v>
      </c>
    </row>
    <row r="166" spans="1:23" ht="27" x14ac:dyDescent="0.15">
      <c r="A166" s="70">
        <v>109007</v>
      </c>
      <c r="B166" s="72" t="s">
        <v>9903</v>
      </c>
      <c r="C166" s="70" t="s">
        <v>33</v>
      </c>
      <c r="D166" s="70">
        <v>9</v>
      </c>
      <c r="E166" s="70" t="s">
        <v>812</v>
      </c>
      <c r="F166" s="70"/>
      <c r="G166" s="70">
        <v>6</v>
      </c>
      <c r="H166" s="83">
        <v>3</v>
      </c>
      <c r="I166" s="83">
        <v>6</v>
      </c>
      <c r="J166" s="70" t="s">
        <v>9904</v>
      </c>
      <c r="K166" s="70">
        <v>0</v>
      </c>
      <c r="L166" s="83">
        <v>1</v>
      </c>
      <c r="M166" s="83" t="b">
        <v>0</v>
      </c>
      <c r="N166" s="70">
        <v>-1</v>
      </c>
      <c r="O166" s="70">
        <v>0</v>
      </c>
      <c r="P166" s="70">
        <v>5</v>
      </c>
      <c r="Q166" s="70" t="s">
        <v>38</v>
      </c>
      <c r="R166" s="133" t="s">
        <v>9905</v>
      </c>
      <c r="S166" s="110" t="s">
        <v>845</v>
      </c>
      <c r="T166" s="70">
        <v>100000</v>
      </c>
    </row>
    <row r="167" spans="1:23" ht="40.5" x14ac:dyDescent="0.15">
      <c r="A167" s="70">
        <v>110007</v>
      </c>
      <c r="B167" s="72" t="s">
        <v>9906</v>
      </c>
      <c r="C167" s="70" t="s">
        <v>33</v>
      </c>
      <c r="D167" s="70">
        <v>10</v>
      </c>
      <c r="E167" s="70" t="s">
        <v>887</v>
      </c>
      <c r="F167" s="70"/>
      <c r="G167" s="70">
        <v>6</v>
      </c>
      <c r="H167" s="83">
        <v>3</v>
      </c>
      <c r="I167" s="83">
        <v>6</v>
      </c>
      <c r="J167" s="70" t="s">
        <v>9907</v>
      </c>
      <c r="K167" s="70">
        <v>0</v>
      </c>
      <c r="L167" s="83">
        <v>1</v>
      </c>
      <c r="M167" s="83" t="b">
        <v>0</v>
      </c>
      <c r="N167" s="70">
        <v>-1</v>
      </c>
      <c r="O167" s="70">
        <v>0</v>
      </c>
      <c r="P167" s="70">
        <v>5</v>
      </c>
      <c r="Q167" s="70" t="s">
        <v>38</v>
      </c>
      <c r="R167" s="133" t="s">
        <v>9908</v>
      </c>
      <c r="S167" s="110" t="s">
        <v>927</v>
      </c>
      <c r="T167" s="70">
        <v>100000</v>
      </c>
    </row>
    <row r="168" spans="1:23" s="9" customFormat="1" x14ac:dyDescent="0.15">
      <c r="A168" s="70">
        <v>102908</v>
      </c>
      <c r="B168" s="72" t="s">
        <v>9909</v>
      </c>
      <c r="C168" s="70" t="s">
        <v>33</v>
      </c>
      <c r="D168" s="70">
        <v>2</v>
      </c>
      <c r="E168" s="70" t="s">
        <v>134</v>
      </c>
      <c r="F168" s="70"/>
      <c r="G168" s="70">
        <v>7</v>
      </c>
      <c r="H168" s="83">
        <v>3</v>
      </c>
      <c r="I168" s="83">
        <v>7</v>
      </c>
      <c r="J168" s="70" t="s">
        <v>9910</v>
      </c>
      <c r="K168" s="70">
        <v>0</v>
      </c>
      <c r="L168" s="83">
        <v>1</v>
      </c>
      <c r="M168" s="83" t="b">
        <v>0</v>
      </c>
      <c r="N168" s="70">
        <v>-1</v>
      </c>
      <c r="O168" s="70">
        <v>0</v>
      </c>
      <c r="P168" s="70">
        <v>0</v>
      </c>
      <c r="Q168" s="70" t="s">
        <v>38</v>
      </c>
      <c r="R168" s="72" t="s">
        <v>9909</v>
      </c>
      <c r="S168" s="110" t="s">
        <v>9911</v>
      </c>
      <c r="T168" s="70">
        <v>100000</v>
      </c>
      <c r="W168"/>
    </row>
    <row r="169" spans="1:23" s="9" customFormat="1" x14ac:dyDescent="0.15">
      <c r="A169" s="70">
        <v>200908</v>
      </c>
      <c r="B169" s="72" t="s">
        <v>9912</v>
      </c>
      <c r="C169" s="70" t="s">
        <v>1408</v>
      </c>
      <c r="D169" s="70">
        <v>0</v>
      </c>
      <c r="E169" s="70">
        <v>0</v>
      </c>
      <c r="F169" s="70"/>
      <c r="G169" s="70">
        <v>7</v>
      </c>
      <c r="H169" s="83">
        <v>4</v>
      </c>
      <c r="I169" s="83">
        <v>7</v>
      </c>
      <c r="J169" s="70" t="s">
        <v>9913</v>
      </c>
      <c r="K169" s="70">
        <v>0</v>
      </c>
      <c r="L169" s="83">
        <v>1</v>
      </c>
      <c r="M169" s="83" t="b">
        <v>0</v>
      </c>
      <c r="N169" s="70">
        <v>-1</v>
      </c>
      <c r="O169" s="70">
        <v>0</v>
      </c>
      <c r="P169" s="70">
        <v>0</v>
      </c>
      <c r="Q169" s="70" t="s">
        <v>38</v>
      </c>
      <c r="R169" s="72" t="s">
        <v>9912</v>
      </c>
      <c r="S169" s="110" t="s">
        <v>9914</v>
      </c>
      <c r="T169" s="70">
        <v>100000</v>
      </c>
      <c r="W169"/>
    </row>
    <row r="170" spans="1:23" s="9" customFormat="1" x14ac:dyDescent="0.15">
      <c r="A170" s="70">
        <v>300908</v>
      </c>
      <c r="B170" s="72" t="s">
        <v>9915</v>
      </c>
      <c r="C170" s="70" t="s">
        <v>1508</v>
      </c>
      <c r="D170" s="70">
        <v>0</v>
      </c>
      <c r="E170" s="70">
        <v>0</v>
      </c>
      <c r="F170" s="70"/>
      <c r="G170" s="70">
        <v>7</v>
      </c>
      <c r="H170" s="83">
        <v>4</v>
      </c>
      <c r="I170" s="70">
        <v>7</v>
      </c>
      <c r="J170" s="70" t="s">
        <v>9916</v>
      </c>
      <c r="K170" s="70">
        <v>0</v>
      </c>
      <c r="L170" s="70">
        <v>1</v>
      </c>
      <c r="M170" s="83" t="b">
        <v>0</v>
      </c>
      <c r="N170" s="70">
        <v>-1</v>
      </c>
      <c r="O170" s="70">
        <v>0</v>
      </c>
      <c r="P170" s="70">
        <v>0</v>
      </c>
      <c r="Q170" s="70" t="s">
        <v>38</v>
      </c>
      <c r="R170" s="72" t="s">
        <v>9915</v>
      </c>
      <c r="S170" s="110" t="s">
        <v>9917</v>
      </c>
      <c r="T170" s="70">
        <v>100000</v>
      </c>
      <c r="W170"/>
    </row>
    <row r="171" spans="1:23" s="9" customFormat="1" x14ac:dyDescent="0.15">
      <c r="A171" s="70">
        <v>400908</v>
      </c>
      <c r="B171" s="72" t="s">
        <v>9918</v>
      </c>
      <c r="C171" s="70" t="s">
        <v>1594</v>
      </c>
      <c r="D171" s="70">
        <v>0</v>
      </c>
      <c r="E171" s="70">
        <v>0</v>
      </c>
      <c r="F171" s="70"/>
      <c r="G171" s="70">
        <v>7</v>
      </c>
      <c r="H171" s="83">
        <v>4</v>
      </c>
      <c r="I171" s="83">
        <v>7</v>
      </c>
      <c r="J171" s="70" t="s">
        <v>9919</v>
      </c>
      <c r="K171" s="70">
        <v>0</v>
      </c>
      <c r="L171" s="83">
        <v>1</v>
      </c>
      <c r="M171" s="83" t="b">
        <v>0</v>
      </c>
      <c r="N171" s="70">
        <v>-1</v>
      </c>
      <c r="O171" s="70">
        <v>0</v>
      </c>
      <c r="P171" s="70">
        <v>0</v>
      </c>
      <c r="Q171" s="70" t="s">
        <v>38</v>
      </c>
      <c r="R171" s="72" t="s">
        <v>9918</v>
      </c>
      <c r="S171" s="110" t="s">
        <v>9920</v>
      </c>
      <c r="T171" s="70">
        <v>100000</v>
      </c>
      <c r="W171"/>
    </row>
    <row r="172" spans="1:23" s="9" customFormat="1" x14ac:dyDescent="0.15">
      <c r="A172" s="70">
        <v>500908</v>
      </c>
      <c r="B172" s="72" t="s">
        <v>9921</v>
      </c>
      <c r="C172" s="70" t="s">
        <v>1672</v>
      </c>
      <c r="D172" s="70">
        <v>0</v>
      </c>
      <c r="E172" s="70">
        <v>0</v>
      </c>
      <c r="F172" s="70"/>
      <c r="G172" s="70">
        <v>7</v>
      </c>
      <c r="H172" s="83">
        <v>4</v>
      </c>
      <c r="I172" s="83">
        <v>7</v>
      </c>
      <c r="J172" s="70" t="s">
        <v>9922</v>
      </c>
      <c r="K172" s="70">
        <v>0</v>
      </c>
      <c r="L172" s="83">
        <v>1</v>
      </c>
      <c r="M172" s="83" t="b">
        <v>0</v>
      </c>
      <c r="N172" s="70">
        <v>-1</v>
      </c>
      <c r="O172" s="70">
        <v>0</v>
      </c>
      <c r="P172" s="70">
        <v>0</v>
      </c>
      <c r="Q172" s="70" t="s">
        <v>38</v>
      </c>
      <c r="R172" s="72" t="s">
        <v>9921</v>
      </c>
      <c r="S172" s="110" t="s">
        <v>9923</v>
      </c>
      <c r="T172" s="70">
        <v>100000</v>
      </c>
      <c r="W172"/>
    </row>
    <row r="173" spans="1:23" s="9" customFormat="1" x14ac:dyDescent="0.15">
      <c r="A173" s="70">
        <v>600908</v>
      </c>
      <c r="B173" s="72" t="s">
        <v>9924</v>
      </c>
      <c r="C173" s="70" t="s">
        <v>1746</v>
      </c>
      <c r="D173" s="70">
        <v>0</v>
      </c>
      <c r="E173" s="70">
        <v>0</v>
      </c>
      <c r="F173" s="70"/>
      <c r="G173" s="70">
        <v>7</v>
      </c>
      <c r="H173" s="83">
        <v>2</v>
      </c>
      <c r="I173" s="70">
        <v>7</v>
      </c>
      <c r="J173" s="70" t="s">
        <v>9925</v>
      </c>
      <c r="K173" s="70">
        <v>0</v>
      </c>
      <c r="L173" s="70">
        <v>1</v>
      </c>
      <c r="M173" s="83" t="b">
        <v>0</v>
      </c>
      <c r="N173" s="70">
        <v>-1</v>
      </c>
      <c r="O173" s="70">
        <v>0</v>
      </c>
      <c r="P173" s="70">
        <v>0</v>
      </c>
      <c r="Q173" s="70" t="s">
        <v>38</v>
      </c>
      <c r="R173" s="72" t="s">
        <v>9924</v>
      </c>
      <c r="S173" s="110" t="s">
        <v>9926</v>
      </c>
      <c r="T173" s="70">
        <v>100000</v>
      </c>
      <c r="W173"/>
    </row>
    <row r="174" spans="1:23" s="9" customFormat="1" x14ac:dyDescent="0.15">
      <c r="A174" s="70">
        <v>700908</v>
      </c>
      <c r="B174" s="72" t="s">
        <v>9927</v>
      </c>
      <c r="C174" s="70" t="s">
        <v>1832</v>
      </c>
      <c r="D174" s="70">
        <v>0</v>
      </c>
      <c r="E174" s="70">
        <v>0</v>
      </c>
      <c r="F174" s="70"/>
      <c r="G174" s="70">
        <v>7</v>
      </c>
      <c r="H174" s="83">
        <v>2</v>
      </c>
      <c r="I174" s="70">
        <v>7</v>
      </c>
      <c r="J174" s="70" t="s">
        <v>9928</v>
      </c>
      <c r="K174" s="70">
        <v>0</v>
      </c>
      <c r="L174" s="70">
        <v>1</v>
      </c>
      <c r="M174" s="83" t="b">
        <v>0</v>
      </c>
      <c r="N174" s="70">
        <v>-1</v>
      </c>
      <c r="O174" s="70">
        <v>0</v>
      </c>
      <c r="P174" s="70">
        <v>0</v>
      </c>
      <c r="Q174" s="70" t="s">
        <v>38</v>
      </c>
      <c r="R174" s="72" t="s">
        <v>9927</v>
      </c>
      <c r="S174" s="110" t="s">
        <v>9929</v>
      </c>
      <c r="T174" s="70">
        <v>100000</v>
      </c>
      <c r="W174"/>
    </row>
    <row r="175" spans="1:23" s="9" customFormat="1" x14ac:dyDescent="0.15">
      <c r="A175" s="70">
        <v>800908</v>
      </c>
      <c r="B175" s="72" t="s">
        <v>9930</v>
      </c>
      <c r="C175" s="70" t="s">
        <v>1908</v>
      </c>
      <c r="D175" s="70">
        <v>0</v>
      </c>
      <c r="E175" s="70">
        <v>0</v>
      </c>
      <c r="F175" s="70"/>
      <c r="G175" s="70">
        <v>7</v>
      </c>
      <c r="H175" s="83">
        <v>2</v>
      </c>
      <c r="I175" s="70">
        <v>7</v>
      </c>
      <c r="J175" s="70" t="s">
        <v>9931</v>
      </c>
      <c r="K175" s="70">
        <v>0</v>
      </c>
      <c r="L175" s="70">
        <v>1</v>
      </c>
      <c r="M175" s="83" t="b">
        <v>0</v>
      </c>
      <c r="N175" s="70">
        <v>-1</v>
      </c>
      <c r="O175" s="70">
        <v>0</v>
      </c>
      <c r="P175" s="70">
        <v>0</v>
      </c>
      <c r="Q175" s="70" t="s">
        <v>38</v>
      </c>
      <c r="R175" s="72" t="s">
        <v>9930</v>
      </c>
      <c r="S175" s="110" t="s">
        <v>9932</v>
      </c>
      <c r="T175" s="70">
        <v>100000</v>
      </c>
      <c r="W175"/>
    </row>
    <row r="176" spans="1:23" x14ac:dyDescent="0.15">
      <c r="A176" s="70">
        <v>800101</v>
      </c>
      <c r="B176" s="72" t="s">
        <v>1967</v>
      </c>
      <c r="C176" s="70" t="s">
        <v>1908</v>
      </c>
      <c r="D176" s="70">
        <v>0</v>
      </c>
      <c r="E176" s="70">
        <v>0</v>
      </c>
      <c r="F176" s="70"/>
      <c r="G176" s="70">
        <v>2</v>
      </c>
      <c r="H176" s="83">
        <v>2</v>
      </c>
      <c r="I176" s="83">
        <v>3</v>
      </c>
      <c r="J176" s="70" t="s">
        <v>9933</v>
      </c>
      <c r="K176" s="70">
        <v>0</v>
      </c>
      <c r="L176" s="70">
        <v>1</v>
      </c>
      <c r="M176" s="83" t="b">
        <v>0</v>
      </c>
      <c r="N176" s="70">
        <v>-1</v>
      </c>
      <c r="O176" s="70">
        <v>0</v>
      </c>
      <c r="P176" s="70">
        <v>1</v>
      </c>
      <c r="Q176" s="70" t="s">
        <v>38</v>
      </c>
      <c r="R176" s="141" t="s">
        <v>9934</v>
      </c>
      <c r="S176" s="110" t="s">
        <v>1971</v>
      </c>
      <c r="T176" s="70">
        <v>300000</v>
      </c>
    </row>
    <row r="177" spans="1:23" x14ac:dyDescent="0.15">
      <c r="A177" s="70">
        <v>600101</v>
      </c>
      <c r="B177" s="72" t="s">
        <v>1804</v>
      </c>
      <c r="C177" s="70" t="s">
        <v>1746</v>
      </c>
      <c r="D177" s="70">
        <v>0</v>
      </c>
      <c r="E177" s="70">
        <v>0</v>
      </c>
      <c r="F177" s="83"/>
      <c r="G177" s="70">
        <v>2</v>
      </c>
      <c r="H177" s="83">
        <v>2</v>
      </c>
      <c r="I177" s="70">
        <v>3</v>
      </c>
      <c r="J177" s="70" t="s">
        <v>9935</v>
      </c>
      <c r="K177" s="70">
        <v>0</v>
      </c>
      <c r="L177" s="70">
        <v>1</v>
      </c>
      <c r="M177" s="83" t="b">
        <v>0</v>
      </c>
      <c r="N177" s="70">
        <v>-1</v>
      </c>
      <c r="O177" s="70">
        <v>0</v>
      </c>
      <c r="P177" s="70">
        <v>1</v>
      </c>
      <c r="Q177" s="70" t="s">
        <v>38</v>
      </c>
      <c r="R177" s="141" t="s">
        <v>9936</v>
      </c>
      <c r="S177" s="110" t="s">
        <v>1808</v>
      </c>
      <c r="T177" s="70">
        <v>300000</v>
      </c>
    </row>
    <row r="178" spans="1:23" x14ac:dyDescent="0.15">
      <c r="A178" s="70">
        <v>700101</v>
      </c>
      <c r="B178" s="139" t="s">
        <v>9937</v>
      </c>
      <c r="C178" s="70" t="s">
        <v>1832</v>
      </c>
      <c r="D178" s="70">
        <v>0</v>
      </c>
      <c r="E178" s="70">
        <v>0</v>
      </c>
      <c r="F178" s="83"/>
      <c r="G178" s="70">
        <v>2</v>
      </c>
      <c r="H178" s="83">
        <v>2</v>
      </c>
      <c r="I178" s="70">
        <v>3</v>
      </c>
      <c r="J178" s="70" t="s">
        <v>9938</v>
      </c>
      <c r="K178" s="70">
        <v>0</v>
      </c>
      <c r="L178" s="70">
        <v>1</v>
      </c>
      <c r="M178" s="83" t="b">
        <v>0</v>
      </c>
      <c r="N178" s="70">
        <v>-1</v>
      </c>
      <c r="O178" s="70">
        <v>0</v>
      </c>
      <c r="P178" s="70">
        <v>1</v>
      </c>
      <c r="Q178" s="70" t="s">
        <v>38</v>
      </c>
      <c r="R178" s="109" t="s">
        <v>9939</v>
      </c>
      <c r="S178" s="110" t="s">
        <v>9940</v>
      </c>
      <c r="T178" s="70">
        <v>300000</v>
      </c>
    </row>
    <row r="179" spans="1:23" x14ac:dyDescent="0.15">
      <c r="A179" s="70">
        <v>200101</v>
      </c>
      <c r="B179" s="72" t="s">
        <v>1482</v>
      </c>
      <c r="C179" s="70" t="s">
        <v>1408</v>
      </c>
      <c r="D179" s="70">
        <v>0</v>
      </c>
      <c r="E179" s="70">
        <v>0</v>
      </c>
      <c r="F179" s="83"/>
      <c r="G179" s="70">
        <v>2</v>
      </c>
      <c r="H179" s="83">
        <v>4</v>
      </c>
      <c r="I179" s="70">
        <v>3</v>
      </c>
      <c r="J179" s="70" t="s">
        <v>9941</v>
      </c>
      <c r="K179" s="70">
        <v>0</v>
      </c>
      <c r="L179" s="70">
        <v>1</v>
      </c>
      <c r="M179" s="83" t="b">
        <v>0</v>
      </c>
      <c r="N179" s="70">
        <v>-1</v>
      </c>
      <c r="O179" s="70">
        <v>0</v>
      </c>
      <c r="P179" s="70">
        <v>1</v>
      </c>
      <c r="Q179" s="70" t="s">
        <v>38</v>
      </c>
      <c r="R179" s="141" t="s">
        <v>9942</v>
      </c>
      <c r="S179" s="110" t="s">
        <v>9943</v>
      </c>
      <c r="T179" s="70">
        <v>200000</v>
      </c>
    </row>
    <row r="180" spans="1:23" x14ac:dyDescent="0.15">
      <c r="A180" s="70">
        <v>200113</v>
      </c>
      <c r="B180" s="72" t="s">
        <v>2248</v>
      </c>
      <c r="C180" s="70" t="s">
        <v>1408</v>
      </c>
      <c r="D180" s="70">
        <v>0</v>
      </c>
      <c r="E180" s="70">
        <v>0</v>
      </c>
      <c r="F180" s="83"/>
      <c r="G180" s="70">
        <v>2</v>
      </c>
      <c r="H180" s="83">
        <v>4</v>
      </c>
      <c r="I180" s="70">
        <v>4</v>
      </c>
      <c r="J180" s="70" t="s">
        <v>9944</v>
      </c>
      <c r="K180" s="70">
        <v>0</v>
      </c>
      <c r="L180" s="70">
        <v>1</v>
      </c>
      <c r="M180" s="83" t="b">
        <v>0</v>
      </c>
      <c r="N180" s="70">
        <v>-1</v>
      </c>
      <c r="O180" s="70">
        <v>0</v>
      </c>
      <c r="P180" s="70">
        <v>3</v>
      </c>
      <c r="Q180" s="70" t="s">
        <v>38</v>
      </c>
      <c r="R180" s="141" t="s">
        <v>9945</v>
      </c>
      <c r="S180" s="110" t="s">
        <v>9678</v>
      </c>
      <c r="T180" s="70">
        <v>200000</v>
      </c>
    </row>
    <row r="181" spans="1:23" x14ac:dyDescent="0.15">
      <c r="A181" s="70">
        <v>102113</v>
      </c>
      <c r="B181" s="108" t="s">
        <v>276</v>
      </c>
      <c r="C181" s="70" t="s">
        <v>33</v>
      </c>
      <c r="D181" s="70">
        <v>2</v>
      </c>
      <c r="E181" s="70" t="s">
        <v>134</v>
      </c>
      <c r="F181" s="83"/>
      <c r="G181" s="70">
        <v>6</v>
      </c>
      <c r="H181" s="83">
        <v>3</v>
      </c>
      <c r="I181" s="70">
        <v>6</v>
      </c>
      <c r="J181" s="70" t="s">
        <v>9946</v>
      </c>
      <c r="K181" s="70">
        <v>0</v>
      </c>
      <c r="L181" s="70">
        <v>1</v>
      </c>
      <c r="M181" s="83" t="b">
        <v>0</v>
      </c>
      <c r="N181" s="70">
        <v>-1</v>
      </c>
      <c r="O181" s="70">
        <v>0</v>
      </c>
      <c r="P181" s="70">
        <v>3</v>
      </c>
      <c r="Q181" s="70" t="s">
        <v>38</v>
      </c>
      <c r="R181" s="109" t="s">
        <v>278</v>
      </c>
      <c r="S181" s="110" t="s">
        <v>9947</v>
      </c>
      <c r="T181" s="70">
        <v>200000</v>
      </c>
    </row>
    <row r="182" spans="1:23" s="98" customFormat="1" x14ac:dyDescent="0.15">
      <c r="A182" s="70">
        <v>200201</v>
      </c>
      <c r="B182" s="108" t="s">
        <v>1503</v>
      </c>
      <c r="C182" s="71" t="s">
        <v>1408</v>
      </c>
      <c r="D182" s="108">
        <v>0</v>
      </c>
      <c r="E182" s="108">
        <v>0</v>
      </c>
      <c r="F182" s="83"/>
      <c r="G182" s="70">
        <v>1</v>
      </c>
      <c r="H182" s="108">
        <v>4</v>
      </c>
      <c r="I182" s="108">
        <v>1</v>
      </c>
      <c r="J182" s="70" t="s">
        <v>9948</v>
      </c>
      <c r="K182" s="108">
        <v>0</v>
      </c>
      <c r="L182" s="108">
        <v>1</v>
      </c>
      <c r="M182" s="83" t="b">
        <v>1</v>
      </c>
      <c r="N182" s="70">
        <v>5</v>
      </c>
      <c r="O182" s="70">
        <v>0</v>
      </c>
      <c r="P182" s="70">
        <v>0</v>
      </c>
      <c r="Q182" s="70" t="s">
        <v>38</v>
      </c>
      <c r="R182" s="142" t="s">
        <v>1410</v>
      </c>
      <c r="S182" s="110" t="s">
        <v>9949</v>
      </c>
      <c r="T182" s="70">
        <v>200000</v>
      </c>
      <c r="W182"/>
    </row>
    <row r="183" spans="1:23" s="98" customFormat="1" x14ac:dyDescent="0.15">
      <c r="A183" s="70">
        <v>800204</v>
      </c>
      <c r="B183" s="83" t="s">
        <v>7849</v>
      </c>
      <c r="C183" s="70" t="s">
        <v>1908</v>
      </c>
      <c r="D183" s="70">
        <v>0</v>
      </c>
      <c r="E183" s="70">
        <v>0</v>
      </c>
      <c r="F183" s="83"/>
      <c r="G183" s="70">
        <v>3</v>
      </c>
      <c r="H183" s="83">
        <v>2</v>
      </c>
      <c r="I183" s="70">
        <v>3</v>
      </c>
      <c r="J183" s="70" t="s">
        <v>9950</v>
      </c>
      <c r="K183" s="108">
        <v>0</v>
      </c>
      <c r="L183" s="108">
        <v>1</v>
      </c>
      <c r="M183" s="83" t="b">
        <v>0</v>
      </c>
      <c r="N183" s="70">
        <v>-1</v>
      </c>
      <c r="O183" s="70">
        <v>0</v>
      </c>
      <c r="P183" s="70">
        <v>4</v>
      </c>
      <c r="Q183" s="70" t="s">
        <v>38</v>
      </c>
      <c r="R183" s="142" t="s">
        <v>9951</v>
      </c>
      <c r="S183" s="110" t="s">
        <v>1984</v>
      </c>
      <c r="T183" s="70">
        <v>200000</v>
      </c>
      <c r="W183"/>
    </row>
    <row r="184" spans="1:23" ht="27" x14ac:dyDescent="0.15">
      <c r="A184" s="70">
        <v>102207</v>
      </c>
      <c r="B184" s="83" t="s">
        <v>307</v>
      </c>
      <c r="C184" s="70" t="s">
        <v>33</v>
      </c>
      <c r="D184" s="83">
        <v>2</v>
      </c>
      <c r="E184" s="83" t="s">
        <v>134</v>
      </c>
      <c r="F184" s="83"/>
      <c r="G184" s="70">
        <v>7</v>
      </c>
      <c r="H184" s="83">
        <v>3</v>
      </c>
      <c r="I184" s="70">
        <v>7</v>
      </c>
      <c r="J184" s="70" t="s">
        <v>9952</v>
      </c>
      <c r="K184" s="70">
        <v>0</v>
      </c>
      <c r="L184" s="70">
        <v>1</v>
      </c>
      <c r="M184" s="83" t="b">
        <v>0</v>
      </c>
      <c r="N184" s="70">
        <v>-1</v>
      </c>
      <c r="O184" s="70">
        <v>0</v>
      </c>
      <c r="P184" s="70">
        <v>5</v>
      </c>
      <c r="Q184" s="70" t="s">
        <v>38</v>
      </c>
      <c r="R184" s="109" t="s">
        <v>310</v>
      </c>
      <c r="S184" s="110" t="s">
        <v>312</v>
      </c>
      <c r="T184" s="70">
        <v>200000</v>
      </c>
    </row>
    <row r="185" spans="1:23" ht="14.25" x14ac:dyDescent="0.15">
      <c r="A185" s="83">
        <v>800105</v>
      </c>
      <c r="B185" s="140" t="s">
        <v>1882</v>
      </c>
      <c r="C185" s="83" t="s">
        <v>1908</v>
      </c>
      <c r="D185" s="83">
        <v>0</v>
      </c>
      <c r="E185" s="83">
        <v>0</v>
      </c>
      <c r="F185" s="83"/>
      <c r="G185" s="83">
        <v>5</v>
      </c>
      <c r="H185" s="83">
        <v>4</v>
      </c>
      <c r="I185" s="83">
        <v>5</v>
      </c>
      <c r="J185" s="83" t="s">
        <v>9953</v>
      </c>
      <c r="K185" s="83">
        <v>0</v>
      </c>
      <c r="L185" s="83">
        <v>1</v>
      </c>
      <c r="M185" s="83" t="b">
        <v>0</v>
      </c>
      <c r="N185" s="83">
        <v>-1</v>
      </c>
      <c r="O185" s="83">
        <v>0</v>
      </c>
      <c r="P185" s="83">
        <v>4</v>
      </c>
      <c r="Q185" s="70" t="s">
        <v>38</v>
      </c>
      <c r="R185" s="143" t="s">
        <v>1885</v>
      </c>
      <c r="S185" s="110" t="s">
        <v>9954</v>
      </c>
      <c r="T185" s="83">
        <v>200000</v>
      </c>
    </row>
    <row r="186" spans="1:23" ht="14.25" x14ac:dyDescent="0.15">
      <c r="A186" s="83">
        <v>700105</v>
      </c>
      <c r="B186" s="140" t="s">
        <v>1870</v>
      </c>
      <c r="C186" s="83" t="s">
        <v>1832</v>
      </c>
      <c r="D186" s="83">
        <v>0</v>
      </c>
      <c r="E186" s="83">
        <v>0</v>
      </c>
      <c r="F186" s="83"/>
      <c r="G186" s="83">
        <v>5</v>
      </c>
      <c r="H186" s="83">
        <v>4</v>
      </c>
      <c r="I186" s="83">
        <v>5</v>
      </c>
      <c r="J186" s="83" t="s">
        <v>9955</v>
      </c>
      <c r="K186" s="83">
        <v>0</v>
      </c>
      <c r="L186" s="83">
        <v>1</v>
      </c>
      <c r="M186" s="83" t="b">
        <v>0</v>
      </c>
      <c r="N186" s="83">
        <v>-1</v>
      </c>
      <c r="O186" s="83">
        <v>0</v>
      </c>
      <c r="P186" s="83">
        <v>4</v>
      </c>
      <c r="Q186" s="83" t="s">
        <v>38</v>
      </c>
      <c r="R186" s="143" t="s">
        <v>9956</v>
      </c>
      <c r="S186" s="110" t="s">
        <v>9957</v>
      </c>
      <c r="T186" s="83">
        <v>200000</v>
      </c>
    </row>
    <row r="187" spans="1:23" x14ac:dyDescent="0.15">
      <c r="A187" s="83">
        <v>300105</v>
      </c>
      <c r="B187" s="83" t="s">
        <v>9958</v>
      </c>
      <c r="C187" s="83" t="s">
        <v>1508</v>
      </c>
      <c r="D187" s="83">
        <v>0</v>
      </c>
      <c r="E187" s="83">
        <v>0</v>
      </c>
      <c r="F187" s="83"/>
      <c r="G187" s="83">
        <v>5</v>
      </c>
      <c r="H187" s="83">
        <v>2</v>
      </c>
      <c r="I187" s="83">
        <v>5</v>
      </c>
      <c r="J187" s="83" t="s">
        <v>9959</v>
      </c>
      <c r="K187" s="83">
        <v>0</v>
      </c>
      <c r="L187" s="83">
        <v>1</v>
      </c>
      <c r="M187" s="83" t="b">
        <v>0</v>
      </c>
      <c r="N187" s="83">
        <v>-1</v>
      </c>
      <c r="O187" s="83">
        <v>0</v>
      </c>
      <c r="P187" s="83">
        <v>4</v>
      </c>
      <c r="Q187" s="83" t="s">
        <v>38</v>
      </c>
      <c r="R187" s="109" t="s">
        <v>9960</v>
      </c>
      <c r="S187" s="110" t="s">
        <v>2090</v>
      </c>
      <c r="T187" s="83">
        <v>200000</v>
      </c>
    </row>
    <row r="188" spans="1:23" x14ac:dyDescent="0.15">
      <c r="A188" s="83">
        <v>800205</v>
      </c>
      <c r="B188" s="83" t="s">
        <v>1931</v>
      </c>
      <c r="C188" s="83" t="s">
        <v>1908</v>
      </c>
      <c r="D188" s="83">
        <v>0</v>
      </c>
      <c r="E188" s="83">
        <v>0</v>
      </c>
      <c r="F188" s="83"/>
      <c r="G188" s="83">
        <v>5</v>
      </c>
      <c r="H188" s="83">
        <v>4</v>
      </c>
      <c r="I188" s="83">
        <v>5</v>
      </c>
      <c r="J188" s="83" t="s">
        <v>1839</v>
      </c>
      <c r="K188" s="83">
        <v>0</v>
      </c>
      <c r="L188" s="83">
        <v>1</v>
      </c>
      <c r="M188" s="83" t="b">
        <v>0</v>
      </c>
      <c r="N188" s="83">
        <v>-1</v>
      </c>
      <c r="O188" s="83">
        <v>0</v>
      </c>
      <c r="P188" s="83">
        <v>4</v>
      </c>
      <c r="Q188" s="83" t="s">
        <v>38</v>
      </c>
      <c r="R188" s="144" t="s">
        <v>1934</v>
      </c>
      <c r="S188" s="110" t="s">
        <v>9961</v>
      </c>
      <c r="T188" s="83">
        <v>200000</v>
      </c>
    </row>
  </sheetData>
  <autoFilter ref="A1:A188" xr:uid="{00000000-0009-0000-0000-000012000000}"/>
  <phoneticPr fontId="45" type="noConversion"/>
  <conditionalFormatting sqref="A1:A1048576">
    <cfRule type="duplicateValues" dxfId="24" priority="25"/>
  </conditionalFormatting>
  <conditionalFormatting sqref="X1:X139">
    <cfRule type="duplicateValues" dxfId="23" priority="17"/>
  </conditionalFormatting>
  <conditionalFormatting sqref="X3">
    <cfRule type="duplicateValues" dxfId="22" priority="24"/>
  </conditionalFormatting>
  <conditionalFormatting sqref="X10">
    <cfRule type="duplicateValues" dxfId="21" priority="22"/>
  </conditionalFormatting>
  <conditionalFormatting sqref="X15">
    <cfRule type="duplicateValues" dxfId="20" priority="18"/>
  </conditionalFormatting>
  <conditionalFormatting sqref="X40">
    <cfRule type="duplicateValues" dxfId="19" priority="21"/>
  </conditionalFormatting>
  <conditionalFormatting sqref="X41:X60 X16:X39 X11:X14 X1:X9">
    <cfRule type="duplicateValues" dxfId="18" priority="23"/>
  </conditionalFormatting>
  <conditionalFormatting sqref="X71">
    <cfRule type="duplicateValues" dxfId="17" priority="3"/>
  </conditionalFormatting>
  <conditionalFormatting sqref="X72:X75 X16:X70 X1:X14">
    <cfRule type="duplicateValues" dxfId="16" priority="20"/>
  </conditionalFormatting>
  <conditionalFormatting sqref="Y8">
    <cfRule type="duplicateValues" dxfId="15" priority="11"/>
    <cfRule type="duplicateValues" dxfId="14" priority="12"/>
  </conditionalFormatting>
  <conditionalFormatting sqref="Y15">
    <cfRule type="duplicateValues" dxfId="13" priority="13"/>
    <cfRule type="duplicateValues" dxfId="12" priority="14"/>
  </conditionalFormatting>
  <conditionalFormatting sqref="Y25">
    <cfRule type="duplicateValues" dxfId="11" priority="9"/>
    <cfRule type="duplicateValues" dxfId="10" priority="10"/>
  </conditionalFormatting>
  <conditionalFormatting sqref="Y39">
    <cfRule type="duplicateValues" dxfId="9" priority="7"/>
    <cfRule type="duplicateValues" dxfId="8" priority="8"/>
  </conditionalFormatting>
  <conditionalFormatting sqref="Y53">
    <cfRule type="duplicateValues" dxfId="7" priority="5"/>
    <cfRule type="duplicateValues" dxfId="6" priority="6"/>
  </conditionalFormatting>
  <conditionalFormatting sqref="Y71">
    <cfRule type="duplicateValues" dxfId="5" priority="1"/>
    <cfRule type="duplicateValues" dxfId="4" priority="2"/>
  </conditionalFormatting>
  <conditionalFormatting sqref="Y72:Y75 Y1:Y7 Y16:Y24 Y54:Y70 Y9:Y14 Y27:Y38 Y40:Y52">
    <cfRule type="duplicateValues" dxfId="3" priority="15"/>
    <cfRule type="duplicateValues" dxfId="2" priority="16"/>
  </conditionalFormatting>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X193"/>
  <sheetViews>
    <sheetView topLeftCell="A151" workbookViewId="0">
      <selection activeCell="B170" sqref="B170"/>
    </sheetView>
  </sheetViews>
  <sheetFormatPr defaultColWidth="9" defaultRowHeight="13.5" x14ac:dyDescent="0.15"/>
  <cols>
    <col min="1" max="1" width="7.75" customWidth="1"/>
    <col min="2" max="2" width="16.875" customWidth="1"/>
    <col min="3" max="3" width="6.25" customWidth="1"/>
    <col min="4" max="4" width="5.75" customWidth="1"/>
    <col min="5" max="5" width="6.25" customWidth="1"/>
    <col min="6" max="6" width="11.375" customWidth="1"/>
    <col min="7" max="7" width="40.75" customWidth="1"/>
    <col min="8" max="8" width="5.75" customWidth="1"/>
    <col min="9" max="9" width="13.5" customWidth="1"/>
    <col min="10" max="10" width="13.375" customWidth="1"/>
    <col min="11" max="11" width="15.625" customWidth="1"/>
    <col min="12" max="12" width="28.5" customWidth="1"/>
    <col min="13" max="14" width="10.625" customWidth="1"/>
    <col min="15" max="15" width="17.75" customWidth="1"/>
    <col min="16" max="16" width="8.5" customWidth="1"/>
    <col min="17" max="18" width="10.625" customWidth="1"/>
    <col min="19" max="19" width="8.5" customWidth="1"/>
    <col min="20" max="20" width="74.875" customWidth="1"/>
    <col min="21" max="21" width="13.375" style="10" customWidth="1"/>
    <col min="22" max="22" width="10.625" customWidth="1"/>
    <col min="24" max="24" width="13.375" customWidth="1"/>
  </cols>
  <sheetData>
    <row r="1" spans="1:23" s="1" customFormat="1" ht="27" x14ac:dyDescent="0.15">
      <c r="A1" s="11" t="s">
        <v>0</v>
      </c>
      <c r="B1" s="12" t="s">
        <v>1</v>
      </c>
      <c r="C1" s="11" t="s">
        <v>3</v>
      </c>
      <c r="D1" s="11" t="s">
        <v>9962</v>
      </c>
      <c r="E1" s="11" t="s">
        <v>4</v>
      </c>
      <c r="F1" s="11" t="s">
        <v>5</v>
      </c>
      <c r="G1" s="11" t="s">
        <v>6</v>
      </c>
      <c r="H1" s="11" t="s">
        <v>7</v>
      </c>
      <c r="I1" s="11" t="s">
        <v>9</v>
      </c>
      <c r="J1" s="11" t="s">
        <v>10</v>
      </c>
      <c r="K1" s="11" t="s">
        <v>11</v>
      </c>
      <c r="L1" s="11" t="s">
        <v>12</v>
      </c>
      <c r="M1" s="11" t="s">
        <v>15</v>
      </c>
      <c r="N1" s="22" t="s">
        <v>16</v>
      </c>
      <c r="O1" s="22" t="s">
        <v>17</v>
      </c>
      <c r="P1" s="11" t="s">
        <v>18</v>
      </c>
      <c r="Q1" s="11" t="s">
        <v>21</v>
      </c>
      <c r="R1" s="11" t="s">
        <v>22</v>
      </c>
      <c r="S1" s="11" t="s">
        <v>23</v>
      </c>
      <c r="T1" s="11" t="s">
        <v>24</v>
      </c>
      <c r="U1" s="11" t="s">
        <v>26</v>
      </c>
      <c r="V1" s="11" t="s">
        <v>27</v>
      </c>
      <c r="W1" s="26"/>
    </row>
    <row r="2" spans="1:23" s="2" customFormat="1" x14ac:dyDescent="0.15">
      <c r="A2" s="13">
        <v>102000</v>
      </c>
      <c r="B2" s="14" t="s">
        <v>132</v>
      </c>
      <c r="C2" s="13" t="s">
        <v>33</v>
      </c>
      <c r="D2" s="13">
        <v>2</v>
      </c>
      <c r="E2" s="13">
        <v>2</v>
      </c>
      <c r="F2" s="13" t="s">
        <v>134</v>
      </c>
      <c r="G2" s="13" t="s">
        <v>135</v>
      </c>
      <c r="H2" s="13">
        <v>1</v>
      </c>
      <c r="I2" s="13">
        <v>0</v>
      </c>
      <c r="J2" s="13">
        <v>3</v>
      </c>
      <c r="K2" s="13">
        <v>1</v>
      </c>
      <c r="L2" s="13" t="s">
        <v>1747</v>
      </c>
      <c r="M2" s="13">
        <v>0</v>
      </c>
      <c r="N2" s="23">
        <v>1</v>
      </c>
      <c r="O2" s="24" t="b">
        <v>1</v>
      </c>
      <c r="P2" s="13">
        <v>2</v>
      </c>
      <c r="Q2" s="13">
        <v>0</v>
      </c>
      <c r="R2" s="13">
        <v>1</v>
      </c>
      <c r="S2" s="13" t="s">
        <v>38</v>
      </c>
      <c r="T2" s="27" t="s">
        <v>9963</v>
      </c>
      <c r="U2" s="24" t="s">
        <v>138</v>
      </c>
      <c r="V2" s="13">
        <v>100000</v>
      </c>
      <c r="W2" s="28"/>
    </row>
    <row r="3" spans="1:23" x14ac:dyDescent="0.15">
      <c r="A3" s="15">
        <v>101001</v>
      </c>
      <c r="B3" s="16" t="s">
        <v>31</v>
      </c>
      <c r="C3" s="15" t="s">
        <v>33</v>
      </c>
      <c r="D3" s="15">
        <v>1</v>
      </c>
      <c r="E3" s="15">
        <v>1</v>
      </c>
      <c r="F3" s="15" t="s">
        <v>34</v>
      </c>
      <c r="G3" s="15"/>
      <c r="H3" s="15">
        <v>1</v>
      </c>
      <c r="I3" s="15">
        <v>1</v>
      </c>
      <c r="J3" s="25">
        <v>3</v>
      </c>
      <c r="K3" s="15" t="s">
        <v>56</v>
      </c>
      <c r="L3" s="15" t="s">
        <v>9438</v>
      </c>
      <c r="M3" s="15">
        <v>0</v>
      </c>
      <c r="N3" s="25">
        <v>1</v>
      </c>
      <c r="O3" s="25" t="b">
        <v>1</v>
      </c>
      <c r="P3" s="15">
        <v>50</v>
      </c>
      <c r="Q3" s="15">
        <v>0</v>
      </c>
      <c r="R3" s="15">
        <v>1</v>
      </c>
      <c r="S3" s="15" t="s">
        <v>38</v>
      </c>
      <c r="T3" s="29" t="s">
        <v>9964</v>
      </c>
      <c r="U3" s="25" t="s">
        <v>41</v>
      </c>
      <c r="V3" s="15">
        <v>100000</v>
      </c>
      <c r="W3" s="30"/>
    </row>
    <row r="4" spans="1:23" x14ac:dyDescent="0.15">
      <c r="A4" s="15">
        <v>102001</v>
      </c>
      <c r="B4" s="16" t="s">
        <v>139</v>
      </c>
      <c r="C4" s="15" t="s">
        <v>33</v>
      </c>
      <c r="D4" s="15">
        <v>1</v>
      </c>
      <c r="E4" s="15">
        <v>2</v>
      </c>
      <c r="F4" s="15" t="s">
        <v>134</v>
      </c>
      <c r="G4" s="15" t="s">
        <v>135</v>
      </c>
      <c r="H4" s="15">
        <v>1</v>
      </c>
      <c r="I4" s="15">
        <v>1</v>
      </c>
      <c r="J4" s="25">
        <v>3</v>
      </c>
      <c r="K4" s="15" t="s">
        <v>56</v>
      </c>
      <c r="L4" s="15" t="s">
        <v>9438</v>
      </c>
      <c r="M4" s="15">
        <v>0</v>
      </c>
      <c r="N4" s="25">
        <v>1</v>
      </c>
      <c r="O4" s="25" t="b">
        <v>1</v>
      </c>
      <c r="P4" s="15">
        <v>50</v>
      </c>
      <c r="Q4" s="15">
        <v>0</v>
      </c>
      <c r="R4" s="15">
        <v>1</v>
      </c>
      <c r="S4" s="15" t="s">
        <v>38</v>
      </c>
      <c r="T4" s="29" t="s">
        <v>9965</v>
      </c>
      <c r="U4" s="25" t="s">
        <v>143</v>
      </c>
      <c r="V4" s="15">
        <v>100000</v>
      </c>
      <c r="W4" s="30"/>
    </row>
    <row r="5" spans="1:23" x14ac:dyDescent="0.15">
      <c r="A5" s="15">
        <v>102101</v>
      </c>
      <c r="B5" s="16" t="s">
        <v>9445</v>
      </c>
      <c r="C5" s="15" t="s">
        <v>33</v>
      </c>
      <c r="D5" s="15">
        <v>1</v>
      </c>
      <c r="E5" s="15">
        <v>2</v>
      </c>
      <c r="F5" s="15" t="s">
        <v>134</v>
      </c>
      <c r="G5" s="15" t="s">
        <v>215</v>
      </c>
      <c r="H5" s="15">
        <v>1</v>
      </c>
      <c r="I5" s="15">
        <v>1</v>
      </c>
      <c r="J5" s="25">
        <v>3</v>
      </c>
      <c r="K5" s="15" t="s">
        <v>56</v>
      </c>
      <c r="L5" s="15" t="s">
        <v>9442</v>
      </c>
      <c r="M5" s="15">
        <v>0</v>
      </c>
      <c r="N5" s="25">
        <v>1</v>
      </c>
      <c r="O5" s="25" t="b">
        <v>1</v>
      </c>
      <c r="P5" s="15">
        <v>50</v>
      </c>
      <c r="Q5" s="15">
        <v>0</v>
      </c>
      <c r="R5" s="15">
        <v>1</v>
      </c>
      <c r="S5" s="15" t="s">
        <v>38</v>
      </c>
      <c r="T5" s="29" t="s">
        <v>9966</v>
      </c>
      <c r="U5" s="25" t="s">
        <v>218</v>
      </c>
      <c r="V5" s="15">
        <v>100000</v>
      </c>
      <c r="W5" s="30"/>
    </row>
    <row r="6" spans="1:23" x14ac:dyDescent="0.15">
      <c r="A6" s="15">
        <v>104001</v>
      </c>
      <c r="B6" s="16" t="s">
        <v>455</v>
      </c>
      <c r="C6" s="15" t="s">
        <v>33</v>
      </c>
      <c r="D6" s="15">
        <v>1</v>
      </c>
      <c r="E6" s="15">
        <v>4</v>
      </c>
      <c r="F6" s="15" t="s">
        <v>447</v>
      </c>
      <c r="G6" s="15" t="s">
        <v>448</v>
      </c>
      <c r="H6" s="15">
        <v>1</v>
      </c>
      <c r="I6" s="15">
        <v>1</v>
      </c>
      <c r="J6" s="25">
        <v>3</v>
      </c>
      <c r="K6" s="15" t="s">
        <v>56</v>
      </c>
      <c r="L6" s="15" t="s">
        <v>9442</v>
      </c>
      <c r="M6" s="15">
        <v>0</v>
      </c>
      <c r="N6" s="25">
        <v>1</v>
      </c>
      <c r="O6" s="25" t="b">
        <v>1</v>
      </c>
      <c r="P6" s="15">
        <v>50</v>
      </c>
      <c r="Q6" s="15">
        <v>0</v>
      </c>
      <c r="R6" s="15">
        <v>1</v>
      </c>
      <c r="S6" s="15" t="s">
        <v>38</v>
      </c>
      <c r="T6" s="29" t="s">
        <v>9967</v>
      </c>
      <c r="U6" s="25" t="s">
        <v>451</v>
      </c>
      <c r="V6" s="15">
        <v>100000</v>
      </c>
      <c r="W6" s="30"/>
    </row>
    <row r="7" spans="1:23" x14ac:dyDescent="0.15">
      <c r="A7" s="15">
        <v>104101</v>
      </c>
      <c r="B7" s="16" t="s">
        <v>9968</v>
      </c>
      <c r="C7" s="15" t="s">
        <v>33</v>
      </c>
      <c r="D7" s="15">
        <v>1</v>
      </c>
      <c r="E7" s="15">
        <v>4</v>
      </c>
      <c r="F7" s="15" t="s">
        <v>447</v>
      </c>
      <c r="G7" s="15" t="s">
        <v>520</v>
      </c>
      <c r="H7" s="15">
        <v>1</v>
      </c>
      <c r="I7" s="15">
        <v>1</v>
      </c>
      <c r="J7" s="25">
        <v>3</v>
      </c>
      <c r="K7" s="15" t="s">
        <v>56</v>
      </c>
      <c r="L7" s="15" t="s">
        <v>9442</v>
      </c>
      <c r="M7" s="15">
        <v>0</v>
      </c>
      <c r="N7" s="25">
        <v>1</v>
      </c>
      <c r="O7" s="25" t="b">
        <v>1</v>
      </c>
      <c r="P7" s="15">
        <v>50</v>
      </c>
      <c r="Q7" s="15">
        <v>0</v>
      </c>
      <c r="R7" s="15">
        <v>1</v>
      </c>
      <c r="S7" s="15" t="s">
        <v>38</v>
      </c>
      <c r="T7" s="29" t="s">
        <v>9969</v>
      </c>
      <c r="U7" s="25" t="s">
        <v>523</v>
      </c>
      <c r="V7" s="15">
        <v>100000</v>
      </c>
      <c r="W7" s="30"/>
    </row>
    <row r="8" spans="1:23" x14ac:dyDescent="0.15">
      <c r="A8" s="15">
        <v>105001</v>
      </c>
      <c r="B8" s="16" t="s">
        <v>9457</v>
      </c>
      <c r="C8" s="15" t="s">
        <v>33</v>
      </c>
      <c r="D8" s="15">
        <v>1</v>
      </c>
      <c r="E8" s="15">
        <v>5</v>
      </c>
      <c r="F8" s="15" t="s">
        <v>631</v>
      </c>
      <c r="G8" s="15" t="s">
        <v>632</v>
      </c>
      <c r="H8" s="15">
        <v>1</v>
      </c>
      <c r="I8" s="15">
        <v>1</v>
      </c>
      <c r="J8" s="25">
        <v>3</v>
      </c>
      <c r="K8" s="15" t="s">
        <v>56</v>
      </c>
      <c r="L8" s="15" t="s">
        <v>9438</v>
      </c>
      <c r="M8" s="15">
        <v>0</v>
      </c>
      <c r="N8" s="25">
        <v>1</v>
      </c>
      <c r="O8" s="25" t="b">
        <v>1</v>
      </c>
      <c r="P8" s="15">
        <v>50</v>
      </c>
      <c r="Q8" s="15">
        <v>0</v>
      </c>
      <c r="R8" s="15">
        <v>1</v>
      </c>
      <c r="S8" s="15" t="s">
        <v>38</v>
      </c>
      <c r="T8" s="29" t="s">
        <v>9970</v>
      </c>
      <c r="U8" s="25" t="s">
        <v>635</v>
      </c>
      <c r="V8" s="15">
        <v>200000</v>
      </c>
      <c r="W8" s="30"/>
    </row>
    <row r="9" spans="1:23" x14ac:dyDescent="0.15">
      <c r="A9" s="15">
        <v>103001</v>
      </c>
      <c r="B9" s="16" t="s">
        <v>374</v>
      </c>
      <c r="C9" s="15" t="s">
        <v>33</v>
      </c>
      <c r="D9" s="15">
        <v>1</v>
      </c>
      <c r="E9" s="15">
        <v>3</v>
      </c>
      <c r="F9" s="15" t="s">
        <v>363</v>
      </c>
      <c r="G9" s="15" t="s">
        <v>364</v>
      </c>
      <c r="H9" s="15">
        <v>1</v>
      </c>
      <c r="I9" s="15">
        <v>1</v>
      </c>
      <c r="J9" s="25">
        <v>3</v>
      </c>
      <c r="K9" s="15" t="s">
        <v>56</v>
      </c>
      <c r="L9" s="15" t="s">
        <v>9442</v>
      </c>
      <c r="M9" s="15">
        <v>0</v>
      </c>
      <c r="N9" s="25">
        <v>1</v>
      </c>
      <c r="O9" s="25" t="b">
        <v>1</v>
      </c>
      <c r="P9" s="15">
        <v>50</v>
      </c>
      <c r="Q9" s="15">
        <v>0</v>
      </c>
      <c r="R9" s="15">
        <v>1</v>
      </c>
      <c r="S9" s="15" t="s">
        <v>38</v>
      </c>
      <c r="T9" s="29" t="s">
        <v>9971</v>
      </c>
      <c r="U9" s="25" t="s">
        <v>367</v>
      </c>
      <c r="V9" s="15">
        <v>200000</v>
      </c>
      <c r="W9" s="30"/>
    </row>
    <row r="10" spans="1:23" x14ac:dyDescent="0.15">
      <c r="A10" s="15">
        <v>106001</v>
      </c>
      <c r="B10" s="16" t="s">
        <v>9461</v>
      </c>
      <c r="C10" s="15" t="s">
        <v>33</v>
      </c>
      <c r="D10" s="15">
        <v>1</v>
      </c>
      <c r="E10" s="15">
        <v>6</v>
      </c>
      <c r="F10" s="15" t="s">
        <v>727</v>
      </c>
      <c r="G10" s="15"/>
      <c r="H10" s="15">
        <v>1</v>
      </c>
      <c r="I10" s="15">
        <v>1</v>
      </c>
      <c r="J10" s="25">
        <v>3</v>
      </c>
      <c r="K10" s="15" t="s">
        <v>56</v>
      </c>
      <c r="L10" s="15" t="s">
        <v>9438</v>
      </c>
      <c r="M10" s="15">
        <v>0</v>
      </c>
      <c r="N10" s="25">
        <v>1</v>
      </c>
      <c r="O10" s="25" t="b">
        <v>1</v>
      </c>
      <c r="P10" s="15">
        <v>50</v>
      </c>
      <c r="Q10" s="15">
        <v>0</v>
      </c>
      <c r="R10" s="15">
        <v>1</v>
      </c>
      <c r="S10" s="15" t="s">
        <v>38</v>
      </c>
      <c r="T10" s="29" t="s">
        <v>9463</v>
      </c>
      <c r="U10" s="25" t="s">
        <v>731</v>
      </c>
      <c r="V10" s="15">
        <v>200000</v>
      </c>
      <c r="W10" s="30"/>
    </row>
    <row r="11" spans="1:23" x14ac:dyDescent="0.15">
      <c r="A11" s="15">
        <v>109001</v>
      </c>
      <c r="B11" s="16" t="s">
        <v>816</v>
      </c>
      <c r="C11" s="15" t="s">
        <v>33</v>
      </c>
      <c r="D11" s="15">
        <v>1</v>
      </c>
      <c r="E11" s="15">
        <v>9</v>
      </c>
      <c r="F11" s="15" t="s">
        <v>812</v>
      </c>
      <c r="G11" s="15"/>
      <c r="H11" s="15">
        <v>1</v>
      </c>
      <c r="I11" s="15">
        <v>1</v>
      </c>
      <c r="J11" s="25">
        <v>3</v>
      </c>
      <c r="K11" s="15" t="s">
        <v>56</v>
      </c>
      <c r="L11" s="15" t="s">
        <v>9438</v>
      </c>
      <c r="M11" s="15">
        <v>0</v>
      </c>
      <c r="N11" s="25">
        <v>1</v>
      </c>
      <c r="O11" s="25" t="b">
        <v>1</v>
      </c>
      <c r="P11" s="15">
        <v>50</v>
      </c>
      <c r="Q11" s="15">
        <v>0</v>
      </c>
      <c r="R11" s="15">
        <v>1</v>
      </c>
      <c r="S11" s="15" t="s">
        <v>38</v>
      </c>
      <c r="T11" s="29" t="s">
        <v>9972</v>
      </c>
      <c r="U11" s="25" t="s">
        <v>815</v>
      </c>
      <c r="V11" s="15">
        <v>200000</v>
      </c>
      <c r="W11" s="30"/>
    </row>
    <row r="12" spans="1:23" x14ac:dyDescent="0.15">
      <c r="A12" s="15">
        <v>110001</v>
      </c>
      <c r="B12" s="16" t="s">
        <v>885</v>
      </c>
      <c r="C12" s="15" t="s">
        <v>33</v>
      </c>
      <c r="D12" s="15">
        <v>1</v>
      </c>
      <c r="E12" s="15">
        <v>10</v>
      </c>
      <c r="F12" s="15" t="s">
        <v>887</v>
      </c>
      <c r="G12" s="15" t="s">
        <v>888</v>
      </c>
      <c r="H12" s="15">
        <v>1</v>
      </c>
      <c r="I12" s="15">
        <v>1</v>
      </c>
      <c r="J12" s="25">
        <v>3</v>
      </c>
      <c r="K12" s="15" t="s">
        <v>56</v>
      </c>
      <c r="L12" s="15" t="s">
        <v>9442</v>
      </c>
      <c r="M12" s="15">
        <v>0</v>
      </c>
      <c r="N12" s="25">
        <v>1</v>
      </c>
      <c r="O12" s="25" t="b">
        <v>1</v>
      </c>
      <c r="P12" s="15">
        <v>50</v>
      </c>
      <c r="Q12" s="15">
        <v>0</v>
      </c>
      <c r="R12" s="15">
        <v>1</v>
      </c>
      <c r="S12" s="15" t="s">
        <v>38</v>
      </c>
      <c r="T12" s="29" t="s">
        <v>889</v>
      </c>
      <c r="U12" s="25" t="s">
        <v>891</v>
      </c>
      <c r="V12" s="15">
        <v>200000</v>
      </c>
      <c r="W12" s="30"/>
    </row>
    <row r="13" spans="1:23" x14ac:dyDescent="0.15">
      <c r="A13" s="15">
        <v>111001</v>
      </c>
      <c r="B13" s="16" t="s">
        <v>982</v>
      </c>
      <c r="C13" s="15" t="s">
        <v>33</v>
      </c>
      <c r="D13" s="15">
        <v>1</v>
      </c>
      <c r="E13" s="15">
        <v>11</v>
      </c>
      <c r="F13" s="15" t="s">
        <v>971</v>
      </c>
      <c r="G13" s="15"/>
      <c r="H13" s="15">
        <v>1</v>
      </c>
      <c r="I13" s="15">
        <v>0</v>
      </c>
      <c r="J13" s="25">
        <v>3</v>
      </c>
      <c r="K13" s="15" t="s">
        <v>56</v>
      </c>
      <c r="L13" s="15" t="s">
        <v>9442</v>
      </c>
      <c r="M13" s="15">
        <v>0</v>
      </c>
      <c r="N13" s="25">
        <v>1</v>
      </c>
      <c r="O13" s="25" t="b">
        <v>1</v>
      </c>
      <c r="P13" s="15">
        <v>50</v>
      </c>
      <c r="Q13" s="15">
        <v>0</v>
      </c>
      <c r="R13" s="15">
        <v>1</v>
      </c>
      <c r="S13" s="15" t="s">
        <v>38</v>
      </c>
      <c r="T13" s="29" t="s">
        <v>9973</v>
      </c>
      <c r="U13" s="25" t="s">
        <v>975</v>
      </c>
      <c r="V13" s="15">
        <v>200000</v>
      </c>
      <c r="W13" s="30"/>
    </row>
    <row r="14" spans="1:23" x14ac:dyDescent="0.15">
      <c r="A14" s="15">
        <v>200001</v>
      </c>
      <c r="B14" s="16" t="s">
        <v>1406</v>
      </c>
      <c r="C14" s="15" t="s">
        <v>1408</v>
      </c>
      <c r="D14" s="15">
        <v>1</v>
      </c>
      <c r="E14" s="15">
        <v>0</v>
      </c>
      <c r="F14" s="15">
        <v>0</v>
      </c>
      <c r="G14" s="15"/>
      <c r="H14" s="15">
        <v>1</v>
      </c>
      <c r="I14" s="15">
        <v>1</v>
      </c>
      <c r="J14" s="25">
        <v>4</v>
      </c>
      <c r="K14" s="15" t="s">
        <v>56</v>
      </c>
      <c r="L14" s="15" t="s">
        <v>9469</v>
      </c>
      <c r="M14" s="15">
        <v>0</v>
      </c>
      <c r="N14" s="25">
        <v>1</v>
      </c>
      <c r="O14" s="25" t="b">
        <v>1</v>
      </c>
      <c r="P14" s="15">
        <v>35</v>
      </c>
      <c r="Q14" s="15">
        <v>0</v>
      </c>
      <c r="R14" s="15">
        <v>1</v>
      </c>
      <c r="S14" s="15" t="s">
        <v>38</v>
      </c>
      <c r="T14" s="29" t="s">
        <v>9974</v>
      </c>
      <c r="U14" s="25" t="s">
        <v>1412</v>
      </c>
      <c r="V14" s="15">
        <v>300000</v>
      </c>
      <c r="W14" s="30"/>
    </row>
    <row r="15" spans="1:23" x14ac:dyDescent="0.15">
      <c r="A15" s="15">
        <v>300001</v>
      </c>
      <c r="B15" s="16" t="s">
        <v>1513</v>
      </c>
      <c r="C15" s="15" t="s">
        <v>1508</v>
      </c>
      <c r="D15" s="15">
        <v>1</v>
      </c>
      <c r="E15" s="15">
        <v>0</v>
      </c>
      <c r="F15" s="15">
        <v>0</v>
      </c>
      <c r="G15" s="15"/>
      <c r="H15" s="15">
        <v>1</v>
      </c>
      <c r="I15" s="15">
        <v>1</v>
      </c>
      <c r="J15" s="25">
        <v>4</v>
      </c>
      <c r="K15" s="15" t="s">
        <v>56</v>
      </c>
      <c r="L15" s="15" t="s">
        <v>9975</v>
      </c>
      <c r="M15" s="15">
        <v>0</v>
      </c>
      <c r="N15" s="25">
        <v>1</v>
      </c>
      <c r="O15" s="25" t="b">
        <v>1</v>
      </c>
      <c r="P15" s="15">
        <v>20</v>
      </c>
      <c r="Q15" s="15">
        <v>0</v>
      </c>
      <c r="R15" s="15">
        <v>1</v>
      </c>
      <c r="S15" s="15" t="s">
        <v>38</v>
      </c>
      <c r="T15" s="29" t="s">
        <v>9976</v>
      </c>
      <c r="U15" s="25" t="s">
        <v>1512</v>
      </c>
      <c r="V15" s="15">
        <v>300000</v>
      </c>
      <c r="W15" s="30"/>
    </row>
    <row r="16" spans="1:23" x14ac:dyDescent="0.15">
      <c r="A16" s="15">
        <v>400001</v>
      </c>
      <c r="B16" s="17" t="s">
        <v>9473</v>
      </c>
      <c r="C16" s="15" t="s">
        <v>1594</v>
      </c>
      <c r="D16" s="15">
        <v>1</v>
      </c>
      <c r="E16" s="15">
        <v>0</v>
      </c>
      <c r="F16" s="15">
        <v>0</v>
      </c>
      <c r="G16" s="15"/>
      <c r="H16" s="15">
        <v>1</v>
      </c>
      <c r="I16" s="15">
        <v>1</v>
      </c>
      <c r="J16" s="25">
        <v>4</v>
      </c>
      <c r="K16" s="15" t="s">
        <v>56</v>
      </c>
      <c r="L16" s="15" t="s">
        <v>9977</v>
      </c>
      <c r="M16" s="15">
        <v>0</v>
      </c>
      <c r="N16" s="25">
        <v>1</v>
      </c>
      <c r="O16" s="25" t="b">
        <v>1</v>
      </c>
      <c r="P16" s="15">
        <v>25</v>
      </c>
      <c r="Q16" s="15">
        <v>0</v>
      </c>
      <c r="R16" s="15">
        <v>1</v>
      </c>
      <c r="S16" s="15" t="s">
        <v>38</v>
      </c>
      <c r="T16" s="29" t="s">
        <v>9978</v>
      </c>
      <c r="U16" s="25" t="s">
        <v>1597</v>
      </c>
      <c r="V16" s="15">
        <v>300000</v>
      </c>
      <c r="W16" s="30"/>
    </row>
    <row r="17" spans="1:23" x14ac:dyDescent="0.15">
      <c r="A17" s="15">
        <v>500001</v>
      </c>
      <c r="B17" s="16" t="s">
        <v>9476</v>
      </c>
      <c r="C17" s="15" t="s">
        <v>1672</v>
      </c>
      <c r="D17" s="15">
        <v>1</v>
      </c>
      <c r="E17" s="15">
        <v>0</v>
      </c>
      <c r="F17" s="15">
        <v>0</v>
      </c>
      <c r="G17" s="15"/>
      <c r="H17" s="15">
        <v>1</v>
      </c>
      <c r="I17" s="15">
        <v>1</v>
      </c>
      <c r="J17" s="25">
        <v>4</v>
      </c>
      <c r="K17" s="15" t="s">
        <v>56</v>
      </c>
      <c r="L17" s="15" t="s">
        <v>9979</v>
      </c>
      <c r="M17" s="15">
        <v>0</v>
      </c>
      <c r="N17" s="25">
        <v>1</v>
      </c>
      <c r="O17" s="25" t="b">
        <v>1</v>
      </c>
      <c r="P17" s="15">
        <v>30</v>
      </c>
      <c r="Q17" s="15">
        <v>0</v>
      </c>
      <c r="R17" s="15">
        <v>1</v>
      </c>
      <c r="S17" s="15" t="s">
        <v>38</v>
      </c>
      <c r="T17" s="29" t="s">
        <v>9980</v>
      </c>
      <c r="U17" s="25" t="s">
        <v>1675</v>
      </c>
      <c r="V17" s="15">
        <v>300000</v>
      </c>
      <c r="W17" s="30"/>
    </row>
    <row r="18" spans="1:23" x14ac:dyDescent="0.15">
      <c r="A18" s="15">
        <v>600001</v>
      </c>
      <c r="B18" s="16" t="s">
        <v>9479</v>
      </c>
      <c r="C18" s="15" t="s">
        <v>1746</v>
      </c>
      <c r="D18" s="15">
        <v>1</v>
      </c>
      <c r="E18" s="15">
        <v>0</v>
      </c>
      <c r="F18" s="15">
        <v>0</v>
      </c>
      <c r="G18" s="15"/>
      <c r="H18" s="15">
        <v>1</v>
      </c>
      <c r="I18" s="15">
        <v>1</v>
      </c>
      <c r="J18" s="25">
        <v>2</v>
      </c>
      <c r="K18" s="15" t="s">
        <v>56</v>
      </c>
      <c r="L18" s="15" t="s">
        <v>9981</v>
      </c>
      <c r="M18" s="15">
        <v>0</v>
      </c>
      <c r="N18" s="25">
        <v>1</v>
      </c>
      <c r="O18" s="25" t="b">
        <v>1</v>
      </c>
      <c r="P18" s="15">
        <v>18</v>
      </c>
      <c r="Q18" s="15">
        <v>0</v>
      </c>
      <c r="R18" s="15">
        <v>1</v>
      </c>
      <c r="S18" s="15" t="s">
        <v>38</v>
      </c>
      <c r="T18" s="29" t="s">
        <v>9982</v>
      </c>
      <c r="U18" s="25" t="s">
        <v>1750</v>
      </c>
      <c r="V18" s="15">
        <v>300000</v>
      </c>
      <c r="W18" s="30"/>
    </row>
    <row r="19" spans="1:23" x14ac:dyDescent="0.15">
      <c r="A19" s="15">
        <v>700001</v>
      </c>
      <c r="B19" s="16" t="s">
        <v>9483</v>
      </c>
      <c r="C19" s="15" t="s">
        <v>1832</v>
      </c>
      <c r="D19" s="15">
        <v>1</v>
      </c>
      <c r="E19" s="15">
        <v>0</v>
      </c>
      <c r="F19" s="15">
        <v>0</v>
      </c>
      <c r="G19" s="15"/>
      <c r="H19" s="15">
        <v>1</v>
      </c>
      <c r="I19" s="15">
        <v>1</v>
      </c>
      <c r="J19" s="25">
        <v>2</v>
      </c>
      <c r="K19" s="15" t="s">
        <v>56</v>
      </c>
      <c r="L19" s="15" t="s">
        <v>9983</v>
      </c>
      <c r="M19" s="15">
        <v>0</v>
      </c>
      <c r="N19" s="25">
        <v>1</v>
      </c>
      <c r="O19" s="25" t="b">
        <v>1</v>
      </c>
      <c r="P19" s="15">
        <v>22</v>
      </c>
      <c r="Q19" s="15">
        <v>0</v>
      </c>
      <c r="R19" s="15">
        <v>1</v>
      </c>
      <c r="S19" s="15" t="s">
        <v>38</v>
      </c>
      <c r="T19" s="29" t="s">
        <v>9485</v>
      </c>
      <c r="U19" s="25" t="s">
        <v>1836</v>
      </c>
      <c r="V19" s="15">
        <v>300000</v>
      </c>
      <c r="W19" s="30"/>
    </row>
    <row r="20" spans="1:23" x14ac:dyDescent="0.15">
      <c r="A20" s="15">
        <v>800001</v>
      </c>
      <c r="B20" s="16" t="s">
        <v>1919</v>
      </c>
      <c r="C20" s="15" t="s">
        <v>1908</v>
      </c>
      <c r="D20" s="15">
        <v>1</v>
      </c>
      <c r="E20" s="15">
        <v>0</v>
      </c>
      <c r="F20" s="15">
        <v>0</v>
      </c>
      <c r="G20" s="15"/>
      <c r="H20" s="15">
        <v>1</v>
      </c>
      <c r="I20" s="15">
        <v>1</v>
      </c>
      <c r="J20" s="25">
        <v>2</v>
      </c>
      <c r="K20" s="15" t="s">
        <v>56</v>
      </c>
      <c r="L20" s="15" t="s">
        <v>9484</v>
      </c>
      <c r="M20" s="15">
        <v>0</v>
      </c>
      <c r="N20" s="25">
        <v>1</v>
      </c>
      <c r="O20" s="25" t="b">
        <v>1</v>
      </c>
      <c r="P20" s="15">
        <v>17</v>
      </c>
      <c r="Q20" s="15">
        <v>0</v>
      </c>
      <c r="R20" s="15">
        <v>1</v>
      </c>
      <c r="S20" s="15" t="s">
        <v>38</v>
      </c>
      <c r="T20" s="29" t="s">
        <v>9487</v>
      </c>
      <c r="U20" s="25" t="s">
        <v>1912</v>
      </c>
      <c r="V20" s="15">
        <v>300000</v>
      </c>
      <c r="W20" s="30"/>
    </row>
    <row r="21" spans="1:23" x14ac:dyDescent="0.15">
      <c r="A21" s="15">
        <v>101002</v>
      </c>
      <c r="B21" s="16" t="s">
        <v>9489</v>
      </c>
      <c r="C21" s="15" t="s">
        <v>33</v>
      </c>
      <c r="D21" s="15">
        <v>1</v>
      </c>
      <c r="E21" s="15">
        <v>1</v>
      </c>
      <c r="F21" s="15" t="s">
        <v>34</v>
      </c>
      <c r="G21" s="15"/>
      <c r="H21" s="15">
        <v>1</v>
      </c>
      <c r="I21" s="15">
        <v>1</v>
      </c>
      <c r="J21" s="25">
        <v>3</v>
      </c>
      <c r="K21" s="15" t="s">
        <v>63</v>
      </c>
      <c r="L21" s="15" t="s">
        <v>9490</v>
      </c>
      <c r="M21" s="15">
        <v>0</v>
      </c>
      <c r="N21" s="25">
        <v>1</v>
      </c>
      <c r="O21" s="25" t="b">
        <v>1</v>
      </c>
      <c r="P21" s="15">
        <v>120</v>
      </c>
      <c r="Q21" s="15">
        <v>0</v>
      </c>
      <c r="R21" s="15">
        <v>2</v>
      </c>
      <c r="S21" s="15" t="s">
        <v>38</v>
      </c>
      <c r="T21" t="s">
        <v>9984</v>
      </c>
      <c r="U21" s="25" t="s">
        <v>48</v>
      </c>
      <c r="V21" s="15">
        <v>300000</v>
      </c>
      <c r="W21" s="30"/>
    </row>
    <row r="22" spans="1:23" x14ac:dyDescent="0.15">
      <c r="A22" s="15">
        <v>102002</v>
      </c>
      <c r="B22" s="16" t="s">
        <v>9493</v>
      </c>
      <c r="C22" s="15" t="s">
        <v>33</v>
      </c>
      <c r="D22" s="15">
        <v>1</v>
      </c>
      <c r="E22" s="15">
        <v>2</v>
      </c>
      <c r="F22" s="15" t="s">
        <v>134</v>
      </c>
      <c r="G22" s="15" t="s">
        <v>146</v>
      </c>
      <c r="H22" s="15">
        <v>1</v>
      </c>
      <c r="I22" s="15">
        <v>1</v>
      </c>
      <c r="J22" s="25">
        <v>3</v>
      </c>
      <c r="K22" s="15" t="s">
        <v>63</v>
      </c>
      <c r="L22" s="15" t="s">
        <v>9509</v>
      </c>
      <c r="M22" s="15">
        <v>0</v>
      </c>
      <c r="N22" s="25">
        <v>1</v>
      </c>
      <c r="O22" s="25" t="b">
        <v>1</v>
      </c>
      <c r="P22" s="15">
        <v>120</v>
      </c>
      <c r="Q22" s="15">
        <v>0</v>
      </c>
      <c r="R22" s="15">
        <v>2</v>
      </c>
      <c r="S22" s="15" t="s">
        <v>38</v>
      </c>
      <c r="T22" s="29" t="s">
        <v>9985</v>
      </c>
      <c r="U22" s="25" t="s">
        <v>149</v>
      </c>
      <c r="V22" s="15">
        <v>300000</v>
      </c>
      <c r="W22" s="30"/>
    </row>
    <row r="23" spans="1:23" x14ac:dyDescent="0.15">
      <c r="A23" s="15">
        <v>102102</v>
      </c>
      <c r="B23" s="16" t="s">
        <v>9986</v>
      </c>
      <c r="C23" s="15" t="s">
        <v>33</v>
      </c>
      <c r="D23" s="15">
        <v>1</v>
      </c>
      <c r="E23" s="15">
        <v>2</v>
      </c>
      <c r="F23" s="15" t="s">
        <v>134</v>
      </c>
      <c r="G23" s="15" t="s">
        <v>242</v>
      </c>
      <c r="H23" s="15">
        <v>1</v>
      </c>
      <c r="I23" s="15">
        <v>1</v>
      </c>
      <c r="J23" s="25">
        <v>3</v>
      </c>
      <c r="K23" s="15" t="s">
        <v>63</v>
      </c>
      <c r="L23" s="15" t="s">
        <v>9509</v>
      </c>
      <c r="M23" s="15">
        <v>0</v>
      </c>
      <c r="N23" s="25">
        <v>1</v>
      </c>
      <c r="O23" s="25" t="b">
        <v>1</v>
      </c>
      <c r="P23" s="15">
        <v>120</v>
      </c>
      <c r="Q23" s="15">
        <v>0</v>
      </c>
      <c r="R23" s="15">
        <v>2</v>
      </c>
      <c r="S23" s="15" t="s">
        <v>38</v>
      </c>
      <c r="T23" s="29" t="s">
        <v>9987</v>
      </c>
      <c r="U23" s="25" t="s">
        <v>227</v>
      </c>
      <c r="V23" s="15">
        <v>200000</v>
      </c>
      <c r="W23" s="30"/>
    </row>
    <row r="24" spans="1:23" x14ac:dyDescent="0.15">
      <c r="A24" s="15">
        <v>104002</v>
      </c>
      <c r="B24" s="16" t="s">
        <v>9501</v>
      </c>
      <c r="C24" s="15" t="s">
        <v>33</v>
      </c>
      <c r="D24" s="15">
        <v>1</v>
      </c>
      <c r="E24" s="15">
        <v>4</v>
      </c>
      <c r="F24" s="15" t="s">
        <v>447</v>
      </c>
      <c r="G24" s="15" t="s">
        <v>457</v>
      </c>
      <c r="H24" s="15">
        <v>1</v>
      </c>
      <c r="I24" s="15">
        <v>1</v>
      </c>
      <c r="J24" s="25">
        <v>3</v>
      </c>
      <c r="K24" s="15" t="s">
        <v>63</v>
      </c>
      <c r="L24" s="15" t="s">
        <v>9509</v>
      </c>
      <c r="M24" s="15">
        <v>0</v>
      </c>
      <c r="N24" s="25">
        <v>1</v>
      </c>
      <c r="O24" s="25" t="b">
        <v>1</v>
      </c>
      <c r="P24" s="15">
        <v>120</v>
      </c>
      <c r="Q24" s="15">
        <v>0</v>
      </c>
      <c r="R24" s="15">
        <v>2</v>
      </c>
      <c r="S24" s="15" t="s">
        <v>38</v>
      </c>
      <c r="T24" s="29" t="s">
        <v>9988</v>
      </c>
      <c r="U24" s="25" t="s">
        <v>460</v>
      </c>
      <c r="V24" s="15">
        <v>100000</v>
      </c>
      <c r="W24" s="30"/>
    </row>
    <row r="25" spans="1:23" x14ac:dyDescent="0.15">
      <c r="A25" s="15">
        <v>104102</v>
      </c>
      <c r="B25" s="16" t="s">
        <v>9504</v>
      </c>
      <c r="C25" s="15" t="s">
        <v>33</v>
      </c>
      <c r="D25" s="15">
        <v>1</v>
      </c>
      <c r="E25" s="15">
        <v>4</v>
      </c>
      <c r="F25" s="15" t="s">
        <v>447</v>
      </c>
      <c r="G25" s="15" t="s">
        <v>526</v>
      </c>
      <c r="H25" s="15">
        <v>1</v>
      </c>
      <c r="I25">
        <v>1</v>
      </c>
      <c r="J25" s="25">
        <v>3</v>
      </c>
      <c r="K25" s="15" t="s">
        <v>63</v>
      </c>
      <c r="L25" s="15" t="s">
        <v>9509</v>
      </c>
      <c r="M25" s="15">
        <v>0</v>
      </c>
      <c r="N25" s="25">
        <v>1</v>
      </c>
      <c r="O25" s="25" t="b">
        <v>1</v>
      </c>
      <c r="P25" s="15">
        <v>121</v>
      </c>
      <c r="Q25" s="15">
        <v>0</v>
      </c>
      <c r="R25" s="15">
        <v>2</v>
      </c>
      <c r="S25" s="15" t="s">
        <v>38</v>
      </c>
      <c r="T25" s="29" t="s">
        <v>9506</v>
      </c>
      <c r="U25" s="25" t="s">
        <v>529</v>
      </c>
      <c r="V25" s="15">
        <v>100000</v>
      </c>
      <c r="W25" s="30"/>
    </row>
    <row r="26" spans="1:23" x14ac:dyDescent="0.15">
      <c r="A26" s="15">
        <v>105002</v>
      </c>
      <c r="B26" s="16" t="s">
        <v>9508</v>
      </c>
      <c r="C26" s="15" t="s">
        <v>33</v>
      </c>
      <c r="D26" s="15">
        <v>1</v>
      </c>
      <c r="E26" s="15">
        <v>5</v>
      </c>
      <c r="F26" s="15" t="s">
        <v>631</v>
      </c>
      <c r="G26" s="15" t="s">
        <v>641</v>
      </c>
      <c r="H26" s="15">
        <v>1</v>
      </c>
      <c r="I26" s="15">
        <v>1</v>
      </c>
      <c r="J26" s="25">
        <v>3</v>
      </c>
      <c r="K26" s="15" t="s">
        <v>63</v>
      </c>
      <c r="L26" s="15" t="s">
        <v>9490</v>
      </c>
      <c r="M26" s="15">
        <v>0</v>
      </c>
      <c r="N26" s="25">
        <v>1</v>
      </c>
      <c r="O26" s="25" t="b">
        <v>1</v>
      </c>
      <c r="P26" s="15">
        <v>120</v>
      </c>
      <c r="Q26" s="15">
        <v>0</v>
      </c>
      <c r="R26" s="15">
        <v>2</v>
      </c>
      <c r="S26" s="15" t="s">
        <v>38</v>
      </c>
      <c r="T26" s="29" t="s">
        <v>9989</v>
      </c>
      <c r="U26" s="25" t="s">
        <v>644</v>
      </c>
      <c r="V26" s="15">
        <v>100000</v>
      </c>
      <c r="W26" s="30"/>
    </row>
    <row r="27" spans="1:23" x14ac:dyDescent="0.15">
      <c r="A27" s="15">
        <v>103002</v>
      </c>
      <c r="B27" s="16" t="s">
        <v>9512</v>
      </c>
      <c r="C27" s="15" t="s">
        <v>33</v>
      </c>
      <c r="D27" s="15">
        <v>1</v>
      </c>
      <c r="E27" s="15">
        <v>3</v>
      </c>
      <c r="F27" s="15" t="s">
        <v>363</v>
      </c>
      <c r="G27" s="15" t="s">
        <v>388</v>
      </c>
      <c r="H27" s="15">
        <v>1</v>
      </c>
      <c r="I27" s="15">
        <v>1</v>
      </c>
      <c r="J27" s="25">
        <v>3</v>
      </c>
      <c r="K27" s="15" t="s">
        <v>63</v>
      </c>
      <c r="L27" s="15" t="s">
        <v>9509</v>
      </c>
      <c r="M27" s="15">
        <v>0</v>
      </c>
      <c r="N27" s="25">
        <v>1</v>
      </c>
      <c r="O27" s="25" t="b">
        <v>1</v>
      </c>
      <c r="P27" s="15">
        <v>120</v>
      </c>
      <c r="Q27" s="15">
        <v>0</v>
      </c>
      <c r="R27" s="15">
        <v>2</v>
      </c>
      <c r="S27" s="15" t="s">
        <v>38</v>
      </c>
      <c r="T27" s="29" t="s">
        <v>9990</v>
      </c>
      <c r="U27" s="25" t="s">
        <v>373</v>
      </c>
      <c r="V27" s="15">
        <v>100000</v>
      </c>
      <c r="W27" s="30"/>
    </row>
    <row r="28" spans="1:23" x14ac:dyDescent="0.15">
      <c r="A28" s="15">
        <v>106002</v>
      </c>
      <c r="B28" s="16" t="s">
        <v>725</v>
      </c>
      <c r="C28" s="15" t="s">
        <v>33</v>
      </c>
      <c r="D28" s="15">
        <v>1</v>
      </c>
      <c r="E28" s="15">
        <v>6</v>
      </c>
      <c r="F28" s="15" t="s">
        <v>727</v>
      </c>
      <c r="G28" s="15"/>
      <c r="H28" s="15">
        <v>1</v>
      </c>
      <c r="I28" s="15">
        <v>1</v>
      </c>
      <c r="J28" s="25">
        <v>3</v>
      </c>
      <c r="K28" s="15" t="s">
        <v>63</v>
      </c>
      <c r="L28" s="15" t="s">
        <v>9490</v>
      </c>
      <c r="M28" s="15">
        <v>0</v>
      </c>
      <c r="N28" s="25">
        <v>1</v>
      </c>
      <c r="O28" s="25" t="b">
        <v>1</v>
      </c>
      <c r="P28" s="15">
        <v>120</v>
      </c>
      <c r="Q28" s="15">
        <v>0</v>
      </c>
      <c r="R28" s="15">
        <v>2</v>
      </c>
      <c r="S28" s="15" t="s">
        <v>38</v>
      </c>
      <c r="T28" s="29" t="s">
        <v>729</v>
      </c>
      <c r="U28" s="25" t="s">
        <v>737</v>
      </c>
      <c r="V28" s="15">
        <v>100000</v>
      </c>
      <c r="W28" s="30"/>
    </row>
    <row r="29" spans="1:23" x14ac:dyDescent="0.15">
      <c r="A29" s="15">
        <v>109002</v>
      </c>
      <c r="B29" s="16" t="s">
        <v>9518</v>
      </c>
      <c r="C29" s="15" t="s">
        <v>33</v>
      </c>
      <c r="D29" s="15">
        <v>1</v>
      </c>
      <c r="E29" s="15">
        <v>9</v>
      </c>
      <c r="F29" s="15" t="s">
        <v>812</v>
      </c>
      <c r="G29" s="15"/>
      <c r="H29" s="15">
        <v>1</v>
      </c>
      <c r="I29" s="15">
        <v>1</v>
      </c>
      <c r="J29" s="25">
        <v>3</v>
      </c>
      <c r="K29" s="15" t="s">
        <v>63</v>
      </c>
      <c r="L29" s="15" t="s">
        <v>9490</v>
      </c>
      <c r="M29" s="15">
        <v>0</v>
      </c>
      <c r="N29" s="25">
        <v>1</v>
      </c>
      <c r="O29" s="25" t="b">
        <v>1</v>
      </c>
      <c r="P29" s="15">
        <v>120</v>
      </c>
      <c r="Q29" s="15">
        <v>0</v>
      </c>
      <c r="R29" s="15">
        <v>2</v>
      </c>
      <c r="S29" s="15" t="s">
        <v>38</v>
      </c>
      <c r="T29" s="29" t="s">
        <v>9991</v>
      </c>
      <c r="U29" s="25" t="s">
        <v>820</v>
      </c>
      <c r="V29" s="15">
        <v>100000</v>
      </c>
      <c r="W29" s="30"/>
    </row>
    <row r="30" spans="1:23" ht="27" x14ac:dyDescent="0.15">
      <c r="A30" s="15">
        <v>110002</v>
      </c>
      <c r="B30" s="16" t="s">
        <v>892</v>
      </c>
      <c r="C30" s="15" t="s">
        <v>33</v>
      </c>
      <c r="D30" s="15">
        <v>1</v>
      </c>
      <c r="E30" s="15">
        <v>10</v>
      </c>
      <c r="F30" s="15" t="s">
        <v>887</v>
      </c>
      <c r="G30" s="15" t="s">
        <v>894</v>
      </c>
      <c r="H30" s="15">
        <v>1</v>
      </c>
      <c r="I30" s="15">
        <v>1</v>
      </c>
      <c r="J30" s="25">
        <v>3</v>
      </c>
      <c r="K30" s="15" t="s">
        <v>63</v>
      </c>
      <c r="L30" s="15" t="s">
        <v>9509</v>
      </c>
      <c r="M30" s="15">
        <v>0</v>
      </c>
      <c r="N30" s="25">
        <v>1</v>
      </c>
      <c r="O30" s="25" t="b">
        <v>1</v>
      </c>
      <c r="P30" s="15">
        <v>120</v>
      </c>
      <c r="Q30" s="15">
        <v>0</v>
      </c>
      <c r="R30" s="15">
        <v>2</v>
      </c>
      <c r="S30" s="15" t="s">
        <v>38</v>
      </c>
      <c r="T30" s="29" t="s">
        <v>9991</v>
      </c>
      <c r="U30" s="25" t="s">
        <v>897</v>
      </c>
      <c r="V30" s="15">
        <v>100000</v>
      </c>
      <c r="W30" s="30"/>
    </row>
    <row r="31" spans="1:23" x14ac:dyDescent="0.15">
      <c r="A31" s="15">
        <v>111002</v>
      </c>
      <c r="B31" s="16" t="s">
        <v>9992</v>
      </c>
      <c r="C31" s="15" t="s">
        <v>33</v>
      </c>
      <c r="D31" s="15">
        <v>1</v>
      </c>
      <c r="E31" s="15">
        <v>11</v>
      </c>
      <c r="F31" s="15" t="s">
        <v>971</v>
      </c>
      <c r="G31" s="15"/>
      <c r="H31" s="15">
        <v>1</v>
      </c>
      <c r="I31" s="15">
        <v>0</v>
      </c>
      <c r="J31" s="25">
        <v>3</v>
      </c>
      <c r="K31" s="15" t="s">
        <v>63</v>
      </c>
      <c r="L31" s="15" t="s">
        <v>9993</v>
      </c>
      <c r="M31" s="15">
        <v>0</v>
      </c>
      <c r="N31" s="25">
        <v>1</v>
      </c>
      <c r="O31" s="25" t="b">
        <v>1</v>
      </c>
      <c r="P31" s="15">
        <v>120</v>
      </c>
      <c r="Q31" s="15">
        <v>0</v>
      </c>
      <c r="R31" s="15">
        <v>2</v>
      </c>
      <c r="S31" s="15" t="s">
        <v>38</v>
      </c>
      <c r="T31" s="29" t="s">
        <v>9994</v>
      </c>
      <c r="U31" s="25" t="s">
        <v>981</v>
      </c>
      <c r="V31" s="15">
        <v>100000</v>
      </c>
      <c r="W31" s="30"/>
    </row>
    <row r="32" spans="1:23" x14ac:dyDescent="0.15">
      <c r="A32" s="15">
        <v>200002</v>
      </c>
      <c r="B32" s="16" t="s">
        <v>9521</v>
      </c>
      <c r="C32" s="15" t="s">
        <v>1408</v>
      </c>
      <c r="D32" s="15">
        <v>1</v>
      </c>
      <c r="E32" s="15">
        <v>0</v>
      </c>
      <c r="F32" s="15">
        <v>0</v>
      </c>
      <c r="G32" s="15"/>
      <c r="H32" s="15">
        <v>1</v>
      </c>
      <c r="I32" s="15">
        <v>1</v>
      </c>
      <c r="J32" s="25">
        <v>4</v>
      </c>
      <c r="K32" s="15" t="s">
        <v>63</v>
      </c>
      <c r="L32" s="15" t="s">
        <v>9522</v>
      </c>
      <c r="M32" s="15">
        <v>0</v>
      </c>
      <c r="N32" s="25">
        <v>1</v>
      </c>
      <c r="O32" s="25" t="b">
        <v>1</v>
      </c>
      <c r="P32" s="15">
        <v>100</v>
      </c>
      <c r="Q32" s="15">
        <v>0</v>
      </c>
      <c r="R32" s="15">
        <v>2</v>
      </c>
      <c r="S32" s="15" t="s">
        <v>38</v>
      </c>
      <c r="T32" s="29" t="s">
        <v>9523</v>
      </c>
      <c r="U32" s="25" t="s">
        <v>1418</v>
      </c>
      <c r="V32" s="15">
        <v>100000</v>
      </c>
      <c r="W32" s="30"/>
    </row>
    <row r="33" spans="1:22" x14ac:dyDescent="0.15">
      <c r="A33" s="15">
        <v>300002</v>
      </c>
      <c r="B33" s="16" t="s">
        <v>1519</v>
      </c>
      <c r="C33" s="15" t="s">
        <v>1508</v>
      </c>
      <c r="D33" s="15">
        <v>1</v>
      </c>
      <c r="E33" s="15">
        <v>0</v>
      </c>
      <c r="F33" s="15">
        <v>0</v>
      </c>
      <c r="G33" s="15"/>
      <c r="H33" s="15">
        <v>1</v>
      </c>
      <c r="I33" s="15">
        <v>1</v>
      </c>
      <c r="J33" s="25">
        <v>4</v>
      </c>
      <c r="K33" s="15" t="s">
        <v>63</v>
      </c>
      <c r="L33" s="15" t="s">
        <v>9995</v>
      </c>
      <c r="M33" s="15">
        <v>0</v>
      </c>
      <c r="N33" s="25">
        <v>1</v>
      </c>
      <c r="O33" s="25" t="b">
        <v>1</v>
      </c>
      <c r="P33" s="15">
        <v>60</v>
      </c>
      <c r="Q33" s="15">
        <v>0</v>
      </c>
      <c r="R33" s="15">
        <v>2</v>
      </c>
      <c r="S33" s="15" t="s">
        <v>38</v>
      </c>
      <c r="T33" s="29" t="s">
        <v>9996</v>
      </c>
      <c r="U33" s="25" t="s">
        <v>1518</v>
      </c>
      <c r="V33" s="15">
        <v>100000</v>
      </c>
    </row>
    <row r="34" spans="1:22" x14ac:dyDescent="0.15">
      <c r="A34" s="15">
        <v>400002</v>
      </c>
      <c r="B34" s="17" t="s">
        <v>9526</v>
      </c>
      <c r="C34" s="15" t="s">
        <v>1594</v>
      </c>
      <c r="D34" s="15">
        <v>1</v>
      </c>
      <c r="E34" s="15">
        <v>0</v>
      </c>
      <c r="F34" s="15">
        <v>0</v>
      </c>
      <c r="G34" s="15"/>
      <c r="H34" s="15">
        <v>1</v>
      </c>
      <c r="I34" s="15">
        <v>1</v>
      </c>
      <c r="J34" s="25">
        <v>4</v>
      </c>
      <c r="K34" s="15" t="s">
        <v>63</v>
      </c>
      <c r="L34" s="15" t="s">
        <v>9997</v>
      </c>
      <c r="M34" s="15">
        <v>0</v>
      </c>
      <c r="N34" s="25">
        <v>1</v>
      </c>
      <c r="O34" s="25" t="b">
        <v>1</v>
      </c>
      <c r="P34" s="15">
        <v>75</v>
      </c>
      <c r="Q34" s="15">
        <v>0</v>
      </c>
      <c r="R34" s="15">
        <v>2</v>
      </c>
      <c r="S34" s="15" t="s">
        <v>38</v>
      </c>
      <c r="T34" s="29" t="s">
        <v>9998</v>
      </c>
      <c r="U34" s="25" t="s">
        <v>1601</v>
      </c>
      <c r="V34" s="15">
        <v>100000</v>
      </c>
    </row>
    <row r="35" spans="1:22" x14ac:dyDescent="0.15">
      <c r="A35" s="15">
        <v>500002</v>
      </c>
      <c r="B35" s="16" t="s">
        <v>1686</v>
      </c>
      <c r="C35" s="15" t="s">
        <v>1672</v>
      </c>
      <c r="D35" s="15">
        <v>1</v>
      </c>
      <c r="E35" s="15">
        <v>0</v>
      </c>
      <c r="F35" s="15">
        <v>0</v>
      </c>
      <c r="G35" s="15"/>
      <c r="H35" s="15">
        <v>1</v>
      </c>
      <c r="I35" s="15">
        <v>1</v>
      </c>
      <c r="J35" s="25">
        <v>4</v>
      </c>
      <c r="K35" s="15" t="s">
        <v>63</v>
      </c>
      <c r="L35" s="15" t="s">
        <v>9999</v>
      </c>
      <c r="M35" s="15">
        <v>0</v>
      </c>
      <c r="N35" s="25">
        <v>1</v>
      </c>
      <c r="O35" s="25" t="b">
        <v>1</v>
      </c>
      <c r="P35" s="15">
        <v>50</v>
      </c>
      <c r="Q35" s="15">
        <v>0</v>
      </c>
      <c r="R35" s="15">
        <v>2</v>
      </c>
      <c r="S35" s="15" t="s">
        <v>38</v>
      </c>
      <c r="T35" s="31" t="s">
        <v>10000</v>
      </c>
      <c r="U35" s="25" t="s">
        <v>1680</v>
      </c>
      <c r="V35" s="15">
        <v>100000</v>
      </c>
    </row>
    <row r="36" spans="1:22" x14ac:dyDescent="0.15">
      <c r="A36" s="15">
        <v>600002</v>
      </c>
      <c r="B36" s="16" t="s">
        <v>9531</v>
      </c>
      <c r="C36" s="15" t="s">
        <v>1746</v>
      </c>
      <c r="D36" s="15">
        <v>1</v>
      </c>
      <c r="E36" s="15">
        <v>0</v>
      </c>
      <c r="F36" s="15">
        <v>0</v>
      </c>
      <c r="G36" s="15"/>
      <c r="H36" s="15">
        <v>1</v>
      </c>
      <c r="I36" s="15">
        <v>1</v>
      </c>
      <c r="J36" s="25">
        <v>2</v>
      </c>
      <c r="K36" s="15" t="s">
        <v>63</v>
      </c>
      <c r="L36" s="15" t="s">
        <v>10001</v>
      </c>
      <c r="M36" s="15">
        <v>0</v>
      </c>
      <c r="N36" s="25">
        <v>1</v>
      </c>
      <c r="O36" s="25" t="b">
        <v>1</v>
      </c>
      <c r="P36" s="15">
        <v>50</v>
      </c>
      <c r="Q36" s="15">
        <v>0</v>
      </c>
      <c r="R36" s="15">
        <v>2</v>
      </c>
      <c r="S36" s="15" t="s">
        <v>38</v>
      </c>
      <c r="T36" s="29" t="s">
        <v>10002</v>
      </c>
      <c r="U36" s="25" t="s">
        <v>1756</v>
      </c>
      <c r="V36" s="15">
        <v>100000</v>
      </c>
    </row>
    <row r="37" spans="1:22" x14ac:dyDescent="0.15">
      <c r="A37" s="15">
        <v>700002</v>
      </c>
      <c r="B37" s="16" t="s">
        <v>9534</v>
      </c>
      <c r="C37" s="15" t="s">
        <v>1832</v>
      </c>
      <c r="D37" s="15">
        <v>1</v>
      </c>
      <c r="E37" s="15">
        <v>0</v>
      </c>
      <c r="F37" s="15">
        <v>0</v>
      </c>
      <c r="G37" s="15"/>
      <c r="H37" s="15">
        <v>1</v>
      </c>
      <c r="I37" s="15">
        <v>1</v>
      </c>
      <c r="J37" s="25">
        <v>2</v>
      </c>
      <c r="K37" s="15" t="s">
        <v>63</v>
      </c>
      <c r="L37" s="15" t="s">
        <v>9477</v>
      </c>
      <c r="M37" s="15">
        <v>0</v>
      </c>
      <c r="N37" s="25">
        <v>1</v>
      </c>
      <c r="O37" s="25" t="b">
        <v>1</v>
      </c>
      <c r="P37" s="15">
        <v>35</v>
      </c>
      <c r="Q37" s="15">
        <v>0</v>
      </c>
      <c r="R37" s="15">
        <v>2</v>
      </c>
      <c r="S37" s="15" t="s">
        <v>38</v>
      </c>
      <c r="T37" s="29" t="s">
        <v>1849</v>
      </c>
      <c r="U37" s="25" t="s">
        <v>1842</v>
      </c>
      <c r="V37" s="15">
        <v>300000</v>
      </c>
    </row>
    <row r="38" spans="1:22" x14ac:dyDescent="0.15">
      <c r="A38" s="15">
        <v>800002</v>
      </c>
      <c r="B38" s="16" t="s">
        <v>9536</v>
      </c>
      <c r="C38" s="15" t="s">
        <v>1908</v>
      </c>
      <c r="D38" s="15">
        <v>1</v>
      </c>
      <c r="E38" s="15">
        <v>0</v>
      </c>
      <c r="F38" s="15">
        <v>0</v>
      </c>
      <c r="G38" s="15"/>
      <c r="H38" s="15">
        <v>1</v>
      </c>
      <c r="I38" s="15">
        <v>1</v>
      </c>
      <c r="J38" s="25">
        <v>2</v>
      </c>
      <c r="K38" s="15" t="s">
        <v>63</v>
      </c>
      <c r="L38" s="15" t="s">
        <v>9537</v>
      </c>
      <c r="M38" s="15">
        <v>0</v>
      </c>
      <c r="N38" s="25">
        <v>1</v>
      </c>
      <c r="O38" s="25" t="b">
        <v>1</v>
      </c>
      <c r="P38" s="15">
        <v>60</v>
      </c>
      <c r="Q38" s="15">
        <v>0</v>
      </c>
      <c r="R38" s="15">
        <v>2</v>
      </c>
      <c r="S38" s="15" t="s">
        <v>38</v>
      </c>
      <c r="T38" s="29" t="s">
        <v>10003</v>
      </c>
      <c r="U38" s="25" t="s">
        <v>1918</v>
      </c>
      <c r="V38" s="15">
        <v>300000</v>
      </c>
    </row>
    <row r="39" spans="1:22" s="3" customFormat="1" x14ac:dyDescent="0.15">
      <c r="A39" s="18">
        <v>101202</v>
      </c>
      <c r="B39" s="19" t="s">
        <v>9539</v>
      </c>
      <c r="C39" s="18" t="s">
        <v>33</v>
      </c>
      <c r="D39" s="18">
        <v>2</v>
      </c>
      <c r="E39" s="18">
        <v>1</v>
      </c>
      <c r="F39" s="18" t="s">
        <v>34</v>
      </c>
      <c r="G39" s="18"/>
      <c r="H39" s="18">
        <v>4</v>
      </c>
      <c r="I39" s="18">
        <v>0</v>
      </c>
      <c r="J39" s="18">
        <v>3</v>
      </c>
      <c r="K39" s="18">
        <v>4</v>
      </c>
      <c r="L39" s="18" t="s">
        <v>10004</v>
      </c>
      <c r="M39" s="18">
        <v>0</v>
      </c>
      <c r="N39" s="20">
        <v>1</v>
      </c>
      <c r="O39" s="20" t="b">
        <v>1</v>
      </c>
      <c r="P39" s="18">
        <v>320</v>
      </c>
      <c r="Q39" s="18">
        <v>0</v>
      </c>
      <c r="R39" s="18">
        <v>2</v>
      </c>
      <c r="S39" s="18" t="s">
        <v>38</v>
      </c>
      <c r="T39" s="32" t="s">
        <v>10005</v>
      </c>
      <c r="U39" s="20" t="s">
        <v>9542</v>
      </c>
      <c r="V39" s="18">
        <v>100000</v>
      </c>
    </row>
    <row r="40" spans="1:22" s="3" customFormat="1" x14ac:dyDescent="0.15">
      <c r="A40" s="18">
        <v>102202</v>
      </c>
      <c r="B40" s="19" t="s">
        <v>9543</v>
      </c>
      <c r="C40" s="18" t="s">
        <v>33</v>
      </c>
      <c r="D40" s="18">
        <v>2</v>
      </c>
      <c r="E40" s="18">
        <v>2</v>
      </c>
      <c r="F40" s="18" t="s">
        <v>134</v>
      </c>
      <c r="G40" s="18" t="s">
        <v>146</v>
      </c>
      <c r="H40" s="18">
        <v>4</v>
      </c>
      <c r="I40" s="18">
        <v>0</v>
      </c>
      <c r="J40" s="20">
        <v>3</v>
      </c>
      <c r="K40" s="18">
        <v>4</v>
      </c>
      <c r="L40" s="18" t="s">
        <v>10006</v>
      </c>
      <c r="M40" s="18">
        <v>0</v>
      </c>
      <c r="N40" s="20">
        <v>1</v>
      </c>
      <c r="O40" s="20" t="b">
        <v>1</v>
      </c>
      <c r="P40" s="18">
        <v>320</v>
      </c>
      <c r="Q40" s="18">
        <v>0</v>
      </c>
      <c r="R40" s="18">
        <v>2</v>
      </c>
      <c r="S40" s="18" t="s">
        <v>38</v>
      </c>
      <c r="T40" s="32" t="s">
        <v>10007</v>
      </c>
      <c r="U40" s="20" t="s">
        <v>10008</v>
      </c>
      <c r="V40" s="18">
        <v>100000</v>
      </c>
    </row>
    <row r="41" spans="1:22" s="3" customFormat="1" x14ac:dyDescent="0.15">
      <c r="A41" s="18">
        <v>102302</v>
      </c>
      <c r="B41" s="19" t="s">
        <v>9546</v>
      </c>
      <c r="C41" s="18" t="s">
        <v>33</v>
      </c>
      <c r="D41" s="18">
        <v>2</v>
      </c>
      <c r="E41" s="18">
        <v>2</v>
      </c>
      <c r="F41" s="18" t="s">
        <v>134</v>
      </c>
      <c r="G41" s="18" t="s">
        <v>242</v>
      </c>
      <c r="H41" s="18">
        <v>4</v>
      </c>
      <c r="I41" s="18">
        <v>0</v>
      </c>
      <c r="J41" s="20">
        <v>3</v>
      </c>
      <c r="K41" s="18">
        <v>4</v>
      </c>
      <c r="L41" s="18" t="s">
        <v>10009</v>
      </c>
      <c r="M41" s="18">
        <v>0</v>
      </c>
      <c r="N41" s="20">
        <v>1</v>
      </c>
      <c r="O41" s="20" t="b">
        <v>1</v>
      </c>
      <c r="P41" s="18">
        <v>320</v>
      </c>
      <c r="Q41" s="18">
        <v>0</v>
      </c>
      <c r="R41" s="18">
        <v>2</v>
      </c>
      <c r="S41" s="18" t="s">
        <v>38</v>
      </c>
      <c r="T41" s="32" t="s">
        <v>10010</v>
      </c>
      <c r="U41" s="20" t="s">
        <v>348</v>
      </c>
      <c r="V41" s="18">
        <v>100000</v>
      </c>
    </row>
    <row r="42" spans="1:22" s="3" customFormat="1" x14ac:dyDescent="0.15">
      <c r="A42" s="18">
        <v>103202</v>
      </c>
      <c r="B42" s="19" t="s">
        <v>9550</v>
      </c>
      <c r="C42" s="18" t="s">
        <v>33</v>
      </c>
      <c r="D42" s="18">
        <v>2</v>
      </c>
      <c r="E42" s="18">
        <v>3</v>
      </c>
      <c r="F42" s="18" t="s">
        <v>363</v>
      </c>
      <c r="G42" s="18" t="s">
        <v>388</v>
      </c>
      <c r="H42" s="18">
        <v>4</v>
      </c>
      <c r="I42" s="18">
        <v>0</v>
      </c>
      <c r="J42" s="20">
        <v>3</v>
      </c>
      <c r="K42" s="18">
        <v>4</v>
      </c>
      <c r="L42" s="18" t="s">
        <v>10011</v>
      </c>
      <c r="M42" s="18">
        <v>0</v>
      </c>
      <c r="N42" s="20">
        <v>1</v>
      </c>
      <c r="O42" s="20" t="b">
        <v>1</v>
      </c>
      <c r="P42" s="18">
        <v>320</v>
      </c>
      <c r="Q42" s="18">
        <v>0</v>
      </c>
      <c r="R42" s="18">
        <v>2</v>
      </c>
      <c r="S42" s="18" t="s">
        <v>38</v>
      </c>
      <c r="T42" s="32" t="s">
        <v>10012</v>
      </c>
      <c r="U42" s="20" t="s">
        <v>9553</v>
      </c>
      <c r="V42" s="18">
        <v>100000</v>
      </c>
    </row>
    <row r="43" spans="1:22" s="3" customFormat="1" x14ac:dyDescent="0.15">
      <c r="A43" s="18">
        <v>104202</v>
      </c>
      <c r="B43" s="19" t="s">
        <v>479</v>
      </c>
      <c r="C43" s="18" t="s">
        <v>33</v>
      </c>
      <c r="D43" s="18">
        <v>2</v>
      </c>
      <c r="E43" s="18">
        <v>4</v>
      </c>
      <c r="F43" s="18" t="s">
        <v>447</v>
      </c>
      <c r="G43" s="18" t="s">
        <v>457</v>
      </c>
      <c r="H43" s="18">
        <v>4</v>
      </c>
      <c r="I43" s="3">
        <v>0</v>
      </c>
      <c r="J43" s="20">
        <v>3</v>
      </c>
      <c r="K43" s="18">
        <v>4</v>
      </c>
      <c r="L43" s="18" t="s">
        <v>10009</v>
      </c>
      <c r="M43" s="18">
        <v>0</v>
      </c>
      <c r="N43" s="20">
        <v>1</v>
      </c>
      <c r="O43" s="20" t="b">
        <v>1</v>
      </c>
      <c r="P43" s="18">
        <v>320</v>
      </c>
      <c r="Q43" s="18">
        <v>0</v>
      </c>
      <c r="R43" s="18">
        <v>2</v>
      </c>
      <c r="S43" s="18" t="s">
        <v>38</v>
      </c>
      <c r="T43" s="32" t="s">
        <v>482</v>
      </c>
      <c r="U43" s="20" t="s">
        <v>10013</v>
      </c>
      <c r="V43" s="18">
        <v>100000</v>
      </c>
    </row>
    <row r="44" spans="1:22" s="3" customFormat="1" x14ac:dyDescent="0.15">
      <c r="A44" s="18">
        <v>104302</v>
      </c>
      <c r="B44" s="19" t="s">
        <v>557</v>
      </c>
      <c r="C44" s="18" t="s">
        <v>33</v>
      </c>
      <c r="D44" s="18">
        <v>2</v>
      </c>
      <c r="E44" s="18">
        <v>4</v>
      </c>
      <c r="F44" s="18" t="s">
        <v>447</v>
      </c>
      <c r="G44" s="18" t="s">
        <v>618</v>
      </c>
      <c r="H44" s="18">
        <v>4</v>
      </c>
      <c r="I44" s="18">
        <v>0</v>
      </c>
      <c r="J44" s="20">
        <v>3</v>
      </c>
      <c r="K44" s="18">
        <v>4</v>
      </c>
      <c r="L44" s="18" t="s">
        <v>10014</v>
      </c>
      <c r="M44" s="18">
        <v>0</v>
      </c>
      <c r="N44" s="20">
        <v>1</v>
      </c>
      <c r="O44" s="20" t="b">
        <v>1</v>
      </c>
      <c r="P44" s="18">
        <v>320</v>
      </c>
      <c r="Q44" s="18">
        <v>0</v>
      </c>
      <c r="R44" s="18">
        <v>2</v>
      </c>
      <c r="S44" s="18" t="s">
        <v>38</v>
      </c>
      <c r="T44" s="33" t="s">
        <v>560</v>
      </c>
      <c r="U44" s="20" t="s">
        <v>620</v>
      </c>
      <c r="V44" s="18">
        <v>100000</v>
      </c>
    </row>
    <row r="45" spans="1:22" s="3" customFormat="1" x14ac:dyDescent="0.15">
      <c r="A45" s="18">
        <v>105202</v>
      </c>
      <c r="B45" s="19" t="s">
        <v>648</v>
      </c>
      <c r="C45" s="18" t="s">
        <v>33</v>
      </c>
      <c r="D45" s="18">
        <v>2</v>
      </c>
      <c r="E45" s="18">
        <v>5</v>
      </c>
      <c r="F45" s="18" t="s">
        <v>631</v>
      </c>
      <c r="G45" s="18" t="s">
        <v>641</v>
      </c>
      <c r="H45" s="18">
        <v>4</v>
      </c>
      <c r="I45" s="18">
        <v>0</v>
      </c>
      <c r="J45" s="20">
        <v>3</v>
      </c>
      <c r="K45" s="18">
        <v>4</v>
      </c>
      <c r="L45" s="18" t="s">
        <v>10015</v>
      </c>
      <c r="M45" s="18">
        <v>0</v>
      </c>
      <c r="N45" s="20">
        <v>1</v>
      </c>
      <c r="O45" s="20" t="b">
        <v>1</v>
      </c>
      <c r="P45" s="18">
        <v>320</v>
      </c>
      <c r="Q45" s="18">
        <v>0</v>
      </c>
      <c r="R45" s="18">
        <v>2</v>
      </c>
      <c r="S45" s="18" t="s">
        <v>38</v>
      </c>
      <c r="T45" s="32" t="s">
        <v>10016</v>
      </c>
      <c r="U45" s="20" t="s">
        <v>711</v>
      </c>
      <c r="V45" s="18">
        <v>100000</v>
      </c>
    </row>
    <row r="46" spans="1:22" s="3" customFormat="1" x14ac:dyDescent="0.15">
      <c r="A46" s="18">
        <v>106202</v>
      </c>
      <c r="B46" s="19" t="s">
        <v>9562</v>
      </c>
      <c r="C46" s="18" t="s">
        <v>33</v>
      </c>
      <c r="D46" s="18">
        <v>2</v>
      </c>
      <c r="E46" s="18">
        <v>6</v>
      </c>
      <c r="F46" s="18" t="s">
        <v>727</v>
      </c>
      <c r="G46" s="18"/>
      <c r="H46" s="18">
        <v>4</v>
      </c>
      <c r="I46" s="18">
        <v>0</v>
      </c>
      <c r="J46" s="20">
        <v>3</v>
      </c>
      <c r="K46" s="18">
        <v>4</v>
      </c>
      <c r="L46" s="18" t="s">
        <v>10015</v>
      </c>
      <c r="M46" s="18">
        <v>0</v>
      </c>
      <c r="N46" s="20">
        <v>1</v>
      </c>
      <c r="O46" s="20" t="b">
        <v>1</v>
      </c>
      <c r="P46" s="18">
        <v>320</v>
      </c>
      <c r="Q46" s="18">
        <v>0</v>
      </c>
      <c r="R46" s="18">
        <v>2</v>
      </c>
      <c r="S46" s="18" t="s">
        <v>38</v>
      </c>
      <c r="T46" s="32" t="s">
        <v>10017</v>
      </c>
      <c r="U46" s="20" t="s">
        <v>9564</v>
      </c>
      <c r="V46" s="18">
        <v>100000</v>
      </c>
    </row>
    <row r="47" spans="1:22" s="3" customFormat="1" x14ac:dyDescent="0.15">
      <c r="A47" s="18">
        <v>109202</v>
      </c>
      <c r="B47" s="19" t="s">
        <v>826</v>
      </c>
      <c r="C47" s="18" t="s">
        <v>33</v>
      </c>
      <c r="D47" s="18">
        <v>2</v>
      </c>
      <c r="E47" s="18">
        <v>9</v>
      </c>
      <c r="F47" s="18" t="s">
        <v>812</v>
      </c>
      <c r="G47" s="18"/>
      <c r="H47" s="18">
        <v>4</v>
      </c>
      <c r="I47" s="18">
        <v>0</v>
      </c>
      <c r="J47" s="20">
        <v>3</v>
      </c>
      <c r="K47" s="18">
        <v>4</v>
      </c>
      <c r="L47" s="18" t="s">
        <v>10006</v>
      </c>
      <c r="M47" s="18">
        <v>0</v>
      </c>
      <c r="N47" s="20">
        <v>1</v>
      </c>
      <c r="O47" s="20" t="b">
        <v>1</v>
      </c>
      <c r="P47" s="18">
        <v>320</v>
      </c>
      <c r="Q47" s="18">
        <v>0</v>
      </c>
      <c r="R47" s="18">
        <v>2</v>
      </c>
      <c r="S47" s="18" t="s">
        <v>38</v>
      </c>
      <c r="T47" s="34" t="s">
        <v>10018</v>
      </c>
      <c r="U47" s="20" t="s">
        <v>9566</v>
      </c>
      <c r="V47" s="18">
        <v>100000</v>
      </c>
    </row>
    <row r="48" spans="1:22" s="3" customFormat="1" ht="27" x14ac:dyDescent="0.15">
      <c r="A48" s="18">
        <v>110202</v>
      </c>
      <c r="B48" s="19" t="s">
        <v>9567</v>
      </c>
      <c r="C48" s="18" t="s">
        <v>33</v>
      </c>
      <c r="D48" s="18">
        <v>2</v>
      </c>
      <c r="E48" s="18">
        <v>10</v>
      </c>
      <c r="F48" s="18" t="s">
        <v>887</v>
      </c>
      <c r="G48" s="18" t="s">
        <v>894</v>
      </c>
      <c r="H48" s="18">
        <v>4</v>
      </c>
      <c r="I48" s="18">
        <v>0</v>
      </c>
      <c r="J48" s="20">
        <v>3</v>
      </c>
      <c r="K48" s="18">
        <v>4</v>
      </c>
      <c r="L48" s="18" t="s">
        <v>10009</v>
      </c>
      <c r="M48" s="18">
        <v>0</v>
      </c>
      <c r="N48" s="20">
        <v>1</v>
      </c>
      <c r="O48" s="20" t="b">
        <v>1</v>
      </c>
      <c r="P48" s="18">
        <v>320</v>
      </c>
      <c r="Q48" s="18">
        <v>0</v>
      </c>
      <c r="R48" s="18">
        <v>2</v>
      </c>
      <c r="S48" s="18" t="s">
        <v>38</v>
      </c>
      <c r="T48" s="32" t="s">
        <v>10019</v>
      </c>
      <c r="U48" s="20" t="s">
        <v>9569</v>
      </c>
      <c r="V48" s="18">
        <v>100000</v>
      </c>
    </row>
    <row r="49" spans="1:22" s="3" customFormat="1" x14ac:dyDescent="0.15">
      <c r="A49" s="18">
        <v>111202</v>
      </c>
      <c r="B49" s="19" t="s">
        <v>10020</v>
      </c>
      <c r="C49" s="18" t="s">
        <v>33</v>
      </c>
      <c r="D49" s="18">
        <v>2</v>
      </c>
      <c r="E49" s="18">
        <v>11</v>
      </c>
      <c r="F49" s="18" t="s">
        <v>971</v>
      </c>
      <c r="G49" s="18"/>
      <c r="H49" s="18">
        <v>4</v>
      </c>
      <c r="I49" s="18">
        <v>0</v>
      </c>
      <c r="J49" s="20">
        <v>3</v>
      </c>
      <c r="K49" s="18">
        <v>4</v>
      </c>
      <c r="L49" s="18" t="s">
        <v>10009</v>
      </c>
      <c r="M49" s="18">
        <v>0</v>
      </c>
      <c r="N49" s="20">
        <v>1</v>
      </c>
      <c r="O49" s="20" t="b">
        <v>1</v>
      </c>
      <c r="P49" s="18">
        <v>320</v>
      </c>
      <c r="Q49" s="18">
        <v>0</v>
      </c>
      <c r="R49" s="18">
        <v>2</v>
      </c>
      <c r="S49" s="18" t="s">
        <v>38</v>
      </c>
      <c r="T49" s="35" t="s">
        <v>10021</v>
      </c>
      <c r="U49" s="20" t="s">
        <v>10022</v>
      </c>
      <c r="V49" s="18">
        <v>100000</v>
      </c>
    </row>
    <row r="50" spans="1:22" s="3" customFormat="1" x14ac:dyDescent="0.15">
      <c r="A50" s="18">
        <v>200102</v>
      </c>
      <c r="B50" s="19" t="s">
        <v>9570</v>
      </c>
      <c r="C50" s="18" t="s">
        <v>1408</v>
      </c>
      <c r="D50" s="18">
        <v>2</v>
      </c>
      <c r="E50" s="18">
        <v>0</v>
      </c>
      <c r="F50" s="18">
        <v>0</v>
      </c>
      <c r="G50" s="18"/>
      <c r="H50" s="18">
        <v>4</v>
      </c>
      <c r="I50" s="18">
        <v>0</v>
      </c>
      <c r="J50" s="20">
        <v>4</v>
      </c>
      <c r="K50" s="18">
        <v>4</v>
      </c>
      <c r="L50" s="18" t="s">
        <v>10023</v>
      </c>
      <c r="M50" s="18">
        <v>0</v>
      </c>
      <c r="N50" s="20">
        <v>1</v>
      </c>
      <c r="O50" s="20" t="b">
        <v>1</v>
      </c>
      <c r="P50" s="18">
        <v>300</v>
      </c>
      <c r="Q50" s="18">
        <v>0</v>
      </c>
      <c r="R50" s="18">
        <v>2</v>
      </c>
      <c r="S50" s="18" t="s">
        <v>38</v>
      </c>
      <c r="T50" s="33" t="s">
        <v>10024</v>
      </c>
      <c r="U50" s="20" t="s">
        <v>9573</v>
      </c>
      <c r="V50" s="18">
        <v>300000</v>
      </c>
    </row>
    <row r="51" spans="1:22" s="3" customFormat="1" x14ac:dyDescent="0.15">
      <c r="A51" s="18">
        <v>300102</v>
      </c>
      <c r="B51" s="19" t="s">
        <v>1537</v>
      </c>
      <c r="C51" s="19" t="s">
        <v>1508</v>
      </c>
      <c r="D51" s="18">
        <v>2</v>
      </c>
      <c r="E51" s="18">
        <v>0</v>
      </c>
      <c r="F51" s="18">
        <v>0</v>
      </c>
      <c r="G51" s="19"/>
      <c r="H51" s="18">
        <v>4</v>
      </c>
      <c r="I51" s="18">
        <v>0</v>
      </c>
      <c r="J51" s="20">
        <v>4</v>
      </c>
      <c r="K51" s="18">
        <v>4</v>
      </c>
      <c r="L51" s="18" t="s">
        <v>10025</v>
      </c>
      <c r="M51" s="18">
        <v>0</v>
      </c>
      <c r="N51" s="20">
        <v>1</v>
      </c>
      <c r="O51" s="20" t="b">
        <v>1</v>
      </c>
      <c r="P51" s="18">
        <v>260</v>
      </c>
      <c r="Q51" s="18">
        <v>0</v>
      </c>
      <c r="R51" s="18">
        <v>2</v>
      </c>
      <c r="S51" s="18" t="s">
        <v>38</v>
      </c>
      <c r="T51" s="32" t="s">
        <v>10026</v>
      </c>
      <c r="U51" s="20" t="s">
        <v>9576</v>
      </c>
      <c r="V51" s="18">
        <v>300000</v>
      </c>
    </row>
    <row r="52" spans="1:22" s="3" customFormat="1" x14ac:dyDescent="0.15">
      <c r="A52" s="18">
        <v>400102</v>
      </c>
      <c r="B52" s="19" t="s">
        <v>9577</v>
      </c>
      <c r="C52" s="19" t="s">
        <v>1594</v>
      </c>
      <c r="D52" s="18">
        <v>2</v>
      </c>
      <c r="E52" s="18">
        <v>0</v>
      </c>
      <c r="F52" s="18">
        <v>0</v>
      </c>
      <c r="G52" s="19"/>
      <c r="H52" s="18">
        <v>4</v>
      </c>
      <c r="I52" s="18">
        <v>0</v>
      </c>
      <c r="J52" s="20">
        <v>4</v>
      </c>
      <c r="K52" s="18">
        <v>4</v>
      </c>
      <c r="L52" s="18" t="s">
        <v>10027</v>
      </c>
      <c r="M52" s="18">
        <v>0</v>
      </c>
      <c r="N52" s="20">
        <v>1</v>
      </c>
      <c r="O52" s="20" t="b">
        <v>1</v>
      </c>
      <c r="P52" s="18">
        <v>275</v>
      </c>
      <c r="Q52" s="18">
        <v>0</v>
      </c>
      <c r="R52" s="18">
        <v>2</v>
      </c>
      <c r="S52" s="18" t="s">
        <v>38</v>
      </c>
      <c r="T52" s="32" t="s">
        <v>10028</v>
      </c>
      <c r="U52" s="20" t="s">
        <v>1661</v>
      </c>
      <c r="V52" s="18">
        <v>300000</v>
      </c>
    </row>
    <row r="53" spans="1:22" s="3" customFormat="1" x14ac:dyDescent="0.15">
      <c r="A53" s="18">
        <v>500102</v>
      </c>
      <c r="B53" s="19" t="s">
        <v>1696</v>
      </c>
      <c r="C53" s="19" t="s">
        <v>1672</v>
      </c>
      <c r="D53" s="18">
        <v>2</v>
      </c>
      <c r="E53" s="18">
        <v>0</v>
      </c>
      <c r="F53" s="18">
        <v>0</v>
      </c>
      <c r="G53" s="19"/>
      <c r="H53" s="18">
        <v>4</v>
      </c>
      <c r="I53" s="18">
        <v>0</v>
      </c>
      <c r="J53" s="20">
        <v>4</v>
      </c>
      <c r="K53" s="18">
        <v>4</v>
      </c>
      <c r="L53" s="18" t="s">
        <v>9581</v>
      </c>
      <c r="M53" s="18">
        <v>0</v>
      </c>
      <c r="N53" s="20">
        <v>1</v>
      </c>
      <c r="O53" s="20" t="b">
        <v>1</v>
      </c>
      <c r="P53" s="18">
        <v>250</v>
      </c>
      <c r="Q53" s="18">
        <v>0</v>
      </c>
      <c r="R53" s="18">
        <v>2</v>
      </c>
      <c r="S53" s="18" t="s">
        <v>38</v>
      </c>
      <c r="T53" s="32" t="s">
        <v>10029</v>
      </c>
      <c r="U53" s="20" t="s">
        <v>9583</v>
      </c>
      <c r="V53" s="18">
        <v>300000</v>
      </c>
    </row>
    <row r="54" spans="1:22" s="3" customFormat="1" x14ac:dyDescent="0.15">
      <c r="A54" s="18">
        <v>600102</v>
      </c>
      <c r="B54" s="20" t="s">
        <v>9584</v>
      </c>
      <c r="C54" s="19" t="s">
        <v>1746</v>
      </c>
      <c r="D54" s="18">
        <v>2</v>
      </c>
      <c r="E54" s="18">
        <v>0</v>
      </c>
      <c r="F54" s="18">
        <v>0</v>
      </c>
      <c r="G54" s="19"/>
      <c r="H54" s="18">
        <v>4</v>
      </c>
      <c r="I54" s="18">
        <v>0</v>
      </c>
      <c r="J54" s="20">
        <v>2</v>
      </c>
      <c r="K54" s="18">
        <v>4</v>
      </c>
      <c r="L54" s="18" t="s">
        <v>10030</v>
      </c>
      <c r="M54" s="18">
        <v>0</v>
      </c>
      <c r="N54" s="20">
        <v>1</v>
      </c>
      <c r="O54" s="20" t="b">
        <v>1</v>
      </c>
      <c r="P54" s="18">
        <v>250</v>
      </c>
      <c r="Q54" s="18">
        <v>0</v>
      </c>
      <c r="R54" s="18">
        <v>2</v>
      </c>
      <c r="S54" s="18" t="s">
        <v>38</v>
      </c>
      <c r="T54" s="32" t="s">
        <v>9586</v>
      </c>
      <c r="U54" s="20" t="s">
        <v>9587</v>
      </c>
      <c r="V54" s="18">
        <v>300000</v>
      </c>
    </row>
    <row r="55" spans="1:22" s="3" customFormat="1" x14ac:dyDescent="0.15">
      <c r="A55" s="18">
        <v>700102</v>
      </c>
      <c r="B55" s="19" t="s">
        <v>1858</v>
      </c>
      <c r="C55" s="19" t="s">
        <v>1832</v>
      </c>
      <c r="D55" s="18">
        <v>2</v>
      </c>
      <c r="E55" s="18">
        <v>0</v>
      </c>
      <c r="F55" s="18">
        <v>0</v>
      </c>
      <c r="G55" s="19"/>
      <c r="H55" s="18">
        <v>4</v>
      </c>
      <c r="I55" s="18">
        <v>0</v>
      </c>
      <c r="J55" s="20">
        <v>2</v>
      </c>
      <c r="K55" s="18">
        <v>4</v>
      </c>
      <c r="L55" s="18" t="s">
        <v>9588</v>
      </c>
      <c r="M55" s="18">
        <v>0</v>
      </c>
      <c r="N55" s="20">
        <v>1</v>
      </c>
      <c r="O55" s="20" t="b">
        <v>1</v>
      </c>
      <c r="P55" s="18">
        <v>235</v>
      </c>
      <c r="Q55" s="18">
        <v>0</v>
      </c>
      <c r="R55" s="18">
        <v>2</v>
      </c>
      <c r="S55" s="18" t="s">
        <v>38</v>
      </c>
      <c r="T55" s="3" t="s">
        <v>1861</v>
      </c>
      <c r="U55" s="20" t="s">
        <v>9589</v>
      </c>
      <c r="V55" s="18">
        <v>300000</v>
      </c>
    </row>
    <row r="56" spans="1:22" s="3" customFormat="1" x14ac:dyDescent="0.15">
      <c r="A56" s="18">
        <v>800102</v>
      </c>
      <c r="B56" s="19" t="s">
        <v>9590</v>
      </c>
      <c r="C56" s="19" t="s">
        <v>1908</v>
      </c>
      <c r="D56" s="18">
        <v>2</v>
      </c>
      <c r="E56" s="18">
        <v>0</v>
      </c>
      <c r="F56" s="18">
        <v>0</v>
      </c>
      <c r="G56" s="19"/>
      <c r="H56" s="18">
        <v>4</v>
      </c>
      <c r="I56" s="18">
        <v>0</v>
      </c>
      <c r="J56" s="20">
        <v>2</v>
      </c>
      <c r="K56" s="18">
        <v>4</v>
      </c>
      <c r="L56" s="18" t="s">
        <v>10031</v>
      </c>
      <c r="M56" s="18">
        <v>0</v>
      </c>
      <c r="N56" s="20">
        <v>1</v>
      </c>
      <c r="O56" s="20" t="b">
        <v>1</v>
      </c>
      <c r="P56" s="18">
        <v>260</v>
      </c>
      <c r="Q56" s="18">
        <v>0</v>
      </c>
      <c r="R56" s="18">
        <v>2</v>
      </c>
      <c r="S56" s="18" t="s">
        <v>38</v>
      </c>
      <c r="T56" s="3" t="s">
        <v>10032</v>
      </c>
      <c r="U56" s="20" t="s">
        <v>9593</v>
      </c>
      <c r="V56" s="18">
        <v>300000</v>
      </c>
    </row>
    <row r="57" spans="1:22" x14ac:dyDescent="0.15">
      <c r="A57" s="15">
        <v>101003</v>
      </c>
      <c r="B57" s="17" t="s">
        <v>9594</v>
      </c>
      <c r="C57" s="15" t="s">
        <v>33</v>
      </c>
      <c r="D57" s="15">
        <v>1</v>
      </c>
      <c r="E57" s="15">
        <v>1</v>
      </c>
      <c r="F57" s="15" t="s">
        <v>34</v>
      </c>
      <c r="G57" s="15"/>
      <c r="H57" s="15">
        <v>1</v>
      </c>
      <c r="I57" s="15">
        <v>1</v>
      </c>
      <c r="J57" s="25">
        <v>3</v>
      </c>
      <c r="K57" s="15" t="s">
        <v>70</v>
      </c>
      <c r="L57" s="15" t="s">
        <v>1765</v>
      </c>
      <c r="M57" s="15">
        <v>0</v>
      </c>
      <c r="N57" s="25">
        <v>1</v>
      </c>
      <c r="O57" s="25" t="b">
        <v>1</v>
      </c>
      <c r="P57" s="15">
        <v>400</v>
      </c>
      <c r="Q57" s="15">
        <v>0</v>
      </c>
      <c r="R57" s="15">
        <v>3</v>
      </c>
      <c r="S57" s="15" t="s">
        <v>38</v>
      </c>
      <c r="T57" s="29" t="s">
        <v>10033</v>
      </c>
      <c r="U57" s="25" t="s">
        <v>60</v>
      </c>
      <c r="V57" s="15">
        <v>300000</v>
      </c>
    </row>
    <row r="58" spans="1:22" x14ac:dyDescent="0.15">
      <c r="A58" s="15">
        <v>102003</v>
      </c>
      <c r="B58" s="17" t="s">
        <v>159</v>
      </c>
      <c r="C58" s="15" t="s">
        <v>33</v>
      </c>
      <c r="D58" s="15">
        <v>1</v>
      </c>
      <c r="E58" s="15">
        <v>2</v>
      </c>
      <c r="F58" s="15" t="s">
        <v>134</v>
      </c>
      <c r="G58" s="15" t="s">
        <v>167</v>
      </c>
      <c r="H58" s="15">
        <v>1</v>
      </c>
      <c r="I58" s="15">
        <v>1</v>
      </c>
      <c r="J58" s="25">
        <v>3</v>
      </c>
      <c r="K58" s="15" t="s">
        <v>70</v>
      </c>
      <c r="L58" s="15" t="s">
        <v>9599</v>
      </c>
      <c r="M58" s="15">
        <v>0</v>
      </c>
      <c r="N58" s="25">
        <v>1</v>
      </c>
      <c r="O58" s="25" t="b">
        <v>1</v>
      </c>
      <c r="P58" s="15">
        <v>400</v>
      </c>
      <c r="Q58" s="15">
        <v>0</v>
      </c>
      <c r="R58" s="15">
        <v>3</v>
      </c>
      <c r="S58" s="15" t="s">
        <v>38</v>
      </c>
      <c r="T58" s="29" t="s">
        <v>10034</v>
      </c>
      <c r="U58" s="25" t="s">
        <v>158</v>
      </c>
      <c r="V58" s="15">
        <v>300000</v>
      </c>
    </row>
    <row r="59" spans="1:22" x14ac:dyDescent="0.15">
      <c r="A59" s="15">
        <v>102103</v>
      </c>
      <c r="B59" s="17" t="s">
        <v>9598</v>
      </c>
      <c r="C59" s="15" t="s">
        <v>33</v>
      </c>
      <c r="D59" s="15">
        <v>1</v>
      </c>
      <c r="E59" s="15">
        <v>2</v>
      </c>
      <c r="F59" s="15" t="s">
        <v>134</v>
      </c>
      <c r="G59" s="15" t="s">
        <v>230</v>
      </c>
      <c r="H59" s="15">
        <v>1</v>
      </c>
      <c r="I59" s="15">
        <v>1</v>
      </c>
      <c r="J59" s="25">
        <v>3</v>
      </c>
      <c r="K59" s="15" t="s">
        <v>70</v>
      </c>
      <c r="L59" s="15" t="s">
        <v>9599</v>
      </c>
      <c r="M59" s="15">
        <v>0</v>
      </c>
      <c r="N59" s="25">
        <v>1</v>
      </c>
      <c r="O59" s="25" t="b">
        <v>1</v>
      </c>
      <c r="P59" s="15">
        <v>400</v>
      </c>
      <c r="Q59" s="15">
        <v>0</v>
      </c>
      <c r="R59" s="15">
        <v>3</v>
      </c>
      <c r="S59" s="15" t="s">
        <v>38</v>
      </c>
      <c r="T59" s="31" t="s">
        <v>237</v>
      </c>
      <c r="U59" s="25" t="s">
        <v>233</v>
      </c>
      <c r="V59" s="15">
        <v>300000</v>
      </c>
    </row>
    <row r="60" spans="1:22" x14ac:dyDescent="0.15">
      <c r="A60" s="15">
        <v>104003</v>
      </c>
      <c r="B60" s="17" t="s">
        <v>10035</v>
      </c>
      <c r="C60" s="15" t="s">
        <v>33</v>
      </c>
      <c r="D60" s="15">
        <v>1</v>
      </c>
      <c r="E60" s="15">
        <v>4</v>
      </c>
      <c r="F60" s="15" t="s">
        <v>447</v>
      </c>
      <c r="G60" s="15" t="s">
        <v>463</v>
      </c>
      <c r="H60" s="15">
        <v>1</v>
      </c>
      <c r="I60" s="15">
        <v>1</v>
      </c>
      <c r="J60" s="25">
        <v>3</v>
      </c>
      <c r="K60" s="15" t="s">
        <v>70</v>
      </c>
      <c r="L60" s="15" t="s">
        <v>9602</v>
      </c>
      <c r="M60" s="15">
        <v>0</v>
      </c>
      <c r="N60" s="25">
        <v>1</v>
      </c>
      <c r="O60" s="25" t="b">
        <v>1</v>
      </c>
      <c r="P60" s="15">
        <v>400</v>
      </c>
      <c r="Q60" s="15">
        <v>0</v>
      </c>
      <c r="R60" s="15">
        <v>3</v>
      </c>
      <c r="S60" s="15" t="s">
        <v>38</v>
      </c>
      <c r="T60" s="29" t="s">
        <v>10036</v>
      </c>
      <c r="U60" s="25" t="s">
        <v>466</v>
      </c>
      <c r="V60" s="15">
        <v>300000</v>
      </c>
    </row>
    <row r="61" spans="1:22" x14ac:dyDescent="0.15">
      <c r="A61" s="15">
        <v>104103</v>
      </c>
      <c r="B61" s="21" t="s">
        <v>9604</v>
      </c>
      <c r="C61" s="15" t="s">
        <v>33</v>
      </c>
      <c r="D61" s="15">
        <v>1</v>
      </c>
      <c r="E61" s="15">
        <v>4</v>
      </c>
      <c r="F61" s="15" t="s">
        <v>447</v>
      </c>
      <c r="G61" s="15" t="s">
        <v>532</v>
      </c>
      <c r="H61" s="15">
        <v>1</v>
      </c>
      <c r="I61" s="15">
        <v>1</v>
      </c>
      <c r="J61" s="25">
        <v>3</v>
      </c>
      <c r="K61" s="15" t="s">
        <v>70</v>
      </c>
      <c r="L61" s="15" t="s">
        <v>9599</v>
      </c>
      <c r="M61" s="15">
        <v>0</v>
      </c>
      <c r="N61" s="25">
        <v>1</v>
      </c>
      <c r="O61" s="25" t="b">
        <v>1</v>
      </c>
      <c r="P61" s="15">
        <v>400</v>
      </c>
      <c r="Q61" s="15">
        <v>0</v>
      </c>
      <c r="R61" s="15">
        <v>3</v>
      </c>
      <c r="S61" s="15" t="s">
        <v>38</v>
      </c>
      <c r="T61" s="36" t="s">
        <v>10037</v>
      </c>
      <c r="U61" s="25" t="s">
        <v>535</v>
      </c>
      <c r="V61" s="15">
        <v>300000</v>
      </c>
    </row>
    <row r="62" spans="1:22" x14ac:dyDescent="0.15">
      <c r="A62" s="15">
        <v>105003</v>
      </c>
      <c r="B62" s="21" t="s">
        <v>9607</v>
      </c>
      <c r="C62" s="15" t="s">
        <v>33</v>
      </c>
      <c r="D62" s="15">
        <v>1</v>
      </c>
      <c r="E62" s="15">
        <v>5</v>
      </c>
      <c r="F62" s="15" t="s">
        <v>631</v>
      </c>
      <c r="G62" s="15" t="s">
        <v>656</v>
      </c>
      <c r="H62" s="15">
        <v>1</v>
      </c>
      <c r="I62" s="15">
        <v>1</v>
      </c>
      <c r="J62" s="25">
        <v>3</v>
      </c>
      <c r="K62" s="15" t="s">
        <v>70</v>
      </c>
      <c r="L62" s="15" t="s">
        <v>9599</v>
      </c>
      <c r="M62" s="15">
        <v>0</v>
      </c>
      <c r="N62" s="25">
        <v>1</v>
      </c>
      <c r="O62" s="25" t="b">
        <v>1</v>
      </c>
      <c r="P62" s="15">
        <v>400</v>
      </c>
      <c r="Q62" s="15">
        <v>0</v>
      </c>
      <c r="R62" s="15">
        <v>3</v>
      </c>
      <c r="S62" s="15" t="s">
        <v>38</v>
      </c>
      <c r="T62" s="29" t="s">
        <v>10038</v>
      </c>
      <c r="U62" s="25" t="s">
        <v>653</v>
      </c>
      <c r="V62" s="15">
        <v>300000</v>
      </c>
    </row>
    <row r="63" spans="1:22" x14ac:dyDescent="0.15">
      <c r="A63" s="15">
        <v>103003</v>
      </c>
      <c r="B63" s="21" t="s">
        <v>9611</v>
      </c>
      <c r="C63" s="15" t="s">
        <v>33</v>
      </c>
      <c r="D63" s="15">
        <v>1</v>
      </c>
      <c r="E63" s="15">
        <v>3</v>
      </c>
      <c r="F63" s="15" t="s">
        <v>363</v>
      </c>
      <c r="G63" s="15" t="s">
        <v>376</v>
      </c>
      <c r="H63" s="15">
        <v>1</v>
      </c>
      <c r="I63" s="15">
        <v>1</v>
      </c>
      <c r="J63" s="25">
        <v>3</v>
      </c>
      <c r="K63" s="15" t="s">
        <v>70</v>
      </c>
      <c r="L63" s="15" t="s">
        <v>9605</v>
      </c>
      <c r="M63" s="15">
        <v>0</v>
      </c>
      <c r="N63" s="25">
        <v>1</v>
      </c>
      <c r="O63" s="25" t="b">
        <v>1</v>
      </c>
      <c r="P63" s="15">
        <v>400</v>
      </c>
      <c r="Q63" s="15">
        <v>0</v>
      </c>
      <c r="R63" s="15">
        <v>3</v>
      </c>
      <c r="S63" s="15" t="s">
        <v>38</v>
      </c>
      <c r="T63" s="29" t="s">
        <v>10039</v>
      </c>
      <c r="U63" s="25" t="s">
        <v>379</v>
      </c>
      <c r="V63" s="15">
        <v>300000</v>
      </c>
    </row>
    <row r="64" spans="1:22" x14ac:dyDescent="0.15">
      <c r="A64" s="15">
        <v>106003</v>
      </c>
      <c r="B64" s="17" t="s">
        <v>9615</v>
      </c>
      <c r="C64" s="15" t="s">
        <v>33</v>
      </c>
      <c r="D64" s="15">
        <v>1</v>
      </c>
      <c r="E64" s="15">
        <v>6</v>
      </c>
      <c r="F64" s="15" t="s">
        <v>727</v>
      </c>
      <c r="H64" s="15">
        <v>1</v>
      </c>
      <c r="I64" s="15">
        <v>1</v>
      </c>
      <c r="J64" s="25">
        <v>3</v>
      </c>
      <c r="K64" s="15" t="s">
        <v>70</v>
      </c>
      <c r="L64" s="15" t="s">
        <v>1765</v>
      </c>
      <c r="M64" s="15">
        <v>0</v>
      </c>
      <c r="N64" s="25">
        <v>1</v>
      </c>
      <c r="O64" s="25" t="b">
        <v>1</v>
      </c>
      <c r="P64" s="15">
        <v>400</v>
      </c>
      <c r="Q64" s="15">
        <v>0</v>
      </c>
      <c r="R64" s="15">
        <v>3</v>
      </c>
      <c r="S64" s="15" t="s">
        <v>38</v>
      </c>
      <c r="T64" s="37" t="s">
        <v>10040</v>
      </c>
      <c r="U64" s="25" t="s">
        <v>743</v>
      </c>
      <c r="V64" s="15">
        <v>300000</v>
      </c>
    </row>
    <row r="65" spans="1:23" x14ac:dyDescent="0.15">
      <c r="A65" s="15">
        <v>109003</v>
      </c>
      <c r="B65" s="17" t="s">
        <v>9618</v>
      </c>
      <c r="C65" s="15" t="s">
        <v>33</v>
      </c>
      <c r="D65" s="15">
        <v>1</v>
      </c>
      <c r="E65" s="15">
        <v>9</v>
      </c>
      <c r="F65" s="15" t="s">
        <v>812</v>
      </c>
      <c r="G65" s="15"/>
      <c r="H65" s="15">
        <v>1</v>
      </c>
      <c r="I65" s="15">
        <v>1</v>
      </c>
      <c r="J65" s="25">
        <v>3</v>
      </c>
      <c r="K65" s="15" t="s">
        <v>70</v>
      </c>
      <c r="L65" s="15" t="s">
        <v>1765</v>
      </c>
      <c r="M65" s="15">
        <v>0</v>
      </c>
      <c r="N65" s="25">
        <v>1</v>
      </c>
      <c r="O65" s="25" t="b">
        <v>1</v>
      </c>
      <c r="P65" s="15">
        <v>400</v>
      </c>
      <c r="Q65" s="15">
        <v>0</v>
      </c>
      <c r="R65" s="15">
        <v>3</v>
      </c>
      <c r="S65" s="15" t="s">
        <v>38</v>
      </c>
      <c r="T65" s="31" t="s">
        <v>10041</v>
      </c>
      <c r="U65" s="25" t="s">
        <v>825</v>
      </c>
      <c r="V65" s="15">
        <v>300000</v>
      </c>
    </row>
    <row r="66" spans="1:23" ht="27" x14ac:dyDescent="0.15">
      <c r="A66" s="15">
        <v>110003</v>
      </c>
      <c r="B66" s="17" t="s">
        <v>9621</v>
      </c>
      <c r="C66" s="15" t="s">
        <v>33</v>
      </c>
      <c r="D66" s="15">
        <v>1</v>
      </c>
      <c r="E66" s="15">
        <v>10</v>
      </c>
      <c r="F66" s="15" t="s">
        <v>887</v>
      </c>
      <c r="G66" s="15" t="s">
        <v>900</v>
      </c>
      <c r="H66" s="15">
        <v>1</v>
      </c>
      <c r="I66" s="15">
        <v>1</v>
      </c>
      <c r="J66" s="25">
        <v>3</v>
      </c>
      <c r="K66" s="15" t="s">
        <v>70</v>
      </c>
      <c r="L66" s="15" t="s">
        <v>9599</v>
      </c>
      <c r="M66" s="15">
        <v>0</v>
      </c>
      <c r="N66" s="25">
        <v>1</v>
      </c>
      <c r="O66" s="25" t="b">
        <v>1</v>
      </c>
      <c r="P66" s="15">
        <v>400</v>
      </c>
      <c r="Q66" s="15">
        <v>0</v>
      </c>
      <c r="R66" s="15">
        <v>3</v>
      </c>
      <c r="S66" s="15" t="s">
        <v>38</v>
      </c>
      <c r="T66" s="37" t="s">
        <v>10042</v>
      </c>
      <c r="U66" s="25" t="s">
        <v>903</v>
      </c>
      <c r="V66" s="15">
        <v>300000</v>
      </c>
    </row>
    <row r="67" spans="1:23" x14ac:dyDescent="0.15">
      <c r="A67" s="15">
        <v>111003</v>
      </c>
      <c r="B67" s="16" t="s">
        <v>10043</v>
      </c>
      <c r="C67" s="15" t="s">
        <v>33</v>
      </c>
      <c r="D67" s="15">
        <v>1</v>
      </c>
      <c r="E67" s="15">
        <v>11</v>
      </c>
      <c r="F67" s="15" t="s">
        <v>971</v>
      </c>
      <c r="G67" s="15"/>
      <c r="H67" s="15">
        <v>1</v>
      </c>
      <c r="I67" s="15">
        <v>0</v>
      </c>
      <c r="J67" s="25">
        <v>3</v>
      </c>
      <c r="K67" s="15" t="s">
        <v>70</v>
      </c>
      <c r="L67" s="15" t="s">
        <v>9599</v>
      </c>
      <c r="M67" s="15">
        <v>0</v>
      </c>
      <c r="N67" s="25">
        <v>1</v>
      </c>
      <c r="O67" s="25" t="b">
        <v>1</v>
      </c>
      <c r="P67" s="15">
        <v>120</v>
      </c>
      <c r="Q67" s="15">
        <v>0</v>
      </c>
      <c r="R67" s="15">
        <v>3</v>
      </c>
      <c r="S67" s="15" t="s">
        <v>38</v>
      </c>
      <c r="T67" s="29" t="s">
        <v>10044</v>
      </c>
      <c r="U67" s="25" t="s">
        <v>987</v>
      </c>
      <c r="V67" s="15">
        <v>100000</v>
      </c>
      <c r="W67" s="30"/>
    </row>
    <row r="68" spans="1:23" x14ac:dyDescent="0.15">
      <c r="A68" s="15">
        <v>200003</v>
      </c>
      <c r="B68" s="17" t="s">
        <v>9624</v>
      </c>
      <c r="C68" s="15" t="s">
        <v>1408</v>
      </c>
      <c r="D68" s="15">
        <v>1</v>
      </c>
      <c r="E68" s="15">
        <v>0</v>
      </c>
      <c r="F68" s="15">
        <v>0</v>
      </c>
      <c r="G68" s="15"/>
      <c r="H68" s="15">
        <v>1</v>
      </c>
      <c r="I68" s="15">
        <v>1</v>
      </c>
      <c r="J68" s="25">
        <v>4</v>
      </c>
      <c r="K68" s="15" t="s">
        <v>70</v>
      </c>
      <c r="L68" s="15" t="s">
        <v>9625</v>
      </c>
      <c r="M68" s="15">
        <v>0</v>
      </c>
      <c r="N68" s="25">
        <v>1</v>
      </c>
      <c r="O68" s="25" t="b">
        <v>1</v>
      </c>
      <c r="P68" s="15">
        <v>380</v>
      </c>
      <c r="Q68" s="15">
        <v>0</v>
      </c>
      <c r="R68" s="15">
        <v>3</v>
      </c>
      <c r="S68" s="15" t="s">
        <v>38</v>
      </c>
      <c r="T68" s="29" t="s">
        <v>10045</v>
      </c>
      <c r="U68" s="25" t="s">
        <v>1424</v>
      </c>
      <c r="V68" s="15">
        <v>200000</v>
      </c>
    </row>
    <row r="69" spans="1:23" x14ac:dyDescent="0.15">
      <c r="A69" s="15">
        <v>300003</v>
      </c>
      <c r="B69" s="17" t="s">
        <v>1525</v>
      </c>
      <c r="C69" s="15" t="s">
        <v>1508</v>
      </c>
      <c r="D69" s="15">
        <v>1</v>
      </c>
      <c r="E69" s="15">
        <v>0</v>
      </c>
      <c r="F69" s="15">
        <v>0</v>
      </c>
      <c r="G69" s="15"/>
      <c r="H69" s="15">
        <v>1</v>
      </c>
      <c r="I69" s="15">
        <v>1</v>
      </c>
      <c r="J69" s="25">
        <v>4</v>
      </c>
      <c r="K69" s="15" t="s">
        <v>70</v>
      </c>
      <c r="L69" s="15" t="s">
        <v>10046</v>
      </c>
      <c r="M69" s="15">
        <v>0</v>
      </c>
      <c r="N69" s="25">
        <v>1</v>
      </c>
      <c r="O69" s="25" t="b">
        <v>1</v>
      </c>
      <c r="P69" s="15">
        <v>330</v>
      </c>
      <c r="Q69" s="15">
        <v>0</v>
      </c>
      <c r="R69" s="15">
        <v>3</v>
      </c>
      <c r="S69" s="15" t="s">
        <v>38</v>
      </c>
      <c r="T69" s="52" t="s">
        <v>1528</v>
      </c>
      <c r="U69" s="25" t="s">
        <v>1524</v>
      </c>
      <c r="V69" s="15">
        <v>100000</v>
      </c>
    </row>
    <row r="70" spans="1:23" x14ac:dyDescent="0.15">
      <c r="A70" s="15">
        <v>400003</v>
      </c>
      <c r="B70" s="17" t="s">
        <v>9631</v>
      </c>
      <c r="C70" s="15" t="s">
        <v>1594</v>
      </c>
      <c r="D70" s="15">
        <v>1</v>
      </c>
      <c r="E70" s="15">
        <v>0</v>
      </c>
      <c r="F70" s="15">
        <v>0</v>
      </c>
      <c r="G70" s="15"/>
      <c r="H70" s="15">
        <v>1</v>
      </c>
      <c r="I70" s="15">
        <v>1</v>
      </c>
      <c r="J70" s="25">
        <v>4</v>
      </c>
      <c r="K70" s="15" t="s">
        <v>70</v>
      </c>
      <c r="L70" s="15" t="s">
        <v>10047</v>
      </c>
      <c r="M70" s="15">
        <v>0</v>
      </c>
      <c r="N70" s="25">
        <v>1</v>
      </c>
      <c r="O70" s="25" t="b">
        <v>1</v>
      </c>
      <c r="P70" s="15">
        <v>300</v>
      </c>
      <c r="Q70" s="15">
        <v>0</v>
      </c>
      <c r="R70" s="15">
        <v>3</v>
      </c>
      <c r="S70" s="15" t="s">
        <v>38</v>
      </c>
      <c r="T70" s="29" t="s">
        <v>10048</v>
      </c>
      <c r="U70" s="25" t="s">
        <v>1606</v>
      </c>
      <c r="V70" s="15">
        <v>100000</v>
      </c>
    </row>
    <row r="71" spans="1:23" x14ac:dyDescent="0.15">
      <c r="A71" s="15">
        <v>500003</v>
      </c>
      <c r="B71" s="16" t="s">
        <v>9635</v>
      </c>
      <c r="C71" s="15" t="s">
        <v>1672</v>
      </c>
      <c r="D71" s="15">
        <v>1</v>
      </c>
      <c r="E71" s="15">
        <v>0</v>
      </c>
      <c r="F71" s="15">
        <v>0</v>
      </c>
      <c r="G71" s="15"/>
      <c r="H71" s="15">
        <v>1</v>
      </c>
      <c r="I71" s="15">
        <v>1</v>
      </c>
      <c r="J71" s="25">
        <v>4</v>
      </c>
      <c r="K71" s="15" t="s">
        <v>70</v>
      </c>
      <c r="L71" s="15" t="s">
        <v>10049</v>
      </c>
      <c r="M71" s="15">
        <v>0</v>
      </c>
      <c r="N71" s="25">
        <v>1</v>
      </c>
      <c r="O71" s="25" t="b">
        <v>1</v>
      </c>
      <c r="P71" s="15">
        <v>360</v>
      </c>
      <c r="Q71" s="15">
        <v>0</v>
      </c>
      <c r="R71" s="15">
        <v>3</v>
      </c>
      <c r="S71" s="15" t="s">
        <v>38</v>
      </c>
      <c r="T71" s="37" t="s">
        <v>10050</v>
      </c>
      <c r="U71" s="25" t="s">
        <v>1685</v>
      </c>
      <c r="V71" s="15">
        <v>100000</v>
      </c>
    </row>
    <row r="72" spans="1:23" x14ac:dyDescent="0.15">
      <c r="A72" s="15">
        <v>600003</v>
      </c>
      <c r="B72" s="21" t="s">
        <v>1757</v>
      </c>
      <c r="C72" s="15" t="s">
        <v>1746</v>
      </c>
      <c r="D72" s="15">
        <v>1</v>
      </c>
      <c r="E72" s="15">
        <v>0</v>
      </c>
      <c r="F72" s="15">
        <v>0</v>
      </c>
      <c r="G72" s="15"/>
      <c r="H72" s="15">
        <v>1</v>
      </c>
      <c r="I72" s="15">
        <v>1</v>
      </c>
      <c r="J72" s="25">
        <v>2</v>
      </c>
      <c r="K72" s="15" t="s">
        <v>70</v>
      </c>
      <c r="L72" s="15" t="s">
        <v>10051</v>
      </c>
      <c r="M72" s="15">
        <v>0</v>
      </c>
      <c r="N72" s="25">
        <v>1</v>
      </c>
      <c r="O72" s="25" t="b">
        <v>1</v>
      </c>
      <c r="P72" s="15">
        <v>440</v>
      </c>
      <c r="Q72" s="15">
        <v>0</v>
      </c>
      <c r="R72" s="15">
        <v>3</v>
      </c>
      <c r="S72" s="15" t="s">
        <v>38</v>
      </c>
      <c r="T72" s="29" t="s">
        <v>10052</v>
      </c>
      <c r="U72" s="25" t="s">
        <v>1762</v>
      </c>
      <c r="V72" s="15">
        <v>100000</v>
      </c>
    </row>
    <row r="73" spans="1:23" x14ac:dyDescent="0.15">
      <c r="A73" s="15">
        <v>700003</v>
      </c>
      <c r="B73" s="21" t="s">
        <v>1852</v>
      </c>
      <c r="C73" s="15" t="s">
        <v>1832</v>
      </c>
      <c r="D73" s="15">
        <v>1</v>
      </c>
      <c r="E73" s="15">
        <v>0</v>
      </c>
      <c r="F73" s="15">
        <v>0</v>
      </c>
      <c r="G73" s="15"/>
      <c r="H73" s="15">
        <v>1</v>
      </c>
      <c r="I73" s="15">
        <v>1</v>
      </c>
      <c r="J73" s="25">
        <v>2</v>
      </c>
      <c r="K73" s="15" t="s">
        <v>70</v>
      </c>
      <c r="L73" s="15" t="s">
        <v>9642</v>
      </c>
      <c r="M73" s="15">
        <v>0</v>
      </c>
      <c r="N73" s="25">
        <v>1</v>
      </c>
      <c r="O73" s="25" t="b">
        <v>1</v>
      </c>
      <c r="P73" s="15">
        <v>475</v>
      </c>
      <c r="Q73" s="15">
        <v>0</v>
      </c>
      <c r="R73" s="15">
        <v>3</v>
      </c>
      <c r="S73" s="15" t="s">
        <v>38</v>
      </c>
      <c r="T73" s="31" t="s">
        <v>1855</v>
      </c>
      <c r="U73" s="25" t="s">
        <v>1851</v>
      </c>
      <c r="V73" s="15">
        <v>200000</v>
      </c>
    </row>
    <row r="74" spans="1:23" x14ac:dyDescent="0.15">
      <c r="A74" s="15">
        <v>800003</v>
      </c>
      <c r="B74" s="21" t="s">
        <v>9644</v>
      </c>
      <c r="C74" s="15" t="s">
        <v>1908</v>
      </c>
      <c r="D74" s="15">
        <v>1</v>
      </c>
      <c r="E74" s="15">
        <v>0</v>
      </c>
      <c r="F74" s="15">
        <v>0</v>
      </c>
      <c r="G74" s="15"/>
      <c r="H74" s="15">
        <v>1</v>
      </c>
      <c r="I74" s="15">
        <v>1</v>
      </c>
      <c r="J74" s="25">
        <v>2</v>
      </c>
      <c r="K74" s="15" t="s">
        <v>70</v>
      </c>
      <c r="L74" s="15" t="s">
        <v>9477</v>
      </c>
      <c r="M74" s="15">
        <v>0</v>
      </c>
      <c r="N74" s="25">
        <v>1</v>
      </c>
      <c r="O74" s="25" t="b">
        <v>1</v>
      </c>
      <c r="P74" s="15">
        <v>410</v>
      </c>
      <c r="Q74" s="15">
        <v>0</v>
      </c>
      <c r="R74" s="15">
        <v>3</v>
      </c>
      <c r="S74" s="15" t="s">
        <v>38</v>
      </c>
      <c r="T74" s="29" t="s">
        <v>10053</v>
      </c>
      <c r="U74" s="25" t="s">
        <v>1924</v>
      </c>
      <c r="V74" s="15">
        <v>200000</v>
      </c>
    </row>
    <row r="75" spans="1:23" s="3" customFormat="1" x14ac:dyDescent="0.15">
      <c r="A75" s="18">
        <v>101203</v>
      </c>
      <c r="B75" s="19" t="s">
        <v>110</v>
      </c>
      <c r="C75" s="18" t="s">
        <v>33</v>
      </c>
      <c r="D75" s="18">
        <v>2</v>
      </c>
      <c r="E75" s="18">
        <v>1</v>
      </c>
      <c r="F75" s="18" t="s">
        <v>34</v>
      </c>
      <c r="G75" s="18"/>
      <c r="H75" s="18">
        <v>4</v>
      </c>
      <c r="I75" s="18">
        <v>0</v>
      </c>
      <c r="J75" s="18">
        <v>3</v>
      </c>
      <c r="K75" s="18">
        <v>4</v>
      </c>
      <c r="L75" s="18" t="s">
        <v>10054</v>
      </c>
      <c r="M75" s="18">
        <v>0</v>
      </c>
      <c r="N75" s="20">
        <v>1</v>
      </c>
      <c r="O75" s="20" t="b">
        <v>1</v>
      </c>
      <c r="P75" s="18">
        <v>700</v>
      </c>
      <c r="Q75" s="18">
        <v>0</v>
      </c>
      <c r="R75" s="18">
        <v>3</v>
      </c>
      <c r="S75" s="18" t="s">
        <v>38</v>
      </c>
      <c r="T75" s="33" t="s">
        <v>10055</v>
      </c>
      <c r="U75" s="20" t="s">
        <v>9649</v>
      </c>
      <c r="V75" s="18">
        <v>100000</v>
      </c>
    </row>
    <row r="76" spans="1:23" s="3" customFormat="1" x14ac:dyDescent="0.15">
      <c r="A76" s="18">
        <v>102203</v>
      </c>
      <c r="B76" s="19" t="s">
        <v>9650</v>
      </c>
      <c r="C76" s="18" t="s">
        <v>33</v>
      </c>
      <c r="D76" s="18">
        <v>2</v>
      </c>
      <c r="E76" s="18">
        <v>2</v>
      </c>
      <c r="F76" s="18" t="s">
        <v>134</v>
      </c>
      <c r="G76" s="18" t="s">
        <v>167</v>
      </c>
      <c r="H76" s="18">
        <v>4</v>
      </c>
      <c r="I76" s="18">
        <v>0</v>
      </c>
      <c r="J76" s="20">
        <v>3</v>
      </c>
      <c r="K76" s="18">
        <v>4</v>
      </c>
      <c r="L76" s="18" t="s">
        <v>10056</v>
      </c>
      <c r="M76" s="18">
        <v>0</v>
      </c>
      <c r="N76" s="20">
        <v>1</v>
      </c>
      <c r="O76" s="20" t="b">
        <v>1</v>
      </c>
      <c r="P76" s="18">
        <v>700</v>
      </c>
      <c r="Q76" s="18">
        <v>0</v>
      </c>
      <c r="R76" s="18">
        <v>3</v>
      </c>
      <c r="S76" s="18" t="s">
        <v>38</v>
      </c>
      <c r="T76" s="53" t="s">
        <v>10057</v>
      </c>
      <c r="U76" s="20" t="s">
        <v>292</v>
      </c>
      <c r="V76" s="18">
        <v>100000</v>
      </c>
    </row>
    <row r="77" spans="1:23" s="3" customFormat="1" x14ac:dyDescent="0.15">
      <c r="A77" s="18">
        <v>102303</v>
      </c>
      <c r="B77" s="19" t="s">
        <v>9653</v>
      </c>
      <c r="C77" s="18" t="s">
        <v>33</v>
      </c>
      <c r="D77" s="18">
        <v>2</v>
      </c>
      <c r="E77" s="18">
        <v>2</v>
      </c>
      <c r="F77" s="18" t="s">
        <v>134</v>
      </c>
      <c r="G77" s="18" t="s">
        <v>230</v>
      </c>
      <c r="H77" s="18">
        <v>4</v>
      </c>
      <c r="I77" s="18">
        <v>0</v>
      </c>
      <c r="J77" s="20">
        <v>3</v>
      </c>
      <c r="K77" s="18">
        <v>4</v>
      </c>
      <c r="L77" s="18" t="s">
        <v>10058</v>
      </c>
      <c r="M77" s="18">
        <v>0</v>
      </c>
      <c r="N77" s="20">
        <v>1</v>
      </c>
      <c r="O77" s="20" t="b">
        <v>1</v>
      </c>
      <c r="P77" s="18">
        <v>700</v>
      </c>
      <c r="Q77" s="18">
        <v>0</v>
      </c>
      <c r="R77" s="18">
        <v>3</v>
      </c>
      <c r="S77" s="18" t="s">
        <v>38</v>
      </c>
      <c r="T77" s="32" t="s">
        <v>10059</v>
      </c>
      <c r="U77" s="20" t="s">
        <v>9656</v>
      </c>
      <c r="V77" s="18">
        <v>100000</v>
      </c>
    </row>
    <row r="78" spans="1:23" s="3" customFormat="1" x14ac:dyDescent="0.15">
      <c r="A78" s="18">
        <v>103203</v>
      </c>
      <c r="B78" s="19" t="s">
        <v>386</v>
      </c>
      <c r="C78" s="18" t="s">
        <v>33</v>
      </c>
      <c r="D78" s="18">
        <v>2</v>
      </c>
      <c r="E78" s="18">
        <v>3</v>
      </c>
      <c r="F78" s="18" t="s">
        <v>363</v>
      </c>
      <c r="G78" s="18" t="s">
        <v>376</v>
      </c>
      <c r="H78" s="18">
        <v>4</v>
      </c>
      <c r="I78" s="18">
        <v>0</v>
      </c>
      <c r="J78" s="20">
        <v>3</v>
      </c>
      <c r="K78" s="18">
        <v>4</v>
      </c>
      <c r="L78" s="18" t="s">
        <v>10060</v>
      </c>
      <c r="M78" s="18">
        <v>0</v>
      </c>
      <c r="N78" s="20">
        <v>1</v>
      </c>
      <c r="O78" s="20" t="b">
        <v>1</v>
      </c>
      <c r="P78" s="18">
        <v>700</v>
      </c>
      <c r="Q78" s="18">
        <v>0</v>
      </c>
      <c r="R78" s="18">
        <v>3</v>
      </c>
      <c r="S78" s="18" t="s">
        <v>38</v>
      </c>
      <c r="T78" s="32" t="s">
        <v>10061</v>
      </c>
      <c r="U78" s="20" t="s">
        <v>9659</v>
      </c>
      <c r="V78" s="18">
        <v>100000</v>
      </c>
    </row>
    <row r="79" spans="1:23" s="3" customFormat="1" x14ac:dyDescent="0.15">
      <c r="A79" s="18">
        <v>104203</v>
      </c>
      <c r="B79" s="19" t="s">
        <v>485</v>
      </c>
      <c r="C79" s="18" t="s">
        <v>33</v>
      </c>
      <c r="D79" s="18">
        <v>2</v>
      </c>
      <c r="E79" s="18">
        <v>4</v>
      </c>
      <c r="F79" s="18" t="s">
        <v>447</v>
      </c>
      <c r="G79" s="18" t="s">
        <v>463</v>
      </c>
      <c r="H79" s="18">
        <v>4</v>
      </c>
      <c r="I79" s="18">
        <v>0</v>
      </c>
      <c r="J79" s="20">
        <v>3</v>
      </c>
      <c r="K79" s="18">
        <v>4</v>
      </c>
      <c r="L79" s="18" t="s">
        <v>10062</v>
      </c>
      <c r="M79" s="18">
        <v>0</v>
      </c>
      <c r="N79" s="20">
        <v>1</v>
      </c>
      <c r="O79" s="20" t="b">
        <v>1</v>
      </c>
      <c r="P79" s="18">
        <v>700</v>
      </c>
      <c r="Q79" s="18">
        <v>0</v>
      </c>
      <c r="R79" s="18">
        <v>3</v>
      </c>
      <c r="S79" s="18" t="s">
        <v>38</v>
      </c>
      <c r="T79" s="32" t="s">
        <v>10063</v>
      </c>
      <c r="U79" s="20" t="s">
        <v>9662</v>
      </c>
      <c r="V79" s="18">
        <v>100000</v>
      </c>
    </row>
    <row r="80" spans="1:23" s="3" customFormat="1" x14ac:dyDescent="0.15">
      <c r="A80" s="18">
        <v>104303</v>
      </c>
      <c r="B80" s="19" t="s">
        <v>10064</v>
      </c>
      <c r="C80" s="18" t="s">
        <v>33</v>
      </c>
      <c r="D80" s="18">
        <v>2</v>
      </c>
      <c r="E80" s="18">
        <v>4</v>
      </c>
      <c r="F80" s="18" t="s">
        <v>447</v>
      </c>
      <c r="G80" s="18" t="s">
        <v>532</v>
      </c>
      <c r="H80" s="18">
        <v>4</v>
      </c>
      <c r="I80" s="18">
        <v>0</v>
      </c>
      <c r="J80" s="20">
        <v>3</v>
      </c>
      <c r="K80" s="18">
        <v>4</v>
      </c>
      <c r="L80" s="18" t="s">
        <v>10060</v>
      </c>
      <c r="M80" s="18">
        <v>0</v>
      </c>
      <c r="N80" s="20">
        <v>1</v>
      </c>
      <c r="O80" s="20" t="b">
        <v>1</v>
      </c>
      <c r="P80" s="18">
        <v>700</v>
      </c>
      <c r="Q80" s="18">
        <v>0</v>
      </c>
      <c r="R80" s="18">
        <v>2</v>
      </c>
      <c r="S80" s="18" t="s">
        <v>38</v>
      </c>
      <c r="T80" s="54" t="s">
        <v>10065</v>
      </c>
      <c r="U80" s="20" t="s">
        <v>9665</v>
      </c>
      <c r="V80" s="18">
        <v>100000</v>
      </c>
    </row>
    <row r="81" spans="1:22" s="3" customFormat="1" ht="27" x14ac:dyDescent="0.15">
      <c r="A81" s="18">
        <v>105203</v>
      </c>
      <c r="B81" s="19" t="s">
        <v>654</v>
      </c>
      <c r="C81" s="18" t="s">
        <v>33</v>
      </c>
      <c r="D81" s="18">
        <v>2</v>
      </c>
      <c r="E81" s="18">
        <v>5</v>
      </c>
      <c r="F81" s="18" t="s">
        <v>631</v>
      </c>
      <c r="G81" s="18" t="s">
        <v>656</v>
      </c>
      <c r="H81" s="18">
        <v>4</v>
      </c>
      <c r="I81" s="18">
        <v>0</v>
      </c>
      <c r="J81" s="20">
        <v>3</v>
      </c>
      <c r="K81" s="18">
        <v>4</v>
      </c>
      <c r="L81" s="18" t="s">
        <v>10066</v>
      </c>
      <c r="M81" s="18">
        <v>0</v>
      </c>
      <c r="N81" s="20">
        <v>1</v>
      </c>
      <c r="O81" s="20" t="b">
        <v>1</v>
      </c>
      <c r="P81" s="18">
        <v>700</v>
      </c>
      <c r="Q81" s="18">
        <v>0</v>
      </c>
      <c r="R81" s="18">
        <v>3</v>
      </c>
      <c r="S81" s="18" t="s">
        <v>38</v>
      </c>
      <c r="T81" s="55" t="s">
        <v>10067</v>
      </c>
      <c r="U81" s="20" t="s">
        <v>9668</v>
      </c>
      <c r="V81" s="18">
        <v>100000</v>
      </c>
    </row>
    <row r="82" spans="1:22" s="3" customFormat="1" ht="27" x14ac:dyDescent="0.15">
      <c r="A82" s="18">
        <v>106203</v>
      </c>
      <c r="B82" s="19" t="s">
        <v>744</v>
      </c>
      <c r="C82" s="18" t="s">
        <v>33</v>
      </c>
      <c r="D82" s="18">
        <v>2</v>
      </c>
      <c r="E82" s="18">
        <v>6</v>
      </c>
      <c r="F82" s="18" t="s">
        <v>727</v>
      </c>
      <c r="G82" s="18"/>
      <c r="H82" s="18">
        <v>4</v>
      </c>
      <c r="I82" s="18">
        <v>0</v>
      </c>
      <c r="J82" s="20">
        <v>3</v>
      </c>
      <c r="K82" s="18">
        <v>4</v>
      </c>
      <c r="L82" s="18" t="s">
        <v>10066</v>
      </c>
      <c r="M82" s="18">
        <v>0</v>
      </c>
      <c r="N82" s="20">
        <v>1</v>
      </c>
      <c r="O82" s="20" t="b">
        <v>1</v>
      </c>
      <c r="P82" s="18">
        <v>700</v>
      </c>
      <c r="Q82" s="18">
        <v>0</v>
      </c>
      <c r="R82" s="18">
        <v>3</v>
      </c>
      <c r="S82" s="18" t="s">
        <v>38</v>
      </c>
      <c r="T82" s="32" t="s">
        <v>10068</v>
      </c>
      <c r="U82" s="20" t="s">
        <v>9670</v>
      </c>
      <c r="V82" s="18">
        <v>100000</v>
      </c>
    </row>
    <row r="83" spans="1:22" s="3" customFormat="1" ht="27" x14ac:dyDescent="0.15">
      <c r="A83" s="18">
        <v>109203</v>
      </c>
      <c r="B83" s="19" t="s">
        <v>836</v>
      </c>
      <c r="C83" s="18" t="s">
        <v>33</v>
      </c>
      <c r="D83" s="18">
        <v>2</v>
      </c>
      <c r="E83" s="18">
        <v>9</v>
      </c>
      <c r="F83" s="18" t="s">
        <v>812</v>
      </c>
      <c r="G83" s="18"/>
      <c r="H83" s="18">
        <v>4</v>
      </c>
      <c r="I83" s="18">
        <v>0</v>
      </c>
      <c r="J83" s="20">
        <v>3</v>
      </c>
      <c r="K83" s="18">
        <v>4</v>
      </c>
      <c r="L83" s="18" t="s">
        <v>10056</v>
      </c>
      <c r="M83" s="18">
        <v>0</v>
      </c>
      <c r="N83" s="20">
        <v>1</v>
      </c>
      <c r="O83" s="20" t="b">
        <v>1</v>
      </c>
      <c r="P83" s="18">
        <v>700</v>
      </c>
      <c r="Q83" s="18">
        <v>0</v>
      </c>
      <c r="R83" s="18">
        <v>3</v>
      </c>
      <c r="S83" s="18" t="s">
        <v>38</v>
      </c>
      <c r="T83" s="56" t="s">
        <v>10069</v>
      </c>
      <c r="U83" s="20" t="s">
        <v>9672</v>
      </c>
      <c r="V83" s="18">
        <v>100000</v>
      </c>
    </row>
    <row r="84" spans="1:22" s="3" customFormat="1" ht="27" x14ac:dyDescent="0.15">
      <c r="A84" s="18">
        <v>110203</v>
      </c>
      <c r="B84" s="19" t="s">
        <v>9673</v>
      </c>
      <c r="C84" s="18" t="s">
        <v>33</v>
      </c>
      <c r="D84" s="18">
        <v>2</v>
      </c>
      <c r="E84" s="18">
        <v>10</v>
      </c>
      <c r="F84" s="18" t="s">
        <v>887</v>
      </c>
      <c r="G84" s="18" t="s">
        <v>900</v>
      </c>
      <c r="H84" s="18">
        <v>4</v>
      </c>
      <c r="I84" s="18">
        <v>0</v>
      </c>
      <c r="J84" s="20">
        <v>3</v>
      </c>
      <c r="K84" s="18">
        <v>4</v>
      </c>
      <c r="L84" s="18" t="s">
        <v>10058</v>
      </c>
      <c r="M84" s="18">
        <v>0</v>
      </c>
      <c r="N84" s="20">
        <v>1</v>
      </c>
      <c r="O84" s="20" t="b">
        <v>1</v>
      </c>
      <c r="P84" s="18">
        <v>700</v>
      </c>
      <c r="Q84" s="18">
        <v>0</v>
      </c>
      <c r="R84" s="18">
        <v>3</v>
      </c>
      <c r="S84" s="18" t="s">
        <v>38</v>
      </c>
      <c r="T84" s="32" t="s">
        <v>10070</v>
      </c>
      <c r="U84" s="20" t="s">
        <v>9675</v>
      </c>
      <c r="V84" s="18">
        <v>100000</v>
      </c>
    </row>
    <row r="85" spans="1:22" s="3" customFormat="1" x14ac:dyDescent="0.15">
      <c r="A85" s="18">
        <v>111203</v>
      </c>
      <c r="B85" s="19" t="s">
        <v>1046</v>
      </c>
      <c r="C85" s="18" t="s">
        <v>33</v>
      </c>
      <c r="D85" s="18">
        <v>2</v>
      </c>
      <c r="E85" s="18">
        <v>10</v>
      </c>
      <c r="F85" s="18" t="s">
        <v>971</v>
      </c>
      <c r="G85" s="18"/>
      <c r="H85" s="18">
        <v>4</v>
      </c>
      <c r="I85" s="18">
        <v>0</v>
      </c>
      <c r="J85" s="20">
        <v>3</v>
      </c>
      <c r="K85" s="18">
        <v>4</v>
      </c>
      <c r="L85" s="18" t="s">
        <v>10066</v>
      </c>
      <c r="M85" s="18">
        <v>0</v>
      </c>
      <c r="N85" s="20">
        <v>1</v>
      </c>
      <c r="O85" s="20" t="b">
        <v>1</v>
      </c>
      <c r="P85" s="18">
        <v>700</v>
      </c>
      <c r="Q85" s="18">
        <v>0</v>
      </c>
      <c r="R85" s="18">
        <v>3</v>
      </c>
      <c r="S85" s="18" t="s">
        <v>38</v>
      </c>
      <c r="T85" s="32" t="s">
        <v>10071</v>
      </c>
      <c r="U85" s="20" t="s">
        <v>10072</v>
      </c>
      <c r="V85" s="18">
        <v>100000</v>
      </c>
    </row>
    <row r="86" spans="1:22" s="3" customFormat="1" ht="27" x14ac:dyDescent="0.15">
      <c r="A86" s="18">
        <v>200103</v>
      </c>
      <c r="B86" s="19" t="s">
        <v>1733</v>
      </c>
      <c r="C86" s="18" t="s">
        <v>1408</v>
      </c>
      <c r="D86" s="18">
        <v>2</v>
      </c>
      <c r="E86" s="18">
        <v>0</v>
      </c>
      <c r="F86" s="18">
        <v>0</v>
      </c>
      <c r="G86" s="18"/>
      <c r="H86" s="18">
        <v>4</v>
      </c>
      <c r="I86" s="18">
        <v>0</v>
      </c>
      <c r="J86" s="20">
        <v>4</v>
      </c>
      <c r="K86" s="18">
        <v>4</v>
      </c>
      <c r="L86" s="18" t="s">
        <v>10073</v>
      </c>
      <c r="M86" s="18">
        <v>0</v>
      </c>
      <c r="N86" s="20">
        <v>1</v>
      </c>
      <c r="O86" s="20" t="b">
        <v>1</v>
      </c>
      <c r="P86" s="18">
        <v>680</v>
      </c>
      <c r="Q86" s="18">
        <v>0</v>
      </c>
      <c r="R86" s="18">
        <v>3</v>
      </c>
      <c r="S86" s="18" t="s">
        <v>38</v>
      </c>
      <c r="T86" s="32" t="s">
        <v>10074</v>
      </c>
      <c r="U86" s="20" t="s">
        <v>9678</v>
      </c>
      <c r="V86" s="18">
        <v>300000</v>
      </c>
    </row>
    <row r="87" spans="1:22" s="4" customFormat="1" ht="27" x14ac:dyDescent="0.15">
      <c r="A87" s="38">
        <v>300103</v>
      </c>
      <c r="B87" s="39" t="s">
        <v>9679</v>
      </c>
      <c r="C87" s="38" t="s">
        <v>1508</v>
      </c>
      <c r="D87" s="38">
        <v>2</v>
      </c>
      <c r="E87" s="38">
        <v>0</v>
      </c>
      <c r="F87" s="38">
        <v>0</v>
      </c>
      <c r="G87" s="40"/>
      <c r="H87" s="38">
        <v>5</v>
      </c>
      <c r="I87" s="38">
        <v>0</v>
      </c>
      <c r="J87" s="49">
        <v>4</v>
      </c>
      <c r="K87" s="49">
        <v>5</v>
      </c>
      <c r="L87" s="38" t="s">
        <v>10075</v>
      </c>
      <c r="M87" s="38">
        <v>0</v>
      </c>
      <c r="N87" s="49">
        <v>1</v>
      </c>
      <c r="O87" s="49" t="b">
        <v>1</v>
      </c>
      <c r="P87" s="38">
        <v>630</v>
      </c>
      <c r="Q87" s="38">
        <v>0</v>
      </c>
      <c r="R87" s="38">
        <v>3</v>
      </c>
      <c r="S87" s="38" t="s">
        <v>38</v>
      </c>
      <c r="T87" s="57" t="s">
        <v>10076</v>
      </c>
      <c r="U87" s="49" t="s">
        <v>9682</v>
      </c>
      <c r="V87" s="38">
        <v>200000</v>
      </c>
    </row>
    <row r="88" spans="1:22" s="4" customFormat="1" ht="27" x14ac:dyDescent="0.15">
      <c r="A88" s="38">
        <v>400103</v>
      </c>
      <c r="B88" s="39" t="s">
        <v>1620</v>
      </c>
      <c r="C88" s="38" t="s">
        <v>1594</v>
      </c>
      <c r="D88" s="38">
        <v>2</v>
      </c>
      <c r="E88" s="38">
        <v>0</v>
      </c>
      <c r="F88" s="38">
        <v>0</v>
      </c>
      <c r="G88" s="40"/>
      <c r="H88" s="38">
        <v>5</v>
      </c>
      <c r="I88" s="38">
        <v>0</v>
      </c>
      <c r="J88" s="49">
        <v>4</v>
      </c>
      <c r="K88" s="49">
        <v>5</v>
      </c>
      <c r="L88" s="38" t="s">
        <v>10077</v>
      </c>
      <c r="M88" s="38">
        <v>0</v>
      </c>
      <c r="N88" s="49">
        <v>1</v>
      </c>
      <c r="O88" s="49" t="b">
        <v>1</v>
      </c>
      <c r="P88" s="38">
        <v>600</v>
      </c>
      <c r="Q88" s="38">
        <v>0</v>
      </c>
      <c r="R88" s="38">
        <v>3</v>
      </c>
      <c r="S88" s="38" t="s">
        <v>38</v>
      </c>
      <c r="T88" s="57" t="s">
        <v>10078</v>
      </c>
      <c r="U88" s="49" t="s">
        <v>9685</v>
      </c>
      <c r="V88" s="38">
        <v>200000</v>
      </c>
    </row>
    <row r="89" spans="1:22" s="3" customFormat="1" ht="27" x14ac:dyDescent="0.15">
      <c r="A89" s="18">
        <v>500103</v>
      </c>
      <c r="B89" s="19" t="s">
        <v>9686</v>
      </c>
      <c r="C89" s="19" t="s">
        <v>1672</v>
      </c>
      <c r="D89" s="19">
        <v>2</v>
      </c>
      <c r="E89" s="18">
        <v>0</v>
      </c>
      <c r="F89" s="18">
        <v>0</v>
      </c>
      <c r="G89" s="19"/>
      <c r="H89" s="18">
        <v>4</v>
      </c>
      <c r="I89" s="18">
        <v>0</v>
      </c>
      <c r="J89" s="20">
        <v>4</v>
      </c>
      <c r="K89" s="18">
        <v>4</v>
      </c>
      <c r="L89" s="18" t="s">
        <v>10079</v>
      </c>
      <c r="M89" s="18"/>
      <c r="N89" s="20">
        <v>1</v>
      </c>
      <c r="O89" s="20" t="b">
        <v>1</v>
      </c>
      <c r="P89" s="18">
        <v>660</v>
      </c>
      <c r="Q89" s="18">
        <v>0</v>
      </c>
      <c r="R89" s="18">
        <v>3</v>
      </c>
      <c r="S89" s="18" t="s">
        <v>38</v>
      </c>
      <c r="T89" s="55" t="s">
        <v>10080</v>
      </c>
      <c r="U89" s="20" t="s">
        <v>9689</v>
      </c>
      <c r="V89" s="18">
        <v>300000</v>
      </c>
    </row>
    <row r="90" spans="1:22" s="4" customFormat="1" x14ac:dyDescent="0.15">
      <c r="A90" s="38">
        <v>600103</v>
      </c>
      <c r="B90" s="39" t="s">
        <v>9690</v>
      </c>
      <c r="C90" s="38" t="s">
        <v>1746</v>
      </c>
      <c r="D90" s="38">
        <v>2</v>
      </c>
      <c r="E90" s="38">
        <v>0</v>
      </c>
      <c r="F90" s="38">
        <v>0</v>
      </c>
      <c r="G90" s="40"/>
      <c r="H90" s="38">
        <v>5</v>
      </c>
      <c r="I90" s="38">
        <v>0</v>
      </c>
      <c r="J90" s="49">
        <v>2</v>
      </c>
      <c r="K90" s="49">
        <v>5</v>
      </c>
      <c r="L90" s="38" t="s">
        <v>10081</v>
      </c>
      <c r="M90" s="38">
        <v>0</v>
      </c>
      <c r="N90" s="49">
        <v>1</v>
      </c>
      <c r="O90" s="49" t="b">
        <v>1</v>
      </c>
      <c r="P90" s="38">
        <v>740</v>
      </c>
      <c r="Q90" s="38">
        <v>0</v>
      </c>
      <c r="R90" s="38">
        <v>3</v>
      </c>
      <c r="S90" s="38" t="s">
        <v>38</v>
      </c>
      <c r="T90" s="57" t="s">
        <v>10082</v>
      </c>
      <c r="U90" s="49" t="s">
        <v>9693</v>
      </c>
      <c r="V90" s="38">
        <v>300000</v>
      </c>
    </row>
    <row r="91" spans="1:22" s="3" customFormat="1" x14ac:dyDescent="0.15">
      <c r="A91" s="18">
        <v>700103</v>
      </c>
      <c r="B91" s="19" t="s">
        <v>9694</v>
      </c>
      <c r="C91" s="19" t="s">
        <v>1832</v>
      </c>
      <c r="D91" s="19">
        <v>2</v>
      </c>
      <c r="E91" s="18">
        <v>0</v>
      </c>
      <c r="F91" s="18">
        <v>0</v>
      </c>
      <c r="G91" s="19"/>
      <c r="H91" s="18">
        <v>4</v>
      </c>
      <c r="I91" s="18">
        <v>0</v>
      </c>
      <c r="J91" s="20">
        <v>2</v>
      </c>
      <c r="K91" s="18">
        <v>4</v>
      </c>
      <c r="L91" s="18" t="s">
        <v>9695</v>
      </c>
      <c r="M91" s="18"/>
      <c r="N91" s="20">
        <v>1</v>
      </c>
      <c r="O91" s="20" t="b">
        <v>1</v>
      </c>
      <c r="P91" s="18">
        <v>775</v>
      </c>
      <c r="Q91" s="18">
        <v>0</v>
      </c>
      <c r="R91" s="18">
        <v>3</v>
      </c>
      <c r="S91" s="18" t="s">
        <v>38</v>
      </c>
      <c r="T91" s="32" t="s">
        <v>10083</v>
      </c>
      <c r="U91" s="20" t="s">
        <v>9697</v>
      </c>
      <c r="V91" s="18">
        <v>300000</v>
      </c>
    </row>
    <row r="92" spans="1:22" s="4" customFormat="1" x14ac:dyDescent="0.15">
      <c r="A92" s="38">
        <v>800103</v>
      </c>
      <c r="B92" s="39" t="s">
        <v>1937</v>
      </c>
      <c r="C92" s="38" t="s">
        <v>1908</v>
      </c>
      <c r="D92" s="38">
        <v>2</v>
      </c>
      <c r="E92" s="38">
        <v>0</v>
      </c>
      <c r="F92" s="38">
        <v>0</v>
      </c>
      <c r="G92" s="40"/>
      <c r="H92" s="38">
        <v>5</v>
      </c>
      <c r="I92" s="38">
        <v>0</v>
      </c>
      <c r="J92" s="49">
        <v>2</v>
      </c>
      <c r="K92" s="49">
        <v>5</v>
      </c>
      <c r="L92" s="38" t="s">
        <v>10084</v>
      </c>
      <c r="M92" s="38">
        <v>0</v>
      </c>
      <c r="N92" s="49">
        <v>1</v>
      </c>
      <c r="O92" s="49" t="b">
        <v>1</v>
      </c>
      <c r="P92" s="38">
        <v>710</v>
      </c>
      <c r="Q92" s="38">
        <v>0</v>
      </c>
      <c r="R92" s="38">
        <v>3</v>
      </c>
      <c r="S92" s="38" t="s">
        <v>38</v>
      </c>
      <c r="T92" s="58" t="s">
        <v>10085</v>
      </c>
      <c r="U92" s="49" t="s">
        <v>1978</v>
      </c>
      <c r="V92" s="38">
        <v>200000</v>
      </c>
    </row>
    <row r="93" spans="1:22" s="5" customFormat="1" x14ac:dyDescent="0.15">
      <c r="A93" s="41">
        <v>800101</v>
      </c>
      <c r="B93" s="42" t="s">
        <v>1967</v>
      </c>
      <c r="C93" s="41" t="s">
        <v>1908</v>
      </c>
      <c r="D93" s="41">
        <v>3</v>
      </c>
      <c r="E93" s="41">
        <v>0</v>
      </c>
      <c r="F93" s="41">
        <v>0</v>
      </c>
      <c r="G93" s="41"/>
      <c r="H93" s="41">
        <v>2</v>
      </c>
      <c r="I93" s="41">
        <v>0</v>
      </c>
      <c r="J93" s="43">
        <v>2</v>
      </c>
      <c r="K93" s="43">
        <v>3</v>
      </c>
      <c r="L93" s="41" t="s">
        <v>9933</v>
      </c>
      <c r="M93" s="41">
        <v>0</v>
      </c>
      <c r="N93" s="41">
        <v>1</v>
      </c>
      <c r="O93" s="43" t="b">
        <v>1</v>
      </c>
      <c r="P93" s="41">
        <v>220</v>
      </c>
      <c r="Q93" s="41">
        <v>0</v>
      </c>
      <c r="R93" s="41">
        <v>1</v>
      </c>
      <c r="S93" s="41" t="s">
        <v>38</v>
      </c>
      <c r="T93" s="59" t="s">
        <v>1969</v>
      </c>
      <c r="U93" s="43" t="s">
        <v>1971</v>
      </c>
      <c r="V93" s="41">
        <v>300000</v>
      </c>
    </row>
    <row r="94" spans="1:22" s="5" customFormat="1" x14ac:dyDescent="0.15">
      <c r="A94" s="41">
        <v>600101</v>
      </c>
      <c r="B94" s="42" t="s">
        <v>1804</v>
      </c>
      <c r="C94" s="41" t="s">
        <v>1746</v>
      </c>
      <c r="D94" s="41">
        <v>3</v>
      </c>
      <c r="E94" s="41">
        <v>0</v>
      </c>
      <c r="F94" s="41">
        <v>0</v>
      </c>
      <c r="G94" s="43"/>
      <c r="H94" s="41">
        <v>2</v>
      </c>
      <c r="I94" s="41">
        <v>0</v>
      </c>
      <c r="J94" s="43">
        <v>2</v>
      </c>
      <c r="K94" s="41">
        <v>3</v>
      </c>
      <c r="L94" s="41" t="s">
        <v>10086</v>
      </c>
      <c r="M94" s="41">
        <v>0</v>
      </c>
      <c r="N94" s="41">
        <v>1</v>
      </c>
      <c r="O94" s="43" t="b">
        <v>1</v>
      </c>
      <c r="P94" s="41">
        <v>150</v>
      </c>
      <c r="Q94" s="41">
        <v>0</v>
      </c>
      <c r="R94" s="41">
        <v>1</v>
      </c>
      <c r="S94" s="41" t="s">
        <v>38</v>
      </c>
      <c r="T94" s="60" t="s">
        <v>1806</v>
      </c>
      <c r="U94" s="43" t="s">
        <v>1808</v>
      </c>
      <c r="V94" s="41">
        <v>300000</v>
      </c>
    </row>
    <row r="95" spans="1:22" s="5" customFormat="1" x14ac:dyDescent="0.15">
      <c r="A95" s="41">
        <v>200101</v>
      </c>
      <c r="B95" s="42" t="s">
        <v>1482</v>
      </c>
      <c r="C95" s="41" t="s">
        <v>1408</v>
      </c>
      <c r="D95" s="41">
        <v>3</v>
      </c>
      <c r="E95" s="41">
        <v>0</v>
      </c>
      <c r="F95" s="41">
        <v>0</v>
      </c>
      <c r="G95" s="43"/>
      <c r="H95" s="41">
        <v>2</v>
      </c>
      <c r="I95" s="41">
        <v>0</v>
      </c>
      <c r="J95" s="43">
        <v>4</v>
      </c>
      <c r="K95" s="41">
        <v>3</v>
      </c>
      <c r="L95" s="41" t="s">
        <v>9941</v>
      </c>
      <c r="M95" s="41">
        <v>0</v>
      </c>
      <c r="N95" s="41">
        <v>1</v>
      </c>
      <c r="O95" s="43" t="b">
        <v>1</v>
      </c>
      <c r="P95" s="41">
        <v>400</v>
      </c>
      <c r="Q95" s="41">
        <v>0</v>
      </c>
      <c r="R95" s="41">
        <v>1</v>
      </c>
      <c r="S95" s="41" t="s">
        <v>38</v>
      </c>
      <c r="T95" s="59" t="s">
        <v>1484</v>
      </c>
      <c r="U95" s="43" t="s">
        <v>9943</v>
      </c>
      <c r="V95" s="41">
        <v>200000</v>
      </c>
    </row>
    <row r="96" spans="1:22" s="2" customFormat="1" x14ac:dyDescent="0.15">
      <c r="A96" s="13">
        <v>200201</v>
      </c>
      <c r="B96" s="23" t="s">
        <v>1503</v>
      </c>
      <c r="C96" s="44" t="s">
        <v>1408</v>
      </c>
      <c r="D96" s="44">
        <v>2</v>
      </c>
      <c r="E96" s="23">
        <v>0</v>
      </c>
      <c r="F96" s="23">
        <v>0</v>
      </c>
      <c r="G96" s="24"/>
      <c r="H96" s="13">
        <v>1</v>
      </c>
      <c r="I96" s="13">
        <v>0</v>
      </c>
      <c r="J96" s="23">
        <v>4</v>
      </c>
      <c r="K96" s="23">
        <v>1</v>
      </c>
      <c r="L96" s="13" t="s">
        <v>10087</v>
      </c>
      <c r="M96" s="23">
        <v>0</v>
      </c>
      <c r="N96" s="23">
        <v>1</v>
      </c>
      <c r="O96" s="24" t="b">
        <v>1</v>
      </c>
      <c r="P96" s="13">
        <v>5</v>
      </c>
      <c r="Q96" s="13">
        <v>0</v>
      </c>
      <c r="R96" s="13">
        <v>1</v>
      </c>
      <c r="S96" s="13" t="s">
        <v>38</v>
      </c>
      <c r="T96" s="61" t="s">
        <v>1410</v>
      </c>
      <c r="U96" s="24" t="s">
        <v>9949</v>
      </c>
      <c r="V96" s="13">
        <v>200000</v>
      </c>
    </row>
    <row r="97" spans="1:22" x14ac:dyDescent="0.15">
      <c r="A97" s="15">
        <v>101004</v>
      </c>
      <c r="B97" s="17" t="s">
        <v>9701</v>
      </c>
      <c r="C97" s="15" t="s">
        <v>33</v>
      </c>
      <c r="D97" s="15">
        <v>1</v>
      </c>
      <c r="E97" s="15">
        <v>1</v>
      </c>
      <c r="F97" s="15" t="s">
        <v>34</v>
      </c>
      <c r="G97" s="15"/>
      <c r="H97" s="15">
        <v>1</v>
      </c>
      <c r="I97" s="15">
        <v>1</v>
      </c>
      <c r="J97" s="25">
        <v>3</v>
      </c>
      <c r="K97" s="15" t="s">
        <v>70</v>
      </c>
      <c r="L97" s="15" t="s">
        <v>10088</v>
      </c>
      <c r="M97" s="15">
        <v>0</v>
      </c>
      <c r="N97" s="25">
        <v>1</v>
      </c>
      <c r="O97" s="25" t="b">
        <v>1</v>
      </c>
      <c r="P97" s="15">
        <v>2500</v>
      </c>
      <c r="Q97" s="15">
        <v>0</v>
      </c>
      <c r="R97" s="15">
        <v>4</v>
      </c>
      <c r="S97" s="15" t="s">
        <v>38</v>
      </c>
      <c r="T97" s="29" t="s">
        <v>10089</v>
      </c>
      <c r="U97" s="25" t="s">
        <v>67</v>
      </c>
      <c r="V97" s="15">
        <v>300000</v>
      </c>
    </row>
    <row r="98" spans="1:22" ht="27" x14ac:dyDescent="0.15">
      <c r="A98" s="15">
        <v>102004</v>
      </c>
      <c r="B98" s="17" t="s">
        <v>171</v>
      </c>
      <c r="C98" s="15" t="s">
        <v>33</v>
      </c>
      <c r="D98" s="15">
        <v>1</v>
      </c>
      <c r="E98" s="15">
        <v>2</v>
      </c>
      <c r="F98" s="15" t="s">
        <v>134</v>
      </c>
      <c r="G98" s="15" t="s">
        <v>167</v>
      </c>
      <c r="H98" s="15">
        <v>1</v>
      </c>
      <c r="I98" s="15">
        <v>1</v>
      </c>
      <c r="J98" s="25">
        <v>3</v>
      </c>
      <c r="K98" s="15" t="s">
        <v>70</v>
      </c>
      <c r="L98" s="15" t="s">
        <v>10090</v>
      </c>
      <c r="M98" s="15">
        <v>0</v>
      </c>
      <c r="N98" s="25">
        <v>1</v>
      </c>
      <c r="O98" s="25" t="b">
        <v>1</v>
      </c>
      <c r="P98" s="15">
        <v>2500</v>
      </c>
      <c r="Q98" s="15">
        <v>0</v>
      </c>
      <c r="R98" s="15">
        <v>4</v>
      </c>
      <c r="S98" s="15" t="s">
        <v>38</v>
      </c>
      <c r="T98" s="62" t="s">
        <v>174</v>
      </c>
      <c r="U98" s="25" t="s">
        <v>164</v>
      </c>
      <c r="V98" s="15">
        <v>300000</v>
      </c>
    </row>
    <row r="99" spans="1:22" x14ac:dyDescent="0.15">
      <c r="A99" s="15">
        <v>102104</v>
      </c>
      <c r="B99" s="17" t="s">
        <v>9706</v>
      </c>
      <c r="C99" s="15" t="s">
        <v>33</v>
      </c>
      <c r="D99" s="15">
        <v>1</v>
      </c>
      <c r="E99" s="15">
        <v>2</v>
      </c>
      <c r="F99" s="15" t="s">
        <v>134</v>
      </c>
      <c r="G99" s="15" t="s">
        <v>230</v>
      </c>
      <c r="H99" s="15">
        <v>1</v>
      </c>
      <c r="I99" s="15">
        <v>1</v>
      </c>
      <c r="J99" s="25">
        <v>3</v>
      </c>
      <c r="K99" s="15" t="s">
        <v>70</v>
      </c>
      <c r="L99" s="15" t="s">
        <v>10091</v>
      </c>
      <c r="M99" s="15">
        <v>0</v>
      </c>
      <c r="N99" s="25">
        <v>1</v>
      </c>
      <c r="O99" s="25" t="b">
        <v>1</v>
      </c>
      <c r="P99" s="15">
        <v>2500</v>
      </c>
      <c r="Q99" s="15">
        <v>0</v>
      </c>
      <c r="R99" s="15">
        <v>4</v>
      </c>
      <c r="S99" s="15" t="s">
        <v>38</v>
      </c>
      <c r="T99" s="31" t="s">
        <v>10092</v>
      </c>
      <c r="U99" s="25" t="s">
        <v>239</v>
      </c>
      <c r="V99" s="15">
        <v>300000</v>
      </c>
    </row>
    <row r="100" spans="1:22" x14ac:dyDescent="0.15">
      <c r="A100" s="15">
        <v>104004</v>
      </c>
      <c r="B100" s="17" t="s">
        <v>473</v>
      </c>
      <c r="C100" s="15" t="s">
        <v>33</v>
      </c>
      <c r="D100" s="15">
        <v>1</v>
      </c>
      <c r="E100" s="15">
        <v>4</v>
      </c>
      <c r="F100" s="15" t="s">
        <v>447</v>
      </c>
      <c r="G100" s="15" t="s">
        <v>463</v>
      </c>
      <c r="H100" s="15">
        <v>1</v>
      </c>
      <c r="I100" s="25">
        <v>1</v>
      </c>
      <c r="J100" s="25">
        <v>3</v>
      </c>
      <c r="K100" s="15" t="s">
        <v>70</v>
      </c>
      <c r="L100" s="15" t="s">
        <v>10093</v>
      </c>
      <c r="M100" s="15">
        <v>0</v>
      </c>
      <c r="N100" s="25">
        <v>1</v>
      </c>
      <c r="O100" s="25" t="b">
        <v>1</v>
      </c>
      <c r="P100" s="15">
        <v>2500</v>
      </c>
      <c r="Q100" s="15">
        <v>0</v>
      </c>
      <c r="R100" s="15">
        <v>4</v>
      </c>
      <c r="S100" s="15" t="s">
        <v>38</v>
      </c>
      <c r="T100" s="31" t="s">
        <v>476</v>
      </c>
      <c r="U100" s="25" t="s">
        <v>472</v>
      </c>
      <c r="V100" s="15">
        <v>300000</v>
      </c>
    </row>
    <row r="101" spans="1:22" x14ac:dyDescent="0.15">
      <c r="A101" s="15">
        <v>104104</v>
      </c>
      <c r="B101" s="21" t="s">
        <v>551</v>
      </c>
      <c r="C101" s="15" t="s">
        <v>33</v>
      </c>
      <c r="D101" s="15">
        <v>1</v>
      </c>
      <c r="E101" s="15">
        <v>4</v>
      </c>
      <c r="F101" s="15" t="s">
        <v>447</v>
      </c>
      <c r="G101" s="15" t="s">
        <v>532</v>
      </c>
      <c r="H101" s="15">
        <v>1</v>
      </c>
      <c r="I101" s="15">
        <v>1</v>
      </c>
      <c r="J101" s="25">
        <v>3</v>
      </c>
      <c r="K101" s="15" t="s">
        <v>70</v>
      </c>
      <c r="L101" s="15" t="s">
        <v>10094</v>
      </c>
      <c r="M101" s="15">
        <v>0</v>
      </c>
      <c r="N101" s="25">
        <v>1</v>
      </c>
      <c r="O101" s="25" t="b">
        <v>1</v>
      </c>
      <c r="P101" s="15">
        <v>2500</v>
      </c>
      <c r="Q101" s="15">
        <v>0</v>
      </c>
      <c r="R101" s="15">
        <v>4</v>
      </c>
      <c r="S101" s="15" t="s">
        <v>38</v>
      </c>
      <c r="T101" t="s">
        <v>10095</v>
      </c>
      <c r="U101" s="25" t="s">
        <v>544</v>
      </c>
      <c r="V101" s="15">
        <v>300000</v>
      </c>
    </row>
    <row r="102" spans="1:22" x14ac:dyDescent="0.15">
      <c r="A102" s="15">
        <v>105004</v>
      </c>
      <c r="B102" s="21" t="s">
        <v>660</v>
      </c>
      <c r="C102" s="15" t="s">
        <v>33</v>
      </c>
      <c r="D102" s="15">
        <v>1</v>
      </c>
      <c r="E102" s="15">
        <v>5</v>
      </c>
      <c r="F102" s="15" t="s">
        <v>631</v>
      </c>
      <c r="G102" s="15" t="s">
        <v>656</v>
      </c>
      <c r="H102" s="15">
        <v>1</v>
      </c>
      <c r="I102" s="25">
        <v>1</v>
      </c>
      <c r="J102" s="25">
        <v>3</v>
      </c>
      <c r="K102" s="15" t="s">
        <v>70</v>
      </c>
      <c r="L102" s="15" t="s">
        <v>10090</v>
      </c>
      <c r="M102" s="15">
        <v>0</v>
      </c>
      <c r="N102" s="25">
        <v>1</v>
      </c>
      <c r="O102" s="25" t="b">
        <v>1</v>
      </c>
      <c r="P102" s="15">
        <v>2500</v>
      </c>
      <c r="Q102" s="15">
        <v>0</v>
      </c>
      <c r="R102" s="15">
        <v>4</v>
      </c>
      <c r="S102" s="15" t="s">
        <v>38</v>
      </c>
      <c r="T102" s="63" t="s">
        <v>10096</v>
      </c>
      <c r="U102" s="25" t="s">
        <v>659</v>
      </c>
      <c r="V102" s="15">
        <v>300000</v>
      </c>
    </row>
    <row r="103" spans="1:22" x14ac:dyDescent="0.15">
      <c r="A103" s="15">
        <v>103004</v>
      </c>
      <c r="B103" s="21" t="s">
        <v>398</v>
      </c>
      <c r="C103" s="15" t="s">
        <v>33</v>
      </c>
      <c r="D103" s="15">
        <v>1</v>
      </c>
      <c r="E103" s="15">
        <v>3</v>
      </c>
      <c r="F103" s="15" t="s">
        <v>363</v>
      </c>
      <c r="G103" s="15" t="s">
        <v>376</v>
      </c>
      <c r="H103" s="15">
        <v>1</v>
      </c>
      <c r="I103" s="25">
        <v>1</v>
      </c>
      <c r="J103" s="25">
        <v>3</v>
      </c>
      <c r="K103" s="15" t="s">
        <v>70</v>
      </c>
      <c r="L103" s="15" t="s">
        <v>9809</v>
      </c>
      <c r="M103" s="15">
        <v>0</v>
      </c>
      <c r="N103" s="25">
        <v>1</v>
      </c>
      <c r="O103" s="25" t="b">
        <v>1</v>
      </c>
      <c r="P103" s="15">
        <v>2500</v>
      </c>
      <c r="Q103" s="15">
        <v>0</v>
      </c>
      <c r="R103" s="15">
        <v>4</v>
      </c>
      <c r="S103" s="15" t="s">
        <v>38</v>
      </c>
      <c r="T103" s="29" t="s">
        <v>10097</v>
      </c>
      <c r="U103" s="25" t="s">
        <v>385</v>
      </c>
      <c r="V103" s="15">
        <v>300000</v>
      </c>
    </row>
    <row r="104" spans="1:22" x14ac:dyDescent="0.15">
      <c r="A104" s="15">
        <v>106004</v>
      </c>
      <c r="B104" s="17" t="s">
        <v>750</v>
      </c>
      <c r="C104" s="15" t="s">
        <v>33</v>
      </c>
      <c r="D104" s="15">
        <v>1</v>
      </c>
      <c r="E104" s="15">
        <v>6</v>
      </c>
      <c r="F104" s="15" t="s">
        <v>727</v>
      </c>
      <c r="G104" s="15"/>
      <c r="H104" s="15">
        <v>1</v>
      </c>
      <c r="I104" s="25">
        <v>1</v>
      </c>
      <c r="J104" s="25">
        <v>3</v>
      </c>
      <c r="K104" s="15" t="s">
        <v>70</v>
      </c>
      <c r="L104" s="15" t="s">
        <v>10098</v>
      </c>
      <c r="M104" s="15">
        <v>0</v>
      </c>
      <c r="N104" s="25">
        <v>1</v>
      </c>
      <c r="O104" s="25" t="b">
        <v>1</v>
      </c>
      <c r="P104" s="15">
        <v>2500</v>
      </c>
      <c r="Q104" s="15">
        <v>0</v>
      </c>
      <c r="R104" s="15">
        <v>4</v>
      </c>
      <c r="S104" s="15" t="s">
        <v>38</v>
      </c>
      <c r="T104" s="29" t="s">
        <v>10099</v>
      </c>
      <c r="U104" s="25" t="s">
        <v>749</v>
      </c>
      <c r="V104" s="15">
        <v>300000</v>
      </c>
    </row>
    <row r="105" spans="1:22" x14ac:dyDescent="0.15">
      <c r="A105" s="15">
        <v>109004</v>
      </c>
      <c r="B105" s="17" t="s">
        <v>880</v>
      </c>
      <c r="C105" s="15" t="s">
        <v>33</v>
      </c>
      <c r="D105" s="15">
        <v>1</v>
      </c>
      <c r="E105" s="15">
        <v>9</v>
      </c>
      <c r="F105" s="15" t="s">
        <v>812</v>
      </c>
      <c r="G105" s="15"/>
      <c r="H105" s="15">
        <v>1</v>
      </c>
      <c r="I105" s="25">
        <v>1</v>
      </c>
      <c r="J105" s="25">
        <v>3</v>
      </c>
      <c r="K105" s="15" t="s">
        <v>70</v>
      </c>
      <c r="L105" s="15" t="s">
        <v>10100</v>
      </c>
      <c r="M105" s="15">
        <v>0</v>
      </c>
      <c r="N105" s="25">
        <v>1</v>
      </c>
      <c r="O105" s="25" t="b">
        <v>1</v>
      </c>
      <c r="P105" s="15">
        <v>2500</v>
      </c>
      <c r="Q105" s="15">
        <v>0</v>
      </c>
      <c r="R105" s="15">
        <v>4</v>
      </c>
      <c r="S105" s="15" t="s">
        <v>38</v>
      </c>
      <c r="T105" s="29" t="s">
        <v>10101</v>
      </c>
      <c r="U105" s="25" t="s">
        <v>830</v>
      </c>
      <c r="V105" s="15">
        <v>300000</v>
      </c>
    </row>
    <row r="106" spans="1:22" ht="27" x14ac:dyDescent="0.15">
      <c r="A106" s="15">
        <v>110004</v>
      </c>
      <c r="B106" s="17" t="s">
        <v>916</v>
      </c>
      <c r="C106" s="15" t="s">
        <v>33</v>
      </c>
      <c r="D106" s="15">
        <v>1</v>
      </c>
      <c r="E106" s="15">
        <v>10</v>
      </c>
      <c r="F106" s="15" t="s">
        <v>887</v>
      </c>
      <c r="G106" s="15" t="s">
        <v>900</v>
      </c>
      <c r="H106" s="15">
        <v>1</v>
      </c>
      <c r="I106" s="25">
        <v>1</v>
      </c>
      <c r="J106" s="25">
        <v>3</v>
      </c>
      <c r="K106" s="15" t="s">
        <v>70</v>
      </c>
      <c r="L106" s="15" t="s">
        <v>10091</v>
      </c>
      <c r="M106" s="15">
        <v>0</v>
      </c>
      <c r="N106" s="25">
        <v>1</v>
      </c>
      <c r="O106" s="25" t="b">
        <v>1</v>
      </c>
      <c r="P106" s="15">
        <v>2500</v>
      </c>
      <c r="Q106" s="15">
        <v>0</v>
      </c>
      <c r="R106" s="15">
        <v>4</v>
      </c>
      <c r="S106" s="15" t="s">
        <v>38</v>
      </c>
      <c r="T106" s="63" t="s">
        <v>10102</v>
      </c>
      <c r="U106" s="25" t="s">
        <v>909</v>
      </c>
      <c r="V106" s="15">
        <v>200000</v>
      </c>
    </row>
    <row r="107" spans="1:22" x14ac:dyDescent="0.15">
      <c r="A107" s="15">
        <v>111004</v>
      </c>
      <c r="B107" s="17" t="s">
        <v>988</v>
      </c>
      <c r="C107" s="15" t="s">
        <v>33</v>
      </c>
      <c r="D107" s="15">
        <v>1</v>
      </c>
      <c r="E107" s="15">
        <v>11</v>
      </c>
      <c r="F107" s="15" t="s">
        <v>971</v>
      </c>
      <c r="G107" s="15"/>
      <c r="H107" s="15">
        <v>1</v>
      </c>
      <c r="I107" s="25">
        <v>0</v>
      </c>
      <c r="J107" s="25">
        <v>3</v>
      </c>
      <c r="K107" s="15" t="s">
        <v>70</v>
      </c>
      <c r="L107" s="15" t="s">
        <v>10088</v>
      </c>
      <c r="M107" s="15">
        <v>0</v>
      </c>
      <c r="N107" s="25">
        <v>1</v>
      </c>
      <c r="O107" s="25" t="b">
        <v>1</v>
      </c>
      <c r="P107" s="15">
        <v>2500</v>
      </c>
      <c r="Q107" s="15">
        <v>0</v>
      </c>
      <c r="R107" s="15">
        <v>4</v>
      </c>
      <c r="S107" s="15" t="s">
        <v>38</v>
      </c>
      <c r="T107" s="63" t="s">
        <v>10103</v>
      </c>
      <c r="U107" s="25" t="s">
        <v>993</v>
      </c>
      <c r="V107" s="15">
        <v>100000</v>
      </c>
    </row>
    <row r="108" spans="1:22" x14ac:dyDescent="0.15">
      <c r="A108" s="15">
        <v>200004</v>
      </c>
      <c r="B108" s="17" t="s">
        <v>9721</v>
      </c>
      <c r="C108" s="15" t="s">
        <v>1408</v>
      </c>
      <c r="D108" s="15">
        <v>1</v>
      </c>
      <c r="E108" s="15">
        <v>0</v>
      </c>
      <c r="F108" s="15">
        <v>0</v>
      </c>
      <c r="G108" s="15"/>
      <c r="H108" s="15">
        <v>1</v>
      </c>
      <c r="I108" s="25">
        <v>1</v>
      </c>
      <c r="J108" s="25">
        <v>4</v>
      </c>
      <c r="K108" s="15" t="s">
        <v>70</v>
      </c>
      <c r="L108" s="50" t="s">
        <v>10104</v>
      </c>
      <c r="M108" s="15">
        <v>0</v>
      </c>
      <c r="N108" s="25">
        <v>1</v>
      </c>
      <c r="O108" s="25" t="b">
        <v>1</v>
      </c>
      <c r="P108" s="15">
        <v>2800</v>
      </c>
      <c r="Q108" s="15">
        <v>0</v>
      </c>
      <c r="R108" s="15">
        <v>4</v>
      </c>
      <c r="S108" s="15" t="s">
        <v>38</v>
      </c>
      <c r="T108" s="64" t="s">
        <v>10105</v>
      </c>
      <c r="U108" s="25" t="s">
        <v>1433</v>
      </c>
      <c r="V108" s="15">
        <v>100000</v>
      </c>
    </row>
    <row r="109" spans="1:22" x14ac:dyDescent="0.15">
      <c r="A109" s="15">
        <v>300004</v>
      </c>
      <c r="B109" s="17" t="s">
        <v>9724</v>
      </c>
      <c r="C109" s="15" t="s">
        <v>1508</v>
      </c>
      <c r="D109" s="15">
        <v>1</v>
      </c>
      <c r="E109" s="15">
        <v>0</v>
      </c>
      <c r="F109" s="15">
        <v>0</v>
      </c>
      <c r="G109" s="15"/>
      <c r="H109" s="15">
        <v>1</v>
      </c>
      <c r="I109" s="25">
        <v>1</v>
      </c>
      <c r="J109" s="25">
        <v>4</v>
      </c>
      <c r="K109" s="15" t="s">
        <v>70</v>
      </c>
      <c r="L109" s="15" t="s">
        <v>10106</v>
      </c>
      <c r="M109" s="15">
        <v>0</v>
      </c>
      <c r="N109" s="25">
        <v>1</v>
      </c>
      <c r="O109" s="25" t="b">
        <v>1</v>
      </c>
      <c r="P109" s="15">
        <v>1980</v>
      </c>
      <c r="Q109" s="15">
        <v>0</v>
      </c>
      <c r="R109" s="15">
        <v>4</v>
      </c>
      <c r="S109" s="15" t="s">
        <v>38</v>
      </c>
      <c r="T109" s="29" t="s">
        <v>10107</v>
      </c>
      <c r="U109" s="25" t="s">
        <v>1530</v>
      </c>
      <c r="V109" s="15">
        <v>100000</v>
      </c>
    </row>
    <row r="110" spans="1:22" x14ac:dyDescent="0.15">
      <c r="A110" s="15">
        <v>400004</v>
      </c>
      <c r="B110" s="17" t="s">
        <v>9727</v>
      </c>
      <c r="C110" s="15" t="s">
        <v>1594</v>
      </c>
      <c r="D110" s="15">
        <v>1</v>
      </c>
      <c r="E110" s="15">
        <v>0</v>
      </c>
      <c r="F110" s="15">
        <v>0</v>
      </c>
      <c r="G110" s="15"/>
      <c r="H110" s="15">
        <v>1</v>
      </c>
      <c r="I110" s="25">
        <v>1</v>
      </c>
      <c r="J110" s="25">
        <v>4</v>
      </c>
      <c r="K110" s="15" t="s">
        <v>70</v>
      </c>
      <c r="L110" s="15" t="s">
        <v>10108</v>
      </c>
      <c r="M110" s="15">
        <v>0</v>
      </c>
      <c r="N110" s="25">
        <v>1</v>
      </c>
      <c r="O110" s="25" t="b">
        <v>1</v>
      </c>
      <c r="P110" s="15">
        <v>1650</v>
      </c>
      <c r="Q110" s="15">
        <v>0</v>
      </c>
      <c r="R110" s="15">
        <v>4</v>
      </c>
      <c r="S110" s="15" t="s">
        <v>38</v>
      </c>
      <c r="T110" s="29" t="s">
        <v>10109</v>
      </c>
      <c r="U110" s="25" t="s">
        <v>1614</v>
      </c>
      <c r="V110" s="15">
        <v>100000</v>
      </c>
    </row>
    <row r="111" spans="1:22" x14ac:dyDescent="0.15">
      <c r="A111" s="15">
        <v>500004</v>
      </c>
      <c r="B111" s="16" t="s">
        <v>1666</v>
      </c>
      <c r="C111" s="15" t="s">
        <v>1672</v>
      </c>
      <c r="D111" s="15">
        <v>1</v>
      </c>
      <c r="E111" s="15">
        <v>0</v>
      </c>
      <c r="F111" s="15">
        <v>0</v>
      </c>
      <c r="G111" s="15"/>
      <c r="H111" s="15">
        <v>1</v>
      </c>
      <c r="I111" s="25">
        <v>1</v>
      </c>
      <c r="J111" s="25">
        <v>4</v>
      </c>
      <c r="K111" s="15" t="s">
        <v>70</v>
      </c>
      <c r="L111" s="15" t="s">
        <v>10110</v>
      </c>
      <c r="M111" s="15">
        <v>0</v>
      </c>
      <c r="N111" s="25">
        <v>1</v>
      </c>
      <c r="O111" s="25" t="b">
        <v>1</v>
      </c>
      <c r="P111" s="15">
        <v>2100</v>
      </c>
      <c r="Q111" s="15">
        <v>0</v>
      </c>
      <c r="R111" s="15">
        <v>4</v>
      </c>
      <c r="S111" s="15" t="s">
        <v>38</v>
      </c>
      <c r="T111" s="29" t="s">
        <v>10111</v>
      </c>
      <c r="U111" s="25" t="s">
        <v>1690</v>
      </c>
      <c r="V111" s="15">
        <v>100000</v>
      </c>
    </row>
    <row r="112" spans="1:22" x14ac:dyDescent="0.15">
      <c r="A112" s="15">
        <v>600004</v>
      </c>
      <c r="B112" s="21" t="s">
        <v>9732</v>
      </c>
      <c r="C112" s="15" t="s">
        <v>1746</v>
      </c>
      <c r="D112" s="15">
        <v>1</v>
      </c>
      <c r="E112" s="15">
        <v>0</v>
      </c>
      <c r="F112" s="15">
        <v>0</v>
      </c>
      <c r="G112" s="15"/>
      <c r="H112" s="15">
        <v>1</v>
      </c>
      <c r="I112" s="25">
        <v>1</v>
      </c>
      <c r="J112" s="25">
        <v>2</v>
      </c>
      <c r="K112" s="15" t="s">
        <v>70</v>
      </c>
      <c r="L112" s="15" t="s">
        <v>10112</v>
      </c>
      <c r="M112" s="15">
        <v>0</v>
      </c>
      <c r="N112" s="25">
        <v>1</v>
      </c>
      <c r="O112" s="25" t="b">
        <v>1</v>
      </c>
      <c r="P112" s="15">
        <v>3500</v>
      </c>
      <c r="Q112" s="15">
        <v>0</v>
      </c>
      <c r="R112" s="15">
        <v>4</v>
      </c>
      <c r="S112" s="15" t="s">
        <v>38</v>
      </c>
      <c r="T112" s="29" t="s">
        <v>10113</v>
      </c>
      <c r="U112" s="25" t="s">
        <v>1768</v>
      </c>
      <c r="V112" s="15">
        <v>100000</v>
      </c>
    </row>
    <row r="113" spans="1:22" x14ac:dyDescent="0.15">
      <c r="A113" s="15">
        <v>700004</v>
      </c>
      <c r="B113" s="21" t="s">
        <v>9735</v>
      </c>
      <c r="C113" s="15" t="s">
        <v>1832</v>
      </c>
      <c r="D113" s="15">
        <v>1</v>
      </c>
      <c r="E113" s="15">
        <v>0</v>
      </c>
      <c r="F113" s="15">
        <v>0</v>
      </c>
      <c r="G113" s="15"/>
      <c r="H113" s="15">
        <v>1</v>
      </c>
      <c r="I113" s="25">
        <v>1</v>
      </c>
      <c r="J113" s="25">
        <v>2</v>
      </c>
      <c r="K113" s="15" t="s">
        <v>70</v>
      </c>
      <c r="L113" s="15" t="s">
        <v>10114</v>
      </c>
      <c r="M113" s="15">
        <v>0</v>
      </c>
      <c r="N113" s="25">
        <v>1</v>
      </c>
      <c r="O113" s="25" t="b">
        <v>1</v>
      </c>
      <c r="P113" s="15">
        <v>3600</v>
      </c>
      <c r="Q113" s="15">
        <v>0</v>
      </c>
      <c r="R113" s="15">
        <v>4</v>
      </c>
      <c r="S113" s="15" t="s">
        <v>38</v>
      </c>
      <c r="T113" s="29" t="s">
        <v>10115</v>
      </c>
      <c r="U113" s="25" t="s">
        <v>1857</v>
      </c>
      <c r="V113" s="15">
        <v>100000</v>
      </c>
    </row>
    <row r="114" spans="1:22" x14ac:dyDescent="0.15">
      <c r="A114" s="15">
        <v>800004</v>
      </c>
      <c r="B114" s="21" t="s">
        <v>1955</v>
      </c>
      <c r="C114" s="15" t="s">
        <v>1908</v>
      </c>
      <c r="D114" s="15">
        <v>1</v>
      </c>
      <c r="E114" s="15">
        <v>0</v>
      </c>
      <c r="F114" s="15">
        <v>0</v>
      </c>
      <c r="G114" s="15"/>
      <c r="H114" s="15">
        <v>1</v>
      </c>
      <c r="I114" s="25">
        <v>1</v>
      </c>
      <c r="J114" s="25">
        <v>2</v>
      </c>
      <c r="K114" s="15" t="s">
        <v>70</v>
      </c>
      <c r="L114" s="15" t="s">
        <v>10116</v>
      </c>
      <c r="M114" s="15">
        <v>0</v>
      </c>
      <c r="N114" s="25">
        <v>1</v>
      </c>
      <c r="O114" s="25" t="b">
        <v>1</v>
      </c>
      <c r="P114" s="15">
        <v>3800</v>
      </c>
      <c r="Q114" s="15">
        <v>0</v>
      </c>
      <c r="R114" s="15">
        <v>4</v>
      </c>
      <c r="S114" s="15" t="s">
        <v>38</v>
      </c>
      <c r="T114" s="29" t="s">
        <v>1958</v>
      </c>
      <c r="U114" s="25" t="s">
        <v>1930</v>
      </c>
      <c r="V114" s="15">
        <v>100000</v>
      </c>
    </row>
    <row r="115" spans="1:22" s="6" customFormat="1" x14ac:dyDescent="0.15">
      <c r="A115" s="45">
        <v>101204</v>
      </c>
      <c r="B115" s="46" t="s">
        <v>9739</v>
      </c>
      <c r="C115" s="45" t="s">
        <v>33</v>
      </c>
      <c r="D115" s="45">
        <v>2</v>
      </c>
      <c r="E115" s="45">
        <v>1</v>
      </c>
      <c r="F115" s="45" t="s">
        <v>34</v>
      </c>
      <c r="G115" s="45"/>
      <c r="H115" s="45">
        <v>5</v>
      </c>
      <c r="I115" s="51">
        <v>0</v>
      </c>
      <c r="J115" s="45">
        <v>3</v>
      </c>
      <c r="K115" s="45">
        <v>5</v>
      </c>
      <c r="L115" s="45" t="s">
        <v>10117</v>
      </c>
      <c r="M115" s="45">
        <v>0</v>
      </c>
      <c r="N115" s="51">
        <v>1</v>
      </c>
      <c r="O115" s="51" t="b">
        <v>1</v>
      </c>
      <c r="P115" s="45">
        <v>6000</v>
      </c>
      <c r="Q115" s="45">
        <v>0</v>
      </c>
      <c r="R115" s="45">
        <v>4</v>
      </c>
      <c r="S115" s="45" t="s">
        <v>38</v>
      </c>
      <c r="T115" s="6" t="s">
        <v>10118</v>
      </c>
      <c r="U115" s="51" t="s">
        <v>119</v>
      </c>
      <c r="V115" s="45">
        <v>100000</v>
      </c>
    </row>
    <row r="116" spans="1:22" s="6" customFormat="1" x14ac:dyDescent="0.15">
      <c r="A116" s="45">
        <v>102204</v>
      </c>
      <c r="B116" s="46" t="s">
        <v>9742</v>
      </c>
      <c r="C116" s="45" t="s">
        <v>33</v>
      </c>
      <c r="D116" s="45">
        <v>2</v>
      </c>
      <c r="E116" s="45">
        <v>2</v>
      </c>
      <c r="F116" s="45" t="s">
        <v>134</v>
      </c>
      <c r="G116" s="45" t="s">
        <v>167</v>
      </c>
      <c r="H116" s="45">
        <v>5</v>
      </c>
      <c r="I116" s="51">
        <v>0</v>
      </c>
      <c r="J116" s="51">
        <v>3</v>
      </c>
      <c r="K116" s="45">
        <v>5</v>
      </c>
      <c r="L116" s="45" t="s">
        <v>10119</v>
      </c>
      <c r="M116" s="45">
        <v>0</v>
      </c>
      <c r="N116" s="51">
        <v>1</v>
      </c>
      <c r="O116" s="51" t="b">
        <v>1</v>
      </c>
      <c r="P116" s="45">
        <v>6000</v>
      </c>
      <c r="Q116" s="45">
        <v>0</v>
      </c>
      <c r="R116" s="45">
        <v>4</v>
      </c>
      <c r="S116" s="45" t="s">
        <v>38</v>
      </c>
      <c r="T116" s="65" t="s">
        <v>10120</v>
      </c>
      <c r="U116" s="51" t="s">
        <v>9745</v>
      </c>
      <c r="V116" s="45">
        <v>100000</v>
      </c>
    </row>
    <row r="117" spans="1:22" s="6" customFormat="1" x14ac:dyDescent="0.15">
      <c r="A117" s="45">
        <v>102314</v>
      </c>
      <c r="B117" s="47" t="s">
        <v>280</v>
      </c>
      <c r="C117" s="45" t="s">
        <v>33</v>
      </c>
      <c r="D117" s="45">
        <v>3</v>
      </c>
      <c r="E117" s="45">
        <v>2</v>
      </c>
      <c r="F117" s="45" t="s">
        <v>134</v>
      </c>
      <c r="G117" s="45" t="s">
        <v>230</v>
      </c>
      <c r="H117" s="45">
        <v>4</v>
      </c>
      <c r="I117" s="45">
        <v>0</v>
      </c>
      <c r="J117" s="51">
        <v>3</v>
      </c>
      <c r="K117" s="45">
        <v>5</v>
      </c>
      <c r="L117" s="45" t="s">
        <v>10121</v>
      </c>
      <c r="M117" s="45">
        <v>0</v>
      </c>
      <c r="N117" s="45">
        <v>1</v>
      </c>
      <c r="O117" s="51" t="b">
        <v>1</v>
      </c>
      <c r="P117" s="45">
        <v>6000</v>
      </c>
      <c r="Q117" s="45">
        <v>0</v>
      </c>
      <c r="R117" s="45">
        <v>4</v>
      </c>
      <c r="S117" s="45" t="s">
        <v>38</v>
      </c>
      <c r="T117" s="66" t="s">
        <v>10122</v>
      </c>
      <c r="U117" s="51" t="s">
        <v>284</v>
      </c>
      <c r="V117" s="45">
        <v>300000</v>
      </c>
    </row>
    <row r="118" spans="1:22" s="6" customFormat="1" x14ac:dyDescent="0.15">
      <c r="A118" s="45">
        <v>102304</v>
      </c>
      <c r="B118" s="46" t="s">
        <v>2005</v>
      </c>
      <c r="C118" s="45" t="s">
        <v>33</v>
      </c>
      <c r="D118" s="45">
        <v>2</v>
      </c>
      <c r="E118" s="45">
        <v>2</v>
      </c>
      <c r="F118" s="45" t="s">
        <v>134</v>
      </c>
      <c r="G118" s="45" t="s">
        <v>230</v>
      </c>
      <c r="H118" s="45">
        <v>5</v>
      </c>
      <c r="I118" s="51">
        <v>0</v>
      </c>
      <c r="J118" s="51">
        <v>3</v>
      </c>
      <c r="K118" s="45">
        <v>5</v>
      </c>
      <c r="L118" s="45" t="s">
        <v>10123</v>
      </c>
      <c r="M118" s="45">
        <v>0</v>
      </c>
      <c r="N118" s="51">
        <v>1</v>
      </c>
      <c r="O118" s="51" t="b">
        <v>1</v>
      </c>
      <c r="P118" s="45">
        <v>6000</v>
      </c>
      <c r="Q118" s="45">
        <v>0</v>
      </c>
      <c r="R118" s="45">
        <v>4</v>
      </c>
      <c r="S118" s="45" t="s">
        <v>38</v>
      </c>
      <c r="T118" s="67" t="s">
        <v>337</v>
      </c>
      <c r="U118" s="51" t="s">
        <v>339</v>
      </c>
      <c r="V118" s="45">
        <v>100000</v>
      </c>
    </row>
    <row r="119" spans="1:22" s="6" customFormat="1" x14ac:dyDescent="0.15">
      <c r="A119" s="45">
        <v>103204</v>
      </c>
      <c r="B119" s="46" t="s">
        <v>9748</v>
      </c>
      <c r="C119" s="45" t="s">
        <v>33</v>
      </c>
      <c r="D119" s="45">
        <v>2</v>
      </c>
      <c r="E119" s="45">
        <v>3</v>
      </c>
      <c r="F119" s="45" t="s">
        <v>363</v>
      </c>
      <c r="G119" s="45" t="s">
        <v>376</v>
      </c>
      <c r="H119" s="45">
        <v>5</v>
      </c>
      <c r="I119" s="51">
        <v>0</v>
      </c>
      <c r="J119" s="51">
        <v>3</v>
      </c>
      <c r="K119" s="45">
        <v>5</v>
      </c>
      <c r="L119" s="45" t="s">
        <v>10124</v>
      </c>
      <c r="M119" s="45">
        <v>0</v>
      </c>
      <c r="N119" s="51">
        <v>1</v>
      </c>
      <c r="O119" s="51" t="b">
        <v>1</v>
      </c>
      <c r="P119" s="45">
        <v>6000</v>
      </c>
      <c r="Q119" s="45">
        <v>0</v>
      </c>
      <c r="R119" s="45">
        <v>4</v>
      </c>
      <c r="S119" s="45" t="s">
        <v>38</v>
      </c>
      <c r="T119" s="66" t="s">
        <v>10125</v>
      </c>
      <c r="U119" s="51" t="s">
        <v>9751</v>
      </c>
      <c r="V119" s="45">
        <v>100000</v>
      </c>
    </row>
    <row r="120" spans="1:22" s="6" customFormat="1" x14ac:dyDescent="0.15">
      <c r="A120" s="45">
        <v>104204</v>
      </c>
      <c r="B120" s="46" t="s">
        <v>10126</v>
      </c>
      <c r="C120" s="45" t="s">
        <v>33</v>
      </c>
      <c r="D120" s="45">
        <v>2</v>
      </c>
      <c r="E120" s="45">
        <v>4</v>
      </c>
      <c r="F120" s="45" t="s">
        <v>447</v>
      </c>
      <c r="G120" s="45" t="s">
        <v>463</v>
      </c>
      <c r="H120" s="45">
        <v>5</v>
      </c>
      <c r="I120" s="51">
        <v>0</v>
      </c>
      <c r="J120" s="51">
        <v>3</v>
      </c>
      <c r="K120" s="45">
        <v>5</v>
      </c>
      <c r="L120" s="45" t="s">
        <v>10123</v>
      </c>
      <c r="M120" s="45">
        <v>0</v>
      </c>
      <c r="N120" s="51">
        <v>1</v>
      </c>
      <c r="O120" s="51" t="b">
        <v>1</v>
      </c>
      <c r="P120" s="45">
        <v>6000</v>
      </c>
      <c r="Q120" s="45">
        <v>0</v>
      </c>
      <c r="R120" s="45">
        <v>4</v>
      </c>
      <c r="S120" s="45" t="s">
        <v>38</v>
      </c>
      <c r="T120" s="68" t="s">
        <v>488</v>
      </c>
      <c r="U120" s="51" t="s">
        <v>607</v>
      </c>
      <c r="V120" s="45"/>
    </row>
    <row r="121" spans="1:22" s="6" customFormat="1" x14ac:dyDescent="0.15">
      <c r="A121" s="45">
        <v>104304</v>
      </c>
      <c r="B121" s="46" t="s">
        <v>9755</v>
      </c>
      <c r="C121" s="45" t="s">
        <v>33</v>
      </c>
      <c r="D121" s="45">
        <v>2</v>
      </c>
      <c r="E121" s="45">
        <v>4</v>
      </c>
      <c r="F121" s="45" t="s">
        <v>447</v>
      </c>
      <c r="G121" s="45" t="s">
        <v>532</v>
      </c>
      <c r="H121" s="45">
        <v>5</v>
      </c>
      <c r="I121" s="51">
        <v>0</v>
      </c>
      <c r="J121" s="51">
        <v>3</v>
      </c>
      <c r="K121" s="45">
        <v>5</v>
      </c>
      <c r="L121" s="45" t="s">
        <v>10127</v>
      </c>
      <c r="M121" s="45">
        <v>0</v>
      </c>
      <c r="N121" s="51">
        <v>1</v>
      </c>
      <c r="O121" s="51" t="b">
        <v>1</v>
      </c>
      <c r="P121" s="45">
        <v>6000</v>
      </c>
      <c r="Q121" s="45">
        <v>0</v>
      </c>
      <c r="R121" s="45">
        <v>4</v>
      </c>
      <c r="S121" s="45" t="s">
        <v>38</v>
      </c>
      <c r="T121" s="69" t="s">
        <v>10128</v>
      </c>
      <c r="U121" s="51" t="s">
        <v>9758</v>
      </c>
      <c r="V121" s="45">
        <v>100000</v>
      </c>
    </row>
    <row r="122" spans="1:22" s="6" customFormat="1" x14ac:dyDescent="0.15">
      <c r="A122" s="45">
        <v>105204</v>
      </c>
      <c r="B122" s="46" t="s">
        <v>672</v>
      </c>
      <c r="C122" s="45" t="s">
        <v>33</v>
      </c>
      <c r="D122" s="45">
        <v>2</v>
      </c>
      <c r="E122" s="45">
        <v>5</v>
      </c>
      <c r="F122" s="45" t="s">
        <v>631</v>
      </c>
      <c r="G122" s="45" t="s">
        <v>656</v>
      </c>
      <c r="H122" s="45">
        <v>5</v>
      </c>
      <c r="I122" s="51">
        <v>0</v>
      </c>
      <c r="J122" s="51">
        <v>3</v>
      </c>
      <c r="K122" s="45">
        <v>5</v>
      </c>
      <c r="L122" s="45" t="s">
        <v>10119</v>
      </c>
      <c r="M122" s="45">
        <v>0</v>
      </c>
      <c r="N122" s="51">
        <v>1</v>
      </c>
      <c r="O122" s="51" t="b">
        <v>1</v>
      </c>
      <c r="P122" s="45">
        <v>6000</v>
      </c>
      <c r="Q122" s="45">
        <v>0</v>
      </c>
      <c r="R122" s="45">
        <v>4</v>
      </c>
      <c r="S122" s="45" t="s">
        <v>38</v>
      </c>
      <c r="T122" s="65" t="s">
        <v>10129</v>
      </c>
      <c r="U122" s="51" t="s">
        <v>718</v>
      </c>
      <c r="V122" s="45">
        <v>100000</v>
      </c>
    </row>
    <row r="123" spans="1:22" s="6" customFormat="1" x14ac:dyDescent="0.15">
      <c r="A123" s="45">
        <v>106204</v>
      </c>
      <c r="B123" s="46" t="s">
        <v>756</v>
      </c>
      <c r="C123" s="45" t="s">
        <v>33</v>
      </c>
      <c r="D123" s="45">
        <v>2</v>
      </c>
      <c r="E123" s="45">
        <v>6</v>
      </c>
      <c r="F123" s="45" t="s">
        <v>727</v>
      </c>
      <c r="G123" s="45"/>
      <c r="H123" s="45">
        <v>5</v>
      </c>
      <c r="I123" s="51">
        <v>0</v>
      </c>
      <c r="J123" s="51">
        <v>3</v>
      </c>
      <c r="K123" s="45">
        <v>5</v>
      </c>
      <c r="L123" s="45" t="s">
        <v>10130</v>
      </c>
      <c r="M123" s="45">
        <v>0</v>
      </c>
      <c r="N123" s="51">
        <v>1</v>
      </c>
      <c r="O123" s="51" t="b">
        <v>1</v>
      </c>
      <c r="P123" s="45">
        <v>6000</v>
      </c>
      <c r="Q123" s="45">
        <v>0</v>
      </c>
      <c r="R123" s="45">
        <v>4</v>
      </c>
      <c r="S123" s="45" t="s">
        <v>38</v>
      </c>
      <c r="T123" s="65" t="s">
        <v>10131</v>
      </c>
      <c r="U123" s="51" t="s">
        <v>809</v>
      </c>
      <c r="V123" s="45">
        <v>100000</v>
      </c>
    </row>
    <row r="124" spans="1:22" s="6" customFormat="1" x14ac:dyDescent="0.15">
      <c r="A124" s="45">
        <v>109204</v>
      </c>
      <c r="B124" s="46" t="s">
        <v>9763</v>
      </c>
      <c r="C124" s="45" t="s">
        <v>33</v>
      </c>
      <c r="D124" s="45">
        <v>2</v>
      </c>
      <c r="E124" s="45">
        <v>9</v>
      </c>
      <c r="F124" s="45" t="s">
        <v>812</v>
      </c>
      <c r="G124" s="45"/>
      <c r="H124" s="45">
        <v>5</v>
      </c>
      <c r="I124" s="51">
        <v>0</v>
      </c>
      <c r="J124" s="51">
        <v>3</v>
      </c>
      <c r="K124" s="45">
        <v>5</v>
      </c>
      <c r="L124" s="45" t="s">
        <v>10117</v>
      </c>
      <c r="M124" s="45">
        <v>0</v>
      </c>
      <c r="N124" s="51">
        <v>1</v>
      </c>
      <c r="O124" s="51" t="b">
        <v>1</v>
      </c>
      <c r="P124" s="45">
        <v>6000</v>
      </c>
      <c r="Q124" s="45">
        <v>0</v>
      </c>
      <c r="R124" s="45">
        <v>4</v>
      </c>
      <c r="S124" s="45" t="s">
        <v>38</v>
      </c>
      <c r="T124" s="65" t="s">
        <v>10132</v>
      </c>
      <c r="U124" s="51" t="s">
        <v>884</v>
      </c>
      <c r="V124" s="45">
        <v>100000</v>
      </c>
    </row>
    <row r="125" spans="1:22" s="6" customFormat="1" ht="27" x14ac:dyDescent="0.15">
      <c r="A125" s="45">
        <v>110204</v>
      </c>
      <c r="B125" s="46" t="s">
        <v>965</v>
      </c>
      <c r="C125" s="45" t="s">
        <v>33</v>
      </c>
      <c r="D125" s="45">
        <v>2</v>
      </c>
      <c r="E125" s="45">
        <v>10</v>
      </c>
      <c r="F125" s="45" t="s">
        <v>887</v>
      </c>
      <c r="G125" s="45" t="s">
        <v>900</v>
      </c>
      <c r="H125" s="45">
        <v>5</v>
      </c>
      <c r="I125" s="51">
        <v>0</v>
      </c>
      <c r="J125" s="51">
        <v>3</v>
      </c>
      <c r="K125" s="45">
        <v>5</v>
      </c>
      <c r="L125" s="45" t="s">
        <v>10123</v>
      </c>
      <c r="M125" s="45">
        <v>0</v>
      </c>
      <c r="N125" s="51">
        <v>1</v>
      </c>
      <c r="O125" s="51" t="b">
        <v>1</v>
      </c>
      <c r="P125" s="45">
        <v>6000</v>
      </c>
      <c r="Q125" s="45">
        <v>0</v>
      </c>
      <c r="R125" s="45">
        <v>4</v>
      </c>
      <c r="S125" s="45" t="s">
        <v>38</v>
      </c>
      <c r="T125" s="65" t="s">
        <v>10133</v>
      </c>
      <c r="U125" s="51" t="s">
        <v>9768</v>
      </c>
      <c r="V125" s="45">
        <v>100000</v>
      </c>
    </row>
    <row r="126" spans="1:22" s="6" customFormat="1" x14ac:dyDescent="0.15">
      <c r="A126" s="45">
        <v>111204</v>
      </c>
      <c r="B126" s="46" t="s">
        <v>1006</v>
      </c>
      <c r="C126" s="45" t="s">
        <v>33</v>
      </c>
      <c r="D126" s="45">
        <v>2</v>
      </c>
      <c r="E126" s="45">
        <v>11</v>
      </c>
      <c r="F126" s="45" t="s">
        <v>971</v>
      </c>
      <c r="G126" s="45"/>
      <c r="H126" s="45">
        <v>5</v>
      </c>
      <c r="I126" s="51">
        <v>0</v>
      </c>
      <c r="J126" s="51">
        <v>3</v>
      </c>
      <c r="K126" s="45">
        <v>5</v>
      </c>
      <c r="L126" s="45" t="s">
        <v>10130</v>
      </c>
      <c r="M126" s="45">
        <v>0</v>
      </c>
      <c r="N126" s="51">
        <v>1</v>
      </c>
      <c r="O126" s="51" t="b">
        <v>1</v>
      </c>
      <c r="P126" s="45">
        <v>6000</v>
      </c>
      <c r="Q126" s="45">
        <v>0</v>
      </c>
      <c r="R126" s="45">
        <v>4</v>
      </c>
      <c r="S126" s="45" t="s">
        <v>38</v>
      </c>
      <c r="T126" s="68" t="s">
        <v>1009</v>
      </c>
      <c r="U126" s="51" t="s">
        <v>1399</v>
      </c>
      <c r="V126" s="45"/>
    </row>
    <row r="127" spans="1:22" s="6" customFormat="1" x14ac:dyDescent="0.15">
      <c r="A127" s="45">
        <v>200104</v>
      </c>
      <c r="B127" s="46" t="s">
        <v>9769</v>
      </c>
      <c r="C127" s="45" t="s">
        <v>1408</v>
      </c>
      <c r="D127" s="45">
        <v>2</v>
      </c>
      <c r="E127" s="45">
        <v>0</v>
      </c>
      <c r="F127" s="45">
        <v>0</v>
      </c>
      <c r="G127" s="45"/>
      <c r="H127" s="45">
        <v>5</v>
      </c>
      <c r="I127" s="51">
        <v>0</v>
      </c>
      <c r="J127" s="51">
        <v>4</v>
      </c>
      <c r="K127" s="45">
        <v>5</v>
      </c>
      <c r="L127" s="45" t="s">
        <v>10134</v>
      </c>
      <c r="M127" s="45">
        <v>0</v>
      </c>
      <c r="N127" s="51">
        <v>1</v>
      </c>
      <c r="O127" s="51" t="b">
        <v>1</v>
      </c>
      <c r="P127" s="45">
        <v>6000</v>
      </c>
      <c r="Q127" s="45">
        <v>0</v>
      </c>
      <c r="R127" s="45">
        <v>4</v>
      </c>
      <c r="S127" s="45" t="s">
        <v>38</v>
      </c>
      <c r="T127" s="67" t="s">
        <v>10135</v>
      </c>
      <c r="U127" s="51" t="s">
        <v>9772</v>
      </c>
      <c r="V127" s="45">
        <v>300000</v>
      </c>
    </row>
    <row r="128" spans="1:22" s="6" customFormat="1" x14ac:dyDescent="0.15">
      <c r="A128" s="45">
        <v>300104</v>
      </c>
      <c r="B128" s="48" t="s">
        <v>9773</v>
      </c>
      <c r="C128" s="45" t="s">
        <v>1508</v>
      </c>
      <c r="D128" s="45">
        <v>2</v>
      </c>
      <c r="E128" s="45">
        <v>0</v>
      </c>
      <c r="F128" s="45">
        <v>0</v>
      </c>
      <c r="G128" s="46"/>
      <c r="H128" s="45">
        <v>5</v>
      </c>
      <c r="I128" s="51">
        <v>0</v>
      </c>
      <c r="J128" s="51">
        <v>4</v>
      </c>
      <c r="K128" s="45">
        <v>5</v>
      </c>
      <c r="L128" s="45" t="s">
        <v>10136</v>
      </c>
      <c r="M128" s="45">
        <v>0</v>
      </c>
      <c r="N128" s="51">
        <v>1</v>
      </c>
      <c r="O128" s="51" t="b">
        <v>1</v>
      </c>
      <c r="P128" s="45">
        <v>6000</v>
      </c>
      <c r="Q128" s="45">
        <v>0</v>
      </c>
      <c r="R128" s="45">
        <v>4</v>
      </c>
      <c r="S128" s="45" t="s">
        <v>38</v>
      </c>
      <c r="T128" s="67" t="s">
        <v>10137</v>
      </c>
      <c r="U128" s="51" t="s">
        <v>9776</v>
      </c>
      <c r="V128" s="45">
        <v>200000</v>
      </c>
    </row>
    <row r="129" spans="1:24" s="6" customFormat="1" x14ac:dyDescent="0.15">
      <c r="A129" s="45">
        <v>400104</v>
      </c>
      <c r="B129" s="48" t="s">
        <v>9777</v>
      </c>
      <c r="C129" s="45" t="s">
        <v>1594</v>
      </c>
      <c r="D129" s="45">
        <v>2</v>
      </c>
      <c r="E129" s="45">
        <v>0</v>
      </c>
      <c r="F129" s="45">
        <v>0</v>
      </c>
      <c r="G129" s="46"/>
      <c r="H129" s="45">
        <v>5</v>
      </c>
      <c r="I129" s="51">
        <v>0</v>
      </c>
      <c r="J129" s="51">
        <v>4</v>
      </c>
      <c r="K129" s="45">
        <v>5</v>
      </c>
      <c r="L129" s="45" t="s">
        <v>10138</v>
      </c>
      <c r="M129" s="45">
        <v>0</v>
      </c>
      <c r="N129" s="51">
        <v>1</v>
      </c>
      <c r="O129" s="51" t="b">
        <v>1</v>
      </c>
      <c r="P129" s="45">
        <v>6000</v>
      </c>
      <c r="Q129" s="45">
        <v>0</v>
      </c>
      <c r="R129" s="45">
        <v>4</v>
      </c>
      <c r="S129" s="45" t="s">
        <v>38</v>
      </c>
      <c r="T129" s="85" t="s">
        <v>10139</v>
      </c>
      <c r="U129" s="51" t="s">
        <v>9780</v>
      </c>
      <c r="V129" s="45">
        <v>200000</v>
      </c>
    </row>
    <row r="130" spans="1:24" s="7" customFormat="1" ht="27" x14ac:dyDescent="0.15">
      <c r="A130" s="45">
        <v>500104</v>
      </c>
      <c r="B130" s="47" t="s">
        <v>1701</v>
      </c>
      <c r="C130" s="45" t="s">
        <v>1672</v>
      </c>
      <c r="D130" s="45">
        <v>2</v>
      </c>
      <c r="E130" s="45">
        <v>0</v>
      </c>
      <c r="F130" s="45">
        <v>0</v>
      </c>
      <c r="G130" s="46"/>
      <c r="H130" s="45">
        <v>5</v>
      </c>
      <c r="I130" s="51">
        <v>0</v>
      </c>
      <c r="J130" s="82">
        <v>4</v>
      </c>
      <c r="K130" s="82">
        <v>5</v>
      </c>
      <c r="L130" s="45" t="s">
        <v>10140</v>
      </c>
      <c r="M130" s="45">
        <v>0</v>
      </c>
      <c r="N130" s="82">
        <v>1</v>
      </c>
      <c r="O130" s="51" t="b">
        <v>1</v>
      </c>
      <c r="P130" s="45">
        <v>6000</v>
      </c>
      <c r="Q130" s="45">
        <v>0</v>
      </c>
      <c r="R130" s="45">
        <v>4</v>
      </c>
      <c r="S130" s="45" t="s">
        <v>38</v>
      </c>
      <c r="T130" s="65" t="s">
        <v>10141</v>
      </c>
      <c r="U130" s="51" t="s">
        <v>9783</v>
      </c>
      <c r="V130" s="45">
        <v>100000</v>
      </c>
      <c r="X130" s="6"/>
    </row>
    <row r="131" spans="1:24" s="6" customFormat="1" x14ac:dyDescent="0.15">
      <c r="A131" s="45">
        <v>600104</v>
      </c>
      <c r="B131" s="48" t="s">
        <v>9784</v>
      </c>
      <c r="C131" s="45" t="s">
        <v>1746</v>
      </c>
      <c r="D131" s="45">
        <v>2</v>
      </c>
      <c r="E131" s="45">
        <v>0</v>
      </c>
      <c r="F131" s="45">
        <v>0</v>
      </c>
      <c r="G131" s="46"/>
      <c r="H131" s="45">
        <v>5</v>
      </c>
      <c r="I131" s="51">
        <v>0</v>
      </c>
      <c r="J131" s="51">
        <v>2</v>
      </c>
      <c r="K131" s="51">
        <v>5</v>
      </c>
      <c r="L131" s="45" t="s">
        <v>10142</v>
      </c>
      <c r="M131" s="45">
        <v>0</v>
      </c>
      <c r="N131" s="51">
        <v>1</v>
      </c>
      <c r="O131" s="51" t="b">
        <v>1</v>
      </c>
      <c r="P131" s="45">
        <v>6000</v>
      </c>
      <c r="Q131" s="45">
        <v>0</v>
      </c>
      <c r="R131" s="45">
        <v>4</v>
      </c>
      <c r="S131" s="45" t="s">
        <v>38</v>
      </c>
      <c r="T131" s="67" t="s">
        <v>10143</v>
      </c>
      <c r="U131" s="51" t="s">
        <v>1821</v>
      </c>
      <c r="V131" s="45">
        <v>300000</v>
      </c>
    </row>
    <row r="132" spans="1:24" s="6" customFormat="1" x14ac:dyDescent="0.15">
      <c r="A132" s="45">
        <v>700104</v>
      </c>
      <c r="B132" s="48" t="s">
        <v>9787</v>
      </c>
      <c r="C132" s="45" t="s">
        <v>1832</v>
      </c>
      <c r="D132" s="45">
        <v>2</v>
      </c>
      <c r="E132" s="45">
        <v>0</v>
      </c>
      <c r="F132" s="45">
        <v>0</v>
      </c>
      <c r="G132" s="46"/>
      <c r="H132" s="45">
        <v>5</v>
      </c>
      <c r="I132" s="51">
        <v>0</v>
      </c>
      <c r="J132" s="51">
        <v>2</v>
      </c>
      <c r="K132" s="51">
        <v>5</v>
      </c>
      <c r="L132" s="45" t="s">
        <v>10144</v>
      </c>
      <c r="M132" s="45">
        <v>0</v>
      </c>
      <c r="N132" s="51">
        <v>1</v>
      </c>
      <c r="O132" s="51" t="b">
        <v>1</v>
      </c>
      <c r="P132" s="45">
        <v>6000</v>
      </c>
      <c r="Q132" s="45">
        <v>0</v>
      </c>
      <c r="R132" s="45">
        <v>4</v>
      </c>
      <c r="S132" s="45" t="s">
        <v>38</v>
      </c>
      <c r="T132" s="65" t="s">
        <v>10145</v>
      </c>
      <c r="U132" s="51" t="s">
        <v>9790</v>
      </c>
      <c r="V132" s="45">
        <v>100000</v>
      </c>
    </row>
    <row r="133" spans="1:24" s="6" customFormat="1" x14ac:dyDescent="0.15">
      <c r="A133" s="45">
        <v>800104</v>
      </c>
      <c r="B133" s="48" t="s">
        <v>1876</v>
      </c>
      <c r="C133" s="45" t="s">
        <v>1908</v>
      </c>
      <c r="D133" s="45">
        <v>2</v>
      </c>
      <c r="E133" s="45">
        <v>0</v>
      </c>
      <c r="F133" s="45">
        <v>0</v>
      </c>
      <c r="G133" s="46"/>
      <c r="H133" s="45">
        <v>5</v>
      </c>
      <c r="I133" s="51">
        <v>0</v>
      </c>
      <c r="J133" s="51">
        <v>2</v>
      </c>
      <c r="K133" s="51">
        <v>5</v>
      </c>
      <c r="L133" s="45" t="s">
        <v>10146</v>
      </c>
      <c r="M133" s="45">
        <v>0</v>
      </c>
      <c r="N133" s="51">
        <v>1</v>
      </c>
      <c r="O133" s="51" t="b">
        <v>1</v>
      </c>
      <c r="P133" s="45">
        <v>6000</v>
      </c>
      <c r="Q133" s="45">
        <v>0</v>
      </c>
      <c r="R133" s="45">
        <v>4</v>
      </c>
      <c r="S133" s="45" t="s">
        <v>38</v>
      </c>
      <c r="T133" s="65" t="s">
        <v>1879</v>
      </c>
      <c r="U133" s="51" t="s">
        <v>1984</v>
      </c>
      <c r="V133" s="45">
        <v>200000</v>
      </c>
    </row>
    <row r="134" spans="1:24" x14ac:dyDescent="0.15">
      <c r="A134" s="70">
        <v>101005</v>
      </c>
      <c r="B134" s="71" t="s">
        <v>68</v>
      </c>
      <c r="C134" s="70" t="s">
        <v>33</v>
      </c>
      <c r="D134" s="70">
        <v>1</v>
      </c>
      <c r="E134" s="70">
        <v>1</v>
      </c>
      <c r="F134" s="70" t="s">
        <v>34</v>
      </c>
      <c r="G134" s="70"/>
      <c r="H134" s="70">
        <v>1</v>
      </c>
      <c r="I134" s="83">
        <v>1</v>
      </c>
      <c r="J134" s="83">
        <v>3</v>
      </c>
      <c r="K134" s="70" t="s">
        <v>70</v>
      </c>
      <c r="L134" s="70" t="s">
        <v>9792</v>
      </c>
      <c r="M134" s="70">
        <v>0</v>
      </c>
      <c r="N134" s="83">
        <v>1</v>
      </c>
      <c r="O134" s="83" t="b">
        <v>1</v>
      </c>
      <c r="P134" s="70">
        <v>9800</v>
      </c>
      <c r="Q134" s="70">
        <v>0</v>
      </c>
      <c r="R134" s="70">
        <v>3</v>
      </c>
      <c r="S134" s="70" t="s">
        <v>38</v>
      </c>
      <c r="T134" s="86" t="s">
        <v>9793</v>
      </c>
      <c r="U134" s="70" t="s">
        <v>74</v>
      </c>
      <c r="V134" s="70">
        <v>100000</v>
      </c>
    </row>
    <row r="135" spans="1:24" x14ac:dyDescent="0.15">
      <c r="A135" s="70">
        <v>102005</v>
      </c>
      <c r="B135" s="71" t="s">
        <v>9794</v>
      </c>
      <c r="C135" s="70" t="s">
        <v>33</v>
      </c>
      <c r="D135" s="70">
        <v>1</v>
      </c>
      <c r="E135" s="70">
        <v>2</v>
      </c>
      <c r="F135" s="70" t="s">
        <v>134</v>
      </c>
      <c r="G135" s="70"/>
      <c r="H135" s="70">
        <v>1</v>
      </c>
      <c r="I135" s="83">
        <v>1</v>
      </c>
      <c r="J135" s="83">
        <v>3</v>
      </c>
      <c r="K135" s="70" t="s">
        <v>70</v>
      </c>
      <c r="L135" s="70" t="s">
        <v>9795</v>
      </c>
      <c r="M135" s="70">
        <v>0</v>
      </c>
      <c r="N135" s="83">
        <v>1</v>
      </c>
      <c r="O135" s="83" t="b">
        <v>1</v>
      </c>
      <c r="P135" s="70">
        <v>9800</v>
      </c>
      <c r="Q135" s="70">
        <v>0</v>
      </c>
      <c r="R135" s="70">
        <v>3</v>
      </c>
      <c r="S135" s="70" t="s">
        <v>38</v>
      </c>
      <c r="T135" s="86" t="s">
        <v>9796</v>
      </c>
      <c r="U135" s="70" t="s">
        <v>170</v>
      </c>
      <c r="V135" s="70">
        <v>100000</v>
      </c>
    </row>
    <row r="136" spans="1:24" ht="27" x14ac:dyDescent="0.15">
      <c r="A136" s="70">
        <v>102105</v>
      </c>
      <c r="B136" s="71" t="s">
        <v>9797</v>
      </c>
      <c r="C136" s="70" t="s">
        <v>33</v>
      </c>
      <c r="D136" s="70">
        <v>1</v>
      </c>
      <c r="E136" s="70">
        <v>2</v>
      </c>
      <c r="F136" s="70" t="s">
        <v>134</v>
      </c>
      <c r="G136" s="70"/>
      <c r="H136" s="70">
        <v>1</v>
      </c>
      <c r="I136" s="83">
        <v>1</v>
      </c>
      <c r="J136" s="83">
        <v>3</v>
      </c>
      <c r="K136" s="70" t="s">
        <v>70</v>
      </c>
      <c r="L136" s="70" t="s">
        <v>9798</v>
      </c>
      <c r="M136" s="70">
        <v>0</v>
      </c>
      <c r="N136" s="83">
        <v>1</v>
      </c>
      <c r="O136" s="83" t="b">
        <v>1</v>
      </c>
      <c r="P136" s="70">
        <v>9800</v>
      </c>
      <c r="Q136" s="70">
        <v>0</v>
      </c>
      <c r="R136" s="70">
        <v>3</v>
      </c>
      <c r="S136" s="70" t="s">
        <v>38</v>
      </c>
      <c r="T136" s="86" t="s">
        <v>9799</v>
      </c>
      <c r="U136" s="70" t="s">
        <v>245</v>
      </c>
      <c r="V136" s="70">
        <v>300000</v>
      </c>
    </row>
    <row r="137" spans="1:24" ht="27" x14ac:dyDescent="0.15">
      <c r="A137" s="70">
        <v>104005</v>
      </c>
      <c r="B137" s="72" t="s">
        <v>9800</v>
      </c>
      <c r="C137" s="70" t="s">
        <v>33</v>
      </c>
      <c r="D137" s="70">
        <v>1</v>
      </c>
      <c r="E137" s="70">
        <v>4</v>
      </c>
      <c r="F137" s="70" t="s">
        <v>447</v>
      </c>
      <c r="G137" s="70"/>
      <c r="H137" s="70">
        <v>1</v>
      </c>
      <c r="I137" s="83">
        <v>1</v>
      </c>
      <c r="J137" s="83">
        <v>3</v>
      </c>
      <c r="K137" s="70" t="s">
        <v>70</v>
      </c>
      <c r="L137" s="70" t="s">
        <v>1776</v>
      </c>
      <c r="M137" s="70">
        <v>0</v>
      </c>
      <c r="N137" s="83">
        <v>1</v>
      </c>
      <c r="O137" s="83" t="b">
        <v>1</v>
      </c>
      <c r="P137" s="70">
        <v>9800</v>
      </c>
      <c r="Q137" s="70">
        <v>0</v>
      </c>
      <c r="R137" s="70">
        <v>3</v>
      </c>
      <c r="S137" s="70" t="s">
        <v>38</v>
      </c>
      <c r="T137" s="86" t="s">
        <v>9801</v>
      </c>
      <c r="U137" s="70" t="s">
        <v>10147</v>
      </c>
      <c r="V137" s="70">
        <v>300000</v>
      </c>
    </row>
    <row r="138" spans="1:24" ht="27" x14ac:dyDescent="0.15">
      <c r="A138" s="70">
        <v>104105</v>
      </c>
      <c r="B138" s="72" t="s">
        <v>10148</v>
      </c>
      <c r="C138" s="70" t="s">
        <v>33</v>
      </c>
      <c r="D138" s="70">
        <v>1</v>
      </c>
      <c r="E138" s="70">
        <v>4</v>
      </c>
      <c r="F138" s="70" t="s">
        <v>447</v>
      </c>
      <c r="G138" s="70"/>
      <c r="H138" s="70">
        <v>1</v>
      </c>
      <c r="I138" s="83">
        <v>1</v>
      </c>
      <c r="J138" s="83">
        <v>3</v>
      </c>
      <c r="K138" s="70" t="s">
        <v>70</v>
      </c>
      <c r="L138" s="70" t="s">
        <v>1776</v>
      </c>
      <c r="M138" s="70">
        <v>0</v>
      </c>
      <c r="N138" s="83">
        <v>1</v>
      </c>
      <c r="O138" s="83" t="b">
        <v>1</v>
      </c>
      <c r="P138" s="70">
        <v>9800</v>
      </c>
      <c r="Q138" s="70">
        <v>0</v>
      </c>
      <c r="R138" s="70">
        <v>3</v>
      </c>
      <c r="S138" s="70" t="s">
        <v>38</v>
      </c>
      <c r="T138" s="86" t="s">
        <v>10149</v>
      </c>
      <c r="U138" s="70" t="s">
        <v>10150</v>
      </c>
      <c r="V138" s="70">
        <v>300000</v>
      </c>
    </row>
    <row r="139" spans="1:24" x14ac:dyDescent="0.15">
      <c r="A139" s="70">
        <v>105005</v>
      </c>
      <c r="B139" s="72" t="s">
        <v>9802</v>
      </c>
      <c r="C139" s="70" t="s">
        <v>33</v>
      </c>
      <c r="D139" s="70">
        <v>1</v>
      </c>
      <c r="E139" s="70">
        <v>5</v>
      </c>
      <c r="F139" s="70" t="s">
        <v>631</v>
      </c>
      <c r="G139" s="70"/>
      <c r="H139" s="70">
        <v>1</v>
      </c>
      <c r="I139" s="83">
        <v>1</v>
      </c>
      <c r="J139" s="83">
        <v>3</v>
      </c>
      <c r="K139" s="70" t="s">
        <v>70</v>
      </c>
      <c r="L139" s="70" t="s">
        <v>9803</v>
      </c>
      <c r="M139" s="70">
        <v>0</v>
      </c>
      <c r="N139" s="83">
        <v>1</v>
      </c>
      <c r="O139" s="83" t="b">
        <v>1</v>
      </c>
      <c r="P139" s="70">
        <v>9800</v>
      </c>
      <c r="Q139" s="70">
        <v>0</v>
      </c>
      <c r="R139" s="70">
        <v>3</v>
      </c>
      <c r="S139" s="70" t="s">
        <v>38</v>
      </c>
      <c r="T139" s="86" t="s">
        <v>9804</v>
      </c>
      <c r="U139" s="70" t="s">
        <v>665</v>
      </c>
      <c r="V139" s="70">
        <v>300000</v>
      </c>
    </row>
    <row r="140" spans="1:24" ht="27" x14ac:dyDescent="0.15">
      <c r="A140" s="70">
        <v>103005</v>
      </c>
      <c r="B140" s="72" t="s">
        <v>9805</v>
      </c>
      <c r="C140" s="70" t="s">
        <v>33</v>
      </c>
      <c r="D140" s="70">
        <v>1</v>
      </c>
      <c r="E140" s="70">
        <v>3</v>
      </c>
      <c r="F140" s="70" t="s">
        <v>363</v>
      </c>
      <c r="G140" s="70"/>
      <c r="H140" s="70">
        <v>1</v>
      </c>
      <c r="I140" s="83">
        <v>1</v>
      </c>
      <c r="J140" s="83">
        <v>3</v>
      </c>
      <c r="K140" s="70" t="s">
        <v>70</v>
      </c>
      <c r="L140" s="70" t="s">
        <v>9806</v>
      </c>
      <c r="M140" s="70">
        <v>0</v>
      </c>
      <c r="N140" s="83">
        <v>1</v>
      </c>
      <c r="O140" s="83" t="b">
        <v>1</v>
      </c>
      <c r="P140" s="70">
        <v>9800</v>
      </c>
      <c r="Q140" s="70">
        <v>0</v>
      </c>
      <c r="R140" s="70">
        <v>3</v>
      </c>
      <c r="S140" s="70" t="s">
        <v>38</v>
      </c>
      <c r="T140" s="86" t="s">
        <v>9807</v>
      </c>
      <c r="U140" s="70" t="s">
        <v>391</v>
      </c>
      <c r="V140" s="70">
        <v>300000</v>
      </c>
    </row>
    <row r="141" spans="1:24" ht="27" x14ac:dyDescent="0.15">
      <c r="A141" s="70">
        <v>106005</v>
      </c>
      <c r="B141" s="71" t="s">
        <v>9808</v>
      </c>
      <c r="C141" s="70" t="s">
        <v>33</v>
      </c>
      <c r="D141" s="70">
        <v>1</v>
      </c>
      <c r="E141" s="70">
        <v>6</v>
      </c>
      <c r="F141" s="70" t="s">
        <v>727</v>
      </c>
      <c r="G141" s="70"/>
      <c r="H141" s="70">
        <v>1</v>
      </c>
      <c r="I141" s="83">
        <v>1</v>
      </c>
      <c r="J141" s="83">
        <v>3</v>
      </c>
      <c r="K141" s="70" t="s">
        <v>70</v>
      </c>
      <c r="L141" s="70" t="s">
        <v>9809</v>
      </c>
      <c r="M141" s="70">
        <v>0</v>
      </c>
      <c r="N141" s="83">
        <v>1</v>
      </c>
      <c r="O141" s="83" t="b">
        <v>1</v>
      </c>
      <c r="P141" s="70">
        <v>9800</v>
      </c>
      <c r="Q141" s="70">
        <v>0</v>
      </c>
      <c r="R141" s="70">
        <v>3</v>
      </c>
      <c r="S141" s="70" t="s">
        <v>38</v>
      </c>
      <c r="T141" s="86" t="s">
        <v>9810</v>
      </c>
      <c r="U141" s="70" t="s">
        <v>755</v>
      </c>
      <c r="V141" s="70">
        <v>300000</v>
      </c>
    </row>
    <row r="142" spans="1:24" ht="40.5" x14ac:dyDescent="0.15">
      <c r="A142" s="70">
        <v>109005</v>
      </c>
      <c r="B142" s="71" t="s">
        <v>9811</v>
      </c>
      <c r="C142" s="70" t="s">
        <v>33</v>
      </c>
      <c r="D142" s="70">
        <v>1</v>
      </c>
      <c r="E142" s="70">
        <v>9</v>
      </c>
      <c r="F142" s="70" t="s">
        <v>812</v>
      </c>
      <c r="G142" s="70"/>
      <c r="H142" s="70">
        <v>1</v>
      </c>
      <c r="I142" s="83">
        <v>1</v>
      </c>
      <c r="J142" s="83">
        <v>3</v>
      </c>
      <c r="K142" s="70" t="s">
        <v>70</v>
      </c>
      <c r="L142" s="70" t="s">
        <v>9812</v>
      </c>
      <c r="M142" s="70">
        <v>0</v>
      </c>
      <c r="N142" s="83">
        <v>1</v>
      </c>
      <c r="O142" s="83" t="b">
        <v>1</v>
      </c>
      <c r="P142" s="70">
        <v>9800</v>
      </c>
      <c r="Q142" s="70">
        <v>0</v>
      </c>
      <c r="R142" s="70">
        <v>3</v>
      </c>
      <c r="S142" s="70" t="s">
        <v>38</v>
      </c>
      <c r="T142" s="86" t="s">
        <v>9813</v>
      </c>
      <c r="U142" s="70" t="s">
        <v>835</v>
      </c>
      <c r="V142" s="70">
        <v>300000</v>
      </c>
    </row>
    <row r="143" spans="1:24" ht="27" x14ac:dyDescent="0.15">
      <c r="A143" s="70">
        <v>110005</v>
      </c>
      <c r="B143" s="71" t="s">
        <v>9814</v>
      </c>
      <c r="C143" s="70" t="s">
        <v>33</v>
      </c>
      <c r="D143" s="70">
        <v>1</v>
      </c>
      <c r="E143" s="70">
        <v>10</v>
      </c>
      <c r="F143" s="70" t="s">
        <v>887</v>
      </c>
      <c r="G143" s="70"/>
      <c r="H143" s="70">
        <v>1</v>
      </c>
      <c r="I143" s="83">
        <v>1</v>
      </c>
      <c r="J143" s="83">
        <v>3</v>
      </c>
      <c r="K143" s="70" t="s">
        <v>70</v>
      </c>
      <c r="L143" s="70" t="s">
        <v>9815</v>
      </c>
      <c r="M143" s="70">
        <v>0</v>
      </c>
      <c r="N143" s="83">
        <v>1</v>
      </c>
      <c r="O143" s="83" t="b">
        <v>1</v>
      </c>
      <c r="P143" s="70">
        <v>9800</v>
      </c>
      <c r="Q143" s="70">
        <v>0</v>
      </c>
      <c r="R143" s="70">
        <v>3</v>
      </c>
      <c r="S143" s="70" t="s">
        <v>38</v>
      </c>
      <c r="T143" s="86" t="s">
        <v>9816</v>
      </c>
      <c r="U143" s="70" t="s">
        <v>915</v>
      </c>
      <c r="V143" s="70">
        <v>300000</v>
      </c>
    </row>
    <row r="144" spans="1:24" x14ac:dyDescent="0.15">
      <c r="A144" s="70">
        <v>111005</v>
      </c>
      <c r="B144" s="71" t="s">
        <v>10151</v>
      </c>
      <c r="C144" s="70" t="s">
        <v>33</v>
      </c>
      <c r="D144" s="70">
        <v>1</v>
      </c>
      <c r="E144" s="70">
        <v>11</v>
      </c>
      <c r="F144" s="70" t="s">
        <v>971</v>
      </c>
      <c r="G144" s="70"/>
      <c r="H144" s="70">
        <v>1</v>
      </c>
      <c r="I144" s="83">
        <v>1</v>
      </c>
      <c r="J144" s="83">
        <v>3</v>
      </c>
      <c r="K144" s="70" t="s">
        <v>70</v>
      </c>
      <c r="L144" s="70" t="s">
        <v>9815</v>
      </c>
      <c r="M144" s="70">
        <v>0</v>
      </c>
      <c r="N144" s="83">
        <v>1</v>
      </c>
      <c r="O144" s="83" t="b">
        <v>1</v>
      </c>
      <c r="P144" s="70">
        <v>9800</v>
      </c>
      <c r="Q144" s="70">
        <v>0</v>
      </c>
      <c r="R144" s="70">
        <v>3</v>
      </c>
      <c r="S144" s="70" t="s">
        <v>38</v>
      </c>
      <c r="T144" s="86" t="s">
        <v>10152</v>
      </c>
      <c r="U144" s="70" t="s">
        <v>10153</v>
      </c>
      <c r="V144" s="70">
        <v>300000</v>
      </c>
    </row>
    <row r="145" spans="1:22" ht="27" x14ac:dyDescent="0.15">
      <c r="A145" s="70">
        <v>200005</v>
      </c>
      <c r="B145" s="71" t="s">
        <v>666</v>
      </c>
      <c r="C145" s="70" t="s">
        <v>1408</v>
      </c>
      <c r="D145" s="70">
        <v>1</v>
      </c>
      <c r="E145" s="70">
        <v>0</v>
      </c>
      <c r="F145" s="70">
        <v>0</v>
      </c>
      <c r="G145" s="70"/>
      <c r="H145" s="70">
        <v>1</v>
      </c>
      <c r="I145" s="83">
        <v>1</v>
      </c>
      <c r="J145" s="83">
        <v>4</v>
      </c>
      <c r="K145" s="70" t="s">
        <v>70</v>
      </c>
      <c r="L145" s="70" t="s">
        <v>9817</v>
      </c>
      <c r="M145" s="70">
        <v>0</v>
      </c>
      <c r="N145" s="83">
        <v>1</v>
      </c>
      <c r="O145" s="83" t="b">
        <v>1</v>
      </c>
      <c r="P145" s="70">
        <v>8000</v>
      </c>
      <c r="Q145" s="70">
        <v>0</v>
      </c>
      <c r="R145" s="70">
        <v>3</v>
      </c>
      <c r="S145" s="70" t="s">
        <v>38</v>
      </c>
      <c r="T145" s="86" t="s">
        <v>9818</v>
      </c>
      <c r="U145" s="70" t="s">
        <v>1439</v>
      </c>
      <c r="V145" s="70">
        <v>300000</v>
      </c>
    </row>
    <row r="146" spans="1:22" x14ac:dyDescent="0.15">
      <c r="A146" s="70">
        <v>300005</v>
      </c>
      <c r="B146" s="71" t="s">
        <v>9819</v>
      </c>
      <c r="C146" s="70" t="s">
        <v>1508</v>
      </c>
      <c r="D146" s="70">
        <v>1</v>
      </c>
      <c r="E146" s="70">
        <v>0</v>
      </c>
      <c r="F146" s="70">
        <v>0</v>
      </c>
      <c r="G146" s="70"/>
      <c r="H146" s="70">
        <v>1</v>
      </c>
      <c r="I146" s="83">
        <v>1</v>
      </c>
      <c r="J146" s="83">
        <v>4</v>
      </c>
      <c r="K146" s="70" t="s">
        <v>70</v>
      </c>
      <c r="L146" s="70" t="s">
        <v>9820</v>
      </c>
      <c r="M146" s="70">
        <v>0</v>
      </c>
      <c r="N146" s="83">
        <v>1</v>
      </c>
      <c r="O146" s="83" t="b">
        <v>1</v>
      </c>
      <c r="P146" s="70">
        <v>7200</v>
      </c>
      <c r="Q146" s="70">
        <v>0</v>
      </c>
      <c r="R146" s="70">
        <v>3</v>
      </c>
      <c r="S146" s="70" t="s">
        <v>38</v>
      </c>
      <c r="T146" s="86" t="s">
        <v>9821</v>
      </c>
      <c r="U146" s="70" t="s">
        <v>1536</v>
      </c>
      <c r="V146" s="70">
        <v>300000</v>
      </c>
    </row>
    <row r="147" spans="1:22" x14ac:dyDescent="0.15">
      <c r="A147" s="70">
        <v>400005</v>
      </c>
      <c r="B147" s="71" t="s">
        <v>9822</v>
      </c>
      <c r="C147" s="70" t="s">
        <v>1594</v>
      </c>
      <c r="D147" s="70">
        <v>1</v>
      </c>
      <c r="E147" s="70">
        <v>0</v>
      </c>
      <c r="F147" s="70">
        <v>0</v>
      </c>
      <c r="G147" s="70"/>
      <c r="H147" s="70">
        <v>1</v>
      </c>
      <c r="I147" s="83">
        <v>1</v>
      </c>
      <c r="J147" s="83">
        <v>4</v>
      </c>
      <c r="K147" s="70" t="s">
        <v>70</v>
      </c>
      <c r="L147" s="70" t="s">
        <v>9823</v>
      </c>
      <c r="M147" s="70">
        <v>0</v>
      </c>
      <c r="N147" s="83">
        <v>1</v>
      </c>
      <c r="O147" s="83" t="b">
        <v>1</v>
      </c>
      <c r="P147" s="70">
        <v>8400</v>
      </c>
      <c r="Q147" s="70">
        <v>0</v>
      </c>
      <c r="R147" s="70">
        <v>3</v>
      </c>
      <c r="S147" s="70" t="s">
        <v>38</v>
      </c>
      <c r="T147" s="86" t="s">
        <v>9824</v>
      </c>
      <c r="U147" s="70" t="s">
        <v>1619</v>
      </c>
      <c r="V147" s="70">
        <v>300000</v>
      </c>
    </row>
    <row r="148" spans="1:22" ht="27" x14ac:dyDescent="0.15">
      <c r="A148" s="70">
        <v>500005</v>
      </c>
      <c r="B148" s="73" t="s">
        <v>9825</v>
      </c>
      <c r="C148" s="70" t="s">
        <v>1672</v>
      </c>
      <c r="D148" s="70">
        <v>1</v>
      </c>
      <c r="E148" s="70">
        <v>0</v>
      </c>
      <c r="F148" s="70">
        <v>0</v>
      </c>
      <c r="G148" s="70"/>
      <c r="H148" s="70">
        <v>1</v>
      </c>
      <c r="I148" s="83">
        <v>1</v>
      </c>
      <c r="J148" s="83">
        <v>4</v>
      </c>
      <c r="K148" s="70" t="s">
        <v>70</v>
      </c>
      <c r="L148" s="70" t="s">
        <v>9826</v>
      </c>
      <c r="M148" s="70">
        <v>0</v>
      </c>
      <c r="N148" s="83">
        <v>1</v>
      </c>
      <c r="O148" s="83" t="b">
        <v>1</v>
      </c>
      <c r="P148" s="70">
        <v>9600</v>
      </c>
      <c r="Q148" s="70">
        <v>0</v>
      </c>
      <c r="R148" s="70">
        <v>3</v>
      </c>
      <c r="S148" s="70" t="s">
        <v>38</v>
      </c>
      <c r="T148" s="86" t="s">
        <v>9827</v>
      </c>
      <c r="U148" s="70" t="s">
        <v>1695</v>
      </c>
      <c r="V148" s="70">
        <v>300000</v>
      </c>
    </row>
    <row r="149" spans="1:22" x14ac:dyDescent="0.15">
      <c r="A149" s="70">
        <v>600005</v>
      </c>
      <c r="B149" s="72" t="s">
        <v>1780</v>
      </c>
      <c r="C149" s="70" t="s">
        <v>1746</v>
      </c>
      <c r="D149" s="70">
        <v>1</v>
      </c>
      <c r="E149" s="70">
        <v>0</v>
      </c>
      <c r="F149" s="70">
        <v>0</v>
      </c>
      <c r="G149" s="70"/>
      <c r="H149" s="70">
        <v>1</v>
      </c>
      <c r="I149" s="83">
        <v>1</v>
      </c>
      <c r="J149" s="83">
        <v>2</v>
      </c>
      <c r="K149" s="70" t="s">
        <v>70</v>
      </c>
      <c r="L149" s="70" t="s">
        <v>9828</v>
      </c>
      <c r="M149" s="70">
        <v>0</v>
      </c>
      <c r="N149" s="83">
        <v>1</v>
      </c>
      <c r="O149" s="83" t="b">
        <v>1</v>
      </c>
      <c r="P149" s="70">
        <v>8800</v>
      </c>
      <c r="Q149" s="70">
        <v>0</v>
      </c>
      <c r="R149" s="70">
        <v>3</v>
      </c>
      <c r="S149" s="70" t="s">
        <v>38</v>
      </c>
      <c r="T149" s="86" t="s">
        <v>1783</v>
      </c>
      <c r="U149" s="70" t="s">
        <v>1773</v>
      </c>
      <c r="V149" s="70">
        <v>300000</v>
      </c>
    </row>
    <row r="150" spans="1:22" ht="27" x14ac:dyDescent="0.15">
      <c r="A150" s="70">
        <v>700005</v>
      </c>
      <c r="B150" s="72" t="s">
        <v>9829</v>
      </c>
      <c r="C150" s="70" t="s">
        <v>1832</v>
      </c>
      <c r="D150" s="70">
        <v>1</v>
      </c>
      <c r="E150" s="70">
        <v>0</v>
      </c>
      <c r="F150" s="70">
        <v>0</v>
      </c>
      <c r="G150" s="70"/>
      <c r="H150" s="70">
        <v>1</v>
      </c>
      <c r="I150" s="83">
        <v>1</v>
      </c>
      <c r="J150" s="83">
        <v>2</v>
      </c>
      <c r="K150" s="70" t="s">
        <v>70</v>
      </c>
      <c r="L150" s="70" t="s">
        <v>9830</v>
      </c>
      <c r="M150" s="70">
        <v>0</v>
      </c>
      <c r="N150" s="83">
        <v>1</v>
      </c>
      <c r="O150" s="83" t="b">
        <v>1</v>
      </c>
      <c r="P150" s="70">
        <v>9999</v>
      </c>
      <c r="Q150" s="70">
        <v>0</v>
      </c>
      <c r="R150" s="70">
        <v>3</v>
      </c>
      <c r="S150" s="70" t="s">
        <v>38</v>
      </c>
      <c r="T150" s="86" t="s">
        <v>9831</v>
      </c>
      <c r="U150" s="70" t="s">
        <v>1863</v>
      </c>
      <c r="V150" s="70">
        <v>200000</v>
      </c>
    </row>
    <row r="151" spans="1:22" x14ac:dyDescent="0.15">
      <c r="A151" s="70">
        <v>800005</v>
      </c>
      <c r="B151" s="72" t="s">
        <v>9832</v>
      </c>
      <c r="C151" s="70" t="s">
        <v>1908</v>
      </c>
      <c r="D151" s="70">
        <v>1</v>
      </c>
      <c r="E151" s="70">
        <v>0</v>
      </c>
      <c r="F151" s="70">
        <v>0</v>
      </c>
      <c r="G151" s="70"/>
      <c r="H151" s="70">
        <v>1</v>
      </c>
      <c r="I151" s="83">
        <v>1</v>
      </c>
      <c r="J151" s="83">
        <v>2</v>
      </c>
      <c r="K151" s="70" t="s">
        <v>70</v>
      </c>
      <c r="L151" s="70" t="s">
        <v>9529</v>
      </c>
      <c r="M151" s="70">
        <v>0</v>
      </c>
      <c r="N151" s="83">
        <v>1</v>
      </c>
      <c r="O151" s="83" t="b">
        <v>1</v>
      </c>
      <c r="P151" s="70">
        <v>8840</v>
      </c>
      <c r="Q151" s="70">
        <v>0</v>
      </c>
      <c r="R151" s="70">
        <v>3</v>
      </c>
      <c r="S151" s="70" t="s">
        <v>38</v>
      </c>
      <c r="T151" s="86" t="s">
        <v>1964</v>
      </c>
      <c r="U151" s="70" t="s">
        <v>1936</v>
      </c>
      <c r="V151" s="70">
        <v>100000</v>
      </c>
    </row>
    <row r="152" spans="1:22" s="4" customFormat="1" ht="27" x14ac:dyDescent="0.15">
      <c r="A152" s="38">
        <v>200105</v>
      </c>
      <c r="B152" s="39" t="s">
        <v>9833</v>
      </c>
      <c r="C152" s="38" t="s">
        <v>1408</v>
      </c>
      <c r="D152" s="38">
        <v>3</v>
      </c>
      <c r="E152" s="38">
        <v>0</v>
      </c>
      <c r="F152" s="38">
        <v>0</v>
      </c>
      <c r="G152" s="38"/>
      <c r="H152" s="38">
        <v>5</v>
      </c>
      <c r="I152" s="49">
        <v>0</v>
      </c>
      <c r="J152" s="49">
        <v>8</v>
      </c>
      <c r="K152" s="49">
        <v>5</v>
      </c>
      <c r="L152" s="38" t="s">
        <v>9834</v>
      </c>
      <c r="M152" s="38">
        <v>0</v>
      </c>
      <c r="N152" s="49">
        <v>1</v>
      </c>
      <c r="O152" s="49" t="b">
        <v>0</v>
      </c>
      <c r="P152" s="38">
        <v>12000</v>
      </c>
      <c r="Q152" s="38">
        <v>0</v>
      </c>
      <c r="R152" s="38">
        <v>4</v>
      </c>
      <c r="S152" s="38" t="s">
        <v>38</v>
      </c>
      <c r="T152" s="87" t="s">
        <v>9835</v>
      </c>
      <c r="U152" s="38" t="s">
        <v>9836</v>
      </c>
      <c r="V152" s="38">
        <v>100000</v>
      </c>
    </row>
    <row r="153" spans="1:22" s="4" customFormat="1" ht="27" x14ac:dyDescent="0.15">
      <c r="A153" s="38">
        <v>400105</v>
      </c>
      <c r="B153" s="39" t="s">
        <v>9837</v>
      </c>
      <c r="C153" s="38" t="s">
        <v>1594</v>
      </c>
      <c r="D153" s="38">
        <v>3</v>
      </c>
      <c r="E153" s="38">
        <v>0</v>
      </c>
      <c r="F153" s="38">
        <v>0</v>
      </c>
      <c r="G153" s="38"/>
      <c r="H153" s="38">
        <v>5</v>
      </c>
      <c r="I153" s="49">
        <v>0</v>
      </c>
      <c r="J153" s="49">
        <v>1</v>
      </c>
      <c r="K153" s="49">
        <v>5</v>
      </c>
      <c r="L153" s="38" t="s">
        <v>9838</v>
      </c>
      <c r="M153" s="38">
        <v>0</v>
      </c>
      <c r="N153" s="49">
        <v>1</v>
      </c>
      <c r="O153" s="49" t="b">
        <v>0</v>
      </c>
      <c r="P153" s="38">
        <v>11500</v>
      </c>
      <c r="Q153" s="38">
        <v>0</v>
      </c>
      <c r="R153" s="38">
        <v>4</v>
      </c>
      <c r="S153" s="38" t="s">
        <v>38</v>
      </c>
      <c r="T153" s="87" t="s">
        <v>9839</v>
      </c>
      <c r="U153" s="38" t="s">
        <v>2105</v>
      </c>
      <c r="V153" s="38">
        <v>100000</v>
      </c>
    </row>
    <row r="154" spans="1:22" x14ac:dyDescent="0.15">
      <c r="A154" s="70">
        <v>101006</v>
      </c>
      <c r="B154" s="71" t="s">
        <v>75</v>
      </c>
      <c r="C154" s="70" t="s">
        <v>33</v>
      </c>
      <c r="D154" s="70">
        <v>1</v>
      </c>
      <c r="E154" s="70">
        <v>1</v>
      </c>
      <c r="F154" s="70" t="s">
        <v>34</v>
      </c>
      <c r="G154" s="70"/>
      <c r="H154" s="70">
        <v>1</v>
      </c>
      <c r="I154" s="25">
        <v>1</v>
      </c>
      <c r="J154" s="83">
        <v>3</v>
      </c>
      <c r="K154" s="70" t="s">
        <v>70</v>
      </c>
      <c r="L154" s="70" t="s">
        <v>9840</v>
      </c>
      <c r="M154" s="70">
        <v>0</v>
      </c>
      <c r="N154" s="83">
        <v>1</v>
      </c>
      <c r="O154" s="83" t="b">
        <v>1</v>
      </c>
      <c r="P154" s="70">
        <v>16800</v>
      </c>
      <c r="Q154" s="70">
        <v>0</v>
      </c>
      <c r="R154" s="70">
        <v>4</v>
      </c>
      <c r="S154" s="70" t="s">
        <v>38</v>
      </c>
      <c r="T154" s="86" t="s">
        <v>9841</v>
      </c>
      <c r="U154" s="70" t="s">
        <v>80</v>
      </c>
      <c r="V154" s="70">
        <v>100000</v>
      </c>
    </row>
    <row r="155" spans="1:22" ht="27" x14ac:dyDescent="0.15">
      <c r="A155" s="70">
        <v>102006</v>
      </c>
      <c r="B155" s="71" t="s">
        <v>9842</v>
      </c>
      <c r="C155" s="70" t="s">
        <v>33</v>
      </c>
      <c r="D155" s="70">
        <v>1</v>
      </c>
      <c r="E155" s="70">
        <v>2</v>
      </c>
      <c r="F155" s="70" t="s">
        <v>134</v>
      </c>
      <c r="G155" s="70"/>
      <c r="H155" s="70">
        <v>1</v>
      </c>
      <c r="I155" s="25">
        <v>1</v>
      </c>
      <c r="J155" s="83">
        <v>3</v>
      </c>
      <c r="K155" s="70" t="s">
        <v>70</v>
      </c>
      <c r="L155" s="70" t="s">
        <v>9843</v>
      </c>
      <c r="M155" s="70">
        <v>0</v>
      </c>
      <c r="N155" s="83">
        <v>1</v>
      </c>
      <c r="O155" s="83" t="b">
        <v>1</v>
      </c>
      <c r="P155" s="70">
        <v>16800</v>
      </c>
      <c r="Q155" s="70">
        <v>0</v>
      </c>
      <c r="R155" s="70">
        <v>4</v>
      </c>
      <c r="S155" s="70" t="s">
        <v>38</v>
      </c>
      <c r="T155" s="86" t="s">
        <v>9844</v>
      </c>
      <c r="U155" s="70" t="s">
        <v>176</v>
      </c>
      <c r="V155" s="70">
        <v>200000</v>
      </c>
    </row>
    <row r="156" spans="1:22" ht="27" x14ac:dyDescent="0.15">
      <c r="A156" s="70">
        <v>102106</v>
      </c>
      <c r="B156" s="71" t="s">
        <v>9845</v>
      </c>
      <c r="C156" s="70" t="s">
        <v>33</v>
      </c>
      <c r="D156" s="70">
        <v>1</v>
      </c>
      <c r="E156" s="70">
        <v>2</v>
      </c>
      <c r="F156" s="70" t="s">
        <v>134</v>
      </c>
      <c r="G156" s="70"/>
      <c r="H156" s="70">
        <v>1</v>
      </c>
      <c r="I156" s="25">
        <v>1</v>
      </c>
      <c r="J156" s="83">
        <v>3</v>
      </c>
      <c r="K156" s="70" t="s">
        <v>70</v>
      </c>
      <c r="L156" s="70" t="s">
        <v>9846</v>
      </c>
      <c r="M156" s="70">
        <v>0</v>
      </c>
      <c r="N156" s="83">
        <v>1</v>
      </c>
      <c r="O156" s="83" t="b">
        <v>1</v>
      </c>
      <c r="P156" s="70">
        <v>16800</v>
      </c>
      <c r="Q156" s="70">
        <v>0</v>
      </c>
      <c r="R156" s="70">
        <v>4</v>
      </c>
      <c r="S156" s="70" t="s">
        <v>38</v>
      </c>
      <c r="T156" s="86" t="s">
        <v>9847</v>
      </c>
      <c r="U156" s="70" t="s">
        <v>251</v>
      </c>
      <c r="V156" s="70">
        <v>200000</v>
      </c>
    </row>
    <row r="157" spans="1:22" ht="27" x14ac:dyDescent="0.15">
      <c r="A157" s="70">
        <v>104006</v>
      </c>
      <c r="B157" s="71" t="s">
        <v>9848</v>
      </c>
      <c r="C157" s="70" t="s">
        <v>33</v>
      </c>
      <c r="D157" s="70">
        <v>1</v>
      </c>
      <c r="E157" s="70">
        <v>4</v>
      </c>
      <c r="F157" s="70" t="s">
        <v>447</v>
      </c>
      <c r="G157" s="70"/>
      <c r="H157" s="70">
        <v>1</v>
      </c>
      <c r="I157" s="25">
        <v>1</v>
      </c>
      <c r="J157" s="83">
        <v>3</v>
      </c>
      <c r="K157" s="70" t="s">
        <v>70</v>
      </c>
      <c r="L157" s="70" t="s">
        <v>9849</v>
      </c>
      <c r="M157" s="70">
        <v>0</v>
      </c>
      <c r="N157" s="83">
        <v>1</v>
      </c>
      <c r="O157" s="83" t="b">
        <v>1</v>
      </c>
      <c r="P157" s="70">
        <v>16800</v>
      </c>
      <c r="Q157" s="70">
        <v>0</v>
      </c>
      <c r="R157" s="70">
        <v>4</v>
      </c>
      <c r="S157" s="70" t="s">
        <v>38</v>
      </c>
      <c r="T157" s="86" t="s">
        <v>9850</v>
      </c>
      <c r="U157" s="70" t="s">
        <v>484</v>
      </c>
      <c r="V157" s="70">
        <v>200000</v>
      </c>
    </row>
    <row r="158" spans="1:22" x14ac:dyDescent="0.15">
      <c r="A158" s="70">
        <v>104106</v>
      </c>
      <c r="B158" s="71" t="s">
        <v>9851</v>
      </c>
      <c r="C158" s="70" t="s">
        <v>33</v>
      </c>
      <c r="D158" s="70">
        <v>1</v>
      </c>
      <c r="E158" s="70">
        <v>4</v>
      </c>
      <c r="F158" s="70" t="s">
        <v>447</v>
      </c>
      <c r="G158" s="70"/>
      <c r="H158" s="70">
        <v>1</v>
      </c>
      <c r="I158" s="25">
        <v>1</v>
      </c>
      <c r="J158" s="83">
        <v>3</v>
      </c>
      <c r="K158" s="70" t="s">
        <v>9852</v>
      </c>
      <c r="L158" s="70" t="s">
        <v>9853</v>
      </c>
      <c r="M158" s="70">
        <v>0</v>
      </c>
      <c r="N158" s="83">
        <v>1</v>
      </c>
      <c r="O158" s="83" t="b">
        <v>1</v>
      </c>
      <c r="P158" s="70">
        <v>16800</v>
      </c>
      <c r="Q158" s="70">
        <v>0</v>
      </c>
      <c r="R158" s="70">
        <v>4</v>
      </c>
      <c r="S158" s="70" t="s">
        <v>38</v>
      </c>
      <c r="T158" s="86" t="s">
        <v>9854</v>
      </c>
      <c r="U158" s="70" t="s">
        <v>9855</v>
      </c>
      <c r="V158" s="70">
        <v>200000</v>
      </c>
    </row>
    <row r="159" spans="1:22" x14ac:dyDescent="0.15">
      <c r="A159" s="70">
        <v>105006</v>
      </c>
      <c r="B159" s="72" t="s">
        <v>9856</v>
      </c>
      <c r="C159" s="70" t="s">
        <v>33</v>
      </c>
      <c r="D159" s="70">
        <v>1</v>
      </c>
      <c r="E159" s="70">
        <v>5</v>
      </c>
      <c r="F159" s="70" t="s">
        <v>631</v>
      </c>
      <c r="G159" s="70"/>
      <c r="H159" s="70">
        <v>1</v>
      </c>
      <c r="I159" s="25">
        <v>1</v>
      </c>
      <c r="J159" s="83">
        <v>3</v>
      </c>
      <c r="K159" s="70" t="s">
        <v>70</v>
      </c>
      <c r="L159" s="70" t="s">
        <v>9857</v>
      </c>
      <c r="M159" s="70">
        <v>0</v>
      </c>
      <c r="N159" s="83">
        <v>1</v>
      </c>
      <c r="O159" s="83" t="b">
        <v>1</v>
      </c>
      <c r="P159" s="70">
        <v>16800</v>
      </c>
      <c r="Q159" s="70">
        <v>0</v>
      </c>
      <c r="R159" s="70">
        <v>4</v>
      </c>
      <c r="S159" s="70" t="s">
        <v>38</v>
      </c>
      <c r="T159" s="86" t="s">
        <v>9858</v>
      </c>
      <c r="U159" s="70" t="s">
        <v>671</v>
      </c>
      <c r="V159" s="70">
        <v>200000</v>
      </c>
    </row>
    <row r="160" spans="1:22" x14ac:dyDescent="0.15">
      <c r="A160" s="70">
        <v>103006</v>
      </c>
      <c r="B160" s="71" t="s">
        <v>392</v>
      </c>
      <c r="C160" s="70" t="s">
        <v>33</v>
      </c>
      <c r="D160" s="70">
        <v>1</v>
      </c>
      <c r="E160" s="70">
        <v>3</v>
      </c>
      <c r="F160" s="70" t="s">
        <v>363</v>
      </c>
      <c r="G160" s="70"/>
      <c r="H160" s="70">
        <v>1</v>
      </c>
      <c r="I160" s="25">
        <v>1</v>
      </c>
      <c r="J160" s="83">
        <v>3</v>
      </c>
      <c r="K160" s="70" t="s">
        <v>70</v>
      </c>
      <c r="L160" s="70" t="s">
        <v>9859</v>
      </c>
      <c r="M160" s="70">
        <v>0</v>
      </c>
      <c r="N160" s="83">
        <v>1</v>
      </c>
      <c r="O160" s="83" t="b">
        <v>1</v>
      </c>
      <c r="P160" s="70">
        <v>16800</v>
      </c>
      <c r="Q160" s="70">
        <v>0</v>
      </c>
      <c r="R160" s="70">
        <v>4</v>
      </c>
      <c r="S160" s="70" t="s">
        <v>38</v>
      </c>
      <c r="T160" s="86" t="s">
        <v>9860</v>
      </c>
      <c r="U160" s="70" t="s">
        <v>397</v>
      </c>
      <c r="V160" s="70">
        <v>200000</v>
      </c>
    </row>
    <row r="161" spans="1:22" ht="27" x14ac:dyDescent="0.15">
      <c r="A161" s="70">
        <v>106006</v>
      </c>
      <c r="B161" s="71" t="s">
        <v>9861</v>
      </c>
      <c r="C161" s="70" t="s">
        <v>33</v>
      </c>
      <c r="D161" s="70">
        <v>1</v>
      </c>
      <c r="E161" s="70">
        <v>6</v>
      </c>
      <c r="F161" s="70" t="s">
        <v>727</v>
      </c>
      <c r="G161" s="70"/>
      <c r="H161" s="70">
        <v>1</v>
      </c>
      <c r="I161" s="25">
        <v>1</v>
      </c>
      <c r="J161" s="83">
        <v>3</v>
      </c>
      <c r="K161" s="70" t="s">
        <v>70</v>
      </c>
      <c r="L161" s="70" t="s">
        <v>9862</v>
      </c>
      <c r="M161" s="70">
        <v>0</v>
      </c>
      <c r="N161" s="83">
        <v>1</v>
      </c>
      <c r="O161" s="83" t="b">
        <v>1</v>
      </c>
      <c r="P161" s="70">
        <v>16800</v>
      </c>
      <c r="Q161" s="70">
        <v>0</v>
      </c>
      <c r="R161" s="70">
        <v>4</v>
      </c>
      <c r="S161" s="70" t="s">
        <v>38</v>
      </c>
      <c r="T161" s="86" t="s">
        <v>9863</v>
      </c>
      <c r="U161" s="70" t="s">
        <v>761</v>
      </c>
      <c r="V161" s="70">
        <v>300000</v>
      </c>
    </row>
    <row r="162" spans="1:22" ht="27" x14ac:dyDescent="0.15">
      <c r="A162" s="70">
        <v>109006</v>
      </c>
      <c r="B162" s="71" t="s">
        <v>9864</v>
      </c>
      <c r="C162" s="70" t="s">
        <v>33</v>
      </c>
      <c r="D162" s="70">
        <v>1</v>
      </c>
      <c r="E162" s="70">
        <v>9</v>
      </c>
      <c r="F162" s="70" t="s">
        <v>812</v>
      </c>
      <c r="G162" s="70"/>
      <c r="H162" s="70">
        <v>1</v>
      </c>
      <c r="I162" s="25">
        <v>1</v>
      </c>
      <c r="J162" s="83">
        <v>3</v>
      </c>
      <c r="K162" s="70" t="s">
        <v>70</v>
      </c>
      <c r="L162" s="70" t="s">
        <v>1782</v>
      </c>
      <c r="M162" s="70">
        <v>0</v>
      </c>
      <c r="N162" s="83">
        <v>1</v>
      </c>
      <c r="O162" s="83" t="b">
        <v>1</v>
      </c>
      <c r="P162" s="70">
        <v>16800</v>
      </c>
      <c r="Q162" s="70">
        <v>0</v>
      </c>
      <c r="R162" s="70">
        <v>4</v>
      </c>
      <c r="S162" s="70" t="s">
        <v>38</v>
      </c>
      <c r="T162" s="86" t="s">
        <v>9865</v>
      </c>
      <c r="U162" s="70" t="s">
        <v>840</v>
      </c>
      <c r="V162" s="70">
        <v>300000</v>
      </c>
    </row>
    <row r="163" spans="1:22" ht="27" x14ac:dyDescent="0.15">
      <c r="A163" s="70">
        <v>110006</v>
      </c>
      <c r="B163" s="71" t="s">
        <v>9866</v>
      </c>
      <c r="C163" s="70" t="s">
        <v>33</v>
      </c>
      <c r="D163" s="70">
        <v>1</v>
      </c>
      <c r="E163" s="70">
        <v>10</v>
      </c>
      <c r="F163" s="70" t="s">
        <v>887</v>
      </c>
      <c r="G163" s="70"/>
      <c r="H163" s="70">
        <v>1</v>
      </c>
      <c r="I163" s="25">
        <v>1</v>
      </c>
      <c r="J163" s="83">
        <v>3</v>
      </c>
      <c r="K163" s="70" t="s">
        <v>70</v>
      </c>
      <c r="L163" s="70" t="s">
        <v>9846</v>
      </c>
      <c r="M163" s="70">
        <v>0</v>
      </c>
      <c r="N163" s="83">
        <v>1</v>
      </c>
      <c r="O163" s="83" t="b">
        <v>1</v>
      </c>
      <c r="P163" s="70">
        <v>16800</v>
      </c>
      <c r="Q163" s="70">
        <v>0</v>
      </c>
      <c r="R163" s="70">
        <v>4</v>
      </c>
      <c r="S163" s="70" t="s">
        <v>38</v>
      </c>
      <c r="T163" s="86" t="s">
        <v>9867</v>
      </c>
      <c r="U163" s="70" t="s">
        <v>921</v>
      </c>
      <c r="V163" s="70">
        <v>300000</v>
      </c>
    </row>
    <row r="164" spans="1:22" ht="27" x14ac:dyDescent="0.15">
      <c r="A164" s="70">
        <v>111006</v>
      </c>
      <c r="B164" s="71" t="s">
        <v>10154</v>
      </c>
      <c r="C164" s="70" t="s">
        <v>33</v>
      </c>
      <c r="D164" s="70">
        <v>1</v>
      </c>
      <c r="E164" s="70">
        <v>11</v>
      </c>
      <c r="F164" s="70" t="s">
        <v>971</v>
      </c>
      <c r="G164" s="70"/>
      <c r="H164" s="70">
        <v>1</v>
      </c>
      <c r="I164" s="25">
        <v>1</v>
      </c>
      <c r="J164" s="83">
        <v>3</v>
      </c>
      <c r="K164" s="70" t="s">
        <v>70</v>
      </c>
      <c r="L164" s="70" t="s">
        <v>9846</v>
      </c>
      <c r="M164" s="70">
        <v>0</v>
      </c>
      <c r="N164" s="83">
        <v>1</v>
      </c>
      <c r="O164" s="83" t="b">
        <v>1</v>
      </c>
      <c r="P164" s="70">
        <v>16800</v>
      </c>
      <c r="Q164" s="70">
        <v>0</v>
      </c>
      <c r="R164" s="70">
        <v>4</v>
      </c>
      <c r="S164" s="70" t="s">
        <v>38</v>
      </c>
      <c r="T164" s="86" t="s">
        <v>10155</v>
      </c>
      <c r="U164" s="70" t="s">
        <v>10156</v>
      </c>
      <c r="V164" s="70">
        <v>300000</v>
      </c>
    </row>
    <row r="165" spans="1:22" x14ac:dyDescent="0.15">
      <c r="A165" s="70">
        <v>200006</v>
      </c>
      <c r="B165" s="71" t="s">
        <v>9868</v>
      </c>
      <c r="C165" s="70" t="s">
        <v>1408</v>
      </c>
      <c r="D165" s="70">
        <v>1</v>
      </c>
      <c r="E165" s="70">
        <v>0</v>
      </c>
      <c r="F165" s="70">
        <v>0</v>
      </c>
      <c r="G165" s="70"/>
      <c r="H165" s="70">
        <v>1</v>
      </c>
      <c r="I165" s="25">
        <v>1</v>
      </c>
      <c r="J165" s="83">
        <v>4</v>
      </c>
      <c r="K165" s="70" t="s">
        <v>70</v>
      </c>
      <c r="L165" s="70" t="s">
        <v>9834</v>
      </c>
      <c r="M165" s="70">
        <v>0</v>
      </c>
      <c r="N165" s="83">
        <v>1</v>
      </c>
      <c r="O165" s="83" t="b">
        <v>1</v>
      </c>
      <c r="P165" s="70">
        <v>15000</v>
      </c>
      <c r="Q165" s="70">
        <v>0</v>
      </c>
      <c r="R165" s="70">
        <v>4</v>
      </c>
      <c r="S165" s="70" t="s">
        <v>38</v>
      </c>
      <c r="T165" s="86" t="s">
        <v>9869</v>
      </c>
      <c r="U165" s="70" t="s">
        <v>1445</v>
      </c>
      <c r="V165" s="70">
        <v>300000</v>
      </c>
    </row>
    <row r="166" spans="1:22" x14ac:dyDescent="0.15">
      <c r="A166" s="70">
        <v>300006</v>
      </c>
      <c r="B166" s="71" t="s">
        <v>9870</v>
      </c>
      <c r="C166" s="70" t="s">
        <v>1508</v>
      </c>
      <c r="D166" s="70">
        <v>1</v>
      </c>
      <c r="E166" s="70">
        <v>0</v>
      </c>
      <c r="F166" s="70">
        <v>0</v>
      </c>
      <c r="G166" s="70"/>
      <c r="H166" s="70">
        <v>1</v>
      </c>
      <c r="I166" s="25">
        <v>1</v>
      </c>
      <c r="J166" s="83">
        <v>4</v>
      </c>
      <c r="K166" s="70" t="s">
        <v>70</v>
      </c>
      <c r="L166" s="70" t="s">
        <v>9871</v>
      </c>
      <c r="M166" s="70">
        <v>0</v>
      </c>
      <c r="N166" s="83">
        <v>1</v>
      </c>
      <c r="O166" s="83" t="b">
        <v>1</v>
      </c>
      <c r="P166" s="70">
        <v>14700</v>
      </c>
      <c r="Q166" s="70">
        <v>0</v>
      </c>
      <c r="R166" s="70">
        <v>4</v>
      </c>
      <c r="S166" s="70" t="s">
        <v>38</v>
      </c>
      <c r="T166" s="86" t="s">
        <v>9872</v>
      </c>
      <c r="U166" s="70" t="s">
        <v>1542</v>
      </c>
      <c r="V166" s="70">
        <v>300000</v>
      </c>
    </row>
    <row r="167" spans="1:22" x14ac:dyDescent="0.15">
      <c r="A167" s="70">
        <v>400006</v>
      </c>
      <c r="B167" s="71" t="s">
        <v>9873</v>
      </c>
      <c r="C167" s="70" t="s">
        <v>1594</v>
      </c>
      <c r="D167" s="70">
        <v>1</v>
      </c>
      <c r="E167" s="70">
        <v>0</v>
      </c>
      <c r="F167" s="70">
        <v>0</v>
      </c>
      <c r="G167" s="70"/>
      <c r="H167" s="70">
        <v>1</v>
      </c>
      <c r="I167" s="25">
        <v>1</v>
      </c>
      <c r="J167" s="83">
        <v>4</v>
      </c>
      <c r="K167" s="70" t="s">
        <v>70</v>
      </c>
      <c r="L167" s="70" t="s">
        <v>9874</v>
      </c>
      <c r="M167" s="70">
        <v>0</v>
      </c>
      <c r="N167" s="83">
        <v>1</v>
      </c>
      <c r="O167" s="83" t="b">
        <v>1</v>
      </c>
      <c r="P167" s="70">
        <v>16500</v>
      </c>
      <c r="Q167" s="70">
        <v>0</v>
      </c>
      <c r="R167" s="70">
        <v>4</v>
      </c>
      <c r="S167" s="70" t="s">
        <v>38</v>
      </c>
      <c r="T167" s="86" t="s">
        <v>9875</v>
      </c>
      <c r="U167" s="70" t="s">
        <v>1624</v>
      </c>
      <c r="V167" s="70">
        <v>300000</v>
      </c>
    </row>
    <row r="168" spans="1:22" ht="27" x14ac:dyDescent="0.15">
      <c r="A168" s="70">
        <v>500006</v>
      </c>
      <c r="B168" s="71" t="s">
        <v>9876</v>
      </c>
      <c r="C168" s="70" t="s">
        <v>1672</v>
      </c>
      <c r="D168" s="70">
        <v>1</v>
      </c>
      <c r="E168" s="70">
        <v>0</v>
      </c>
      <c r="F168" s="70">
        <v>0</v>
      </c>
      <c r="G168" s="70"/>
      <c r="H168" s="70">
        <v>1</v>
      </c>
      <c r="I168" s="25">
        <v>1</v>
      </c>
      <c r="J168" s="83">
        <v>4</v>
      </c>
      <c r="K168" s="70" t="s">
        <v>70</v>
      </c>
      <c r="L168" s="70" t="s">
        <v>9877</v>
      </c>
      <c r="M168" s="70">
        <v>0</v>
      </c>
      <c r="N168" s="83">
        <v>1</v>
      </c>
      <c r="O168" s="83" t="b">
        <v>1</v>
      </c>
      <c r="P168" s="70">
        <v>17500</v>
      </c>
      <c r="Q168" s="70">
        <v>0</v>
      </c>
      <c r="R168" s="70">
        <v>4</v>
      </c>
      <c r="S168" s="70" t="s">
        <v>38</v>
      </c>
      <c r="T168" s="86" t="s">
        <v>9878</v>
      </c>
      <c r="U168" s="70" t="s">
        <v>1700</v>
      </c>
      <c r="V168" s="70">
        <v>300000</v>
      </c>
    </row>
    <row r="169" spans="1:22" x14ac:dyDescent="0.15">
      <c r="A169" s="70">
        <v>600006</v>
      </c>
      <c r="B169" s="71" t="s">
        <v>9879</v>
      </c>
      <c r="C169" s="70" t="s">
        <v>1746</v>
      </c>
      <c r="D169" s="70">
        <v>1</v>
      </c>
      <c r="E169" s="70">
        <v>0</v>
      </c>
      <c r="F169" s="70">
        <v>0</v>
      </c>
      <c r="G169" s="70"/>
      <c r="H169" s="70">
        <v>1</v>
      </c>
      <c r="I169" s="25">
        <v>1</v>
      </c>
      <c r="J169" s="83">
        <v>2</v>
      </c>
      <c r="K169" s="70" t="s">
        <v>70</v>
      </c>
      <c r="L169" s="70" t="s">
        <v>9880</v>
      </c>
      <c r="M169" s="70">
        <v>0</v>
      </c>
      <c r="N169" s="83">
        <v>1</v>
      </c>
      <c r="O169" s="83" t="b">
        <v>1</v>
      </c>
      <c r="P169" s="70">
        <v>16600</v>
      </c>
      <c r="Q169" s="70">
        <v>0</v>
      </c>
      <c r="R169" s="70">
        <v>4</v>
      </c>
      <c r="S169" s="70" t="s">
        <v>38</v>
      </c>
      <c r="T169" s="86" t="s">
        <v>1952</v>
      </c>
      <c r="U169" s="70" t="s">
        <v>1779</v>
      </c>
      <c r="V169" s="70">
        <v>300000</v>
      </c>
    </row>
    <row r="170" spans="1:22" x14ac:dyDescent="0.15">
      <c r="A170" s="70">
        <v>700006</v>
      </c>
      <c r="B170" s="71" t="s">
        <v>9881</v>
      </c>
      <c r="C170" s="70" t="s">
        <v>1832</v>
      </c>
      <c r="D170" s="70">
        <v>1</v>
      </c>
      <c r="E170" s="70">
        <v>0</v>
      </c>
      <c r="F170" s="70">
        <v>0</v>
      </c>
      <c r="G170" s="70"/>
      <c r="H170" s="70">
        <v>1</v>
      </c>
      <c r="I170" s="25">
        <v>1</v>
      </c>
      <c r="J170" s="83">
        <v>2</v>
      </c>
      <c r="K170" s="70" t="s">
        <v>70</v>
      </c>
      <c r="L170" s="70" t="s">
        <v>9882</v>
      </c>
      <c r="M170" s="70">
        <v>0</v>
      </c>
      <c r="N170" s="83">
        <v>1</v>
      </c>
      <c r="O170" s="83" t="b">
        <v>1</v>
      </c>
      <c r="P170" s="70">
        <v>15430</v>
      </c>
      <c r="Q170" s="70">
        <v>0</v>
      </c>
      <c r="R170" s="70">
        <v>4</v>
      </c>
      <c r="S170" s="70" t="s">
        <v>38</v>
      </c>
      <c r="T170" s="86" t="s">
        <v>9883</v>
      </c>
      <c r="U170" s="70" t="s">
        <v>1869</v>
      </c>
      <c r="V170" s="70">
        <v>300000</v>
      </c>
    </row>
    <row r="171" spans="1:22" x14ac:dyDescent="0.15">
      <c r="A171" s="70">
        <v>800006</v>
      </c>
      <c r="B171" s="71" t="s">
        <v>1888</v>
      </c>
      <c r="C171" s="70" t="s">
        <v>1908</v>
      </c>
      <c r="D171" s="70">
        <v>1</v>
      </c>
      <c r="E171" s="70">
        <v>0</v>
      </c>
      <c r="F171" s="70">
        <v>0</v>
      </c>
      <c r="G171" s="70"/>
      <c r="H171" s="70">
        <v>1</v>
      </c>
      <c r="I171" s="25">
        <v>1</v>
      </c>
      <c r="J171" s="83">
        <v>2</v>
      </c>
      <c r="K171" s="70" t="s">
        <v>70</v>
      </c>
      <c r="L171" s="70" t="s">
        <v>9884</v>
      </c>
      <c r="M171" s="70">
        <v>0</v>
      </c>
      <c r="N171" s="83">
        <v>1</v>
      </c>
      <c r="O171" s="83" t="b">
        <v>1</v>
      </c>
      <c r="P171" s="70">
        <v>17700</v>
      </c>
      <c r="Q171" s="70">
        <v>0</v>
      </c>
      <c r="R171" s="70">
        <v>4</v>
      </c>
      <c r="S171" s="70" t="s">
        <v>38</v>
      </c>
      <c r="T171" s="86" t="s">
        <v>1891</v>
      </c>
      <c r="U171" s="70" t="s">
        <v>1942</v>
      </c>
      <c r="V171" s="70">
        <v>200000</v>
      </c>
    </row>
    <row r="172" spans="1:22" x14ac:dyDescent="0.15">
      <c r="A172" s="70">
        <v>101007</v>
      </c>
      <c r="B172" s="72" t="s">
        <v>81</v>
      </c>
      <c r="C172" s="70" t="s">
        <v>33</v>
      </c>
      <c r="D172" s="70">
        <v>1</v>
      </c>
      <c r="E172" s="70">
        <v>1</v>
      </c>
      <c r="F172" s="70" t="s">
        <v>34</v>
      </c>
      <c r="G172" s="70"/>
      <c r="H172" s="70">
        <v>6</v>
      </c>
      <c r="I172" s="25">
        <v>0</v>
      </c>
      <c r="J172" s="83">
        <v>3</v>
      </c>
      <c r="K172" s="70" t="s">
        <v>70</v>
      </c>
      <c r="L172" s="70" t="s">
        <v>9885</v>
      </c>
      <c r="M172" s="70">
        <v>0</v>
      </c>
      <c r="N172" s="83">
        <v>1</v>
      </c>
      <c r="O172" s="83" t="b">
        <v>0</v>
      </c>
      <c r="P172" s="70">
        <v>24000</v>
      </c>
      <c r="Q172" s="70">
        <v>0</v>
      </c>
      <c r="R172" s="70">
        <v>5</v>
      </c>
      <c r="S172" s="70" t="s">
        <v>38</v>
      </c>
      <c r="T172" s="86" t="s">
        <v>9886</v>
      </c>
      <c r="U172" s="70" t="s">
        <v>86</v>
      </c>
      <c r="V172" s="70">
        <v>100000</v>
      </c>
    </row>
    <row r="173" spans="1:22" ht="40.5" x14ac:dyDescent="0.15">
      <c r="A173" s="70">
        <v>102007</v>
      </c>
      <c r="B173" s="72" t="s">
        <v>9887</v>
      </c>
      <c r="C173" s="70" t="s">
        <v>33</v>
      </c>
      <c r="D173" s="70">
        <v>1</v>
      </c>
      <c r="E173" s="70">
        <v>2</v>
      </c>
      <c r="F173" s="70" t="s">
        <v>134</v>
      </c>
      <c r="G173" s="70"/>
      <c r="H173" s="70">
        <v>6</v>
      </c>
      <c r="I173" s="25">
        <v>0</v>
      </c>
      <c r="J173" s="83">
        <v>3</v>
      </c>
      <c r="K173" s="70" t="s">
        <v>70</v>
      </c>
      <c r="L173" s="70" t="s">
        <v>9888</v>
      </c>
      <c r="M173" s="70">
        <v>0</v>
      </c>
      <c r="N173" s="83">
        <v>1</v>
      </c>
      <c r="O173" s="83" t="b">
        <v>0</v>
      </c>
      <c r="P173" s="70">
        <v>24000</v>
      </c>
      <c r="Q173" s="70">
        <v>0</v>
      </c>
      <c r="R173" s="70">
        <v>5</v>
      </c>
      <c r="S173" s="70" t="s">
        <v>38</v>
      </c>
      <c r="T173" s="86" t="s">
        <v>9889</v>
      </c>
      <c r="U173" s="70" t="s">
        <v>182</v>
      </c>
      <c r="V173" s="70">
        <v>100000</v>
      </c>
    </row>
    <row r="174" spans="1:22" ht="27" x14ac:dyDescent="0.15">
      <c r="A174" s="70">
        <v>102107</v>
      </c>
      <c r="B174" s="72" t="s">
        <v>252</v>
      </c>
      <c r="C174" s="70" t="s">
        <v>33</v>
      </c>
      <c r="D174" s="70">
        <v>1</v>
      </c>
      <c r="E174" s="70">
        <v>2</v>
      </c>
      <c r="F174" s="70" t="s">
        <v>134</v>
      </c>
      <c r="G174" s="70"/>
      <c r="H174" s="70">
        <v>6</v>
      </c>
      <c r="I174" s="25">
        <v>0</v>
      </c>
      <c r="J174" s="83">
        <v>3</v>
      </c>
      <c r="K174" s="70" t="s">
        <v>70</v>
      </c>
      <c r="L174" s="70" t="s">
        <v>9890</v>
      </c>
      <c r="M174" s="70">
        <v>0</v>
      </c>
      <c r="N174" s="83">
        <v>1</v>
      </c>
      <c r="O174" s="83" t="b">
        <v>0</v>
      </c>
      <c r="P174" s="70">
        <v>24000</v>
      </c>
      <c r="Q174" s="70">
        <v>0</v>
      </c>
      <c r="R174" s="70">
        <v>5</v>
      </c>
      <c r="S174" s="70" t="s">
        <v>38</v>
      </c>
      <c r="T174" s="86" t="s">
        <v>9891</v>
      </c>
      <c r="U174" s="70" t="s">
        <v>257</v>
      </c>
      <c r="V174" s="70">
        <v>100000</v>
      </c>
    </row>
    <row r="175" spans="1:22" ht="27" x14ac:dyDescent="0.15">
      <c r="A175" s="70">
        <v>104007</v>
      </c>
      <c r="B175" s="72" t="s">
        <v>9892</v>
      </c>
      <c r="C175" s="70" t="s">
        <v>33</v>
      </c>
      <c r="D175" s="70">
        <v>1</v>
      </c>
      <c r="E175" s="70">
        <v>4</v>
      </c>
      <c r="F175" s="70" t="s">
        <v>447</v>
      </c>
      <c r="G175" s="70"/>
      <c r="H175" s="70">
        <v>6</v>
      </c>
      <c r="I175" s="25">
        <v>0</v>
      </c>
      <c r="J175" s="83">
        <v>3</v>
      </c>
      <c r="K175" s="70" t="s">
        <v>70</v>
      </c>
      <c r="L175" s="70" t="s">
        <v>9893</v>
      </c>
      <c r="M175" s="70">
        <v>0</v>
      </c>
      <c r="N175" s="83">
        <v>1</v>
      </c>
      <c r="O175" s="83" t="b">
        <v>0</v>
      </c>
      <c r="P175" s="70">
        <v>24000</v>
      </c>
      <c r="Q175" s="70">
        <v>0</v>
      </c>
      <c r="R175" s="70">
        <v>5</v>
      </c>
      <c r="S175" s="70" t="s">
        <v>38</v>
      </c>
      <c r="T175" s="86" t="s">
        <v>9894</v>
      </c>
      <c r="U175" s="70" t="s">
        <v>490</v>
      </c>
      <c r="V175" s="70">
        <v>100000</v>
      </c>
    </row>
    <row r="176" spans="1:22" x14ac:dyDescent="0.15">
      <c r="A176" s="70">
        <v>104107</v>
      </c>
      <c r="B176" s="72" t="s">
        <v>10157</v>
      </c>
      <c r="C176" s="70" t="s">
        <v>33</v>
      </c>
      <c r="D176" s="70">
        <v>1</v>
      </c>
      <c r="E176" s="70">
        <v>4</v>
      </c>
      <c r="F176" s="70" t="s">
        <v>447</v>
      </c>
      <c r="G176" s="70"/>
      <c r="H176" s="70">
        <v>6</v>
      </c>
      <c r="I176" s="25">
        <v>0</v>
      </c>
      <c r="J176" s="83">
        <v>3</v>
      </c>
      <c r="K176" s="70" t="s">
        <v>70</v>
      </c>
      <c r="L176" s="70" t="s">
        <v>9893</v>
      </c>
      <c r="M176" s="70">
        <v>0</v>
      </c>
      <c r="N176" s="83">
        <v>1</v>
      </c>
      <c r="O176" s="83" t="b">
        <v>0</v>
      </c>
      <c r="P176" s="70">
        <v>24000</v>
      </c>
      <c r="Q176" s="70">
        <v>0</v>
      </c>
      <c r="R176" s="70">
        <v>5</v>
      </c>
      <c r="S176" s="70" t="s">
        <v>38</v>
      </c>
      <c r="T176" s="86"/>
      <c r="U176" s="70" t="s">
        <v>10158</v>
      </c>
      <c r="V176" s="70"/>
    </row>
    <row r="177" spans="1:22" ht="27" x14ac:dyDescent="0.15">
      <c r="A177" s="70">
        <v>105007</v>
      </c>
      <c r="B177" s="72" t="s">
        <v>9895</v>
      </c>
      <c r="C177" s="70" t="s">
        <v>33</v>
      </c>
      <c r="D177" s="70">
        <v>1</v>
      </c>
      <c r="E177" s="70">
        <v>5</v>
      </c>
      <c r="F177" s="70" t="s">
        <v>631</v>
      </c>
      <c r="G177" s="70"/>
      <c r="H177" s="70">
        <v>6</v>
      </c>
      <c r="I177" s="25">
        <v>0</v>
      </c>
      <c r="J177" s="83">
        <v>3</v>
      </c>
      <c r="K177" s="70" t="s">
        <v>70</v>
      </c>
      <c r="L177" s="70" t="s">
        <v>9896</v>
      </c>
      <c r="M177" s="70">
        <v>0</v>
      </c>
      <c r="N177" s="83">
        <v>1</v>
      </c>
      <c r="O177" s="83" t="b">
        <v>0</v>
      </c>
      <c r="P177" s="70">
        <v>24000</v>
      </c>
      <c r="Q177" s="70">
        <v>0</v>
      </c>
      <c r="R177" s="70">
        <v>5</v>
      </c>
      <c r="S177" s="70" t="s">
        <v>38</v>
      </c>
      <c r="T177" s="86" t="s">
        <v>9897</v>
      </c>
      <c r="U177" s="70" t="s">
        <v>677</v>
      </c>
      <c r="V177" s="70">
        <v>100000</v>
      </c>
    </row>
    <row r="178" spans="1:22" ht="27" x14ac:dyDescent="0.15">
      <c r="A178" s="70">
        <v>106007</v>
      </c>
      <c r="B178" s="72" t="s">
        <v>9898</v>
      </c>
      <c r="C178" s="70" t="s">
        <v>33</v>
      </c>
      <c r="D178" s="70">
        <v>1</v>
      </c>
      <c r="E178" s="70">
        <v>3</v>
      </c>
      <c r="F178" s="70" t="s">
        <v>363</v>
      </c>
      <c r="G178" s="70"/>
      <c r="H178" s="70">
        <v>6</v>
      </c>
      <c r="I178" s="25">
        <v>0</v>
      </c>
      <c r="J178" s="83">
        <v>3</v>
      </c>
      <c r="K178" s="70" t="s">
        <v>70</v>
      </c>
      <c r="L178" s="70" t="s">
        <v>9899</v>
      </c>
      <c r="M178" s="70">
        <v>0</v>
      </c>
      <c r="N178" s="83">
        <v>1</v>
      </c>
      <c r="O178" s="83" t="b">
        <v>0</v>
      </c>
      <c r="P178" s="70">
        <v>24000</v>
      </c>
      <c r="Q178" s="70">
        <v>0</v>
      </c>
      <c r="R178" s="70">
        <v>5</v>
      </c>
      <c r="S178" s="70" t="s">
        <v>38</v>
      </c>
      <c r="T178" s="86" t="s">
        <v>9900</v>
      </c>
      <c r="U178" s="70" t="s">
        <v>767</v>
      </c>
      <c r="V178" s="70">
        <v>100000</v>
      </c>
    </row>
    <row r="179" spans="1:22" x14ac:dyDescent="0.15">
      <c r="A179" s="70">
        <v>103007</v>
      </c>
      <c r="B179" s="72" t="s">
        <v>9901</v>
      </c>
      <c r="C179" s="70" t="s">
        <v>33</v>
      </c>
      <c r="D179" s="70">
        <v>1</v>
      </c>
      <c r="E179" s="70">
        <v>6</v>
      </c>
      <c r="F179" s="70" t="s">
        <v>727</v>
      </c>
      <c r="G179" s="70"/>
      <c r="H179" s="70">
        <v>6</v>
      </c>
      <c r="I179" s="25">
        <v>0</v>
      </c>
      <c r="J179" s="83">
        <v>3</v>
      </c>
      <c r="K179" s="70" t="s">
        <v>70</v>
      </c>
      <c r="L179" s="70" t="s">
        <v>612</v>
      </c>
      <c r="M179" s="70">
        <v>0</v>
      </c>
      <c r="N179" s="83">
        <v>1</v>
      </c>
      <c r="O179" s="83" t="b">
        <v>0</v>
      </c>
      <c r="P179" s="70">
        <v>24000</v>
      </c>
      <c r="Q179" s="70">
        <v>0</v>
      </c>
      <c r="R179" s="70">
        <v>5</v>
      </c>
      <c r="S179" s="70" t="s">
        <v>38</v>
      </c>
      <c r="T179" s="86" t="s">
        <v>9902</v>
      </c>
      <c r="U179" s="70" t="s">
        <v>403</v>
      </c>
      <c r="V179" s="70">
        <v>100000</v>
      </c>
    </row>
    <row r="180" spans="1:22" ht="27" x14ac:dyDescent="0.15">
      <c r="A180" s="70">
        <v>109007</v>
      </c>
      <c r="B180" s="72" t="s">
        <v>9903</v>
      </c>
      <c r="C180" s="70" t="s">
        <v>33</v>
      </c>
      <c r="D180" s="70">
        <v>1</v>
      </c>
      <c r="E180" s="70">
        <v>9</v>
      </c>
      <c r="F180" s="70" t="s">
        <v>812</v>
      </c>
      <c r="G180" s="70"/>
      <c r="H180" s="70">
        <v>6</v>
      </c>
      <c r="I180" s="25">
        <v>0</v>
      </c>
      <c r="J180" s="83">
        <v>3</v>
      </c>
      <c r="K180" s="70" t="s">
        <v>70</v>
      </c>
      <c r="L180" s="70" t="s">
        <v>9904</v>
      </c>
      <c r="M180" s="70">
        <v>0</v>
      </c>
      <c r="N180" s="83">
        <v>1</v>
      </c>
      <c r="O180" s="83" t="b">
        <v>0</v>
      </c>
      <c r="P180" s="70">
        <v>24000</v>
      </c>
      <c r="Q180" s="70">
        <v>0</v>
      </c>
      <c r="R180" s="70">
        <v>5</v>
      </c>
      <c r="S180" s="70" t="s">
        <v>38</v>
      </c>
      <c r="T180" s="86" t="s">
        <v>9905</v>
      </c>
      <c r="U180" s="70" t="s">
        <v>845</v>
      </c>
      <c r="V180" s="70">
        <v>100000</v>
      </c>
    </row>
    <row r="181" spans="1:22" ht="40.5" x14ac:dyDescent="0.15">
      <c r="A181" s="70">
        <v>110007</v>
      </c>
      <c r="B181" s="72" t="s">
        <v>9906</v>
      </c>
      <c r="C181" s="70" t="s">
        <v>33</v>
      </c>
      <c r="D181" s="70">
        <v>1</v>
      </c>
      <c r="E181" s="70">
        <v>10</v>
      </c>
      <c r="F181" s="70" t="s">
        <v>887</v>
      </c>
      <c r="G181" s="70"/>
      <c r="H181" s="70">
        <v>6</v>
      </c>
      <c r="I181" s="25">
        <v>0</v>
      </c>
      <c r="J181" s="83">
        <v>3</v>
      </c>
      <c r="K181" s="70" t="s">
        <v>70</v>
      </c>
      <c r="L181" s="70" t="s">
        <v>9907</v>
      </c>
      <c r="M181" s="70">
        <v>0</v>
      </c>
      <c r="N181" s="83">
        <v>1</v>
      </c>
      <c r="O181" s="83" t="b">
        <v>0</v>
      </c>
      <c r="P181" s="70">
        <v>24000</v>
      </c>
      <c r="Q181" s="70">
        <v>0</v>
      </c>
      <c r="R181" s="70">
        <v>5</v>
      </c>
      <c r="S181" s="70" t="s">
        <v>38</v>
      </c>
      <c r="T181" s="86" t="s">
        <v>9908</v>
      </c>
      <c r="U181" s="70" t="s">
        <v>927</v>
      </c>
      <c r="V181" s="70">
        <v>100000</v>
      </c>
    </row>
    <row r="182" spans="1:22" x14ac:dyDescent="0.15">
      <c r="A182" s="70">
        <v>111007</v>
      </c>
      <c r="B182" s="72" t="s">
        <v>10159</v>
      </c>
      <c r="C182" s="70" t="s">
        <v>33</v>
      </c>
      <c r="D182" s="70">
        <v>1</v>
      </c>
      <c r="E182" s="70">
        <v>11</v>
      </c>
      <c r="F182" s="70" t="s">
        <v>971</v>
      </c>
      <c r="G182" s="70"/>
      <c r="H182" s="70">
        <v>6</v>
      </c>
      <c r="I182" s="25">
        <v>0</v>
      </c>
      <c r="J182" s="83">
        <v>3</v>
      </c>
      <c r="K182" s="70" t="s">
        <v>70</v>
      </c>
      <c r="L182" s="70" t="s">
        <v>9907</v>
      </c>
      <c r="M182" s="70">
        <v>0</v>
      </c>
      <c r="N182" s="83">
        <v>1</v>
      </c>
      <c r="O182" s="83" t="b">
        <v>0</v>
      </c>
      <c r="P182" s="70">
        <v>24000</v>
      </c>
      <c r="Q182" s="70">
        <v>0</v>
      </c>
      <c r="R182" s="70">
        <v>5</v>
      </c>
      <c r="S182" s="70" t="s">
        <v>38</v>
      </c>
      <c r="T182" s="86" t="s">
        <v>10160</v>
      </c>
      <c r="U182" s="70" t="s">
        <v>10161</v>
      </c>
      <c r="V182" s="70">
        <v>100000</v>
      </c>
    </row>
    <row r="183" spans="1:22" s="5" customFormat="1" x14ac:dyDescent="0.15">
      <c r="A183" s="41">
        <v>700101</v>
      </c>
      <c r="B183" s="74" t="s">
        <v>9937</v>
      </c>
      <c r="C183" s="41" t="s">
        <v>1832</v>
      </c>
      <c r="D183" s="41">
        <v>3</v>
      </c>
      <c r="E183" s="41">
        <v>0</v>
      </c>
      <c r="F183" s="41">
        <v>0</v>
      </c>
      <c r="G183" s="43"/>
      <c r="H183" s="41">
        <v>2</v>
      </c>
      <c r="I183" s="43"/>
      <c r="J183" s="43">
        <v>2</v>
      </c>
      <c r="K183" s="41">
        <v>3</v>
      </c>
      <c r="L183" s="41" t="s">
        <v>9938</v>
      </c>
      <c r="M183" s="41">
        <v>0</v>
      </c>
      <c r="N183" s="41">
        <v>1</v>
      </c>
      <c r="O183" s="43" t="b">
        <v>0</v>
      </c>
      <c r="P183" s="41">
        <v>1</v>
      </c>
      <c r="Q183" s="41">
        <v>0</v>
      </c>
      <c r="R183" s="41">
        <v>1</v>
      </c>
      <c r="S183" s="41" t="s">
        <v>38</v>
      </c>
      <c r="T183" s="88" t="s">
        <v>9939</v>
      </c>
      <c r="U183" s="41" t="s">
        <v>9940</v>
      </c>
      <c r="V183" s="41">
        <v>300000</v>
      </c>
    </row>
    <row r="184" spans="1:22" s="3" customFormat="1" x14ac:dyDescent="0.15">
      <c r="A184" s="18">
        <v>200113</v>
      </c>
      <c r="B184" s="75" t="s">
        <v>2248</v>
      </c>
      <c r="C184" s="18" t="s">
        <v>1408</v>
      </c>
      <c r="D184" s="18">
        <v>3</v>
      </c>
      <c r="E184" s="18">
        <v>0</v>
      </c>
      <c r="F184" s="18">
        <v>0</v>
      </c>
      <c r="G184" s="20"/>
      <c r="H184" s="18">
        <v>2</v>
      </c>
      <c r="I184" s="20"/>
      <c r="J184" s="20">
        <v>4</v>
      </c>
      <c r="K184" s="18">
        <v>4</v>
      </c>
      <c r="L184" s="18" t="s">
        <v>9944</v>
      </c>
      <c r="M184" s="18">
        <v>0</v>
      </c>
      <c r="N184" s="18">
        <v>1</v>
      </c>
      <c r="O184" s="20" t="b">
        <v>0</v>
      </c>
      <c r="P184" s="18">
        <v>45</v>
      </c>
      <c r="Q184" s="18">
        <v>0</v>
      </c>
      <c r="R184" s="18">
        <v>3</v>
      </c>
      <c r="S184" s="18" t="s">
        <v>38</v>
      </c>
      <c r="T184" s="89" t="s">
        <v>9945</v>
      </c>
      <c r="U184" s="18" t="s">
        <v>9678</v>
      </c>
      <c r="V184" s="18">
        <v>200000</v>
      </c>
    </row>
    <row r="185" spans="1:22" s="8" customFormat="1" x14ac:dyDescent="0.15">
      <c r="A185" s="76">
        <v>102213</v>
      </c>
      <c r="B185" s="77" t="s">
        <v>276</v>
      </c>
      <c r="C185" s="76" t="s">
        <v>33</v>
      </c>
      <c r="D185" s="76">
        <v>3</v>
      </c>
      <c r="E185" s="76">
        <v>2</v>
      </c>
      <c r="F185" s="76" t="s">
        <v>134</v>
      </c>
      <c r="G185" s="78"/>
      <c r="H185" s="76">
        <v>6</v>
      </c>
      <c r="I185" s="78"/>
      <c r="J185" s="78">
        <v>3</v>
      </c>
      <c r="K185" s="76">
        <v>6</v>
      </c>
      <c r="L185" s="76" t="s">
        <v>9946</v>
      </c>
      <c r="M185" s="76">
        <v>0</v>
      </c>
      <c r="N185" s="76">
        <v>1</v>
      </c>
      <c r="O185" s="78" t="b">
        <v>0</v>
      </c>
      <c r="P185" s="76">
        <v>3500</v>
      </c>
      <c r="Q185" s="76">
        <v>0</v>
      </c>
      <c r="R185" s="76">
        <v>3</v>
      </c>
      <c r="S185" s="76" t="s">
        <v>38</v>
      </c>
      <c r="T185" s="90" t="s">
        <v>278</v>
      </c>
      <c r="U185" s="76" t="s">
        <v>9947</v>
      </c>
      <c r="V185" s="76">
        <v>200000</v>
      </c>
    </row>
    <row r="186" spans="1:22" s="5" customFormat="1" x14ac:dyDescent="0.15">
      <c r="A186" s="41">
        <v>800204</v>
      </c>
      <c r="B186" s="43" t="s">
        <v>7849</v>
      </c>
      <c r="C186" s="41" t="s">
        <v>1908</v>
      </c>
      <c r="D186" s="41">
        <v>3</v>
      </c>
      <c r="E186" s="41">
        <v>0</v>
      </c>
      <c r="F186" s="41">
        <v>0</v>
      </c>
      <c r="G186" s="43"/>
      <c r="H186" s="41">
        <v>3</v>
      </c>
      <c r="I186" s="43"/>
      <c r="J186" s="43">
        <v>2</v>
      </c>
      <c r="K186" s="41">
        <v>3</v>
      </c>
      <c r="L186" s="41" t="s">
        <v>9950</v>
      </c>
      <c r="M186" s="84">
        <v>0</v>
      </c>
      <c r="N186" s="84">
        <v>1</v>
      </c>
      <c r="O186" s="43" t="b">
        <v>0</v>
      </c>
      <c r="P186" s="41">
        <v>100</v>
      </c>
      <c r="Q186" s="41">
        <v>0</v>
      </c>
      <c r="R186" s="41">
        <v>4</v>
      </c>
      <c r="S186" s="41" t="s">
        <v>38</v>
      </c>
      <c r="T186" s="91" t="s">
        <v>9951</v>
      </c>
      <c r="U186" s="41" t="s">
        <v>1984</v>
      </c>
      <c r="V186" s="41">
        <v>200000</v>
      </c>
    </row>
    <row r="187" spans="1:22" s="9" customFormat="1" ht="27" x14ac:dyDescent="0.15">
      <c r="A187" s="79">
        <v>102207</v>
      </c>
      <c r="B187" s="80" t="s">
        <v>307</v>
      </c>
      <c r="C187" s="79" t="s">
        <v>33</v>
      </c>
      <c r="D187" s="79">
        <v>3</v>
      </c>
      <c r="E187" s="80">
        <v>2</v>
      </c>
      <c r="F187" s="80" t="s">
        <v>134</v>
      </c>
      <c r="G187" s="80"/>
      <c r="H187" s="79">
        <v>7</v>
      </c>
      <c r="I187" s="80"/>
      <c r="J187" s="80">
        <v>3</v>
      </c>
      <c r="K187" s="79">
        <v>7</v>
      </c>
      <c r="L187" s="79" t="s">
        <v>9952</v>
      </c>
      <c r="M187" s="79">
        <v>0</v>
      </c>
      <c r="N187" s="79">
        <v>1</v>
      </c>
      <c r="O187" s="80" t="b">
        <v>0</v>
      </c>
      <c r="P187" s="79">
        <v>30000</v>
      </c>
      <c r="Q187" s="79">
        <v>0</v>
      </c>
      <c r="R187" s="79">
        <v>5</v>
      </c>
      <c r="S187" s="79" t="s">
        <v>38</v>
      </c>
      <c r="T187" s="92" t="s">
        <v>310</v>
      </c>
      <c r="U187" s="79" t="s">
        <v>312</v>
      </c>
      <c r="V187" s="79">
        <v>200000</v>
      </c>
    </row>
    <row r="188" spans="1:22" s="4" customFormat="1" ht="14.25" x14ac:dyDescent="0.15">
      <c r="A188" s="49">
        <v>800105</v>
      </c>
      <c r="B188" s="81" t="s">
        <v>1882</v>
      </c>
      <c r="C188" s="49" t="s">
        <v>1908</v>
      </c>
      <c r="D188" s="38">
        <v>3</v>
      </c>
      <c r="E188" s="49">
        <v>0</v>
      </c>
      <c r="F188" s="49">
        <v>0</v>
      </c>
      <c r="G188" s="49"/>
      <c r="H188" s="49">
        <v>5</v>
      </c>
      <c r="I188" s="49"/>
      <c r="J188" s="49">
        <v>4</v>
      </c>
      <c r="K188" s="49">
        <v>5</v>
      </c>
      <c r="L188" s="49" t="s">
        <v>9953</v>
      </c>
      <c r="M188" s="49">
        <v>0</v>
      </c>
      <c r="N188" s="49">
        <v>1</v>
      </c>
      <c r="O188" s="49" t="b">
        <v>0</v>
      </c>
      <c r="P188" s="49">
        <v>-1</v>
      </c>
      <c r="Q188" s="49">
        <v>0</v>
      </c>
      <c r="R188" s="49">
        <v>4</v>
      </c>
      <c r="S188" s="38" t="s">
        <v>38</v>
      </c>
      <c r="T188" s="93" t="s">
        <v>1885</v>
      </c>
      <c r="U188" s="38" t="s">
        <v>9954</v>
      </c>
      <c r="V188" s="49">
        <v>200000</v>
      </c>
    </row>
    <row r="189" spans="1:22" s="4" customFormat="1" ht="14.25" x14ac:dyDescent="0.15">
      <c r="A189" s="49">
        <v>700105</v>
      </c>
      <c r="B189" s="81" t="s">
        <v>1870</v>
      </c>
      <c r="C189" s="49" t="s">
        <v>1832</v>
      </c>
      <c r="D189" s="38">
        <v>3</v>
      </c>
      <c r="E189" s="49">
        <v>0</v>
      </c>
      <c r="F189" s="49">
        <v>0</v>
      </c>
      <c r="G189" s="49"/>
      <c r="H189" s="49">
        <v>5</v>
      </c>
      <c r="I189" s="49"/>
      <c r="J189" s="49">
        <v>4</v>
      </c>
      <c r="K189" s="49">
        <v>5</v>
      </c>
      <c r="L189" s="49" t="s">
        <v>9955</v>
      </c>
      <c r="M189" s="49">
        <v>0</v>
      </c>
      <c r="N189" s="49">
        <v>1</v>
      </c>
      <c r="O189" s="49" t="b">
        <v>0</v>
      </c>
      <c r="P189" s="49">
        <v>-1</v>
      </c>
      <c r="Q189" s="49">
        <v>0</v>
      </c>
      <c r="R189" s="49">
        <v>4</v>
      </c>
      <c r="S189" s="49" t="s">
        <v>38</v>
      </c>
      <c r="T189" s="93" t="s">
        <v>9956</v>
      </c>
      <c r="U189" s="38" t="s">
        <v>9957</v>
      </c>
      <c r="V189" s="49">
        <v>200000</v>
      </c>
    </row>
    <row r="190" spans="1:22" s="4" customFormat="1" x14ac:dyDescent="0.15">
      <c r="A190" s="49">
        <v>300105</v>
      </c>
      <c r="B190" s="49" t="s">
        <v>9958</v>
      </c>
      <c r="C190" s="49" t="s">
        <v>1508</v>
      </c>
      <c r="D190" s="38">
        <v>3</v>
      </c>
      <c r="E190" s="49">
        <v>0</v>
      </c>
      <c r="F190" s="49">
        <v>0</v>
      </c>
      <c r="G190" s="49"/>
      <c r="H190" s="49">
        <v>5</v>
      </c>
      <c r="I190" s="49"/>
      <c r="J190" s="49">
        <v>2</v>
      </c>
      <c r="K190" s="49">
        <v>5</v>
      </c>
      <c r="L190" s="49" t="s">
        <v>9959</v>
      </c>
      <c r="M190" s="49">
        <v>0</v>
      </c>
      <c r="N190" s="49">
        <v>1</v>
      </c>
      <c r="O190" s="49" t="b">
        <v>0</v>
      </c>
      <c r="P190" s="49">
        <v>-1</v>
      </c>
      <c r="Q190" s="49">
        <v>0</v>
      </c>
      <c r="R190" s="49">
        <v>4</v>
      </c>
      <c r="S190" s="49" t="s">
        <v>38</v>
      </c>
      <c r="T190" s="94" t="s">
        <v>9960</v>
      </c>
      <c r="U190" s="38" t="s">
        <v>2090</v>
      </c>
      <c r="V190" s="49">
        <v>200000</v>
      </c>
    </row>
    <row r="191" spans="1:22" s="4" customFormat="1" x14ac:dyDescent="0.15">
      <c r="A191" s="49">
        <v>800205</v>
      </c>
      <c r="B191" s="49" t="s">
        <v>1931</v>
      </c>
      <c r="C191" s="49" t="s">
        <v>1908</v>
      </c>
      <c r="D191" s="38">
        <v>3</v>
      </c>
      <c r="E191" s="49">
        <v>0</v>
      </c>
      <c r="F191" s="49">
        <v>0</v>
      </c>
      <c r="G191" s="49"/>
      <c r="H191" s="49">
        <v>5</v>
      </c>
      <c r="I191" s="49"/>
      <c r="J191" s="49">
        <v>4</v>
      </c>
      <c r="K191" s="49">
        <v>5</v>
      </c>
      <c r="L191" s="49" t="s">
        <v>1839</v>
      </c>
      <c r="M191" s="49">
        <v>0</v>
      </c>
      <c r="N191" s="49">
        <v>1</v>
      </c>
      <c r="O191" s="49" t="b">
        <v>0</v>
      </c>
      <c r="P191" s="49">
        <v>-1</v>
      </c>
      <c r="Q191" s="49">
        <v>0</v>
      </c>
      <c r="R191" s="49">
        <v>4</v>
      </c>
      <c r="S191" s="49" t="s">
        <v>38</v>
      </c>
      <c r="T191" s="95" t="s">
        <v>1934</v>
      </c>
      <c r="U191" s="38" t="s">
        <v>9961</v>
      </c>
      <c r="V191" s="49">
        <v>200000</v>
      </c>
    </row>
    <row r="192" spans="1:22" x14ac:dyDescent="0.15">
      <c r="T192" s="10"/>
      <c r="U192"/>
    </row>
    <row r="193" spans="20:21" x14ac:dyDescent="0.15">
      <c r="T193" s="10"/>
      <c r="U193"/>
    </row>
  </sheetData>
  <phoneticPr fontId="45" type="noConversion"/>
  <conditionalFormatting sqref="A1:A1048576">
    <cfRule type="duplicateValues" dxfId="1" priority="1"/>
  </conditionalFormatting>
  <conditionalFormatting sqref="A134:A193">
    <cfRule type="duplicateValues" dxfId="0" priority="17"/>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20</vt:i4>
      </vt:variant>
    </vt:vector>
  </HeadingPairs>
  <TitlesOfParts>
    <vt:vector size="20" baseType="lpstr">
      <vt:lpstr>装备</vt:lpstr>
      <vt:lpstr>装备英文</vt:lpstr>
      <vt:lpstr>药品</vt:lpstr>
      <vt:lpstr>药品英文</vt:lpstr>
      <vt:lpstr>食物</vt:lpstr>
      <vt:lpstr>食物英文</vt:lpstr>
      <vt:lpstr>艺能</vt:lpstr>
      <vt:lpstr>艺能英文</vt:lpstr>
      <vt:lpstr>秘籍</vt:lpstr>
      <vt:lpstr>秘籍英文</vt:lpstr>
      <vt:lpstr>礼物</vt:lpstr>
      <vt:lpstr>材料</vt:lpstr>
      <vt:lpstr>材料英文</vt:lpstr>
      <vt:lpstr>任务</vt:lpstr>
      <vt:lpstr>任务英文</vt:lpstr>
      <vt:lpstr>其他</vt:lpstr>
      <vt:lpstr>其他英文</vt:lpstr>
      <vt:lpstr>Sheet2</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三茂 卢</cp:lastModifiedBy>
  <dcterms:created xsi:type="dcterms:W3CDTF">2006-09-16T00:00:00Z</dcterms:created>
  <dcterms:modified xsi:type="dcterms:W3CDTF">2026-02-06T10:30:24Z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5587FA55342D466ABC6DBE432045889B_13</vt:lpwstr>
  </property>
  <property fmtid="{D5CDD505-2E9C-101B-9397-08002B2CF9AE}" pid="3" name="KSOProductBuildVer">
    <vt:lpwstr>2052-12.1.0.21541</vt:lpwstr>
  </property>
  <property fmtid="{D5CDD505-2E9C-101B-9397-08002B2CF9AE}" pid="4" name="KSOReadingLayout">
    <vt:bool>true</vt:bool>
  </property>
</Properties>
</file>