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BE21AD2A-7430-4A7D-BE89-A15E451BF392}" xr6:coauthVersionLast="47" xr6:coauthVersionMax="47" xr10:uidLastSave="{00000000-0000-0000-0000-000000000000}"/>
  <bookViews>
    <workbookView xWindow="-108" yWindow="-108" windowWidth="23256" windowHeight="13896" firstSheet="3" activeTab="5" xr2:uid="{00000000-000D-0000-FFFF-FFFF00000000}"/>
  </bookViews>
  <sheets>
    <sheet name="装备附属属性库" sheetId="1" r:id="rId1"/>
    <sheet name="装备后缀" sheetId="7" r:id="rId2"/>
    <sheet name="装备附属出现概率" sheetId="3" r:id="rId3"/>
    <sheet name="各系统装备品质掉落" sheetId="8" r:id="rId4"/>
    <sheet name="属性翻译" sheetId="4" r:id="rId5"/>
    <sheet name="属性取值" sheetId="5" r:id="rId6"/>
    <sheet name="武器基本属性百分比" sheetId="9" r:id="rId7"/>
    <sheet name="monster装备品质" sheetId="6" r:id="rId8"/>
    <sheet name="Sheet2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3" l="1"/>
  <c r="P13" i="3" s="1"/>
  <c r="J11" i="3"/>
  <c r="J12" i="3"/>
  <c r="J19" i="3" s="1"/>
  <c r="J26" i="3" s="1"/>
  <c r="J13" i="3"/>
  <c r="J14" i="3"/>
  <c r="J15" i="3"/>
  <c r="J16" i="3"/>
  <c r="J17" i="3"/>
  <c r="J18" i="3"/>
  <c r="J25" i="3" s="1"/>
  <c r="D25" i="3" s="1"/>
  <c r="C26" i="3" s="1"/>
  <c r="D26" i="3" s="1"/>
  <c r="C27" i="3" s="1"/>
  <c r="D27" i="3" s="1"/>
  <c r="C28" i="3" s="1"/>
  <c r="D28" i="3" s="1"/>
  <c r="C29" i="3" s="1"/>
  <c r="D29" i="3" s="1"/>
  <c r="C30" i="3" s="1"/>
  <c r="D30" i="3" s="1"/>
  <c r="G30" i="3" s="1"/>
  <c r="J20" i="3"/>
  <c r="J27" i="3" s="1"/>
  <c r="J21" i="3"/>
  <c r="J28" i="3" s="1"/>
  <c r="J22" i="3"/>
  <c r="J29" i="3" s="1"/>
  <c r="J23" i="3"/>
  <c r="J30" i="3" s="1"/>
  <c r="J24" i="3"/>
  <c r="J10" i="3"/>
  <c r="D11" i="3" s="1"/>
  <c r="D4" i="3"/>
  <c r="C5" i="3" s="1"/>
  <c r="D5" i="3" s="1"/>
  <c r="C6" i="3" s="1"/>
  <c r="D6" i="3" s="1"/>
  <c r="C7" i="3" s="1"/>
  <c r="D7" i="3" s="1"/>
  <c r="C8" i="3" s="1"/>
  <c r="D8" i="3" s="1"/>
  <c r="C9" i="3" s="1"/>
  <c r="D9" i="3" s="1"/>
  <c r="G9" i="3" s="1"/>
  <c r="D18" i="3" l="1"/>
  <c r="C19" i="3" s="1"/>
  <c r="D19" i="3" s="1"/>
  <c r="C20" i="3" s="1"/>
  <c r="P8" i="3"/>
  <c r="P9" i="3"/>
  <c r="P10" i="3"/>
  <c r="P11" i="3"/>
  <c r="P12" i="3"/>
  <c r="D20" i="3"/>
  <c r="C21" i="3" s="1"/>
  <c r="D21" i="3" s="1"/>
  <c r="C22" i="3" s="1"/>
  <c r="D22" i="3" s="1"/>
  <c r="C23" i="3" s="1"/>
  <c r="D23" i="3" s="1"/>
  <c r="G23" i="3" s="1"/>
  <c r="C12" i="3"/>
  <c r="D12" i="3" s="1"/>
  <c r="G8" i="3"/>
  <c r="G4" i="3"/>
  <c r="G3" i="3"/>
  <c r="G5" i="3"/>
  <c r="G6" i="3"/>
  <c r="G7" i="3"/>
  <c r="G28" i="3"/>
  <c r="G27" i="3"/>
  <c r="G26" i="3"/>
  <c r="G24" i="3"/>
  <c r="G29" i="3"/>
  <c r="G25" i="3"/>
  <c r="G19" i="3" l="1"/>
  <c r="G20" i="3"/>
  <c r="G22" i="3"/>
  <c r="G18" i="3"/>
  <c r="G21" i="3"/>
  <c r="G17" i="3"/>
  <c r="C13" i="3"/>
  <c r="D13" i="3" s="1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B14" i="5"/>
  <c r="B13" i="5"/>
  <c r="B12" i="5"/>
  <c r="B11" i="5"/>
  <c r="B10" i="5"/>
  <c r="B9" i="5"/>
  <c r="B8" i="5"/>
  <c r="B7" i="5"/>
  <c r="B6" i="5"/>
  <c r="B5" i="5"/>
  <c r="B4" i="5"/>
  <c r="C4" i="8"/>
  <c r="C3" i="8"/>
  <c r="C2" i="8"/>
  <c r="C14" i="3" l="1"/>
  <c r="D14" i="3" s="1"/>
  <c r="C15" i="3" l="1"/>
  <c r="D15" i="3" s="1"/>
  <c r="C16" i="3" l="1"/>
  <c r="D16" i="3" s="1"/>
  <c r="G15" i="3"/>
  <c r="G16" i="3" l="1"/>
  <c r="G10" i="3"/>
  <c r="G11" i="3"/>
  <c r="G12" i="3"/>
  <c r="G13" i="3"/>
  <c r="G14" i="3"/>
</calcChain>
</file>

<file path=xl/sharedStrings.xml><?xml version="1.0" encoding="utf-8"?>
<sst xmlns="http://schemas.openxmlformats.org/spreadsheetml/2006/main" count="423" uniqueCount="246">
  <si>
    <t>词条id</t>
  </si>
  <si>
    <t>附加属性</t>
  </si>
  <si>
    <t>限制随机上限</t>
  </si>
  <si>
    <t>武器</t>
  </si>
  <si>
    <t>项链</t>
  </si>
  <si>
    <t>坠饰</t>
  </si>
  <si>
    <t>戒指</t>
  </si>
  <si>
    <t>衣服</t>
  </si>
  <si>
    <t>护臂</t>
  </si>
  <si>
    <t>护腰</t>
  </si>
  <si>
    <t>护腿</t>
  </si>
  <si>
    <t>id</t>
  </si>
  <si>
    <t>attribute</t>
  </si>
  <si>
    <t>randomMax</t>
  </si>
  <si>
    <t>weapon</t>
  </si>
  <si>
    <t>necklace</t>
  </si>
  <si>
    <t>pendant</t>
  </si>
  <si>
    <t>ring</t>
  </si>
  <si>
    <t>armor</t>
  </si>
  <si>
    <t>arm</t>
  </si>
  <si>
    <t>waist</t>
  </si>
  <si>
    <t>boot</t>
  </si>
  <si>
    <t>武器基础值</t>
  </si>
  <si>
    <t>武力</t>
  </si>
  <si>
    <t>筋骨</t>
  </si>
  <si>
    <t>身法</t>
  </si>
  <si>
    <t>内息</t>
  </si>
  <si>
    <t>悟性</t>
  </si>
  <si>
    <t>攻击力</t>
  </si>
  <si>
    <t>防御力</t>
  </si>
  <si>
    <t>气血上限</t>
  </si>
  <si>
    <t>命中</t>
  </si>
  <si>
    <t>闪避</t>
  </si>
  <si>
    <t>暴击</t>
  </si>
  <si>
    <t>免暴</t>
  </si>
  <si>
    <t>气血回复</t>
  </si>
  <si>
    <t>内劲增长</t>
  </si>
  <si>
    <t>移动速度</t>
  </si>
  <si>
    <t>吸血</t>
  </si>
  <si>
    <t>反伤</t>
  </si>
  <si>
    <t>外功攻击</t>
  </si>
  <si>
    <t>外功防御</t>
  </si>
  <si>
    <t>内功攻击</t>
  </si>
  <si>
    <t>内功防御</t>
  </si>
  <si>
    <t>暴击伤害</t>
  </si>
  <si>
    <t>暴击减免</t>
  </si>
  <si>
    <t>ID</t>
  </si>
  <si>
    <t>属性类型</t>
  </si>
  <si>
    <t>属性名称</t>
  </si>
  <si>
    <t>境界等级</t>
  </si>
  <si>
    <t>后缀文本</t>
  </si>
  <si>
    <t>type</t>
  </si>
  <si>
    <t>name</t>
  </si>
  <si>
    <t>lvel</t>
  </si>
  <si>
    <t>txt</t>
  </si>
  <si>
    <t>锋</t>
  </si>
  <si>
    <t>蕴</t>
  </si>
  <si>
    <t>所属等级</t>
  </si>
  <si>
    <t>附加属属性词条数</t>
  </si>
  <si>
    <t>产出概率最小值范围</t>
  </si>
  <si>
    <t>产出概率最大值范围</t>
  </si>
  <si>
    <t>品质名</t>
  </si>
  <si>
    <t>所属难度</t>
  </si>
  <si>
    <t>sjNum</t>
  </si>
  <si>
    <t>sjGl</t>
  </si>
  <si>
    <t>sjGlMax</t>
  </si>
  <si>
    <t>sjName</t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</si>
  <si>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jD</t>
    </r>
    <r>
      <rPr>
        <sz val="11"/>
        <color theme="1"/>
        <rFont val="宋体"/>
        <family val="3"/>
        <charset val="134"/>
        <scheme val="minor"/>
      </rPr>
      <t>ifficulty</t>
    </r>
  </si>
  <si>
    <t>下品</t>
  </si>
  <si>
    <t>简单</t>
  </si>
  <si>
    <t>凡品</t>
  </si>
  <si>
    <t>上品</t>
  </si>
  <si>
    <t>佳品</t>
  </si>
  <si>
    <t>极品</t>
  </si>
  <si>
    <t>臻品</t>
  </si>
  <si>
    <t>孤品</t>
  </si>
  <si>
    <t>普通</t>
  </si>
  <si>
    <t>困难</t>
  </si>
  <si>
    <t>极难</t>
  </si>
  <si>
    <t>系统名称</t>
  </si>
  <si>
    <t>初级</t>
  </si>
  <si>
    <t>中级</t>
  </si>
  <si>
    <t>高级</t>
  </si>
  <si>
    <t>cn</t>
  </si>
  <si>
    <t>AttributeType</t>
  </si>
  <si>
    <t>force</t>
  </si>
  <si>
    <t>soma</t>
  </si>
  <si>
    <t>骨骼</t>
  </si>
  <si>
    <t>agile</t>
  </si>
  <si>
    <t>internal</t>
  </si>
  <si>
    <t>act</t>
  </si>
  <si>
    <t>min_act</t>
  </si>
  <si>
    <t>最小攻击力</t>
  </si>
  <si>
    <t>max_act</t>
  </si>
  <si>
    <t>最大攻击力</t>
  </si>
  <si>
    <t>def</t>
  </si>
  <si>
    <t>防御</t>
  </si>
  <si>
    <t>hp</t>
  </si>
  <si>
    <t>气血</t>
  </si>
  <si>
    <t>hp_max</t>
  </si>
  <si>
    <t>气血最大值</t>
  </si>
  <si>
    <t>mp</t>
  </si>
  <si>
    <t>内力</t>
  </si>
  <si>
    <t>mp_max</t>
  </si>
  <si>
    <t>内力最大值</t>
  </si>
  <si>
    <t>aim</t>
  </si>
  <si>
    <t>block</t>
  </si>
  <si>
    <t>格挡</t>
  </si>
  <si>
    <t>evade</t>
  </si>
  <si>
    <t>critical</t>
  </si>
  <si>
    <t>暴击率</t>
  </si>
  <si>
    <t>damage</t>
  </si>
  <si>
    <t>暴伤</t>
  </si>
  <si>
    <t>dedamage</t>
  </si>
  <si>
    <t>暴击防御</t>
  </si>
  <si>
    <t>penetrate</t>
  </si>
  <si>
    <t>破防</t>
  </si>
  <si>
    <t>avoid</t>
  </si>
  <si>
    <t>免伤</t>
  </si>
  <si>
    <t>reply_hp</t>
  </si>
  <si>
    <t>reply_mp</t>
  </si>
  <si>
    <t>内力回复</t>
  </si>
  <si>
    <t>back</t>
  </si>
  <si>
    <t>反击伤害</t>
  </si>
  <si>
    <t>counter</t>
  </si>
  <si>
    <t>反击率</t>
  </si>
  <si>
    <t>SP</t>
  </si>
  <si>
    <t>体力</t>
  </si>
  <si>
    <t>hp_reply</t>
  </si>
  <si>
    <t>mp_reply</t>
  </si>
  <si>
    <t>speed</t>
  </si>
  <si>
    <t>速度</t>
  </si>
  <si>
    <t>attack</t>
  </si>
  <si>
    <t>伤害(相当于攻击力)</t>
  </si>
  <si>
    <t>伤害</t>
  </si>
  <si>
    <t>atkJian</t>
  </si>
  <si>
    <t>剑法伤害</t>
  </si>
  <si>
    <t>atkQuan</t>
  </si>
  <si>
    <t>拳法伤害</t>
  </si>
  <si>
    <t>atkDao</t>
  </si>
  <si>
    <t>刀法伤害</t>
  </si>
  <si>
    <t>atkGun</t>
  </si>
  <si>
    <t>棍法伤害</t>
  </si>
  <si>
    <t>atkQiang</t>
  </si>
  <si>
    <t>枪法伤害</t>
  </si>
  <si>
    <t>最小外功攻击</t>
  </si>
  <si>
    <t>最大外功攻击</t>
  </si>
  <si>
    <t>最小内功攻击</t>
  </si>
  <si>
    <t>最大内功攻击</t>
  </si>
  <si>
    <t>最小外功防御</t>
  </si>
  <si>
    <t>最大外功防御</t>
  </si>
  <si>
    <t>最小内功防御</t>
  </si>
  <si>
    <t>最大内功防御</t>
  </si>
  <si>
    <t>最小气血</t>
  </si>
  <si>
    <t>最大气血</t>
  </si>
  <si>
    <t>最小气血回复</t>
  </si>
  <si>
    <t>最大气血回复</t>
  </si>
  <si>
    <t>最小暴击</t>
  </si>
  <si>
    <t>最大暴击</t>
  </si>
  <si>
    <t>最小暴防</t>
  </si>
  <si>
    <t>最大暴防</t>
  </si>
  <si>
    <t>最小吸血</t>
  </si>
  <si>
    <t>最大吸血</t>
  </si>
  <si>
    <t>最小内劲增长</t>
  </si>
  <si>
    <t>最大内劲增长</t>
  </si>
  <si>
    <t>最小反伤</t>
  </si>
  <si>
    <t>最大反伤</t>
  </si>
  <si>
    <t>最小移动速度</t>
  </si>
  <si>
    <t>最大移动速度</t>
  </si>
  <si>
    <t>武力最小</t>
  </si>
  <si>
    <t>武力最大</t>
  </si>
  <si>
    <t>筋骨最小</t>
  </si>
  <si>
    <t>筋骨最大</t>
  </si>
  <si>
    <t>身法最小</t>
  </si>
  <si>
    <t>身法最大</t>
  </si>
  <si>
    <t>内息最小</t>
  </si>
  <si>
    <t>内息最大</t>
  </si>
  <si>
    <t>悟性最小</t>
  </si>
  <si>
    <t>悟性最大</t>
  </si>
  <si>
    <t>最小命中</t>
  </si>
  <si>
    <t>最大命中</t>
  </si>
  <si>
    <t>最小闪避</t>
  </si>
  <si>
    <t>最大闪避</t>
  </si>
  <si>
    <t>int</t>
  </si>
  <si>
    <t>float(0.01)</t>
  </si>
  <si>
    <t>float</t>
  </si>
  <si>
    <t>gjWaimin</t>
  </si>
  <si>
    <t>gjWaimax</t>
  </si>
  <si>
    <t>gjNeimin</t>
  </si>
  <si>
    <t>gjNeimax</t>
  </si>
  <si>
    <t>fyWaimin</t>
  </si>
  <si>
    <t>fyWaimax</t>
  </si>
  <si>
    <t>fyNeimin</t>
  </si>
  <si>
    <t>fyNeimax</t>
  </si>
  <si>
    <t>qxmin</t>
  </si>
  <si>
    <t>qxmax</t>
  </si>
  <si>
    <t>qxhfmin</t>
  </si>
  <si>
    <t>qxhfmax</t>
  </si>
  <si>
    <t>bjmin</t>
  </si>
  <si>
    <t>bjmax</t>
  </si>
  <si>
    <t>bfmin</t>
  </si>
  <si>
    <t>bfmax</t>
  </si>
  <si>
    <t>xxmin</t>
  </si>
  <si>
    <t>xxmax</t>
  </si>
  <si>
    <t>njzzmin</t>
  </si>
  <si>
    <t>njzzmax</t>
  </si>
  <si>
    <t>fsmin</t>
  </si>
  <si>
    <t>fsmax</t>
  </si>
  <si>
    <t>ydmin</t>
  </si>
  <si>
    <t>ydmax</t>
  </si>
  <si>
    <t>wlmin</t>
  </si>
  <si>
    <t>wlmax</t>
  </si>
  <si>
    <t>jgmin</t>
  </si>
  <si>
    <t>jgmax</t>
  </si>
  <si>
    <t>sfmin</t>
  </si>
  <si>
    <t>sfmax</t>
  </si>
  <si>
    <t>nxmin</t>
  </si>
  <si>
    <t>nxmax</t>
  </si>
  <si>
    <t>wxmin</t>
  </si>
  <si>
    <t>wxmax</t>
  </si>
  <si>
    <t>mzmin</t>
  </si>
  <si>
    <t>mzmax</t>
  </si>
  <si>
    <t>sbmin</t>
  </si>
  <si>
    <t>sbmax</t>
  </si>
  <si>
    <t>ID</t>
    <phoneticPr fontId="6" type="noConversion"/>
  </si>
  <si>
    <t>系统名称</t>
    <phoneticPr fontId="6" type="noConversion"/>
  </si>
  <si>
    <t>产出概率最小范围值</t>
    <phoneticPr fontId="6" type="noConversion"/>
  </si>
  <si>
    <t>id</t>
    <phoneticPr fontId="6" type="noConversion"/>
  </si>
  <si>
    <t>tip</t>
    <phoneticPr fontId="6" type="noConversion"/>
  </si>
  <si>
    <t>num</t>
    <phoneticPr fontId="6" type="noConversion"/>
  </si>
  <si>
    <t>描述</t>
  </si>
  <si>
    <t>白色品质</t>
  </si>
  <si>
    <t>绿色品质</t>
  </si>
  <si>
    <t>蓝色品质</t>
  </si>
  <si>
    <t>紫色品质</t>
  </si>
  <si>
    <t>橙色品质</t>
  </si>
  <si>
    <t>红色品质</t>
  </si>
  <si>
    <t>tip</t>
  </si>
  <si>
    <t>white</t>
  </si>
  <si>
    <t>green</t>
  </si>
  <si>
    <t>blue</t>
  </si>
  <si>
    <t>purple</t>
  </si>
  <si>
    <t>orange</t>
  </si>
  <si>
    <t>red</t>
  </si>
  <si>
    <t>精英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</si>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</sst>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B6DDE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1" fillId="3" borderId="0" xfId="0" applyFont="1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10" borderId="5" xfId="0" applyFont="1" applyFill="1" applyBorder="1" applyAlignment="1">
      <alignment horizontal="right" vertical="center"/>
    </xf>
    <xf numFmtId="0" fontId="2" fillId="10" borderId="6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right" vertical="center"/>
    </xf>
    <xf numFmtId="0" fontId="2" fillId="11" borderId="6" xfId="0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7" fillId="0" borderId="0" xfId="0" applyNumberFormat="1" applyFont="1" applyFill="1" applyBorder="1" applyAlignment="1" applyProtection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G22" sqref="A22:G25"/>
    </sheetView>
  </sheetViews>
  <sheetFormatPr defaultColWidth="9" defaultRowHeight="14.4" x14ac:dyDescent="0.25"/>
  <cols>
    <col min="1" max="1" width="10.33203125" style="26" customWidth="1"/>
    <col min="2" max="2" width="14.44140625" style="26" customWidth="1"/>
    <col min="3" max="3" width="15.33203125" style="26" customWidth="1"/>
    <col min="4" max="4" width="18.33203125" style="26" customWidth="1"/>
    <col min="5" max="5" width="17.6640625" style="26" customWidth="1"/>
    <col min="6" max="16384" width="9" style="26"/>
  </cols>
  <sheetData>
    <row r="1" spans="1:11" ht="37.950000000000003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</v>
      </c>
      <c r="B3" s="1" t="s">
        <v>22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2</v>
      </c>
      <c r="B4" s="1" t="s">
        <v>23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3</v>
      </c>
      <c r="B5" s="1" t="s">
        <v>24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4</v>
      </c>
      <c r="B6" s="1" t="s">
        <v>25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5</v>
      </c>
      <c r="B7" s="1" t="s">
        <v>26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6</v>
      </c>
      <c r="B8" s="1" t="s">
        <v>27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7</v>
      </c>
      <c r="B9" s="1" t="s">
        <v>28</v>
      </c>
      <c r="C9" s="1">
        <v>3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8</v>
      </c>
      <c r="B10" s="1" t="s">
        <v>29</v>
      </c>
      <c r="C10" s="1">
        <v>3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1</v>
      </c>
      <c r="K10" s="1">
        <v>1</v>
      </c>
    </row>
    <row r="11" spans="1:11" x14ac:dyDescent="0.25">
      <c r="A11" s="1">
        <v>9</v>
      </c>
      <c r="B11" s="1" t="s">
        <v>30</v>
      </c>
      <c r="C11" s="1">
        <v>3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</row>
    <row r="12" spans="1:11" x14ac:dyDescent="0.25">
      <c r="A12" s="1">
        <v>10</v>
      </c>
      <c r="B12" s="1" t="s">
        <v>31</v>
      </c>
      <c r="C12" s="1">
        <v>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11</v>
      </c>
      <c r="B13" s="1" t="s">
        <v>32</v>
      </c>
      <c r="C13" s="1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12</v>
      </c>
      <c r="B14" s="1" t="s">
        <v>33</v>
      </c>
      <c r="C14" s="1">
        <v>3</v>
      </c>
      <c r="D14" s="1">
        <v>1</v>
      </c>
      <c r="E14" s="1">
        <v>1</v>
      </c>
      <c r="F14" s="1">
        <v>1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13</v>
      </c>
      <c r="B15" s="1" t="s">
        <v>34</v>
      </c>
      <c r="C15" s="1">
        <v>3</v>
      </c>
      <c r="D15" s="1">
        <v>0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</row>
    <row r="16" spans="1:11" x14ac:dyDescent="0.25">
      <c r="A16" s="1">
        <v>14</v>
      </c>
      <c r="B16" s="1" t="s">
        <v>35</v>
      </c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15</v>
      </c>
      <c r="B17" s="1" t="s">
        <v>36</v>
      </c>
      <c r="C17" s="1">
        <v>3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16</v>
      </c>
      <c r="B18" s="1" t="s">
        <v>37</v>
      </c>
      <c r="C18" s="1">
        <v>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17</v>
      </c>
      <c r="B19" s="1" t="s">
        <v>38</v>
      </c>
      <c r="C19" s="1">
        <v>3</v>
      </c>
      <c r="D19" s="1">
        <v>1</v>
      </c>
      <c r="E19" s="1">
        <v>1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18</v>
      </c>
      <c r="B20" s="1" t="s">
        <v>39</v>
      </c>
      <c r="C20" s="1">
        <v>3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1</v>
      </c>
      <c r="J20" s="1">
        <v>1</v>
      </c>
      <c r="K20" s="1">
        <v>1</v>
      </c>
    </row>
    <row r="21" spans="1:11" x14ac:dyDescent="0.25">
      <c r="A21" s="1">
        <v>19</v>
      </c>
      <c r="B21" s="1" t="s">
        <v>40</v>
      </c>
      <c r="C21" s="1">
        <v>3</v>
      </c>
      <c r="D21" s="1">
        <v>1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20</v>
      </c>
      <c r="B22" s="1" t="s">
        <v>41</v>
      </c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1</v>
      </c>
      <c r="K22" s="1">
        <v>1</v>
      </c>
    </row>
    <row r="23" spans="1:11" x14ac:dyDescent="0.25">
      <c r="A23" s="1">
        <v>21</v>
      </c>
      <c r="B23" s="1" t="s">
        <v>42</v>
      </c>
      <c r="C23" s="1">
        <v>3</v>
      </c>
      <c r="D23" s="1">
        <v>1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22</v>
      </c>
      <c r="B24" s="1" t="s">
        <v>43</v>
      </c>
      <c r="C24" s="1">
        <v>3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1</v>
      </c>
      <c r="J24" s="1">
        <v>1</v>
      </c>
      <c r="K24" s="1">
        <v>1</v>
      </c>
    </row>
    <row r="25" spans="1:11" x14ac:dyDescent="0.25">
      <c r="A25" s="1">
        <v>23</v>
      </c>
      <c r="B25" s="1" t="s">
        <v>44</v>
      </c>
      <c r="C25" s="1">
        <v>3</v>
      </c>
      <c r="D25" s="1">
        <v>1</v>
      </c>
      <c r="E25" s="1">
        <v>1</v>
      </c>
      <c r="F25" s="1">
        <v>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24</v>
      </c>
      <c r="B26" s="1" t="s">
        <v>45</v>
      </c>
      <c r="C26" s="1">
        <v>3</v>
      </c>
      <c r="D26" s="1">
        <v>0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</row>
  </sheetData>
  <phoneticPr fontId="6" type="noConversion"/>
  <pageMargins left="0.7" right="0.7" top="0.75" bottom="0.75" header="0.3" footer="0.3"/>
  <pageSetup paperSize="9" orientation="portrait"/>
  <ignoredErrors>
    <ignoredError sqref="A9:B9 A4:B4 A3:B3 A5:B8 A1:B1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H11" sqref="H11"/>
    </sheetView>
  </sheetViews>
  <sheetFormatPr defaultColWidth="9" defaultRowHeight="14.4" x14ac:dyDescent="0.25"/>
  <sheetData>
    <row r="1" spans="1:5" x14ac:dyDescent="0.25">
      <c r="A1" t="s">
        <v>46</v>
      </c>
      <c r="B1" s="15" t="s">
        <v>47</v>
      </c>
      <c r="C1" s="16" t="s">
        <v>48</v>
      </c>
      <c r="D1" s="15" t="s">
        <v>49</v>
      </c>
      <c r="E1" s="15" t="s">
        <v>50</v>
      </c>
    </row>
    <row r="2" spans="1:5" x14ac:dyDescent="0.25">
      <c r="A2" t="s">
        <v>46</v>
      </c>
      <c r="B2" t="s">
        <v>51</v>
      </c>
      <c r="C2" t="s">
        <v>52</v>
      </c>
      <c r="D2" t="s">
        <v>53</v>
      </c>
      <c r="E2" t="s">
        <v>54</v>
      </c>
    </row>
    <row r="3" spans="1:5" x14ac:dyDescent="0.25">
      <c r="A3">
        <v>1000</v>
      </c>
      <c r="B3" s="17">
        <v>1</v>
      </c>
      <c r="C3" s="18" t="s">
        <v>40</v>
      </c>
      <c r="D3" s="19">
        <v>1</v>
      </c>
      <c r="E3" s="20" t="s">
        <v>55</v>
      </c>
    </row>
    <row r="4" spans="1:5" x14ac:dyDescent="0.25">
      <c r="A4">
        <v>1001</v>
      </c>
      <c r="B4" s="17">
        <v>1</v>
      </c>
      <c r="C4" s="18" t="s">
        <v>40</v>
      </c>
      <c r="D4" s="21">
        <v>2</v>
      </c>
      <c r="E4" s="20" t="s">
        <v>55</v>
      </c>
    </row>
    <row r="5" spans="1:5" x14ac:dyDescent="0.25">
      <c r="A5">
        <v>1002</v>
      </c>
      <c r="B5" s="17">
        <v>1</v>
      </c>
      <c r="C5" s="18" t="s">
        <v>40</v>
      </c>
      <c r="D5" s="21">
        <v>3</v>
      </c>
      <c r="E5" s="20" t="s">
        <v>55</v>
      </c>
    </row>
    <row r="6" spans="1:5" x14ac:dyDescent="0.25">
      <c r="A6">
        <v>1003</v>
      </c>
      <c r="B6" s="17">
        <v>1</v>
      </c>
      <c r="C6" s="18" t="s">
        <v>40</v>
      </c>
      <c r="D6" s="21">
        <v>4</v>
      </c>
      <c r="E6" s="20" t="s">
        <v>55</v>
      </c>
    </row>
    <row r="7" spans="1:5" x14ac:dyDescent="0.25">
      <c r="A7">
        <v>1004</v>
      </c>
      <c r="B7" s="17">
        <v>1</v>
      </c>
      <c r="C7" s="18" t="s">
        <v>40</v>
      </c>
      <c r="D7" s="21">
        <v>5</v>
      </c>
      <c r="E7" s="20" t="s">
        <v>55</v>
      </c>
    </row>
    <row r="8" spans="1:5" x14ac:dyDescent="0.25">
      <c r="A8">
        <v>1005</v>
      </c>
      <c r="B8" s="17">
        <v>1</v>
      </c>
      <c r="C8" s="18" t="s">
        <v>40</v>
      </c>
      <c r="D8" s="21">
        <v>6</v>
      </c>
      <c r="E8" s="20" t="s">
        <v>55</v>
      </c>
    </row>
    <row r="9" spans="1:5" x14ac:dyDescent="0.25">
      <c r="A9">
        <v>1006</v>
      </c>
      <c r="B9" s="17">
        <v>1</v>
      </c>
      <c r="C9" s="18" t="s">
        <v>40</v>
      </c>
      <c r="D9" s="21">
        <v>7</v>
      </c>
      <c r="E9" s="20" t="s">
        <v>55</v>
      </c>
    </row>
    <row r="10" spans="1:5" x14ac:dyDescent="0.25">
      <c r="A10">
        <v>1007</v>
      </c>
      <c r="B10" s="17">
        <v>1</v>
      </c>
      <c r="C10" s="18" t="s">
        <v>40</v>
      </c>
      <c r="D10" s="21">
        <v>8</v>
      </c>
      <c r="E10" s="20" t="s">
        <v>55</v>
      </c>
    </row>
    <row r="11" spans="1:5" x14ac:dyDescent="0.25">
      <c r="A11">
        <v>1008</v>
      </c>
      <c r="B11" s="17">
        <v>1</v>
      </c>
      <c r="C11" s="18" t="s">
        <v>40</v>
      </c>
      <c r="D11" s="21">
        <v>9</v>
      </c>
      <c r="E11" s="20" t="s">
        <v>55</v>
      </c>
    </row>
    <row r="12" spans="1:5" x14ac:dyDescent="0.25">
      <c r="A12">
        <v>1009</v>
      </c>
      <c r="B12" s="17">
        <v>1</v>
      </c>
      <c r="C12" s="18" t="s">
        <v>40</v>
      </c>
      <c r="D12" s="21">
        <v>10</v>
      </c>
      <c r="E12" s="20" t="s">
        <v>55</v>
      </c>
    </row>
    <row r="13" spans="1:5" x14ac:dyDescent="0.25">
      <c r="A13">
        <v>2000</v>
      </c>
      <c r="B13" s="22">
        <v>2</v>
      </c>
      <c r="C13" s="23" t="s">
        <v>42</v>
      </c>
      <c r="D13" s="24">
        <v>1</v>
      </c>
      <c r="E13" s="25" t="s">
        <v>56</v>
      </c>
    </row>
    <row r="14" spans="1:5" x14ac:dyDescent="0.25">
      <c r="A14">
        <v>2001</v>
      </c>
      <c r="B14" s="22">
        <v>2</v>
      </c>
      <c r="C14" s="23" t="s">
        <v>42</v>
      </c>
      <c r="D14" s="24">
        <v>2</v>
      </c>
      <c r="E14" s="25" t="s">
        <v>56</v>
      </c>
    </row>
    <row r="15" spans="1:5" x14ac:dyDescent="0.25">
      <c r="A15">
        <v>2002</v>
      </c>
      <c r="B15" s="22">
        <v>2</v>
      </c>
      <c r="C15" s="23" t="s">
        <v>42</v>
      </c>
      <c r="D15" s="24">
        <v>3</v>
      </c>
      <c r="E15" s="25" t="s">
        <v>56</v>
      </c>
    </row>
    <row r="16" spans="1:5" x14ac:dyDescent="0.25">
      <c r="A16">
        <v>2003</v>
      </c>
      <c r="B16" s="22">
        <v>2</v>
      </c>
      <c r="C16" s="23" t="s">
        <v>42</v>
      </c>
      <c r="D16" s="24">
        <v>4</v>
      </c>
      <c r="E16" s="25" t="s">
        <v>56</v>
      </c>
    </row>
    <row r="17" spans="1:5" x14ac:dyDescent="0.25">
      <c r="A17">
        <v>2004</v>
      </c>
      <c r="B17" s="22">
        <v>2</v>
      </c>
      <c r="C17" s="23" t="s">
        <v>42</v>
      </c>
      <c r="D17" s="24">
        <v>5</v>
      </c>
      <c r="E17" s="25" t="s">
        <v>56</v>
      </c>
    </row>
    <row r="18" spans="1:5" x14ac:dyDescent="0.25">
      <c r="A18">
        <v>2005</v>
      </c>
      <c r="B18" s="22">
        <v>2</v>
      </c>
      <c r="C18" s="23" t="s">
        <v>42</v>
      </c>
      <c r="D18" s="24">
        <v>6</v>
      </c>
      <c r="E18" s="25" t="s">
        <v>56</v>
      </c>
    </row>
    <row r="19" spans="1:5" x14ac:dyDescent="0.25">
      <c r="A19">
        <v>2006</v>
      </c>
      <c r="B19" s="22">
        <v>2</v>
      </c>
      <c r="C19" s="23" t="s">
        <v>42</v>
      </c>
      <c r="D19" s="24">
        <v>7</v>
      </c>
      <c r="E19" s="25" t="s">
        <v>56</v>
      </c>
    </row>
    <row r="20" spans="1:5" x14ac:dyDescent="0.25">
      <c r="A20">
        <v>2007</v>
      </c>
      <c r="B20" s="22">
        <v>2</v>
      </c>
      <c r="C20" s="23" t="s">
        <v>42</v>
      </c>
      <c r="D20" s="24">
        <v>8</v>
      </c>
      <c r="E20" s="25" t="s">
        <v>56</v>
      </c>
    </row>
    <row r="21" spans="1:5" x14ac:dyDescent="0.25">
      <c r="A21">
        <v>2008</v>
      </c>
      <c r="B21" s="22">
        <v>2</v>
      </c>
      <c r="C21" s="23" t="s">
        <v>42</v>
      </c>
      <c r="D21" s="24">
        <v>9</v>
      </c>
      <c r="E21" s="25" t="s">
        <v>56</v>
      </c>
    </row>
    <row r="22" spans="1:5" x14ac:dyDescent="0.25">
      <c r="A22">
        <v>2009</v>
      </c>
      <c r="B22" s="22">
        <v>2</v>
      </c>
      <c r="C22" s="23" t="s">
        <v>42</v>
      </c>
      <c r="D22" s="24">
        <v>10</v>
      </c>
      <c r="E22" s="25" t="s">
        <v>56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topLeftCell="C1" workbookViewId="0">
      <selection activeCell="E3" sqref="E3:E9"/>
    </sheetView>
  </sheetViews>
  <sheetFormatPr defaultColWidth="9" defaultRowHeight="14.4" x14ac:dyDescent="0.25"/>
  <cols>
    <col min="1" max="1" width="21.44140625" customWidth="1"/>
    <col min="2" max="2" width="26.77734375" customWidth="1"/>
    <col min="3" max="4" width="26.21875" customWidth="1"/>
    <col min="5" max="5" width="12.33203125" customWidth="1"/>
  </cols>
  <sheetData>
    <row r="1" spans="1:17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9" t="s">
        <v>62</v>
      </c>
    </row>
    <row r="2" spans="1:17" x14ac:dyDescent="0.25">
      <c r="A2" s="2" t="s">
        <v>11</v>
      </c>
      <c r="B2" s="2" t="s">
        <v>63</v>
      </c>
      <c r="C2" s="2" t="s">
        <v>64</v>
      </c>
      <c r="D2" s="2" t="s">
        <v>65</v>
      </c>
      <c r="E2" s="2" t="s">
        <v>66</v>
      </c>
      <c r="F2" s="9" t="s">
        <v>67</v>
      </c>
    </row>
    <row r="3" spans="1:17" x14ac:dyDescent="0.25">
      <c r="A3" s="2">
        <v>1</v>
      </c>
      <c r="B3" s="2">
        <v>0</v>
      </c>
      <c r="C3" s="2">
        <v>0</v>
      </c>
      <c r="D3" s="2">
        <v>5</v>
      </c>
      <c r="E3" s="5" t="s">
        <v>68</v>
      </c>
      <c r="F3" s="9" t="s">
        <v>69</v>
      </c>
      <c r="G3">
        <f>(D3-C3)/$D$9</f>
        <v>0.05</v>
      </c>
      <c r="I3">
        <v>0.1</v>
      </c>
      <c r="J3">
        <v>5</v>
      </c>
    </row>
    <row r="4" spans="1:17" x14ac:dyDescent="0.25">
      <c r="A4" s="2">
        <v>2</v>
      </c>
      <c r="B4" s="2">
        <v>1</v>
      </c>
      <c r="C4" s="2">
        <v>5</v>
      </c>
      <c r="D4" s="2">
        <f>C4+J4</f>
        <v>36</v>
      </c>
      <c r="E4" s="2" t="s">
        <v>70</v>
      </c>
      <c r="F4" s="9" t="s">
        <v>69</v>
      </c>
      <c r="G4">
        <f t="shared" ref="G4:G9" si="0">(D4-C4)/$D$9</f>
        <v>0.31</v>
      </c>
      <c r="I4">
        <v>0.2</v>
      </c>
      <c r="J4">
        <v>31</v>
      </c>
    </row>
    <row r="5" spans="1:17" x14ac:dyDescent="0.25">
      <c r="A5" s="2">
        <v>3</v>
      </c>
      <c r="B5" s="2">
        <v>2</v>
      </c>
      <c r="C5" s="2">
        <f t="shared" ref="C5:C9" si="1">D4</f>
        <v>36</v>
      </c>
      <c r="D5" s="2">
        <f t="shared" ref="D5:D9" si="2">C5+J5</f>
        <v>61</v>
      </c>
      <c r="E5" s="10" t="s">
        <v>71</v>
      </c>
      <c r="F5" s="9" t="s">
        <v>69</v>
      </c>
      <c r="G5">
        <f t="shared" si="0"/>
        <v>0.25</v>
      </c>
      <c r="I5">
        <v>0.3</v>
      </c>
      <c r="J5">
        <v>25</v>
      </c>
    </row>
    <row r="6" spans="1:17" x14ac:dyDescent="0.25">
      <c r="A6" s="2">
        <v>4</v>
      </c>
      <c r="B6" s="2">
        <v>3</v>
      </c>
      <c r="C6" s="2">
        <f t="shared" si="1"/>
        <v>61</v>
      </c>
      <c r="D6" s="2">
        <f t="shared" si="2"/>
        <v>81</v>
      </c>
      <c r="E6" s="11" t="s">
        <v>72</v>
      </c>
      <c r="F6" s="9" t="s">
        <v>69</v>
      </c>
      <c r="G6">
        <f t="shared" si="0"/>
        <v>0.2</v>
      </c>
      <c r="I6">
        <v>0.3</v>
      </c>
      <c r="J6">
        <v>20</v>
      </c>
      <c r="M6">
        <f>16*6+1-2</f>
        <v>95</v>
      </c>
    </row>
    <row r="7" spans="1:17" x14ac:dyDescent="0.25">
      <c r="A7" s="2">
        <v>5</v>
      </c>
      <c r="B7" s="2">
        <v>4</v>
      </c>
      <c r="C7" s="2">
        <f t="shared" si="1"/>
        <v>81</v>
      </c>
      <c r="D7" s="2">
        <f t="shared" si="2"/>
        <v>91</v>
      </c>
      <c r="E7" s="12" t="s">
        <v>73</v>
      </c>
      <c r="F7" s="9" t="s">
        <v>69</v>
      </c>
      <c r="G7">
        <f t="shared" si="0"/>
        <v>0.1</v>
      </c>
      <c r="I7">
        <v>0.06</v>
      </c>
      <c r="J7">
        <v>10</v>
      </c>
    </row>
    <row r="8" spans="1:17" x14ac:dyDescent="0.25">
      <c r="A8" s="2">
        <v>6</v>
      </c>
      <c r="B8" s="2">
        <v>5</v>
      </c>
      <c r="C8" s="2">
        <f t="shared" si="1"/>
        <v>91</v>
      </c>
      <c r="D8" s="2">
        <f t="shared" si="2"/>
        <v>98</v>
      </c>
      <c r="E8" s="13" t="s">
        <v>74</v>
      </c>
      <c r="F8" s="9" t="s">
        <v>69</v>
      </c>
      <c r="G8">
        <f t="shared" si="0"/>
        <v>7.0000000000000007E-2</v>
      </c>
      <c r="I8">
        <v>0.03</v>
      </c>
      <c r="J8">
        <v>7</v>
      </c>
      <c r="M8">
        <v>1</v>
      </c>
      <c r="N8">
        <v>2</v>
      </c>
      <c r="P8">
        <f t="shared" ref="P8:P13" si="3">N8/$M$6</f>
        <v>2.1052631578947368E-2</v>
      </c>
      <c r="Q8">
        <v>5</v>
      </c>
    </row>
    <row r="9" spans="1:17" x14ac:dyDescent="0.25">
      <c r="A9" s="2">
        <v>7</v>
      </c>
      <c r="B9" s="2">
        <v>6</v>
      </c>
      <c r="C9" s="2">
        <f t="shared" si="1"/>
        <v>98</v>
      </c>
      <c r="D9" s="2">
        <f t="shared" si="2"/>
        <v>100</v>
      </c>
      <c r="E9" s="14" t="s">
        <v>75</v>
      </c>
      <c r="F9" s="9" t="s">
        <v>69</v>
      </c>
      <c r="G9">
        <f t="shared" si="0"/>
        <v>0.02</v>
      </c>
      <c r="I9">
        <v>0.01</v>
      </c>
      <c r="J9">
        <v>2</v>
      </c>
      <c r="M9">
        <v>2</v>
      </c>
      <c r="N9">
        <v>34</v>
      </c>
      <c r="P9">
        <f t="shared" si="3"/>
        <v>0.35789473684210527</v>
      </c>
      <c r="Q9">
        <v>31</v>
      </c>
    </row>
    <row r="10" spans="1:17" x14ac:dyDescent="0.25">
      <c r="A10" s="2">
        <v>11</v>
      </c>
      <c r="B10" s="2">
        <v>0</v>
      </c>
      <c r="C10" s="2">
        <v>0</v>
      </c>
      <c r="D10" s="2">
        <v>0</v>
      </c>
      <c r="E10" s="5" t="s">
        <v>68</v>
      </c>
      <c r="F10" s="9" t="s">
        <v>76</v>
      </c>
      <c r="G10">
        <f>(D10-C10)/$D$16</f>
        <v>0</v>
      </c>
      <c r="I10">
        <v>0.1</v>
      </c>
      <c r="J10">
        <f>J3</f>
        <v>5</v>
      </c>
      <c r="M10">
        <v>3</v>
      </c>
      <c r="N10">
        <v>13</v>
      </c>
      <c r="P10">
        <f t="shared" si="3"/>
        <v>0.1368421052631579</v>
      </c>
      <c r="Q10">
        <v>25</v>
      </c>
    </row>
    <row r="11" spans="1:17" x14ac:dyDescent="0.25">
      <c r="A11" s="2">
        <v>12</v>
      </c>
      <c r="B11" s="2">
        <v>1</v>
      </c>
      <c r="C11" s="2">
        <v>0</v>
      </c>
      <c r="D11" s="2">
        <f t="shared" ref="D11:D16" si="4">C11+J11</f>
        <v>31</v>
      </c>
      <c r="E11" s="2" t="s">
        <v>70</v>
      </c>
      <c r="F11" s="9" t="s">
        <v>76</v>
      </c>
      <c r="G11">
        <f t="shared" ref="G11:G16" si="5">(D11-C11)/$D$16</f>
        <v>0.32631578947368423</v>
      </c>
      <c r="I11">
        <v>0.1</v>
      </c>
      <c r="J11">
        <f t="shared" ref="J11:J30" si="6">J4</f>
        <v>31</v>
      </c>
      <c r="M11">
        <v>4</v>
      </c>
      <c r="N11">
        <v>23</v>
      </c>
      <c r="P11">
        <f t="shared" si="3"/>
        <v>0.24210526315789474</v>
      </c>
      <c r="Q11">
        <v>20</v>
      </c>
    </row>
    <row r="12" spans="1:17" x14ac:dyDescent="0.25">
      <c r="A12" s="2">
        <v>13</v>
      </c>
      <c r="B12" s="2">
        <v>2</v>
      </c>
      <c r="C12" s="2">
        <f t="shared" ref="C12:C16" si="7">D11</f>
        <v>31</v>
      </c>
      <c r="D12" s="2">
        <f t="shared" si="4"/>
        <v>56</v>
      </c>
      <c r="E12" s="10" t="s">
        <v>71</v>
      </c>
      <c r="F12" s="9" t="s">
        <v>76</v>
      </c>
      <c r="G12">
        <f t="shared" si="5"/>
        <v>0.26315789473684209</v>
      </c>
      <c r="I12">
        <v>0.3</v>
      </c>
      <c r="J12">
        <f t="shared" si="6"/>
        <v>25</v>
      </c>
      <c r="M12">
        <v>5</v>
      </c>
      <c r="N12">
        <v>22</v>
      </c>
      <c r="P12">
        <f t="shared" si="3"/>
        <v>0.23157894736842105</v>
      </c>
      <c r="Q12">
        <v>10</v>
      </c>
    </row>
    <row r="13" spans="1:17" x14ac:dyDescent="0.25">
      <c r="A13" s="2">
        <v>14</v>
      </c>
      <c r="B13" s="2">
        <v>3</v>
      </c>
      <c r="C13" s="2">
        <f t="shared" si="7"/>
        <v>56</v>
      </c>
      <c r="D13" s="2">
        <f t="shared" si="4"/>
        <v>76</v>
      </c>
      <c r="E13" s="11" t="s">
        <v>72</v>
      </c>
      <c r="F13" s="9" t="s">
        <v>76</v>
      </c>
      <c r="G13">
        <f t="shared" si="5"/>
        <v>0.21052631578947367</v>
      </c>
      <c r="I13">
        <v>0.32</v>
      </c>
      <c r="J13">
        <f t="shared" si="6"/>
        <v>20</v>
      </c>
      <c r="M13">
        <v>6</v>
      </c>
      <c r="N13">
        <v>3</v>
      </c>
      <c r="P13">
        <f t="shared" si="3"/>
        <v>3.1578947368421054E-2</v>
      </c>
      <c r="Q13">
        <v>7</v>
      </c>
    </row>
    <row r="14" spans="1:17" x14ac:dyDescent="0.25">
      <c r="A14" s="2">
        <v>15</v>
      </c>
      <c r="B14" s="2">
        <v>4</v>
      </c>
      <c r="C14" s="2">
        <f t="shared" si="7"/>
        <v>76</v>
      </c>
      <c r="D14" s="2">
        <f t="shared" si="4"/>
        <v>86</v>
      </c>
      <c r="E14" s="12" t="s">
        <v>73</v>
      </c>
      <c r="F14" s="9" t="s">
        <v>76</v>
      </c>
      <c r="G14">
        <f t="shared" si="5"/>
        <v>0.10526315789473684</v>
      </c>
      <c r="I14">
        <v>0.1</v>
      </c>
      <c r="J14">
        <f t="shared" si="6"/>
        <v>10</v>
      </c>
      <c r="M14">
        <v>7</v>
      </c>
    </row>
    <row r="15" spans="1:17" x14ac:dyDescent="0.25">
      <c r="A15" s="2">
        <v>16</v>
      </c>
      <c r="B15" s="2">
        <v>5</v>
      </c>
      <c r="C15" s="2">
        <f t="shared" si="7"/>
        <v>86</v>
      </c>
      <c r="D15" s="2">
        <f t="shared" si="4"/>
        <v>93</v>
      </c>
      <c r="E15" s="13" t="s">
        <v>74</v>
      </c>
      <c r="F15" s="9" t="s">
        <v>76</v>
      </c>
      <c r="G15">
        <f t="shared" si="5"/>
        <v>7.3684210526315783E-2</v>
      </c>
      <c r="I15">
        <v>0.06</v>
      </c>
      <c r="J15">
        <f t="shared" si="6"/>
        <v>7</v>
      </c>
    </row>
    <row r="16" spans="1:17" x14ac:dyDescent="0.25">
      <c r="A16" s="2">
        <v>17</v>
      </c>
      <c r="B16" s="2">
        <v>6</v>
      </c>
      <c r="C16" s="2">
        <f t="shared" si="7"/>
        <v>93</v>
      </c>
      <c r="D16" s="2">
        <f t="shared" si="4"/>
        <v>95</v>
      </c>
      <c r="E16" s="14" t="s">
        <v>75</v>
      </c>
      <c r="F16" s="9" t="s">
        <v>76</v>
      </c>
      <c r="G16">
        <f t="shared" si="5"/>
        <v>2.1052631578947368E-2</v>
      </c>
      <c r="I16">
        <v>0.02</v>
      </c>
      <c r="J16">
        <f t="shared" si="6"/>
        <v>2</v>
      </c>
    </row>
    <row r="17" spans="1:10" x14ac:dyDescent="0.25">
      <c r="A17" s="2">
        <v>21</v>
      </c>
      <c r="B17" s="2">
        <v>0</v>
      </c>
      <c r="C17" s="2">
        <v>0</v>
      </c>
      <c r="D17" s="2">
        <v>0</v>
      </c>
      <c r="E17" s="5" t="s">
        <v>68</v>
      </c>
      <c r="F17" s="9" t="s">
        <v>77</v>
      </c>
      <c r="G17">
        <f>(D17-C17)/$D$23</f>
        <v>0</v>
      </c>
      <c r="I17">
        <v>0.1</v>
      </c>
      <c r="J17">
        <f t="shared" si="6"/>
        <v>5</v>
      </c>
    </row>
    <row r="18" spans="1:10" x14ac:dyDescent="0.25">
      <c r="A18" s="2">
        <v>22</v>
      </c>
      <c r="B18" s="2">
        <v>1</v>
      </c>
      <c r="C18" s="2">
        <v>0</v>
      </c>
      <c r="D18" s="2">
        <f t="shared" ref="D18:D23" si="8">C18+J18</f>
        <v>31</v>
      </c>
      <c r="E18" s="2" t="s">
        <v>70</v>
      </c>
      <c r="F18" s="9" t="s">
        <v>77</v>
      </c>
      <c r="G18">
        <f t="shared" ref="G18:G23" si="9">(D18-C18)/$D$23</f>
        <v>0.32631578947368423</v>
      </c>
      <c r="I18">
        <v>0.1</v>
      </c>
      <c r="J18">
        <f t="shared" si="6"/>
        <v>31</v>
      </c>
    </row>
    <row r="19" spans="1:10" x14ac:dyDescent="0.25">
      <c r="A19" s="2">
        <v>23</v>
      </c>
      <c r="B19" s="2">
        <v>2</v>
      </c>
      <c r="C19" s="2">
        <f t="shared" ref="C19:C23" si="10">D18</f>
        <v>31</v>
      </c>
      <c r="D19" s="2">
        <f t="shared" si="8"/>
        <v>56</v>
      </c>
      <c r="E19" s="10" t="s">
        <v>71</v>
      </c>
      <c r="F19" s="9" t="s">
        <v>77</v>
      </c>
      <c r="G19">
        <f t="shared" si="9"/>
        <v>0.26315789473684209</v>
      </c>
      <c r="I19">
        <v>0.22</v>
      </c>
      <c r="J19">
        <f t="shared" si="6"/>
        <v>25</v>
      </c>
    </row>
    <row r="20" spans="1:10" x14ac:dyDescent="0.25">
      <c r="A20" s="2">
        <v>24</v>
      </c>
      <c r="B20" s="2">
        <v>3</v>
      </c>
      <c r="C20" s="2">
        <f t="shared" si="10"/>
        <v>56</v>
      </c>
      <c r="D20" s="2">
        <f t="shared" si="8"/>
        <v>76</v>
      </c>
      <c r="E20" s="11" t="s">
        <v>72</v>
      </c>
      <c r="F20" s="9" t="s">
        <v>77</v>
      </c>
      <c r="G20">
        <f t="shared" si="9"/>
        <v>0.21052631578947367</v>
      </c>
      <c r="I20">
        <v>0.3</v>
      </c>
      <c r="J20">
        <f t="shared" si="6"/>
        <v>20</v>
      </c>
    </row>
    <row r="21" spans="1:10" x14ac:dyDescent="0.25">
      <c r="A21" s="2">
        <v>25</v>
      </c>
      <c r="B21" s="2">
        <v>4</v>
      </c>
      <c r="C21" s="2">
        <f t="shared" si="10"/>
        <v>76</v>
      </c>
      <c r="D21" s="2">
        <f t="shared" si="8"/>
        <v>86</v>
      </c>
      <c r="E21" s="12" t="s">
        <v>73</v>
      </c>
      <c r="F21" s="9" t="s">
        <v>77</v>
      </c>
      <c r="G21">
        <f t="shared" si="9"/>
        <v>0.10526315789473684</v>
      </c>
      <c r="I21">
        <v>0.15</v>
      </c>
      <c r="J21">
        <f t="shared" si="6"/>
        <v>10</v>
      </c>
    </row>
    <row r="22" spans="1:10" x14ac:dyDescent="0.25">
      <c r="A22" s="2">
        <v>26</v>
      </c>
      <c r="B22" s="2">
        <v>5</v>
      </c>
      <c r="C22" s="2">
        <f t="shared" si="10"/>
        <v>86</v>
      </c>
      <c r="D22" s="2">
        <f t="shared" si="8"/>
        <v>93</v>
      </c>
      <c r="E22" s="13" t="s">
        <v>74</v>
      </c>
      <c r="F22" s="9" t="s">
        <v>77</v>
      </c>
      <c r="G22">
        <f t="shared" si="9"/>
        <v>7.3684210526315783E-2</v>
      </c>
      <c r="I22">
        <v>0.08</v>
      </c>
      <c r="J22">
        <f t="shared" si="6"/>
        <v>7</v>
      </c>
    </row>
    <row r="23" spans="1:10" x14ac:dyDescent="0.25">
      <c r="A23" s="2">
        <v>27</v>
      </c>
      <c r="B23" s="2">
        <v>6</v>
      </c>
      <c r="C23" s="2">
        <f t="shared" si="10"/>
        <v>93</v>
      </c>
      <c r="D23" s="2">
        <f t="shared" si="8"/>
        <v>95</v>
      </c>
      <c r="E23" s="14" t="s">
        <v>75</v>
      </c>
      <c r="F23" s="9" t="s">
        <v>77</v>
      </c>
      <c r="G23">
        <f t="shared" si="9"/>
        <v>2.1052631578947368E-2</v>
      </c>
      <c r="I23">
        <v>0.05</v>
      </c>
      <c r="J23">
        <f t="shared" si="6"/>
        <v>2</v>
      </c>
    </row>
    <row r="24" spans="1:10" x14ac:dyDescent="0.25">
      <c r="A24" s="2">
        <v>31</v>
      </c>
      <c r="B24" s="2">
        <v>0</v>
      </c>
      <c r="C24" s="2">
        <v>0</v>
      </c>
      <c r="D24" s="2">
        <v>0</v>
      </c>
      <c r="E24" s="5" t="s">
        <v>68</v>
      </c>
      <c r="F24" s="9" t="s">
        <v>78</v>
      </c>
      <c r="G24">
        <f>(D24-C24)/$D$30</f>
        <v>0</v>
      </c>
      <c r="I24">
        <v>0.08</v>
      </c>
      <c r="J24">
        <f t="shared" si="6"/>
        <v>5</v>
      </c>
    </row>
    <row r="25" spans="1:10" x14ac:dyDescent="0.25">
      <c r="A25" s="2">
        <v>32</v>
      </c>
      <c r="B25" s="2">
        <v>1</v>
      </c>
      <c r="C25" s="2">
        <v>0</v>
      </c>
      <c r="D25" s="2">
        <f t="shared" ref="D25:D30" si="11">C25+J25</f>
        <v>31</v>
      </c>
      <c r="E25" s="2" t="s">
        <v>70</v>
      </c>
      <c r="F25" s="9" t="s">
        <v>78</v>
      </c>
      <c r="G25">
        <f t="shared" ref="G25:G30" si="12">(D25-C25)/$D$30</f>
        <v>0.32631578947368423</v>
      </c>
      <c r="I25">
        <v>0.08</v>
      </c>
      <c r="J25">
        <f t="shared" si="6"/>
        <v>31</v>
      </c>
    </row>
    <row r="26" spans="1:10" x14ac:dyDescent="0.25">
      <c r="A26" s="2">
        <v>33</v>
      </c>
      <c r="B26" s="2">
        <v>2</v>
      </c>
      <c r="C26" s="2">
        <f t="shared" ref="C26:C30" si="13">D25</f>
        <v>31</v>
      </c>
      <c r="D26" s="2">
        <f t="shared" si="11"/>
        <v>56</v>
      </c>
      <c r="E26" s="10" t="s">
        <v>71</v>
      </c>
      <c r="F26" s="9" t="s">
        <v>78</v>
      </c>
      <c r="G26">
        <f t="shared" si="12"/>
        <v>0.26315789473684209</v>
      </c>
      <c r="I26">
        <v>0.25</v>
      </c>
      <c r="J26">
        <f t="shared" si="6"/>
        <v>25</v>
      </c>
    </row>
    <row r="27" spans="1:10" x14ac:dyDescent="0.25">
      <c r="A27" s="2">
        <v>34</v>
      </c>
      <c r="B27" s="2">
        <v>3</v>
      </c>
      <c r="C27" s="2">
        <f t="shared" si="13"/>
        <v>56</v>
      </c>
      <c r="D27" s="2">
        <f t="shared" si="11"/>
        <v>76</v>
      </c>
      <c r="E27" s="11" t="s">
        <v>72</v>
      </c>
      <c r="F27" s="9" t="s">
        <v>78</v>
      </c>
      <c r="G27">
        <f t="shared" si="12"/>
        <v>0.21052631578947367</v>
      </c>
      <c r="I27">
        <v>0.21</v>
      </c>
      <c r="J27">
        <f t="shared" si="6"/>
        <v>20</v>
      </c>
    </row>
    <row r="28" spans="1:10" x14ac:dyDescent="0.25">
      <c r="A28" s="2">
        <v>35</v>
      </c>
      <c r="B28" s="2">
        <v>4</v>
      </c>
      <c r="C28" s="2">
        <f t="shared" si="13"/>
        <v>76</v>
      </c>
      <c r="D28" s="2">
        <f t="shared" si="11"/>
        <v>86</v>
      </c>
      <c r="E28" s="12" t="s">
        <v>73</v>
      </c>
      <c r="F28" s="9" t="s">
        <v>78</v>
      </c>
      <c r="G28">
        <f t="shared" si="12"/>
        <v>0.10526315789473684</v>
      </c>
      <c r="I28">
        <v>0.2</v>
      </c>
      <c r="J28">
        <f t="shared" si="6"/>
        <v>10</v>
      </c>
    </row>
    <row r="29" spans="1:10" x14ac:dyDescent="0.25">
      <c r="A29" s="2">
        <v>36</v>
      </c>
      <c r="B29" s="2">
        <v>5</v>
      </c>
      <c r="C29" s="2">
        <f t="shared" si="13"/>
        <v>86</v>
      </c>
      <c r="D29" s="2">
        <f t="shared" si="11"/>
        <v>93</v>
      </c>
      <c r="E29" s="13" t="s">
        <v>74</v>
      </c>
      <c r="F29" s="9" t="s">
        <v>78</v>
      </c>
      <c r="G29">
        <f t="shared" si="12"/>
        <v>7.3684210526315783E-2</v>
      </c>
      <c r="I29">
        <v>0.1</v>
      </c>
      <c r="J29">
        <f t="shared" si="6"/>
        <v>7</v>
      </c>
    </row>
    <row r="30" spans="1:10" x14ac:dyDescent="0.25">
      <c r="A30" s="2">
        <v>37</v>
      </c>
      <c r="B30" s="2">
        <v>6</v>
      </c>
      <c r="C30" s="2">
        <f t="shared" si="13"/>
        <v>93</v>
      </c>
      <c r="D30" s="2">
        <f t="shared" si="11"/>
        <v>95</v>
      </c>
      <c r="E30" s="14" t="s">
        <v>75</v>
      </c>
      <c r="F30" s="9" t="s">
        <v>78</v>
      </c>
      <c r="G30">
        <f t="shared" si="12"/>
        <v>2.1052631578947368E-2</v>
      </c>
      <c r="I30">
        <v>0.08</v>
      </c>
      <c r="J30">
        <f t="shared" si="6"/>
        <v>2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G7" sqref="G7"/>
    </sheetView>
  </sheetViews>
  <sheetFormatPr defaultColWidth="9" defaultRowHeight="14.4" x14ac:dyDescent="0.25"/>
  <cols>
    <col min="2" max="2" width="15.5546875" customWidth="1"/>
    <col min="3" max="3" width="21.6640625" customWidth="1"/>
  </cols>
  <sheetData>
    <row r="1" spans="1:3" x14ac:dyDescent="0.25">
      <c r="A1" t="s">
        <v>46</v>
      </c>
      <c r="B1" t="s">
        <v>79</v>
      </c>
      <c r="C1" t="s">
        <v>59</v>
      </c>
    </row>
    <row r="2" spans="1:3" x14ac:dyDescent="0.25">
      <c r="A2">
        <v>12001</v>
      </c>
      <c r="B2" t="s">
        <v>80</v>
      </c>
      <c r="C2">
        <f>装备附属出现概率!A5</f>
        <v>3</v>
      </c>
    </row>
    <row r="3" spans="1:3" x14ac:dyDescent="0.25">
      <c r="A3">
        <v>12002</v>
      </c>
      <c r="B3" t="s">
        <v>81</v>
      </c>
      <c r="C3">
        <f>装备附属出现概率!A6</f>
        <v>4</v>
      </c>
    </row>
    <row r="4" spans="1:3" x14ac:dyDescent="0.25">
      <c r="A4">
        <v>12003</v>
      </c>
      <c r="B4" t="s">
        <v>82</v>
      </c>
      <c r="C4">
        <f>装备附属出现概率!A7</f>
        <v>5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workbookViewId="0">
      <selection activeCell="F29" sqref="F29"/>
    </sheetView>
  </sheetViews>
  <sheetFormatPr defaultColWidth="8.88671875" defaultRowHeight="14.4" x14ac:dyDescent="0.25"/>
  <cols>
    <col min="1" max="1" width="20.5546875" customWidth="1"/>
    <col min="2" max="2" width="20.33203125" customWidth="1"/>
    <col min="3" max="3" width="26.77734375" customWidth="1"/>
  </cols>
  <sheetData>
    <row r="1" spans="1:3" ht="17.399999999999999" x14ac:dyDescent="0.25">
      <c r="A1" s="8" t="s">
        <v>52</v>
      </c>
      <c r="B1" s="8" t="s">
        <v>83</v>
      </c>
      <c r="C1" s="8" t="s">
        <v>84</v>
      </c>
    </row>
    <row r="2" spans="1:3" x14ac:dyDescent="0.25">
      <c r="A2" t="s">
        <v>85</v>
      </c>
      <c r="B2" t="s">
        <v>23</v>
      </c>
      <c r="C2" t="s">
        <v>23</v>
      </c>
    </row>
    <row r="3" spans="1:3" x14ac:dyDescent="0.25">
      <c r="A3" t="s">
        <v>86</v>
      </c>
      <c r="B3" t="s">
        <v>87</v>
      </c>
      <c r="C3" t="s">
        <v>87</v>
      </c>
    </row>
    <row r="4" spans="1:3" x14ac:dyDescent="0.25">
      <c r="A4" t="s">
        <v>88</v>
      </c>
      <c r="B4" t="s">
        <v>25</v>
      </c>
      <c r="C4" t="s">
        <v>25</v>
      </c>
    </row>
    <row r="5" spans="1:3" x14ac:dyDescent="0.25">
      <c r="A5" t="s">
        <v>89</v>
      </c>
      <c r="B5" t="s">
        <v>26</v>
      </c>
      <c r="C5" t="s">
        <v>26</v>
      </c>
    </row>
    <row r="6" spans="1:3" x14ac:dyDescent="0.25">
      <c r="A6" t="s">
        <v>90</v>
      </c>
      <c r="B6" t="s">
        <v>28</v>
      </c>
      <c r="C6" t="s">
        <v>28</v>
      </c>
    </row>
    <row r="7" spans="1:3" x14ac:dyDescent="0.25">
      <c r="A7" t="s">
        <v>91</v>
      </c>
      <c r="B7" t="s">
        <v>92</v>
      </c>
      <c r="C7" t="s">
        <v>92</v>
      </c>
    </row>
    <row r="8" spans="1:3" x14ac:dyDescent="0.25">
      <c r="A8" t="s">
        <v>93</v>
      </c>
      <c r="B8" t="s">
        <v>94</v>
      </c>
      <c r="C8" t="s">
        <v>94</v>
      </c>
    </row>
    <row r="9" spans="1:3" x14ac:dyDescent="0.25">
      <c r="A9" t="s">
        <v>95</v>
      </c>
      <c r="B9" t="s">
        <v>96</v>
      </c>
      <c r="C9" t="s">
        <v>96</v>
      </c>
    </row>
    <row r="10" spans="1:3" x14ac:dyDescent="0.25">
      <c r="A10" t="s">
        <v>97</v>
      </c>
      <c r="B10" t="s">
        <v>98</v>
      </c>
      <c r="C10" t="s">
        <v>98</v>
      </c>
    </row>
    <row r="11" spans="1:3" x14ac:dyDescent="0.25">
      <c r="A11" t="s">
        <v>99</v>
      </c>
      <c r="B11" t="s">
        <v>100</v>
      </c>
      <c r="C11" t="s">
        <v>100</v>
      </c>
    </row>
    <row r="12" spans="1:3" x14ac:dyDescent="0.25">
      <c r="A12" t="s">
        <v>101</v>
      </c>
      <c r="B12" t="s">
        <v>102</v>
      </c>
      <c r="C12" t="s">
        <v>102</v>
      </c>
    </row>
    <row r="13" spans="1:3" x14ac:dyDescent="0.25">
      <c r="A13" t="s">
        <v>103</v>
      </c>
      <c r="B13" t="s">
        <v>104</v>
      </c>
      <c r="C13" t="s">
        <v>104</v>
      </c>
    </row>
    <row r="14" spans="1:3" x14ac:dyDescent="0.25">
      <c r="A14" t="s">
        <v>105</v>
      </c>
      <c r="B14" t="s">
        <v>31</v>
      </c>
      <c r="C14" t="s">
        <v>31</v>
      </c>
    </row>
    <row r="15" spans="1:3" x14ac:dyDescent="0.25">
      <c r="A15" t="s">
        <v>106</v>
      </c>
      <c r="B15" t="s">
        <v>107</v>
      </c>
      <c r="C15" t="s">
        <v>107</v>
      </c>
    </row>
    <row r="16" spans="1:3" x14ac:dyDescent="0.25">
      <c r="A16" t="s">
        <v>108</v>
      </c>
      <c r="B16" t="s">
        <v>32</v>
      </c>
      <c r="C16" t="s">
        <v>32</v>
      </c>
    </row>
    <row r="17" spans="1:3" x14ac:dyDescent="0.25">
      <c r="A17" t="s">
        <v>109</v>
      </c>
      <c r="B17" t="s">
        <v>110</v>
      </c>
      <c r="C17" t="s">
        <v>110</v>
      </c>
    </row>
    <row r="18" spans="1:3" x14ac:dyDescent="0.25">
      <c r="A18" t="s">
        <v>111</v>
      </c>
      <c r="B18" t="s">
        <v>112</v>
      </c>
      <c r="C18" t="s">
        <v>112</v>
      </c>
    </row>
    <row r="19" spans="1:3" x14ac:dyDescent="0.25">
      <c r="A19" t="s">
        <v>113</v>
      </c>
      <c r="B19" t="s">
        <v>114</v>
      </c>
      <c r="C19" t="s">
        <v>114</v>
      </c>
    </row>
    <row r="20" spans="1:3" x14ac:dyDescent="0.25">
      <c r="A20" t="s">
        <v>115</v>
      </c>
      <c r="B20" t="s">
        <v>116</v>
      </c>
      <c r="C20" t="s">
        <v>116</v>
      </c>
    </row>
    <row r="21" spans="1:3" x14ac:dyDescent="0.25">
      <c r="A21" t="s">
        <v>117</v>
      </c>
      <c r="B21" t="s">
        <v>118</v>
      </c>
      <c r="C21" t="s">
        <v>118</v>
      </c>
    </row>
    <row r="22" spans="1:3" x14ac:dyDescent="0.25">
      <c r="A22" t="s">
        <v>119</v>
      </c>
      <c r="B22" t="s">
        <v>35</v>
      </c>
      <c r="C22" t="s">
        <v>35</v>
      </c>
    </row>
    <row r="23" spans="1:3" x14ac:dyDescent="0.25">
      <c r="A23" t="s">
        <v>120</v>
      </c>
      <c r="B23" t="s">
        <v>121</v>
      </c>
      <c r="C23" t="s">
        <v>121</v>
      </c>
    </row>
    <row r="24" spans="1:3" x14ac:dyDescent="0.25">
      <c r="A24" t="s">
        <v>122</v>
      </c>
      <c r="B24" t="s">
        <v>123</v>
      </c>
      <c r="C24" t="s">
        <v>123</v>
      </c>
    </row>
    <row r="25" spans="1:3" x14ac:dyDescent="0.25">
      <c r="A25" t="s">
        <v>124</v>
      </c>
      <c r="B25" t="s">
        <v>125</v>
      </c>
      <c r="C25" t="s">
        <v>125</v>
      </c>
    </row>
    <row r="26" spans="1:3" x14ac:dyDescent="0.25">
      <c r="A26" t="s">
        <v>126</v>
      </c>
      <c r="B26" t="s">
        <v>127</v>
      </c>
      <c r="C26" t="s">
        <v>127</v>
      </c>
    </row>
    <row r="27" spans="1:3" x14ac:dyDescent="0.25">
      <c r="A27" t="s">
        <v>128</v>
      </c>
      <c r="B27" t="s">
        <v>35</v>
      </c>
      <c r="C27" t="s">
        <v>35</v>
      </c>
    </row>
    <row r="28" spans="1:3" x14ac:dyDescent="0.25">
      <c r="A28" t="s">
        <v>129</v>
      </c>
      <c r="B28" t="s">
        <v>121</v>
      </c>
      <c r="C28" t="s">
        <v>121</v>
      </c>
    </row>
    <row r="29" spans="1:3" x14ac:dyDescent="0.25">
      <c r="A29" t="s">
        <v>130</v>
      </c>
      <c r="B29" t="s">
        <v>131</v>
      </c>
      <c r="C29" t="s">
        <v>131</v>
      </c>
    </row>
    <row r="30" spans="1:3" x14ac:dyDescent="0.25">
      <c r="A30" t="s">
        <v>132</v>
      </c>
      <c r="B30" t="s">
        <v>133</v>
      </c>
      <c r="C30" t="s">
        <v>134</v>
      </c>
    </row>
    <row r="31" spans="1:3" x14ac:dyDescent="0.25">
      <c r="A31" t="s">
        <v>135</v>
      </c>
      <c r="B31" t="s">
        <v>136</v>
      </c>
      <c r="C31" t="s">
        <v>136</v>
      </c>
    </row>
    <row r="32" spans="1:3" x14ac:dyDescent="0.25">
      <c r="A32" t="s">
        <v>137</v>
      </c>
      <c r="B32" t="s">
        <v>138</v>
      </c>
      <c r="C32" t="s">
        <v>138</v>
      </c>
    </row>
    <row r="33" spans="1:3" x14ac:dyDescent="0.25">
      <c r="A33" t="s">
        <v>139</v>
      </c>
      <c r="B33" t="s">
        <v>140</v>
      </c>
      <c r="C33" t="s">
        <v>140</v>
      </c>
    </row>
    <row r="34" spans="1:3" x14ac:dyDescent="0.25">
      <c r="A34" t="s">
        <v>141</v>
      </c>
      <c r="B34" t="s">
        <v>142</v>
      </c>
      <c r="C34" t="s">
        <v>142</v>
      </c>
    </row>
    <row r="35" spans="1:3" x14ac:dyDescent="0.25">
      <c r="A35" t="s">
        <v>143</v>
      </c>
      <c r="B35" t="s">
        <v>144</v>
      </c>
      <c r="C35" t="s">
        <v>144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4"/>
  <sheetViews>
    <sheetView tabSelected="1" zoomScale="115" zoomScaleNormal="115" workbookViewId="0">
      <selection activeCell="L15" sqref="L15"/>
    </sheetView>
  </sheetViews>
  <sheetFormatPr defaultColWidth="9" defaultRowHeight="14.4" x14ac:dyDescent="0.25"/>
  <cols>
    <col min="1" max="12" width="10.6640625" customWidth="1"/>
    <col min="13" max="26" width="15.21875" customWidth="1"/>
    <col min="27" max="40" width="10.6640625" customWidth="1"/>
  </cols>
  <sheetData>
    <row r="1" spans="1:40" x14ac:dyDescent="0.25">
      <c r="A1" t="s">
        <v>49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s="4" t="s">
        <v>167</v>
      </c>
      <c r="Z1" s="4" t="s">
        <v>168</v>
      </c>
      <c r="AA1" s="4" t="s">
        <v>169</v>
      </c>
      <c r="AB1" s="4" t="s">
        <v>170</v>
      </c>
      <c r="AC1" s="4" t="s">
        <v>171</v>
      </c>
      <c r="AD1" s="4" t="s">
        <v>172</v>
      </c>
      <c r="AE1" s="4" t="s">
        <v>173</v>
      </c>
      <c r="AF1" s="4" t="s">
        <v>174</v>
      </c>
      <c r="AG1" s="4" t="s">
        <v>175</v>
      </c>
      <c r="AH1" s="4" t="s">
        <v>176</v>
      </c>
      <c r="AI1" s="4" t="s">
        <v>177</v>
      </c>
      <c r="AJ1" s="4" t="s">
        <v>178</v>
      </c>
      <c r="AK1" s="4" t="s">
        <v>179</v>
      </c>
      <c r="AL1" s="4" t="s">
        <v>180</v>
      </c>
      <c r="AM1" s="4" t="s">
        <v>181</v>
      </c>
      <c r="AN1" s="4" t="s">
        <v>182</v>
      </c>
    </row>
    <row r="2" spans="1:40" x14ac:dyDescent="0.25">
      <c r="A2" t="s">
        <v>183</v>
      </c>
      <c r="C2" t="s">
        <v>183</v>
      </c>
      <c r="D2" t="s">
        <v>183</v>
      </c>
      <c r="E2" t="s">
        <v>183</v>
      </c>
      <c r="F2" t="s">
        <v>183</v>
      </c>
      <c r="G2" t="s">
        <v>183</v>
      </c>
      <c r="H2" t="s">
        <v>183</v>
      </c>
      <c r="I2" t="s">
        <v>183</v>
      </c>
      <c r="J2" t="s">
        <v>183</v>
      </c>
      <c r="K2" t="s">
        <v>183</v>
      </c>
      <c r="L2" t="s">
        <v>183</v>
      </c>
      <c r="M2" t="s">
        <v>183</v>
      </c>
      <c r="N2" t="s">
        <v>183</v>
      </c>
      <c r="O2" t="s">
        <v>184</v>
      </c>
      <c r="P2" t="s">
        <v>184</v>
      </c>
      <c r="Q2" t="s">
        <v>184</v>
      </c>
      <c r="R2" t="s">
        <v>184</v>
      </c>
      <c r="S2" t="s">
        <v>184</v>
      </c>
      <c r="T2" t="s">
        <v>184</v>
      </c>
      <c r="U2" t="s">
        <v>185</v>
      </c>
      <c r="V2" t="s">
        <v>185</v>
      </c>
      <c r="W2" t="s">
        <v>184</v>
      </c>
      <c r="X2" t="s">
        <v>184</v>
      </c>
      <c r="Y2" s="4" t="s">
        <v>183</v>
      </c>
      <c r="Z2" s="4" t="s">
        <v>183</v>
      </c>
      <c r="AA2" s="4" t="s">
        <v>183</v>
      </c>
      <c r="AB2" s="4" t="s">
        <v>183</v>
      </c>
      <c r="AC2" s="4" t="s">
        <v>183</v>
      </c>
      <c r="AD2" s="4" t="s">
        <v>183</v>
      </c>
      <c r="AE2" s="4" t="s">
        <v>183</v>
      </c>
      <c r="AF2" s="4" t="s">
        <v>183</v>
      </c>
      <c r="AG2" s="4" t="s">
        <v>183</v>
      </c>
      <c r="AH2" s="4" t="s">
        <v>183</v>
      </c>
      <c r="AI2" s="4" t="s">
        <v>183</v>
      </c>
      <c r="AJ2" s="4" t="s">
        <v>183</v>
      </c>
      <c r="AK2" s="4" t="s">
        <v>183</v>
      </c>
      <c r="AL2" s="4" t="s">
        <v>183</v>
      </c>
      <c r="AM2" s="4" t="s">
        <v>183</v>
      </c>
      <c r="AN2" s="4" t="s">
        <v>183</v>
      </c>
    </row>
    <row r="3" spans="1:40" x14ac:dyDescent="0.25">
      <c r="A3" t="s">
        <v>11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  <c r="Q3" t="s">
        <v>200</v>
      </c>
      <c r="R3" t="s">
        <v>201</v>
      </c>
      <c r="S3" t="s">
        <v>202</v>
      </c>
      <c r="T3" t="s">
        <v>203</v>
      </c>
      <c r="U3" t="s">
        <v>204</v>
      </c>
      <c r="V3" t="s">
        <v>205</v>
      </c>
      <c r="W3" t="s">
        <v>206</v>
      </c>
      <c r="X3" t="s">
        <v>207</v>
      </c>
      <c r="Y3" s="4" t="s">
        <v>208</v>
      </c>
      <c r="Z3" s="4" t="s">
        <v>209</v>
      </c>
      <c r="AA3" s="4" t="s">
        <v>210</v>
      </c>
      <c r="AB3" s="4" t="s">
        <v>211</v>
      </c>
      <c r="AC3" s="4" t="s">
        <v>212</v>
      </c>
      <c r="AD3" s="4" t="s">
        <v>213</v>
      </c>
      <c r="AE3" s="4" t="s">
        <v>214</v>
      </c>
      <c r="AF3" s="4" t="s">
        <v>215</v>
      </c>
      <c r="AG3" s="4" t="s">
        <v>216</v>
      </c>
      <c r="AH3" s="4" t="s">
        <v>217</v>
      </c>
      <c r="AI3" s="4" t="s">
        <v>218</v>
      </c>
      <c r="AJ3" s="4" t="s">
        <v>219</v>
      </c>
      <c r="AK3" s="4" t="s">
        <v>220</v>
      </c>
      <c r="AL3" s="4" t="s">
        <v>221</v>
      </c>
      <c r="AM3" s="4" t="s">
        <v>222</v>
      </c>
      <c r="AN3" s="4" t="s">
        <v>223</v>
      </c>
    </row>
    <row r="4" spans="1:40" x14ac:dyDescent="0.25">
      <c r="A4" s="1">
        <v>1</v>
      </c>
      <c r="B4" s="1" t="str">
        <f>A4&amp;"7"</f>
        <v>17</v>
      </c>
      <c r="C4" s="2">
        <v>1</v>
      </c>
      <c r="D4" s="2">
        <v>2</v>
      </c>
      <c r="E4" s="2">
        <v>1</v>
      </c>
      <c r="F4" s="2">
        <v>2</v>
      </c>
      <c r="G4" s="2">
        <v>1</v>
      </c>
      <c r="H4" s="2">
        <v>1</v>
      </c>
      <c r="I4" s="2">
        <v>1</v>
      </c>
      <c r="J4" s="2">
        <v>1</v>
      </c>
      <c r="K4" s="2">
        <v>13</v>
      </c>
      <c r="L4" s="2">
        <v>26</v>
      </c>
      <c r="M4" s="2">
        <v>2</v>
      </c>
      <c r="N4" s="2">
        <v>3</v>
      </c>
      <c r="O4" s="2">
        <v>105</v>
      </c>
      <c r="P4" s="2">
        <v>135</v>
      </c>
      <c r="Q4" s="2">
        <v>102</v>
      </c>
      <c r="R4" s="2">
        <v>119</v>
      </c>
      <c r="S4" s="2">
        <v>125</v>
      </c>
      <c r="T4" s="2">
        <v>250</v>
      </c>
      <c r="U4" s="2">
        <v>105</v>
      </c>
      <c r="V4" s="2">
        <v>210</v>
      </c>
      <c r="W4" s="2">
        <v>100</v>
      </c>
      <c r="X4" s="2">
        <v>200</v>
      </c>
      <c r="Y4" s="5"/>
      <c r="Z4" s="5"/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5"/>
      <c r="AL4" s="5"/>
      <c r="AM4" s="5"/>
      <c r="AN4" s="5"/>
    </row>
    <row r="5" spans="1:40" x14ac:dyDescent="0.25">
      <c r="A5" s="1">
        <v>2</v>
      </c>
      <c r="B5" s="1" t="str">
        <f t="shared" ref="B5:B14" si="0">A5&amp;"7"</f>
        <v>27</v>
      </c>
      <c r="C5" s="2">
        <v>2</v>
      </c>
      <c r="D5" s="2">
        <v>3</v>
      </c>
      <c r="E5" s="2">
        <v>2</v>
      </c>
      <c r="F5" s="2">
        <v>3</v>
      </c>
      <c r="G5" s="2">
        <v>1</v>
      </c>
      <c r="H5" s="2">
        <v>2</v>
      </c>
      <c r="I5" s="2">
        <v>1</v>
      </c>
      <c r="J5" s="2">
        <v>2</v>
      </c>
      <c r="K5" s="2">
        <v>13</v>
      </c>
      <c r="L5" s="2">
        <v>26</v>
      </c>
      <c r="M5" s="2">
        <v>3</v>
      </c>
      <c r="N5" s="2">
        <v>6</v>
      </c>
      <c r="O5" s="2">
        <v>105</v>
      </c>
      <c r="P5" s="2">
        <v>135</v>
      </c>
      <c r="Q5" s="2">
        <v>102</v>
      </c>
      <c r="R5" s="2">
        <v>119</v>
      </c>
      <c r="S5" s="2">
        <v>125</v>
      </c>
      <c r="T5" s="2">
        <v>250</v>
      </c>
      <c r="U5" s="2">
        <v>105</v>
      </c>
      <c r="V5" s="2">
        <v>210</v>
      </c>
      <c r="W5" s="2">
        <v>100</v>
      </c>
      <c r="X5" s="2">
        <v>200</v>
      </c>
      <c r="Y5" s="5"/>
      <c r="Z5" s="5"/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5"/>
      <c r="AL5" s="5"/>
      <c r="AM5" s="5"/>
      <c r="AN5" s="5"/>
    </row>
    <row r="6" spans="1:40" x14ac:dyDescent="0.25">
      <c r="A6" s="1">
        <v>3</v>
      </c>
      <c r="B6" s="1" t="str">
        <f t="shared" si="0"/>
        <v>37</v>
      </c>
      <c r="C6" s="2">
        <v>3</v>
      </c>
      <c r="D6" s="2">
        <v>4</v>
      </c>
      <c r="E6" s="2">
        <v>3</v>
      </c>
      <c r="F6" s="2">
        <v>4</v>
      </c>
      <c r="G6" s="2">
        <v>2</v>
      </c>
      <c r="H6" s="2">
        <v>3</v>
      </c>
      <c r="I6" s="2">
        <v>2</v>
      </c>
      <c r="J6" s="2">
        <v>3</v>
      </c>
      <c r="K6" s="2">
        <v>19</v>
      </c>
      <c r="L6" s="2">
        <v>39</v>
      </c>
      <c r="M6" s="2">
        <v>5</v>
      </c>
      <c r="N6" s="2">
        <v>9</v>
      </c>
      <c r="O6" s="2">
        <v>105</v>
      </c>
      <c r="P6" s="2">
        <v>135</v>
      </c>
      <c r="Q6" s="2">
        <v>102</v>
      </c>
      <c r="R6" s="2">
        <v>119</v>
      </c>
      <c r="S6" s="2">
        <v>125</v>
      </c>
      <c r="T6" s="2">
        <v>250</v>
      </c>
      <c r="U6" s="2">
        <v>105</v>
      </c>
      <c r="V6" s="2">
        <v>210</v>
      </c>
      <c r="W6" s="2">
        <v>100</v>
      </c>
      <c r="X6" s="2">
        <v>200</v>
      </c>
      <c r="Y6" s="5"/>
      <c r="Z6" s="5"/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5"/>
      <c r="AL6" s="5"/>
      <c r="AM6" s="5"/>
      <c r="AN6" s="5"/>
    </row>
    <row r="7" spans="1:40" x14ac:dyDescent="0.25">
      <c r="A7" s="1">
        <v>4</v>
      </c>
      <c r="B7" s="1" t="str">
        <f t="shared" si="0"/>
        <v>47</v>
      </c>
      <c r="C7" s="2">
        <v>4</v>
      </c>
      <c r="D7" s="2">
        <v>5</v>
      </c>
      <c r="E7" s="2">
        <v>4</v>
      </c>
      <c r="F7" s="2">
        <v>5</v>
      </c>
      <c r="G7" s="2">
        <v>3</v>
      </c>
      <c r="H7" s="2">
        <v>4</v>
      </c>
      <c r="I7" s="2">
        <v>3</v>
      </c>
      <c r="J7" s="2">
        <v>4</v>
      </c>
      <c r="K7" s="2">
        <v>59</v>
      </c>
      <c r="L7" s="2">
        <v>66</v>
      </c>
      <c r="M7" s="2">
        <v>9</v>
      </c>
      <c r="N7" s="2">
        <v>15</v>
      </c>
      <c r="O7" s="2">
        <v>105</v>
      </c>
      <c r="P7" s="2">
        <v>135</v>
      </c>
      <c r="Q7" s="2">
        <v>102</v>
      </c>
      <c r="R7" s="2">
        <v>119</v>
      </c>
      <c r="S7" s="2">
        <v>125</v>
      </c>
      <c r="T7" s="2">
        <v>250</v>
      </c>
      <c r="U7" s="2">
        <v>105</v>
      </c>
      <c r="V7" s="2">
        <v>210</v>
      </c>
      <c r="W7" s="2">
        <v>100</v>
      </c>
      <c r="X7" s="2">
        <v>200</v>
      </c>
      <c r="Y7" s="5"/>
      <c r="Z7" s="5"/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5"/>
      <c r="AL7" s="5"/>
      <c r="AM7" s="5"/>
      <c r="AN7" s="5"/>
    </row>
    <row r="8" spans="1:40" x14ac:dyDescent="0.25">
      <c r="A8" s="1">
        <v>5</v>
      </c>
      <c r="B8" s="1" t="str">
        <f t="shared" si="0"/>
        <v>57</v>
      </c>
      <c r="C8" s="2">
        <v>6</v>
      </c>
      <c r="D8" s="2">
        <v>9</v>
      </c>
      <c r="E8" s="2">
        <v>6</v>
      </c>
      <c r="F8" s="2">
        <v>9</v>
      </c>
      <c r="G8" s="2">
        <v>4</v>
      </c>
      <c r="H8" s="2">
        <v>5</v>
      </c>
      <c r="I8" s="2">
        <v>4</v>
      </c>
      <c r="J8" s="2">
        <v>5</v>
      </c>
      <c r="K8" s="2">
        <v>95</v>
      </c>
      <c r="L8" s="2">
        <v>105</v>
      </c>
      <c r="M8" s="2">
        <v>15</v>
      </c>
      <c r="N8" s="2">
        <v>24</v>
      </c>
      <c r="O8" s="2">
        <v>112.00000000000001</v>
      </c>
      <c r="P8" s="2">
        <v>144</v>
      </c>
      <c r="Q8" s="2">
        <v>102</v>
      </c>
      <c r="R8" s="2">
        <v>119</v>
      </c>
      <c r="S8" s="2">
        <v>125</v>
      </c>
      <c r="T8" s="2">
        <v>250</v>
      </c>
      <c r="U8" s="2">
        <v>105</v>
      </c>
      <c r="V8" s="2">
        <v>210</v>
      </c>
      <c r="W8" s="2">
        <v>100</v>
      </c>
      <c r="X8" s="2">
        <v>200</v>
      </c>
      <c r="Y8" s="5"/>
      <c r="Z8" s="5"/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5"/>
      <c r="AL8" s="5"/>
      <c r="AM8" s="5"/>
      <c r="AN8" s="5"/>
    </row>
    <row r="9" spans="1:40" x14ac:dyDescent="0.25">
      <c r="A9" s="1">
        <v>6</v>
      </c>
      <c r="B9" s="1" t="str">
        <f t="shared" si="0"/>
        <v>67</v>
      </c>
      <c r="C9" s="2">
        <v>9</v>
      </c>
      <c r="D9" s="2">
        <v>14</v>
      </c>
      <c r="E9" s="2">
        <v>9</v>
      </c>
      <c r="F9" s="2">
        <v>14</v>
      </c>
      <c r="G9" s="2">
        <v>5</v>
      </c>
      <c r="H9" s="2">
        <v>8</v>
      </c>
      <c r="I9" s="2">
        <v>5</v>
      </c>
      <c r="J9" s="2">
        <v>8</v>
      </c>
      <c r="K9" s="2">
        <v>154</v>
      </c>
      <c r="L9" s="2">
        <v>171</v>
      </c>
      <c r="M9" s="2">
        <v>24</v>
      </c>
      <c r="N9" s="2">
        <v>39</v>
      </c>
      <c r="O9" s="2">
        <v>119</v>
      </c>
      <c r="P9" s="2">
        <v>153</v>
      </c>
      <c r="Q9" s="2">
        <v>102</v>
      </c>
      <c r="R9" s="2">
        <v>119</v>
      </c>
      <c r="S9" s="2">
        <v>125</v>
      </c>
      <c r="T9" s="2">
        <v>250</v>
      </c>
      <c r="U9" s="2">
        <v>105</v>
      </c>
      <c r="V9" s="2">
        <v>210</v>
      </c>
      <c r="W9" s="2">
        <v>100</v>
      </c>
      <c r="X9" s="2">
        <v>200</v>
      </c>
      <c r="Y9" s="5"/>
      <c r="Z9" s="5"/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5"/>
      <c r="AL9" s="5"/>
      <c r="AM9" s="5"/>
      <c r="AN9" s="5"/>
    </row>
    <row r="10" spans="1:40" x14ac:dyDescent="0.25">
      <c r="A10" s="1">
        <v>7</v>
      </c>
      <c r="B10" s="1" t="str">
        <f t="shared" si="0"/>
        <v>77</v>
      </c>
      <c r="C10" s="2">
        <v>11</v>
      </c>
      <c r="D10" s="2">
        <v>23</v>
      </c>
      <c r="E10" s="2">
        <v>11</v>
      </c>
      <c r="F10" s="2">
        <v>23</v>
      </c>
      <c r="G10" s="2">
        <v>12</v>
      </c>
      <c r="H10" s="2">
        <v>14</v>
      </c>
      <c r="I10" s="2">
        <v>12</v>
      </c>
      <c r="J10" s="2">
        <v>14</v>
      </c>
      <c r="K10" s="2">
        <v>249</v>
      </c>
      <c r="L10" s="2">
        <v>277</v>
      </c>
      <c r="M10" s="2">
        <v>39</v>
      </c>
      <c r="N10" s="2">
        <v>63</v>
      </c>
      <c r="O10" s="2">
        <v>126</v>
      </c>
      <c r="P10" s="2">
        <v>162</v>
      </c>
      <c r="Q10" s="2">
        <v>102</v>
      </c>
      <c r="R10" s="2">
        <v>119</v>
      </c>
      <c r="S10" s="2">
        <v>125</v>
      </c>
      <c r="T10" s="2">
        <v>250</v>
      </c>
      <c r="U10" s="2">
        <v>105</v>
      </c>
      <c r="V10" s="2">
        <v>210</v>
      </c>
      <c r="W10" s="2">
        <v>100</v>
      </c>
      <c r="X10" s="2">
        <v>200</v>
      </c>
      <c r="Y10" s="5"/>
      <c r="Z10" s="5"/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5"/>
      <c r="AL10" s="5"/>
      <c r="AM10" s="5"/>
      <c r="AN10" s="5"/>
    </row>
    <row r="11" spans="1:40" x14ac:dyDescent="0.25">
      <c r="A11" s="1">
        <v>8</v>
      </c>
      <c r="B11" s="1" t="str">
        <f t="shared" si="0"/>
        <v>87</v>
      </c>
      <c r="C11" s="2">
        <v>23</v>
      </c>
      <c r="D11" s="2">
        <v>37</v>
      </c>
      <c r="E11" s="2">
        <v>23</v>
      </c>
      <c r="F11" s="2">
        <v>37</v>
      </c>
      <c r="G11" s="2">
        <v>14</v>
      </c>
      <c r="H11" s="2">
        <v>22</v>
      </c>
      <c r="I11" s="2">
        <v>14</v>
      </c>
      <c r="J11" s="2">
        <v>22</v>
      </c>
      <c r="K11" s="2">
        <v>403</v>
      </c>
      <c r="L11" s="2">
        <v>448</v>
      </c>
      <c r="M11" s="2">
        <v>63</v>
      </c>
      <c r="N11" s="2">
        <v>102</v>
      </c>
      <c r="O11" s="2">
        <v>126</v>
      </c>
      <c r="P11" s="2">
        <v>162</v>
      </c>
      <c r="Q11" s="2">
        <v>102</v>
      </c>
      <c r="R11" s="2">
        <v>119</v>
      </c>
      <c r="S11" s="2">
        <v>125</v>
      </c>
      <c r="T11" s="2">
        <v>250</v>
      </c>
      <c r="U11" s="2">
        <v>105</v>
      </c>
      <c r="V11" s="2">
        <v>210</v>
      </c>
      <c r="W11" s="2">
        <v>100</v>
      </c>
      <c r="X11" s="2">
        <v>200</v>
      </c>
      <c r="Y11" s="5"/>
      <c r="Z11" s="5"/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5"/>
      <c r="AL11" s="5"/>
      <c r="AM11" s="5"/>
      <c r="AN11" s="5"/>
    </row>
    <row r="12" spans="1:40" x14ac:dyDescent="0.25">
      <c r="A12" s="1">
        <v>9</v>
      </c>
      <c r="B12" s="1" t="str">
        <f t="shared" si="0"/>
        <v>97</v>
      </c>
      <c r="C12" s="2">
        <v>37</v>
      </c>
      <c r="D12" s="2">
        <v>60</v>
      </c>
      <c r="E12" s="2">
        <v>37</v>
      </c>
      <c r="F12" s="2">
        <v>60</v>
      </c>
      <c r="G12" s="2">
        <v>22</v>
      </c>
      <c r="H12" s="2">
        <v>36</v>
      </c>
      <c r="I12" s="2">
        <v>22</v>
      </c>
      <c r="J12" s="2">
        <v>36</v>
      </c>
      <c r="K12" s="2">
        <v>653</v>
      </c>
      <c r="L12" s="2">
        <v>726</v>
      </c>
      <c r="M12" s="2">
        <v>102</v>
      </c>
      <c r="N12" s="2">
        <v>165</v>
      </c>
      <c r="O12" s="2">
        <v>126</v>
      </c>
      <c r="P12" s="2">
        <v>162</v>
      </c>
      <c r="Q12" s="2">
        <v>102</v>
      </c>
      <c r="R12" s="2">
        <v>119</v>
      </c>
      <c r="S12" s="2">
        <v>125</v>
      </c>
      <c r="T12" s="2">
        <v>250</v>
      </c>
      <c r="U12" s="2">
        <v>105</v>
      </c>
      <c r="V12" s="2">
        <v>210</v>
      </c>
      <c r="W12" s="2">
        <v>113.00000000000001</v>
      </c>
      <c r="X12" s="2">
        <v>225</v>
      </c>
      <c r="Y12" s="5"/>
      <c r="Z12" s="5"/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5"/>
      <c r="AL12" s="5"/>
      <c r="AM12" s="5"/>
      <c r="AN12" s="5"/>
    </row>
    <row r="13" spans="1:40" x14ac:dyDescent="0.25">
      <c r="A13" s="1">
        <v>10</v>
      </c>
      <c r="B13" s="1" t="str">
        <f t="shared" si="0"/>
        <v>107</v>
      </c>
      <c r="C13" s="2">
        <v>60</v>
      </c>
      <c r="D13" s="2">
        <v>98</v>
      </c>
      <c r="E13" s="2">
        <v>60</v>
      </c>
      <c r="F13" s="2">
        <v>98</v>
      </c>
      <c r="G13" s="2">
        <v>36</v>
      </c>
      <c r="H13" s="2">
        <v>58</v>
      </c>
      <c r="I13" s="2">
        <v>36</v>
      </c>
      <c r="J13" s="2">
        <v>58</v>
      </c>
      <c r="K13" s="2">
        <v>1057</v>
      </c>
      <c r="L13" s="2">
        <v>1174</v>
      </c>
      <c r="M13" s="2">
        <v>165</v>
      </c>
      <c r="N13" s="2">
        <v>267</v>
      </c>
      <c r="O13" s="2">
        <v>126</v>
      </c>
      <c r="P13" s="2">
        <v>162</v>
      </c>
      <c r="Q13" s="2">
        <v>120</v>
      </c>
      <c r="R13" s="2">
        <v>140</v>
      </c>
      <c r="S13" s="2">
        <v>125</v>
      </c>
      <c r="T13" s="2">
        <v>250</v>
      </c>
      <c r="U13" s="2">
        <v>120</v>
      </c>
      <c r="V13" s="2">
        <v>240</v>
      </c>
      <c r="W13" s="2">
        <v>125</v>
      </c>
      <c r="X13" s="2">
        <v>250</v>
      </c>
      <c r="Y13" s="5"/>
      <c r="Z13" s="5"/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5"/>
      <c r="AL13" s="5"/>
      <c r="AM13" s="5"/>
      <c r="AN13" s="5"/>
    </row>
    <row r="14" spans="1:40" x14ac:dyDescent="0.25">
      <c r="A14" s="1">
        <v>11</v>
      </c>
      <c r="B14" s="1" t="str">
        <f t="shared" si="0"/>
        <v>117</v>
      </c>
      <c r="C14" s="2">
        <v>60</v>
      </c>
      <c r="D14" s="2">
        <v>98</v>
      </c>
      <c r="E14" s="3">
        <v>60</v>
      </c>
      <c r="F14" s="3">
        <v>98</v>
      </c>
      <c r="G14" s="3">
        <v>36</v>
      </c>
      <c r="H14" s="3">
        <v>58</v>
      </c>
      <c r="I14" s="3">
        <v>36</v>
      </c>
      <c r="J14" s="3">
        <v>58</v>
      </c>
      <c r="K14" s="2">
        <v>1057</v>
      </c>
      <c r="L14" s="2">
        <v>1174</v>
      </c>
      <c r="M14" s="2">
        <v>165</v>
      </c>
      <c r="N14" s="2">
        <v>267</v>
      </c>
      <c r="O14" s="2">
        <v>126</v>
      </c>
      <c r="P14" s="2">
        <v>162</v>
      </c>
      <c r="Q14" s="2">
        <v>120</v>
      </c>
      <c r="R14" s="2">
        <v>140</v>
      </c>
      <c r="S14" s="2">
        <v>125</v>
      </c>
      <c r="T14" s="2">
        <v>250</v>
      </c>
      <c r="U14" s="3">
        <v>120</v>
      </c>
      <c r="V14" s="3">
        <v>240</v>
      </c>
      <c r="W14" s="3">
        <v>125</v>
      </c>
      <c r="X14" s="3">
        <v>250</v>
      </c>
      <c r="Y14" s="5"/>
      <c r="Z14" s="5"/>
      <c r="AA14" s="6">
        <f t="shared" ref="AA14:AN14" si="1">AA13</f>
        <v>0</v>
      </c>
      <c r="AB14" s="6">
        <f t="shared" si="1"/>
        <v>0</v>
      </c>
      <c r="AC14" s="6">
        <f t="shared" si="1"/>
        <v>0</v>
      </c>
      <c r="AD14" s="6">
        <f t="shared" si="1"/>
        <v>0</v>
      </c>
      <c r="AE14" s="6">
        <f t="shared" si="1"/>
        <v>0</v>
      </c>
      <c r="AF14" s="6">
        <f t="shared" si="1"/>
        <v>0</v>
      </c>
      <c r="AG14" s="6">
        <f t="shared" si="1"/>
        <v>0</v>
      </c>
      <c r="AH14" s="6">
        <f t="shared" si="1"/>
        <v>0</v>
      </c>
      <c r="AI14" s="6">
        <f t="shared" si="1"/>
        <v>0</v>
      </c>
      <c r="AJ14" s="6">
        <f t="shared" si="1"/>
        <v>0</v>
      </c>
      <c r="AK14" s="7">
        <f t="shared" si="1"/>
        <v>0</v>
      </c>
      <c r="AL14" s="7">
        <f t="shared" si="1"/>
        <v>0</v>
      </c>
      <c r="AM14" s="7">
        <f t="shared" si="1"/>
        <v>0</v>
      </c>
      <c r="AN14" s="7">
        <f t="shared" si="1"/>
        <v>0</v>
      </c>
    </row>
  </sheetData>
  <phoneticPr fontId="6" type="noConversion"/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2717-0509-4397-94DA-C5DE08B03E9C}">
  <dimension ref="A1:C9"/>
  <sheetViews>
    <sheetView workbookViewId="0">
      <selection activeCell="F14" sqref="A14:F14"/>
    </sheetView>
  </sheetViews>
  <sheetFormatPr defaultRowHeight="14.4" x14ac:dyDescent="0.25"/>
  <cols>
    <col min="3" max="3" width="18.77734375" customWidth="1"/>
  </cols>
  <sheetData>
    <row r="1" spans="1:3" x14ac:dyDescent="0.25">
      <c r="A1" s="28" t="s">
        <v>224</v>
      </c>
      <c r="B1" s="28" t="s">
        <v>225</v>
      </c>
      <c r="C1" s="28" t="s">
        <v>226</v>
      </c>
    </row>
    <row r="2" spans="1:3" x14ac:dyDescent="0.25">
      <c r="A2" s="28" t="s">
        <v>227</v>
      </c>
      <c r="B2" s="28" t="s">
        <v>228</v>
      </c>
      <c r="C2" s="28" t="s">
        <v>229</v>
      </c>
    </row>
    <row r="3" spans="1:3" x14ac:dyDescent="0.25">
      <c r="A3" s="2">
        <v>1</v>
      </c>
      <c r="B3" s="5" t="s">
        <v>68</v>
      </c>
      <c r="C3" s="2">
        <v>0.7</v>
      </c>
    </row>
    <row r="4" spans="1:3" x14ac:dyDescent="0.25">
      <c r="A4" s="2">
        <v>2</v>
      </c>
      <c r="B4" s="2" t="s">
        <v>70</v>
      </c>
      <c r="C4" s="2">
        <v>0.75</v>
      </c>
    </row>
    <row r="5" spans="1:3" x14ac:dyDescent="0.25">
      <c r="A5" s="2">
        <v>3</v>
      </c>
      <c r="B5" s="10" t="s">
        <v>71</v>
      </c>
      <c r="C5" s="2">
        <v>0.8</v>
      </c>
    </row>
    <row r="6" spans="1:3" x14ac:dyDescent="0.25">
      <c r="A6" s="2">
        <v>4</v>
      </c>
      <c r="B6" s="11" t="s">
        <v>72</v>
      </c>
      <c r="C6" s="2">
        <v>0.85</v>
      </c>
    </row>
    <row r="7" spans="1:3" x14ac:dyDescent="0.25">
      <c r="A7" s="2">
        <v>5</v>
      </c>
      <c r="B7" s="12" t="s">
        <v>73</v>
      </c>
      <c r="C7" s="2">
        <v>0.9</v>
      </c>
    </row>
    <row r="8" spans="1:3" x14ac:dyDescent="0.25">
      <c r="A8" s="2">
        <v>6</v>
      </c>
      <c r="B8" s="13" t="s">
        <v>74</v>
      </c>
      <c r="C8" s="2">
        <v>0.95</v>
      </c>
    </row>
    <row r="9" spans="1:3" x14ac:dyDescent="0.25">
      <c r="A9" s="2">
        <v>7</v>
      </c>
      <c r="B9" s="14" t="s">
        <v>75</v>
      </c>
      <c r="C9" s="2">
        <v>1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>
      <selection activeCell="F8" sqref="F8"/>
    </sheetView>
  </sheetViews>
  <sheetFormatPr defaultColWidth="9" defaultRowHeight="14.4" x14ac:dyDescent="0.25"/>
  <sheetData>
    <row r="1" spans="1:8" x14ac:dyDescent="0.25">
      <c r="A1" s="29" t="s">
        <v>46</v>
      </c>
      <c r="B1" s="29" t="s">
        <v>230</v>
      </c>
      <c r="C1" s="29" t="s">
        <v>231</v>
      </c>
      <c r="D1" s="29" t="s">
        <v>232</v>
      </c>
      <c r="E1" s="29" t="s">
        <v>233</v>
      </c>
      <c r="F1" s="29" t="s">
        <v>234</v>
      </c>
      <c r="G1" s="29" t="s">
        <v>235</v>
      </c>
      <c r="H1" s="29" t="s">
        <v>236</v>
      </c>
    </row>
    <row r="2" spans="1:8" x14ac:dyDescent="0.25">
      <c r="A2" s="29" t="s">
        <v>11</v>
      </c>
      <c r="B2" s="29" t="s">
        <v>237</v>
      </c>
      <c r="C2" s="29" t="s">
        <v>238</v>
      </c>
      <c r="D2" s="29" t="s">
        <v>239</v>
      </c>
      <c r="E2" s="29" t="s">
        <v>240</v>
      </c>
      <c r="F2" s="29" t="s">
        <v>241</v>
      </c>
      <c r="G2" s="29" t="s">
        <v>242</v>
      </c>
      <c r="H2" s="29" t="s">
        <v>243</v>
      </c>
    </row>
    <row r="3" spans="1:8" x14ac:dyDescent="0.25">
      <c r="A3" s="29">
        <v>1</v>
      </c>
      <c r="B3" s="29" t="s">
        <v>244</v>
      </c>
      <c r="C3" s="29">
        <v>0</v>
      </c>
      <c r="D3" s="29">
        <v>0</v>
      </c>
      <c r="E3" s="29">
        <v>40</v>
      </c>
      <c r="F3" s="29">
        <v>30</v>
      </c>
      <c r="G3" s="29">
        <v>30</v>
      </c>
      <c r="H3" s="29">
        <v>0</v>
      </c>
    </row>
    <row r="4" spans="1:8" x14ac:dyDescent="0.25">
      <c r="A4" s="29">
        <v>2</v>
      </c>
      <c r="B4" s="29" t="s">
        <v>245</v>
      </c>
      <c r="C4" s="29">
        <v>0</v>
      </c>
      <c r="D4" s="29">
        <v>0</v>
      </c>
      <c r="E4" s="29">
        <v>0</v>
      </c>
      <c r="F4" s="29">
        <v>50</v>
      </c>
      <c r="G4" s="29">
        <v>45</v>
      </c>
      <c r="H4" s="29">
        <v>5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60E9-4BE9-4B20-8BFD-19F8487F83D7}">
  <dimension ref="A1"/>
  <sheetViews>
    <sheetView workbookViewId="0"/>
  </sheetViews>
  <sheetFormatPr defaultRowHeight="14.4" x14ac:dyDescent="0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装备附属属性库</vt:lpstr>
      <vt:lpstr>装备后缀</vt:lpstr>
      <vt:lpstr>装备附属出现概率</vt:lpstr>
      <vt:lpstr>各系统装备品质掉落</vt:lpstr>
      <vt:lpstr>属性翻译</vt:lpstr>
      <vt:lpstr>属性取值</vt:lpstr>
      <vt:lpstr>武器基本属性百分比</vt:lpstr>
      <vt:lpstr>monster装备品质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奕轩 张</cp:lastModifiedBy>
  <dcterms:created xsi:type="dcterms:W3CDTF">2006-09-16T00:00:00Z</dcterms:created>
  <dcterms:modified xsi:type="dcterms:W3CDTF">2024-11-29T09:37:23Z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231693A520E14DF3A5885F8486EACC7F_12</vt:lpwstr>
  </property>
  <property fmtid="{D5CDD505-2E9C-101B-9397-08002B2CF9AE}" pid="3" name="KSOProductBuildVer">
    <vt:lpwstr>2052-12.1.0.16729</vt:lpwstr>
  </property>
</Properties>
</file>